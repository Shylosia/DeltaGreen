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4750" windowHeight="12080" activeTab="0" firstSheet="0"/>
  </bookViews>
  <sheets>
    <sheet name="人物卡" sheetId="2" r:id="rId1"/>
    <sheet name="骰子指令" sheetId="11" r:id="rId2"/>
    <sheet name="职业列表" sheetId="9" r:id="rId3" state="hidden"/>
    <sheet name="额外技能包" sheetId="10" r:id="rId4" state="hidden"/>
    <sheet name="子技能" sheetId="5" r:id="rId5" state="hidden"/>
    <sheet name="附表" sheetId="4" r:id="rId6" state="hidden"/>
    <sheet name="更新记录" sheetId="8" r:id="rId8"/>
    <sheet name="职业选项" sheetId="14" state="hidden" r:id="rId9"/>
    <sheet name="规则数据" sheetId="15" state="hidden" r:id="rId10"/>
    <sheet name="规则速查" sheetId="16" r:id="rId11"/>
    <sheet name="精神疾病" sheetId="17" r:id="rIdV15Ref0"/>
    <sheet name="参考选项" sheetId="18" r:id="rIdV15Ref1"/>
    <sheet name="模组经历备忘录" sheetId="19" r:id="rIdV16Memo"/>
    <sheet name="幕间与结算" sheetId="20" state="visible" r:id="rIdJournal1"/>
    <sheet name="幕间计算" sheetId="21" state="hidden" r:id="rIdJournal2"/>
    <sheet name="装备选项" sheetId="22" state="hidden" r:id="rIdEquipment"/>
    <sheet name="可打印版（A4）" sheetId="13" r:id="rId12"/>
  </sheets>
  <definedNames>
    <definedName name="_xlnm._FilterDatabase" localSheetId="9"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人物卡!$BX$3:$CX$11,人物卡!$BN$14,人物卡!$BN$17,人物卡!$BI$27</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6">'可打印版（A4）'!$A$1:$AJ$104</definedName>
    <definedName name="主卡技能选项">OFFSET(规则数据!$Z$20,0,0,MAX(1,规则数据!$Z$19),1)</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武器下拉列表">规则数据!$A$500:$A$553</definedName>
    <definedName name="护甲下拉列表">规则数据!$A$560:$A$565</definedName>
    <definedName name="特训对应项">规则数据!$A$580:$A$644</definedName>
    <definedName name="_xlnm.Print_Titles" localSheetId="9">'规则速查'!$8:$8</definedName>
    <definedName name="_xlnm.Print_Area" localSheetId="9">'规则速查'!$A$8:$C$546</definedName>
    <definedName name="任选勾选值">'职业选项'!$AA$2:$AA$3</definedName>
    <definedName name="空白选项">'职业选项'!$AA$4</definedName>
    <definedName name="特训范例">'参考选项'!$B$20:$B$33</definedName>
    <definedName name="_xlnm.Print_Area" localSheetId="10">'精神疾病'!$A$1:$C$37</definedName>
    <definedName name="_xlnm.Print_Titles" localSheetId="10">'精神疾病'!$7:$7</definedName>
    <definedName name="_xlnm.Print_Area" localSheetId="11">'参考选项'!$A$1:$C$78</definedName>
    <definedName name="_xlnm.Print_Titles" localSheetId="11">'参考选项'!$7:$7</definedName>
    <definedName name="_xlnm.Print_Area" localSheetId="12">'模组经历备忘录'!$A$1:$H$27</definedName>
    <definedName name="_xlnm.Print_Titles" localSheetId="12">'模组经历备忘录'!$7:$7</definedName>
    <definedName name="关系称谓">'参考选项'!$B$35:$B$46</definedName>
    <definedName name="模组编号">'幕间计算'!$W$2:$W$21</definedName>
    <definedName name="幕间事项">'幕间计算'!$U$2:$U$10</definedName>
    <definedName name="变更目标">'幕间计算'!$P$2:INDEX('幕间计算'!$P$2:$P$79,MAX(1,COUNTIF('幕间计算'!$P$2:$P$79,"?*")))</definedName>
    <definedName name="关系编号">'幕间计算'!$X$2:$X$8</definedName>
    <definedName name="失败标记">'人物卡'!$B$14:$C$43,'人物卡'!$AE$14:$AF$43</definedName>
    <definedName name="本次成长记录">'幕间与结算'!$A$10:INDEX('幕间与结算'!$I$10:$I$69,MAX(1,'幕间计算'!$AO$2))</definedName>
    <definedName name="本次骰点">'幕间与结算'!$J$10:$J$69</definedName>
    <definedName name="幕间一记录">'幕间与结算'!$A$80:$I$84</definedName>
    <definedName name="幕间二记录">'幕间与结算'!$A$96:$I$100</definedName>
    <definedName name="装备包选项">'装备选项'!$J$2:$J$8</definedName>
    <definedName name="_xlnm.Print_Area" localSheetId="6">'更新记录'!$A$1:$B$158</definedName>
    <definedName name="_xlnm.Print_Titles" localSheetId="6">'更新记录'!$10:$10</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技能说明</author>
    <author>User</author>
  </authors>
  <commentList>
    <comment ref="D14" authorId="1">
      <text>
        <r>
          <rPr>
            <sz val="8"/>
            <color rgb="FF000000"/>
            <rFont val="等线"/>
            <family val="2"/>
          </rPr>
          <t xml:space="preserve">对金融和商务的了解。用它来从财务报告中筛选出异常，例如隐藏的银行账号或洗黑钱的证据。</t>
        </r>
      </text>
    </comment>
    <comment ref="AG14" authorId="1">
      <text>
        <r>
          <rPr>
            <sz val="8"/>
            <color rgb="FF000000"/>
            <rFont val="等线"/>
            <family val="2"/>
          </rPr>
          <t xml:space="preserve">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0">
      <text>
        <r>
          <rPr>
            <sz val="8"/>
            <color rgb="FF000000"/>
            <rFont val="等线"/>
            <family val="2"/>
          </rPr>
          <t xml:space="preserve">选择武器后自动带入本行数值。自定义武器的其他字段需自行填写，会替换对应公式。近战伤害加成单列。</t>
        </r>
      </text>
    </comment>
    <comment ref="D15" authorId="1">
      <text>
        <r>
          <rPr>
            <sz val="8"/>
            <color rgb="FF000000"/>
            <rFont val="等线"/>
            <family val="2"/>
          </rPr>
          <t xml:space="preserve">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family val="2"/>
          </rPr>
          <t xml:space="preserve">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family val="2"/>
          </rPr>
          <t xml:space="preserve">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family val="2"/>
          </rPr>
          <t xml:space="preserve">在战斗中致命地使用近战武器。用这个技能来挥舞刀、斧、棒槌或其他武器伤害或杀死敌人。</t>
        </r>
      </text>
    </comment>
    <comment ref="D17" authorId="1">
      <text>
        <r>
          <rPr>
            <sz val="8"/>
            <color rgb="FF000000"/>
            <rFont val="等线"/>
            <family val="2"/>
          </rPr>
          <t xml:space="preserve">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8"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family val="2"/>
          </rPr>
          <t xml:space="preserve">使用你的地图、图表、寻路训练、器具或是依靠瞎猜来快速地找到方向。</t>
        </r>
      </text>
    </comment>
    <comment ref="D21" authorId="1">
      <text>
        <r>
          <rPr>
            <sz val="8"/>
            <color rgb="FF000000"/>
            <rFont val="等线"/>
            <family val="2"/>
          </rPr>
          <t xml:space="preserve">安全并准确地使用迫击炮、导弹、榴弹炮、坦克炮以及其他重型火炮。用它来在战斗中摧毁部队或是硬目标。</t>
        </r>
      </text>
    </comment>
    <comment ref="AG21" authorId="1">
      <text>
        <r>
          <rPr>
            <sz val="8"/>
            <color rgb="FF000000"/>
            <rFont val="等线"/>
            <family val="2"/>
          </rPr>
          <t xml:space="preserve">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family val="2"/>
          </rPr>
          <t xml:space="preserve">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family val="2"/>
          </rPr>
          <t xml:space="preserve">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D23" authorId="1">
      <text>
        <r>
          <rPr>
            <sz val="8"/>
            <color rgb="FF000000"/>
            <rFont val="等线"/>
            <family val="2"/>
          </rPr>
          <t xml:space="preserve">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family val="2"/>
          </rPr>
          <t xml:space="preserve">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D24" authorId="1">
      <text>
        <r>
          <rPr>
            <sz val="8"/>
            <color rgb="FF000000"/>
            <rFont val="等线"/>
            <family val="2"/>
          </rPr>
          <t xml:space="preserve">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family val="2"/>
          </rPr>
          <t xml:space="preserve">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family val="2"/>
          </rPr>
          <t xml:space="preserve">对待、训练及骑乘马、驴、骆驼等动物。更加罕见的坐骑可能需要特训。使用骑术来保证自己能在危机中安全地骑在坐骑上，并保持坐骑冷静、健康。</t>
        </r>
      </text>
    </comment>
    <comment ref="D29" authorId="1">
      <text>
        <r>
          <rPr>
            <sz val="8"/>
            <color rgb="FF000000"/>
            <rFont val="等线"/>
            <family val="2"/>
          </rPr>
          <t xml:space="preserve">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family val="2"/>
          </rPr>
          <t xml:space="preserve">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family val="2"/>
          </rPr>
          <t xml:space="preserve">改变你特工的外貌、声音、姿势、肢体语言和言谈举止，在不引起注意的情况下避免被人认出。</t>
        </r>
      </text>
    </comment>
    <comment ref="AG31"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family val="2"/>
          </rPr>
          <t xml:space="preserve">利用直觉和反射来躲避危险与攻击。在应对枪械和爆炸物时，闪避能帮助特工在子弹飞出之前躲到掩体后。</t>
        </r>
      </text>
    </comment>
    <comment ref="AG32" authorId="1">
      <text>
        <r>
          <rPr>
            <sz val="8"/>
            <color rgb="FF000000"/>
            <rFont val="等线"/>
            <family val="2"/>
          </rPr>
          <t xml:space="preserve">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family val="2"/>
          </rPr>
          <t xml:space="preserve">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family val="2"/>
          </rPr>
          <t xml:space="preserve">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family val="2"/>
          </rPr>
          <t xml:space="preserve">安全并准确地在战斗中射击轻武器。用这个技能在由肾上腺素、慌乱和暴力导致的惊愕影响到了手眼协调的情况下击中目标。</t>
        </r>
      </text>
    </comment>
    <comment ref="AG34" authorId="1">
      <text>
        <r>
          <rPr>
            <sz val="8"/>
            <color rgb="FF000000"/>
            <rFont val="等线"/>
            <family val="2"/>
          </rPr>
          <t xml:space="preserve">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family val="2"/>
          </rPr>
          <t xml:space="preserve">对伤势进行初步的处理和稳定。用这个技能来帮助某个角色回复体力。相比而言，手术用于处理更严重的伤口，而医学则保证长期的康复。</t>
        </r>
      </text>
    </comment>
    <comment ref="AG35" authorId="1">
      <text>
        <r>
          <rPr>
            <sz val="8"/>
            <color rgb="FF000000"/>
            <rFont val="等线"/>
            <family val="2"/>
          </rPr>
          <t xml:space="preserve">对伤口或身体异常进行侵入式治疗。相比而言，急救让患者能活着等到手术，而手术则保证长期的康复。</t>
        </r>
      </text>
    </comment>
    <comment ref="D36"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family val="2"/>
          </rPr>
          <t xml:space="preserve">对大自然的了解。用这个技能来发现脚印和足迹，计划一次探险，预测天气，发现动植物的异常，用环境来获取其他信息，或是寻找食物、水和避难所。</t>
        </r>
      </text>
    </comment>
    <comment ref="D37"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family val="2"/>
          </rPr>
          <t xml:space="preserve">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family val="2"/>
          </rPr>
          <t xml:space="preserve">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family val="2"/>
          </rPr>
          <t xml:space="preserve">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family val="2"/>
          </rPr>
          <t xml:space="preserve">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family val="2"/>
          </rPr>
          <t xml:space="preserve">在危机中安全地使用拖拉机、起重机、推土机、坦克、重型卡车或是任何其他大型机械。</t>
        </r>
      </text>
    </comment>
    <comment ref="D41" authorId="1">
      <text>
        <r>
          <rPr>
            <sz val="8"/>
            <color rgb="FF000000"/>
            <rFont val="等线"/>
            <family val="2"/>
          </rPr>
          <t xml:space="preserve">安全并准确地使用单兵便携式重武器，例如机枪和火箭发射器。用重型武器来压制敌人，或在战斗中摧毁载具。</t>
        </r>
      </text>
    </comment>
    <comment ref="D42" authorId="1">
      <text>
        <r>
          <rPr>
            <sz val="8"/>
            <color rgb="FF000000"/>
            <rFont val="等线"/>
            <family val="2"/>
          </rPr>
          <t xml:space="preserve">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family val="2"/>
          </rPr>
          <t xml:space="preserve">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AB2" authorId="2">
      <text>
        <r>
          <rPr>
            <sz val="8"/>
            <color rgb="FF000000"/>
            <rFont val="等线"/>
            <family val="2"/>
          </rPr>
          <t>初始六项属性在“幕间与结算”顶部填写，主卡显示累计值。创建时每项3～18；可分配72点，或掷六次4D6，每次去掉最低骰后分配。</t>
        </r>
      </text>
    </comment>
    <comment ref="AB3" authorId="2">
      <text>
        <r>
          <rPr>
            <sz val="8"/>
            <color rgb="FF000000"/>
            <rFont val="等线"/>
            <family val="2"/>
          </rPr>
          <t xml:space="preserve">身体强度、体型与肌肉量，可用于破门、拖拽或压制。与体质共同决定体力上限，也决定近战伤害加成。</t>
        </r>
      </text>
    </comment>
    <comment ref="AB4" authorId="2">
      <text>
        <r>
          <rPr>
            <sz val="8"/>
            <color rgb="FF000000"/>
            <rFont val="等线"/>
            <family val="2"/>
          </rPr>
          <t xml:space="preserve">健康与身体耐受度，可用于抵御疾病、疲倦、痛苦或长时间屏息。与力量共同决定体力上限。</t>
        </r>
      </text>
    </comment>
    <comment ref="AB5" authorId="2">
      <text>
        <r>
          <rPr>
            <sz val="8"/>
            <color rgb="FF000000"/>
            <rFont val="等线"/>
            <family val="2"/>
          </rPr>
          <t xml:space="preserve">迅捷、协调与灵活，常用于平衡和快速反应。战斗通常按敏捷从高到低行动。</t>
        </r>
      </text>
    </comment>
    <comment ref="AB6" authorId="2">
      <text>
        <r>
          <rPr>
            <sz val="8"/>
            <color rgb="FF000000"/>
            <rFont val="等线"/>
            <family val="2"/>
          </rPr>
          <t xml:space="preserve">注意、记忆和关联事物的能力，可用于回忆细节、整理线索。需要专业训练的0%技能不能仅靠智力替代。</t>
        </r>
      </text>
    </comment>
    <comment ref="AB7" authorId="2">
      <text>
        <r>
          <rPr>
            <sz val="8"/>
            <color rgb="FF000000"/>
            <rFont val="等线"/>
            <family val="2"/>
          </rPr>
          <t>自我强度、动力与精神耐受度，决定毅力上限并参与初始理智和崩溃点计算。</t>
        </r>
      </text>
    </comment>
    <comment ref="AB8" authorId="2">
      <text>
        <r>
          <rPr>
            <sz val="8"/>
            <color rgb="FF000000"/>
            <rFont val="等线"/>
            <family val="2"/>
          </rPr>
          <t>吸引力、领导力与个人气质，决定创建时每段重要关系的初始值。</t>
        </r>
      </text>
    </comment>
    <comment ref="AK2" authorId="2">
      <text>
        <r>
          <rPr>
            <sz val="8"/>
            <color rgb="FF000000"/>
            <rFont val="等线"/>
            <family val="2"/>
          </rPr>
          <t xml:space="preserve">以有效属性×5为百分骰目标，不高于目标即成功。01及成功的同点双骰为大成功；00及失败的同点双骰为大失败。优先使用暂降后的属性，情景修正另计。</t>
        </r>
      </text>
    </comment>
    <comment ref="AN2" authorId="2">
      <text>
        <r>
          <rPr>
            <sz val="8"/>
            <color rgb="FF000000"/>
            <rFont val="等线"/>
            <family val="2"/>
          </rPr>
          <t xml:space="preserve">填降低后的数值，例如15降低3点应填12；没有暂降时留空。影响属性检定、体力／毅力上限、伤害加成及关系基准，不重置创建理智与崩溃点。暂降属性通常每天恢复1点。</t>
        </r>
      </text>
    </comment>
    <comment ref="AQ2" authorId="2">
      <text>
        <r>
          <rPr>
            <sz val="8"/>
            <color rgb="FF000000"/>
            <rFont val="等线"/>
            <family val="2"/>
          </rPr>
          <t xml:space="preserve">属性小于9或高于12时，可写一句对应的外貌或行为特征；不额外提供数值奖惩。</t>
        </r>
      </text>
    </comment>
    <comment ref="B10" authorId="2">
      <text>
        <r>
          <rPr>
            <sz val="8"/>
            <color rgb="FF000000"/>
            <rFont val="等线"/>
            <family val="2"/>
          </rPr>
          <t>上限＝（力量＋体质）÷2，向上取整。当前值初始等于上限，伤害与恢复按已确认记录累计。降至2或以下昏迷，降至0死亡。</t>
        </r>
      </text>
    </comment>
    <comment ref="N10" authorId="2">
      <text>
        <r>
          <rPr>
            <sz val="8"/>
            <color rgb="FF000000"/>
            <rFont val="等线"/>
            <family val="2"/>
          </rPr>
          <t>上限＝有效意志。当前值初始等于上限，消耗与恢复按已确认记录累计。剩1～2点时所有检定−20%；0点时无法检定成功，并暂由掌局者控制。整晚睡眠恢复1D6，每24小时一次。</t>
        </r>
      </text>
    </comment>
    <comment ref="AB10" authorId="2">
      <text>
        <r>
          <rPr>
            <sz val="8"/>
            <color rgb="FF000000"/>
            <rFont val="等线"/>
            <family val="2"/>
          </rPr>
          <t>上限＝99−非自然知识。创建值为原始意志×5扣除创伤损失，不超过上限。游戏中的变化按已确认记录累计；单次损失至少5点导致临时疯狂，降至0为永久疯狂。</t>
        </r>
      </text>
    </comment>
    <comment ref="AN10" authorId="2">
      <text>
        <r>
          <rPr>
            <sz val="8"/>
            <color rgb="FF000000"/>
            <rFont val="等线"/>
            <family val="2"/>
          </rPr>
          <t>初始通常为初始理智−意志。理智降到此值或以下时新增一项精神疾病，并将崩溃点重置为当前理智−意志；对应变化需记录并确认。不会随每次理智损失自动下降；创建时仅“人类不应知道之事”重置，其他三种背景保留原阈值。</t>
        </r>
      </text>
    </comment>
    <comment ref="AX10" authorId="2">
      <text>
        <r>
          <rPr>
            <sz val="8"/>
            <color rgb="FF000000"/>
            <rFont val="等线"/>
            <family val="2"/>
          </rPr>
          <t xml:space="preserve">因暴力损失理智而未临时疯狂或触及崩溃点，连续三次即适应；相应理智检定自动成功。完成前若因此疯狂或触及崩溃点，清空进度。获得适应时魅力及所有关系各减同一次1D6；创建“极端暴力”已付固定代价，不重复扣。</t>
        </r>
      </text>
    </comment>
    <comment ref="AX11" authorId="2">
      <text>
        <r>
          <rPr>
            <sz val="8"/>
            <color rgb="FF000000"/>
            <rFont val="等线"/>
            <family val="2"/>
          </rPr>
          <t xml:space="preserve">因无力感损失理智而未疯狂或触及崩溃点，连续三次即适应；完成前因此疯狂或触及崩溃点则清空进度。获得适应时意志永久减1D6；创建“关押或入狱”不重复扣。非自然现象不能适应。</t>
        </r>
      </text>
    </comment>
    <comment ref="AL9" authorId="2">
      <text>
        <r>
          <rPr>
            <sz val="8"/>
            <color rgb="FF000000"/>
            <rFont val="等线"/>
            <family val="2"/>
          </rPr>
          <t xml:space="preserve">按本职技能净点数推算创建时的关系数量；“艰苦经历”再去掉一段。实际已建立关系的数量另行统计。</t>
        </r>
      </text>
    </comment>
    <comment ref="BD9" authorId="2">
      <text>
        <r>
          <rPr>
            <sz val="8"/>
            <color rgb="FF000000"/>
            <rFont val="等线"/>
            <family val="2"/>
          </rPr>
          <t xml:space="preserve">仅统计技能包实际计入的点数，完整分配为8次×20＝160点。未选择或达到80%上限会减少实计点数；不包含创伤与成长。</t>
        </r>
      </text>
    </comment>
    <comment ref="P13" authorId="2">
      <text>
        <r>
          <rPr>
            <sz val="8"/>
            <color rgb="FF000000"/>
            <rFont val="等线"/>
            <family val="2"/>
          </rPr>
          <t xml:space="preserve">职业值替代基础值，再加额外与成长；额外包含技能包及创伤修正。此列为计算结果，技能上限99%。</t>
        </r>
      </text>
    </comment>
    <comment ref="S13" authorId="2">
      <text>
        <r>
          <rPr>
            <sz val="8"/>
            <color rgb="FF000000"/>
            <rFont val="等线"/>
            <family val="2"/>
          </rPr>
          <t xml:space="preserve">未接受职业训练时的基础等级；职业值会替代它。0%技能通常不能尝试；艺术、工艺、外语、军事科学、特种载具、科学须确定专攻。</t>
        </r>
      </text>
    </comment>
    <comment ref="V13" authorId="2">
      <text>
        <r>
          <rPr>
            <sz val="8"/>
            <color rgb="FF000000"/>
            <rFont val="等线"/>
            <family val="2"/>
          </rPr>
          <t xml:space="preserve">由职业、适用子模板及职业框内的选择计算，直接替代基础等级。专攻技能需先填写具体名称。</t>
        </r>
      </text>
    </comment>
    <comment ref="Y13" authorId="2">
      <text>
        <r>
          <rPr>
            <sz val="8"/>
            <color rgb="FF000000"/>
            <rFont val="等线"/>
            <family val="2"/>
          </rPr>
          <t xml:space="preserve">汇总技能包及创伤加点。技能包每次+20，可重复，创建上限80%；艰苦经历五项各+10，上限90%。两者均不能提升非自然知识。</t>
        </r>
      </text>
    </comment>
    <comment ref="AB13" authorId="2">
      <text>
        <r>
          <rPr>
            <sz val="8"/>
            <color rgb="FF000000"/>
            <rFont val="等线"/>
            <family val="2"/>
          </rPr>
          <t>游戏中在主卡勾选失败技能，幕间页自动生成结算清单。填实掷1D4后，将记录粘贴为值到归档区，成长计入主卡；再清空失败标记。每模组每技能一次，非自然知识除外。</t>
        </r>
      </text>
    </comment>
    <comment ref="H46" authorId="2">
      <text>
        <r>
          <rPr>
            <sz val="8"/>
            <color rgb="FF000000"/>
            <rFont val="等线"/>
            <family val="2"/>
          </rPr>
          <t xml:space="preserve">固定技能自动计入；职业框内按要求勾选候选技能，专攻名称直接填入上方技能格。切换职业会保留旧专攻及选择，需核对。</t>
        </r>
      </text>
    </comment>
    <comment ref="H47" authorId="2">
      <text>
        <r>
          <rPr>
            <sz val="8"/>
            <color rgb="FF000000"/>
            <rFont val="等线"/>
            <family val="2"/>
          </rPr>
          <t xml:space="preserve">仅部分职业有子模板；其他职业忽略本格保留的旧选择。</t>
        </r>
      </text>
    </comment>
    <comment ref="P48" authorId="2">
      <text>
        <r>
          <rPr>
            <sz val="8"/>
            <color rgb="FF000000"/>
            <rFont val="等线"/>
            <family val="2"/>
          </rPr>
          <t xml:space="preserve">固定技能不占任选名额；超选时任选职业值暂不计入，取消多余选择后恢复。专攻名称直接填写在上方技能格。</t>
        </r>
      </text>
    </comment>
    <comment ref="BW46" authorId="2">
      <text>
        <r>
          <rPr>
            <sz val="8"/>
            <color rgb="FF000000"/>
            <rFont val="等线"/>
            <family val="2"/>
          </rPr>
          <t>八次+20，可重复提升同一技能，创建上限80%。右栏可替换固定项，清空恢复模板；任选项按列表选择，专攻名称可填在上方技能格。切换技能包会保留旧输入。</t>
        </r>
      </text>
    </comment>
    <comment ref="DF46" authorId="2">
      <text>
        <r>
          <rPr>
            <sz val="8"/>
            <color rgb="FF000000"/>
            <rFont val="等线"/>
            <family val="2"/>
          </rPr>
          <t xml:space="preserve">按一种创建经历修正属性、技能、理智、适应和关系。艰苦经历需选五项不同技能与一段移除关系；人类不应知道之事需选非自然相关精神疾病。游戏中新损失另行记录。</t>
        </r>
      </text>
    </comment>
    <comment ref="DF54" authorId="2">
      <text>
        <r>
          <rPr>
            <sz val="8"/>
            <color rgb="FF000000"/>
            <rFont val="等线"/>
            <family val="2"/>
          </rPr>
          <t>显示创伤前的意志，通常为3～18。“关押或入狱”自动减3；初始理智仍从原始值×5扣除背景损失，不再因这3点意志额外下降。</t>
        </r>
      </text>
    </comment>
    <comment ref="DR54" authorId="2">
      <text>
        <r>
          <rPr>
            <sz val="8"/>
            <color rgb="FF000000"/>
            <rFont val="等线"/>
            <family val="2"/>
          </rPr>
          <t>显示创伤前的魅力，通常为3～18。“极端暴力”自动减3，关系按修正后魅力初始化，只扣一次。</t>
        </r>
      </text>
    </comment>
    <comment ref="DF55" authorId="2">
      <text>
        <r>
          <rPr>
            <sz val="8"/>
            <color rgb="FF000000"/>
            <rFont val="等线"/>
            <family val="2"/>
          </rPr>
          <t xml:space="preserve">仅艰苦经历生效。1～7对应自上而下七段关系，所选关系值归0并保留名字；不降低其他关系。</t>
        </r>
      </text>
    </comment>
    <comment ref="DR55" authorId="2">
      <text>
        <r>
          <rPr>
            <sz val="8"/>
            <color rgb="FF000000"/>
            <rFont val="等线"/>
            <family val="2"/>
          </rPr>
          <t xml:space="preserve">用于“人类不应知道之事”的非自然相关疾病，可与掌局者确定症状和诱因。选定后自动带入背景，症状不自动修改技能值。</t>
        </r>
      </text>
    </comment>
    <comment ref="DF57" authorId="2">
      <text>
        <r>
          <rPr>
            <sz val="8"/>
            <color rgb="FF000000"/>
            <rFont val="等线"/>
            <family val="2"/>
          </rPr>
          <t xml:space="preserve">选五个不同技能，各+10、最高90%，非自然知识除外；同名重复只计一次。神秘学已有固定+10，若再选入五项可另加10，仍受90%限制。</t>
        </r>
      </text>
    </comment>
    <comment ref="CZ22" authorId="2">
      <text>
        <r>
          <rPr>
            <sz val="8"/>
            <color rgb="FF000000"/>
            <rFont val="等线"/>
            <family val="2"/>
          </rPr>
          <t>对象须是活着且能互动的人或小群体。创建时每段关系值＝魅力，数量由职业决定。普通关系值不高于魅力；魅力降低时各关系同减。归0即破裂，保留记录；游戏中的关系变化与代价由已确认记录累计。</t>
        </r>
      </text>
    </comment>
    <comment ref="EF23" authorId="2">
      <text>
        <r>
          <rPr>
            <sz val="8"/>
            <color rgb="FF000000"/>
            <rFont val="等线"/>
            <family val="2"/>
          </rPr>
          <t xml:space="preserve">√为绿色三角洲队友关系，×为其他关系。新建DG关系不直接使用满魅力初始值，按共同灾难后的规则建立或加强，并结算普通关系代价。</t>
        </r>
      </text>
    </comment>
    <comment ref="BI17" authorId="2">
      <text>
        <r>
          <rPr>
            <sz val="8"/>
            <color rgb="FF000000"/>
            <rFont val="等线"/>
            <family val="2"/>
          </rPr>
          <t xml:space="preserve">人生动力最多五条，每次达到崩溃点去除一条。精神疾病记录诱因与症状；痊愈后标记“已痊愈”并保留记录。创伤疾病会自动带入，直接改写内容将替换自动引用。</t>
        </r>
      </text>
    </comment>
    <comment ref="EI16" authorId="2">
      <text>
        <r>
          <rPr>
            <sz val="8"/>
            <color rgb="FF000000"/>
            <rFont val="等线"/>
            <family val="2"/>
          </rPr>
          <t xml:space="preserve">体力降至2或以下时需体质×5检定，失败可能造成永久属性损失。记录伤残、持续疾病或成瘾的影响；本栏不自动修改属性。</t>
        </r>
      </text>
    </comment>
    <comment ref="BX2" authorId="2">
      <text>
        <r>
          <rPr>
            <sz val="8"/>
            <color rgb="FF000000"/>
            <rFont val="等线"/>
            <family val="2"/>
          </rPr>
          <t xml:space="preserve">为现有技能或属性增加特定用途，不单独增加技能等级。常见训练需10～20小时指导练习；缺少所需特训的后果由掌局者判断。</t>
        </r>
      </text>
    </comment>
    <comment ref="DM13" authorId="2">
      <text>
        <r>
          <rPr>
            <sz val="8"/>
            <color rgb="FF000000"/>
            <rFont val="等线"/>
            <family val="2"/>
          </rPr>
          <t xml:space="preserve">引用对应技能总值；瞄准、距离、遮蔽、霰弹与爆炸等情景修正另计。部分武器还需特训。</t>
        </r>
      </text>
    </comment>
    <comment ref="DQ13" authorId="2">
      <text>
        <r>
          <rPr>
            <sz val="8"/>
            <color rgb="FF000000"/>
            <rFont val="等线"/>
            <family val="2"/>
          </rPr>
          <t xml:space="preserve">骰式为普通伤害，百分比为致死等级；并列时按实际射击模式结算。致死检定成功使普通人类目标体力归0；失败将两颗D10相加，0按10。掩体、巨型及超然目标另计。</t>
        </r>
      </text>
    </comment>
    <comment ref="DW13" authorId="2">
      <text>
        <r>
          <rPr>
            <sz val="8"/>
            <color rgb="FF000000"/>
            <rFont val="等线"/>
            <family val="2"/>
          </rPr>
          <t xml:space="preserve">减少本次可用护甲等级，不直接增加伤害。爆炸武器的穿甲只对指定目标生效，不作用于击杀半径内其他受害者。</t>
        </r>
      </text>
    </comment>
    <comment ref="DZ13" authorId="2">
      <text>
        <r>
          <rPr>
            <sz val="8"/>
            <color rgb="FF000000"/>
            <rFont val="等线"/>
            <family val="2"/>
          </rPr>
          <t xml:space="preserve">以米计。超过基础射程但不到两倍通常−20%；超过两倍但不到五倍通常−40%。机枪支架、霰弹类型等特例另计。</t>
        </r>
      </text>
    </comment>
    <comment ref="ED13" authorId="2">
      <text>
        <r>
          <rPr>
            <sz val="8"/>
            <color rgb="FF000000"/>
            <rFont val="等线"/>
            <family val="2"/>
          </rPr>
          <t xml:space="preserve">以米计。成功的范围攻击对指定目标周围半径内角色施加致死检定，也可能造成压制。连射半径随射击模式变化，位置与掩体由掌局者判断。</t>
        </r>
      </text>
    </comment>
    <comment ref="EQ13" authorId="2">
      <text>
        <r>
          <rPr>
            <sz val="8"/>
            <color rgb="FF000000"/>
            <rFont val="等线"/>
            <family val="2"/>
          </rPr>
          <t xml:space="preserve">力量1～4：−2；5～8：−1；9～12：0；13～16：+1；17～18：+2。加入近战伤害后最低为0；武器骰式尚未包含此加成。</t>
        </r>
      </text>
    </comment>
    <comment ref="EK8" authorId="2">
      <text>
        <r>
          <rPr>
            <sz val="8"/>
            <color rgb="FF000000"/>
            <rFont val="等线"/>
            <family val="2"/>
          </rPr>
          <t xml:space="preserve">护甲抵减普通体力伤害，不能阻止成功致死检定；掩体另计。多来源护甲可叠加，先计算穿甲。此处只记录装备，不自动结算受伤量。</t>
        </r>
      </text>
    </comment>
  </commentList>
</comments>
</file>

<file path=xl/sharedStrings.xml><?xml version="1.0" encoding="utf-8"?>
<sst xmlns="http://schemas.openxmlformats.org/spreadsheetml/2006/main" count="20646" uniqueCount="3358">
  <si>
    <t>物品</t>
  </si>
  <si>
    <t>※ 属性</t>
  </si>
  <si>
    <t>数值</t>
  </si>
  <si>
    <t>×5</t>
  </si>
  <si>
    <t>暂降</t>
  </si>
  <si>
    <t>突出值解释</t>
  </si>
  <si>
    <t>头像</t>
  </si>
  <si>
    <t>※ 特训</t>
  </si>
  <si>
    <t>对应技能或属性</t>
  </si>
  <si>
    <t>玩家</t>
  </si>
  <si>
    <t>力量</t>
  </si>
  <si>
    <t>STR</t>
  </si>
  <si>
    <t>特工</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</si>
  <si>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</si>
  <si>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</si>
  <si>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</si>
  <si>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</si>
  <si>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</si>
  <si>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</si>
  <si>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</si>
  <si>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</si>
  <si>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</si>
  <si>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</si>
  <si>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</si>
  <si>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</si>
  <si>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</si>
  <si>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</si>
  <si>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</si>
  <si>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</si>
  <si>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</si>
  <si>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</si>
  <si>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</si>
  <si>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</si>
  <si>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</si>
  <si>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</si>
  <si>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</si>
  <si>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</si>
  <si>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</si>
  <si>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</si>
  <si>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</si>
  <si>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</si>
  <si>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</si>
  <si>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</si>
  <si>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</si>
  <si>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</si>
  <si>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</si>
  <si>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</si>
  <si>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</si>
  <si>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</si>
  <si>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</si>
  <si>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</si>
  <si>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</si>
  <si>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</si>
  <si>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</si>
  <si>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</si>
  <si>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</si>
  <si>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</si>
  <si>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</si>
  <si>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会计学</t>
  </si>
  <si>
    <t>法律</t>
  </si>
  <si>
    <t>外貌描述</t>
  </si>
  <si>
    <t>匕首</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</si>
  <si>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</si>
  <si>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</si>
  <si>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</si>
  <si>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</si>
  <si>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</si>
  <si>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</si>
  <si>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</si>
  <si>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</si>
  <si>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</si>
  <si>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</si>
  <si>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</si>
  <si>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</si>
  <si>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</si>
  <si>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</si>
  <si>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</si>
  <si>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</si>
  <si>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</si>
  <si>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</si>
  <si>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</si>
  <si>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</si>
  <si>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</si>
  <si>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</si>
  <si>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</si>
  <si>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</si>
  <si>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</si>
  <si>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</si>
  <si>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</si>
  <si>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</si>
  <si>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</si>
  <si>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</si>
  <si>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</si>
  <si>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</si>
  <si>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</si>
  <si>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</si>
  <si>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</si>
  <si>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</si>
  <si>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</si>
  <si>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</si>
  <si>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</si>
  <si>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</si>
  <si>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</si>
  <si>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</si>
  <si>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</si>
  <si>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</si>
  <si>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</si>
  <si>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</si>
  <si>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</si>
  <si>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</si>
  <si>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</si>
  <si>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</si>
  <si>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</si>
  <si>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</si>
  <si>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</si>
  <si>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科学家</t>
  </si>
  <si>
    <t>可选额外技能包：</t>
  </si>
  <si>
    <t>运动员</t>
  </si>
  <si>
    <t>创伤背景：</t>
  </si>
  <si>
    <t>人类不应知道之事</t>
  </si>
  <si>
    <t>子模板：</t>
  </si>
  <si>
    <t>情报分析员</t>
  </si>
  <si>
    <t>重要关系数：</t>
  </si>
  <si>
    <t>额外技能（每项+20）</t>
  </si>
  <si>
    <t/>
  </si>
  <si>
    <t>原始意志</t>
  </si>
  <si>
    <t>原始魅力</t>
  </si>
  <si>
    <t>移除关系</t>
  </si>
  <si>
    <t>心理疾病</t>
  </si>
  <si>
    <t>艰苦1</t>
  </si>
  <si>
    <t>艰苦2</t>
  </si>
  <si>
    <t>艰苦3</t>
  </si>
  <si>
    <t>艰苦4</t>
  </si>
  <si>
    <t>艰苦5</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</si>
  <si>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</si>
  <si>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</si>
  <si>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</si>
  <si>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</si>
  <si>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</si>
  <si>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</si>
  <si>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</si>
  <si>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</si>
  <si>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</si>
  <si>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</si>
  <si>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</si>
  <si>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</si>
  <si>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</si>
  <si>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（创建新职业）</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</si>
  <si>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</si>
  <si>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</si>
  <si>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</si>
  <si>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</si>
  <si>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</si>
  <si>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</si>
  <si>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</si>
  <si>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</si>
  <si>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</si>
  <si>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</si>
  <si>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</si>
  <si>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</si>
  <si>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</si>
  <si>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</si>
  <si>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</si>
  <si>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</si>
  <si>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</si>
  <si>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</si>
  <si>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</si>
  <si>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</si>
  <si>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</si>
  <si>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</si>
  <si>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</si>
  <si>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</si>
  <si>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</si>
  <si>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</si>
  <si>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</si>
  <si>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</si>
  <si>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</si>
  <si>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</si>
  <si>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</si>
  <si>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</si>
  <si>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</si>
  <si>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</si>
  <si>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</si>
  <si>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</si>
  <si>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</si>
  <si>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</si>
  <si>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</si>
  <si>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</si>
  <si>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</si>
  <si>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</si>
  <si>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</si>
  <si>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</si>
  <si>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</si>
  <si>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</si>
  <si>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</si>
  <si>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</si>
  <si>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</si>
  <si>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</si>
  <si>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</si>
  <si>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</si>
  <si>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</si>
  <si>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</si>
  <si>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</si>
  <si>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</si>
  <si>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</si>
  <si>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</si>
  <si>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</si>
  <si>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</si>
  <si>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</si>
  <si>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</si>
  <si>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</si>
  <si>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</si>
  <si>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</si>
  <si>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</si>
  <si>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</si>
  <si>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</si>
  <si>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</si>
  <si>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</si>
  <si>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</si>
  <si>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</si>
  <si>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</si>
  <si>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</si>
  <si>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</si>
  <si>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</si>
  <si>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</si>
  <si>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</si>
  <si>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</si>
  <si>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</si>
  <si>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</si>
  <si>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</si>
  <si>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</si>
  <si>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</si>
  <si>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</si>
  <si>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</si>
  <si>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</si>
  <si>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</si>
  <si>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</si>
  <si>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</si>
  <si>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</si>
  <si>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</si>
  <si>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</si>
  <si>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</si>
  <si>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</si>
  <si>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</si>
  <si>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</si>
  <si>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</si>
  <si>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</si>
  <si>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</si>
  <si>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</si>
  <si>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</si>
  <si>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</si>
  <si>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</si>
  <si>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</si>
  <si>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</si>
  <si>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</si>
  <si>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</si>
  <si>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</si>
  <si>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</si>
  <si>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</si>
  <si>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</si>
  <si>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</si>
  <si>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</si>
  <si>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</si>
  <si>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</si>
  <si>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</si>
  <si>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</si>
  <si>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</si>
  <si>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</si>
  <si>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</si>
  <si>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</si>
  <si>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</si>
  <si>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</si>
  <si>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</si>
  <si>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</si>
  <si>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</si>
  <si>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</si>
  <si>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</si>
  <si>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</si>
  <si>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</si>
  <si>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</si>
  <si>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</si>
  <si>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</si>
  <si>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</si>
  <si>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</si>
  <si>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</si>
  <si>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</si>
  <si>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</si>
  <si>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</si>
  <si>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</si>
  <si>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</si>
  <si>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</si>
  <si>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</si>
  <si>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</si>
  <si>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</si>
  <si>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</si>
  <si>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</si>
  <si>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</si>
  <si>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</si>
  <si>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</si>
  <si>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</si>
  <si>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</si>
  <si>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</si>
  <si>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</si>
  <si>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</si>
  <si>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</si>
  <si>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</si>
  <si>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</si>
  <si>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</si>
  <si>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</si>
  <si>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</si>
  <si>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</si>
  <si>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</si>
  <si>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</si>
  <si>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</si>
  <si>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</si>
  <si>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</si>
  <si>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</si>
  <si>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</si>
  <si>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</si>
  <si>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</si>
  <si>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</si>
  <si>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</si>
  <si>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</si>
  <si>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</si>
  <si>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</si>
  <si>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</si>
  <si>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</si>
  <si>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</si>
  <si>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</si>
  <si>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</si>
  <si>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</si>
  <si>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</si>
  <si>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</si>
  <si>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</si>
  <si>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</si>
  <si>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</si>
  <si>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</si>
  <si>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</si>
  <si>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</si>
  <si>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</si>
  <si>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</si>
  <si>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</si>
  <si>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</si>
  <si>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</si>
  <si>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</si>
  <si>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</si>
  <si>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</si>
  <si>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</si>
  <si>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</si>
  <si>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</si>
  <si>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</si>
  <si>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</si>
  <si>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</si>
  <si>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</si>
  <si>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</si>
  <si>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</si>
  <si>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</si>
  <si>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</si>
  <si>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</si>
  <si>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</si>
  <si>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</si>
  <si>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</si>
  <si>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</si>
  <si>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</si>
  <si>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</si>
  <si>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</si>
  <si>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</si>
  <si>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</si>
  <si>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</si>
  <si>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</si>
  <si>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</si>
  <si>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</si>
  <si>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</si>
  <si>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</si>
  <si>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</si>
  <si>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</si>
  <si>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</si>
  <si>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</si>
  <si>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</si>
  <si>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</si>
  <si>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</si>
  <si>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</si>
  <si>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</si>
  <si>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</si>
  <si>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</si>
  <si>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</si>
  <si>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</si>
  <si>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</si>
  <si>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</si>
  <si>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</si>
  <si>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</si>
  <si>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</si>
  <si>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</si>
  <si>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</si>
  <si>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</si>
  <si>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</si>
  <si>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</si>
  <si>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</si>
  <si>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</si>
  <si>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</si>
  <si>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</si>
  <si>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</si>
  <si>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</si>
  <si>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</si>
  <si>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</si>
  <si>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</si>
  <si>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</si>
  <si>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</si>
  <si>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</si>
  <si>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</si>
  <si>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</si>
  <si>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</si>
  <si>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</si>
  <si>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</si>
  <si>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</si>
  <si>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</si>
  <si>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</si>
  <si>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</si>
  <si>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</si>
  <si>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</si>
  <si>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</si>
  <si>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</si>
  <si>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</si>
  <si>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</si>
  <si>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</si>
  <si>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</si>
  <si>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</si>
  <si>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</si>
  <si>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</si>
  <si>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</si>
  <si>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</si>
  <si>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</si>
  <si>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</si>
  <si>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</si>
  <si>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</si>
  <si>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</si>
  <si>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</si>
  <si>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</si>
  <si>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</si>
  <si>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</si>
  <si>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</si>
  <si>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</si>
  <si>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</si>
  <si>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</si>
  <si>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</si>
  <si>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</si>
  <si>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</si>
  <si>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</si>
  <si>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</si>
  <si>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</si>
  <si>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</si>
  <si>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</si>
  <si>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</si>
  <si>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</si>
  <si>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</si>
  <si>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</si>
  <si>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</si>
  <si>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</si>
  <si>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</si>
  <si>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</si>
  <si>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</si>
  <si>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</si>
  <si>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</si>
  <si>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</si>
  <si>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</si>
  <si>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</si>
  <si>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</si>
  <si>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</si>
  <si>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</si>
  <si>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</si>
  <si>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</si>
  <si>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</si>
  <si>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</si>
  <si>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</si>
  <si>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</si>
  <si>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</si>
  <si>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</si>
  <si>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</si>
  <si>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</si>
  <si>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</si>
  <si>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</si>
  <si>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</si>
  <si>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</si>
  <si>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</si>
  <si>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</si>
  <si>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</si>
  <si>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</si>
  <si>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</si>
  <si>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</si>
  <si>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</si>
  <si>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</si>
  <si>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</si>
  <si>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</si>
  <si>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</si>
  <si>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</si>
  <si>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</si>
  <si>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</si>
  <si>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</si>
  <si>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</si>
  <si>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</si>
  <si>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（自选）</t>
  </si>
  <si>
    <t>艺术家，演员或音乐家</t>
  </si>
  <si>
    <t>工艺（任选）</t>
  </si>
  <si>
    <t>艺术（任选）</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</si>
  <si>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</si>
  <si>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</si>
  <si>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</si>
  <si>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</si>
  <si>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</si>
  <si>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</si>
  <si>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</si>
  <si>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</si>
  <si>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</si>
  <si>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</si>
  <si>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</si>
  <si>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</si>
  <si>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</si>
  <si>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</si>
  <si>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</si>
  <si>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</si>
  <si>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</si>
  <si>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</si>
  <si>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</si>
  <si>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</si>
  <si>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</si>
  <si>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</si>
  <si>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</si>
  <si>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</si>
  <si>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</si>
  <si>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</si>
  <si>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</si>
  <si>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</si>
  <si>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</si>
  <si>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</si>
  <si>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</si>
  <si>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</si>
  <si>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</si>
  <si>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</si>
  <si>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</si>
  <si>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</si>
  <si>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</si>
  <si>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</si>
  <si>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</si>
  <si>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</si>
  <si>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</si>
  <si>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</si>
  <si>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</si>
  <si>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</si>
  <si>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</si>
  <si>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</si>
  <si>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</si>
  <si>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</si>
  <si>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</si>
  <si>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</si>
  <si>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</si>
  <si>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</si>
  <si>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</si>
  <si>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</si>
  <si>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</si>
  <si>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</si>
  <si>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</si>
  <si>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</si>
  <si>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</si>
  <si>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</si>
  <si>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</si>
  <si>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</si>
  <si>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</si>
  <si>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</si>
  <si>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</si>
  <si>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</si>
  <si>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</si>
  <si>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</si>
  <si>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</si>
  <si>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</si>
  <si>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</si>
  <si>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</si>
  <si>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</si>
  <si>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</si>
  <si>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</si>
  <si>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</si>
  <si>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</si>
  <si>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</si>
  <si>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</si>
  <si>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</si>
  <si>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</si>
  <si>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</si>
  <si>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</si>
  <si>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</si>
  <si>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</si>
  <si>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</si>
  <si>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</si>
  <si>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</si>
  <si>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</si>
  <si>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</si>
  <si>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</si>
  <si>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</si>
  <si>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</si>
  <si>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</si>
  <si>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</si>
  <si>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</si>
  <si>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</si>
  <si>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</si>
  <si>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</si>
  <si>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</si>
  <si>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</si>
  <si>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</si>
  <si>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</si>
  <si>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</si>
  <si>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</si>
  <si>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</si>
  <si>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</si>
  <si>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</si>
  <si>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</si>
  <si>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</si>
  <si>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</si>
  <si>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</si>
  <si>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</si>
  <si>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</si>
  <si>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</si>
  <si>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</si>
  <si>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</si>
  <si>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</si>
  <si>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</si>
  <si>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</si>
  <si>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</si>
  <si>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</si>
  <si>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</si>
  <si>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</si>
  <si>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</si>
  <si>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</si>
  <si>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</si>
  <si>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</si>
  <si>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</si>
  <si>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</si>
  <si>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</si>
  <si>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</si>
  <si>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</si>
  <si>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</si>
  <si>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</si>
  <si>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（无）</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</si>
  <si>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</si>
  <si>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</si>
  <si>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</si>
  <si>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</si>
  <si>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</si>
  <si>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</si>
  <si>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</si>
  <si>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</si>
  <si>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</si>
  <si>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</si>
  <si>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</si>
  <si>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</si>
  <si>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</si>
  <si>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</si>
  <si>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</si>
  <si>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</si>
  <si>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</si>
  <si>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</si>
  <si>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</si>
  <si>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</si>
  <si>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</si>
  <si>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</si>
  <si>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</si>
  <si>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</si>
  <si>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</si>
  <si>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</si>
  <si>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</si>
  <si>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</si>
  <si>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</si>
  <si>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</si>
  <si>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</si>
  <si>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</si>
  <si>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</si>
  <si>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</si>
  <si>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</si>
  <si>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</si>
  <si>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</si>
  <si>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</si>
  <si>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</si>
  <si>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</si>
  <si>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</si>
  <si>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</si>
  <si>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</si>
  <si>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</si>
  <si>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</si>
  <si>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</si>
  <si>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</si>
  <si>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</si>
  <si>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</si>
  <si>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</si>
  <si>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</si>
  <si>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</si>
  <si>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</si>
  <si>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</si>
  <si>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</si>
  <si>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</si>
  <si>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</si>
  <si>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</si>
  <si>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</si>
  <si>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</si>
  <si>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</si>
  <si>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</si>
  <si>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</si>
  <si>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</si>
  <si>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</si>
  <si>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</si>
  <si>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</si>
  <si>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</si>
  <si>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</si>
  <si>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</si>
  <si>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</si>
  <si>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</si>
  <si>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</si>
  <si>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</si>
  <si>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</si>
  <si>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</si>
  <si>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</si>
  <si>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</si>
  <si>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</si>
  <si>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</si>
  <si>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</si>
  <si>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</si>
  <si>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</si>
  <si>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</si>
  <si>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</si>
  <si>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</si>
  <si>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</si>
  <si>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</si>
  <si>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</si>
  <si>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</si>
  <si>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</si>
  <si>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</si>
  <si>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</si>
  <si>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</si>
  <si>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</si>
  <si>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</si>
  <si>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</si>
  <si>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</si>
  <si>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</si>
  <si>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</si>
  <si>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</si>
  <si>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</si>
  <si>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</si>
  <si>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</si>
  <si>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</si>
  <si>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</si>
  <si>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</si>
  <si>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</si>
  <si>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</si>
  <si>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</si>
  <si>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</si>
  <si>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</si>
  <si>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</si>
  <si>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</si>
  <si>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</si>
  <si>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</si>
  <si>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</si>
  <si>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</si>
  <si>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</si>
  <si>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</si>
  <si>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</si>
  <si>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</si>
  <si>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</si>
  <si>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</si>
  <si>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</si>
  <si>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</si>
  <si>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</si>
  <si>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</si>
  <si>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</si>
  <si>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</si>
  <si>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</si>
  <si>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</si>
  <si>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</si>
  <si>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</si>
  <si>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</si>
  <si>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</si>
  <si>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</si>
  <si>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</si>
  <si>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</si>
  <si>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</si>
  <si>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</si>
  <si>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</si>
  <si>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</si>
  <si>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</si>
  <si>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</si>
  <si>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</si>
  <si>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</si>
  <si>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</si>
  <si>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</si>
  <si>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</si>
  <si>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</si>
  <si>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</si>
  <si>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</si>
  <si>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</si>
  <si>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</si>
  <si>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</si>
  <si>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</si>
  <si>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</si>
  <si>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</si>
  <si>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</si>
  <si>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</si>
  <si>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</si>
  <si>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</si>
  <si>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</si>
  <si>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</si>
  <si>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</si>
  <si>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</si>
  <si>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</si>
  <si>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</si>
  <si>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</si>
  <si>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</si>
  <si>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</si>
  <si>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</si>
  <si>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</si>
  <si>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</si>
  <si>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</si>
  <si>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</si>
  <si>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</si>
  <si>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</si>
  <si>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</si>
  <si>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</si>
  <si>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</si>
  <si>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</si>
  <si>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</si>
  <si>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</si>
  <si>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</si>
  <si>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</si>
  <si>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</si>
  <si>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</si>
  <si>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</si>
  <si>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</si>
  <si>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</si>
  <si>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</si>
  <si>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</si>
  <si>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</si>
  <si>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</si>
  <si>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</si>
  <si>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</si>
  <si>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</si>
  <si>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</si>
  <si>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</si>
  <si>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</si>
  <si>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</si>
  <si>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</si>
  <si>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</si>
  <si>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</si>
  <si>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</si>
  <si>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</si>
  <si>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</si>
  <si>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</si>
  <si>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</si>
  <si>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</si>
  <si>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</si>
  <si>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</si>
  <si>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</si>
  <si>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</si>
  <si>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</si>
  <si>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</si>
  <si>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</si>
  <si>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</si>
  <si>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</si>
  <si>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</si>
  <si>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</si>
  <si>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</si>
  <si>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</si>
  <si>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</si>
  <si>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</si>
  <si>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</si>
  <si>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</si>
  <si>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</si>
  <si>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</si>
  <si>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</si>
  <si>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</si>
  <si>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</si>
  <si>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</si>
  <si>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</si>
  <si>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</si>
  <si>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</si>
  <si>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</si>
  <si>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</si>
  <si>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</si>
  <si>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</si>
  <si>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</si>
  <si>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</si>
  <si>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</si>
  <si>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</si>
  <si>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</si>
  <si>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</si>
  <si>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</si>
  <si>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</si>
  <si>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</si>
  <si>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</si>
  <si>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</si>
  <si>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</si>
  <si>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</si>
  <si>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</si>
  <si>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</si>
  <si>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</si>
  <si>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</si>
  <si>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</si>
  <si>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</si>
  <si>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</si>
  <si>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</si>
  <si>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</si>
  <si>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</si>
  <si>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</si>
  <si>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</si>
  <si>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</si>
  <si>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</si>
  <si>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</si>
  <si>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</si>
  <si>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</si>
  <si>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</si>
  <si>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</si>
  <si>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</si>
  <si>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</si>
  <si>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</si>
  <si>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</si>
  <si>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</si>
  <si>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</si>
  <si>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</si>
  <si>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</si>
  <si>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</si>
  <si>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</si>
  <si>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</si>
  <si>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</si>
  <si>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</si>
  <si>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</si>
  <si>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</si>
  <si>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</si>
  <si>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</si>
  <si>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</si>
  <si>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</si>
  <si>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</si>
  <si>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</si>
  <si>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</si>
  <si>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</si>
  <si>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</si>
  <si>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</si>
  <si>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</si>
  <si>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</si>
  <si>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</si>
  <si>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</si>
  <si>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</si>
  <si>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</si>
  <si>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</si>
  <si>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</si>
  <si>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</si>
  <si>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</si>
  <si>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</si>
  <si>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</si>
  <si>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</si>
  <si>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</si>
  <si>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</si>
  <si>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</si>
  <si>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</si>
  <si>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</si>
  <si>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</si>
  <si>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</si>
  <si>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</si>
  <si>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</si>
  <si>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</si>
  <si>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</si>
  <si>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</si>
  <si>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</si>
  <si>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</si>
  <si>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</si>
  <si>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</si>
  <si>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</si>
  <si>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</si>
  <si>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</si>
  <si>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</si>
  <si>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</si>
  <si>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</si>
  <si>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</si>
  <si>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</si>
  <si>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</si>
  <si>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</si>
  <si>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</si>
  <si>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</si>
  <si>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</si>
  <si>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</si>
  <si>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</si>
  <si>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</si>
  <si>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</si>
  <si>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</si>
  <si>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</si>
  <si>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</si>
  <si>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</si>
  <si>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</si>
  <si>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</si>
  <si>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</si>
  <si>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</si>
  <si>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</si>
  <si>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</si>
  <si>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</si>
  <si>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</si>
  <si>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</si>
  <si>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</si>
  <si>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</si>
  <si>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</si>
  <si>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</si>
  <si>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</si>
  <si>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</si>
  <si>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</si>
  <si>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</si>
  <si>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</si>
  <si>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</si>
  <si>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</si>
  <si>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</si>
  <si>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</si>
  <si>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</si>
  <si>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</si>
  <si>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</si>
  <si>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</si>
  <si>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</si>
  <si>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</si>
  <si>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</si>
  <si>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</si>
  <si>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</si>
  <si>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</si>
  <si>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</si>
  <si>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</si>
  <si>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</si>
  <si>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</si>
  <si>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</si>
  <si>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</si>
  <si>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</si>
  <si>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</si>
  <si>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</si>
  <si>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</si>
  <si>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</si>
  <si>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</si>
  <si>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</si>
  <si>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</si>
  <si>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</si>
  <si>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</si>
  <si>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</si>
  <si>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</si>
  <si>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</si>
  <si>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</si>
  <si>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</si>
  <si>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</si>
  <si>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</si>
  <si>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</si>
  <si>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</si>
  <si>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</si>
  <si>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</si>
  <si>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</si>
  <si>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</si>
  <si>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</si>
  <si>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</si>
  <si>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</si>
  <si>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</si>
  <si>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</si>
  <si>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</si>
  <si>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</si>
  <si>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</si>
  <si>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</si>
  <si>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</si>
  <si>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</si>
  <si>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</si>
  <si>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</si>
  <si>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</si>
  <si>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</si>
  <si>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</si>
  <si>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</si>
  <si>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</si>
  <si>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</si>
  <si>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</si>
  <si>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</si>
  <si>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</si>
  <si>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</si>
  <si>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</si>
  <si>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</si>
  <si>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</si>
  <si>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</si>
  <si>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</si>
  <si>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</si>
  <si>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</si>
  <si>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</si>
  <si>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</si>
  <si>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</si>
  <si>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</si>
  <si>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</si>
  <si>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</si>
  <si>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</si>
  <si>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</si>
  <si>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</si>
  <si>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</si>
  <si>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</si>
  <si>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</si>
  <si>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</si>
  <si>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</si>
  <si>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</si>
  <si>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</si>
  <si>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</si>
  <si>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</si>
  <si>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</si>
  <si>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</si>
  <si>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</si>
  <si>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</si>
  <si>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</si>
  <si>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</si>
  <si>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</si>
  <si>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</si>
  <si>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</si>
  <si>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</si>
  <si>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</si>
  <si>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</si>
  <si>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</si>
  <si>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</si>
  <si>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</si>
  <si>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</si>
  <si>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</si>
  <si>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</si>
  <si>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</si>
  <si>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</si>
  <si>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</si>
  <si>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</si>
  <si>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</si>
  <si>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</si>
  <si>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</si>
  <si>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</si>
  <si>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</si>
  <si>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</si>
  <si>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</si>
  <si>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</si>
  <si>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</si>
  <si>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</si>
  <si>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</si>
  <si>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</si>
  <si>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</si>
  <si>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</si>
  <si>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</si>
  <si>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</si>
  <si>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</si>
  <si>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</si>
  <si>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</si>
  <si>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</si>
  <si>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</si>
  <si>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</si>
  <si>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</si>
  <si>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</si>
  <si>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</si>
  <si>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</si>
  <si>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</si>
  <si>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</si>
  <si>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</si>
  <si>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</si>
  <si>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</si>
  <si>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</si>
  <si>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</si>
  <si>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</si>
  <si>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</si>
  <si>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</si>
  <si>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</si>
  <si>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</si>
  <si>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</si>
  <si>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</si>
  <si>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</si>
  <si>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</si>
  <si>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</si>
  <si>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</si>
  <si>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</si>
  <si>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</si>
  <si>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</si>
  <si>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</si>
  <si>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</si>
  <si>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</si>
  <si>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</si>
  <si>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</si>
  <si>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</si>
  <si>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</si>
  <si>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</si>
  <si>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</si>
  <si>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</si>
  <si>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</si>
  <si>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</si>
  <si>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</si>
  <si>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</si>
  <si>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</si>
  <si>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</si>
  <si>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</si>
  <si>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</si>
  <si>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</si>
  <si>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</si>
  <si>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</si>
  <si>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</si>
  <si>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</si>
  <si>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</si>
  <si>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</si>
  <si>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</si>
  <si>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</si>
  <si>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</si>
  <si>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</si>
  <si>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</si>
  <si>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</si>
  <si>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</si>
  <si>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</si>
  <si>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</si>
  <si>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</si>
  <si>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</si>
  <si>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</si>
  <si>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</si>
  <si>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</si>
  <si>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</si>
  <si>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</si>
  <si>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</si>
  <si>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</si>
  <si>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</si>
  <si>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</si>
  <si>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</si>
  <si>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</si>
  <si>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</si>
  <si>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</si>
  <si>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</si>
  <si>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</si>
  <si>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</si>
  <si>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</si>
  <si>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</si>
  <si>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</si>
  <si>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</si>
  <si>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</si>
  <si>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</si>
  <si>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</si>
  <si>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</si>
  <si>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</si>
  <si>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</si>
  <si>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</si>
  <si>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</si>
  <si>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</si>
  <si>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</si>
  <si>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</si>
  <si>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</si>
  <si>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</si>
  <si>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</si>
  <si>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</si>
  <si>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</si>
  <si>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</si>
  <si>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</si>
  <si>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</si>
  <si>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</si>
  <si>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</si>
  <si>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</si>
  <si>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</si>
  <si>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</si>
  <si>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</si>
  <si>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</si>
  <si>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</si>
  <si>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</si>
  <si>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</si>
  <si>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</si>
  <si>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</si>
  <si>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</si>
  <si>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</si>
  <si>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</si>
  <si>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</si>
  <si>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</si>
  <si>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</si>
  <si>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</si>
  <si>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</si>
  <si>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</si>
  <si>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</si>
  <si>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</si>
  <si>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</si>
  <si>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</si>
  <si>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</si>
  <si>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</si>
  <si>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</si>
  <si>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</si>
  <si>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</si>
  <si>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</si>
  <si>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</si>
  <si>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</si>
  <si>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</si>
  <si>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</si>
  <si>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</si>
  <si>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</si>
  <si>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</si>
  <si>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</si>
  <si>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</si>
  <si>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</si>
  <si>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</si>
  <si>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</si>
  <si>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</si>
  <si>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</si>
  <si>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</si>
  <si>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</si>
  <si>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</si>
  <si>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</si>
  <si>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</si>
  <si>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</si>
  <si>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</si>
  <si>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</si>
  <si>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</si>
  <si>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</si>
  <si>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</si>
  <si>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</si>
  <si>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</si>
  <si>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</si>
  <si>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</si>
  <si>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</si>
  <si>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</si>
  <si>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</si>
  <si>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</si>
  <si>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</si>
  <si>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</si>
  <si>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</si>
  <si>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</si>
  <si>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</si>
  <si>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</si>
  <si>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</si>
  <si>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</si>
  <si>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</si>
  <si>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</si>
  <si>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</si>
  <si>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</si>
  <si>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</si>
  <si>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</si>
  <si>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</si>
  <si>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</si>
  <si>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</si>
  <si>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</si>
  <si>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</si>
  <si>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</si>
  <si>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</si>
  <si>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</si>
  <si>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</si>
  <si>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</si>
  <si>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</si>
  <si>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</si>
  <si>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</si>
  <si>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</si>
  <si>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</si>
  <si>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</si>
  <si>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</si>
  <si>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</si>
  <si>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</si>
  <si>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</si>
  <si>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</si>
  <si>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</si>
  <si>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</si>
  <si>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</si>
  <si>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</si>
  <si>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</si>
  <si>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</si>
  <si>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</si>
  <si>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</si>
  <si>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</si>
  <si>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</si>
  <si>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</si>
  <si>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</si>
  <si>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</si>
  <si>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</si>
  <si>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</si>
  <si>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</si>
  <si>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</si>
  <si>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</si>
  <si>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</si>
  <si>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</si>
  <si>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</si>
  <si>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</si>
  <si>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</si>
  <si>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</si>
  <si>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</si>
  <si>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</si>
  <si>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</si>
  <si>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</si>
  <si>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</si>
  <si>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</si>
  <si>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</si>
  <si>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</si>
  <si>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</si>
  <si>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</si>
  <si>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</si>
  <si>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</si>
  <si>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</si>
  <si>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</si>
  <si>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</si>
  <si>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</si>
  <si>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</si>
  <si>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</si>
  <si>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</si>
  <si>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</si>
  <si>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</si>
  <si>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</si>
  <si>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</si>
  <si>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</si>
  <si>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</si>
  <si>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</si>
  <si>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</si>
  <si>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</si>
  <si>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</si>
  <si>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</si>
  <si>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</si>
  <si>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</si>
  <si>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</si>
  <si>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</si>
  <si>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</si>
  <si>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</si>
  <si>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</si>
  <si>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</si>
  <si>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</si>
  <si>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</si>
  <si>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</si>
  <si>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</si>
  <si>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</si>
  <si>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</si>
  <si>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</si>
  <si>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</si>
  <si>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</si>
  <si>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</si>
  <si>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</si>
  <si>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</si>
  <si>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</si>
  <si>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</si>
  <si>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</si>
  <si>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</si>
  <si>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</si>
  <si>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</si>
  <si>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</si>
  <si>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</si>
  <si>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</si>
  <si>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</si>
  <si>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</si>
  <si>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</si>
  <si>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</si>
  <si>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</si>
  <si>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</si>
  <si>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</si>
  <si>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</si>
  <si>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</si>
  <si>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</si>
  <si>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</si>
  <si>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</si>
  <si>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</si>
  <si>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</si>
  <si>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</si>
  <si>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</si>
  <si>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</si>
  <si>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</si>
  <si>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</si>
  <si>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</si>
  <si>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</si>
  <si>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</si>
  <si>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</si>
  <si>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</si>
  <si>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</si>
  <si>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</si>
  <si>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</si>
  <si>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</si>
  <si>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</si>
  <si>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</si>
  <si>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</si>
  <si>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</si>
  <si>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</si>
  <si>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</si>
  <si>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</si>
  <si>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</si>
  <si>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</si>
  <si>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</si>
  <si>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</si>
  <si>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</si>
  <si>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</si>
  <si>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</si>
  <si>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</si>
  <si>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</si>
  <si>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</si>
  <si>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</si>
  <si>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</si>
  <si>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</si>
  <si>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</si>
  <si>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</si>
  <si>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</si>
  <si>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</si>
  <si>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</si>
  <si>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</si>
  <si>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</si>
  <si>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</si>
  <si>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</si>
  <si>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</si>
  <si>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</si>
  <si>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</si>
  <si>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</si>
  <si>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</si>
  <si>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</si>
  <si>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</si>
  <si>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</si>
  <si>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</si>
  <si>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</si>
  <si>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</si>
  <si>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</si>
  <si>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</si>
  <si>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</si>
  <si>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</si>
  <si>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</si>
  <si>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</si>
  <si>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</si>
  <si>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</si>
  <si>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</si>
  <si>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</si>
  <si>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</si>
  <si>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</si>
  <si>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</si>
  <si>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</si>
  <si>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</si>
  <si>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</si>
  <si>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</si>
  <si>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</si>
  <si>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</si>
  <si>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</si>
  <si>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</si>
  <si>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</si>
  <si>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</si>
  <si>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</si>
  <si>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</si>
  <si>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</si>
  <si>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</si>
  <si>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</si>
  <si>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</si>
  <si>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</si>
  <si>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</si>
  <si>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</si>
  <si>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</si>
  <si>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</si>
  <si>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</si>
  <si>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</si>
  <si>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</si>
  <si>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</si>
  <si>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</si>
  <si>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</si>
  <si>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</si>
  <si>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</si>
  <si>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</si>
  <si>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</si>
  <si>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</si>
  <si>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</si>
  <si>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</si>
  <si>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</si>
  <si>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</si>
  <si>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</si>
  <si>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</si>
  <si>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</si>
  <si>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</si>
  <si>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</si>
  <si>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</si>
  <si>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</si>
  <si>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</si>
  <si>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</si>
  <si>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</si>
  <si>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</si>
  <si>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</si>
  <si>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</si>
  <si>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</si>
  <si>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</si>
  <si>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</si>
  <si>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</si>
  <si>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</si>
  <si>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</si>
  <si>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</si>
  <si>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</si>
  <si>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</si>
  <si>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</si>
  <si>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</si>
  <si>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</si>
  <si>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</si>
  <si>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</si>
  <si>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</si>
  <si>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</si>
  <si>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</si>
  <si>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</si>
  <si>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</si>
  <si>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</si>
  <si>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</si>
  <si>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</si>
  <si>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</si>
  <si>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</si>
  <si>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</si>
  <si>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</si>
  <si>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</si>
  <si>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</si>
  <si>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</si>
  <si>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</si>
  <si>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</si>
  <si>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</si>
  <si>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</si>
  <si>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</si>
  <si>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</si>
  <si>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</si>
  <si>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</si>
  <si>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</si>
  <si>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</si>
  <si>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</si>
  <si>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</si>
  <si>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</si>
  <si>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</si>
  <si>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</si>
  <si>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</si>
  <si>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</si>
  <si>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</si>
  <si>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</si>
  <si>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</si>
  <si>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</si>
  <si>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</si>
  <si>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</si>
  <si>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</si>
  <si>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</si>
  <si>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</si>
  <si>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</si>
  <si>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</si>
  <si>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</si>
  <si>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</si>
  <si>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</si>
  <si>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</si>
  <si>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</si>
  <si>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</si>
  <si>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</si>
  <si>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</si>
  <si>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</si>
  <si>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</si>
  <si>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</si>
  <si>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</si>
  <si>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</si>
  <si>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</si>
  <si>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</si>
  <si>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</si>
  <si>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</si>
  <si>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</si>
  <si>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</si>
  <si>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</si>
  <si>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</si>
  <si>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</si>
  <si>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</si>
  <si>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</si>
  <si>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</si>
  <si>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</si>
  <si>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</si>
  <si>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</si>
  <si>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</si>
  <si>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</si>
  <si>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</si>
  <si>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</si>
  <si>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</si>
  <si>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</si>
  <si>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</si>
  <si>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</si>
  <si>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</si>
  <si>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</si>
  <si>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</si>
  <si>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</si>
  <si>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</si>
  <si>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</si>
  <si>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</si>
  <si>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</si>
  <si>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</si>
  <si>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</si>
  <si>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</si>
  <si>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</si>
  <si>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</si>
  <si>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</si>
  <si>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</si>
  <si>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</si>
  <si>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</si>
  <si>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</si>
  <si>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</si>
  <si>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</si>
  <si>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</si>
  <si>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</si>
  <si>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</si>
  <si>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</si>
  <si>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</si>
  <si>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</si>
  <si>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电子学</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</si>
  <si>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</si>
  <si>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</si>
  <si>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</si>
  <si>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</si>
  <si>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</si>
  <si>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</si>
  <si>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</si>
  <si>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</si>
  <si>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</si>
  <si>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</si>
  <si>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</si>
  <si>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</si>
  <si>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</si>
  <si>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</si>
  <si>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</si>
  <si>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</si>
  <si>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</si>
  <si>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</si>
  <si>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</si>
  <si>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</si>
  <si>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</si>
  <si>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</si>
  <si>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</si>
  <si>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</si>
  <si>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</si>
  <si>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</si>
  <si>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</si>
  <si>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</si>
  <si>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</si>
  <si>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</si>
  <si>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</si>
  <si>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</si>
  <si>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</si>
  <si>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</si>
  <si>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</si>
  <si>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</si>
  <si>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</si>
  <si>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</si>
  <si>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</si>
  <si>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</si>
  <si>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</si>
  <si>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</si>
  <si>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</si>
  <si>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</si>
  <si>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</si>
  <si>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</si>
  <si>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</si>
  <si>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</si>
  <si>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</si>
  <si>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</si>
  <si>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</si>
  <si>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</si>
  <si>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</si>
  <si>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</si>
  <si>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</si>
  <si>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</si>
  <si>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</si>
  <si>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</si>
  <si>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</si>
  <si>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</si>
  <si>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</si>
  <si>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</si>
  <si>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</si>
  <si>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</si>
  <si>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</si>
  <si>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</si>
  <si>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</si>
  <si>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</si>
  <si>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</si>
  <si>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</si>
  <si>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</si>
  <si>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</si>
  <si>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</si>
  <si>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</si>
  <si>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</si>
  <si>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</si>
  <si>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</si>
  <si>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</si>
  <si>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</si>
  <si>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</si>
  <si>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</si>
  <si>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</si>
  <si>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</si>
  <si>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</si>
  <si>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</si>
  <si>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</si>
  <si>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</si>
  <si>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</si>
  <si>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</si>
  <si>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</si>
  <si>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</si>
  <si>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</si>
  <si>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</si>
  <si>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</si>
  <si>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</si>
  <si>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</si>
  <si>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</si>
  <si>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</si>
  <si>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</si>
  <si>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</si>
  <si>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</si>
  <si>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</si>
  <si>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</si>
  <si>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</si>
  <si>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</si>
  <si>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</si>
  <si>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</si>
  <si>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</si>
  <si>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</si>
  <si>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</si>
  <si>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</si>
  <si>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</si>
  <si>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</si>
  <si>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</si>
  <si>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</si>
  <si>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</si>
  <si>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</si>
  <si>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</si>
  <si>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</si>
  <si>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</si>
  <si>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</si>
  <si>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</si>
  <si>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</si>
  <si>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</si>
  <si>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</si>
  <si>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</si>
  <si>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</si>
  <si>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</si>
  <si>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</si>
  <si>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</si>
  <si>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</si>
  <si>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</si>
  <si>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</si>
  <si>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</si>
  <si>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</si>
  <si>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</si>
  <si>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</si>
  <si>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</si>
  <si>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</si>
  <si>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</si>
  <si>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</si>
  <si>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</si>
  <si>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</si>
  <si>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</si>
  <si>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</si>
  <si>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</si>
  <si>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</si>
  <si>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</si>
  <si>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</si>
  <si>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</si>
  <si>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</si>
  <si>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</si>
  <si>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</si>
  <si>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</si>
  <si>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</si>
  <si>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</si>
  <si>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</si>
  <si>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</si>
  <si>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</si>
  <si>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</si>
  <si>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</si>
  <si>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</si>
  <si>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</si>
  <si>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</si>
  <si>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</si>
  <si>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</si>
  <si>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</si>
  <si>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</si>
  <si>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</si>
  <si>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</si>
  <si>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</si>
  <si>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</si>
  <si>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</si>
  <si>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</si>
  <si>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</si>
  <si>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</si>
  <si>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</si>
  <si>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</si>
  <si>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</si>
  <si>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</si>
  <si>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</si>
  <si>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</si>
  <si>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</si>
  <si>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</si>
  <si>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</si>
  <si>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</si>
  <si>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</si>
  <si>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</si>
  <si>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</si>
  <si>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</si>
  <si>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</si>
  <si>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</si>
  <si>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</si>
  <si>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</si>
  <si>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</si>
  <si>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</si>
  <si>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</si>
  <si>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</si>
  <si>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</si>
  <si>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</si>
  <si>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</si>
  <si>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</si>
  <si>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</si>
  <si>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</si>
  <si>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</si>
  <si>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</si>
  <si>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</si>
  <si>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</si>
  <si>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</si>
  <si>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</si>
  <si>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</si>
  <si>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</si>
  <si>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</si>
  <si>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</si>
  <si>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</si>
  <si>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</si>
  <si>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</si>
  <si>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</si>
  <si>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</si>
  <si>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</si>
  <si>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</si>
  <si>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</si>
  <si>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</si>
  <si>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</si>
  <si>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</si>
  <si>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</si>
  <si>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</si>
  <si>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</si>
  <si>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</si>
  <si>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</si>
  <si>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</si>
  <si>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</si>
  <si>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</si>
  <si>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</si>
  <si>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</si>
  <si>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</si>
  <si>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</si>
  <si>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</si>
  <si>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</si>
  <si>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</si>
  <si>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</si>
  <si>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</si>
  <si>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</si>
  <si>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</si>
  <si>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</si>
  <si>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</si>
  <si>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</si>
  <si>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</si>
  <si>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</si>
  <si>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</si>
  <si>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</si>
  <si>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</si>
  <si>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</si>
  <si>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</si>
  <si>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</si>
  <si>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</si>
  <si>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</si>
  <si>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</si>
  <si>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</si>
  <si>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</si>
  <si>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</si>
  <si>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</si>
  <si>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</si>
  <si>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</si>
  <si>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</si>
  <si>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</si>
  <si>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</si>
  <si>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</si>
  <si>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</si>
  <si>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</si>
  <si>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</si>
  <si>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</si>
  <si>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</si>
  <si>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</si>
  <si>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</si>
  <si>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</si>
  <si>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</si>
  <si>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</si>
  <si>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</si>
  <si>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</si>
  <si>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</si>
  <si>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</si>
  <si>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</si>
  <si>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</si>
  <si>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</si>
  <si>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</si>
  <si>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</si>
  <si>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</si>
  <si>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</si>
  <si>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</si>
  <si>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</si>
  <si>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</si>
  <si>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</si>
  <si>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</si>
  <si>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</si>
  <si>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</si>
  <si>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</si>
  <si>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</si>
  <si>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</si>
  <si>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</si>
  <si>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</si>
  <si>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</si>
  <si>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</si>
  <si>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</si>
  <si>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</si>
  <si>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</si>
  <si>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</si>
  <si>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</si>
  <si>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</si>
  <si>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</si>
  <si>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</si>
  <si>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</si>
  <si>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</si>
  <si>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</si>
  <si>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</si>
  <si>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</si>
  <si>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</si>
  <si>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</si>
  <si>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</si>
  <si>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</si>
  <si>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</si>
  <si>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</si>
  <si>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</si>
  <si>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</si>
  <si>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</si>
  <si>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</si>
  <si>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</si>
  <si>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</si>
  <si>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</si>
  <si>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</si>
  <si>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</si>
  <si>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</si>
  <si>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</si>
  <si>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</si>
  <si>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</si>
  <si>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</si>
  <si>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</si>
  <si>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</si>
  <si>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</si>
  <si>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</si>
  <si>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</si>
  <si>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</si>
  <si>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</si>
  <si>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</si>
  <si>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</si>
  <si>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</si>
  <si>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</si>
  <si>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</si>
  <si>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</si>
  <si>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</si>
  <si>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</si>
  <si>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</si>
  <si>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</si>
  <si>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</si>
  <si>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</si>
  <si>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</si>
  <si>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</si>
  <si>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</si>
  <si>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</si>
  <si>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</si>
  <si>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</si>
  <si>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</si>
  <si>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</si>
  <si>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</si>
  <si>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</si>
  <si>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</si>
  <si>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</si>
  <si>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</si>
  <si>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</si>
  <si>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</si>
  <si>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</si>
  <si>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</si>
  <si>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</si>
  <si>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</si>
  <si>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</si>
  <si>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</si>
  <si>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</si>
  <si>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</si>
  <si>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</si>
  <si>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</si>
  <si>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</si>
  <si>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</si>
  <si>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</si>
  <si>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</si>
  <si>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</si>
  <si>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</si>
  <si>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</si>
  <si>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</si>
  <si>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</si>
  <si>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</si>
  <si>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</si>
  <si>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</si>
  <si>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</si>
  <si>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</si>
  <si>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</si>
  <si>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</si>
  <si>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</si>
  <si>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</si>
  <si>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</si>
  <si>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</si>
  <si>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</si>
  <si>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</si>
  <si>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</si>
  <si>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</si>
  <si>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</si>
  <si>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</si>
  <si>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</si>
  <si>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</si>
  <si>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</si>
  <si>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</si>
  <si>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</si>
  <si>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</si>
  <si>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</si>
  <si>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</si>
  <si>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</si>
  <si>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</si>
  <si>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</si>
  <si>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</si>
  <si>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</si>
  <si>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</si>
  <si>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</si>
  <si>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</si>
  <si>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</si>
  <si>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</si>
  <si>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</si>
  <si>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</si>
  <si>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</si>
  <si>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</si>
  <si>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</si>
  <si>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</si>
  <si>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</si>
  <si>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</si>
  <si>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</si>
  <si>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</si>
  <si>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</si>
  <si>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</si>
  <si>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</si>
  <si>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</si>
  <si>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</si>
  <si>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</si>
  <si>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</si>
  <si>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</si>
  <si>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</si>
  <si>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</si>
  <si>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</si>
  <si>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</si>
  <si>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</si>
  <si>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</si>
  <si>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</si>
  <si>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</si>
  <si>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</si>
  <si>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</si>
  <si>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</si>
  <si>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</si>
  <si>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</si>
  <si>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</si>
  <si>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</si>
  <si>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</si>
  <si>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</si>
  <si>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</si>
  <si>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</si>
  <si>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</si>
  <si>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</si>
  <si>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</si>
  <si>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</si>
  <si>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</si>
  <si>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</si>
  <si>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</si>
  <si>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</si>
  <si>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</si>
  <si>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</si>
  <si>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</si>
  <si>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</si>
  <si>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</si>
  <si>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</si>
  <si>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</si>
  <si>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</si>
  <si>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</si>
  <si>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</si>
  <si>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</si>
  <si>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</si>
  <si>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</si>
  <si>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</si>
  <si>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</si>
  <si>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</si>
  <si>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</si>
  <si>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</si>
  <si>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</si>
  <si>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</si>
  <si>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</si>
  <si>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</si>
  <si>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</si>
  <si>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</si>
  <si>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</si>
  <si>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</si>
  <si>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</si>
  <si>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</si>
  <si>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</si>
  <si>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</si>
  <si>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</si>
  <si>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</si>
  <si>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</si>
  <si>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</si>
  <si>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</si>
  <si>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</si>
  <si>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</si>
  <si>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</si>
  <si>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</si>
  <si>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</si>
  <si>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</si>
  <si>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</si>
  <si>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</si>
  <si>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</si>
  <si>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</si>
  <si>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</si>
  <si>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</si>
  <si>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</si>
  <si>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</si>
  <si>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</si>
  <si>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</si>
  <si>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</si>
  <si>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</si>
  <si>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</si>
  <si>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</si>
  <si>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</si>
  <si>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</si>
  <si>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</si>
  <si>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</si>
  <si>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</si>
  <si>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</si>
  <si>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</si>
  <si>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</si>
  <si>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</si>
  <si>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</si>
  <si>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</si>
  <si>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</si>
  <si>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</si>
  <si>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</si>
  <si>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</si>
  <si>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</si>
  <si>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</si>
  <si>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</si>
  <si>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</si>
  <si>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</si>
  <si>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</si>
  <si>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</si>
  <si>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</si>
  <si>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</si>
  <si>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</si>
  <si>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</si>
  <si>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</si>
  <si>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</si>
  <si>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</si>
  <si>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</si>
  <si>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</si>
  <si>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</si>
  <si>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</si>
  <si>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</si>
  <si>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</si>
  <si>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</si>
  <si>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</si>
  <si>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</si>
  <si>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</si>
  <si>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</si>
  <si>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</si>
  <si>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</si>
  <si>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</si>
  <si>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</si>
  <si>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</si>
  <si>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</si>
  <si>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</si>
  <si>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</si>
  <si>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</si>
  <si>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</si>
  <si>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</si>
  <si>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</si>
  <si>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</si>
  <si>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</si>
  <si>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</si>
  <si>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</si>
  <si>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</si>
  <si>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</si>
  <si>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</si>
  <si>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</si>
  <si>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</si>
  <si>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</si>
  <si>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</si>
  <si>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</si>
  <si>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</si>
  <si>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</si>
  <si>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</si>
  <si>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</si>
  <si>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</si>
  <si>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</si>
  <si>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</si>
  <si>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</si>
  <si>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</si>
  <si>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</si>
  <si>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</si>
  <si>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</si>
  <si>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</si>
  <si>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</si>
  <si>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</si>
  <si>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</si>
  <si>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</si>
  <si>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</si>
  <si>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</si>
  <si>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</si>
  <si>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</si>
  <si>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</si>
  <si>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</si>
  <si>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</si>
  <si>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</si>
  <si>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</si>
  <si>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</si>
  <si>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</si>
  <si>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</si>
  <si>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</si>
  <si>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</si>
  <si>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</si>
  <si>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</si>
  <si>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</si>
  <si>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</si>
  <si>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</si>
  <si>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</si>
  <si>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</si>
  <si>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</si>
  <si>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</si>
  <si>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</si>
  <si>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</si>
  <si>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</si>
  <si>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</si>
  <si>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</si>
  <si>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</si>
  <si>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</si>
  <si>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</si>
  <si>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</si>
  <si>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</si>
  <si>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</si>
  <si>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</si>
  <si>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</si>
  <si>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</si>
  <si>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</si>
  <si>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</si>
  <si>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</si>
  <si>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</si>
  <si>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</si>
  <si>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</si>
  <si>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</si>
  <si>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</si>
  <si>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</si>
  <si>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</si>
  <si>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</si>
  <si>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</si>
  <si>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</si>
  <si>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</si>
  <si>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</si>
  <si>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</si>
  <si>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</si>
  <si>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</si>
  <si>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</si>
  <si>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</si>
  <si>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</si>
  <si>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</si>
  <si>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</si>
  <si>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</si>
  <si>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</si>
  <si>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</si>
  <si>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</si>
  <si>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</si>
  <si>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</si>
  <si>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</si>
  <si>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</si>
  <si>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</si>
  <si>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</si>
  <si>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</si>
  <si>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</si>
  <si>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</si>
  <si>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</si>
  <si>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</si>
  <si>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</si>
  <si>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</si>
  <si>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</si>
  <si>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</si>
  <si>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</si>
  <si>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</si>
  <si>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</si>
  <si>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</si>
  <si>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</si>
  <si>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</si>
  <si>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</si>
  <si>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</si>
  <si>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</si>
  <si>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</si>
  <si>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</si>
  <si>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</si>
  <si>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</si>
  <si>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</si>
  <si>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</si>
  <si>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</si>
  <si>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</si>
  <si>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</si>
  <si>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</si>
  <si>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</si>
  <si>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</si>
  <si>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</si>
  <si>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</si>
  <si>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</si>
  <si>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</si>
  <si>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</si>
  <si>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</si>
  <si>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</si>
  <si>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</si>
  <si>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</si>
  <si>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</si>
  <si>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</si>
  <si>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</si>
  <si>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</si>
  <si>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</si>
  <si>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</si>
  <si>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</si>
  <si>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</si>
  <si>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</si>
  <si>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</si>
  <si>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</si>
  <si>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</si>
  <si>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</si>
  <si>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</si>
  <si>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</si>
  <si>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</si>
  <si>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</si>
  <si>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</si>
  <si>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</si>
  <si>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</si>
  <si>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</si>
  <si>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</si>
  <si>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</si>
  <si>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</si>
  <si>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</si>
  <si>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</si>
  <si>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</si>
  <si>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</si>
  <si>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</si>
  <si>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</si>
  <si>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</si>
  <si>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</si>
  <si>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</si>
  <si>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</si>
  <si>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</si>
  <si>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</si>
  <si>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</si>
  <si>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</si>
  <si>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</si>
  <si>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</si>
  <si>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</si>
  <si>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</si>
  <si>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</si>
  <si>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</si>
  <si>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</si>
  <si>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</si>
  <si>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</si>
  <si>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</si>
  <si>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</si>
  <si>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</si>
  <si>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</si>
  <si>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</si>
  <si>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</si>
  <si>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</si>
  <si>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</si>
  <si>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</si>
  <si>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</si>
  <si>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</si>
  <si>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</si>
  <si>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</si>
  <si>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</si>
  <si>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</si>
  <si>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</si>
  <si>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</si>
  <si>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</si>
  <si>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</si>
  <si>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</si>
  <si>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</si>
  <si>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</si>
  <si>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</si>
  <si>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</si>
  <si>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</si>
  <si>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</si>
  <si>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</si>
  <si>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</si>
  <si>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</si>
  <si>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</si>
  <si>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</si>
  <si>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</si>
  <si>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</si>
  <si>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</si>
  <si>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</si>
  <si>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</si>
  <si>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</si>
  <si>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</si>
  <si>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</si>
  <si>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</si>
  <si>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</si>
  <si>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</si>
  <si>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</si>
  <si>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</si>
  <si>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</si>
  <si>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</si>
  <si>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</si>
  <si>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</si>
  <si>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</si>
  <si>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</si>
  <si>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</si>
  <si>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</si>
  <si>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</si>
  <si>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</si>
  <si>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</si>
  <si>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</si>
  <si>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</si>
  <si>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</si>
  <si>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</si>
  <si>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</si>
  <si>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</si>
  <si>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</si>
  <si>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</si>
  <si>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</si>
  <si>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</si>
  <si>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</si>
  <si>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</si>
  <si>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</si>
  <si>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</si>
  <si>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</si>
  <si>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</si>
  <si>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</si>
  <si>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</si>
  <si>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</si>
  <si>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</si>
  <si>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</si>
  <si>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</si>
  <si>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</si>
  <si>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</si>
  <si>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</si>
  <si>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</si>
  <si>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</si>
  <si>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</si>
  <si>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</si>
  <si>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</si>
  <si>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</si>
  <si>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</si>
  <si>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</si>
  <si>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</si>
  <si>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</si>
  <si>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</si>
  <si>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</si>
  <si>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</si>
  <si>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</si>
  <si>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</si>
  <si>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</si>
  <si>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</si>
  <si>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</si>
  <si>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检定与对抗</t>
  </si>
  <si>
    <t>追逐</t>
  </si>
  <si>
    <t>毅力与劳累</t>
  </si>
  <si>
    <t>战斗流程</t>
  </si>
  <si>
    <t>防御</t>
  </si>
  <si>
    <t>伤害与治疗</t>
  </si>
  <si>
    <t>致死与护甲</t>
  </si>
  <si>
    <t>射击模式</t>
  </si>
  <si>
    <t>其他伤害</t>
  </si>
  <si>
    <t>理智与疯狂</t>
  </si>
  <si>
    <t>创建创伤</t>
  </si>
  <si>
    <t>使用说明</t>
  </si>
  <si>
    <t>绿色三角洲关系</t>
  </si>
  <si>
    <t>大失败后果示例</t>
  </si>
  <si>
    <t>搜捕</t>
  </si>
  <si>
    <t>审讯</t>
  </si>
  <si>
    <t>医疗救治</t>
  </si>
  <si>
    <t>破坏证据</t>
  </si>
  <si>
    <t>处理尸体</t>
  </si>
  <si>
    <t>警察执法权限</t>
  </si>
  <si>
    <t>秘密行动</t>
  </si>
  <si>
    <t>监控行动</t>
  </si>
  <si>
    <t>追踪</t>
  </si>
  <si>
    <t>破门潜入行动</t>
  </si>
  <si>
    <t>战斗防护</t>
  </si>
  <si>
    <t>灼烧</t>
  </si>
  <si>
    <t>身体护甲</t>
  </si>
  <si>
    <t>地面载具</t>
  </si>
  <si>
    <t>水路载具</t>
  </si>
  <si>
    <t>空中载具</t>
  </si>
  <si>
    <t>护甲与开销</t>
  </si>
  <si>
    <t>申请总结</t>
  </si>
  <si>
    <t>徒手武器</t>
  </si>
  <si>
    <t>催泪瓦斯和胡椒喷雾</t>
  </si>
  <si>
    <t>震撼弹</t>
  </si>
  <si>
    <t>电击武器</t>
  </si>
  <si>
    <t>枪械</t>
  </si>
  <si>
    <t>重型武器续表</t>
  </si>
  <si>
    <t>爆炸物</t>
  </si>
  <si>
    <t>理智损失｜非自然现象</t>
  </si>
  <si>
    <t>理智损失｜经受暴力</t>
  </si>
  <si>
    <t>理智损失｜施行暴力</t>
  </si>
  <si>
    <t>理智损失｜无力感来源</t>
  </si>
  <si>
    <t>战斗修正</t>
  </si>
  <si>
    <t>毒素示例</t>
  </si>
  <si>
    <t>疾病示例</t>
  </si>
  <si>
    <t>装备权衡</t>
  </si>
  <si>
    <t>监控装备</t>
  </si>
  <si>
    <t>照明与视野</t>
  </si>
  <si>
    <t>破门潜入装备</t>
  </si>
  <si>
    <t>急救和生存</t>
  </si>
  <si>
    <t>地下医疗</t>
  </si>
  <si>
    <t>武器配件</t>
  </si>
  <si>
    <t>执法机构申请</t>
  </si>
  <si>
    <t>交通工具</t>
  </si>
  <si>
    <t>住宿</t>
  </si>
  <si>
    <t>身份与背景伪造</t>
  </si>
  <si>
    <t>储存</t>
  </si>
  <si>
    <t>镣铐机具</t>
  </si>
  <si>
    <t>研究</t>
  </si>
  <si>
    <t>通讯与计算机</t>
  </si>
  <si>
    <t>军事部门申请</t>
  </si>
  <si>
    <t>仅限正式申请</t>
  </si>
  <si>
    <t>情报部门申请</t>
  </si>
  <si>
    <t>公共安全申请</t>
  </si>
  <si>
    <t>分类</t>
  </si>
  <si>
    <t>条目</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</si>
  <si>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</si>
  <si>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</si>
  <si>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</si>
  <si>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</si>
  <si>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</si>
  <si>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</si>
  <si>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</si>
  <si>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</si>
  <si>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</si>
  <si>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</si>
  <si>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</si>
  <si>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</si>
  <si>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</si>
  <si>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</si>
  <si>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</si>
  <si>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</si>
  <si>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</si>
  <si>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</si>
  <si>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</si>
  <si>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</si>
  <si>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</si>
  <si>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</si>
  <si>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精疲力尽</t>
  </si>
  <si>
    <t>先损失1D6毅力；由掌局者判定所有技能、属性和理智检定−10%或−20%。再次彻夜不眠/高强度工作再损失1D6毅力；一整晚睡眠消除状态。</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</si>
  <si>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</si>
  <si>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</si>
  <si>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</si>
  <si>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</si>
  <si>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</si>
  <si>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</si>
  <si>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</si>
  <si>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</si>
  <si>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</si>
  <si>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</si>
  <si>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</si>
  <si>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</si>
  <si>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</si>
  <si>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</si>
  <si>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</si>
  <si>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</si>
  <si>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</si>
  <si>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</si>
  <si>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</si>
  <si>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</si>
  <si>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</si>
  <si>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</si>
  <si>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</si>
  <si>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</si>
  <si>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</si>
  <si>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</si>
  <si>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</si>
  <si>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</si>
  <si>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</si>
  <si>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</si>
  <si>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</si>
  <si>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</si>
  <si>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</si>
  <si>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</si>
  <si>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</si>
  <si>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</si>
  <si>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</si>
  <si>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</si>
  <si>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</si>
  <si>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</si>
  <si>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</si>
  <si>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</si>
  <si>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</si>
  <si>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</si>
  <si>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</si>
  <si>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击杀半径</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</si>
  <si>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</si>
  <si>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</si>
  <si>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</si>
  <si>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</si>
  <si>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</si>
  <si>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</si>
  <si>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</si>
  <si>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</si>
  <si>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</si>
  <si>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</si>
  <si>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</si>
  <si>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</si>
  <si>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</si>
  <si>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</si>
  <si>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</si>
  <si>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</si>
  <si>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</si>
  <si>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</si>
  <si>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</si>
  <si>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</si>
  <si>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</si>
  <si>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</si>
  <si>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</si>
  <si>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</si>
  <si>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</si>
  <si>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</si>
  <si>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</si>
  <si>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</si>
  <si>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</si>
  <si>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</si>
  <si>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</si>
  <si>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</si>
  <si>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</si>
  <si>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</si>
  <si>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</si>
  <si>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</si>
  <si>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</si>
  <si>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</si>
  <si>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</si>
  <si>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</si>
  <si>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</si>
  <si>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</si>
  <si>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</si>
  <si>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</si>
  <si>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</si>
  <si>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</si>
  <si>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</si>
  <si>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页码与开销用词</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</si>
  <si>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</si>
  <si>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</si>
  <si>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</si>
  <si>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</si>
  <si>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</si>
  <si>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</si>
  <si>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</si>
  <si>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</si>
  <si>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</si>
  <si>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</si>
  <si>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</si>
  <si>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</si>
  <si>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</si>
  <si>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</si>
  <si>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</si>
  <si>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</si>
  <si>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</si>
  <si>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</si>
  <si>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</si>
  <si>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</si>
  <si>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</si>
  <si>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</si>
  <si>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</si>
  <si>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</si>
  <si>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</si>
  <si>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</si>
  <si>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</si>
  <si>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</si>
  <si>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</si>
  <si>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</si>
  <si>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</si>
  <si>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</si>
  <si>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</si>
  <si>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</si>
  <si>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</si>
  <si>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</si>
  <si>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为逮捕嫌疑人或获取搜查令想出合适的借口</t>
  </si>
  <si>
    <t>所需技能：法律；可能的对抗技能：法律</t>
  </si>
  <si>
    <t>想出可能促使对象配合的方法</t>
  </si>
  <si>
    <t>所需技能：人源情报；可能的对抗技能：说服</t>
  </si>
  <si>
    <t>说服对象吐露信息</t>
  </si>
  <si>
    <t>所需技能：说服；可能的对抗技能：说服</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</si>
  <si>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</si>
  <si>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</si>
  <si>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</si>
  <si>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</si>
  <si>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</si>
  <si>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</si>
  <si>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</si>
  <si>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</si>
  <si>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</si>
  <si>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</si>
  <si>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</si>
  <si>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</si>
  <si>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</si>
  <si>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</si>
  <si>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</si>
  <si>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</si>
  <si>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</si>
  <si>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</si>
  <si>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</si>
  <si>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</si>
  <si>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</si>
  <si>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</si>
  <si>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</si>
  <si>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</si>
  <si>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</si>
  <si>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</si>
  <si>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</si>
  <si>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</si>
  <si>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</si>
  <si>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</si>
  <si>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</si>
  <si>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</si>
  <si>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</si>
  <si>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</si>
  <si>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</si>
  <si>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</si>
  <si>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</si>
  <si>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</si>
  <si>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</si>
  <si>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</si>
  <si>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</si>
  <si>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</si>
  <si>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</si>
  <si>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</si>
  <si>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</si>
  <si>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</si>
  <si>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</si>
  <si>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</si>
  <si>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</si>
  <si>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</si>
  <si>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</si>
  <si>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</si>
  <si>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</si>
  <si>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</si>
  <si>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</si>
  <si>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</si>
  <si>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</si>
  <si>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</si>
  <si>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</si>
  <si>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</si>
  <si>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</si>
  <si>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</si>
  <si>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跑步追赶或逃逸</t>
  </si>
  <si>
    <t>所需技能：运动；可能的对抗技能：运动</t>
  </si>
  <si>
    <t>驾驶追赶或逃逸</t>
  </si>
  <si>
    <t>所需技能：机动车驾驶或特种载具；可能的对抗技能：机动车驾驶或特种载具</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</si>
  <si>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</si>
  <si>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</si>
  <si>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</si>
  <si>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</si>
  <si>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</si>
  <si>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</si>
  <si>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</si>
  <si>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</si>
  <si>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</si>
  <si>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</si>
  <si>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</si>
  <si>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</si>
  <si>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</si>
  <si>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</si>
  <si>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</si>
  <si>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</si>
  <si>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</si>
  <si>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</si>
  <si>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轻微</t>
  </si>
  <si>
    <t>示例：蜡烛；伤害：每轮 1 点</t>
  </si>
  <si>
    <t>中等</t>
  </si>
  <si>
    <t>示例：火把；短暂暴露于更大的火中；伤害：每轮 1D6</t>
  </si>
  <si>
    <t>强烈</t>
  </si>
  <si>
    <t>示例：营火；伤害：每轮 2D6</t>
  </si>
  <si>
    <t>示例：滚烫的蒸汽；篝火；高炉；伤害：每轮 10% 致死</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</si>
  <si>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</si>
  <si>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</si>
  <si>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</si>
  <si>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</si>
  <si>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</si>
  <si>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</si>
  <si>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</si>
  <si>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</si>
  <si>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</si>
  <si>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</si>
  <si>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</si>
  <si>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</si>
  <si>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</si>
  <si>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</si>
  <si>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</si>
  <si>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</si>
  <si>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</si>
  <si>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</si>
  <si>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</si>
  <si>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</si>
  <si>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</si>
  <si>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</si>
  <si>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</si>
  <si>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</si>
  <si>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</si>
  <si>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</si>
  <si>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</si>
  <si>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</si>
  <si>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</si>
  <si>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</si>
  <si>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</si>
  <si>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</si>
  <si>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</si>
  <si>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</si>
  <si>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</si>
  <si>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</si>
  <si>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</si>
  <si>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</si>
  <si>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</si>
  <si>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</si>
  <si>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</si>
  <si>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</si>
  <si>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</si>
  <si>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</si>
  <si>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</si>
  <si>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</si>
  <si>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</si>
  <si>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</si>
  <si>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</si>
  <si>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</si>
  <si>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</si>
  <si>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</si>
  <si>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</si>
  <si>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</si>
  <si>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</si>
  <si>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</si>
  <si>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</si>
  <si>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</si>
  <si>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</si>
  <si>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</si>
  <si>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</si>
  <si>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</si>
  <si>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</si>
  <si>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</si>
  <si>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</si>
  <si>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</si>
  <si>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</si>
  <si>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</si>
  <si>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</si>
  <si>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</si>
  <si>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</si>
  <si>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</si>
  <si>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</si>
  <si>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</si>
  <si>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</si>
  <si>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</si>
  <si>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</si>
  <si>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</si>
  <si>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</si>
  <si>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</si>
  <si>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</si>
  <si>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</si>
  <si>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</si>
  <si>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</si>
  <si>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</si>
  <si>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</si>
  <si>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</si>
  <si>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</si>
  <si>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</si>
  <si>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</si>
  <si>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</si>
  <si>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</si>
  <si>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</si>
  <si>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</si>
  <si>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</si>
  <si>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</si>
  <si>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</si>
  <si>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</si>
  <si>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</si>
  <si>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</si>
  <si>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</si>
  <si>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</si>
  <si>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</si>
  <si>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</si>
  <si>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</si>
  <si>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</si>
  <si>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</si>
  <si>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</si>
  <si>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</si>
  <si>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</si>
  <si>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</si>
  <si>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</si>
  <si>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</si>
  <si>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</si>
  <si>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</si>
  <si>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</si>
  <si>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</si>
  <si>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</si>
  <si>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</si>
  <si>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</si>
  <si>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</si>
  <si>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</si>
  <si>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</si>
  <si>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</si>
  <si>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</si>
  <si>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</si>
  <si>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</si>
  <si>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</si>
  <si>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</si>
  <si>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</si>
  <si>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</si>
  <si>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</si>
  <si>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</si>
  <si>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</si>
  <si>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</si>
  <si>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</si>
  <si>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</si>
  <si>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</si>
  <si>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</si>
  <si>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</si>
  <si>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</si>
  <si>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</si>
  <si>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</si>
  <si>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</si>
  <si>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</si>
  <si>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</si>
  <si>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</si>
  <si>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</si>
  <si>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</si>
  <si>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</si>
  <si>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</si>
  <si>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</si>
  <si>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</si>
  <si>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</si>
  <si>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</si>
  <si>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</si>
  <si>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</si>
  <si>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</si>
  <si>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</si>
  <si>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</si>
  <si>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</si>
  <si>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</si>
  <si>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</si>
  <si>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</si>
  <si>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</si>
  <si>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</si>
  <si>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</si>
  <si>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</si>
  <si>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</si>
  <si>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</si>
  <si>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</si>
  <si>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</si>
  <si>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</si>
  <si>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</si>
  <si>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</si>
  <si>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</si>
  <si>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</si>
  <si>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</si>
  <si>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</si>
  <si>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</si>
  <si>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</si>
  <si>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</si>
  <si>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</si>
  <si>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</si>
  <si>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</si>
  <si>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</si>
  <si>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</si>
  <si>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</si>
  <si>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</si>
  <si>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</si>
  <si>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</si>
  <si>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</si>
  <si>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</si>
  <si>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</si>
  <si>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</si>
  <si>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</si>
  <si>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</si>
  <si>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</si>
  <si>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</si>
  <si>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</si>
  <si>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</si>
  <si>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</si>
  <si>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</si>
  <si>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</si>
  <si>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</si>
  <si>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</si>
  <si>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</si>
  <si>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</si>
  <si>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</si>
  <si>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</si>
  <si>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</si>
  <si>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</si>
  <si>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</si>
  <si>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</si>
  <si>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</si>
  <si>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</si>
  <si>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</si>
  <si>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</si>
  <si>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</si>
  <si>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</si>
  <si>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</si>
  <si>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</si>
  <si>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</si>
  <si>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</si>
  <si>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</si>
  <si>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</si>
  <si>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</si>
  <si>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</si>
  <si>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</si>
  <si>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</si>
  <si>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</si>
  <si>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</si>
  <si>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</si>
  <si>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</si>
  <si>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</si>
  <si>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</si>
  <si>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</si>
  <si>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</si>
  <si>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</si>
  <si>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</si>
  <si>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</si>
  <si>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</si>
  <si>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</si>
  <si>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</si>
  <si>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</si>
  <si>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</si>
  <si>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</si>
  <si>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</si>
  <si>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</si>
  <si>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</si>
  <si>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</si>
  <si>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</si>
  <si>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</si>
  <si>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</si>
  <si>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</si>
  <si>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</si>
  <si>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</si>
  <si>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</si>
  <si>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</si>
  <si>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</si>
  <si>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</si>
  <si>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</si>
  <si>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</si>
  <si>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</si>
  <si>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</si>
  <si>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</si>
  <si>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</si>
  <si>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</si>
  <si>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</si>
  <si>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</si>
  <si>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</si>
  <si>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</si>
  <si>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</si>
  <si>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</si>
  <si>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</si>
  <si>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</si>
  <si>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</si>
  <si>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</si>
  <si>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</si>
  <si>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</si>
  <si>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</si>
  <si>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</si>
  <si>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</si>
  <si>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</si>
  <si>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</si>
  <si>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</si>
  <si>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</si>
  <si>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</si>
  <si>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</si>
  <si>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</si>
  <si>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</si>
  <si>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</si>
  <si>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</si>
  <si>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</si>
  <si>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</si>
  <si>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</si>
  <si>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</si>
  <si>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</si>
  <si>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</si>
  <si>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</si>
  <si>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</si>
  <si>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</si>
  <si>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</si>
  <si>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</si>
  <si>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</si>
  <si>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</si>
  <si>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</si>
  <si>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</si>
  <si>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</si>
  <si>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</si>
  <si>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</si>
  <si>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开锁套件</t>
  </si>
  <si>
    <t>哈利根撬棍</t>
  </si>
  <si>
    <t>通过较为结实的障碍物时需要进行力量检定。</t>
  </si>
  <si>
    <t>抖锁器</t>
  </si>
  <si>
    <t>仅适用于简单的弹簧锁。</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</si>
  <si>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</si>
  <si>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</si>
  <si>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</si>
  <si>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</si>
  <si>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</si>
  <si>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</si>
  <si>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</si>
  <si>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</si>
  <si>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</si>
  <si>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</si>
  <si>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</si>
  <si>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</si>
  <si>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</si>
  <si>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</si>
  <si>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</si>
  <si>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</si>
  <si>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</si>
  <si>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</si>
  <si>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</si>
  <si>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</si>
  <si>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</si>
  <si>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</si>
  <si>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</si>
  <si>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</si>
  <si>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</si>
  <si>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</si>
  <si>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</si>
  <si>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</si>
  <si>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</si>
  <si>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</si>
  <si>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</si>
  <si>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</si>
  <si>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</si>
  <si>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</si>
  <si>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</si>
  <si>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</si>
  <si>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</si>
  <si>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</si>
  <si>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</si>
  <si>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</si>
  <si>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</si>
  <si>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</si>
  <si>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</si>
  <si>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</si>
  <si>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</si>
  <si>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</si>
  <si>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访问非机密但受限制的文件，诸如刑事或财务记录</t>
  </si>
  <si>
    <t>无理由地将一名囚犯关押 24 小时</t>
  </si>
  <si>
    <t>借用 1 天机构用车，巡逻车或 SUV</t>
  </si>
  <si>
    <t>请求获取不相关案件的资料</t>
  </si>
  <si>
    <t>使用无人机监控嫌疑人 1 到 2 天</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</si>
  <si>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</si>
  <si>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</si>
  <si>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</si>
  <si>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</si>
  <si>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</si>
  <si>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</si>
  <si>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</si>
  <si>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廉价汽车旅馆住宿 1 到 2 晚</t>
  </si>
  <si>
    <t>汽车旅馆住宿一周或短租公寓</t>
  </si>
  <si>
    <t>星级酒店住宿一周</t>
  </si>
  <si>
    <t>高档度假村住宿一周</t>
  </si>
  <si>
    <t>最高档度假圣地享受私人食宿</t>
  </si>
  <si>
    <t>伪造的护照或身份证明文件</t>
  </si>
  <si>
    <t>需要正式申请或犯罪学来找到可靠来源。</t>
  </si>
  <si>
    <t>G-7 国家的伪造护照（加拿大，欧盟，日本，美国，英国）</t>
  </si>
  <si>
    <t>全新的合法身份证明</t>
  </si>
  <si>
    <t>公共储存柜，一个月</t>
  </si>
  <si>
    <t>公共储存柜，一年</t>
  </si>
  <si>
    <t>大型公共储存柜，一年</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</si>
  <si>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</si>
  <si>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</si>
  <si>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</si>
  <si>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</si>
  <si>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</si>
  <si>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</si>
  <si>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</si>
  <si>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</si>
  <si>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</si>
  <si>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</si>
  <si>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</si>
  <si>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</si>
  <si>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</si>
  <si>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</si>
  <si>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</si>
  <si>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</si>
  <si>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</si>
  <si>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</si>
  <si>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</si>
  <si>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</si>
  <si>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</si>
  <si>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</si>
  <si>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</si>
  <si>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</si>
  <si>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</si>
  <si>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</si>
  <si>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</si>
  <si>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</si>
  <si>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</si>
  <si>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</si>
  <si>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</si>
  <si>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</si>
  <si>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</si>
  <si>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</si>
  <si>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</si>
  <si>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</si>
  <si>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</si>
  <si>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在已安排好的支援航班上保有一个座位（仅限有多余座位时）</t>
  </si>
  <si>
    <t>呼叫一支特种作战小队进行安保或撤离行动</t>
  </si>
  <si>
    <t>直升机支援（运载或监控）</t>
  </si>
  <si>
    <t>导弹空袭</t>
  </si>
  <si>
    <t>这些执法机构，军事，情报部门和公共安全的项目是无法购买的。这里的“开销”代表通过行政或军事科学技能获取的难度等级，审批所需时间，以及可能招致的官方审查的严重程度。</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</si>
  <si>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</si>
  <si>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</si>
  <si>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</si>
  <si>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</si>
  <si>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</si>
  <si>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</si>
  <si>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</si>
  <si>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</si>
  <si>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</si>
  <si>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</si>
  <si>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</si>
  <si>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访问特工职责之外的敏感文件</t>
  </si>
  <si>
    <t>向地方执法机构提出逮捕申请（以正当理由）</t>
  </si>
  <si>
    <t>以所谓的环境犯罪为名义，获取进入工地的许可</t>
  </si>
  <si>
    <t>临时性地关闭一处工地进行环境犯罪调查</t>
  </si>
  <si>
    <t>隔离一块区域</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</si>
  <si>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</si>
  <si>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</si>
  <si>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</si>
  <si>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</si>
  <si>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</si>
  <si>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</si>
  <si>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</si>
  <si>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</si>
  <si>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</si>
  <si>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</si>
  <si>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</si>
  <si>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</si>
  <si>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</si>
  <si>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</si>
  <si>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</si>
  <si>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</si>
  <si>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</si>
  <si>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</si>
  <si>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</si>
  <si>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</si>
  <si>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</si>
  <si>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</si>
  <si>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</si>
  <si>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</si>
  <si>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</si>
  <si>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</si>
  <si>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10. 外观描述</t>
  </si>
  <si>
    <t>13. 未引起疯狂的理智损失次数</t>
  </si>
  <si>
    <t>技能（括号内为基础等级）</t>
  </si>
  <si>
    <t>%</t>
  </si>
  <si>
    <t>体力最大值＝（力量＋体质）÷2，向上取整；毅力最大值＝意志；理智最大值＝99－非自然知识；关系6—7见背面。</t>
  </si>
  <si>
    <t>TOP SECRET//ORCON//SPECIAL ACCESS REQUIRED—DELTA GREEN  ·  本作品纯属虚构</t>
  </si>
  <si>
    <t>14. 伤口与病痛</t>
  </si>
  <si>
    <t>上次受伤后是否接受过急救？  ☐ 是：仅能通过医学、手术或长期休养来得到进一步改进。</t>
  </si>
  <si>
    <t>15. 护甲与装备</t>
  </si>
  <si>
    <t>身体护甲能降低各种攻击的伤害，除了精准射击及检定成功的致死攻击。</t>
  </si>
  <si>
    <t>16.</t>
  </si>
  <si>
    <t>武器</t>
  </si>
  <si>
    <t>技能 %</t>
  </si>
  <si>
    <t>伤害</t>
  </si>
  <si>
    <t>护甲穿透</t>
  </si>
  <si>
    <t>致死等级</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</si>
  <si>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</si>
  <si>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</si>
  <si>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</si>
  <si>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</si>
  <si>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</si>
  <si>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</si>
  <si>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</si>
  <si>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</si>
  <si>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</si>
  <si>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</si>
  <si>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</si>
  <si>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</si>
  <si>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</si>
  <si>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</si>
  <si>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</si>
  <si>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</si>
  <si>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</si>
  <si>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</si>
  <si>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</si>
  <si>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</si>
  <si>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本作品纯属虚构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</si>
</sst>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
    <numFmt numFmtId="177" formatCode="0&quot;/72&quot;"/>
    <numFmt numFmtId="178" formatCode="0&quot;/160&quot;"/>
    <numFmt numFmtId="179" formatCode="&quot;/&quot;0"/>
    <x:numFmt xmlns:x="http://schemas.openxmlformats.org/spreadsheetml/2006/main" numFmtId="180" formatCode="yyyy-mm-dd"/>
    <x:numFmt xmlns:x="http://schemas.openxmlformats.org/spreadsheetml/2006/main" numFmtId="181" formatCode="0"/>
    <x:numFmt xmlns:x="http://schemas.openxmlformats.org/spreadsheetml/2006/main" numFmtId="182" formatCode="yyyy-mm-dd"/>
    <x:numFmt xmlns:x="http://schemas.openxmlformats.org/spreadsheetml/2006/main" numFmtId="183" formatCode="yyyy-mm-dd"/>
  </numFmts>
  <fonts count="184">
    <font>
      <sz val="11"/>
      <color theme="1"/>
      <name val="等线"/>
      <charset val="134"/>
      <scheme val="minor"/>
    </font>
    <font>
      <b/>
      <sz val="26"/>
      <color rgb="FFFFFFFF"/>
      <name val="微软雅黑"/>
      <charset val="134"/>
    </font>
    <font>
      <sz val="11"/>
      <color theme="1"/>
      <name val="等线"/>
      <charset val="134"/>
      <scheme val="minor"/>
    </font>
    <font>
      <b/>
      <sz val="8"/>
      <color rgb="FF000000"/>
      <name val="微软雅黑"/>
      <charset val="134"/>
    </font>
    <font>
      <sz val="11"/>
      <color rgb="FF000000"/>
      <name val="微软雅黑"/>
      <charset val="134"/>
    </font>
    <font>
      <sz val="8.5"/>
      <color rgb="FF000000"/>
      <name val="微软雅黑"/>
      <charset val="134"/>
    </font>
    <font>
      <sz val="8"/>
      <color rgb="FF000000"/>
      <name val="微软雅黑"/>
      <charset val="134"/>
    </font>
    <font>
      <sz val="7.5"/>
      <color rgb="FF000000"/>
      <name val="微软雅黑"/>
      <charset val="134"/>
    </font>
    <font>
      <sz val="6.5"/>
      <color rgb="FF000000"/>
      <name val="微软雅黑"/>
      <charset val="134"/>
    </font>
    <font>
      <sz val="9"/>
      <color rgb="FF000000"/>
      <name val="微软雅黑"/>
      <charset val="134"/>
    </font>
    <font>
      <sz val="7.2"/>
      <color rgb="FF000000"/>
      <name val="微软雅黑"/>
      <charset val="134"/>
    </font>
    <font>
      <sz val="7"/>
      <color rgb="FF000000"/>
      <name val="微软雅黑"/>
      <charset val="134"/>
    </font>
    <font>
      <b/>
      <sz val="23"/>
      <color rgb="FFFFFFFF"/>
      <name val="微软雅黑"/>
      <charset val="134"/>
    </font>
    <font>
      <b/>
      <sz val="13"/>
      <color rgb="FF000000"/>
      <name val="微软雅黑"/>
      <charset val="134"/>
    </font>
    <font>
      <b/>
      <sz val="18"/>
      <color rgb="FF000000"/>
      <name val="微软雅黑"/>
      <charset val="134"/>
    </font>
    <font>
      <b/>
      <sz val="16"/>
      <color rgb="FF000000"/>
      <name val="微软雅黑"/>
      <charset val="134"/>
    </font>
    <font>
      <b/>
      <sz val="20"/>
      <color rgb="FFFFFFFF"/>
      <name val="微软雅黑"/>
      <charset val="134"/>
    </font>
    <font>
      <sz val="9"/>
      <color rgb="FF444444"/>
      <name val="微软雅黑"/>
      <charset val="134"/>
    </font>
    <font>
      <b/>
      <sz val="10"/>
      <name val="微软雅黑"/>
      <charset val="134"/>
    </font>
    <font>
      <u/>
      <sz val="9"/>
      <color rgb="FF245B45"/>
      <name val="微软雅黑"/>
      <charset val="134"/>
    </font>
    <font>
      <b/>
      <sz val="10"/>
      <color rgb="FFFFFFFF"/>
      <name val="微软雅黑"/>
      <charset val="134"/>
    </font>
    <font>
      <sz val="10"/>
      <color rgb="FF17251E"/>
      <name val="微软雅黑"/>
      <charset val="134"/>
    </font>
    <font>
      <b/>
      <sz val="10"/>
      <color rgb="FF17251E"/>
      <name val="微软雅黑"/>
      <charset val="134"/>
    </font>
    <font>
      <sz val="11"/>
      <color theme="1"/>
      <name val="宋体"/>
      <charset val="134"/>
    </font>
    <font>
      <sz val="11"/>
      <color theme="1"/>
      <name val="Arial"/>
      <charset val="134"/>
    </font>
    <font>
      <sz val="9"/>
      <color theme="1"/>
      <name val="宋体"/>
      <charset val="134"/>
    </font>
    <font>
      <u/>
      <sz val="9"/>
      <color theme="10"/>
      <name val="等线"/>
      <charset val="134"/>
      <scheme val="minor"/>
    </font>
    <font>
      <u/>
      <sz val="11"/>
      <color theme="10"/>
      <name val="等线"/>
      <charset val="134"/>
      <scheme val="minor"/>
    </font>
    <font>
      <b/>
      <i/>
      <sz val="11"/>
      <color theme="1"/>
      <name val="微软雅黑"/>
      <charset val="134"/>
    </font>
    <font>
      <b/>
      <i/>
      <sz val="11"/>
      <color theme="1"/>
      <name val="等线"/>
      <charset val="134"/>
      <scheme val="minor"/>
    </font>
    <font>
      <i/>
      <sz val="11"/>
      <color theme="1"/>
      <name val="等线"/>
      <charset val="134"/>
      <scheme val="minor"/>
    </font>
    <font>
      <b/>
      <sz val="11"/>
      <color theme="1"/>
      <name val="等线"/>
      <charset val="134"/>
      <scheme val="minor"/>
    </font>
    <font>
      <sz val="11"/>
      <color theme="0"/>
      <name val="等线"/>
      <charset val="134"/>
      <scheme val="minor"/>
    </font>
    <font>
      <sz val="11"/>
      <color rgb="FFFF0000"/>
      <name val="等线"/>
      <charset val="134"/>
      <scheme val="minor"/>
    </font>
    <font>
      <sz val="10"/>
      <color theme="1"/>
      <name val="等线"/>
      <charset val="134"/>
      <scheme val="minor"/>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8"/>
      <color theme="0"/>
      <name val="微软雅黑"/>
      <charset val="134"/>
    </font>
    <font>
      <b/>
      <sz val="9"/>
      <color theme="0"/>
      <name val="微软雅黑"/>
      <charset val="134"/>
    </font>
    <font>
      <b/>
      <sz val="9"/>
      <color theme="1"/>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9"/>
      <color rgb="FF205A8A"/>
      <name val="微软雅黑"/>
      <charset val="134"/>
    </font>
    <font>
      <sz val="9"/>
      <color theme="0" tint="-0.249977111117893"/>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name val="微软雅黑"/>
      <charset val="134"/>
    </font>
    <font>
      <sz val="8"/>
      <color rgb="FF202020"/>
      <name val="微软雅黑"/>
      <charset val="134"/>
    </font>
    <font>
      <b/>
      <sz val="9"/>
      <color rgb="FF202020"/>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x:font xmlns:x="http://schemas.openxmlformats.org/spreadsheetml/2006/main">
      <x:b/>
      <x:sz val="10"/>
      <x:color rgb="FF375548"/>
      <x:name val="微软雅黑"/>
    </x:font>
    <x:font xmlns:x="http://schemas.openxmlformats.org/spreadsheetml/2006/main">
      <x:b/>
      <x:sz val="10"/>
      <x:color rgb="FF22312B"/>
      <x:name val="微软雅黑"/>
    </x: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font>
      <sz val="9"/>
      <name val="微软雅黑"/>
      <charset val="134"/>
      <scheme val="minor"/>
      <color rgb="FF1F6650"/>
      <u val="single"/>
    </font>
    <font>
      <sz val="9.5"/>
      <color rgb="FF17251E"/>
      <name val="微软雅黑"/>
      <charset val="134"/>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
      <sz val="9"/>
      <name val="微软雅黑"/>
      <charset val="134"/>
      <scheme val="minor"/>
      <color rgb="FF0563C1"/>
      <u val="single"/>
    </font>
    <font>
      <b/>
      <sz val="11"/>
      <color theme="1"/>
      <name val="微软雅黑"/>
      <charset val="134"/>
    </font>
    <font>
      <sz val="10"/>
      <color theme="1"/>
      <name val="微软雅黑"/>
      <charset val="134"/>
    </font>
    <font>
      <sz val="11"/>
      <color theme="1"/>
      <name val="微软雅黑"/>
      <charset val="134"/>
    </font>
    <font>
      <sz val="11"/>
      <color rgb="FFFFFFFF"/>
      <name val="微软雅黑"/>
      <charset val="134"/>
      <b/>
    </font>
    <font>
      <sz val="11"/>
      <color rgb="FFFF0000"/>
      <name val="微软雅黑"/>
      <charset val="134"/>
    </font>
    <font>
      <sz val="11"/>
      <color theme="0"/>
      <name val="微软雅黑"/>
      <charset val="134"/>
    </font>
    <font>
      <b/>
      <i/>
      <sz val="11"/>
      <color rgb="FFFFFFFF"/>
      <name val="微软雅黑"/>
      <charset val="134"/>
    </font>
    <font>
      <i/>
      <sz val="11"/>
      <color theme="1"/>
      <name val="微软雅黑"/>
      <charset val="134"/>
    </font>
    <font>
      <b/>
      <sz val="16"/>
      <color rgb="FFFFFFFF"/>
      <name val="微软雅黑"/>
    </font>
    <font>
      <sz val="11"/>
      <color rgb="FF202020"/>
      <name val="微软雅黑"/>
    </font>
    <font>
      <b/>
      <sz val="11"/>
      <color rgb="FF303030"/>
      <name val="微软雅黑"/>
    </font>
    <font>
      <sz val="11"/>
      <color rgb="FF0563C1"/>
      <name val="微软雅黑"/>
    </font>
    <font>
      <b/>
      <sz val="11"/>
      <color rgb="FFFFFFFF"/>
      <name val="微软雅黑"/>
    </font>
    <font>
      <b/>
      <sz val="11"/>
      <color rgb="FF202020"/>
      <name val="微软雅黑"/>
    </font>
    <font>
      <sz val="9"/>
      <name val="微软雅黑"/>
      <charset val="134"/>
      <color rgb="FF0563C1"/>
      <u val="single"/>
    </font>
    <font>
      <sz val="10"/>
      <color rgb="FF333333"/>
      <name val="微软雅黑"/>
      <charset val="134"/>
    </font>
    <font>
      <b/>
      <sz val="10"/>
      <color rgb="FF000000"/>
      <name val="微软雅黑"/>
      <charset val="134"/>
    </font>
    <font>
      <sz val="9.5"/>
      <color rgb="FF333333"/>
      <name val="微软雅黑"/>
      <charset val="134"/>
    </font>
    <font>
      <sz val="10"/>
      <color rgb="FF333333"/>
      <name val="微软雅黑"/>
    </font>
    <font>
      <b/>
      <sz val="15"/>
      <color rgb="FF000000"/>
      <name val="微软雅黑"/>
    </font>
    <font>
      <sz val="10"/>
      <color rgb="FF0563C1"/>
      <name val="微软雅黑"/>
    </font>
    <font>
      <b/>
      <sz val="10"/>
      <color rgb="FF000000"/>
      <name val="微软雅黑"/>
    </font>
    <font>
      <b/>
      <sz val="15"/>
      <color rgb="FFFFFFFF"/>
      <name val="微软雅黑"/>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0"/>
      <x:color rgb="FF222222"/>
      <x:name val="微软雅黑"/>
    </x:font>
    <x:font xmlns:x="http://schemas.openxmlformats.org/spreadsheetml/2006/main">
      <x:b/>
      <x:sz val="15"/>
      <x:color rgb="FFFFFFFF"/>
      <x:name val="微软雅黑"/>
    </x:font>
    <x:font xmlns:x="http://schemas.openxmlformats.org/spreadsheetml/2006/main">
      <x:sz val="10"/>
      <x:color rgb="FF0563C1"/>
      <x:name val="微软雅黑"/>
    </x:font>
    <x:font xmlns:x="http://schemas.openxmlformats.org/spreadsheetml/2006/main">
      <x:b/>
      <x:sz val="10"/>
      <x:color rgb="FF222222"/>
      <x:name val="微软雅黑"/>
    </x:font>
    <x:font xmlns:x="http://schemas.openxmlformats.org/spreadsheetml/2006/main">
      <x:sz val="10"/>
      <x:color rgb="FF666666"/>
      <x:name val="微软雅黑"/>
    </x:font>
    <x:font xmlns:x="http://schemas.openxmlformats.org/spreadsheetml/2006/main">
      <x:b/>
      <x:sz val="11"/>
      <x:color rgb="FFFFFFFF"/>
      <x:name val="微软雅黑"/>
    </x:font>
    <x:font xmlns:x="http://schemas.openxmlformats.org/spreadsheetml/2006/main">
      <x:b/>
      <x:sz val="10"/>
      <x:color rgb="FFFFFFFF"/>
      <x:name val="微软雅黑"/>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0"/>
      <x:color rgb="FF222222"/>
      <x:name val="微软雅黑"/>
    </x:font>
    <x:font xmlns:x="http://schemas.openxmlformats.org/spreadsheetml/2006/main">
      <x:b/>
      <x:sz val="11"/>
      <x:color rgb="FFFFFFFF"/>
      <x:name val="微软雅黑"/>
    </x:font>
    <x:font xmlns:x="http://schemas.openxmlformats.org/spreadsheetml/2006/main">
      <x:sz val="10"/>
      <x:color rgb="FF0563C1"/>
      <x:name val="微软雅黑"/>
    </x:font>
    <x:font xmlns:x="http://schemas.openxmlformats.org/spreadsheetml/2006/main">
      <x:sz val="10"/>
      <x:color rgb="FF666666"/>
      <x:name val="微软雅黑"/>
    </x:font>
    <x:font xmlns:x="http://schemas.openxmlformats.org/spreadsheetml/2006/main">
      <x:b/>
      <x:sz val="10"/>
      <x:color rgb="FFFFFFFF"/>
      <x:name val="微软雅黑"/>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s>
  <fills count="99">
    <fill>
      <patternFill patternType="none"/>
    </fill>
    <fill>
      <patternFill patternType="gray125"/>
    </fill>
    <fill>
      <patternFill patternType="solid">
        <fgColor indexed="65"/>
        <bgColor indexed="64"/>
      </patternFill>
    </fill>
    <fill>
      <patternFill patternType="solid">
        <fgColor rgb="FFE8E8E8"/>
        <bgColor indexed="64"/>
      </patternFill>
    </fill>
    <fill>
      <patternFill patternType="solid">
        <fgColor rgb="FF234B3B"/>
        <bgColor indexed="64"/>
      </patternFill>
    </fill>
    <fill>
      <patternFill patternType="solid">
        <fgColor rgb="FFE9F0EB"/>
        <bgColor indexed="64"/>
      </patternFill>
    </fill>
    <fill>
      <patternFill patternType="solid">
        <fgColor rgb="FFFFFFFF"/>
        <bgColor indexed="64"/>
      </patternFill>
    </fill>
    <fill>
      <patternFill patternType="solid">
        <fgColor rgb="FFF5F7F5"/>
        <bgColor indexed="64"/>
      </patternFill>
    </fill>
    <fill>
      <patternFill patternType="solid">
        <fgColor theme="1"/>
        <bgColor indexed="64"/>
      </patternFill>
    </fill>
    <fill>
      <patternFill patternType="solid">
        <fgColor theme="7" tint="0.799890133365886"/>
        <bgColor indexed="64"/>
      </patternFill>
    </fill>
    <fill>
      <patternFill patternType="solid">
        <fgColor theme="0"/>
        <bgColor indexed="64"/>
      </patternFill>
    </fill>
    <fill>
      <patternFill patternType="solid">
        <fgColor rgb="FFE8EDF8"/>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906918546098"/>
        <bgColor indexed="64"/>
      </patternFill>
    </fill>
    <fill>
      <patternFill patternType="solid">
        <fgColor rgb="FFED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EAF0EB"/>
      </x:patternFill>
    </x:fill>
    <x:fill xmlns:x="http://schemas.openxmlformats.org/spreadsheetml/2006/main">
      <x:patternFill patternType="solid">
        <x:fgColor rgb="FFF6F8F6"/>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F4F7F4"/>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000000"/>
        <bgColor indexed="64"/>
      </patternFill>
    </fill>
    <fill>
      <patternFill patternType="solid">
        <fgColor rgb="FFF5F6F8"/>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FFFFFF"/>
      </x:patternFill>
    </x:fill>
    <x:fill xmlns:x="http://schemas.openxmlformats.org/spreadsheetml/2006/main">
      <x:patternFill patternType="solid">
        <x:fgColor rgb="FF1F4D3A"/>
      </x:patternFill>
    </x:fill>
    <x:fill xmlns:x="http://schemas.openxmlformats.org/spreadsheetml/2006/main">
      <x:patternFill patternType="solid">
        <x:fgColor rgb="FFEDF5FC"/>
      </x:patternFill>
    </x:fill>
    <x:fill xmlns:x="http://schemas.openxmlformats.org/spreadsheetml/2006/main">
      <x:patternFill patternType="solid">
        <x:fgColor rgb="FFF4F5F7"/>
      </x:patternFill>
    </x:fill>
    <x:fill xmlns:x="http://schemas.openxmlformats.org/spreadsheetml/2006/main">
      <x:patternFill patternType="solid">
        <x:fgColor rgb="FFE8EDF8"/>
      </x:patternFill>
    </x:fill>
    <x:fill xmlns:x="http://schemas.openxmlformats.org/spreadsheetml/2006/main">
      <x:patternFill patternType="solid">
        <x:fgColor rgb="FF30343A"/>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173F35"/>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1F4D3A"/>
      </x:patternFill>
    </x:fill>
    <x:fill xmlns:x="http://schemas.openxmlformats.org/spreadsheetml/2006/main">
      <x:patternFill patternType="solid">
        <x:fgColor rgb="FFEDF5FC"/>
      </x:patternFill>
    </x:fill>
    <x:fill xmlns:x="http://schemas.openxmlformats.org/spreadsheetml/2006/main">
      <x:patternFill patternType="solid">
        <x:fgColor rgb="FFE8EDF8"/>
      </x:patternFill>
    </x:fill>
    <x:fill xmlns:x="http://schemas.openxmlformats.org/spreadsheetml/2006/main">
      <x:patternFill patternType="solid">
        <x:fgColor rgb="FF30343A"/>
      </x:patternFill>
    </x:fill>
    <x:fill xmlns:x="http://schemas.openxmlformats.org/spreadsheetml/2006/main">
      <x:patternFill patternType="solid">
        <x:fgColor rgb="FFF4F5F7"/>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s>
  <borders count="23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CFD8D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0" tint="-0.149876400036622"/>
      </bottom>
      <diagonal/>
    </border>
    <border>
      <left style="thin">
        <color theme="0"/>
      </left>
      <right style="thin">
        <color theme="0"/>
      </right>
      <top/>
      <bottom style="thin">
        <color theme="0" tint="-0.149876400036622"/>
      </bottom>
      <diagonal/>
    </border>
    <border>
      <left style="thin">
        <color theme="0" tint="-0.149876400036622"/>
      </left>
      <right style="thin">
        <color theme="0"/>
      </right>
      <top style="thin">
        <color theme="0" tint="-0.149876400036622"/>
      </top>
      <bottom style="thin">
        <color theme="0" tint="-0.149876400036622"/>
      </bottom>
      <diagonal/>
    </border>
    <border>
      <left style="thin">
        <color theme="0"/>
      </left>
      <right style="thin">
        <color theme="0"/>
      </right>
      <top style="thin">
        <color theme="0" tint="-0.149876400036622"/>
      </top>
      <bottom style="thin">
        <color theme="0" tint="-0.149876400036622"/>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tint="-0.149876400036622"/>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style="thin">
        <color auto="1"/>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right>
      <top style="thin">
        <color auto="1"/>
      </top>
      <bottom style="thin">
        <color auto="1"/>
      </bottom>
      <diagonal/>
    </border>
    <border>
      <left style="thin">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thin">
        <color auto="1"/>
      </right>
      <top/>
      <bottom style="thin">
        <color theme="0" tint="-0.149876400036622"/>
      </bottom>
      <diagonal/>
    </border>
    <border>
      <left style="thin">
        <color theme="0" tint="-0.149876400036622"/>
      </left>
      <right style="thin">
        <color theme="0"/>
      </right>
      <top/>
      <bottom style="thin">
        <color theme="0" tint="-0.149876400036622"/>
      </bottom>
      <diagonal/>
    </border>
    <border>
      <left/>
      <right style="thin">
        <color theme="0" tint="-0.149876400036622"/>
      </right>
      <top/>
      <bottom style="thin">
        <color theme="0" tint="-0.149876400036622"/>
      </bottom>
      <diagonal/>
    </border>
    <border>
      <left style="thin">
        <color theme="0" tint="-0.149876400036622"/>
      </left>
      <right/>
      <top style="thin">
        <color auto="1"/>
      </top>
      <bottom style="thin">
        <color theme="0" tint="-0.149876400036622"/>
      </bottom>
      <diagonal/>
    </border>
    <border>
      <left/>
      <right/>
      <top style="thin">
        <color auto="1"/>
      </top>
      <bottom style="thin">
        <color theme="0" tint="-0.149876400036622"/>
      </bottom>
      <diagonal/>
    </border>
    <border>
      <left/>
      <right style="thin">
        <color auto="1"/>
      </right>
      <top style="thin">
        <color auto="1"/>
      </top>
      <bottom style="thin">
        <color theme="0" tint="-0.149876400036622"/>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76400036622"/>
      </right>
      <top style="thin">
        <color auto="1"/>
      </top>
      <bottom style="thin">
        <color theme="0" tint="-0.149876400036622"/>
      </bottom>
      <diagonal/>
    </border>
    <border>
      <left style="thin">
        <color theme="0" tint="-0.149876400036622"/>
      </left>
      <right style="thin">
        <color theme="0" tint="-0.149876400036622"/>
      </right>
      <top style="thin">
        <color auto="1"/>
      </top>
      <bottom style="thin">
        <color theme="0" tint="-0.149876400036622"/>
      </bottom>
      <diagonal/>
    </border>
    <border>
      <left style="thin">
        <color theme="0" tint="-0.149876400036622"/>
      </left>
      <right style="thin">
        <color rgb="FFC00000"/>
      </right>
      <top style="thin">
        <color auto="1"/>
      </top>
      <bottom style="thin">
        <color theme="0" tint="-0.149876400036622"/>
      </bottom>
      <diagonal/>
    </border>
    <border>
      <left style="thin">
        <color auto="1"/>
      </left>
      <right/>
      <top style="thin">
        <color auto="1"/>
      </top>
      <bottom/>
      <diagonal/>
    </border>
    <border>
      <left style="thin">
        <color theme="0" tint="-0.0499893185216834"/>
      </left>
      <right/>
      <top style="thin">
        <color auto="1"/>
      </top>
      <bottom/>
      <diagonal/>
    </border>
    <border>
      <left/>
      <right style="thin">
        <color auto="1"/>
      </right>
      <top style="thin">
        <color auto="1"/>
      </top>
      <bottom/>
      <diagonal/>
    </border>
    <border>
      <left style="thin">
        <color auto="1"/>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top style="thin">
        <color theme="0" tint="-0.149876400036622"/>
      </top>
      <bottom style="thin">
        <color theme="0" tint="-0.149876400036622"/>
      </bottom>
      <diagonal/>
    </border>
    <border>
      <left/>
      <right/>
      <top style="thin">
        <color theme="0" tint="-0.149876400036622"/>
      </top>
      <bottom style="thin">
        <color theme="0" tint="-0.149876400036622"/>
      </bottom>
      <diagonal/>
    </border>
    <border>
      <left/>
      <right style="thin">
        <color auto="1"/>
      </right>
      <top style="thin">
        <color theme="0" tint="-0.149876400036622"/>
      </top>
      <bottom style="thin">
        <color theme="0" tint="-0.149876400036622"/>
      </bottom>
      <diagonal/>
    </border>
    <border>
      <left/>
      <right style="thin">
        <color theme="0" tint="-0.149876400036622"/>
      </right>
      <top style="thin">
        <color theme="0" tint="-0.149876400036622"/>
      </top>
      <bottom style="thin">
        <color theme="0" tint="-0.149876400036622"/>
      </bottom>
      <diagonal/>
    </border>
    <border>
      <left style="thin">
        <color rgb="FFC00000"/>
      </left>
      <right style="thin">
        <color theme="0" tint="-0.149876400036622"/>
      </right>
      <top style="thin">
        <color theme="0" tint="-0.149876400036622"/>
      </top>
      <bottom style="thin">
        <color theme="0" tint="-0.149876400036622"/>
      </bottom>
      <diagonal/>
    </border>
    <border>
      <left style="thin">
        <color theme="0" tint="-0.149876400036622"/>
      </left>
      <right style="thin">
        <color rgb="FFC00000"/>
      </right>
      <top style="thin">
        <color theme="0" tint="-0.149876400036622"/>
      </top>
      <bottom style="thin">
        <color theme="0" tint="-0.149876400036622"/>
      </bottom>
      <diagonal/>
    </border>
    <border>
      <left style="thin">
        <color auto="1"/>
      </left>
      <right/>
      <top/>
      <bottom/>
      <diagonal/>
    </border>
    <border>
      <left style="thin">
        <color theme="0" tint="-0.0499893185216834"/>
      </left>
      <right/>
      <top/>
      <bottom/>
      <diagonal/>
    </border>
    <border>
      <left/>
      <right style="thin">
        <color auto="1"/>
      </right>
      <top/>
      <bottom/>
      <diagonal/>
    </border>
    <border>
      <left style="thin">
        <color theme="0" tint="-0.149876400036622"/>
      </left>
      <right style="thin">
        <color auto="1"/>
      </right>
      <top style="thin">
        <color theme="0" tint="-0.149876400036622"/>
      </top>
      <bottom style="thin">
        <color theme="0" tint="-0.149876400036622"/>
      </bottom>
      <diagonal/>
    </border>
    <border>
      <left style="thin">
        <color auto="1"/>
      </left>
      <right style="thin">
        <color theme="0" tint="-0.149876400036622"/>
      </right>
      <top style="thin">
        <color theme="0" tint="-0.149876400036622"/>
      </top>
      <bottom style="thin">
        <color auto="1"/>
      </bottom>
      <diagonal/>
    </border>
    <border>
      <left style="thin">
        <color theme="0" tint="-0.149876400036622"/>
      </left>
      <right style="thin">
        <color theme="0" tint="-0.149876400036622"/>
      </right>
      <top style="thin">
        <color theme="0" tint="-0.149876400036622"/>
      </top>
      <bottom style="thin">
        <color auto="1"/>
      </bottom>
      <diagonal/>
    </border>
    <border>
      <left style="thin">
        <color theme="0" tint="-0.149876400036622"/>
      </left>
      <right/>
      <top style="thin">
        <color theme="0" tint="-0.149876400036622"/>
      </top>
      <bottom style="thin">
        <color auto="1"/>
      </bottom>
      <diagonal/>
    </border>
    <border>
      <left/>
      <right/>
      <top style="thin">
        <color theme="0" tint="-0.149876400036622"/>
      </top>
      <bottom style="thin">
        <color auto="1"/>
      </bottom>
      <diagonal/>
    </border>
    <border>
      <left/>
      <right style="thin">
        <color auto="1"/>
      </right>
      <top style="thin">
        <color theme="0" tint="-0.149876400036622"/>
      </top>
      <bottom style="thin">
        <color auto="1"/>
      </bottom>
      <diagonal/>
    </border>
    <border>
      <left style="thin">
        <color auto="1"/>
      </left>
      <right style="thin">
        <color auto="1"/>
      </right>
      <top style="thin">
        <color theme="0"/>
      </top>
      <bottom style="thin">
        <color theme="0"/>
      </bottom>
      <diagonal/>
    </border>
    <border>
      <left/>
      <right style="thin">
        <color theme="0" tint="-0.149876400036622"/>
      </right>
      <top style="thin">
        <color theme="0" tint="-0.149876400036622"/>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style="thin">
        <color auto="1"/>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76400036622"/>
      </right>
      <top style="thin">
        <color auto="1"/>
      </top>
      <bottom style="thin">
        <color theme="0" tint="-0.499984740745262"/>
      </bottom>
      <diagonal/>
    </border>
    <border>
      <left style="thin">
        <color theme="0" tint="-0.149876400036622"/>
      </left>
      <right style="thin">
        <color theme="0" tint="-0.149876400036622"/>
      </right>
      <top style="thin">
        <color auto="1"/>
      </top>
      <bottom style="thin">
        <color theme="0" tint="-0.499984740745262"/>
      </bottom>
      <diagonal/>
    </border>
    <border>
      <left style="thin">
        <color theme="0" tint="-0.149876400036622"/>
      </left>
      <right style="thin">
        <color auto="1"/>
      </right>
      <top style="thin">
        <color auto="1"/>
      </top>
      <bottom style="thin">
        <color theme="0" tint="-0.499984740745262"/>
      </bottom>
      <diagonal/>
    </border>
    <border>
      <left style="thin">
        <color auto="1"/>
      </left>
      <right/>
      <top/>
      <bottom style="thin">
        <color auto="1"/>
      </bottom>
      <diagonal/>
    </border>
    <border>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76400036622"/>
      </right>
      <top style="thin">
        <color theme="0" tint="-0.499984740745262"/>
      </top>
      <bottom style="thin">
        <color auto="1"/>
      </bottom>
      <diagonal/>
    </border>
    <border>
      <left style="thin">
        <color theme="0" tint="-0.149876400036622"/>
      </left>
      <right style="thin">
        <color theme="0" tint="-0.149876400036622"/>
      </right>
      <top style="thin">
        <color theme="0" tint="-0.499984740745262"/>
      </top>
      <bottom style="thin">
        <color auto="1"/>
      </bottom>
      <diagonal/>
    </border>
    <border>
      <left style="thin">
        <color theme="0" tint="-0.149876400036622"/>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76400036622"/>
      </right>
      <top style="thin">
        <color theme="0" tint="-0.149876400036622"/>
      </top>
      <bottom style="thin">
        <color rgb="FFC00000"/>
      </bottom>
      <diagonal/>
    </border>
    <border>
      <left style="thin">
        <color theme="0" tint="-0.149876400036622"/>
      </left>
      <right style="thin">
        <color theme="0" tint="-0.149876400036622"/>
      </right>
      <top style="thin">
        <color theme="0" tint="-0.149876400036622"/>
      </top>
      <bottom style="thin">
        <color rgb="FFC00000"/>
      </bottom>
      <diagonal/>
    </border>
    <border>
      <left style="thin">
        <color theme="0" tint="-0.149876400036622"/>
      </left>
      <right style="thin">
        <color rgb="FFC00000"/>
      </right>
      <top style="thin">
        <color theme="0" tint="-0.149876400036622"/>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theme="0" tint="-0.149876400036622"/>
      </right>
      <top style="thin">
        <color auto="1"/>
      </top>
      <bottom style="thin">
        <color theme="0" tint="-0.149876400036622"/>
      </bottom>
      <diagonal/>
    </border>
    <border>
      <left style="thin">
        <color theme="0" tint="-0.149876400036622"/>
      </left>
      <right style="double">
        <color theme="0" tint="-0.499984740745262"/>
      </right>
      <top style="thin">
        <color auto="1"/>
      </top>
      <bottom style="thin">
        <color theme="0" tint="-0.149876400036622"/>
      </bottom>
      <diagonal/>
    </border>
    <border>
      <left style="double">
        <color theme="0" tint="-0.499984740745262"/>
      </left>
      <right style="thin">
        <color theme="0" tint="-0.149876400036622"/>
      </right>
      <top style="thin">
        <color auto="1"/>
      </top>
      <bottom style="thin">
        <color theme="0" tint="-0.149876400036622"/>
      </bottom>
      <diagonal/>
    </border>
    <border>
      <left style="thin">
        <color theme="0" tint="-0.149876400036622"/>
      </left>
      <right style="thin">
        <color theme="1"/>
      </right>
      <top style="thin">
        <color auto="1"/>
      </top>
      <bottom style="thin">
        <color theme="0" tint="-0.149876400036622"/>
      </bottom>
      <diagonal/>
    </border>
    <border>
      <left style="thin">
        <color theme="0" tint="-0.149876400036622"/>
      </left>
      <right style="thin">
        <color auto="1"/>
      </right>
      <top style="thin">
        <color auto="1"/>
      </top>
      <bottom style="thin">
        <color theme="0" tint="-0.149876400036622"/>
      </bottom>
      <diagonal/>
    </border>
    <border>
      <left style="thin">
        <color theme="1"/>
      </left>
      <right style="thin">
        <color theme="0" tint="-0.149876400036622"/>
      </right>
      <top style="thin">
        <color theme="1"/>
      </top>
      <bottom style="thin">
        <color theme="0" tint="-0.149876400036622"/>
      </bottom>
      <diagonal/>
    </border>
    <border>
      <left style="thin">
        <color theme="0" tint="-0.149876400036622"/>
      </left>
      <right style="thin">
        <color theme="0" tint="-0.149876400036622"/>
      </right>
      <top style="thin">
        <color theme="1"/>
      </top>
      <bottom style="thin">
        <color theme="0" tint="-0.149876400036622"/>
      </bottom>
      <diagonal/>
    </border>
    <border>
      <left style="thin">
        <color theme="0" tint="-0.149876400036622"/>
      </left>
      <right style="thin">
        <color theme="1"/>
      </right>
      <top style="thin">
        <color theme="1"/>
      </top>
      <bottom style="thin">
        <color theme="0" tint="-0.149876400036622"/>
      </bottom>
      <diagonal/>
    </border>
    <border>
      <left style="thin">
        <color theme="0" tint="-0.149876400036622"/>
      </left>
      <right style="double">
        <color theme="0" tint="-0.499984740745262"/>
      </right>
      <top style="thin">
        <color theme="0" tint="-0.149876400036622"/>
      </top>
      <bottom style="thin">
        <color theme="0" tint="-0.149876400036622"/>
      </bottom>
      <diagonal/>
    </border>
    <border>
      <left style="double">
        <color theme="0" tint="-0.499984740745262"/>
      </left>
      <right style="thin">
        <color theme="0" tint="-0.149876400036622"/>
      </right>
      <top style="thin">
        <color theme="0" tint="-0.149876400036622"/>
      </top>
      <bottom style="thin">
        <color theme="0" tint="-0.149876400036622"/>
      </bottom>
      <diagonal/>
    </border>
    <border>
      <left style="thin">
        <color theme="0" tint="-0.149876400036622"/>
      </left>
      <right style="thin">
        <color theme="1"/>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0" tint="-0.149876400036622"/>
      </bottom>
      <diagonal/>
    </border>
    <border>
      <left style="thin">
        <color theme="1"/>
      </left>
      <right style="thin">
        <color theme="0"/>
      </right>
      <top style="thin">
        <color theme="0"/>
      </top>
      <bottom style="thin">
        <color theme="0"/>
      </bottom>
      <diagonal/>
    </border>
    <border>
      <left style="thin">
        <color theme="0"/>
      </left>
      <right style="thin">
        <color theme="0" tint="-0.149876400036622"/>
      </right>
      <top style="thin">
        <color theme="0" tint="-0.149876400036622"/>
      </top>
      <bottom style="thin">
        <color theme="0" tint="-0.149876400036622"/>
      </bottom>
      <diagonal/>
    </border>
    <border>
      <left style="thin">
        <color theme="0" tint="-0.149876400036622"/>
      </left>
      <right style="thin">
        <color rgb="FFE8EDF8"/>
      </right>
      <top style="thin">
        <color theme="0" tint="-0.149876400036622"/>
      </top>
      <bottom style="thin">
        <color theme="0" tint="-0.149876400036622"/>
      </bottom>
      <diagonal/>
    </border>
    <border>
      <left style="thin">
        <color rgb="FFE8EDF8"/>
      </left>
      <right style="thin">
        <color rgb="FFE8EDF8"/>
      </right>
      <top style="thin">
        <color theme="0" tint="-0.149876400036622"/>
      </top>
      <bottom style="thin">
        <color theme="0" tint="-0.149876400036622"/>
      </bottom>
      <diagonal/>
    </border>
    <border>
      <left style="thin">
        <color rgb="FFE8EDF8"/>
      </left>
      <right style="thin">
        <color theme="0" tint="-0.149876400036622"/>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1"/>
      </bottom>
      <diagonal/>
    </border>
    <border>
      <left style="thin">
        <color theme="0" tint="-0.149876400036622"/>
      </left>
      <right style="thin">
        <color theme="0" tint="-0.149876400036622"/>
      </right>
      <top style="thin">
        <color theme="0" tint="-0.149876400036622"/>
      </top>
      <bottom style="thin">
        <color theme="1"/>
      </bottom>
      <diagonal/>
    </border>
    <border>
      <left style="thin">
        <color theme="0" tint="-0.149876400036622"/>
      </left>
      <right style="thin">
        <color theme="1"/>
      </right>
      <top style="thin">
        <color theme="0" tint="-0.149876400036622"/>
      </top>
      <bottom style="thin">
        <color theme="1"/>
      </bottom>
      <diagonal/>
    </border>
    <border>
      <left style="thin">
        <color theme="1"/>
      </left>
      <right style="thin">
        <color theme="0" tint="-0.149876400036622"/>
      </right>
      <top style="thin">
        <color auto="1"/>
      </top>
      <bottom style="thin">
        <color theme="0" tint="-0.149876400036622"/>
      </bottom>
      <diagonal/>
    </border>
    <border>
      <left style="thin">
        <color theme="0" tint="-0.149876400036622"/>
      </left>
      <right/>
      <top style="thin">
        <color theme="0" tint="-0.149876400036622"/>
      </top>
      <bottom/>
      <diagonal/>
    </border>
    <border>
      <left/>
      <right style="thin">
        <color theme="0" tint="-0.149876400036622"/>
      </right>
      <top style="thin">
        <color theme="0" tint="-0.149876400036622"/>
      </top>
      <bottom/>
      <diagonal/>
    </border>
    <border>
      <left style="thin">
        <color theme="0" tint="-0.149876400036622"/>
      </left>
      <right/>
      <top/>
      <bottom style="thin">
        <color theme="0" tint="-0.149876400036622"/>
      </bottom>
      <diagonal/>
    </border>
    <border>
      <left style="thin">
        <color auto="1"/>
      </left>
      <right style="thin">
        <color theme="0" tint="-0.149876400036622"/>
      </right>
      <top style="thin">
        <color theme="0" tint="-0.149876400036622"/>
      </top>
      <bottom style="thin">
        <color theme="1"/>
      </bottom>
      <diagonal/>
    </border>
    <border>
      <left style="thin">
        <color theme="0" tint="-0.149876400036622"/>
      </left>
      <right style="double">
        <color theme="0" tint="-0.499984740745262"/>
      </right>
      <top style="thin">
        <color theme="0" tint="-0.149876400036622"/>
      </top>
      <bottom style="thin">
        <color theme="1"/>
      </bottom>
      <diagonal/>
    </border>
    <border>
      <left style="double">
        <color theme="0" tint="-0.499984740745262"/>
      </left>
      <right style="thin">
        <color theme="0" tint="-0.149876400036622"/>
      </right>
      <top style="thin">
        <color theme="0" tint="-0.149876400036622"/>
      </top>
      <bottom style="thin">
        <color theme="1"/>
      </bottom>
      <diagonal/>
    </border>
    <border>
      <left style="thin">
        <color theme="0" tint="-0.149876400036622"/>
      </left>
      <right style="thin">
        <color auto="1"/>
      </right>
      <top style="thin">
        <color theme="0" tint="-0.149876400036622"/>
      </top>
      <bottom style="thin">
        <color auto="1"/>
      </bottom>
      <diagonal/>
    </border>
    <border>
      <left style="thin">
        <color theme="1"/>
      </left>
      <right style="thin">
        <color theme="0" tint="-0.149876400036622"/>
      </right>
      <top style="thin">
        <color theme="0" tint="-0.149876400036622"/>
      </top>
      <bottom style="thin">
        <color auto="1"/>
      </bottom>
      <diagonal/>
    </border>
    <border>
      <left style="thin">
        <color theme="0" tint="-0.149876400036622"/>
      </left>
      <right/>
      <top/>
      <bottom style="thin">
        <color auto="1"/>
      </bottom>
      <diagonal/>
    </border>
    <border>
      <left/>
      <right style="thin">
        <color theme="0" tint="-0.149876400036622"/>
      </right>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style="thin">
        <color theme="1"/>
      </right>
      <top style="thin">
        <color theme="1"/>
      </top>
      <bottom style="thin">
        <color auto="1"/>
      </bottom>
      <diagonal/>
    </border>
    <border>
      <left/>
      <right style="thin">
        <color theme="0" tint="-0.149876400036622"/>
      </right>
      <top style="thin">
        <color auto="1"/>
      </top>
      <bottom style="thin">
        <color auto="1"/>
      </bottom>
      <diagonal/>
    </border>
    <border>
      <left/>
      <right/>
      <top/>
      <bottom style="thin">
        <color theme="0"/>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theme="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x:border xmlns:x="http://schemas.openxmlformats.org/spreadsheetml/2006/main"/>
    <x:border xmlns:x="http://schemas.openxmlformats.org/spreadsheetml/2006/main">
      <x:bottom style="thin">
        <x:color rgb="FFD2DBD4"/>
      </x:bottom>
    </x: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x:border xmlns:x="http://schemas.openxmlformats.org/spreadsheetml/2006/main"/>
    <x:border xmlns:x="http://schemas.openxmlformats.org/spreadsheetml/2006/main">
      <x:bottom style="thin">
        <x:color rgb="FFD2DBD4"/>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bottom style="thin">
        <x:color rgb="FFD3DAE2"/>
      </x:bottom>
    </x:border>
    <x:border xmlns:x="http://schemas.openxmlformats.org/spreadsheetml/2006/main">
      <x:left style="thin">
        <x:color rgb="FFA6B8CC"/>
      </x:left>
      <x:right style="thin">
        <x:color rgb="FFA6B8CC"/>
      </x:right>
      <x:top style="thin">
        <x:color rgb="FFA6B8CC"/>
      </x:top>
      <x:bottom style="thin">
        <x:color rgb="FFA6B8CC"/>
      </x:bottom>
    </x:border>
    <x:border xmlns:x="http://schemas.openxmlformats.org/spreadsheetml/2006/main">
      <x:left style="thin">
        <x:color rgb="FFD3DAE2"/>
      </x:left>
      <x:right style="thin">
        <x:color rgb="FFD3DAE2"/>
      </x:right>
      <x:top style="thin">
        <x:color rgb="FFD3DAE2"/>
      </x:top>
      <x:bottom style="thin">
        <x:color rgb="FFD3DAE2"/>
      </x:bottom>
    </x:border>
    <x:border xmlns:x="http://schemas.openxmlformats.org/spreadsheetml/2006/main">
      <x:left style="thin">
        <x:color rgb="FFFFFFFF"/>
      </x:left>
      <x:right style="thin">
        <x:color rgb="FFFFFFFF"/>
      </x:right>
      <x:top style="thin">
        <x:color rgb="FFFFFFFF"/>
      </x:top>
      <x:bottom style="thin">
        <x:color rgb="FFFFFFF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bottom style="hair">
        <x:color rgb="FFD3DAE2"/>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s>
  <cellStyleXfs count="6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51" fillId="0" borderId="0" applyNumberFormat="0" applyFill="0" applyBorder="0" applyAlignment="0" applyProtection="0">
      <alignment vertical="center"/>
    </xf>
    <xf numFmtId="0" fontId="0" fillId="17" borderId="180"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81" applyNumberFormat="0" applyFill="0" applyAlignment="0" applyProtection="0">
      <alignment vertical="center"/>
    </xf>
    <xf numFmtId="0" fontId="56" fillId="0" borderId="181" applyNumberFormat="0" applyFill="0" applyAlignment="0" applyProtection="0">
      <alignment vertical="center"/>
    </xf>
    <xf numFmtId="0" fontId="57" fillId="0" borderId="182" applyNumberFormat="0" applyFill="0" applyAlignment="0" applyProtection="0">
      <alignment vertical="center"/>
    </xf>
    <xf numFmtId="0" fontId="57" fillId="0" borderId="0" applyNumberFormat="0" applyFill="0" applyBorder="0" applyAlignment="0" applyProtection="0">
      <alignment vertical="center"/>
    </xf>
    <xf numFmtId="0" fontId="58" fillId="18" borderId="183" applyNumberFormat="0" applyAlignment="0" applyProtection="0">
      <alignment vertical="center"/>
    </xf>
    <xf numFmtId="0" fontId="59" fillId="19" borderId="184" applyNumberFormat="0" applyAlignment="0" applyProtection="0">
      <alignment vertical="center"/>
    </xf>
    <xf numFmtId="0" fontId="60" fillId="19" borderId="183" applyNumberFormat="0" applyAlignment="0" applyProtection="0">
      <alignment vertical="center"/>
    </xf>
    <xf numFmtId="0" fontId="61" fillId="20" borderId="185" applyNumberFormat="0" applyAlignment="0" applyProtection="0">
      <alignment vertical="center"/>
    </xf>
    <xf numFmtId="0" fontId="62" fillId="0" borderId="186" applyNumberFormat="0" applyFill="0" applyAlignment="0" applyProtection="0">
      <alignment vertical="center"/>
    </xf>
    <xf numFmtId="0" fontId="63" fillId="0" borderId="187" applyNumberFormat="0" applyFill="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7" fillId="24" borderId="0" applyNumberFormat="0" applyBorder="0" applyAlignment="0" applyProtection="0">
      <alignment vertical="center"/>
    </xf>
    <xf numFmtId="0" fontId="68" fillId="25" borderId="0" applyNumberFormat="0" applyBorder="0" applyAlignment="0" applyProtection="0">
      <alignment vertical="center"/>
    </xf>
    <xf numFmtId="0" fontId="68" fillId="13"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7" fillId="46" borderId="0" applyNumberFormat="0" applyBorder="0" applyAlignment="0" applyProtection="0">
      <alignment vertical="center"/>
    </xf>
    <xf numFmtId="0" fontId="0" fillId="0" borderId="0"/>
    <xf numFmtId="0" fontId="69" fillId="8" borderId="0" applyBorder="0">
      <alignment horizontal="center"/>
    </xf>
    <xf numFmtId="0" fontId="70" fillId="8" borderId="0" applyBorder="0">
      <alignment horizontal="center"/>
    </xf>
    <xf numFmtId="0" fontId="69" fillId="0" borderId="188" applyNumberFormat="0" applyFont="0" applyFill="0" applyAlignment="0" applyProtection="0">
      <alignment horizontal="left"/>
    </xf>
    <x:xf xmlns:x="http://schemas.openxmlformats.org/spreadsheetml/2006/main" numFmtId="0" fontId="74" fillId="47" borderId="189"/>
    <x:xf xmlns:x="http://schemas.openxmlformats.org/spreadsheetml/2006/main" numFmtId="0" fontId="103" fillId="52" borderId="213"/>
    <x:xf xmlns:x="http://schemas.openxmlformats.org/spreadsheetml/2006/main" numFmtId="0" fontId="111" fillId="56" borderId="215"/>
    <x:xf xmlns:x="http://schemas.openxmlformats.org/spreadsheetml/2006/main" numFmtId="0" fontId="142" fillId="63" borderId="220"/>
    <x:xf xmlns:x="http://schemas.openxmlformats.org/spreadsheetml/2006/main" numFmtId="0" fontId="149" fillId="68" borderId="223"/>
    <x:xf xmlns:x="http://schemas.openxmlformats.org/spreadsheetml/2006/main" numFmtId="0" fontId="156" fillId="73" borderId="226"/>
    <x:xf xmlns:x="http://schemas.openxmlformats.org/spreadsheetml/2006/main" numFmtId="0" fontId="164" fillId="81" borderId="231"/>
    <x:xf xmlns:x="http://schemas.openxmlformats.org/spreadsheetml/2006/main" numFmtId="0" fontId="171" fillId="87" borderId="234"/>
    <x:xf xmlns:x="http://schemas.openxmlformats.org/spreadsheetml/2006/main" numFmtId="0" fontId="177" fillId="94" borderId="236"/>
  </cellStyleXfs>
  <cellXfs count="783">
    <xf numFmtId="0" fontId="0" fillId="0" borderId="0" xfId="0"/>
    <xf numFmtId="0" fontId="1" fillId="2" borderId="1" xfId="0" applyFont="1" applyFill="1" applyBorder="1" applyAlignment="1">
      <alignment horizontal="center" vertical="center" shrinkToFi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1" xfId="0" applyFont="1" applyFill="1" applyBorder="1" applyAlignment="1">
      <alignment horizontal="left" vertical="center" indent="1" shrinkToFit="1"/>
    </xf>
    <xf numFmtId="0" fontId="2" fillId="0" borderId="9" xfId="0" applyFont="1" applyBorder="1"/>
    <xf numFmtId="0" fontId="2" fillId="0" borderId="10" xfId="0" applyFont="1" applyBorder="1"/>
    <xf numFmtId="0" fontId="4" fillId="0" borderId="1" xfId="0" applyFont="1" applyBorder="1" applyAlignment="1">
      <alignment horizontal="left" vertical="center" indent="1" shrinkToFit="1"/>
    </xf>
    <xf numFmtId="0" fontId="5" fillId="0" borderId="1" xfId="0" applyFont="1" applyBorder="1" applyAlignment="1">
      <alignment horizontal="left" vertical="center" indent="1" shrinkToFit="1"/>
    </xf>
    <xf numFmtId="0" fontId="6" fillId="0" borderId="1" xfId="0" applyFont="1" applyBorder="1" applyAlignment="1">
      <alignment horizontal="left" vertical="center" indent="1" shrinkToFit="1"/>
    </xf>
    <xf numFmtId="0" fontId="5" fillId="0" borderId="1" xfId="0" applyFont="1" applyBorder="1" applyAlignment="1">
      <alignment horizontal="center" vertical="center" shrinkToFit="1"/>
    </xf>
    <xf numFmtId="0" fontId="7" fillId="0" borderId="1" xfId="0" applyFont="1" applyBorder="1" applyAlignment="1">
      <alignment horizontal="left" vertical="center" indent="1" shrinkToFit="1"/>
    </xf>
    <xf numFmtId="0" fontId="8" fillId="0" borderId="1" xfId="0" applyFont="1" applyBorder="1" applyAlignment="1">
      <alignment horizontal="left" vertical="center" indent="1" shrinkToFit="1"/>
    </xf>
    <xf numFmtId="0" fontId="6" fillId="0" borderId="1" xfId="0" applyFont="1" applyBorder="1" applyAlignment="1">
      <alignment horizontal="left" vertical="top" wrapText="1" indent="1" shrinkToFit="1"/>
    </xf>
    <xf numFmtId="0" fontId="7" fillId="0" borderId="1" xfId="0" applyFont="1" applyBorder="1" applyAlignment="1">
      <alignment horizontal="center" vertical="center" shrinkToFit="1"/>
    </xf>
    <xf numFmtId="0" fontId="9" fillId="0" borderId="1" xfId="0" applyFont="1" applyBorder="1" applyAlignment="1">
      <alignment horizontal="center" vertical="center" shrinkToFit="1"/>
    </xf>
    <xf numFmtId="0" fontId="6" fillId="0" borderId="1" xfId="0" applyFont="1" applyBorder="1" applyAlignment="1">
      <alignment horizontal="left" vertical="center" wrapText="1" indent="1" shrinkToFit="1"/>
    </xf>
    <xf numFmtId="0" fontId="10" fillId="0" borderId="0" xfId="0" applyFont="1" applyAlignment="1">
      <alignment horizontal="left" vertical="center" indent="1" shrinkToFit="1"/>
    </xf>
    <xf numFmtId="0" fontId="6" fillId="0" borderId="0" xfId="0" applyFont="1" applyAlignment="1">
      <alignment horizontal="left" vertical="center" indent="1" shrinkToFit="1"/>
    </xf>
    <xf numFmtId="0" fontId="11" fillId="0" borderId="0" xfId="0" applyFont="1" applyAlignment="1">
      <alignment horizontal="center" vertical="center" shrinkToFit="1"/>
    </xf>
    <xf numFmtId="0" fontId="12" fillId="2" borderId="1" xfId="0" applyFont="1" applyFill="1" applyBorder="1" applyAlignment="1">
      <alignment horizontal="center" vertical="center" shrinkToFit="1"/>
    </xf>
    <xf numFmtId="0" fontId="5" fillId="0" borderId="1" xfId="0" applyFont="1" applyBorder="1" applyAlignment="1">
      <alignment horizontal="left" vertical="top" wrapText="1" indent="1" shrinkToFit="1"/>
    </xf>
    <xf numFmtId="0" fontId="6" fillId="0" borderId="1" xfId="0" applyFont="1" applyBorder="1" applyAlignment="1">
      <alignment horizontal="center" vertical="center" shrinkToFit="1"/>
    </xf>
    <xf numFmtId="0" fontId="13" fillId="0" borderId="1" xfId="0" applyFont="1" applyBorder="1" applyAlignment="1">
      <alignment horizontal="center" vertical="center" shrinkToFit="1"/>
    </xf>
    <xf numFmtId="0" fontId="14" fillId="0" borderId="1" xfId="0" applyFont="1" applyBorder="1" applyAlignment="1">
      <alignment horizontal="center" vertical="center" shrinkToFit="1"/>
    </xf>
    <xf numFmtId="0" fontId="11" fillId="0" borderId="1" xfId="0" applyFont="1" applyBorder="1" applyAlignment="1">
      <alignment horizontal="center" vertical="center" wrapText="1" shrinkToFit="1"/>
    </xf>
    <xf numFmtId="0" fontId="15" fillId="0" borderId="1" xfId="0" applyFont="1" applyBorder="1" applyAlignment="1">
      <alignment horizontal="center" vertical="center" shrinkToFit="1"/>
    </xf>
    <xf numFmtId="0" fontId="16" fillId="4" borderId="0" xfId="0" applyFont="1" applyFill="1" applyAlignment="1">
      <alignment vertical="center" indent="1"/>
    </xf>
    <xf numFmtId="0" fontId="17" fillId="0" borderId="0" xfId="0" applyFont="1" applyAlignment="1">
      <alignment vertical="center" wrapText="1"/>
    </xf>
    <xf numFmtId="0" fontId="18" fillId="0" borderId="0" xfId="0" applyFont="1"/>
    <xf numFmtId="0" fontId="19" fillId="0" borderId="0" xfId="0" applyFont="1" applyAlignment="1">
      <alignment vertical="center" wrapText="1"/>
    </xf>
    <xf numFmtId="0" fontId="20" fillId="4" borderId="0" xfId="0" applyFont="1" applyFill="1" applyAlignment="1">
      <alignment vertical="center"/>
    </xf>
    <xf numFmtId="0" fontId="21" fillId="5" borderId="11" xfId="0" applyFont="1" applyFill="1" applyBorder="1" applyAlignment="1">
      <alignment vertical="top" wrapText="1"/>
    </xf>
    <xf numFmtId="0" fontId="22" fillId="5" borderId="11" xfId="0" applyFont="1" applyFill="1" applyBorder="1" applyAlignment="1">
      <alignment vertical="top" wrapText="1"/>
    </xf>
    <xf numFmtId="0" fontId="21" fillId="6" borderId="11" xfId="0" applyFont="1" applyFill="1" applyBorder="1" applyAlignment="1">
      <alignment vertical="top" wrapText="1"/>
    </xf>
    <xf numFmtId="0" fontId="22" fillId="6" borderId="11" xfId="0" applyFont="1" applyFill="1" applyBorder="1" applyAlignment="1">
      <alignment vertical="top" wrapText="1"/>
    </xf>
    <xf numFmtId="0" fontId="21" fillId="7" borderId="11" xfId="0" applyFont="1" applyFill="1" applyBorder="1" applyAlignment="1">
      <alignment vertical="top" wrapText="1"/>
    </xf>
    <xf numFmtId="0" fontId="22" fillId="7" borderId="11" xfId="0" applyFont="1" applyFill="1" applyBorder="1" applyAlignment="1">
      <alignment vertical="top" wrapText="1"/>
    </xf>
    <xf numFmtId="0" fontId="23" fillId="0" borderId="12" xfId="0" applyFont="1" applyBorder="1"/>
    <xf numFmtId="0" fontId="23" fillId="0" borderId="13" xfId="0" applyFont="1" applyBorder="1"/>
    <xf numFmtId="0" fontId="23" fillId="0" borderId="14" xfId="0" applyFont="1" applyBorder="1"/>
    <xf numFmtId="0" fontId="23" fillId="0" borderId="15" xfId="0" applyFont="1" applyBorder="1"/>
    <xf numFmtId="0" fontId="23" fillId="0" borderId="16" xfId="0" applyFont="1" applyBorder="1"/>
    <xf numFmtId="0" fontId="23" fillId="0" borderId="17" xfId="0" applyFont="1" applyBorder="1"/>
    <xf numFmtId="0" fontId="23" fillId="0" borderId="18" xfId="0" applyFont="1" applyBorder="1"/>
    <xf numFmtId="0" fontId="24" fillId="0" borderId="12" xfId="0" applyFont="1" applyBorder="1"/>
    <xf numFmtId="0" fontId="25" fillId="0" borderId="12" xfId="0" applyFont="1" applyBorder="1" applyAlignment="1">
      <alignment horizontal="right"/>
    </xf>
    <xf numFmtId="49" fontId="25" fillId="0" borderId="19" xfId="0" applyNumberFormat="1" applyFont="1" applyBorder="1" applyAlignment="1">
      <alignment horizontal="left"/>
    </xf>
    <xf numFmtId="49" fontId="25" fillId="0" borderId="20" xfId="0" applyNumberFormat="1" applyFont="1" applyBorder="1" applyAlignment="1">
      <alignment horizontal="left"/>
    </xf>
    <xf numFmtId="49" fontId="26" fillId="0" borderId="19" xfId="6" applyNumberFormat="1" applyFont="1" applyBorder="1" applyAlignment="1">
      <alignment horizontal="left"/>
    </xf>
    <xf numFmtId="49" fontId="26" fillId="0" borderId="20" xfId="6" applyNumberFormat="1" applyFont="1" applyBorder="1" applyAlignment="1">
      <alignment horizontal="left"/>
    </xf>
    <xf numFmtId="0" fontId="23" fillId="0" borderId="20" xfId="0" applyFont="1" applyBorder="1"/>
    <xf numFmtId="0" fontId="27" fillId="0" borderId="13" xfId="6" applyBorder="1"/>
    <xf numFmtId="0" fontId="23" fillId="0" borderId="21" xfId="0" applyFont="1" applyBorder="1"/>
    <xf numFmtId="49" fontId="0" fillId="0" borderId="0" xfId="0" applyNumberForma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Font="1"/>
    <xf numFmtId="0" fontId="0" fillId="0" borderId="0" xfId="0" applyAlignment="1">
      <alignment horizontal="center"/>
    </xf>
    <xf numFmtId="0" fontId="32" fillId="8" borderId="0" xfId="0" applyFont="1" applyFill="1" applyAlignment="1">
      <alignment horizontal="left"/>
    </xf>
    <xf numFmtId="0" fontId="0" fillId="0" borderId="0" xfId="0" applyAlignment="1">
      <alignment wrapText="1"/>
    </xf>
    <xf numFmtId="0" fontId="0" fillId="9" borderId="0" xfId="0" applyFill="1"/>
    <xf numFmtId="49" fontId="0" fillId="9" borderId="0" xfId="0" applyNumberFormat="1" applyFill="1" applyProtection="1">
      <protection locked="0"/>
    </xf>
    <xf numFmtId="0" fontId="0" fillId="9" borderId="0" xfId="0" applyFill="1" applyProtection="1">
      <protection locked="0"/>
    </xf>
    <xf numFmtId="0" fontId="33" fillId="0" borderId="0" xfId="0" applyFont="1"/>
    <xf numFmtId="0" fontId="0" fillId="0" borderId="0" xfId="0" applyProtection="1">
      <protection locked="0"/>
    </xf>
    <xf numFmtId="0" fontId="31" fillId="0" borderId="0" xfId="0" applyFont="1" applyProtection="1">
      <protection locked="0"/>
    </xf>
    <xf numFmtId="0" fontId="34" fillId="0" borderId="0" xfId="0" applyFont="1" applyAlignment="1" applyProtection="1">
      <alignment vertical="top" wrapText="1"/>
      <protection locked="0"/>
    </xf>
    <xf numFmtId="0" fontId="0" fillId="0" borderId="0" xfId="0" applyAlignment="1" applyProtection="1">
      <alignment vertical="top" wrapText="1"/>
      <protection locked="0"/>
    </xf>
    <xf numFmtId="0" fontId="35" fillId="0" borderId="12" xfId="0" applyFont="1" applyBorder="1"/>
    <xf numFmtId="0" fontId="35" fillId="0" borderId="20" xfId="0" applyFont="1" applyBorder="1"/>
    <xf numFmtId="0" fontId="35" fillId="0" borderId="13" xfId="0" applyFont="1" applyBorder="1"/>
    <xf numFmtId="0" fontId="35" fillId="0" borderId="18" xfId="0" applyFont="1" applyBorder="1"/>
    <xf numFmtId="0" fontId="35" fillId="0" borderId="22" xfId="0" applyFont="1" applyBorder="1"/>
    <xf numFmtId="0" fontId="35" fillId="0" borderId="23" xfId="0" applyFont="1" applyBorder="1"/>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xf numFmtId="0" fontId="36" fillId="0" borderId="23" xfId="50" applyFont="1" applyFill="1" applyBorder="1" applyAlignment="1">
      <alignment vertical="center" textRotation="255" wrapText="1"/>
    </xf>
    <xf numFmtId="0" fontId="36" fillId="0" borderId="23" xfId="50" applyFont="1" applyFill="1" applyBorder="1" applyAlignment="1">
      <alignment vertical="center" textRotation="255"/>
    </xf>
    <xf numFmtId="0" fontId="35" fillId="0" borderId="23" xfId="0" applyFont="1" applyBorder="1" applyAlignment="1">
      <alignment vertical="top"/>
    </xf>
    <xf numFmtId="0" fontId="35" fillId="0" borderId="28" xfId="0" applyFont="1" applyBorder="1" applyAlignment="1">
      <alignment vertical="top"/>
    </xf>
    <xf numFmtId="0" fontId="35" fillId="0" borderId="29" xfId="0" applyFont="1" applyBorder="1" applyAlignment="1">
      <alignment vertical="top"/>
    </xf>
    <xf numFmtId="0" fontId="35" fillId="0" borderId="30" xfId="0" applyFont="1" applyBorder="1" applyAlignment="1">
      <alignment vertical="top"/>
    </xf>
    <xf numFmtId="0" fontId="35" fillId="0" borderId="31" xfId="0" applyFont="1" applyBorder="1"/>
    <xf numFmtId="0" fontId="36" fillId="8" borderId="32" xfId="50" applyFont="1" applyBorder="1" applyAlignment="1">
      <alignment horizontal="left" vertical="center"/>
    </xf>
    <xf numFmtId="0" fontId="36" fillId="8" borderId="33" xfId="50" applyFont="1" applyBorder="1" applyAlignment="1">
      <alignment horizontal="left" vertical="center"/>
    </xf>
    <xf numFmtId="0" fontId="36" fillId="8" borderId="34" xfId="50" applyFont="1" applyBorder="1" applyAlignment="1">
      <alignment horizontal="left" vertical="center"/>
    </xf>
    <xf numFmtId="0" fontId="37" fillId="8" borderId="33" xfId="51" applyFont="1" applyBorder="1" applyAlignment="1">
      <alignment horizontal="center" vertical="center"/>
    </xf>
    <xf numFmtId="0" fontId="37" fillId="8" borderId="34" xfId="51" applyFont="1" applyBorder="1" applyAlignment="1">
      <alignment horizontal="center" vertical="center"/>
    </xf>
    <xf numFmtId="0" fontId="38" fillId="0" borderId="31" xfId="0" applyFont="1" applyBorder="1" applyAlignment="1">
      <alignment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38" fillId="0" borderId="37" xfId="0" applyFont="1" applyBorder="1" applyAlignment="1">
      <alignment horizontal="center" vertical="center"/>
    </xf>
    <xf numFmtId="0" fontId="37" fillId="8" borderId="33" xfId="50" applyFont="1" applyBorder="1" applyAlignment="1">
      <alignment horizontal="center" vertical="center"/>
    </xf>
    <xf numFmtId="0" fontId="37" fillId="8" borderId="34" xfId="50" applyFont="1" applyBorder="1" applyAlignment="1">
      <alignment horizontal="center" vertical="center"/>
    </xf>
    <xf numFmtId="0" fontId="36" fillId="8" borderId="32" xfId="50" applyFont="1" applyBorder="1" applyAlignment="1">
      <alignment horizontal="left"/>
    </xf>
    <xf numFmtId="0" fontId="36" fillId="8" borderId="33" xfId="50" applyFont="1" applyBorder="1" applyAlignment="1">
      <alignment horizontal="left"/>
    </xf>
    <xf numFmtId="0" fontId="36" fillId="8" borderId="38" xfId="50" applyFont="1" applyBorder="1" applyAlignment="1">
      <alignment horizontal="left"/>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0" xfId="0" applyFont="1" applyBorder="1" applyAlignment="1" applyProtection="1">
      <alignment horizontal="left" vertical="top"/>
      <protection locked="0"/>
    </xf>
    <xf numFmtId="0" fontId="35" fillId="0" borderId="41" xfId="0" applyFont="1" applyBorder="1" applyAlignment="1" applyProtection="1">
      <alignment horizontal="left" vertical="top"/>
      <protection locked="0"/>
    </xf>
    <xf numFmtId="0" fontId="35" fillId="0" borderId="42" xfId="0" applyFont="1" applyBorder="1" applyAlignment="1">
      <alignment horizontal="center" vertical="center"/>
    </xf>
    <xf numFmtId="0" fontId="35" fillId="0" borderId="43" xfId="0" applyFont="1" applyBorder="1" applyAlignment="1">
      <alignment horizontal="left" vertical="center"/>
    </xf>
    <xf numFmtId="0" fontId="35" fillId="0" borderId="40" xfId="0" applyFont="1" applyBorder="1" applyAlignment="1">
      <alignment horizontal="left" vertical="center"/>
    </xf>
    <xf numFmtId="0" fontId="35" fillId="0" borderId="40" xfId="0" applyFont="1" applyBorder="1" applyAlignment="1" applyProtection="1">
      <alignment horizontal="right" vertical="center"/>
      <protection locked="0"/>
    </xf>
    <xf numFmtId="176" fontId="35" fillId="0" borderId="40" xfId="0" applyNumberFormat="1" applyFont="1" applyBorder="1" applyAlignment="1">
      <alignment horizontal="right" vertical="center"/>
    </xf>
    <xf numFmtId="0" fontId="35" fillId="0" borderId="44" xfId="0"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0" fontId="35" fillId="0" borderId="46" xfId="0" applyFont="1" applyBorder="1" applyAlignment="1" applyProtection="1">
      <alignment horizontal="center" vertical="center"/>
      <protection locked="0"/>
    </xf>
    <xf numFmtId="0" fontId="38" fillId="0" borderId="47" xfId="0" applyFont="1" applyBorder="1" applyAlignment="1">
      <alignment horizontal="center" vertical="center"/>
    </xf>
    <xf numFmtId="0" fontId="38" fillId="0" borderId="0" xfId="0" applyFont="1" applyAlignment="1">
      <alignment horizontal="center" vertical="center"/>
    </xf>
    <xf numFmtId="0" fontId="38" fillId="0" borderId="48" xfId="0" applyFont="1" applyBorder="1" applyAlignment="1">
      <alignment horizontal="center" vertical="center"/>
    </xf>
    <xf numFmtId="0" fontId="39" fillId="0" borderId="49" xfId="0" applyFont="1" applyBorder="1" applyAlignment="1" applyProtection="1">
      <alignment horizontal="center" vertical="center"/>
      <protection locked="0"/>
    </xf>
    <xf numFmtId="0" fontId="39" fillId="0" borderId="50" xfId="0" applyFont="1" applyBorder="1" applyAlignment="1" applyProtection="1">
      <alignment horizontal="center" vertical="center"/>
      <protection locked="0"/>
    </xf>
    <xf numFmtId="0" fontId="39" fillId="0" borderId="50" xfId="0" applyFont="1" applyBorder="1" applyAlignment="1" applyProtection="1">
      <alignment horizontal="center"/>
      <protection locked="0"/>
    </xf>
    <xf numFmtId="0" fontId="39" fillId="0" borderId="51" xfId="0" applyFont="1" applyBorder="1" applyAlignment="1" applyProtection="1">
      <alignment horizontal="center"/>
      <protection locked="0"/>
    </xf>
    <xf numFmtId="0" fontId="39" fillId="10" borderId="52" xfId="50" applyFont="1" applyFill="1" applyBorder="1" applyAlignment="1" applyProtection="1">
      <alignment horizontal="left" vertical="top" wrapText="1"/>
      <protection locked="0"/>
    </xf>
    <xf numFmtId="0" fontId="39" fillId="10" borderId="25" xfId="50" applyFont="1" applyFill="1" applyBorder="1" applyAlignment="1" applyProtection="1">
      <alignment horizontal="left" vertical="top" wrapText="1"/>
      <protection locked="0"/>
    </xf>
    <xf numFmtId="0" fontId="39" fillId="0" borderId="53" xfId="0" applyFont="1" applyBorder="1" applyAlignment="1" applyProtection="1">
      <alignment horizontal="left" vertical="top" wrapText="1"/>
      <protection locked="0"/>
    </xf>
    <xf numFmtId="0" fontId="39" fillId="0" borderId="25" xfId="0" applyFont="1" applyBorder="1" applyAlignment="1" applyProtection="1">
      <alignment horizontal="left" vertical="top" wrapText="1"/>
      <protection locked="0"/>
    </xf>
    <xf numFmtId="0" fontId="39" fillId="0" borderId="54" xfId="0" applyFont="1" applyBorder="1" applyAlignment="1" applyProtection="1">
      <alignment horizontal="left" vertical="top" wrapText="1"/>
      <protection locked="0"/>
    </xf>
    <xf numFmtId="0" fontId="35" fillId="0" borderId="55" xfId="0" applyFont="1" applyBorder="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pplyProtection="1">
      <alignment horizontal="left" vertical="center"/>
      <protection locked="0"/>
    </xf>
    <xf numFmtId="0" fontId="35" fillId="0" borderId="58" xfId="0" applyFont="1" applyBorder="1" applyAlignment="1" applyProtection="1">
      <alignment horizontal="left" vertical="center"/>
      <protection locked="0"/>
    </xf>
    <xf numFmtId="0" fontId="35" fillId="0" borderId="59" xfId="0" applyFont="1" applyBorder="1" applyAlignment="1" applyProtection="1">
      <alignment horizontal="left" vertical="center"/>
      <protection locked="0"/>
    </xf>
    <xf numFmtId="0" fontId="35" fillId="0" borderId="57" xfId="0" applyFont="1" applyBorder="1" applyAlignment="1">
      <alignment horizontal="center" vertical="center"/>
    </xf>
    <xf numFmtId="0" fontId="35" fillId="0" borderId="60" xfId="0" applyFont="1" applyBorder="1" applyAlignment="1">
      <alignment horizontal="left" vertical="center"/>
    </xf>
    <xf numFmtId="0" fontId="35" fillId="0" borderId="56" xfId="0" applyFont="1" applyBorder="1" applyAlignment="1">
      <alignment horizontal="left" vertical="center"/>
    </xf>
    <xf numFmtId="0" fontId="35" fillId="0" borderId="56" xfId="0" applyFont="1" applyBorder="1" applyAlignment="1" applyProtection="1">
      <alignment horizontal="right" vertical="center"/>
      <protection locked="0"/>
    </xf>
    <xf numFmtId="0" fontId="35" fillId="0" borderId="57" xfId="0" applyFont="1" applyBorder="1" applyAlignment="1" applyProtection="1">
      <alignment horizontal="center" vertical="center"/>
      <protection locked="0"/>
    </xf>
    <xf numFmtId="0" fontId="35" fillId="0" borderId="58" xfId="0" applyFont="1" applyBorder="1" applyAlignment="1" applyProtection="1">
      <alignment horizontal="center" vertical="center"/>
      <protection locked="0"/>
    </xf>
    <xf numFmtId="0" fontId="35" fillId="0" borderId="59" xfId="0" applyFont="1" applyBorder="1" applyAlignment="1" applyProtection="1">
      <alignment horizontal="center" vertical="center"/>
      <protection locked="0"/>
    </xf>
    <xf numFmtId="0" fontId="39" fillId="0" borderId="61"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39" fillId="0" borderId="56" xfId="0" applyFont="1" applyBorder="1" applyAlignment="1" applyProtection="1">
      <alignment horizontal="center"/>
      <protection locked="0"/>
    </xf>
    <xf numFmtId="0" fontId="39" fillId="0" borderId="62" xfId="0" applyFont="1" applyBorder="1" applyAlignment="1" applyProtection="1">
      <alignment horizontal="center"/>
      <protection locked="0"/>
    </xf>
    <xf numFmtId="0" fontId="39" fillId="10" borderId="63" xfId="50" applyFont="1" applyFill="1" applyBorder="1" applyAlignment="1" applyProtection="1">
      <alignment horizontal="left" vertical="top" wrapText="1"/>
      <protection locked="0"/>
    </xf>
    <xf numFmtId="0" fontId="39" fillId="10" borderId="0" xfId="50" applyFont="1" applyFill="1" applyBorder="1" applyAlignment="1" applyProtection="1">
      <alignment horizontal="left" vertical="top" wrapText="1"/>
      <protection locked="0"/>
    </xf>
    <xf numFmtId="0" fontId="39" fillId="0" borderId="64" xfId="0" applyFont="1" applyBorder="1" applyAlignment="1" applyProtection="1">
      <alignment horizontal="left" vertical="top" wrapText="1"/>
      <protection locked="0"/>
    </xf>
    <xf numFmtId="0" fontId="39" fillId="0" borderId="0" xfId="0" applyFont="1" applyAlignment="1" applyProtection="1">
      <alignment horizontal="left" vertical="top" wrapText="1"/>
      <protection locked="0"/>
    </xf>
    <xf numFmtId="0" fontId="39" fillId="0" borderId="65" xfId="0" applyFont="1" applyBorder="1" applyAlignment="1" applyProtection="1">
      <alignment horizontal="left" vertical="top" wrapText="1"/>
      <protection locked="0"/>
    </xf>
    <xf numFmtId="0" fontId="35" fillId="0" borderId="57" xfId="0" applyFont="1" applyBorder="1" applyAlignment="1" applyProtection="1">
      <alignment horizontal="left" vertical="top"/>
      <protection locked="0"/>
    </xf>
    <xf numFmtId="0" fontId="35" fillId="0" borderId="58" xfId="0" applyFont="1" applyBorder="1" applyAlignment="1" applyProtection="1">
      <alignment horizontal="left" vertical="top"/>
      <protection locked="0"/>
    </xf>
    <xf numFmtId="0" fontId="35" fillId="0" borderId="60" xfId="0" applyFont="1" applyBorder="1" applyAlignment="1" applyProtection="1">
      <alignment horizontal="left" vertical="top"/>
      <protection locked="0"/>
    </xf>
    <xf numFmtId="0" fontId="35" fillId="0" borderId="57" xfId="0" applyFont="1" applyBorder="1" applyAlignment="1" applyProtection="1">
      <alignment horizontal="center" vertical="top"/>
      <protection locked="0"/>
    </xf>
    <xf numFmtId="0" fontId="35" fillId="0" borderId="58" xfId="0" applyFont="1" applyBorder="1" applyAlignment="1" applyProtection="1">
      <alignment horizontal="center" vertical="top"/>
      <protection locked="0"/>
    </xf>
    <xf numFmtId="0" fontId="35" fillId="0" borderId="60" xfId="0" applyFont="1" applyBorder="1" applyAlignment="1" applyProtection="1">
      <alignment horizontal="center" vertical="top"/>
      <protection locked="0"/>
    </xf>
    <xf numFmtId="0" fontId="35" fillId="0" borderId="59" xfId="0" applyFont="1" applyBorder="1" applyAlignment="1" applyProtection="1">
      <alignment horizontal="left" vertical="top"/>
      <protection locked="0"/>
    </xf>
    <xf numFmtId="0" fontId="35" fillId="0" borderId="16" xfId="0" applyFont="1" applyBorder="1" applyAlignment="1">
      <alignment horizontal="center" vertical="center"/>
    </xf>
    <xf numFmtId="0" fontId="35" fillId="0" borderId="56" xfId="0" applyFont="1" applyBorder="1" applyAlignment="1" applyProtection="1">
      <alignment horizontal="left" vertical="top"/>
      <protection locked="0"/>
    </xf>
    <xf numFmtId="0" fontId="35" fillId="0" borderId="66" xfId="0" applyFont="1" applyBorder="1" applyAlignment="1" applyProtection="1">
      <alignment horizontal="left" vertical="top"/>
      <protection locked="0"/>
    </xf>
    <xf numFmtId="0" fontId="35" fillId="0" borderId="67" xfId="0" applyFont="1" applyBorder="1" applyAlignment="1">
      <alignment horizontal="center" vertical="center"/>
    </xf>
    <xf numFmtId="0" fontId="35" fillId="0" borderId="68" xfId="0" applyFont="1" applyBorder="1" applyAlignment="1">
      <alignment horizontal="center" vertical="center"/>
    </xf>
    <xf numFmtId="0" fontId="35" fillId="0" borderId="69" xfId="0" applyFont="1" applyBorder="1" applyAlignment="1" applyProtection="1">
      <alignment horizontal="left" vertical="top"/>
      <protection locked="0"/>
    </xf>
    <xf numFmtId="0" fontId="35" fillId="0" borderId="70" xfId="0" applyFont="1" applyBorder="1" applyAlignment="1" applyProtection="1">
      <alignment horizontal="left" vertical="top"/>
      <protection locked="0"/>
    </xf>
    <xf numFmtId="0" fontId="35" fillId="0" borderId="71" xfId="0" applyFont="1" applyBorder="1" applyAlignment="1" applyProtection="1">
      <alignment horizontal="left" vertical="top"/>
      <protection locked="0"/>
    </xf>
    <xf numFmtId="0" fontId="35" fillId="0" borderId="72" xfId="0" applyFont="1" applyBorder="1"/>
    <xf numFmtId="0" fontId="35" fillId="0" borderId="69" xfId="0" applyFont="1" applyBorder="1" applyAlignment="1">
      <alignment horizontal="center" vertical="center"/>
    </xf>
    <xf numFmtId="0" fontId="35" fillId="0" borderId="73" xfId="0" applyFont="1" applyBorder="1" applyAlignment="1">
      <alignment horizontal="left" vertical="center"/>
    </xf>
    <xf numFmtId="0" fontId="35" fillId="0" borderId="68" xfId="0" applyFont="1" applyBorder="1" applyAlignment="1">
      <alignment horizontal="left" vertical="center"/>
    </xf>
    <xf numFmtId="0" fontId="35" fillId="0" borderId="68" xfId="0" applyFont="1" applyBorder="1" applyAlignment="1" applyProtection="1">
      <alignment horizontal="right" vertical="center"/>
      <protection locked="0"/>
    </xf>
    <xf numFmtId="176" fontId="35" fillId="0" borderId="68" xfId="0" applyNumberFormat="1" applyFont="1" applyBorder="1" applyAlignment="1">
      <alignment horizontal="right" vertical="center"/>
    </xf>
    <xf numFmtId="0" fontId="35" fillId="0" borderId="69" xfId="0" applyFont="1" applyBorder="1" applyAlignment="1" applyProtection="1">
      <alignment horizontal="center" vertical="center"/>
      <protection locked="0"/>
    </xf>
    <xf numFmtId="0" fontId="35" fillId="0" borderId="70" xfId="0" applyFont="1" applyBorder="1" applyAlignment="1" applyProtection="1">
      <alignment horizontal="center" vertical="center"/>
      <protection locked="0"/>
    </xf>
    <xf numFmtId="0" fontId="35" fillId="0" borderId="71" xfId="0" applyFont="1" applyBorder="1" applyAlignment="1" applyProtection="1">
      <alignment horizontal="center" vertical="center"/>
      <protection locked="0"/>
    </xf>
    <xf numFmtId="0" fontId="36" fillId="8" borderId="0" xfId="50" applyFont="1" applyBorder="1" applyAlignment="1">
      <alignment horizontal="center" vertical="center" textRotation="255" wrapText="1"/>
    </xf>
    <xf numFmtId="0" fontId="35" fillId="0" borderId="22" xfId="0" applyFont="1" applyBorder="1" applyAlignment="1">
      <alignment vertical="center"/>
    </xf>
    <xf numFmtId="0" fontId="40" fillId="0" borderId="74" xfId="0" applyFont="1" applyBorder="1" applyAlignment="1">
      <alignment horizontal="right" vertical="center"/>
    </xf>
    <xf numFmtId="0" fontId="40" fillId="0" borderId="33" xfId="0" applyFont="1" applyBorder="1" applyAlignment="1">
      <alignment horizontal="right" vertical="center"/>
    </xf>
    <xf numFmtId="0" fontId="40" fillId="0" borderId="38" xfId="0" applyFont="1" applyBorder="1" applyAlignment="1">
      <alignment horizontal="right" vertical="center"/>
    </xf>
    <xf numFmtId="177" fontId="40" fillId="0" borderId="74" xfId="0" applyNumberFormat="1" applyFont="1" applyBorder="1" applyAlignment="1">
      <alignment horizontal="left" vertical="center"/>
    </xf>
    <xf numFmtId="177" fontId="40" fillId="0" borderId="33" xfId="0" applyNumberFormat="1" applyFont="1" applyBorder="1" applyAlignment="1">
      <alignment horizontal="left" vertical="center"/>
    </xf>
    <xf numFmtId="177" fontId="40" fillId="0" borderId="75" xfId="0" applyNumberFormat="1" applyFont="1" applyBorder="1" applyAlignment="1">
      <alignment horizontal="left" vertical="center"/>
    </xf>
    <xf numFmtId="1" fontId="40" fillId="0" borderId="74" xfId="0" applyNumberFormat="1" applyFont="1" applyBorder="1" applyAlignment="1">
      <alignment horizontal="left" vertical="center"/>
    </xf>
    <xf numFmtId="1" fontId="40" fillId="0" borderId="33" xfId="0" applyNumberFormat="1" applyFont="1" applyBorder="1" applyAlignment="1">
      <alignment horizontal="left" vertical="center"/>
    </xf>
    <xf numFmtId="1" fontId="40" fillId="0" borderId="38" xfId="0" applyNumberFormat="1" applyFont="1" applyBorder="1" applyAlignment="1">
      <alignment horizontal="left" vertical="center"/>
    </xf>
    <xf numFmtId="49" fontId="40" fillId="0" borderId="76" xfId="0" applyNumberFormat="1" applyFont="1" applyBorder="1" applyAlignment="1">
      <alignment horizontal="left" vertical="center"/>
    </xf>
    <xf numFmtId="0" fontId="40" fillId="0" borderId="76" xfId="0" applyFont="1" applyBorder="1" applyAlignment="1">
      <alignment horizontal="right" vertical="center"/>
    </xf>
    <xf numFmtId="178" fontId="40" fillId="0" borderId="76" xfId="0" applyNumberFormat="1" applyFont="1" applyBorder="1" applyAlignment="1">
      <alignment horizontal="center" vertical="center"/>
    </xf>
    <xf numFmtId="0" fontId="35" fillId="0" borderId="77" xfId="0" applyFont="1" applyBorder="1"/>
    <xf numFmtId="0" fontId="35" fillId="11" borderId="52" xfId="0" applyFont="1" applyFill="1" applyBorder="1" applyAlignment="1">
      <alignment horizontal="center"/>
    </xf>
    <xf numFmtId="0" fontId="35" fillId="11" borderId="25" xfId="0" applyFont="1" applyFill="1" applyBorder="1" applyAlignment="1">
      <alignment horizontal="center"/>
    </xf>
    <xf numFmtId="0" fontId="35" fillId="11" borderId="25" xfId="0" applyFont="1" applyFill="1" applyBorder="1" applyAlignment="1" applyProtection="1">
      <alignment horizontal="right" vertical="center"/>
      <protection locked="0"/>
    </xf>
    <xf numFmtId="0" fontId="35" fillId="11" borderId="78" xfId="0" applyFont="1" applyFill="1" applyBorder="1" applyAlignment="1" applyProtection="1">
      <alignment horizontal="right" vertical="center"/>
      <protection locked="0"/>
    </xf>
    <xf numFmtId="179" fontId="35" fillId="11" borderId="79" xfId="0" applyNumberFormat="1" applyFont="1" applyFill="1" applyBorder="1" applyAlignment="1">
      <alignment horizontal="left" vertical="center"/>
    </xf>
    <xf numFmtId="179" fontId="35" fillId="11" borderId="25" xfId="0" applyNumberFormat="1" applyFont="1" applyFill="1" applyBorder="1" applyAlignment="1">
      <alignment horizontal="left" vertical="center"/>
    </xf>
    <xf numFmtId="179" fontId="35" fillId="11" borderId="80" xfId="0" applyNumberFormat="1" applyFont="1" applyFill="1" applyBorder="1" applyAlignment="1">
      <alignment horizontal="left" vertical="center"/>
    </xf>
    <xf numFmtId="0" fontId="35" fillId="12" borderId="81" xfId="0" applyFont="1" applyFill="1" applyBorder="1" applyAlignment="1">
      <alignment horizontal="center"/>
    </xf>
    <xf numFmtId="0" fontId="35" fillId="12" borderId="25" xfId="0" applyFont="1" applyFill="1" applyBorder="1" applyAlignment="1">
      <alignment horizontal="center"/>
    </xf>
    <xf numFmtId="0" fontId="35" fillId="12" borderId="82" xfId="0" applyFont="1" applyFill="1" applyBorder="1" applyAlignment="1">
      <alignment horizontal="center"/>
    </xf>
    <xf numFmtId="0" fontId="35" fillId="12" borderId="83" xfId="0" applyFont="1" applyFill="1" applyBorder="1" applyAlignment="1" applyProtection="1">
      <alignment horizontal="right" vertical="center"/>
      <protection locked="0"/>
    </xf>
    <xf numFmtId="0" fontId="35" fillId="12" borderId="25" xfId="0" applyFont="1" applyFill="1" applyBorder="1" applyAlignment="1" applyProtection="1">
      <alignment horizontal="right" vertical="center"/>
      <protection locked="0"/>
    </xf>
    <xf numFmtId="0" fontId="35" fillId="12" borderId="82" xfId="0" applyFont="1" applyFill="1" applyBorder="1" applyAlignment="1" applyProtection="1">
      <alignment horizontal="right" vertical="center"/>
      <protection locked="0"/>
    </xf>
    <xf numFmtId="179" fontId="35" fillId="12" borderId="83" xfId="0" applyNumberFormat="1" applyFont="1" applyFill="1" applyBorder="1" applyAlignment="1">
      <alignment horizontal="left" vertical="center"/>
    </xf>
    <xf numFmtId="179" fontId="35" fillId="12" borderId="25" xfId="0" applyNumberFormat="1" applyFont="1" applyFill="1" applyBorder="1" applyAlignment="1">
      <alignment horizontal="left" vertical="center"/>
    </xf>
    <xf numFmtId="179" fontId="35" fillId="12" borderId="84" xfId="0" applyNumberFormat="1" applyFont="1" applyFill="1" applyBorder="1" applyAlignment="1">
      <alignment horizontal="left" vertical="center"/>
    </xf>
    <xf numFmtId="0" fontId="35" fillId="11" borderId="85" xfId="0" applyFont="1" applyFill="1" applyBorder="1" applyAlignment="1">
      <alignment horizontal="center"/>
    </xf>
    <xf numFmtId="0" fontId="35" fillId="11" borderId="78" xfId="0" applyFont="1" applyFill="1" applyBorder="1" applyAlignment="1">
      <alignment horizontal="center"/>
    </xf>
    <xf numFmtId="0" fontId="35" fillId="11" borderId="79" xfId="0" applyFont="1" applyFill="1" applyBorder="1" applyAlignment="1" applyProtection="1">
      <alignment horizontal="right" vertical="center"/>
      <protection locked="0"/>
    </xf>
    <xf numFmtId="179" fontId="35" fillId="11" borderId="26" xfId="0" applyNumberFormat="1" applyFont="1" applyFill="1" applyBorder="1" applyAlignment="1">
      <alignment horizontal="left" vertical="center"/>
    </xf>
    <xf numFmtId="0" fontId="35" fillId="13" borderId="81" xfId="0" applyFont="1" applyFill="1" applyBorder="1" applyAlignment="1">
      <alignment horizontal="center"/>
    </xf>
    <xf numFmtId="0" fontId="35" fillId="13" borderId="25" xfId="0" applyFont="1" applyFill="1" applyBorder="1" applyAlignment="1">
      <alignment horizontal="center"/>
    </xf>
    <xf numFmtId="0" fontId="35" fillId="13" borderId="83" xfId="0" applyFont="1" applyFill="1" applyBorder="1" applyAlignment="1" applyProtection="1">
      <alignment horizontal="center" vertical="center"/>
      <protection locked="0"/>
    </xf>
    <xf numFmtId="0" fontId="35" fillId="13" borderId="25" xfId="0" applyFont="1" applyFill="1" applyBorder="1" applyAlignment="1" applyProtection="1">
      <alignment horizontal="center" vertical="center"/>
      <protection locked="0"/>
    </xf>
    <xf numFmtId="0" fontId="35" fillId="13" borderId="86" xfId="0" applyFont="1" applyFill="1" applyBorder="1" applyAlignment="1" applyProtection="1">
      <alignment horizontal="center" vertical="center"/>
      <protection locked="0"/>
    </xf>
    <xf numFmtId="0" fontId="35" fillId="13" borderId="87" xfId="0" applyFont="1" applyFill="1" applyBorder="1" applyAlignment="1">
      <alignment horizontal="center" vertical="center"/>
    </xf>
    <xf numFmtId="0" fontId="35" fillId="13" borderId="88" xfId="0" applyFont="1" applyFill="1" applyBorder="1" applyAlignment="1">
      <alignment horizontal="center" vertical="center"/>
    </xf>
    <xf numFmtId="0" fontId="35" fillId="13" borderId="88" xfId="0" applyFont="1" applyFill="1" applyBorder="1" applyAlignment="1" applyProtection="1">
      <alignment horizontal="center" vertical="center"/>
      <protection locked="0"/>
    </xf>
    <xf numFmtId="0" fontId="35" fillId="13" borderId="89" xfId="0" applyFont="1" applyFill="1" applyBorder="1" applyAlignment="1" applyProtection="1">
      <alignment horizontal="center" vertical="center"/>
      <protection locked="0"/>
    </xf>
    <xf numFmtId="0" fontId="35" fillId="0" borderId="19" xfId="0" applyFont="1" applyBorder="1"/>
    <xf numFmtId="0" fontId="41" fillId="11" borderId="90" xfId="0" applyFont="1" applyFill="1" applyBorder="1" applyAlignment="1">
      <alignment horizontal="center" vertical="top"/>
    </xf>
    <xf numFmtId="0" fontId="41" fillId="11" borderId="91" xfId="0" applyFont="1" applyFill="1" applyBorder="1" applyAlignment="1">
      <alignment horizontal="center" vertical="top"/>
    </xf>
    <xf numFmtId="0" fontId="35" fillId="11" borderId="91" xfId="0" applyFont="1" applyFill="1" applyBorder="1" applyAlignment="1" applyProtection="1">
      <alignment horizontal="right" vertical="center"/>
      <protection locked="0"/>
    </xf>
    <xf numFmtId="0" fontId="35" fillId="11" borderId="92" xfId="0" applyFont="1" applyFill="1" applyBorder="1" applyAlignment="1" applyProtection="1">
      <alignment horizontal="right" vertical="center"/>
      <protection locked="0"/>
    </xf>
    <xf numFmtId="179" fontId="35" fillId="11" borderId="93" xfId="0" applyNumberFormat="1" applyFont="1" applyFill="1" applyBorder="1" applyAlignment="1">
      <alignment horizontal="left" vertical="center"/>
    </xf>
    <xf numFmtId="179" fontId="35" fillId="11" borderId="91" xfId="0" applyNumberFormat="1" applyFont="1" applyFill="1" applyBorder="1" applyAlignment="1">
      <alignment horizontal="left" vertical="center"/>
    </xf>
    <xf numFmtId="179" fontId="35" fillId="11" borderId="94" xfId="0" applyNumberFormat="1" applyFont="1" applyFill="1" applyBorder="1" applyAlignment="1">
      <alignment horizontal="left" vertical="center"/>
    </xf>
    <xf numFmtId="0" fontId="41" fillId="12" borderId="95" xfId="0" applyFont="1" applyFill="1" applyBorder="1" applyAlignment="1">
      <alignment horizontal="center" vertical="top"/>
    </xf>
    <xf numFmtId="0" fontId="41" fillId="12" borderId="91" xfId="0" applyFont="1" applyFill="1" applyBorder="1" applyAlignment="1">
      <alignment horizontal="center" vertical="top"/>
    </xf>
    <xf numFmtId="0" fontId="41" fillId="12" borderId="96" xfId="0" applyFont="1" applyFill="1" applyBorder="1" applyAlignment="1">
      <alignment horizontal="center" vertical="top"/>
    </xf>
    <xf numFmtId="0" fontId="35" fillId="12" borderId="97" xfId="0" applyFont="1" applyFill="1" applyBorder="1" applyAlignment="1" applyProtection="1">
      <alignment horizontal="right" vertical="center"/>
      <protection locked="0"/>
    </xf>
    <xf numFmtId="0" fontId="35" fillId="12" borderId="91" xfId="0" applyFont="1" applyFill="1" applyBorder="1" applyAlignment="1" applyProtection="1">
      <alignment horizontal="right" vertical="center"/>
      <protection locked="0"/>
    </xf>
    <xf numFmtId="0" fontId="35" fillId="12" borderId="96" xfId="0" applyFont="1" applyFill="1" applyBorder="1" applyAlignment="1" applyProtection="1">
      <alignment horizontal="right" vertical="center"/>
      <protection locked="0"/>
    </xf>
    <xf numFmtId="179" fontId="35" fillId="12" borderId="97" xfId="0" applyNumberFormat="1" applyFont="1" applyFill="1" applyBorder="1" applyAlignment="1">
      <alignment horizontal="left" vertical="center"/>
    </xf>
    <xf numFmtId="179" fontId="35" fillId="12" borderId="91" xfId="0" applyNumberFormat="1" applyFont="1" applyFill="1" applyBorder="1" applyAlignment="1">
      <alignment horizontal="left" vertical="center"/>
    </xf>
    <xf numFmtId="179" fontId="35" fillId="12" borderId="98" xfId="0" applyNumberFormat="1" applyFont="1" applyFill="1" applyBorder="1" applyAlignment="1">
      <alignment horizontal="left" vertical="center"/>
    </xf>
    <xf numFmtId="0" fontId="41" fillId="11" borderId="99" xfId="0" applyFont="1" applyFill="1" applyBorder="1" applyAlignment="1">
      <alignment horizontal="center" vertical="top"/>
    </xf>
    <xf numFmtId="0" fontId="41" fillId="11" borderId="92" xfId="0" applyFont="1" applyFill="1" applyBorder="1" applyAlignment="1">
      <alignment horizontal="center" vertical="top"/>
    </xf>
    <xf numFmtId="0" fontId="35" fillId="11" borderId="93" xfId="0" applyFont="1" applyFill="1" applyBorder="1" applyAlignment="1" applyProtection="1">
      <alignment horizontal="right" vertical="center"/>
      <protection locked="0"/>
    </xf>
    <xf numFmtId="179" fontId="35" fillId="11" borderId="75" xfId="0" applyNumberFormat="1" applyFont="1" applyFill="1" applyBorder="1" applyAlignment="1">
      <alignment horizontal="left" vertical="center"/>
    </xf>
    <xf numFmtId="0" fontId="41" fillId="13" borderId="95" xfId="0" applyFont="1" applyFill="1" applyBorder="1" applyAlignment="1">
      <alignment horizontal="center" vertical="top"/>
    </xf>
    <xf numFmtId="0" fontId="41" fillId="13" borderId="91" xfId="0" applyFont="1" applyFill="1" applyBorder="1" applyAlignment="1">
      <alignment horizontal="center" vertical="top"/>
    </xf>
    <xf numFmtId="0" fontId="35" fillId="13" borderId="97" xfId="0" applyFont="1" applyFill="1" applyBorder="1" applyAlignment="1" applyProtection="1">
      <alignment horizontal="center" vertical="center"/>
      <protection locked="0"/>
    </xf>
    <xf numFmtId="0" fontId="35" fillId="13" borderId="91" xfId="0" applyFont="1" applyFill="1" applyBorder="1" applyAlignment="1" applyProtection="1">
      <alignment horizontal="center" vertical="center"/>
      <protection locked="0"/>
    </xf>
    <xf numFmtId="0" fontId="35" fillId="13" borderId="100" xfId="0" applyFont="1" applyFill="1" applyBorder="1" applyAlignment="1" applyProtection="1">
      <alignment horizontal="center" vertical="center"/>
      <protection locked="0"/>
    </xf>
    <xf numFmtId="0" fontId="35" fillId="13" borderId="101" xfId="0" applyFont="1" applyFill="1" applyBorder="1" applyAlignment="1">
      <alignment horizontal="center" vertical="center"/>
    </xf>
    <xf numFmtId="0" fontId="35" fillId="13" borderId="102" xfId="0" applyFont="1" applyFill="1" applyBorder="1" applyAlignment="1">
      <alignment horizontal="center" vertical="center"/>
    </xf>
    <xf numFmtId="0" fontId="35" fillId="13" borderId="102" xfId="0" applyFont="1" applyFill="1" applyBorder="1" applyAlignment="1" applyProtection="1">
      <alignment horizontal="center" vertical="center"/>
      <protection locked="0"/>
    </xf>
    <xf numFmtId="0" fontId="35" fillId="13" borderId="103" xfId="0" applyFont="1" applyFill="1" applyBorder="1" applyAlignment="1" applyProtection="1">
      <alignment horizontal="center" vertical="center"/>
      <protection locked="0"/>
    </xf>
    <xf numFmtId="0" fontId="38" fillId="0" borderId="104" xfId="0" applyFont="1" applyBorder="1" applyAlignment="1">
      <alignment horizontal="center" vertical="center"/>
    </xf>
    <xf numFmtId="0" fontId="38" fillId="0" borderId="105" xfId="0" applyFont="1" applyBorder="1" applyAlignment="1">
      <alignment horizontal="center" vertical="center"/>
    </xf>
    <xf numFmtId="0" fontId="38" fillId="0" borderId="106" xfId="0" applyFont="1" applyBorder="1" applyAlignment="1">
      <alignment horizontal="center" vertical="center"/>
    </xf>
    <xf numFmtId="0" fontId="39" fillId="0" borderId="107" xfId="0" applyFont="1" applyBorder="1" applyAlignment="1" applyProtection="1">
      <alignment horizontal="center" vertical="center"/>
      <protection locked="0"/>
    </xf>
    <xf numFmtId="0" fontId="39" fillId="0" borderId="108" xfId="0" applyFont="1" applyBorder="1" applyAlignment="1" applyProtection="1">
      <alignment horizontal="center" vertical="center"/>
      <protection locked="0"/>
    </xf>
    <xf numFmtId="0" fontId="39" fillId="0" borderId="108" xfId="0" applyFont="1" applyBorder="1" applyAlignment="1" applyProtection="1">
      <alignment horizontal="center"/>
      <protection locked="0"/>
    </xf>
    <xf numFmtId="0" fontId="39" fillId="0" borderId="109" xfId="0" applyFont="1" applyBorder="1" applyAlignment="1" applyProtection="1">
      <alignment horizontal="center"/>
      <protection locked="0"/>
    </xf>
    <xf numFmtId="0" fontId="39" fillId="10" borderId="90" xfId="50" applyFont="1" applyFill="1" applyBorder="1" applyAlignment="1" applyProtection="1">
      <alignment horizontal="left" vertical="top" wrapText="1"/>
      <protection locked="0"/>
    </xf>
    <xf numFmtId="0" fontId="39" fillId="10" borderId="91" xfId="50" applyFont="1" applyFill="1" applyBorder="1" applyAlignment="1" applyProtection="1">
      <alignment horizontal="left" vertical="top" wrapText="1"/>
      <protection locked="0"/>
    </xf>
    <xf numFmtId="0" fontId="39" fillId="0" borderId="110" xfId="0" applyFont="1" applyBorder="1" applyAlignment="1" applyProtection="1">
      <alignment horizontal="left" vertical="top" wrapText="1"/>
      <protection locked="0"/>
    </xf>
    <xf numFmtId="0" fontId="39" fillId="0" borderId="91" xfId="0" applyFont="1" applyBorder="1" applyAlignment="1" applyProtection="1">
      <alignment horizontal="left" vertical="top" wrapText="1"/>
      <protection locked="0"/>
    </xf>
    <xf numFmtId="0" fontId="39" fillId="0" borderId="111" xfId="0" applyFont="1" applyBorder="1" applyAlignment="1" applyProtection="1">
      <alignment horizontal="left" vertical="top" wrapText="1"/>
      <protection locked="0"/>
    </xf>
    <xf numFmtId="0" fontId="36" fillId="8" borderId="91" xfId="50" applyFont="1" applyBorder="1" applyAlignment="1">
      <alignment horizontal="center" vertical="center" textRotation="255" wrapText="1"/>
    </xf>
    <xf numFmtId="0" fontId="35" fillId="0" borderId="22" xfId="0" applyFont="1" applyBorder="1" applyAlignment="1">
      <alignment vertical="top" wrapText="1"/>
    </xf>
    <xf numFmtId="0" fontId="36" fillId="8" borderId="112" xfId="50" applyFont="1" applyBorder="1" applyAlignment="1">
      <alignment horizontal="left" vertical="center"/>
    </xf>
    <xf numFmtId="0" fontId="37" fillId="8" borderId="112" xfId="51" applyFont="1" applyBorder="1" applyAlignment="1">
      <alignment horizontal="center" vertical="center"/>
    </xf>
    <xf numFmtId="0" fontId="36" fillId="0" borderId="72" xfId="50" applyFont="1" applyFill="1" applyBorder="1" applyAlignment="1"/>
    <xf numFmtId="0" fontId="36" fillId="8" borderId="32" xfId="50" applyFont="1" applyBorder="1" applyAlignment="1"/>
    <xf numFmtId="0" fontId="36" fillId="8" borderId="33" xfId="50" applyFont="1" applyBorder="1" applyAlignment="1"/>
    <xf numFmtId="0" fontId="36" fillId="8" borderId="52" xfId="50" applyFont="1" applyBorder="1" applyAlignment="1">
      <alignment horizontal="left"/>
    </xf>
    <xf numFmtId="0" fontId="36" fillId="8" borderId="25" xfId="50" applyFont="1" applyBorder="1" applyAlignment="1">
      <alignment horizontal="left"/>
    </xf>
    <xf numFmtId="0" fontId="36" fillId="8" borderId="54" xfId="50" applyFont="1" applyBorder="1" applyAlignment="1">
      <alignment horizontal="left"/>
    </xf>
    <xf numFmtId="0" fontId="37" fillId="8" borderId="52" xfId="50" applyFont="1" applyBorder="1">
      <alignment horizontal="center"/>
    </xf>
    <xf numFmtId="0" fontId="37" fillId="8" borderId="25" xfId="50" applyFont="1" applyBorder="1">
      <alignment horizontal="center"/>
    </xf>
    <xf numFmtId="0" fontId="37" fillId="8" borderId="54" xfId="50" applyFont="1" applyBorder="1">
      <alignment horizontal="center"/>
    </xf>
    <xf numFmtId="0" fontId="37" fillId="8" borderId="113" xfId="50" applyFont="1" applyBorder="1">
      <alignment horizontal="center"/>
    </xf>
    <xf numFmtId="0" fontId="42" fillId="0" borderId="31" xfId="0" applyFont="1" applyBorder="1"/>
    <xf numFmtId="0" fontId="36" fillId="8" borderId="52" xfId="0" applyFont="1" applyFill="1" applyBorder="1" applyAlignment="1">
      <alignment horizontal="center"/>
    </xf>
    <xf numFmtId="0" fontId="36" fillId="8" borderId="25" xfId="0" applyFont="1" applyFill="1" applyBorder="1" applyAlignment="1">
      <alignment horizontal="center"/>
    </xf>
    <xf numFmtId="0" fontId="35" fillId="10" borderId="25" xfId="0" applyFont="1" applyFill="1" applyBorder="1" applyAlignment="1">
      <alignment horizontal="center" vertical="center"/>
    </xf>
    <xf numFmtId="0" fontId="35" fillId="10" borderId="54" xfId="0" applyFont="1" applyFill="1" applyBorder="1" applyAlignment="1">
      <alignment horizontal="center" vertical="center"/>
    </xf>
    <xf numFmtId="49" fontId="9" fillId="0" borderId="114" xfId="0" applyNumberFormat="1" applyFont="1" applyBorder="1" applyAlignment="1" applyProtection="1">
      <alignment horizontal="center" vertical="center"/>
      <protection locked="0"/>
    </xf>
    <xf numFmtId="49" fontId="9" fillId="0" borderId="50" xfId="0" applyNumberFormat="1" applyFont="1" applyBorder="1" applyAlignment="1" applyProtection="1">
      <alignment horizontal="center" vertical="center"/>
      <protection locked="0"/>
    </xf>
    <xf numFmtId="0" fontId="35" fillId="0" borderId="50" xfId="49" applyFont="1" applyBorder="1" applyAlignment="1">
      <alignment horizontal="center" vertical="center"/>
    </xf>
    <xf numFmtId="176" fontId="35" fillId="0" borderId="50" xfId="0" applyNumberFormat="1" applyFont="1" applyBorder="1" applyAlignment="1">
      <alignment horizontal="right" vertical="center"/>
    </xf>
    <xf numFmtId="0" fontId="35" fillId="0" borderId="50" xfId="0" applyFont="1" applyBorder="1" applyAlignment="1">
      <alignment horizontal="right" vertical="center"/>
    </xf>
    <xf numFmtId="0" fontId="35" fillId="0" borderId="50" xfId="0" applyFont="1" applyBorder="1" applyAlignment="1" applyProtection="1">
      <alignment horizontal="right" vertical="center"/>
      <protection locked="0"/>
    </xf>
    <xf numFmtId="0" fontId="35" fillId="0" borderId="115" xfId="0" applyFont="1" applyBorder="1" applyAlignment="1" applyProtection="1">
      <alignment horizontal="right" vertical="center"/>
      <protection locked="0"/>
    </xf>
    <xf numFmtId="49" fontId="9" fillId="0" borderId="116" xfId="0" applyNumberFormat="1" applyFont="1" applyBorder="1" applyAlignment="1" applyProtection="1">
      <alignment horizontal="center" vertical="center"/>
      <protection locked="0"/>
    </xf>
    <xf numFmtId="0" fontId="35" fillId="0" borderId="117" xfId="0" applyFont="1" applyBorder="1" applyAlignment="1" applyProtection="1">
      <alignment horizontal="right" vertical="center"/>
      <protection locked="0"/>
    </xf>
    <xf numFmtId="0" fontId="35" fillId="0" borderId="114" xfId="0" applyFont="1" applyBorder="1" applyAlignment="1">
      <alignment horizontal="center" vertical="center"/>
    </xf>
    <xf numFmtId="0" fontId="35" fillId="0" borderId="50" xfId="0" applyFont="1" applyBorder="1" applyAlignment="1">
      <alignment horizontal="center" vertical="center"/>
    </xf>
    <xf numFmtId="0" fontId="35" fillId="0" borderId="50" xfId="0" applyFont="1" applyBorder="1" applyAlignment="1" applyProtection="1">
      <alignment horizontal="left" vertical="top" wrapText="1"/>
      <protection locked="0"/>
    </xf>
    <xf numFmtId="0" fontId="35" fillId="0" borderId="118" xfId="0" applyFont="1" applyBorder="1" applyAlignment="1" applyProtection="1">
      <alignment horizontal="left" vertical="top" wrapText="1"/>
      <protection locked="0"/>
    </xf>
    <xf numFmtId="0" fontId="35" fillId="0" borderId="119"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1" xfId="0" applyFont="1" applyBorder="1" applyAlignment="1" applyProtection="1">
      <alignment horizontal="center" vertical="center"/>
      <protection locked="0"/>
    </xf>
    <xf numFmtId="0" fontId="43" fillId="8" borderId="90" xfId="0" applyFont="1" applyFill="1" applyBorder="1" applyAlignment="1">
      <alignment horizontal="center" vertical="top"/>
    </xf>
    <xf numFmtId="0" fontId="43" fillId="8" borderId="91" xfId="0" applyFont="1" applyFill="1" applyBorder="1" applyAlignment="1">
      <alignment horizontal="center" vertical="top"/>
    </xf>
    <xf numFmtId="0" fontId="35" fillId="10" borderId="91" xfId="0" applyFont="1" applyFill="1" applyBorder="1" applyAlignment="1">
      <alignment horizontal="center" vertical="center"/>
    </xf>
    <xf numFmtId="0" fontId="35" fillId="10" borderId="111" xfId="0" applyFont="1" applyFill="1" applyBorder="1" applyAlignment="1">
      <alignment horizontal="center" vertical="center"/>
    </xf>
    <xf numFmtId="49" fontId="9" fillId="0" borderId="55" xfId="0" applyNumberFormat="1" applyFont="1" applyBorder="1" applyAlignment="1" applyProtection="1">
      <alignment horizontal="center" vertical="center"/>
      <protection locked="0"/>
    </xf>
    <xf numFmtId="49" fontId="9" fillId="0" borderId="56" xfId="0" applyNumberFormat="1" applyFont="1" applyBorder="1" applyAlignment="1" applyProtection="1">
      <alignment horizontal="center" vertical="center"/>
      <protection locked="0"/>
    </xf>
    <xf numFmtId="0" fontId="35" fillId="0" borderId="56" xfId="49" applyFont="1" applyBorder="1" applyAlignment="1">
      <alignment horizontal="center" vertical="center"/>
    </xf>
    <xf numFmtId="176" fontId="35" fillId="0" borderId="56" xfId="0" applyNumberFormat="1" applyFont="1" applyBorder="1" applyAlignment="1">
      <alignment horizontal="right" vertical="center"/>
    </xf>
    <xf numFmtId="0" fontId="35" fillId="0" borderId="56" xfId="0" applyFont="1" applyBorder="1" applyAlignment="1">
      <alignment horizontal="right" vertical="center"/>
    </xf>
    <xf numFmtId="0" fontId="35" fillId="0" borderId="122" xfId="0" applyFont="1" applyBorder="1" applyAlignment="1" applyProtection="1">
      <alignment horizontal="right" vertical="center"/>
      <protection locked="0"/>
    </xf>
    <xf numFmtId="49" fontId="9" fillId="0" borderId="123" xfId="0" applyNumberFormat="1" applyFont="1" applyBorder="1" applyAlignment="1" applyProtection="1">
      <alignment horizontal="center" vertical="center"/>
      <protection locked="0"/>
    </xf>
    <xf numFmtId="0" fontId="35" fillId="0" borderId="124" xfId="0" applyFont="1" applyBorder="1" applyAlignment="1" applyProtection="1">
      <alignment horizontal="right" vertical="center"/>
      <protection locked="0"/>
    </xf>
    <xf numFmtId="0" fontId="35" fillId="0" borderId="56" xfId="0" applyFont="1" applyBorder="1" applyAlignment="1" applyProtection="1">
      <alignment horizontal="left" vertical="top" wrapText="1"/>
      <protection locked="0"/>
    </xf>
    <xf numFmtId="0" fontId="35" fillId="0" borderId="66" xfId="0" applyFont="1" applyBorder="1" applyAlignment="1" applyProtection="1">
      <alignment horizontal="left" vertical="top" wrapText="1"/>
      <protection locked="0"/>
    </xf>
    <xf numFmtId="0" fontId="35" fillId="0" borderId="125" xfId="0" applyFont="1" applyBorder="1" applyAlignment="1" applyProtection="1">
      <alignment horizontal="center" vertical="center"/>
      <protection locked="0"/>
    </xf>
    <xf numFmtId="0" fontId="35" fillId="0" borderId="56"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42" fillId="0" borderId="126" xfId="0" applyFont="1" applyBorder="1"/>
    <xf numFmtId="0" fontId="35" fillId="0" borderId="24" xfId="0" applyFont="1" applyBorder="1" applyAlignment="1">
      <alignment horizontal="center" vertical="top" wrapText="1"/>
    </xf>
    <xf numFmtId="0" fontId="35" fillId="0" borderId="25" xfId="0" applyFont="1" applyBorder="1" applyAlignment="1">
      <alignment horizontal="center" vertical="top" wrapText="1"/>
    </xf>
    <xf numFmtId="0" fontId="35" fillId="0" borderId="26" xfId="0" applyFont="1" applyBorder="1" applyAlignment="1">
      <alignment horizontal="center" vertical="top" wrapText="1"/>
    </xf>
    <xf numFmtId="0" fontId="36" fillId="8" borderId="63" xfId="50" applyFont="1" applyBorder="1" applyAlignment="1">
      <alignment horizontal="left" wrapText="1"/>
    </xf>
    <xf numFmtId="0" fontId="36" fillId="8" borderId="0" xfId="50" applyFont="1" applyBorder="1" applyAlignment="1">
      <alignment horizontal="left" wrapText="1"/>
    </xf>
    <xf numFmtId="0" fontId="36" fillId="8" borderId="65" xfId="50" applyFont="1" applyBorder="1" applyAlignment="1">
      <alignment horizontal="left" wrapText="1"/>
    </xf>
    <xf numFmtId="0" fontId="35" fillId="0" borderId="16" xfId="49" applyFont="1" applyBorder="1" applyAlignment="1">
      <alignment horizontal="right" vertical="center"/>
    </xf>
    <xf numFmtId="0" fontId="35" fillId="0" borderId="17" xfId="49" applyFont="1" applyBorder="1" applyAlignment="1">
      <alignment horizontal="right" vertical="center"/>
    </xf>
    <xf numFmtId="0" fontId="35" fillId="0" borderId="17" xfId="49" applyFont="1" applyBorder="1" applyAlignment="1" applyProtection="1">
      <alignment horizontal="left" vertical="center"/>
      <protection locked="0"/>
    </xf>
    <xf numFmtId="0" fontId="35" fillId="0" borderId="127" xfId="49" applyFont="1" applyBorder="1" applyAlignment="1" applyProtection="1">
      <alignment horizontal="left" vertical="center"/>
      <protection locked="0"/>
    </xf>
    <xf numFmtId="0" fontId="35" fillId="11" borderId="55" xfId="0" applyFont="1" applyFill="1" applyBorder="1" applyAlignment="1">
      <alignment horizontal="center" vertical="center" wrapText="1"/>
    </xf>
    <xf numFmtId="0" fontId="35" fillId="11" borderId="56" xfId="0" applyFont="1" applyFill="1" applyBorder="1" applyAlignment="1">
      <alignment horizontal="center" vertical="center" wrapText="1"/>
    </xf>
    <xf numFmtId="0" fontId="35" fillId="11" borderId="56" xfId="0" applyFont="1" applyFill="1" applyBorder="1" applyAlignment="1" applyProtection="1">
      <alignment horizontal="left" vertical="top" wrapText="1"/>
      <protection locked="0"/>
    </xf>
    <xf numFmtId="0" fontId="35" fillId="11" borderId="66" xfId="0" applyFont="1" applyFill="1" applyBorder="1" applyAlignment="1" applyProtection="1">
      <alignment horizontal="left" vertical="top" wrapText="1"/>
      <protection locked="0"/>
    </xf>
    <xf numFmtId="0" fontId="39" fillId="0" borderId="63" xfId="0" applyFont="1" applyBorder="1" applyAlignment="1" applyProtection="1">
      <alignment horizontal="left" vertical="top" wrapText="1"/>
      <protection locked="0"/>
    </xf>
    <xf numFmtId="0" fontId="35" fillId="0" borderId="128" xfId="49" applyFont="1" applyBorder="1" applyAlignment="1">
      <alignment horizontal="right" vertical="center"/>
    </xf>
    <xf numFmtId="0" fontId="35" fillId="0" borderId="129" xfId="49" applyFont="1" applyBorder="1" applyAlignment="1">
      <alignment horizontal="right" vertical="center"/>
    </xf>
    <xf numFmtId="0" fontId="35" fillId="0" borderId="129" xfId="49" applyFont="1" applyBorder="1" applyAlignment="1" applyProtection="1">
      <alignment horizontal="left" vertical="center"/>
      <protection locked="0"/>
    </xf>
    <xf numFmtId="0" fontId="35" fillId="0" borderId="130" xfId="49" applyFont="1" applyBorder="1" applyAlignment="1" applyProtection="1">
      <alignment horizontal="left" vertical="center"/>
      <protection locked="0"/>
    </xf>
    <xf numFmtId="0" fontId="35" fillId="0" borderId="131" xfId="0" applyFont="1" applyBorder="1" applyAlignment="1" applyProtection="1">
      <alignment horizontal="center" vertical="center"/>
      <protection locked="0"/>
    </xf>
    <xf numFmtId="0" fontId="35" fillId="0" borderId="132" xfId="0" applyFont="1" applyBorder="1" applyAlignment="1" applyProtection="1">
      <alignment horizontal="center" vertical="center"/>
      <protection locked="0"/>
    </xf>
    <xf numFmtId="0" fontId="35" fillId="0" borderId="133" xfId="0" applyFont="1" applyBorder="1" applyAlignment="1" applyProtection="1">
      <alignment horizontal="center" vertical="center"/>
      <protection locked="0"/>
    </xf>
    <xf numFmtId="0" fontId="39" fillId="0" borderId="90" xfId="0" applyFont="1" applyBorder="1" applyAlignment="1" applyProtection="1">
      <alignment horizontal="left" vertical="top" wrapText="1"/>
      <protection locked="0"/>
    </xf>
    <xf numFmtId="0" fontId="42" fillId="0" borderId="13" xfId="0" applyFont="1" applyBorder="1"/>
    <xf numFmtId="0" fontId="35" fillId="8" borderId="33" xfId="0" applyFont="1" applyFill="1" applyBorder="1"/>
    <xf numFmtId="0" fontId="37" fillId="8" borderId="33" xfId="51" applyFont="1" applyBorder="1" applyAlignment="1">
      <alignment horizontal="left"/>
    </xf>
    <xf numFmtId="0" fontId="37" fillId="8" borderId="33" xfId="51" applyFont="1" applyBorder="1" applyAlignment="1">
      <alignment horizontal="right"/>
    </xf>
    <xf numFmtId="0" fontId="43" fillId="8" borderId="33" xfId="50" applyFont="1" applyBorder="1" applyAlignment="1">
      <alignment horizontal="left"/>
    </xf>
    <xf numFmtId="0" fontId="41" fillId="8" borderId="33" xfId="0" applyFont="1" applyFill="1" applyBorder="1"/>
    <xf numFmtId="0" fontId="37" fillId="8" borderId="33" xfId="0" applyFont="1" applyFill="1" applyBorder="1" applyAlignment="1">
      <alignment horizontal="left"/>
    </xf>
    <xf numFmtId="0" fontId="37" fillId="8" borderId="33" xfId="0" applyFont="1" applyFill="1" applyBorder="1" applyAlignment="1">
      <alignment horizontal="right"/>
    </xf>
    <xf numFmtId="0" fontId="35" fillId="0" borderId="134" xfId="0" applyFont="1" applyBorder="1" applyAlignment="1" applyProtection="1">
      <alignment horizontal="left" vertical="top" wrapText="1"/>
      <protection locked="0"/>
    </xf>
    <xf numFmtId="0" fontId="35" fillId="0" borderId="118" xfId="0" applyFont="1" applyBorder="1" applyAlignment="1">
      <alignment horizontal="center" vertical="center"/>
    </xf>
    <xf numFmtId="0" fontId="39" fillId="0" borderId="32" xfId="0" applyFont="1" applyBorder="1" applyAlignment="1" applyProtection="1">
      <alignment horizontal="left" vertical="top" wrapText="1"/>
      <protection locked="0"/>
    </xf>
    <xf numFmtId="0" fontId="39" fillId="0" borderId="33" xfId="0" applyFont="1" applyBorder="1" applyAlignment="1" applyProtection="1">
      <alignment horizontal="left" vertical="top" wrapText="1"/>
      <protection locked="0"/>
    </xf>
    <xf numFmtId="0" fontId="39" fillId="0" borderId="34" xfId="0" applyFont="1" applyBorder="1" applyAlignment="1" applyProtection="1">
      <alignment horizontal="left" vertical="top" wrapText="1"/>
      <protection locked="0"/>
    </xf>
    <xf numFmtId="0" fontId="35" fillId="0" borderId="125" xfId="0" applyFont="1" applyBorder="1" applyAlignment="1" applyProtection="1">
      <alignment horizontal="left" vertical="top" wrapText="1"/>
      <protection locked="0"/>
    </xf>
    <xf numFmtId="0" fontId="35" fillId="0" borderId="135" xfId="0" applyFont="1" applyBorder="1" applyAlignment="1" applyProtection="1">
      <alignment horizontal="right" vertical="center"/>
      <protection locked="0"/>
    </xf>
    <xf numFmtId="0" fontId="35" fillId="0" borderId="136" xfId="0" applyFont="1" applyBorder="1" applyAlignment="1" applyProtection="1">
      <alignment horizontal="right" vertical="center"/>
      <protection locked="0"/>
    </xf>
    <xf numFmtId="0" fontId="35" fillId="0" borderId="66" xfId="0" applyFont="1" applyBorder="1" applyAlignment="1" applyProtection="1">
      <alignment horizontal="center" vertical="center"/>
      <protection locked="0"/>
    </xf>
    <xf numFmtId="0" fontId="35" fillId="0" borderId="137" xfId="0" applyFont="1" applyBorder="1" applyAlignment="1" applyProtection="1">
      <alignment horizontal="right" vertical="center"/>
      <protection locked="0"/>
    </xf>
    <xf numFmtId="0" fontId="35" fillId="0" borderId="43" xfId="0" applyFont="1" applyBorder="1" applyAlignment="1" applyProtection="1">
      <alignment horizontal="right" vertical="center"/>
      <protection locked="0"/>
    </xf>
    <xf numFmtId="0" fontId="35" fillId="0" borderId="66" xfId="0" applyFont="1" applyBorder="1" applyAlignment="1">
      <alignment horizontal="center" vertical="center"/>
    </xf>
    <xf numFmtId="0" fontId="35" fillId="0" borderId="55" xfId="0" applyFont="1" applyBorder="1" applyAlignment="1" applyProtection="1">
      <alignment horizontal="left" vertical="top" wrapText="1"/>
      <protection locked="0"/>
    </xf>
    <xf numFmtId="0" fontId="35" fillId="0" borderId="31" xfId="0" applyFont="1" applyBorder="1" applyAlignment="1">
      <alignment vertical="top" wrapText="1"/>
    </xf>
    <xf numFmtId="49" fontId="9" fillId="0" borderId="123" xfId="0" applyNumberFormat="1" applyFont="1" applyBorder="1" applyAlignment="1">
      <alignment horizontal="center" vertical="center"/>
    </xf>
    <xf numFmtId="49" fontId="9" fillId="0" borderId="56" xfId="0" applyNumberFormat="1" applyFont="1" applyBorder="1" applyAlignment="1">
      <alignment horizontal="center" vertical="center"/>
    </xf>
    <xf numFmtId="0" fontId="35" fillId="0" borderId="56" xfId="49" applyFont="1" applyBorder="1" applyAlignment="1" applyProtection="1">
      <alignment horizontal="center" vertical="center"/>
      <protection locked="0"/>
    </xf>
    <xf numFmtId="176" fontId="35" fillId="0" borderId="56" xfId="0" applyNumberFormat="1" applyFont="1" applyBorder="1" applyAlignment="1" applyProtection="1">
      <alignment horizontal="right" vertical="center"/>
      <protection locked="0"/>
    </xf>
    <xf numFmtId="49" fontId="9" fillId="0" borderId="138" xfId="0" applyNumberFormat="1" applyFont="1" applyBorder="1" applyAlignment="1" applyProtection="1">
      <alignment horizontal="center" vertical="center"/>
      <protection locked="0"/>
    </xf>
    <xf numFmtId="49" fontId="9" fillId="0" borderId="132" xfId="0" applyNumberFormat="1" applyFont="1" applyBorder="1" applyAlignment="1" applyProtection="1">
      <alignment horizontal="center" vertical="center"/>
      <protection locked="0"/>
    </xf>
    <xf numFmtId="0" fontId="35" fillId="0" borderId="132" xfId="49" applyFont="1" applyBorder="1" applyAlignment="1">
      <alignment horizontal="center" vertical="center"/>
    </xf>
    <xf numFmtId="176" fontId="35" fillId="0" borderId="132" xfId="0" applyNumberFormat="1" applyFont="1" applyBorder="1" applyAlignment="1">
      <alignment horizontal="right" vertical="center"/>
    </xf>
    <xf numFmtId="0" fontId="35" fillId="0" borderId="132" xfId="0" applyFont="1" applyBorder="1" applyAlignment="1">
      <alignment horizontal="right" vertical="center"/>
    </xf>
    <xf numFmtId="0" fontId="35" fillId="0" borderId="132" xfId="0" applyFont="1" applyBorder="1" applyAlignment="1" applyProtection="1">
      <alignment horizontal="right" vertical="center"/>
      <protection locked="0"/>
    </xf>
    <xf numFmtId="0" fontId="35" fillId="0" borderId="139" xfId="0" applyFont="1" applyBorder="1" applyAlignment="1" applyProtection="1">
      <alignment horizontal="right" vertical="center"/>
      <protection locked="0"/>
    </xf>
    <xf numFmtId="49" fontId="9" fillId="0" borderId="140" xfId="0" applyNumberFormat="1" applyFont="1" applyBorder="1" applyAlignment="1" applyProtection="1">
      <alignment horizontal="center" vertical="center"/>
      <protection locked="0"/>
    </xf>
    <xf numFmtId="0" fontId="35" fillId="0" borderId="132" xfId="49" applyFont="1" applyBorder="1" applyAlignment="1" applyProtection="1">
      <alignment horizontal="center" vertical="center"/>
      <protection locked="0"/>
    </xf>
    <xf numFmtId="176" fontId="35" fillId="0" borderId="132" xfId="0" applyNumberFormat="1" applyFont="1" applyBorder="1" applyAlignment="1" applyProtection="1">
      <alignment horizontal="right" vertical="center"/>
      <protection locked="0"/>
    </xf>
    <xf numFmtId="0" fontId="35" fillId="0" borderId="133" xfId="0" applyFont="1" applyBorder="1" applyAlignment="1" applyProtection="1">
      <alignment horizontal="right" vertical="center"/>
      <protection locked="0"/>
    </xf>
    <xf numFmtId="0" fontId="35" fillId="0" borderId="67" xfId="0" applyFont="1" applyBorder="1" applyAlignment="1" applyProtection="1">
      <alignment horizontal="left" vertical="top" wrapText="1"/>
      <protection locked="0"/>
    </xf>
    <xf numFmtId="0" fontId="35" fillId="0" borderId="68" xfId="0" applyFont="1" applyBorder="1" applyAlignment="1" applyProtection="1">
      <alignment horizontal="left" vertical="top" wrapText="1"/>
      <protection locked="0"/>
    </xf>
    <xf numFmtId="0" fontId="35" fillId="0" borderId="141" xfId="0" applyFont="1" applyBorder="1" applyAlignment="1" applyProtection="1">
      <alignment horizontal="left" vertical="top" wrapText="1"/>
      <protection locked="0"/>
    </xf>
    <xf numFmtId="0" fontId="35" fillId="0" borderId="142" xfId="0" applyFont="1" applyBorder="1" applyAlignment="1" applyProtection="1">
      <alignment horizontal="left" vertical="top" wrapText="1"/>
      <protection locked="0"/>
    </xf>
    <xf numFmtId="0" fontId="35" fillId="0" borderId="143" xfId="0" applyFont="1" applyBorder="1" applyAlignment="1" applyProtection="1">
      <alignment horizontal="right" vertical="center"/>
      <protection locked="0"/>
    </xf>
    <xf numFmtId="0" fontId="35" fillId="0" borderId="144" xfId="0" applyFont="1" applyBorder="1" applyAlignment="1" applyProtection="1">
      <alignment horizontal="right" vertical="center"/>
      <protection locked="0"/>
    </xf>
    <xf numFmtId="0" fontId="35" fillId="0" borderId="68" xfId="0" applyFont="1" applyBorder="1" applyAlignment="1" applyProtection="1">
      <alignment horizontal="center" vertical="center"/>
      <protection locked="0"/>
    </xf>
    <xf numFmtId="0" fontId="35" fillId="0" borderId="141" xfId="0" applyFont="1" applyBorder="1" applyAlignment="1" applyProtection="1">
      <alignment horizontal="center" vertical="center"/>
      <protection locked="0"/>
    </xf>
    <xf numFmtId="0" fontId="42" fillId="0" borderId="12" xfId="0" applyFont="1" applyBorder="1"/>
    <xf numFmtId="0" fontId="35" fillId="0" borderId="145" xfId="0" applyFont="1" applyBorder="1"/>
    <xf numFmtId="0" fontId="42" fillId="0" borderId="145" xfId="0" applyFont="1" applyBorder="1"/>
    <xf numFmtId="0" fontId="44" fillId="14" borderId="32" xfId="0" applyFont="1" applyFill="1" applyBorder="1" applyAlignment="1">
      <alignment horizontal="left"/>
    </xf>
    <xf numFmtId="0" fontId="44" fillId="14" borderId="33" xfId="0" applyFont="1" applyFill="1" applyBorder="1" applyAlignment="1">
      <alignment horizontal="left"/>
    </xf>
    <xf numFmtId="0" fontId="44" fillId="14" borderId="146" xfId="0" applyFont="1" applyFill="1" applyBorder="1" applyAlignment="1">
      <alignment horizontal="left"/>
    </xf>
    <xf numFmtId="0" fontId="35" fillId="0" borderId="147" xfId="0" applyFont="1" applyBorder="1" applyAlignment="1" applyProtection="1">
      <alignment horizontal="left"/>
      <protection locked="0"/>
    </xf>
    <xf numFmtId="0" fontId="35" fillId="0" borderId="148" xfId="0" applyFont="1" applyBorder="1" applyAlignment="1" applyProtection="1">
      <alignment horizontal="left"/>
      <protection locked="0"/>
    </xf>
    <xf numFmtId="0" fontId="35" fillId="0" borderId="149" xfId="0" applyFont="1" applyBorder="1" applyAlignment="1" applyProtection="1">
      <alignment horizontal="left"/>
      <protection locked="0"/>
    </xf>
    <xf numFmtId="0" fontId="35" fillId="0" borderId="150" xfId="0" applyFont="1" applyBorder="1"/>
    <xf numFmtId="0" fontId="35" fillId="0" borderId="151" xfId="0" applyFont="1" applyBorder="1"/>
    <xf numFmtId="0" fontId="35" fillId="0" borderId="152" xfId="0" applyFont="1" applyBorder="1"/>
    <xf numFmtId="0" fontId="44" fillId="14" borderId="153" xfId="0" applyFont="1" applyFill="1" applyBorder="1" applyAlignment="1">
      <alignment horizontal="left"/>
    </xf>
    <xf numFmtId="0" fontId="44" fillId="14" borderId="154" xfId="0" applyFont="1" applyFill="1" applyBorder="1" applyAlignment="1">
      <alignment horizontal="left"/>
    </xf>
    <xf numFmtId="0" fontId="44" fillId="14" borderId="155" xfId="0" applyFont="1" applyFill="1" applyBorder="1" applyAlignment="1">
      <alignment horizontal="left"/>
    </xf>
    <xf numFmtId="0" fontId="35" fillId="0" borderId="156" xfId="0" applyFont="1" applyBorder="1" applyAlignment="1" applyProtection="1">
      <alignment horizontal="left"/>
      <protection locked="0"/>
    </xf>
    <xf numFmtId="0" fontId="35" fillId="0" borderId="157" xfId="0" applyFont="1" applyBorder="1" applyAlignment="1" applyProtection="1">
      <alignment horizontal="left"/>
      <protection locked="0"/>
    </xf>
    <xf numFmtId="0" fontId="35" fillId="0" borderId="32" xfId="0" applyFont="1" applyBorder="1" applyAlignment="1" applyProtection="1">
      <alignment horizontal="left"/>
      <protection locked="0"/>
    </xf>
    <xf numFmtId="0" fontId="35" fillId="0" borderId="33" xfId="0" applyFont="1" applyBorder="1" applyAlignment="1" applyProtection="1">
      <alignment horizontal="left"/>
      <protection locked="0"/>
    </xf>
    <xf numFmtId="0" fontId="35" fillId="0" borderId="34" xfId="0" applyFont="1" applyBorder="1" applyAlignment="1" applyProtection="1">
      <alignment horizontal="left"/>
      <protection locked="0"/>
    </xf>
    <xf numFmtId="0" fontId="45" fillId="15" borderId="32" xfId="0" applyFont="1" applyFill="1" applyBorder="1" applyAlignment="1">
      <alignment horizontal="left"/>
    </xf>
    <xf numFmtId="0" fontId="45" fillId="15" borderId="33" xfId="0" applyFont="1" applyFill="1" applyBorder="1" applyAlignment="1">
      <alignment horizontal="left"/>
    </xf>
    <xf numFmtId="0" fontId="45" fillId="15" borderId="158" xfId="0" applyFont="1" applyFill="1" applyBorder="1" applyAlignment="1">
      <alignment horizontal="left"/>
    </xf>
    <xf numFmtId="0" fontId="35" fillId="0" borderId="143" xfId="0" applyFont="1" applyBorder="1" applyAlignment="1" applyProtection="1">
      <alignment horizontal="left"/>
      <protection locked="0"/>
    </xf>
    <xf numFmtId="0" fontId="35" fillId="0" borderId="91" xfId="0" applyFont="1" applyBorder="1" applyAlignment="1" applyProtection="1">
      <alignment horizontal="left"/>
      <protection locked="0"/>
    </xf>
    <xf numFmtId="0" fontId="35" fillId="0" borderId="111" xfId="0" applyFont="1" applyBorder="1" applyAlignment="1" applyProtection="1">
      <alignment horizontal="left"/>
      <protection locked="0"/>
    </xf>
    <xf numFmtId="0" fontId="35" fillId="0" borderId="159" xfId="0" applyFont="1" applyBorder="1" applyAlignment="1">
      <alignment horizontal="left"/>
    </xf>
    <xf numFmtId="0" fontId="35" fillId="0" borderId="12" xfId="0" applyFont="1" applyBorder="1" applyAlignment="1">
      <alignment wrapText="1"/>
    </xf>
    <xf numFmtId="0" fontId="35" fillId="0" borderId="160" xfId="0" applyFont="1" applyBorder="1" applyAlignment="1">
      <alignment wrapText="1"/>
    </xf>
    <xf numFmtId="0" fontId="35" fillId="0" borderId="20" xfId="0" applyFont="1" applyBorder="1" applyAlignment="1">
      <alignment wrapText="1"/>
    </xf>
    <xf numFmtId="0" fontId="35" fillId="0" borderId="13" xfId="0" applyFont="1" applyBorder="1" applyAlignment="1">
      <alignment wrapText="1"/>
    </xf>
    <xf numFmtId="0" fontId="46" fillId="0" borderId="0" xfId="0" applyFont="1" applyAlignment="1">
      <alignment vertical="center" shrinkToFit="1"/>
    </xf>
    <xf numFmtId="0" fontId="47" fillId="0" borderId="161" xfId="0" applyFont="1" applyBorder="1" applyAlignment="1">
      <alignment horizontal="center"/>
    </xf>
    <xf numFmtId="0" fontId="47" fillId="0" borderId="162" xfId="0" applyFont="1" applyBorder="1" applyAlignment="1">
      <alignment horizontal="center"/>
    </xf>
    <xf numFmtId="0" fontId="35" fillId="0" borderId="163" xfId="0" applyFont="1" applyBorder="1"/>
    <xf numFmtId="0" fontId="35" fillId="0" borderId="164" xfId="0" applyFont="1" applyBorder="1"/>
    <xf numFmtId="0" fontId="35" fillId="0" borderId="165" xfId="0" applyFont="1" applyBorder="1"/>
    <xf numFmtId="0" fontId="35" fillId="0" borderId="166" xfId="0" applyFont="1" applyBorder="1" applyAlignment="1">
      <alignment horizontal="left" vertical="top" wrapText="1"/>
    </xf>
    <xf numFmtId="0" fontId="35" fillId="0" borderId="12" xfId="0" applyFont="1" applyBorder="1" applyAlignment="1">
      <alignment horizontal="left" vertical="top" wrapText="1"/>
    </xf>
    <xf numFmtId="0" fontId="45" fillId="0" borderId="12" xfId="0" applyFont="1" applyBorder="1" applyAlignment="1">
      <alignment horizontal="left" vertical="top" wrapText="1"/>
    </xf>
    <xf numFmtId="0" fontId="35" fillId="0" borderId="18" xfId="0" applyFont="1" applyBorder="1" applyAlignment="1">
      <alignment vertical="top" wrapText="1"/>
    </xf>
    <xf numFmtId="0" fontId="45" fillId="0" borderId="77" xfId="0" applyFont="1" applyBorder="1" applyAlignment="1">
      <alignment horizontal="left" vertical="top" wrapText="1"/>
    </xf>
    <xf numFmtId="0" fontId="45" fillId="0" borderId="159" xfId="0" applyFont="1" applyBorder="1" applyAlignment="1">
      <alignment horizontal="left" vertical="top" wrapText="1"/>
    </xf>
    <xf numFmtId="0" fontId="35" fillId="0" borderId="77" xfId="0" applyFont="1" applyBorder="1" applyAlignment="1">
      <alignment horizontal="left" vertical="top" wrapText="1"/>
    </xf>
    <xf numFmtId="0" fontId="35" fillId="0" borderId="159" xfId="0" applyFont="1" applyBorder="1" applyAlignment="1">
      <alignment horizontal="left" vertical="top" wrapText="1"/>
    </xf>
    <xf numFmtId="0" fontId="45" fillId="0" borderId="13" xfId="0" applyFont="1" applyBorder="1" applyAlignment="1">
      <alignment horizontal="left"/>
    </xf>
    <xf numFmtId="0" fontId="45" fillId="0" borderId="167" xfId="0" applyFont="1" applyBorder="1" applyAlignment="1">
      <alignment horizontal="left"/>
    </xf>
    <xf numFmtId="0" fontId="48" fillId="0" borderId="0" xfId="0" applyFont="1" applyAlignment="1">
      <alignment vertical="center" shrinkToFit="1"/>
    </xf>
    <xf numFmtId="0" fontId="35" fillId="0" borderId="167" xfId="0" applyFont="1" applyBorder="1"/>
    <xf numFmtId="0" fontId="35" fillId="0" borderId="168" xfId="0" applyFont="1" applyBorder="1"/>
    <xf numFmtId="0" fontId="35" fillId="0" borderId="169" xfId="0" applyFont="1" applyBorder="1"/>
    <xf numFmtId="0" fontId="35" fillId="0" borderId="20" xfId="0" applyFont="1" applyBorder="1" applyAlignment="1">
      <alignment horizontal="left" vertical="top" wrapText="1"/>
    </xf>
    <xf numFmtId="0" fontId="45" fillId="0" borderId="13" xfId="0" applyFont="1" applyBorder="1" applyAlignment="1">
      <alignment horizontal="left" vertical="top" wrapText="1"/>
    </xf>
    <xf numFmtId="0" fontId="35" fillId="0" borderId="13" xfId="0" applyFont="1" applyBorder="1" applyAlignment="1">
      <alignment vertical="top" wrapText="1"/>
    </xf>
    <xf numFmtId="0" fontId="35" fillId="0" borderId="19" xfId="0" applyFont="1" applyBorder="1" applyAlignment="1">
      <alignment vertical="top" wrapText="1"/>
    </xf>
    <xf numFmtId="0" fontId="35" fillId="0" borderId="13" xfId="0" applyFont="1" applyBorder="1" applyAlignment="1" applyProtection="1">
      <alignment horizontal="left" vertical="top" wrapText="1"/>
      <protection locked="0"/>
    </xf>
    <xf numFmtId="0" fontId="35" fillId="0" borderId="167" xfId="0" applyFont="1" applyBorder="1" applyAlignment="1" applyProtection="1">
      <alignment horizontal="left" vertical="top" wrapText="1"/>
      <protection locked="0"/>
    </xf>
    <xf numFmtId="0" fontId="35" fillId="0" borderId="13" xfId="0" applyFont="1" applyBorder="1" applyAlignment="1">
      <alignment horizontal="left"/>
    </xf>
    <xf numFmtId="0" fontId="49" fillId="16" borderId="0" xfId="0" applyFont="1" applyFill="1" applyAlignment="1">
      <alignment vertical="center" shrinkToFit="1"/>
    </xf>
    <xf numFmtId="0" fontId="35" fillId="0" borderId="19" xfId="0" applyFont="1" applyBorder="1" applyAlignment="1">
      <alignment horizontal="left" vertical="top" wrapText="1"/>
    </xf>
    <xf numFmtId="0" fontId="35" fillId="0" borderId="31" xfId="0" applyFont="1" applyBorder="1" applyAlignment="1">
      <alignment horizontal="left" vertical="top" wrapText="1"/>
    </xf>
    <xf numFmtId="0" fontId="45" fillId="0" borderId="19" xfId="0" applyFont="1" applyBorder="1" applyAlignment="1">
      <alignment horizontal="left" vertical="top" wrapText="1"/>
    </xf>
    <xf numFmtId="0" fontId="45" fillId="0" borderId="31" xfId="0" applyFont="1" applyBorder="1" applyAlignment="1">
      <alignment horizontal="left" vertical="top" wrapText="1"/>
    </xf>
    <xf numFmtId="0" fontId="35" fillId="0" borderId="170" xfId="0" applyFont="1" applyBorder="1"/>
    <xf numFmtId="0" fontId="35" fillId="0" borderId="171" xfId="0" applyFont="1" applyBorder="1"/>
    <xf numFmtId="0" fontId="35" fillId="0" borderId="172" xfId="0" applyFont="1" applyBorder="1"/>
    <xf numFmtId="0" fontId="35" fillId="0" borderId="173" xfId="0" applyFont="1" applyBorder="1" applyAlignment="1">
      <alignment horizontal="left"/>
    </xf>
    <xf numFmtId="0" fontId="35" fillId="0" borderId="173" xfId="0" applyFont="1" applyBorder="1"/>
    <xf numFmtId="0" fontId="35" fillId="0" borderId="174" xfId="0" applyFont="1" applyBorder="1"/>
    <xf numFmtId="0" fontId="50" fillId="0" borderId="175" xfId="0" applyFont="1" applyBorder="1" applyAlignment="1">
      <alignment horizontal="left" wrapText="1"/>
    </xf>
    <xf numFmtId="0" fontId="50" fillId="0" borderId="176" xfId="0" applyFont="1" applyBorder="1" applyAlignment="1">
      <alignment horizontal="left" wrapText="1"/>
    </xf>
    <xf numFmtId="0" fontId="50" fillId="0" borderId="177" xfId="0" applyFont="1" applyBorder="1" applyAlignment="1">
      <alignment horizontal="left" wrapText="1"/>
    </xf>
    <xf numFmtId="0" fontId="50" fillId="0" borderId="178" xfId="0" applyFont="1" applyBorder="1" applyAlignment="1">
      <alignment horizontal="left" wrapText="1"/>
    </xf>
    <xf numFmtId="0" fontId="50" fillId="0" borderId="0" xfId="0" applyFont="1" applyAlignment="1">
      <alignment horizontal="left" wrapText="1"/>
    </xf>
    <xf numFmtId="0" fontId="50" fillId="0" borderId="27" xfId="0" applyFont="1" applyBorder="1" applyAlignment="1">
      <alignment horizontal="left" wrapText="1"/>
    </xf>
    <xf numFmtId="0" fontId="35" fillId="0" borderId="170" xfId="0" applyFont="1" applyBorder="1" applyAlignment="1">
      <alignment horizontal="left" vertical="top" wrapText="1"/>
    </xf>
    <xf numFmtId="0" fontId="35" fillId="0" borderId="171" xfId="0" applyFont="1" applyBorder="1" applyAlignment="1">
      <alignment horizontal="left" vertical="top" wrapText="1"/>
    </xf>
    <xf numFmtId="0" fontId="50" fillId="0" borderId="179" xfId="0" applyFont="1" applyBorder="1" applyAlignment="1">
      <alignment horizontal="left" wrapText="1"/>
    </xf>
    <xf numFmtId="0" fontId="50" fillId="0" borderId="91" xfId="0" applyFont="1" applyBorder="1" applyAlignment="1">
      <alignment horizontal="left" wrapText="1"/>
    </xf>
    <xf numFmtId="0" fontId="50" fillId="0" borderId="75" xfId="0" applyFont="1" applyBorder="1" applyAlignment="1">
      <alignment horizontal="left" wrapText="1"/>
    </xf>
    <xf numFmtId="0" fontId="35" fillId="0" borderId="173" xfId="0" applyFont="1" applyBorder="1" applyAlignment="1" applyProtection="1">
      <alignment horizontal="left" vertical="top" wrapText="1"/>
      <protection locked="0"/>
    </xf>
    <xf numFmtId="0" fontId="35" fillId="0" borderId="174" xfId="0" applyFont="1" applyBorder="1" applyAlignment="1" applyProtection="1">
      <alignment horizontal="left" vertical="top" wrapText="1"/>
      <protection locked="0"/>
    </xf>
    <xf numFmtId="0" fontId="45" fillId="0" borderId="19" xfId="0" applyFont="1" applyBorder="1" applyAlignment="1">
      <alignment vertical="top" wrapText="1"/>
    </xf>
    <xf numFmtId="0" fontId="35" fillId="0" borderId="175" xfId="0" applyFont="1" applyBorder="1" applyAlignment="1">
      <alignment vertical="top" wrapText="1"/>
    </xf>
    <x:xf xmlns:x="http://schemas.openxmlformats.org/spreadsheetml/2006/main" numFmtId="0" fontId="74" fillId="47" borderId="189" xfId="53"/>
    <x:xf xmlns:x="http://schemas.openxmlformats.org/spreadsheetml/2006/main" numFmtId="0" fontId="75" fillId="47" borderId="189" xfId="53" applyNumberFormat="1" applyFont="1" applyFill="1" applyBorder="1"/>
    <x:xf xmlns:x="http://schemas.openxmlformats.org/spreadsheetml/2006/main" numFmtId="0" fontId="76" fillId="47" borderId="189" xfId="53" applyNumberFormat="1" applyFont="1" applyFill="1" applyBorder="1"/>
    <x:xf xmlns:x="http://schemas.openxmlformats.org/spreadsheetml/2006/main" numFmtId="0" fontId="76" fillId="47" borderId="189" xfId="53" applyNumberFormat="1" applyFont="1" applyFill="1" applyBorder="1" applyAlignment="1">
      <x:alignment wrapText="1"/>
    </x:xf>
    <x:xf xmlns:x="http://schemas.openxmlformats.org/spreadsheetml/2006/main" numFmtId="0" fontId="76" fillId="47" borderId="189" xfId="53" applyNumberFormat="1" applyFont="1" applyFill="1" applyBorder="1" applyAlignment="1">
      <x:alignment vertical="center" wrapText="1"/>
    </x:xf>
    <x:xf xmlns:x="http://schemas.openxmlformats.org/spreadsheetml/2006/main" numFmtId="0" fontId="75" fillId="47" borderId="189" xfId="53" applyNumberFormat="1" applyFont="1" applyFill="1" applyBorder="1" applyAlignment="1">
      <x:alignment wrapText="1"/>
    </x:xf>
    <x:xf xmlns:x="http://schemas.openxmlformats.org/spreadsheetml/2006/main" numFmtId="0" fontId="75" fillId="47" borderId="189" xfId="53" applyNumberFormat="1" applyFont="1" applyFill="1" applyBorder="1" applyAlignment="1">
      <x:alignment vertical="center" wrapText="1"/>
    </x:xf>
    <x:xf xmlns:x="http://schemas.openxmlformats.org/spreadsheetml/2006/main" numFmtId="0" fontId="77" fillId="47" borderId="189" xfId="53" applyNumberFormat="1" applyFont="1" applyFill="1" applyBorder="1"/>
    <x:xf xmlns:x="http://schemas.openxmlformats.org/spreadsheetml/2006/main" numFmtId="0" fontId="75" fillId="49" borderId="189" xfId="53" applyNumberFormat="1" applyFont="1" applyFill="1" applyBorder="1"/>
    <x:xf xmlns:x="http://schemas.openxmlformats.org/spreadsheetml/2006/main" numFmtId="0" fontId="78" fillId="49" borderId="189" xfId="53" applyNumberFormat="1" applyFont="1" applyFill="1" applyBorder="1"/>
    <x:xf xmlns:x="http://schemas.openxmlformats.org/spreadsheetml/2006/main" numFmtId="0" fontId="78" fillId="49" borderId="189" xfId="53" applyNumberFormat="1" applyFont="1" applyFill="1" applyBorder="1" applyAlignment="1">
      <x:alignment horizontal="center"/>
    </x:xf>
    <x:xf xmlns:x="http://schemas.openxmlformats.org/spreadsheetml/2006/main" numFmtId="0" fontId="78" fillId="49" borderId="189" xfId="53" applyNumberFormat="1" applyFont="1" applyFill="1" applyBorder="1" applyAlignment="1">
      <x:alignment horizontal="center" vertical="center"/>
    </x:xf>
    <x:xf xmlns:x="http://schemas.openxmlformats.org/spreadsheetml/2006/main" numFmtId="0" fontId="74" fillId="50" borderId="189" xfId="53" applyNumberFormat="1" applyFont="1" applyFill="1" applyBorder="1"/>
    <x:xf xmlns:x="http://schemas.openxmlformats.org/spreadsheetml/2006/main" numFmtId="0" fontId="79" fillId="50" borderId="189" xfId="53" applyNumberFormat="1" applyFont="1" applyFill="1" applyBorder="1"/>
    <x:xf xmlns:x="http://schemas.openxmlformats.org/spreadsheetml/2006/main" numFmtId="0" fontId="79" fillId="50" borderId="189" xfId="53" applyNumberFormat="1" applyFont="1" applyFill="1" applyBorder="1" applyAlignment="1">
      <x:alignment wrapText="1"/>
    </x:xf>
    <x:xf xmlns:x="http://schemas.openxmlformats.org/spreadsheetml/2006/main" numFmtId="0" fontId="79" fillId="50" borderId="189" xfId="53" applyNumberFormat="1" applyFont="1" applyFill="1" applyBorder="1" applyAlignment="1">
      <x:alignment vertical="center" wrapText="1"/>
    </x:xf>
    <x:xf xmlns:x="http://schemas.openxmlformats.org/spreadsheetml/2006/main" numFmtId="0" fontId="75" fillId="47" borderId="190" xfId="53" applyNumberFormat="1" applyFont="1" applyFill="1" applyBorder="1"/>
    <x:xf xmlns:x="http://schemas.openxmlformats.org/spreadsheetml/2006/main" numFmtId="0" fontId="75" fillId="47" borderId="190" xfId="53" applyNumberFormat="1" applyFont="1" applyFill="1" applyBorder="1" applyAlignment="1">
      <x:alignment wrapText="1"/>
    </x:xf>
    <x:xf xmlns:x="http://schemas.openxmlformats.org/spreadsheetml/2006/main" numFmtId="0" fontId="75" fillId="47" borderId="190" xfId="53" applyNumberFormat="1" applyFont="1" applyFill="1" applyBorder="1" applyAlignment="1">
      <x:alignment vertical="top" wrapText="1"/>
    </x:xf>
    <x:xf xmlns:x="http://schemas.openxmlformats.org/spreadsheetml/2006/main" numFmtId="0" fontId="80" fillId="47" borderId="190" xfId="53" applyNumberFormat="1" applyFont="1" applyFill="1" applyBorder="1" applyAlignment="1">
      <x:alignment vertical="top" wrapText="1"/>
    </x:xf>
    <x:xf xmlns:x="http://schemas.openxmlformats.org/spreadsheetml/2006/main" numFmtId="0" fontId="75" fillId="47" borderId="190" xfId="53" applyNumberFormat="1" applyFont="1" applyFill="1" applyBorder="1" applyAlignment="1">
      <x:alignment horizontal="center" vertical="top" wrapText="1"/>
    </x:xf>
    <x:xf xmlns:x="http://schemas.openxmlformats.org/spreadsheetml/2006/main" numFmtId="0" fontId="75" fillId="51" borderId="190" xfId="53" applyNumberFormat="1" applyFont="1" applyFill="1" applyBorder="1" applyAlignment="1">
      <x:alignment vertical="top" wrapText="1"/>
    </x:xf>
    <x:xf xmlns:x="http://schemas.openxmlformats.org/spreadsheetml/2006/main" numFmtId="0" fontId="80" fillId="51" borderId="190" xfId="53" applyNumberFormat="1" applyFont="1" applyFill="1" applyBorder="1" applyAlignment="1">
      <x:alignment vertical="top" wrapText="1"/>
    </x:xf>
    <x:xf xmlns:x="http://schemas.openxmlformats.org/spreadsheetml/2006/main" numFmtId="0" fontId="75" fillId="51" borderId="190" xfId="53" applyNumberFormat="1" applyFont="1" applyFill="1" applyBorder="1" applyAlignment="1">
      <x:alignment horizontal="center" vertical="top" wrapText="1"/>
    </x:xf>
    <xf numFmtId="0" fontId="81" fillId="0" borderId="191" xfId="0" applyFont="1" applyBorder="1" applyAlignment="1">
      <alignment horizontal="center" vertical="center" wrapText="1" shrinkToFit="1"/>
    </xf>
    <xf numFmtId="0" fontId="82" fillId="0" borderId="192" xfId="0" applyFont="1" applyBorder="1" applyAlignment="1">
      <alignment horizontal="left" vertical="center" wrapText="1" shrinkToFit="1"/>
    </xf>
    <xf numFmtId="0" fontId="83" fillId="0" borderId="193" xfId="0" applyFont="1" applyBorder="1" applyAlignment="1">
      <alignment horizontal="center" vertical="center" wrapText="1" shrinkToFit="1"/>
    </xf>
    <xf numFmtId="0" fontId="84" fillId="0" borderId="194" xfId="0" applyFont="1" applyBorder="1" applyAlignment="1">
      <alignment horizontal="left" vertical="center" wrapText="1" shrinkToFit="1"/>
    </xf>
    <xf numFmtId="0" fontId="85" fillId="0" borderId="195" xfId="0" applyFont="1" applyBorder="1" applyAlignment="1">
      <alignment horizontal="center" vertical="center" wrapText="1" shrinkToFit="1"/>
    </xf>
    <xf numFmtId="0" fontId="86" fillId="0" borderId="196" xfId="0" applyFont="1" applyBorder="1" applyAlignment="1">
      <alignment horizontal="left" vertical="center" wrapText="1" shrinkToFit="1"/>
    </xf>
    <xf numFmtId="0" fontId="87" fillId="0" borderId="197" xfId="0" applyFont="1" applyBorder="1" applyAlignment="1">
      <alignment horizontal="center" vertical="center" wrapText="1" shrinkToFit="1"/>
    </xf>
    <xf numFmtId="0" fontId="88" fillId="0" borderId="198" xfId="0" applyFont="1" applyBorder="1" applyAlignment="1">
      <alignment horizontal="left" vertical="center" wrapText="1" shrinkToFit="1"/>
    </xf>
    <xf numFmtId="0" fontId="89" fillId="0" borderId="199" xfId="0" applyFont="1" applyBorder="1" applyAlignment="1">
      <alignment horizontal="center" vertical="center" wrapText="1" shrinkToFit="1"/>
    </xf>
    <xf numFmtId="0" fontId="90" fillId="0" borderId="200" xfId="0" applyFont="1" applyBorder="1" applyAlignment="1">
      <alignment horizontal="left" vertical="center" wrapText="1" shrinkToFit="1"/>
    </xf>
    <xf numFmtId="0" fontId="91" fillId="0" borderId="201" xfId="0" applyFont="1" applyBorder="1" applyAlignment="1">
      <alignment horizontal="center" vertical="center" wrapText="1" shrinkToFit="1"/>
    </xf>
    <xf numFmtId="0" fontId="92" fillId="0" borderId="202" xfId="0" applyFont="1" applyBorder="1" applyAlignment="1">
      <alignment horizontal="left" vertical="center" wrapText="1" shrinkToFit="1"/>
    </xf>
    <xf numFmtId="0" fontId="93" fillId="0" borderId="203" xfId="0" applyFont="1" applyBorder="1" applyAlignment="1">
      <alignment horizontal="center" vertical="center" wrapText="1" shrinkToFit="1"/>
    </xf>
    <xf numFmtId="0" fontId="94" fillId="0" borderId="204" xfId="0" applyFont="1" applyBorder="1" applyAlignment="1">
      <alignment horizontal="left" vertical="center" wrapText="1" shrinkToFit="1"/>
    </xf>
    <xf numFmtId="0" fontId="95" fillId="0" borderId="205" xfId="0" applyFont="1" applyBorder="1" applyAlignment="1">
      <alignment horizontal="center" vertical="center" wrapText="1" shrinkToFit="1"/>
    </xf>
    <xf numFmtId="0" fontId="96" fillId="0" borderId="206" xfId="0" applyFont="1" applyBorder="1" applyAlignment="1">
      <alignment horizontal="left" vertical="center" wrapText="1" shrinkToFit="1"/>
    </xf>
    <xf numFmtId="0" fontId="97" fillId="0" borderId="207" xfId="0" applyFont="1" applyBorder="1" applyAlignment="1">
      <alignment horizontal="center" vertical="center" wrapText="1" shrinkToFit="1"/>
    </xf>
    <xf numFmtId="0" fontId="98" fillId="0" borderId="208" xfId="0" applyFont="1" applyBorder="1" applyAlignment="1">
      <alignment horizontal="left" vertical="center" wrapText="1" shrinkToFit="1"/>
    </xf>
    <xf numFmtId="0" fontId="99" fillId="0" borderId="209" xfId="0" applyFont="1" applyBorder="1" applyAlignment="1">
      <alignment horizontal="center" vertical="center" wrapText="1" shrinkToFit="1"/>
    </xf>
    <xf numFmtId="0" fontId="100" fillId="0" borderId="210" xfId="0" applyFont="1" applyBorder="1" applyAlignment="1">
      <alignment horizontal="left" vertical="center" wrapText="1" shrinkToFit="1"/>
    </xf>
    <xf numFmtId="0" fontId="101" fillId="0" borderId="211" xfId="0" applyFont="1" applyBorder="1" applyAlignment="1">
      <alignment horizontal="center" vertical="center" wrapText="1" shrinkToFit="1"/>
    </xf>
    <xf numFmtId="0" fontId="102" fillId="0" borderId="212" xfId="0" applyFont="1" applyBorder="1" applyAlignment="1">
      <alignment horizontal="left" vertical="center" wrapText="1" shrinkToFit="1"/>
    </xf>
    <x:xf xmlns:x="http://schemas.openxmlformats.org/spreadsheetml/2006/main" numFmtId="0" fontId="103" fillId="52" borderId="213" xfId="54"/>
    <x:xf xmlns:x="http://schemas.openxmlformats.org/spreadsheetml/2006/main" numFmtId="0" fontId="104" fillId="52" borderId="213" xfId="54" applyNumberFormat="1" applyFont="1" applyFill="1" applyBorder="1"/>
    <x:xf xmlns:x="http://schemas.openxmlformats.org/spreadsheetml/2006/main" numFmtId="0" fontId="104" fillId="52" borderId="213" xfId="54" applyNumberFormat="1" applyFont="1" applyFill="1" applyBorder="1" applyAlignment="1">
      <x:alignment wrapText="1"/>
    </x:xf>
    <x:xf xmlns:x="http://schemas.openxmlformats.org/spreadsheetml/2006/main" numFmtId="0" fontId="104" fillId="52" borderId="213" xfId="54" applyNumberFormat="1" applyFont="1" applyFill="1" applyBorder="1" applyAlignment="1">
      <x:alignment vertical="top" wrapText="1"/>
    </x:xf>
    <x:xf xmlns:x="http://schemas.openxmlformats.org/spreadsheetml/2006/main" numFmtId="0" fontId="105" fillId="52" borderId="213" xfId="54" applyNumberFormat="1" applyFont="1" applyFill="1" applyBorder="1" applyAlignment="1">
      <x:alignment vertical="top" wrapText="1"/>
    </x:xf>
    <x:xf xmlns:x="http://schemas.openxmlformats.org/spreadsheetml/2006/main" numFmtId="0" fontId="106" fillId="52" borderId="213" xfId="54" applyNumberFormat="1" applyFont="1" applyFill="1" applyBorder="1" applyAlignment="1">
      <x:alignment vertical="top" wrapText="1"/>
    </x:xf>
    <x:xf xmlns:x="http://schemas.openxmlformats.org/spreadsheetml/2006/main" numFmtId="0" fontId="107" fillId="52" borderId="213" xfId="54" applyNumberFormat="1" applyFont="1" applyFill="1" applyBorder="1" applyAlignment="1">
      <x:alignment vertical="top" wrapText="1"/>
    </x:xf>
    <x:xf xmlns:x="http://schemas.openxmlformats.org/spreadsheetml/2006/main" numFmtId="0" fontId="104"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horizontal="center" vertical="top" wrapText="1"/>
    </x:xf>
    <x:xf xmlns:x="http://schemas.openxmlformats.org/spreadsheetml/2006/main" numFmtId="0" fontId="108" fillId="54" borderId="213" xfId="54" applyNumberFormat="1" applyFont="1" applyFill="1" applyBorder="1" applyAlignment="1">
      <x:alignment horizontal="center" vertical="center" wrapText="1"/>
    </x:xf>
    <x:xf xmlns:x="http://schemas.openxmlformats.org/spreadsheetml/2006/main" numFmtId="180" fontId="104" fillId="52" borderId="213" xfId="54" applyNumberFormat="1" applyFont="1" applyFill="1" applyBorder="1" applyAlignment="1">
      <x:alignment vertical="top" wrapText="1"/>
    </x:xf>
    <x:xf xmlns:x="http://schemas.openxmlformats.org/spreadsheetml/2006/main" numFmtId="0" fontId="104" fillId="52" borderId="214" xfId="54" applyNumberFormat="1" applyFont="1" applyFill="1" applyBorder="1" applyAlignment="1">
      <x:alignment vertical="top" wrapText="1"/>
    </x:xf>
    <x:xf xmlns:x="http://schemas.openxmlformats.org/spreadsheetml/2006/main" numFmtId="180" fontId="104" fillId="52" borderId="214" xfId="54" applyNumberFormat="1" applyFont="1" applyFill="1" applyBorder="1" applyAlignment="1">
      <x:alignment vertical="top" wrapText="1"/>
    </x:xf>
    <x:xf xmlns:x="http://schemas.openxmlformats.org/spreadsheetml/2006/main" numFmtId="0" fontId="104" fillId="55" borderId="214" xfId="54" applyNumberFormat="1" applyFont="1" applyFill="1" applyBorder="1" applyAlignment="1">
      <x:alignment vertical="top" wrapText="1"/>
    </x:xf>
    <x:xf xmlns:x="http://schemas.openxmlformats.org/spreadsheetml/2006/main" numFmtId="180" fontId="104" fillId="55" borderId="214" xfId="54" applyNumberFormat="1" applyFont="1" applyFill="1" applyBorder="1" applyAlignment="1">
      <x:alignment vertical="top" wrapText="1"/>
    </x:xf>
    <xf numFmtId="0" fontId="109" fillId="0" borderId="0" xfId="50" applyFont="1" applyBorder="1" applyAlignment="1">
      <alignment horizontal="left" vertical="center" shrinkToFit="1"/>
    </xf>
    <xf numFmtId="0" fontId="110" fillId="6" borderId="11" xfId="0" applyFont="1" applyFill="1" applyBorder="1" applyAlignment="1">
      <alignment vertical="top" wrapText="1"/>
    </xf>
    <x:xf xmlns:x="http://schemas.openxmlformats.org/spreadsheetml/2006/main" numFmtId="0" fontId="111" fillId="56" borderId="215" xfId="55"/>
    <x:xf xmlns:x="http://schemas.openxmlformats.org/spreadsheetml/2006/main" numFmtId="0" fontId="112" fillId="56" borderId="215" xfId="55" applyNumberFormat="1" applyFont="1" applyFill="1" applyBorder="1"/>
    <x:xf xmlns:x="http://schemas.openxmlformats.org/spreadsheetml/2006/main" numFmtId="0" fontId="112" fillId="56" borderId="215" xfId="55" applyNumberFormat="1" applyFont="1" applyFill="1" applyBorder="1" applyAlignment="1">
      <x:alignment wrapText="1"/>
    </x:xf>
    <x:xf xmlns:x="http://schemas.openxmlformats.org/spreadsheetml/2006/main" numFmtId="0" fontId="112" fillId="56" borderId="215" xfId="55" applyNumberFormat="1" applyFont="1" applyFill="1" applyBorder="1" applyAlignment="1">
      <x:alignment vertical="top" wrapText="1"/>
    </x:xf>
    <x:xf xmlns:x="http://schemas.openxmlformats.org/spreadsheetml/2006/main" numFmtId="0" fontId="112"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center" wrapText="1"/>
    </x:xf>
    <x:xf xmlns:x="http://schemas.openxmlformats.org/spreadsheetml/2006/main" numFmtId="0" fontId="112" fillId="59" borderId="215" xfId="55" applyNumberFormat="1" applyFont="1" applyFill="1" applyBorder="1" applyAlignment="1">
      <x:alignment vertical="top" wrapText="1"/>
    </x:xf>
    <x:xf xmlns:x="http://schemas.openxmlformats.org/spreadsheetml/2006/main" numFmtId="0" fontId="114" fillId="59" borderId="215" xfId="55" applyNumberFormat="1" applyFont="1" applyFill="1" applyBorder="1" applyAlignment="1">
      <x:alignment vertical="top" wrapText="1"/>
    </x:xf>
    <x:xf xmlns:x="http://schemas.openxmlformats.org/spreadsheetml/2006/main" numFmtId="0" fontId="115" fillId="56" borderId="215" xfId="55" applyNumberFormat="1" applyFont="1" applyFill="1" applyBorder="1" applyAlignment="1">
      <x:alignment vertical="top" wrapText="1"/>
    </x:xf>
    <x:xf xmlns:x="http://schemas.openxmlformats.org/spreadsheetml/2006/main" numFmtId="0" fontId="112"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center" wrapText="1"/>
    </x:xf>
    <x:xf xmlns:x="http://schemas.openxmlformats.org/spreadsheetml/2006/main" numFmtId="0" fontId="112" fillId="56" borderId="216" xfId="55" applyNumberFormat="1" applyFont="1" applyFill="1" applyBorder="1" applyAlignment="1">
      <x:alignment vertical="top" wrapText="1"/>
    </x:xf>
    <x:xf xmlns:x="http://schemas.openxmlformats.org/spreadsheetml/2006/main" numFmtId="0" fontId="112" fillId="56" borderId="217" xfId="55" applyNumberFormat="1" applyFont="1" applyFill="1" applyBorder="1" applyAlignment="1">
      <x:alignment vertical="top" wrapText="1"/>
    </x:xf>
    <x:xf xmlns:x="http://schemas.openxmlformats.org/spreadsheetml/2006/main" numFmtId="0" fontId="112" fillId="59" borderId="217" xfId="55" applyNumberFormat="1" applyFont="1" applyFill="1" applyBorder="1" applyAlignment="1">
      <x:alignment vertical="top" wrapText="1"/>
    </x:xf>
    <x:xf xmlns:x="http://schemas.openxmlformats.org/spreadsheetml/2006/main" numFmtId="0" fontId="117" fillId="59" borderId="217" xfId="55" applyNumberFormat="1" applyFont="1" applyFill="1" applyBorder="1" applyAlignment="1">
      <x:alignment vertical="top" wrapText="1"/>
    </x:xf>
    <x:xf xmlns:x="http://schemas.openxmlformats.org/spreadsheetml/2006/main" numFmtId="0" fontId="112"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horizontal="center" vertical="top" wrapText="1"/>
    </x:xf>
    <xf numFmtId="0" fontId="118" fillId="0" borderId="0" xfId="50" applyFont="1" applyBorder="1" applyAlignment="1">
      <alignment horizontal="left" vertical="center" shrinkToFit="1"/>
    </xf>
    <xf numFmtId="0" fontId="119" fillId="0" borderId="0" xfId="0" applyFont="1" applyProtection="1">
      <protection locked="0"/>
    </xf>
    <xf numFmtId="0" fontId="120" fillId="0" borderId="0" xfId="0" applyFont="1" applyAlignment="1" applyProtection="1">
      <alignment vertical="top" wrapText="1"/>
      <protection locked="0"/>
    </xf>
    <xf numFmtId="0" fontId="121" fillId="0" borderId="0" xfId="0" applyAlignment="1" applyProtection="1" applyFont="1">
      <alignment vertical="top" wrapText="1"/>
      <protection locked="0"/>
    </xf>
    <xf numFmtId="0" fontId="121" fillId="0" borderId="0" xfId="0" applyProtection="1" applyFont="1">
      <protection locked="0"/>
    </xf>
    <xf numFmtId="0" fontId="122" fillId="61" borderId="218" xfId="0" applyFont="1" applyFill="1" applyAlignment="1" applyBorder="1">
      <alignment horizontal="left"/>
    </xf>
    <xf numFmtId="0" fontId="121" fillId="0" borderId="218" xfId="0" applyFont="1" applyBorder="1"/>
    <xf numFmtId="49" fontId="121" fillId="16" borderId="218" xfId="0" applyNumberFormat="1" applyFill="1" applyProtection="1" applyFont="1" applyBorder="1">
      <protection locked="0"/>
    </xf>
    <xf numFmtId="0" fontId="121" fillId="16" borderId="0" xfId="0" applyFill="1" applyProtection="1" applyFont="1">
      <protection locked="0"/>
    </xf>
    <xf numFmtId="0" fontId="121" fillId="16" borderId="218" xfId="0" applyFill="1" applyFont="1" applyBorder="1"/>
    <xf numFmtId="0" fontId="121" fillId="0" borderId="218" xfId="0" applyAlignment="1" applyFont="1" applyBorder="1">
      <alignment wrapText="1"/>
    </xf>
    <xf numFmtId="0" fontId="123" fillId="0" borderId="218" xfId="0" applyFont="1" applyBorder="1"/>
    <xf numFmtId="0" fontId="121" fillId="16" borderId="0" xfId="0" applyFill="1" applyFont="1"/>
    <xf numFmtId="0" fontId="124" fillId="8" borderId="0" xfId="0" applyFont="1" applyFill="1" applyAlignment="1">
      <alignment horizontal="left"/>
    </xf>
    <xf numFmtId="0" fontId="121" fillId="0" borderId="218" xfId="0" applyAlignment="1" applyFont="1" applyBorder="1">
      <alignment horizontal="center"/>
    </xf>
    <xf numFmtId="0" fontId="122" fillId="61" borderId="218" xfId="0" applyFont="1" applyFill="1" applyBorder="1"/>
    <xf numFmtId="0" fontId="125" fillId="61" borderId="218" xfId="0" applyFont="1" applyFill="1" applyBorder="1"/>
    <xf numFmtId="0" fontId="28" fillId="0" borderId="218" xfId="0" applyFont="1" applyBorder="1"/>
    <xf numFmtId="0" fontId="121" fillId="0" borderId="0" xfId="0" applyFont="1"/>
    <xf numFmtId="0" fontId="126" fillId="0" borderId="218" xfId="0" applyFont="1" applyBorder="1"/>
    <xf numFmtId="0" fontId="119" fillId="0" borderId="218" xfId="0" applyFont="1" applyBorder="1"/>
    <xf numFmtId="49" fontId="121" fillId="0" borderId="0" xfId="0" applyNumberFormat="1" applyFont="1"/>
    <xf numFmtId="0" fontId="127" fillId="58" borderId="215" xfId="55" applyNumberFormat="1" applyFont="1" applyFill="1" applyBorder="1" applyAlignment="1">
      <alignment vertical="center" wrapText="1"/>
    </xf>
    <xf numFmtId="0" fontId="128" fillId="56" borderId="215" xfId="55" applyNumberFormat="1" applyFont="1" applyFill="1" applyBorder="1" applyAlignment="1">
      <alignment vertical="top" wrapText="1"/>
    </xf>
    <xf numFmtId="0" fontId="129" fillId="59" borderId="215" xfId="55" applyNumberFormat="1" applyFont="1" applyFill="1" applyBorder="1" applyAlignment="1">
      <alignment vertical="top" wrapText="1"/>
    </xf>
    <xf numFmtId="0" fontId="130" fillId="56" borderId="215" xfId="55" applyNumberFormat="1" applyFont="1" applyFill="1" applyBorder="1" applyAlignment="1">
      <alignment vertical="top" wrapText="1"/>
    </xf>
    <xf numFmtId="0" fontId="131" fillId="60" borderId="215" xfId="55" applyNumberFormat="1" applyFont="1" applyFill="1" applyBorder="1" applyAlignment="1">
      <alignment vertical="center" wrapText="1"/>
    </xf>
    <xf numFmtId="0" fontId="132" fillId="59" borderId="216" xfId="55" applyNumberFormat="1" applyFont="1" applyFill="1" applyBorder="1" applyAlignment="1">
      <alignment horizontal="center" vertical="top" wrapText="1"/>
    </xf>
    <xf numFmtId="0" fontId="132" fillId="59" borderId="217" xfId="55" applyNumberFormat="1" applyFont="1" applyFill="1" applyBorder="1" applyAlignment="1">
      <alignment vertical="top" wrapText="1"/>
    </xf>
    <xf numFmtId="0" fontId="128" fillId="56" borderId="217" xfId="55" applyNumberFormat="1" applyFont="1" applyFill="1" applyBorder="1" applyAlignment="1">
      <alignment vertical="top" wrapText="1"/>
    </xf>
    <xf numFmtId="0" fontId="16" fillId="61" borderId="0" xfId="0" applyFont="1" applyFill="1" applyAlignment="1">
      <alignment vertical="center" indent="1"/>
    </xf>
    <xf numFmtId="0" fontId="133" fillId="0" borderId="0" xfId="50" applyFont="1" applyBorder="1" applyAlignment="1">
      <alignment horizontal="left" vertical="center" shrinkToFit="1"/>
    </xf>
    <xf numFmtId="0" fontId="20" fillId="61" borderId="218" xfId="0" applyFont="1" applyFill="1" applyAlignment="1" applyBorder="1">
      <alignment vertical="center"/>
    </xf>
    <xf numFmtId="0" fontId="134" fillId="11" borderId="218" xfId="0" applyFont="1" applyFill="1" applyBorder="1" applyAlignment="1">
      <alignment vertical="top" wrapText="1"/>
    </xf>
    <xf numFmtId="0" fontId="135" fillId="11" borderId="218" xfId="0" applyFont="1" applyFill="1" applyBorder="1" applyAlignment="1">
      <alignment vertical="top" wrapText="1"/>
    </xf>
    <xf numFmtId="0" fontId="134" fillId="6" borderId="218" xfId="0" applyFont="1" applyFill="1" applyBorder="1" applyAlignment="1">
      <alignment vertical="top" wrapText="1"/>
    </xf>
    <xf numFmtId="0" fontId="135" fillId="6" borderId="218" xfId="0" applyFont="1" applyFill="1" applyBorder="1" applyAlignment="1">
      <alignment vertical="top" wrapText="1"/>
    </xf>
    <xf numFmtId="0" fontId="134" fillId="62" borderId="218" xfId="0" applyFont="1" applyFill="1" applyBorder="1" applyAlignment="1">
      <alignment vertical="top" wrapText="1"/>
    </xf>
    <xf numFmtId="0" fontId="135" fillId="62" borderId="218" xfId="0" applyFont="1" applyFill="1" applyBorder="1" applyAlignment="1">
      <alignment vertical="top" wrapText="1"/>
    </xf>
    <xf numFmtId="0" fontId="136" fillId="6" borderId="218" xfId="0" applyFont="1" applyFill="1" applyBorder="1" applyAlignment="1">
      <alignment vertical="top" wrapText="1"/>
    </xf>
    <xf numFmtId="0" fontId="137" fillId="47" borderId="189" xfId="53" applyNumberFormat="1" applyFont="1" applyFill="1" applyBorder="1"/>
    <xf numFmtId="0" fontId="138" fillId="47" borderId="189" xfId="53" applyNumberFormat="1" applyFont="1" applyFill="1" applyBorder="1" applyAlignment="1">
      <alignment vertical="center" wrapText="1"/>
    </xf>
    <xf numFmtId="0" fontId="137" fillId="47" borderId="189" xfId="53" applyNumberFormat="1" applyFont="1" applyFill="1" applyBorder="1" applyAlignment="1">
      <alignment vertical="center" wrapText="1"/>
    </xf>
    <xf numFmtId="0" fontId="139" fillId="47" borderId="189" xfId="53" applyNumberFormat="1" applyFont="1" applyFill="1" applyBorder="1"/>
    <xf numFmtId="0" fontId="78" fillId="61" borderId="219" xfId="53" applyNumberFormat="1" applyFont="1" applyFill="1" applyBorder="1" applyAlignment="1">
      <alignment horizontal="center" vertical="center"/>
    </xf>
    <xf numFmtId="0" fontId="140" fillId="11" borderId="219" xfId="53" applyNumberFormat="1" applyFont="1" applyFill="1" applyBorder="1" applyAlignment="1">
      <alignment vertical="center" wrapText="1"/>
    </xf>
    <xf numFmtId="0" fontId="137" fillId="47" borderId="219" xfId="53" applyNumberFormat="1" applyFont="1" applyFill="1" applyBorder="1" applyAlignment="1">
      <alignment vertical="top" wrapText="1"/>
    </xf>
    <xf numFmtId="0" fontId="140" fillId="47" borderId="219" xfId="53" applyNumberFormat="1" applyFont="1" applyFill="1" applyBorder="1" applyAlignment="1">
      <alignment vertical="top" wrapText="1"/>
    </xf>
    <xf numFmtId="0" fontId="137" fillId="62" borderId="219" xfId="53" applyNumberFormat="1" applyFont="1" applyFill="1" applyBorder="1" applyAlignment="1">
      <alignment vertical="top" wrapText="1"/>
    </xf>
    <xf numFmtId="0" fontId="140" fillId="62" borderId="219" xfId="53" applyNumberFormat="1" applyFont="1" applyFill="1" applyBorder="1" applyAlignment="1">
      <alignment vertical="top" wrapText="1"/>
    </xf>
    <xf numFmtId="0" fontId="141" fillId="61" borderId="213" xfId="54" applyNumberFormat="1" applyFont="1" applyFill="1" applyBorder="1" applyAlignment="1">
      <alignment vertical="top" wrapText="1"/>
    </xf>
    <xf numFmtId="0" fontId="137" fillId="52" borderId="213" xfId="54" applyNumberFormat="1" applyFont="1" applyFill="1" applyBorder="1" applyAlignment="1">
      <alignment vertical="top" wrapText="1"/>
    </xf>
    <xf numFmtId="0" fontId="108" fillId="61" borderId="219" xfId="54" applyNumberFormat="1" applyFont="1" applyFill="1" applyBorder="1" applyAlignment="1">
      <alignment horizontal="center" vertical="center" wrapText="1"/>
    </xf>
    <xf numFmtId="0" fontId="137" fillId="62" borderId="219" xfId="54" applyNumberFormat="1" applyFont="1" applyFill="1" applyBorder="1" applyAlignment="1">
      <alignment vertical="top" wrapText="1"/>
    </xf>
    <xf numFmtId="180" fontId="137" fillId="62" borderId="219" xfId="54" applyNumberFormat="1" applyFont="1" applyFill="1" applyBorder="1" applyAlignment="1">
      <alignment vertical="top" wrapText="1"/>
    </xf>
    <xf numFmtId="0" fontId="137" fillId="52" borderId="219" xfId="54" applyNumberFormat="1" applyFont="1" applyFill="1" applyBorder="1" applyAlignment="1">
      <alignment vertical="top" wrapText="1"/>
    </xf>
    <xf numFmtId="180" fontId="137" fillId="52" borderId="219" xfId="54" applyNumberFormat="1" applyFont="1" applyFill="1" applyBorder="1" applyAlignment="1">
      <alignment vertical="top" wrapText="1"/>
    </xf>
    <x:xf xmlns:x="http://schemas.openxmlformats.org/spreadsheetml/2006/main" numFmtId="0" fontId="142" fillId="63" borderId="220" xfId="56"/>
    <x:xf xmlns:x="http://schemas.openxmlformats.org/spreadsheetml/2006/main" numFmtId="0" fontId="143" fillId="63" borderId="220" xfId="56" applyNumberFormat="1" applyFont="1" applyFill="1" applyBorder="1"/>
    <x:xf xmlns:x="http://schemas.openxmlformats.org/spreadsheetml/2006/main" numFmtId="0" fontId="143" fillId="63" borderId="220" xfId="56" applyNumberFormat="1" applyFont="1" applyFill="1" applyBorder="1" applyAlignment="1">
      <x:alignment wrapText="1"/>
    </x:xf>
    <x:xf xmlns:x="http://schemas.openxmlformats.org/spreadsheetml/2006/main" numFmtId="0" fontId="143" fillId="63" borderId="220" xfId="56" applyNumberFormat="1" applyFont="1" applyFill="1" applyBorder="1" applyAlignment="1">
      <x:alignment vertical="top" wrapText="1"/>
    </x:xf>
    <x:xf xmlns:x="http://schemas.openxmlformats.org/spreadsheetml/2006/main" numFmtId="0" fontId="143"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center" wrapText="1"/>
    </x:xf>
    <x:xf xmlns:x="http://schemas.openxmlformats.org/spreadsheetml/2006/main" numFmtId="0" fontId="143" fillId="66" borderId="220" xfId="56" applyNumberFormat="1" applyFont="1" applyFill="1" applyBorder="1" applyAlignment="1">
      <x:alignment vertical="top" wrapText="1"/>
    </x:xf>
    <x:xf xmlns:x="http://schemas.openxmlformats.org/spreadsheetml/2006/main" numFmtId="0" fontId="145" fillId="66" borderId="220" xfId="56" applyNumberFormat="1" applyFont="1" applyFill="1" applyBorder="1" applyAlignment="1">
      <x:alignment vertical="top" wrapText="1"/>
    </x:xf>
    <x:xf xmlns:x="http://schemas.openxmlformats.org/spreadsheetml/2006/main" numFmtId="0" fontId="146" fillId="63" borderId="220" xfId="56" applyNumberFormat="1" applyFont="1" applyFill="1" applyBorder="1" applyAlignment="1">
      <x:alignment vertical="top" wrapText="1"/>
    </x:xf>
    <x:xf xmlns:x="http://schemas.openxmlformats.org/spreadsheetml/2006/main" numFmtId="0" fontId="143"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center" wrapText="1"/>
    </x:xf>
    <x:xf xmlns:x="http://schemas.openxmlformats.org/spreadsheetml/2006/main" numFmtId="0" fontId="143" fillId="63" borderId="221" xfId="56" applyNumberFormat="1" applyFont="1" applyFill="1" applyBorder="1" applyAlignment="1">
      <x:alignment vertical="top" wrapText="1"/>
    </x:xf>
    <x:xf xmlns:x="http://schemas.openxmlformats.org/spreadsheetml/2006/main" numFmtId="0" fontId="143" fillId="63" borderId="222" xfId="56" applyNumberFormat="1" applyFont="1" applyFill="1" applyBorder="1" applyAlignment="1">
      <x:alignment vertical="top" wrapText="1"/>
    </x:xf>
    <x:xf xmlns:x="http://schemas.openxmlformats.org/spreadsheetml/2006/main" numFmtId="0" fontId="143" fillId="66" borderId="222" xfId="56" applyNumberFormat="1" applyFont="1" applyFill="1" applyBorder="1" applyAlignment="1">
      <x:alignment vertical="top" wrapText="1"/>
    </x:xf>
    <x:xf xmlns:x="http://schemas.openxmlformats.org/spreadsheetml/2006/main" numFmtId="0" fontId="148" fillId="66" borderId="222" xfId="56" applyNumberFormat="1" applyFont="1" applyFill="1" applyBorder="1" applyAlignment="1">
      <x:alignment vertical="top" wrapText="1"/>
    </x:xf>
    <x:xf xmlns:x="http://schemas.openxmlformats.org/spreadsheetml/2006/main" numFmtId="0" fontId="143"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horizontal="center" vertical="top" wrapText="1"/>
    </x:xf>
    <xf numFmtId="0" fontId="127" fillId="65" borderId="220" xfId="56" applyNumberFormat="1" applyFont="1" applyFill="1" applyBorder="1" applyAlignment="1">
      <alignment vertical="center" wrapText="1"/>
    </xf>
    <xf numFmtId="0" fontId="128" fillId="63" borderId="220" xfId="56" applyNumberFormat="1" applyFont="1" applyFill="1" applyBorder="1" applyAlignment="1">
      <alignment vertical="top" wrapText="1"/>
    </xf>
    <xf numFmtId="0" fontId="129" fillId="66" borderId="220" xfId="56" applyNumberFormat="1" applyFont="1" applyFill="1" applyBorder="1" applyAlignment="1">
      <alignment vertical="top" wrapText="1"/>
    </xf>
    <xf numFmtId="0" fontId="130" fillId="63" borderId="220" xfId="56" applyNumberFormat="1" applyFont="1" applyFill="1" applyBorder="1" applyAlignment="1">
      <alignment vertical="top" wrapText="1"/>
    </xf>
    <xf numFmtId="0" fontId="131" fillId="67" borderId="220" xfId="56" applyNumberFormat="1" applyFont="1" applyFill="1" applyBorder="1" applyAlignment="1">
      <alignment vertical="center" wrapText="1"/>
    </xf>
    <xf numFmtId="0" fontId="132" fillId="66" borderId="221" xfId="56" applyNumberFormat="1" applyFont="1" applyFill="1" applyBorder="1" applyAlignment="1">
      <alignment horizontal="center" vertical="top" wrapText="1"/>
    </xf>
    <xf numFmtId="0" fontId="132" fillId="66" borderId="222" xfId="56" applyNumberFormat="1" applyFont="1" applyFill="1" applyBorder="1" applyAlignment="1">
      <alignment vertical="top" wrapText="1"/>
    </xf>
    <xf numFmtId="0" fontId="128" fillId="63" borderId="222" xfId="56" applyNumberFormat="1" applyFont="1" applyFill="1" applyBorder="1" applyAlignment="1">
      <alignment vertical="top" wrapText="1"/>
    </xf>
    <x:xf xmlns:x="http://schemas.openxmlformats.org/spreadsheetml/2006/main" numFmtId="0" fontId="149" fillId="68" borderId="223" xfId="57"/>
    <x:xf xmlns:x="http://schemas.openxmlformats.org/spreadsheetml/2006/main" numFmtId="0" fontId="150" fillId="68" borderId="223" xfId="57" applyNumberFormat="1" applyFont="1" applyFill="1" applyBorder="1"/>
    <x:xf xmlns:x="http://schemas.openxmlformats.org/spreadsheetml/2006/main" numFmtId="0" fontId="150" fillId="68" borderId="223" xfId="57" applyNumberFormat="1" applyFont="1" applyFill="1" applyBorder="1" applyAlignment="1">
      <x:alignment wrapText="1"/>
    </x:xf>
    <x:xf xmlns:x="http://schemas.openxmlformats.org/spreadsheetml/2006/main" numFmtId="0" fontId="150" fillId="68" borderId="223" xfId="57" applyNumberFormat="1" applyFont="1" applyFill="1" applyBorder="1" applyAlignment="1">
      <x:alignment vertical="top" wrapText="1"/>
    </x:xf>
    <x:xf xmlns:x="http://schemas.openxmlformats.org/spreadsheetml/2006/main" numFmtId="0" fontId="150"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center" wrapText="1"/>
    </x:xf>
    <x:xf xmlns:x="http://schemas.openxmlformats.org/spreadsheetml/2006/main" numFmtId="0" fontId="150" fillId="71" borderId="223" xfId="57" applyNumberFormat="1" applyFont="1" applyFill="1" applyBorder="1" applyAlignment="1">
      <x:alignment vertical="top" wrapText="1"/>
    </x:xf>
    <x:xf xmlns:x="http://schemas.openxmlformats.org/spreadsheetml/2006/main" numFmtId="0" fontId="152" fillId="71" borderId="223" xfId="57" applyNumberFormat="1" applyFont="1" applyFill="1" applyBorder="1" applyAlignment="1">
      <x:alignment vertical="top" wrapText="1"/>
    </x:xf>
    <x:xf xmlns:x="http://schemas.openxmlformats.org/spreadsheetml/2006/main" numFmtId="0" fontId="153" fillId="68" borderId="223" xfId="57" applyNumberFormat="1" applyFont="1" applyFill="1" applyBorder="1" applyAlignment="1">
      <x:alignment vertical="top" wrapText="1"/>
    </x:xf>
    <x:xf xmlns:x="http://schemas.openxmlformats.org/spreadsheetml/2006/main" numFmtId="0" fontId="150"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center" wrapText="1"/>
    </x:xf>
    <x:xf xmlns:x="http://schemas.openxmlformats.org/spreadsheetml/2006/main" numFmtId="0" fontId="150" fillId="68" borderId="224" xfId="57" applyNumberFormat="1" applyFont="1" applyFill="1" applyBorder="1" applyAlignment="1">
      <x:alignment vertical="top" wrapText="1"/>
    </x:xf>
    <x:xf xmlns:x="http://schemas.openxmlformats.org/spreadsheetml/2006/main" numFmtId="0" fontId="150" fillId="68" borderId="225" xfId="57" applyNumberFormat="1" applyFont="1" applyFill="1" applyBorder="1" applyAlignment="1">
      <x:alignment vertical="top" wrapText="1"/>
    </x:xf>
    <x:xf xmlns:x="http://schemas.openxmlformats.org/spreadsheetml/2006/main" numFmtId="0" fontId="150" fillId="71" borderId="225" xfId="57" applyNumberFormat="1" applyFont="1" applyFill="1" applyBorder="1" applyAlignment="1">
      <x:alignment vertical="top" wrapText="1"/>
    </x:xf>
    <x:xf xmlns:x="http://schemas.openxmlformats.org/spreadsheetml/2006/main" numFmtId="0" fontId="155" fillId="71" borderId="225" xfId="57" applyNumberFormat="1" applyFont="1" applyFill="1" applyBorder="1" applyAlignment="1">
      <x:alignment vertical="top" wrapText="1"/>
    </x:xf>
    <x:xf xmlns:x="http://schemas.openxmlformats.org/spreadsheetml/2006/main" numFmtId="0" fontId="150"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horizontal="center" vertical="top" wrapText="1"/>
    </x:xf>
    <xf numFmtId="0" fontId="127" fillId="70" borderId="223" xfId="57" applyNumberFormat="1" applyFont="1" applyFill="1" applyBorder="1" applyAlignment="1">
      <alignment vertical="center" wrapText="1"/>
    </xf>
    <xf numFmtId="0" fontId="128" fillId="68" borderId="223" xfId="57" applyNumberFormat="1" applyFont="1" applyFill="1" applyBorder="1" applyAlignment="1">
      <alignment vertical="top" wrapText="1"/>
    </xf>
    <xf numFmtId="0" fontId="129" fillId="71" borderId="223" xfId="57" applyNumberFormat="1" applyFont="1" applyFill="1" applyBorder="1" applyAlignment="1">
      <alignment vertical="top" wrapText="1"/>
    </xf>
    <xf numFmtId="0" fontId="130" fillId="68" borderId="223" xfId="57" applyNumberFormat="1" applyFont="1" applyFill="1" applyBorder="1" applyAlignment="1">
      <alignment vertical="top" wrapText="1"/>
    </xf>
    <xf numFmtId="0" fontId="131" fillId="72" borderId="223" xfId="57" applyNumberFormat="1" applyFont="1" applyFill="1" applyBorder="1" applyAlignment="1">
      <alignment vertical="center" wrapText="1"/>
    </xf>
    <xf numFmtId="0" fontId="132" fillId="71" borderId="224" xfId="57" applyNumberFormat="1" applyFont="1" applyFill="1" applyBorder="1" applyAlignment="1">
      <alignment horizontal="center" vertical="top" wrapText="1"/>
    </xf>
    <xf numFmtId="0" fontId="132" fillId="71" borderId="225" xfId="57" applyNumberFormat="1" applyFont="1" applyFill="1" applyBorder="1" applyAlignment="1">
      <alignment vertical="top" wrapText="1"/>
    </xf>
    <xf numFmtId="0" fontId="128" fillId="68" borderId="225" xfId="57" applyNumberFormat="1" applyFont="1" applyFill="1" applyBorder="1" applyAlignment="1">
      <alignment vertical="top" wrapText="1"/>
    </xf>
    <x:xf xmlns:x="http://schemas.openxmlformats.org/spreadsheetml/2006/main" numFmtId="0" fontId="156" fillId="73" borderId="226" xfId="58"/>
    <x:xf xmlns:x="http://schemas.openxmlformats.org/spreadsheetml/2006/main" numFmtId="0" fontId="156" fillId="75" borderId="226" xfId="58" applyNumberFormat="1" applyFont="1" applyFill="1" applyBorder="1"/>
    <x:xf xmlns:x="http://schemas.openxmlformats.org/spreadsheetml/2006/main" numFmtId="0" fontId="157" fillId="75" borderId="226" xfId="58" applyNumberFormat="1" applyFont="1" applyFill="1" applyBorder="1"/>
    <x:xf xmlns:x="http://schemas.openxmlformats.org/spreadsheetml/2006/main" numFmtId="0" fontId="157" fillId="75" borderId="226" xfId="58" applyNumberFormat="1" applyFont="1" applyFill="1" applyBorder="1" applyAlignment="1">
      <x:alignment wrapText="1"/>
    </x:xf>
    <x:xf xmlns:x="http://schemas.openxmlformats.org/spreadsheetml/2006/main" numFmtId="0" fontId="157" fillId="75" borderId="226" xfId="58" applyNumberFormat="1" applyFont="1" applyFill="1" applyBorder="1" applyAlignment="1">
      <x:alignment vertical="center" wrapText="1"/>
    </x:xf>
    <x:xf xmlns:x="http://schemas.openxmlformats.org/spreadsheetml/2006/main" numFmtId="0" fontId="157" fillId="76" borderId="226" xfId="58" applyNumberFormat="1" applyFont="1" applyFill="1" applyBorder="1" applyAlignment="1">
      <x:alignment vertical="center" wrapText="1"/>
    </x:xf>
    <x:xf xmlns:x="http://schemas.openxmlformats.org/spreadsheetml/2006/main" numFmtId="0" fontId="158" fillId="76" borderId="226" xfId="58" applyNumberFormat="1" applyFont="1" applyFill="1" applyBorder="1" applyAlignment="1">
      <x:alignment vertical="center" wrapText="1"/>
    </x:xf>
    <x:xf xmlns:x="http://schemas.openxmlformats.org/spreadsheetml/2006/main" numFmtId="0" fontId="158" fillId="76" borderId="226" xfId="58" applyNumberFormat="1" applyFont="1" applyFill="1" applyBorder="1" applyAlignment="1">
      <x:alignment horizontal="left" vertical="center" wrapText="1"/>
    </x:xf>
    <x:xf xmlns:x="http://schemas.openxmlformats.org/spreadsheetml/2006/main" numFmtId="0" fontId="159" fillId="75" borderId="226" xfId="58" applyNumberFormat="1" applyFont="1" applyFill="1" applyBorder="1" applyAlignment="1">
      <x:alignment vertical="center" wrapText="1"/>
    </x:xf>
    <x:xf xmlns:x="http://schemas.openxmlformats.org/spreadsheetml/2006/main" numFmtId="0" fontId="159" fillId="75" borderId="227" xfId="58" applyNumberFormat="1" applyFont="1" applyFill="1" applyBorder="1" applyAlignment="1">
      <x:alignment vertical="center" wrapText="1"/>
    </x:xf>
    <x:xf xmlns:x="http://schemas.openxmlformats.org/spreadsheetml/2006/main" numFmtId="0" fontId="159" fillId="75" borderId="227" xfId="58" applyNumberFormat="1" applyFont="1" applyFill="1" applyBorder="1" applyAlignment="1">
      <x:alignment horizontal="left" vertical="center" wrapText="1"/>
    </x:xf>
    <x:xf xmlns:x="http://schemas.openxmlformats.org/spreadsheetml/2006/main" numFmtId="0" fontId="160" fillId="75" borderId="226" xfId="58" applyNumberFormat="1" applyFont="1" applyFill="1" applyBorder="1" applyAlignment="1">
      <x:alignment vertical="center" wrapText="1"/>
    </x:xf>
    <x:xf xmlns:x="http://schemas.openxmlformats.org/spreadsheetml/2006/main" numFmtId="0" fontId="157" fillId="77" borderId="226" xfId="58" applyNumberFormat="1" applyFont="1" applyFill="1" applyBorder="1" applyAlignment="1">
      <x:alignment vertical="center" wrapText="1"/>
    </x:xf>
    <x:xf xmlns:x="http://schemas.openxmlformats.org/spreadsheetml/2006/main" numFmtId="0" fontId="159" fillId="77" borderId="226" xfId="58" applyNumberFormat="1" applyFont="1" applyFill="1" applyBorder="1" applyAlignment="1">
      <x:alignment vertical="center" wrapText="1"/>
    </x:xf>
    <x:xf xmlns:x="http://schemas.openxmlformats.org/spreadsheetml/2006/main" numFmtId="0" fontId="159" fillId="77" borderId="228" xfId="58" applyNumberFormat="1" applyFont="1" applyFill="1" applyBorder="1" applyAlignment="1">
      <x:alignment vertical="center" wrapText="1"/>
    </x:xf>
    <x:xf xmlns:x="http://schemas.openxmlformats.org/spreadsheetml/2006/main" numFmtId="0" fontId="159" fillId="77" borderId="228" xfId="58" applyNumberFormat="1" applyFont="1" applyFill="1" applyBorder="1" applyAlignment="1">
      <x:alignment horizontal="center" vertical="center" wrapText="1"/>
    </x:xf>
    <x:xf xmlns:x="http://schemas.openxmlformats.org/spreadsheetml/2006/main" numFmtId="0" fontId="157" fillId="78" borderId="226" xfId="58" applyNumberFormat="1" applyFont="1" applyFill="1" applyBorder="1" applyAlignment="1">
      <x:alignment vertical="center" wrapText="1"/>
    </x:xf>
    <x:xf xmlns:x="http://schemas.openxmlformats.org/spreadsheetml/2006/main" numFmtId="0" fontId="157" fillId="78" borderId="226" xfId="58" applyNumberFormat="1" applyFont="1" applyFill="1" applyBorder="1" applyAlignment="1">
      <x:alignment horizontal="left" vertical="center" wrapText="1"/>
    </x:xf>
    <x:xf xmlns:x="http://schemas.openxmlformats.org/spreadsheetml/2006/main" numFmtId="0" fontId="161" fillId="75" borderId="226" xfId="58" applyNumberFormat="1" applyFont="1" applyFill="1" applyBorder="1" applyAlignment="1">
      <x:alignment vertical="center" wrapText="1"/>
    </x:xf>
    <x:xf xmlns:x="http://schemas.openxmlformats.org/spreadsheetml/2006/main" numFmtId="0" fontId="157" fillId="79" borderId="226" xfId="58" applyNumberFormat="1" applyFont="1" applyFill="1" applyBorder="1" applyAlignment="1">
      <x:alignment vertical="center" wrapText="1"/>
    </x:xf>
    <x:xf xmlns:x="http://schemas.openxmlformats.org/spreadsheetml/2006/main" numFmtId="0" fontId="160" fillId="79" borderId="226" xfId="58" applyNumberFormat="1" applyFont="1" applyFill="1" applyBorder="1" applyAlignment="1">
      <x:alignment vertical="center" wrapText="1"/>
    </x:xf>
    <x:xf xmlns:x="http://schemas.openxmlformats.org/spreadsheetml/2006/main" numFmtId="0" fontId="160" fillId="79" borderId="229" xfId="58" applyNumberFormat="1" applyFont="1" applyFill="1" applyBorder="1" applyAlignment="1">
      <x:alignment vertical="center" wrapText="1"/>
    </x:xf>
    <x:xf xmlns:x="http://schemas.openxmlformats.org/spreadsheetml/2006/main" numFmtId="0" fontId="160" fillId="79" borderId="229" xfId="58" applyNumberFormat="1" applyFont="1" applyFill="1" applyBorder="1" applyAlignment="1">
      <x:alignment horizontal="center" vertical="center" wrapText="1"/>
    </x:xf>
    <x:xf xmlns:x="http://schemas.openxmlformats.org/spreadsheetml/2006/main" numFmtId="0" fontId="159" fillId="77" borderId="229" xfId="58" applyNumberFormat="1" applyFont="1" applyFill="1" applyBorder="1" applyAlignment="1">
      <x:alignment vertical="center" wrapText="1"/>
    </x:xf>
    <x:xf xmlns:x="http://schemas.openxmlformats.org/spreadsheetml/2006/main" numFmtId="0" fontId="159" fillId="77" borderId="229" xfId="58" applyNumberFormat="1" applyFont="1" applyFill="1" applyBorder="1" applyAlignment="1">
      <x:alignment horizontal="center" vertical="center" wrapText="1"/>
    </x:xf>
    <x:xf xmlns:x="http://schemas.openxmlformats.org/spreadsheetml/2006/main" numFmtId="181" fontId="159" fillId="77" borderId="229" xfId="58" applyNumberFormat="1" applyFont="1" applyFill="1" applyBorder="1" applyAlignment="1">
      <x:alignment horizontal="center" vertical="center" wrapText="1"/>
    </x:xf>
    <x:xf xmlns:x="http://schemas.openxmlformats.org/spreadsheetml/2006/main" numFmtId="0" fontId="157" fillId="80" borderId="226" xfId="58" applyNumberFormat="1" applyFont="1" applyFill="1" applyBorder="1" applyAlignment="1">
      <x:alignment vertical="center" wrapText="1"/>
    </x:xf>
    <x:xf xmlns:x="http://schemas.openxmlformats.org/spreadsheetml/2006/main" numFmtId="0" fontId="162" fillId="80" borderId="226" xfId="58" applyNumberFormat="1" applyFont="1" applyFill="1" applyBorder="1" applyAlignment="1">
      <x:alignment vertical="center" wrapText="1"/>
    </x:xf>
    <x:xf xmlns:x="http://schemas.openxmlformats.org/spreadsheetml/2006/main" numFmtId="0" fontId="162" fillId="80" borderId="226" xfId="58" applyNumberFormat="1" applyFont="1" applyFill="1" applyBorder="1" applyAlignment="1">
      <x:alignment horizontal="left" vertical="center" wrapText="1"/>
    </x:xf>
    <x:xf xmlns:x="http://schemas.openxmlformats.org/spreadsheetml/2006/main" numFmtId="0" fontId="163" fillId="80" borderId="226" xfId="58" applyNumberFormat="1" applyFont="1" applyFill="1" applyBorder="1" applyAlignment="1">
      <x:alignment vertical="center" wrapText="1"/>
    </x:xf>
    <x:xf xmlns:x="http://schemas.openxmlformats.org/spreadsheetml/2006/main" numFmtId="0" fontId="163" fillId="80" borderId="230" xfId="58" applyNumberFormat="1" applyFont="1" applyFill="1" applyBorder="1" applyAlignment="1">
      <x:alignment vertical="center" wrapText="1"/>
    </x:xf>
    <x:xf xmlns:x="http://schemas.openxmlformats.org/spreadsheetml/2006/main" numFmtId="0" fontId="163" fillId="80" borderId="230" xfId="58" applyNumberFormat="1" applyFont="1" applyFill="1" applyBorder="1" applyAlignment="1">
      <x:alignment horizontal="center" vertical="center" wrapText="1"/>
    </x:xf>
    <x:xf xmlns:x="http://schemas.openxmlformats.org/spreadsheetml/2006/main" numFmtId="0" fontId="157" fillId="75" borderId="229" xfId="58" applyNumberFormat="1" applyFont="1" applyFill="1" applyBorder="1" applyAlignment="1">
      <x:alignment vertical="center" wrapText="1"/>
    </x:xf>
    <x:xf xmlns:x="http://schemas.openxmlformats.org/spreadsheetml/2006/main" numFmtId="0" fontId="157" fillId="77" borderId="229" xfId="58" applyNumberFormat="1" applyFont="1" applyFill="1" applyBorder="1" applyAlignment="1">
      <x:alignment vertical="center" wrapText="1"/>
    </x:xf>
    <x:xf xmlns:x="http://schemas.openxmlformats.org/spreadsheetml/2006/main" numFmtId="0" fontId="157" fillId="78" borderId="229" xfId="58" applyNumberFormat="1" applyFont="1" applyFill="1" applyBorder="1" applyAlignment="1">
      <x:alignment vertical="center" wrapText="1"/>
    </x:xf>
    <x:xf xmlns:x="http://schemas.openxmlformats.org/spreadsheetml/2006/main" numFmtId="0" fontId="157" fillId="78" borderId="229" xfId="58" applyNumberFormat="1" applyFont="1" applyFill="1" applyBorder="1" applyAlignment="1">
      <x:alignment horizontal="center" vertical="center" wrapText="1"/>
    </x:xf>
    <x:xf xmlns:x="http://schemas.openxmlformats.org/spreadsheetml/2006/main" numFmtId="182" fontId="159" fillId="77" borderId="229" xfId="58" applyNumberFormat="1" applyFont="1" applyFill="1" applyBorder="1" applyAlignment="1">
      <x:alignment horizontal="center" vertical="center" wrapText="1"/>
    </x:xf>
    <x:xf xmlns:x="http://schemas.openxmlformats.org/spreadsheetml/2006/main" numFmtId="181" fontId="157" fillId="78" borderId="229" xfId="58" applyNumberFormat="1" applyFont="1" applyFill="1" applyBorder="1" applyAlignment="1">
      <x:alignment horizontal="center" vertical="center" wrapText="1"/>
    </x:xf>
    <x:xf xmlns:x="http://schemas.openxmlformats.org/spreadsheetml/2006/main" numFmtId="0" fontId="159" fillId="77" borderId="229" xfId="58" applyNumberFormat="1" applyFont="1" applyFill="1" applyBorder="1" applyAlignment="1">
      <x:alignment horizontal="left" vertical="center" wrapText="1"/>
    </x:xf>
    <x:xf xmlns:x="http://schemas.openxmlformats.org/spreadsheetml/2006/main" numFmtId="0" fontId="157" fillId="78" borderId="227" xfId="58" applyNumberFormat="1" applyFont="1" applyFill="1" applyBorder="1" applyAlignment="1">
      <x:alignment vertical="center" wrapText="1"/>
    </x:xf>
    <x:xf xmlns:x="http://schemas.openxmlformats.org/spreadsheetml/2006/main" numFmtId="0" fontId="164" fillId="81" borderId="231" xfId="59"/>
    <x:xf xmlns:x="http://schemas.openxmlformats.org/spreadsheetml/2006/main" numFmtId="0" fontId="165" fillId="81" borderId="231" xfId="59" applyNumberFormat="1" applyFont="1" applyFill="1" applyBorder="1"/>
    <x:xf xmlns:x="http://schemas.openxmlformats.org/spreadsheetml/2006/main" numFmtId="0" fontId="165" fillId="81" borderId="231" xfId="59" applyNumberFormat="1" applyFont="1" applyFill="1" applyBorder="1" applyAlignment="1">
      <x:alignment wrapText="1"/>
    </x:xf>
    <x:xf xmlns:x="http://schemas.openxmlformats.org/spreadsheetml/2006/main" numFmtId="0" fontId="165" fillId="81" borderId="231" xfId="59" applyNumberFormat="1" applyFont="1" applyFill="1" applyBorder="1" applyAlignment="1">
      <x:alignment vertical="top" wrapText="1"/>
    </x:xf>
    <x:xf xmlns:x="http://schemas.openxmlformats.org/spreadsheetml/2006/main" numFmtId="0" fontId="165" fillId="83" borderId="231" xfId="59" applyNumberFormat="1" applyFont="1" applyFill="1" applyBorder="1" applyAlignment="1">
      <x:alignment vertical="top" wrapText="1"/>
    </x:xf>
    <x:xf xmlns:x="http://schemas.openxmlformats.org/spreadsheetml/2006/main" numFmtId="0" fontId="166" fillId="83" borderId="231" xfId="59" applyNumberFormat="1" applyFont="1" applyFill="1" applyBorder="1" applyAlignment="1">
      <x:alignment vertical="top" wrapText="1"/>
    </x:xf>
    <x:xf xmlns:x="http://schemas.openxmlformats.org/spreadsheetml/2006/main" numFmtId="0" fontId="166" fillId="83" borderId="231" xfId="59" applyNumberFormat="1" applyFont="1" applyFill="1" applyBorder="1" applyAlignment="1">
      <x:alignment vertical="center" wrapText="1"/>
    </x:xf>
    <x:xf xmlns:x="http://schemas.openxmlformats.org/spreadsheetml/2006/main" numFmtId="0" fontId="165" fillId="84" borderId="231" xfId="59" applyNumberFormat="1" applyFont="1" applyFill="1" applyBorder="1" applyAlignment="1">
      <x:alignment vertical="top" wrapText="1"/>
    </x:xf>
    <x:xf xmlns:x="http://schemas.openxmlformats.org/spreadsheetml/2006/main" numFmtId="0" fontId="167" fillId="84" borderId="231" xfId="59" applyNumberFormat="1" applyFont="1" applyFill="1" applyBorder="1" applyAlignment="1">
      <x:alignment vertical="top" wrapText="1"/>
    </x:xf>
    <x:xf xmlns:x="http://schemas.openxmlformats.org/spreadsheetml/2006/main" numFmtId="0" fontId="168" fillId="81" borderId="231" xfId="59" applyNumberFormat="1" applyFont="1" applyFill="1" applyBorder="1" applyAlignment="1">
      <x:alignment vertical="top" wrapText="1"/>
    </x:xf>
    <x:xf xmlns:x="http://schemas.openxmlformats.org/spreadsheetml/2006/main" numFmtId="0" fontId="165" fillId="85" borderId="231" xfId="59" applyNumberFormat="1" applyFont="1" applyFill="1" applyBorder="1" applyAlignment="1">
      <x:alignment vertical="top" wrapText="1"/>
    </x:xf>
    <x:xf xmlns:x="http://schemas.openxmlformats.org/spreadsheetml/2006/main" numFmtId="0" fontId="169" fillId="85" borderId="231" xfId="59" applyNumberFormat="1" applyFont="1" applyFill="1" applyBorder="1" applyAlignment="1">
      <x:alignment vertical="top" wrapText="1"/>
    </x:xf>
    <x:xf xmlns:x="http://schemas.openxmlformats.org/spreadsheetml/2006/main" numFmtId="0" fontId="169" fillId="85" borderId="231" xfId="59" applyNumberFormat="1" applyFont="1" applyFill="1" applyBorder="1" applyAlignment="1">
      <x:alignment vertical="center" wrapText="1"/>
    </x:xf>
    <x:xf xmlns:x="http://schemas.openxmlformats.org/spreadsheetml/2006/main" numFmtId="0" fontId="165" fillId="81" borderId="232" xfId="59" applyNumberFormat="1" applyFont="1" applyFill="1" applyBorder="1" applyAlignment="1">
      <x:alignment vertical="top" wrapText="1"/>
    </x:xf>
    <x:xf xmlns:x="http://schemas.openxmlformats.org/spreadsheetml/2006/main" numFmtId="0" fontId="165" fillId="81" borderId="233" xfId="59" applyNumberFormat="1" applyFont="1" applyFill="1" applyBorder="1" applyAlignment="1">
      <x:alignment vertical="top" wrapText="1"/>
    </x:xf>
    <x:xf xmlns:x="http://schemas.openxmlformats.org/spreadsheetml/2006/main" numFmtId="0" fontId="165" fillId="84" borderId="233" xfId="59" applyNumberFormat="1" applyFont="1" applyFill="1" applyBorder="1" applyAlignment="1">
      <x:alignment vertical="top" wrapText="1"/>
    </x:xf>
    <x:xf xmlns:x="http://schemas.openxmlformats.org/spreadsheetml/2006/main" numFmtId="0" fontId="170" fillId="84" borderId="233" xfId="59" applyNumberFormat="1" applyFont="1" applyFill="1" applyBorder="1" applyAlignment="1">
      <x:alignment vertical="top" wrapText="1"/>
    </x:xf>
    <x:xf xmlns:x="http://schemas.openxmlformats.org/spreadsheetml/2006/main" numFmtId="0" fontId="165" fillId="84" borderId="232" xfId="59" applyNumberFormat="1" applyFont="1" applyFill="1" applyBorder="1" applyAlignment="1">
      <x:alignment vertical="top" wrapText="1"/>
    </x:xf>
    <x:xf xmlns:x="http://schemas.openxmlformats.org/spreadsheetml/2006/main" numFmtId="0" fontId="170" fillId="84" borderId="232" xfId="59" applyNumberFormat="1" applyFont="1" applyFill="1" applyBorder="1" applyAlignment="1">
      <x:alignment vertical="top" wrapText="1"/>
    </x:xf>
    <x:xf xmlns:x="http://schemas.openxmlformats.org/spreadsheetml/2006/main" numFmtId="0" fontId="170" fillId="84" borderId="232" xfId="59" applyNumberFormat="1" applyFont="1" applyFill="1" applyBorder="1" applyAlignment="1">
      <x:alignment horizontal="center" vertical="top" wrapText="1"/>
    </x:xf>
    <xf numFmtId="0" fontId="1" fillId="86" borderId="1" xfId="0" applyFont="1" applyFill="1" applyBorder="1" applyAlignment="1">
      <alignment horizontal="center" vertical="center" shrinkToFit="1"/>
    </xf>
    <xf numFmtId="0" fontId="2" fillId="86" borderId="2" xfId="0" applyFont="1" applyBorder="1" applyFill="1"/>
    <xf numFmtId="0" fontId="2" fillId="86" borderId="3" xfId="0" applyFont="1" applyBorder="1" applyFill="1"/>
    <xf numFmtId="0" fontId="2" fillId="86" borderId="4" xfId="0" applyFont="1" applyBorder="1" applyFill="1"/>
    <xf numFmtId="0" fontId="2" fillId="86" borderId="5" xfId="0" applyFont="1" applyBorder="1" applyFill="1"/>
    <xf numFmtId="0" fontId="2" fillId="86" borderId="6" xfId="0" applyFont="1" applyBorder="1" applyFill="1"/>
    <xf numFmtId="0" fontId="2" fillId="86" borderId="7" xfId="0" applyFont="1" applyBorder="1" applyFill="1"/>
    <xf numFmtId="0" fontId="2" fillId="86" borderId="8" xfId="0" applyFont="1" applyBorder="1" applyFill="1"/>
    <xf numFmtId="0" fontId="12" fillId="0" borderId="0" xfId="0" applyFont="1" applyFill="1" applyBorder="1" applyAlignment="1">
      <alignment horizontal="center" vertical="center" shrinkToFit="1"/>
    </xf>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xf xmlns:x="http://schemas.openxmlformats.org/spreadsheetml/2006/main" numFmtId="0" fontId="171" fillId="87" borderId="234" xfId="60"/>
    <x:xf xmlns:x="http://schemas.openxmlformats.org/spreadsheetml/2006/main" numFmtId="0" fontId="172" fillId="87" borderId="234" xfId="60" applyNumberFormat="1" applyFont="1" applyFill="1" applyBorder="1"/>
    <x:xf xmlns:x="http://schemas.openxmlformats.org/spreadsheetml/2006/main" numFmtId="0" fontId="172" fillId="87" borderId="234" xfId="60" applyNumberFormat="1" applyFont="1" applyFill="1" applyBorder="1" applyAlignment="1">
      <x:alignment vertical="center"/>
    </x:xf>
    <x:xf xmlns:x="http://schemas.openxmlformats.org/spreadsheetml/2006/main" numFmtId="0" fontId="172" fillId="89" borderId="234" xfId="60" applyNumberFormat="1" applyFont="1" applyFill="1" applyBorder="1" applyAlignment="1">
      <x:alignment vertical="center"/>
    </x:xf>
    <x:xf xmlns:x="http://schemas.openxmlformats.org/spreadsheetml/2006/main" numFmtId="0" fontId="173" fillId="89" borderId="234" xfId="60" applyNumberFormat="1" applyFont="1" applyFill="1" applyBorder="1" applyAlignment="1">
      <x:alignment vertical="center"/>
    </x:xf>
    <x:xf xmlns:x="http://schemas.openxmlformats.org/spreadsheetml/2006/main" numFmtId="0" fontId="174" fillId="87" borderId="234" xfId="60" applyNumberFormat="1" applyFont="1" applyFill="1" applyBorder="1" applyAlignment="1">
      <x:alignment vertical="center"/>
    </x:xf>
    <x:xf xmlns:x="http://schemas.openxmlformats.org/spreadsheetml/2006/main" numFmtId="0" fontId="172" fillId="90" borderId="234" xfId="60" applyNumberFormat="1" applyFont="1" applyFill="1" applyBorder="1" applyAlignment="1">
      <x:alignment vertical="center"/>
    </x:xf>
    <x:xf xmlns:x="http://schemas.openxmlformats.org/spreadsheetml/2006/main" numFmtId="0" fontId="174" fillId="90" borderId="234" xfId="60" applyNumberFormat="1" applyFont="1" applyFill="1" applyBorder="1" applyAlignment="1">
      <x:alignment vertical="center"/>
    </x:xf>
    <x:xf xmlns:x="http://schemas.openxmlformats.org/spreadsheetml/2006/main" numFmtId="0" fontId="172" fillId="91" borderId="234" xfId="60" applyNumberFormat="1" applyFont="1" applyFill="1" applyBorder="1" applyAlignment="1">
      <x:alignment vertical="center"/>
    </x:xf>
    <x:xf xmlns:x="http://schemas.openxmlformats.org/spreadsheetml/2006/main" numFmtId="0" fontId="175" fillId="87" borderId="234" xfId="60" applyNumberFormat="1" applyFont="1" applyFill="1" applyBorder="1" applyAlignment="1">
      <x:alignment vertical="center"/>
    </x:xf>
    <x:xf xmlns:x="http://schemas.openxmlformats.org/spreadsheetml/2006/main" numFmtId="0" fontId="172" fillId="92" borderId="234" xfId="60" applyNumberFormat="1" applyFont="1" applyFill="1" applyBorder="1" applyAlignment="1">
      <x:alignment vertical="center"/>
    </x:xf>
    <x:xf xmlns:x="http://schemas.openxmlformats.org/spreadsheetml/2006/main" numFmtId="0" fontId="173" fillId="92" borderId="234" xfId="60" applyNumberFormat="1" applyFont="1" applyFill="1" applyBorder="1" applyAlignment="1">
      <x:alignment vertical="center"/>
    </x:xf>
    <x:xf xmlns:x="http://schemas.openxmlformats.org/spreadsheetml/2006/main" numFmtId="0" fontId="176" fillId="92" borderId="234" xfId="60" applyNumberFormat="1" applyFont="1" applyFill="1" applyBorder="1" applyAlignment="1">
      <x:alignment vertical="center"/>
    </x:xf>
    <x:xf xmlns:x="http://schemas.openxmlformats.org/spreadsheetml/2006/main" numFmtId="0" fontId="172" fillId="93" borderId="234" xfId="60" applyNumberFormat="1" applyFont="1" applyFill="1" applyBorder="1" applyAlignment="1">
      <x:alignment vertical="center"/>
    </x:xf>
    <x:xf xmlns:x="http://schemas.openxmlformats.org/spreadsheetml/2006/main" numFmtId="0" fontId="172" fillId="93" borderId="235" xfId="60" applyNumberFormat="1" applyFont="1" applyFill="1" applyBorder="1" applyAlignment="1">
      <x:alignment vertical="center"/>
    </x:xf>
    <x:xf xmlns:x="http://schemas.openxmlformats.org/spreadsheetml/2006/main" numFmtId="0" fontId="174" fillId="90" borderId="235" xfId="60" applyNumberFormat="1" applyFont="1" applyFill="1" applyBorder="1" applyAlignment="1">
      <x:alignment vertical="center"/>
    </x:xf>
    <x:xf xmlns:x="http://schemas.openxmlformats.org/spreadsheetml/2006/main" numFmtId="183" fontId="172" fillId="93" borderId="234" xfId="60" applyNumberFormat="1" applyFont="1" applyFill="1" applyBorder="1" applyAlignment="1">
      <x:alignment vertical="center"/>
    </x:xf>
    <x:xf xmlns:x="http://schemas.openxmlformats.org/spreadsheetml/2006/main" numFmtId="183" fontId="172" fillId="93" borderId="235" xfId="60" applyNumberFormat="1" applyFont="1" applyFill="1" applyBorder="1" applyAlignment="1">
      <x:alignment vertical="center"/>
    </x:xf>
    <x:xf xmlns:x="http://schemas.openxmlformats.org/spreadsheetml/2006/main" numFmtId="183" fontId="172" fillId="87" borderId="234" xfId="60" applyNumberFormat="1" applyFont="1" applyFill="1" applyBorder="1" applyAlignment="1">
      <x:alignment vertical="center"/>
    </x:xf>
    <x:xf xmlns:x="http://schemas.openxmlformats.org/spreadsheetml/2006/main" numFmtId="183" fontId="173" fillId="92" borderId="234" xfId="60" applyNumberFormat="1" applyFont="1" applyFill="1" applyBorder="1" applyAlignment="1">
      <x:alignment vertical="center"/>
    </x:xf>
    <x:xf xmlns:x="http://schemas.openxmlformats.org/spreadsheetml/2006/main" numFmtId="183" fontId="174" fillId="90" borderId="234" xfId="60" applyNumberFormat="1" applyFont="1" applyFill="1" applyBorder="1" applyAlignment="1">
      <x:alignment vertical="center"/>
    </x:xf>
    <x:xf xmlns:x="http://schemas.openxmlformats.org/spreadsheetml/2006/main" numFmtId="183" fontId="176" fillId="92" borderId="234" xfId="60" applyNumberFormat="1" applyFont="1" applyFill="1" applyBorder="1" applyAlignment="1">
      <x:alignment vertical="center"/>
    </x:xf>
    <x:xf xmlns:x="http://schemas.openxmlformats.org/spreadsheetml/2006/main" numFmtId="183" fontId="175" fillId="87" borderId="234" xfId="60" applyNumberFormat="1" applyFont="1" applyFill="1" applyBorder="1" applyAlignment="1">
      <x:alignment vertical="center"/>
    </x:xf>
    <x:xf xmlns:x="http://schemas.openxmlformats.org/spreadsheetml/2006/main" numFmtId="0" fontId="177" fillId="94" borderId="236" xfId="61"/>
    <x:xf xmlns:x="http://schemas.openxmlformats.org/spreadsheetml/2006/main" numFmtId="0" fontId="178" fillId="94" borderId="236" xfId="61" applyNumberFormat="1" applyFont="1" applyFill="1" applyBorder="1"/>
    <x:xf xmlns:x="http://schemas.openxmlformats.org/spreadsheetml/2006/main" numFmtId="0" fontId="178" fillId="94" borderId="236" xfId="61" applyNumberFormat="1" applyFont="1" applyFill="1" applyBorder="1" applyAlignment="1">
      <x:alignment wrapText="1"/>
    </x:xf>
    <x:xf xmlns:x="http://schemas.openxmlformats.org/spreadsheetml/2006/main" numFmtId="0" fontId="178" fillId="94" borderId="236" xfId="61" applyNumberFormat="1" applyFont="1" applyFill="1" applyBorder="1" applyAlignment="1">
      <x:alignment vertical="top" wrapText="1"/>
    </x:xf>
    <x:xf xmlns:x="http://schemas.openxmlformats.org/spreadsheetml/2006/main" numFmtId="0" fontId="178" fillId="96" borderId="236" xfId="61" applyNumberFormat="1" applyFont="1" applyFill="1" applyBorder="1" applyAlignment="1">
      <x:alignment vertical="top" wrapText="1"/>
    </x:xf>
    <x:xf xmlns:x="http://schemas.openxmlformats.org/spreadsheetml/2006/main" numFmtId="0" fontId="179" fillId="96" borderId="236" xfId="61" applyNumberFormat="1" applyFont="1" applyFill="1" applyBorder="1" applyAlignment="1">
      <x:alignment vertical="top" wrapText="1"/>
    </x:xf>
    <x:xf xmlns:x="http://schemas.openxmlformats.org/spreadsheetml/2006/main" numFmtId="0" fontId="179" fillId="96" borderId="236" xfId="61" applyNumberFormat="1" applyFont="1" applyFill="1" applyBorder="1" applyAlignment="1">
      <x:alignment vertical="center" wrapText="1"/>
    </x:xf>
    <x:xf xmlns:x="http://schemas.openxmlformats.org/spreadsheetml/2006/main" numFmtId="0" fontId="178" fillId="97" borderId="236" xfId="61" applyNumberFormat="1" applyFont="1" applyFill="1" applyBorder="1" applyAlignment="1">
      <x:alignment vertical="top" wrapText="1"/>
    </x:xf>
    <x:xf xmlns:x="http://schemas.openxmlformats.org/spreadsheetml/2006/main" numFmtId="0" fontId="180" fillId="97" borderId="236" xfId="61" applyNumberFormat="1" applyFont="1" applyFill="1" applyBorder="1" applyAlignment="1">
      <x:alignment vertical="top" wrapText="1"/>
    </x:xf>
    <x:xf xmlns:x="http://schemas.openxmlformats.org/spreadsheetml/2006/main" numFmtId="0" fontId="181" fillId="94" borderId="236" xfId="61" applyNumberFormat="1" applyFont="1" applyFill="1" applyBorder="1" applyAlignment="1">
      <x:alignment vertical="top" wrapText="1"/>
    </x:xf>
    <x:xf xmlns:x="http://schemas.openxmlformats.org/spreadsheetml/2006/main" numFmtId="0" fontId="178" fillId="98" borderId="236" xfId="61" applyNumberFormat="1" applyFont="1" applyFill="1" applyBorder="1" applyAlignment="1">
      <x:alignment vertical="top" wrapText="1"/>
    </x:xf>
    <x:xf xmlns:x="http://schemas.openxmlformats.org/spreadsheetml/2006/main" numFmtId="0" fontId="182" fillId="98" borderId="236" xfId="61" applyNumberFormat="1" applyFont="1" applyFill="1" applyBorder="1" applyAlignment="1">
      <x:alignment vertical="top" wrapText="1"/>
    </x:xf>
    <x:xf xmlns:x="http://schemas.openxmlformats.org/spreadsheetml/2006/main" numFmtId="0" fontId="182" fillId="98" borderId="236" xfId="61" applyNumberFormat="1" applyFont="1" applyFill="1" applyBorder="1" applyAlignment="1">
      <x:alignment vertical="center" wrapText="1"/>
    </x:xf>
    <x:xf xmlns:x="http://schemas.openxmlformats.org/spreadsheetml/2006/main" numFmtId="0" fontId="178" fillId="94" borderId="237" xfId="61" applyNumberFormat="1" applyFont="1" applyFill="1" applyBorder="1" applyAlignment="1">
      <x:alignment vertical="top" wrapText="1"/>
    </x:xf>
    <x:xf xmlns:x="http://schemas.openxmlformats.org/spreadsheetml/2006/main" numFmtId="0" fontId="178" fillId="94" borderId="238" xfId="61" applyNumberFormat="1" applyFont="1" applyFill="1" applyBorder="1" applyAlignment="1">
      <x:alignment vertical="top" wrapText="1"/>
    </x:xf>
    <x:xf xmlns:x="http://schemas.openxmlformats.org/spreadsheetml/2006/main" numFmtId="0" fontId="178" fillId="97" borderId="238" xfId="61" applyNumberFormat="1" applyFont="1" applyFill="1" applyBorder="1" applyAlignment="1">
      <x:alignment vertical="top" wrapText="1"/>
    </x:xf>
    <x:xf xmlns:x="http://schemas.openxmlformats.org/spreadsheetml/2006/main" numFmtId="0" fontId="183" fillId="97" borderId="238" xfId="61" applyNumberFormat="1" applyFont="1" applyFill="1" applyBorder="1" applyAlignment="1">
      <x:alignment vertical="top" wrapText="1"/>
    </x:xf>
    <x:xf xmlns:x="http://schemas.openxmlformats.org/spreadsheetml/2006/main" numFmtId="0" fontId="178" fillId="97" borderId="237" xfId="61" applyNumberFormat="1" applyFont="1" applyFill="1" applyBorder="1" applyAlignment="1">
      <x:alignment vertical="top" wrapText="1"/>
    </x:xf>
    <x:xf xmlns:x="http://schemas.openxmlformats.org/spreadsheetml/2006/main" numFmtId="0" fontId="183" fillId="97" borderId="237" xfId="61" applyNumberFormat="1" applyFont="1" applyFill="1" applyBorder="1" applyAlignment="1">
      <x:alignment vertical="top" wrapText="1"/>
    </x:xf>
    <x:xf xmlns:x="http://schemas.openxmlformats.org/spreadsheetml/2006/main" numFmtId="0" fontId="183" fillId="97" borderId="237" xfId="61" applyNumberFormat="1" applyFont="1" applyFill="1" applyBorder="1" applyAlignment="1">
      <x:alignment horizontal="center" vertical="top" wrapText="1"/>
    </x: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21">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ill>
        <patternFill patternType="solid">
          <bgColor rgb="FFE8EDF8"/>
        </patternFill>
      </fill>
    </dxf>
    <dxf>
      <font>
        <b val="0"/>
        <i val="1"/>
      </font>
      <fill>
        <patternFill patternType="solid">
          <bgColor rgb="FFFFB9B9"/>
        </patternFill>
      </fill>
    </dxf>
    <dxf>
      <font>
        <b val="0"/>
        <i val="1"/>
      </font>
      <fill>
        <patternFill patternType="solid">
          <bgColor rgb="FFFFFFBD"/>
        </patternFill>
      </fill>
    </dxf>
    <dxf>
      <font>
        <color theme="0" tint="-0.249946592608417"/>
      </font>
      <fill>
        <patternFill patternType="solid">
          <bgColor theme="0"/>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4" tint="0.799890133365886"/>
      </font>
    </dxf>
    <dxf>
      <font>
        <color rgb="FFFFFFFF"/>
      </font>
      <numFmt numFmtId="5000" formatCode=";;;"/>
      <fill>
        <patternFill patternType="solid">
          <fgColor rgb="FFFFFFFF"/>
          <bgColor rgb="FFFFFFFF"/>
        </patternFill>
      </fill>
    </dxf>
  </dxfs>
  <tableStyles count="1" defaultTableStyle="TableStyleMedium2" defaultPivotStyle="PivotStyleLight16">
    <tableStyle name="基本相间" pivot="0" count="1" xr9:uid="{262D9AF2-75F3-4A26-8B68-41AE5760129F}">
      <tableStyleElement type="secondRowStripe" dxfId="19"/>
    </tableStyle>
  </tableStyles>
  <colors>
    <mruColors>
      <color rgb="00B4C6E7"/>
      <color rgb="00E8EDF8"/>
      <color rgb="00FF7D7D"/>
      <color rgb="00FFB9B9"/>
      <color rgb="00FFFFBD"/>
      <color rgb="00FFFF7D"/>
      <color rgb="00FF8B8B"/>
      <color rgb="00F6F8FC"/>
      <color rgb="00F0F3FA"/>
    </mruColors>
  </colors>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 Id="rIdV15Ref0" Type="http://schemas.openxmlformats.org/officeDocument/2006/relationships/worksheet" Target="worksheets/sheet13.xml"/><Relationship Id="rIdV15Ref1" Type="http://schemas.openxmlformats.org/officeDocument/2006/relationships/worksheet" Target="worksheets/sheet14.xml"/><Relationship Id="rIdV16Memo" Type="http://schemas.openxmlformats.org/officeDocument/2006/relationships/worksheet" Target="worksheets/sheet15.xml"/><Relationship Id="rIdJournal1" Type="http://schemas.openxmlformats.org/officeDocument/2006/relationships/worksheet" Target="worksheets/sheet16.xml"/><Relationship Id="rIdJournal2" Type="http://schemas.openxmlformats.org/officeDocument/2006/relationships/worksheet" Target="worksheets/sheet17.xml"/><Relationship Id="rIdEquipment" Type="http://schemas.openxmlformats.org/officeDocument/2006/relationships/worksheet" Target="worksheets/sheet18.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3" Type="http://schemas.openxmlformats.org/officeDocument/2006/relationships/vmlDrawing" Target="../drawings/vmlDrawing1.vml"/><Relationship Id="rId1" Type="http://schemas.openxmlformats.org/officeDocument/2006/relationships/comments" Target="../comments1.xml"/><Relationship Id="rIdV16Link4" Type="http://schemas.openxmlformats.org/officeDocument/2006/relationships/hyperlink" Target="https://greenbox.thebackstop.app/" TargetMode="Externa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History1" Type="http://schemas.openxmlformats.org/officeDocument/2006/relationships/hyperlink" Target="mailto:dkwings@gmail.com" TargetMode="External"/><Relationship Id="rIdHistory2" Type="http://schemas.openxmlformats.org/officeDocument/2006/relationships/hyperlink" Target="https://github.com/Shylosia/DeltaGreen" TargetMode="External"/><Relationship Id="rIdHistory4" Type="http://schemas.openxmlformats.org/officeDocument/2006/relationships/hyperlink" Target="https://greenbox.thebackstop.app/" TargetMode="External"/></Relationships>
</file>

<file path=xl/worksheets/_rels/sheet11.xml.rels><Relationships xmlns="http://schemas.openxmlformats.org/package/2006/relationships"><Relationship Id="rIdV16Link15" Type="http://schemas.openxmlformats.org/officeDocument/2006/relationships/hyperlink" Target="https://greenbox.thebackstop.app/" TargetMode="External"/></Relationships>
</file>

<file path=xl/worksheets/_rels/sheet15.xml.rels><Relationships xmlns="http://schemas.openxmlformats.org/package/2006/relationships"><Relationship Id="rIdV16Link3" Type="http://schemas.openxmlformats.org/officeDocument/2006/relationships/hyperlink" Target="https://greenbox.thebackstop.ap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topLeftCell="R1" workbookViewId="0">
      <selection activeCell="BN17" sqref="BN17:CX26"/>
    </sheetView>
  </sheetViews>
  <sheetFormatPr defaultColWidth="1.6" defaultRowHeight="14.1" customHeight="1"/>
  <cols>
    <col min="1" max="1" width="1.06666666666667" style="77" customWidth="1"/>
    <col min="2" max="59" width="1.6" style="78"/>
    <col min="60" max="60" width="1.06666666666667" style="78" customWidth="1"/>
    <col min="61" max="102" width="1.6" style="78"/>
    <col min="103" max="103" width="1.2" style="78" customWidth="1"/>
    <col min="104" max="104" width="2" style="78" customWidth="1"/>
    <col min="105" max="137" width="1.6" style="78"/>
    <col min="138" max="138" width="1.2" style="78" customWidth="1"/>
    <col min="139" max="160" width="1.6" style="78"/>
    <col min="161" max="16384" width="4.21666666666667" style="78"/>
  </cols>
  <sheetData>
    <row r="1" s="76" customFormat="1" ht="4.9" customHeight="1" spans="1:156">
      <c r="A1" s="79"/>
      <c r="B1" s="80"/>
      <c r="C1" s="80"/>
      <c r="D1" s="80"/>
      <c r="E1" s="80"/>
      <c r="F1" s="80"/>
      <c r="G1" s="80"/>
      <c r="H1" s="80"/>
      <c r="I1" s="80"/>
      <c r="J1" s="80"/>
      <c r="K1" s="80"/>
      <c r="L1" s="80"/>
      <c r="M1" s="80"/>
      <c r="N1" s="80"/>
      <c r="O1" s="80"/>
      <c r="P1" s="80"/>
      <c r="Q1" s="80"/>
      <c r="R1" s="80"/>
      <c r="S1" s="80"/>
      <c r="T1" s="80"/>
      <c r="U1" s="80"/>
      <c r="V1" s="80"/>
      <c r="W1" s="80"/>
      <c r="X1" s="80"/>
      <c r="Y1" s="80"/>
      <c r="Z1" s="80"/>
      <c r="AB1" s="81"/>
      <c r="AC1" s="81"/>
      <c r="AD1" s="81"/>
      <c r="AE1" s="81"/>
      <c r="AF1" s="81"/>
      <c r="AG1" s="81"/>
      <c r="AH1" s="81"/>
      <c r="AI1" s="81"/>
      <c r="AJ1" s="81"/>
      <c r="AK1" s="81"/>
      <c r="AL1" s="81"/>
      <c r="AM1" s="81"/>
      <c r="AN1" s="81"/>
      <c r="AO1" s="81"/>
      <c r="AP1" s="81"/>
      <c r="AQ1" s="82"/>
      <c r="AR1" s="83"/>
      <c r="AS1" s="83"/>
      <c r="AT1" s="83"/>
      <c r="AU1" s="83"/>
      <c r="AV1" s="83"/>
      <c r="AW1" s="83"/>
      <c r="AX1" s="83"/>
      <c r="AY1" s="83"/>
      <c r="AZ1" s="83"/>
      <c r="BA1" s="83"/>
      <c r="BB1" s="83"/>
      <c r="BC1" s="83"/>
      <c r="BD1" s="83"/>
      <c r="BE1" s="83"/>
      <c r="BF1" s="83"/>
      <c r="BG1" s="84"/>
      <c r="BH1" s="78"/>
      <c r="BI1" s="85"/>
      <c r="BJ1" s="80"/>
      <c r="BK1" s="80"/>
      <c r="BL1" s="80"/>
      <c r="BM1" s="80"/>
      <c r="BN1" s="80"/>
      <c r="BO1" s="80"/>
      <c r="BP1" s="80"/>
      <c r="BQ1" s="80"/>
      <c r="BR1" s="80"/>
      <c r="BS1" s="80"/>
      <c r="BT1" s="80"/>
      <c r="BU1" s="80"/>
      <c r="BV1" s="80"/>
      <c r="BW1" s="80"/>
      <c r="BX1" s="80"/>
      <c r="BY1" s="80"/>
      <c r="BZ1" s="80"/>
      <c r="CA1" s="80"/>
      <c r="CB1" s="80"/>
      <c r="CC1" s="80"/>
      <c r="CD1" s="80"/>
      <c r="CE1" s="80"/>
      <c r="CF1" s="80"/>
      <c r="CG1" s="80"/>
      <c r="CH1" s="80"/>
      <c r="CI1" s="80"/>
      <c r="CJ1" s="80"/>
      <c r="CK1" s="80"/>
      <c r="CL1" s="80"/>
      <c r="CM1" s="80"/>
      <c r="CN1" s="80"/>
      <c r="CO1" s="80"/>
      <c r="CP1" s="80"/>
      <c r="CQ1" s="80"/>
      <c r="CR1" s="80"/>
      <c r="CS1" s="80"/>
      <c r="CT1" s="80"/>
      <c r="CU1" s="80"/>
      <c r="CV1" s="80"/>
      <c r="CW1" s="80"/>
      <c r="CX1" s="80"/>
      <c r="CZ1" s="86" t="s">
        <v>0</v>
      </c>
      <c r="DA1" s="87"/>
      <c r="DB1" s="88"/>
      <c r="DC1" s="89"/>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1"/>
      <c r="EH1" s="80"/>
      <c r="EI1" s="80"/>
      <c r="EJ1" s="80"/>
      <c r="EK1" s="80"/>
      <c r="EL1" s="80"/>
      <c r="EM1" s="80"/>
      <c r="EN1" s="80"/>
      <c r="EO1" s="80"/>
      <c r="EP1" s="80"/>
      <c r="EQ1" s="80"/>
      <c r="ER1" s="80"/>
      <c r="ES1" s="80"/>
      <c r="ET1" s="80"/>
      <c r="EU1" s="80"/>
      <c r="EV1" s="80"/>
      <c r="EW1" s="80"/>
      <c r="EX1" s="80"/>
      <c r="EY1" s="80"/>
    </row>
    <row r="2" customHeight="1" spans="1:156">
      <c r="A2" s="92"/>
      <c r="B2" s="93" t="inlineStr">
        <is>
          <t>※ 特工信息　v1.10</t>
        </is>
      </c>
      <c r="C2" s="94"/>
      <c r="D2" s="94"/>
      <c r="E2" s="94"/>
      <c r="F2" s="94"/>
      <c r="G2" s="94"/>
      <c r="H2" s="94"/>
      <c r="I2" s="94"/>
      <c r="J2" s="94"/>
      <c r="K2" s="94"/>
      <c r="L2" s="94"/>
      <c r="M2" s="94"/>
      <c r="N2" s="94"/>
      <c r="O2" s="94"/>
      <c r="P2" s="94"/>
      <c r="Q2" s="94"/>
      <c r="R2" s="94"/>
      <c r="S2" s="94"/>
      <c r="T2" s="94"/>
      <c r="U2" s="94"/>
      <c r="V2" s="94"/>
      <c r="W2" s="94"/>
      <c r="X2" s="94"/>
      <c r="Y2" s="94"/>
      <c r="Z2" s="95"/>
      <c r="AA2" s="92"/>
      <c r="AB2" s="93" t="s">
        <v>1</v>
      </c>
      <c r="AC2" s="94"/>
      <c r="AD2" s="94"/>
      <c r="AE2" s="94"/>
      <c r="AF2" s="94"/>
      <c r="AG2" s="94"/>
      <c r="AH2" s="96" t="s">
        <v>2</v>
      </c>
      <c r="AI2" s="96"/>
      <c r="AJ2" s="96"/>
      <c r="AK2" s="96" t="s">
        <v>3</v>
      </c>
      <c r="AL2" s="96"/>
      <c r="AM2" s="96"/>
      <c r="AN2" s="96" t="s">
        <v>4</v>
      </c>
      <c r="AO2" s="96"/>
      <c r="AP2" s="96"/>
      <c r="AQ2" s="96" t="s">
        <v>5</v>
      </c>
      <c r="AR2" s="96"/>
      <c r="AS2" s="96"/>
      <c r="AT2" s="96"/>
      <c r="AU2" s="96"/>
      <c r="AV2" s="96"/>
      <c r="AW2" s="96"/>
      <c r="AX2" s="96"/>
      <c r="AY2" s="96"/>
      <c r="AZ2" s="96"/>
      <c r="BA2" s="96"/>
      <c r="BB2" s="96"/>
      <c r="BC2" s="96"/>
      <c r="BD2" s="96"/>
      <c r="BE2" s="96"/>
      <c r="BF2" s="96"/>
      <c r="BG2" s="97"/>
      <c r="BH2" s="98"/>
      <c r="BI2" s="99" t="s">
        <v>6</v>
      </c>
      <c r="BJ2" s="100"/>
      <c r="BK2" s="100"/>
      <c r="BL2" s="100"/>
      <c r="BM2" s="100"/>
      <c r="BN2" s="100"/>
      <c r="BO2" s="100"/>
      <c r="BP2" s="100"/>
      <c r="BQ2" s="100"/>
      <c r="BR2" s="100"/>
      <c r="BS2" s="100"/>
      <c r="BT2" s="100"/>
      <c r="BU2" s="100"/>
      <c r="BV2" s="101"/>
      <c r="BW2" s="98"/>
      <c r="BX2" s="94" t="s">
        <v>7</v>
      </c>
      <c r="BY2" s="94"/>
      <c r="BZ2" s="94"/>
      <c r="CA2" s="94"/>
      <c r="CB2" s="94"/>
      <c r="CC2" s="94"/>
      <c r="CD2" s="94"/>
      <c r="CE2" s="94"/>
      <c r="CF2" s="94"/>
      <c r="CG2" s="94"/>
      <c r="CH2" s="94"/>
      <c r="CI2" s="94"/>
      <c r="CJ2" s="94"/>
      <c r="CK2" s="94"/>
      <c r="CL2" s="94"/>
      <c r="CM2" s="94"/>
      <c r="CN2" s="94"/>
      <c r="CO2" s="95"/>
      <c r="CP2" s="102" t="s">
        <v>8</v>
      </c>
      <c r="CQ2" s="102"/>
      <c r="CR2" s="102"/>
      <c r="CS2" s="102"/>
      <c r="CT2" s="102"/>
      <c r="CU2" s="102"/>
      <c r="CV2" s="102"/>
      <c r="CW2" s="102"/>
      <c r="CX2" s="103"/>
      <c r="CY2" s="92"/>
      <c r="CZ2" s="104" t="inlineStr">
        <is>
          <t>※ 物品</t>
        </is>
      </c>
      <c r="DA2" s="105"/>
      <c r="DB2" s="105"/>
      <c r="DC2" s="105"/>
      <c r="DD2" s="105"/>
      <c r="DE2" s="105"/>
      <c r="DF2" s="105"/>
      <c r="DG2" s="105"/>
      <c r="DH2" s="398" t="inlineStr">
        <is>
          <t>跟随职业</t>
        </is>
      </c>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6"/>
    </row>
    <row r="3" customHeight="1" spans="1:156">
      <c r="A3" s="92"/>
      <c r="B3" s="107" t="s">
        <v>9</v>
      </c>
      <c r="C3" s="108"/>
      <c r="D3" s="108"/>
      <c r="E3" s="109"/>
      <c r="F3" s="109"/>
      <c r="G3" s="109"/>
      <c r="H3" s="109"/>
      <c r="I3" s="109"/>
      <c r="J3" s="109"/>
      <c r="K3" s="109"/>
      <c r="L3" s="109"/>
      <c r="M3" s="109"/>
      <c r="N3" s="109"/>
      <c r="O3" s="109"/>
      <c r="P3" s="109"/>
      <c r="Q3" s="109"/>
      <c r="R3" s="109"/>
      <c r="S3" s="109"/>
      <c r="T3" s="109"/>
      <c r="U3" s="109"/>
      <c r="V3" s="109"/>
      <c r="W3" s="109"/>
      <c r="X3" s="109"/>
      <c r="Y3" s="109"/>
      <c r="Z3" s="110"/>
      <c r="AA3" s="92"/>
      <c r="AB3" s="107" t="s">
        <v>10</v>
      </c>
      <c r="AC3" s="108"/>
      <c r="AD3" s="111"/>
      <c r="AE3" s="112" t="s">
        <v>11</v>
      </c>
      <c r="AF3" s="113"/>
      <c r="AG3" s="113"/>
      <c r="AH3" s="114">
        <f>'幕间计算'!BF1199</f>
        <v>0</v>
      </c>
      <c r="AI3" s="114"/>
      <c r="AJ3" s="114"/>
      <c r="AK3" s="115">
        <f>附表!B2*5</f>
        <v>0</v>
      </c>
      <c r="AL3" s="115"/>
      <c r="AM3" s="115"/>
      <c r="AN3" s="114"/>
      <c r="AO3" s="114"/>
      <c r="AP3" s="114"/>
      <c r="AQ3" s="116"/>
      <c r="AR3" s="117"/>
      <c r="AS3" s="117"/>
      <c r="AT3" s="117"/>
      <c r="AU3" s="117"/>
      <c r="AV3" s="117"/>
      <c r="AW3" s="117"/>
      <c r="AX3" s="117"/>
      <c r="AY3" s="117"/>
      <c r="AZ3" s="117"/>
      <c r="BA3" s="117"/>
      <c r="BB3" s="117"/>
      <c r="BC3" s="117"/>
      <c r="BD3" s="117"/>
      <c r="BE3" s="117"/>
      <c r="BF3" s="117"/>
      <c r="BG3" s="118"/>
      <c r="BH3" s="98"/>
      <c r="BI3" s="119"/>
      <c r="BJ3" s="120"/>
      <c r="BK3" s="120"/>
      <c r="BL3" s="120"/>
      <c r="BM3" s="120"/>
      <c r="BN3" s="120"/>
      <c r="BO3" s="120"/>
      <c r="BP3" s="120"/>
      <c r="BQ3" s="120"/>
      <c r="BR3" s="120"/>
      <c r="BS3" s="120"/>
      <c r="BT3" s="120"/>
      <c r="BU3" s="120"/>
      <c r="BV3" s="121"/>
      <c r="BW3" s="98"/>
      <c r="BX3" s="122"/>
      <c r="BY3" s="123"/>
      <c r="BZ3" s="123"/>
      <c r="CA3" s="123"/>
      <c r="CB3" s="123"/>
      <c r="CC3" s="123"/>
      <c r="CD3" s="123"/>
      <c r="CE3" s="123"/>
      <c r="CF3" s="123"/>
      <c r="CG3" s="123"/>
      <c r="CH3" s="123"/>
      <c r="CI3" s="123"/>
      <c r="CJ3" s="123"/>
      <c r="CK3" s="123"/>
      <c r="CL3" s="123"/>
      <c r="CM3" s="123"/>
      <c r="CN3" s="123"/>
      <c r="CO3" s="123"/>
      <c r="CP3" s="124"/>
      <c r="CQ3" s="124"/>
      <c r="CR3" s="124"/>
      <c r="CS3" s="124"/>
      <c r="CT3" s="124"/>
      <c r="CU3" s="124"/>
      <c r="CV3" s="124"/>
      <c r="CW3" s="124"/>
      <c r="CX3" s="125"/>
      <c r="CY3" s="92"/>
      <c r="CZ3" s="126" t="str">
        <f>IF('装备选项'!L6&lt;&gt;"",'装备选项'!L6,IF(DH2="自定义","",'装备选项'!L5))</f>
        <v/>
      </c>
      <c r="DA3" s="127"/>
      <c r="DB3" s="127"/>
      <c r="DC3" s="127"/>
      <c r="DD3" s="127"/>
      <c r="DE3" s="127"/>
      <c r="DF3" s="127"/>
      <c r="DG3" s="127"/>
      <c r="DH3" s="127"/>
      <c r="DI3" s="127"/>
      <c r="DJ3" s="127"/>
      <c r="DK3" s="127"/>
      <c r="DL3" s="127"/>
      <c r="DM3" s="127"/>
      <c r="DN3" s="127"/>
      <c r="DO3" s="127"/>
      <c r="DP3" s="127"/>
      <c r="DQ3" s="127"/>
      <c r="DR3" s="128" t="str">
        <f>'装备选项'!L7</f>
        <v/>
      </c>
      <c r="DS3" s="129"/>
      <c r="DT3" s="129"/>
      <c r="DU3" s="129"/>
      <c r="DV3" s="129"/>
      <c r="DW3" s="129"/>
      <c r="DX3" s="129"/>
      <c r="DY3" s="129"/>
      <c r="DZ3" s="129"/>
      <c r="EA3" s="129"/>
      <c r="EB3" s="129"/>
      <c r="EC3" s="129"/>
      <c r="ED3" s="129"/>
      <c r="EE3" s="129"/>
      <c r="EF3" s="129"/>
      <c r="EG3" s="129"/>
      <c r="EH3" s="129"/>
      <c r="EI3" s="128" t="str">
        <f>IF(AND(DH2&lt;&gt;"自定义",'装备选项'!L6&lt;&gt;""),'装备选项'!L5,"")</f>
        <v/>
      </c>
      <c r="EJ3" s="129"/>
      <c r="EK3" s="129"/>
      <c r="EL3" s="129"/>
      <c r="EM3" s="129"/>
      <c r="EN3" s="129"/>
      <c r="EO3" s="129"/>
      <c r="EP3" s="129"/>
      <c r="EQ3" s="129"/>
      <c r="ER3" s="129"/>
      <c r="ES3" s="129"/>
      <c r="ET3" s="129"/>
      <c r="EU3" s="129"/>
      <c r="EV3" s="129"/>
      <c r="EW3" s="129"/>
      <c r="EX3" s="129"/>
      <c r="EY3" s="130"/>
      <c r="EZ3" s="77"/>
    </row>
    <row r="4" customHeight="1" spans="1:156">
      <c r="A4" s="92"/>
      <c r="B4" s="131" t="s">
        <v>12</v>
      </c>
      <c r="C4" s="132"/>
      <c r="D4" s="132"/>
      <c r="E4" s="133"/>
      <c r="F4" s="134"/>
      <c r="G4" s="134"/>
      <c r="H4" s="134"/>
      <c r="I4" s="134"/>
      <c r="J4" s="134"/>
      <c r="K4" s="134"/>
      <c r="L4" s="134"/>
      <c r="M4" s="134"/>
      <c r="N4" s="134"/>
      <c r="O4" s="134"/>
      <c r="P4" s="134"/>
      <c r="Q4" s="134"/>
      <c r="R4" s="134"/>
      <c r="S4" s="134"/>
      <c r="T4" s="134"/>
      <c r="U4" s="134"/>
      <c r="V4" s="134"/>
      <c r="W4" s="134"/>
      <c r="X4" s="134"/>
      <c r="Y4" s="134"/>
      <c r="Z4" s="135"/>
      <c r="AA4" s="92"/>
      <c r="AB4" s="131" t="s">
        <v>13</v>
      </c>
      <c r="AC4" s="132"/>
      <c r="AD4" s="136"/>
      <c r="AE4" s="137" t="s">
        <v>14</v>
      </c>
      <c r="AF4" s="138"/>
      <c r="AG4" s="138"/>
      <c r="AH4" s="139">
        <f>'幕间计算'!BG1199</f>
        <v>0</v>
      </c>
      <c r="AI4" s="139"/>
      <c r="AJ4" s="139"/>
      <c r="AK4" s="115">
        <f>附表!B3*5</f>
        <v>0</v>
      </c>
      <c r="AL4" s="115"/>
      <c r="AM4" s="115"/>
      <c r="AN4" s="139"/>
      <c r="AO4" s="139"/>
      <c r="AP4" s="139"/>
      <c r="AQ4" s="140"/>
      <c r="AR4" s="141"/>
      <c r="AS4" s="141"/>
      <c r="AT4" s="141"/>
      <c r="AU4" s="141"/>
      <c r="AV4" s="141"/>
      <c r="AW4" s="141"/>
      <c r="AX4" s="141"/>
      <c r="AY4" s="141"/>
      <c r="AZ4" s="141"/>
      <c r="BA4" s="141"/>
      <c r="BB4" s="141"/>
      <c r="BC4" s="141"/>
      <c r="BD4" s="141"/>
      <c r="BE4" s="141"/>
      <c r="BF4" s="141"/>
      <c r="BG4" s="142"/>
      <c r="BH4" s="98"/>
      <c r="BI4" s="119"/>
      <c r="BJ4" s="120"/>
      <c r="BK4" s="120"/>
      <c r="BL4" s="120"/>
      <c r="BM4" s="120"/>
      <c r="BN4" s="120"/>
      <c r="BO4" s="120"/>
      <c r="BP4" s="120"/>
      <c r="BQ4" s="120"/>
      <c r="BR4" s="120"/>
      <c r="BS4" s="120"/>
      <c r="BT4" s="120"/>
      <c r="BU4" s="120"/>
      <c r="BV4" s="121"/>
      <c r="BW4" s="98"/>
      <c r="BX4" s="143"/>
      <c r="BY4" s="144"/>
      <c r="BZ4" s="144"/>
      <c r="CA4" s="144"/>
      <c r="CB4" s="144"/>
      <c r="CC4" s="144"/>
      <c r="CD4" s="144"/>
      <c r="CE4" s="144"/>
      <c r="CF4" s="144"/>
      <c r="CG4" s="144"/>
      <c r="CH4" s="144"/>
      <c r="CI4" s="144"/>
      <c r="CJ4" s="144"/>
      <c r="CK4" s="144"/>
      <c r="CL4" s="144"/>
      <c r="CM4" s="144"/>
      <c r="CN4" s="144"/>
      <c r="CO4" s="144"/>
      <c r="CP4" s="145"/>
      <c r="CQ4" s="145"/>
      <c r="CR4" s="145"/>
      <c r="CS4" s="145"/>
      <c r="CT4" s="145"/>
      <c r="CU4" s="145"/>
      <c r="CV4" s="145"/>
      <c r="CW4" s="145"/>
      <c r="CX4" s="146"/>
      <c r="CY4" s="92"/>
      <c r="CZ4" s="147"/>
      <c r="DA4" s="148"/>
      <c r="DB4" s="148"/>
      <c r="DC4" s="148"/>
      <c r="DD4" s="148"/>
      <c r="DE4" s="148"/>
      <c r="DF4" s="148"/>
      <c r="DG4" s="148"/>
      <c r="DH4" s="148"/>
      <c r="DI4" s="148"/>
      <c r="DJ4" s="148"/>
      <c r="DK4" s="148"/>
      <c r="DL4" s="148"/>
      <c r="DM4" s="148"/>
      <c r="DN4" s="148"/>
      <c r="DO4" s="148"/>
      <c r="DP4" s="148"/>
      <c r="DQ4" s="148"/>
      <c r="DR4" s="149"/>
      <c r="DS4" s="150"/>
      <c r="DT4" s="150"/>
      <c r="DU4" s="150"/>
      <c r="DV4" s="150"/>
      <c r="DW4" s="150"/>
      <c r="DX4" s="150"/>
      <c r="DY4" s="150"/>
      <c r="DZ4" s="150"/>
      <c r="EA4" s="150"/>
      <c r="EB4" s="150"/>
      <c r="EC4" s="150"/>
      <c r="ED4" s="150"/>
      <c r="EE4" s="150"/>
      <c r="EF4" s="150"/>
      <c r="EG4" s="150"/>
      <c r="EH4" s="150"/>
      <c r="EI4" s="149"/>
      <c r="EJ4" s="150"/>
      <c r="EK4" s="150"/>
      <c r="EL4" s="150"/>
      <c r="EM4" s="150"/>
      <c r="EN4" s="150"/>
      <c r="EO4" s="150"/>
      <c r="EP4" s="150"/>
      <c r="EQ4" s="150"/>
      <c r="ER4" s="150"/>
      <c r="ES4" s="150"/>
      <c r="ET4" s="150"/>
      <c r="EU4" s="150"/>
      <c r="EV4" s="150"/>
      <c r="EW4" s="150"/>
      <c r="EX4" s="150"/>
      <c r="EY4" s="151"/>
      <c r="EZ4" s="77"/>
    </row>
    <row r="5" customHeight="1" spans="1:156">
      <c r="A5" s="92"/>
      <c r="B5" s="131" t="s">
        <v>15</v>
      </c>
      <c r="C5" s="132"/>
      <c r="D5" s="132"/>
      <c r="E5" s="152"/>
      <c r="F5" s="153"/>
      <c r="G5" s="153"/>
      <c r="H5" s="153"/>
      <c r="I5" s="153"/>
      <c r="J5" s="153"/>
      <c r="K5" s="153"/>
      <c r="L5" s="153"/>
      <c r="M5" s="154"/>
      <c r="N5" s="155" t="s">
        <v>16</v>
      </c>
      <c r="O5" s="156"/>
      <c r="P5" s="157"/>
      <c r="Q5" s="152"/>
      <c r="R5" s="153"/>
      <c r="S5" s="153"/>
      <c r="T5" s="153"/>
      <c r="U5" s="153"/>
      <c r="V5" s="153"/>
      <c r="W5" s="153"/>
      <c r="X5" s="153"/>
      <c r="Y5" s="153"/>
      <c r="Z5" s="158"/>
      <c r="AA5" s="92"/>
      <c r="AB5" s="131" t="s">
        <v>17</v>
      </c>
      <c r="AC5" s="132"/>
      <c r="AD5" s="159"/>
      <c r="AE5" s="137" t="s">
        <v>18</v>
      </c>
      <c r="AF5" s="138"/>
      <c r="AG5" s="138"/>
      <c r="AH5" s="139">
        <f>'幕间计算'!BH1199</f>
        <v>0</v>
      </c>
      <c r="AI5" s="139"/>
      <c r="AJ5" s="139"/>
      <c r="AK5" s="115">
        <f>附表!B4*5</f>
        <v>0</v>
      </c>
      <c r="AL5" s="115"/>
      <c r="AM5" s="115"/>
      <c r="AN5" s="139"/>
      <c r="AO5" s="139"/>
      <c r="AP5" s="139"/>
      <c r="AQ5" s="140"/>
      <c r="AR5" s="141"/>
      <c r="AS5" s="141"/>
      <c r="AT5" s="141"/>
      <c r="AU5" s="141"/>
      <c r="AV5" s="141"/>
      <c r="AW5" s="141"/>
      <c r="AX5" s="141"/>
      <c r="AY5" s="141"/>
      <c r="AZ5" s="141"/>
      <c r="BA5" s="141"/>
      <c r="BB5" s="141"/>
      <c r="BC5" s="141"/>
      <c r="BD5" s="141"/>
      <c r="BE5" s="141"/>
      <c r="BF5" s="141"/>
      <c r="BG5" s="142"/>
      <c r="BH5" s="98"/>
      <c r="BI5" s="119"/>
      <c r="BJ5" s="120"/>
      <c r="BK5" s="120"/>
      <c r="BL5" s="120"/>
      <c r="BM5" s="120"/>
      <c r="BN5" s="120"/>
      <c r="BO5" s="120"/>
      <c r="BP5" s="120"/>
      <c r="BQ5" s="120"/>
      <c r="BR5" s="120"/>
      <c r="BS5" s="120"/>
      <c r="BT5" s="120"/>
      <c r="BU5" s="120"/>
      <c r="BV5" s="121"/>
      <c r="BW5" s="98"/>
      <c r="BX5" s="143"/>
      <c r="BY5" s="144"/>
      <c r="BZ5" s="144"/>
      <c r="CA5" s="144"/>
      <c r="CB5" s="144"/>
      <c r="CC5" s="144"/>
      <c r="CD5" s="144"/>
      <c r="CE5" s="144"/>
      <c r="CF5" s="144"/>
      <c r="CG5" s="144"/>
      <c r="CH5" s="144"/>
      <c r="CI5" s="144"/>
      <c r="CJ5" s="144"/>
      <c r="CK5" s="144"/>
      <c r="CL5" s="144"/>
      <c r="CM5" s="144"/>
      <c r="CN5" s="144"/>
      <c r="CO5" s="144"/>
      <c r="CP5" s="145"/>
      <c r="CQ5" s="145"/>
      <c r="CR5" s="145"/>
      <c r="CS5" s="145"/>
      <c r="CT5" s="145"/>
      <c r="CU5" s="145"/>
      <c r="CV5" s="145"/>
      <c r="CW5" s="145"/>
      <c r="CX5" s="146"/>
      <c r="CY5" s="92"/>
      <c r="CZ5" s="147"/>
      <c r="DA5" s="148"/>
      <c r="DB5" s="148"/>
      <c r="DC5" s="148"/>
      <c r="DD5" s="148"/>
      <c r="DE5" s="148"/>
      <c r="DF5" s="148"/>
      <c r="DG5" s="148"/>
      <c r="DH5" s="148"/>
      <c r="DI5" s="148"/>
      <c r="DJ5" s="148"/>
      <c r="DK5" s="148"/>
      <c r="DL5" s="148"/>
      <c r="DM5" s="148"/>
      <c r="DN5" s="148"/>
      <c r="DO5" s="148"/>
      <c r="DP5" s="148"/>
      <c r="DQ5" s="148"/>
      <c r="DR5" s="149"/>
      <c r="DS5" s="150"/>
      <c r="DT5" s="150"/>
      <c r="DU5" s="150"/>
      <c r="DV5" s="150"/>
      <c r="DW5" s="150"/>
      <c r="DX5" s="150"/>
      <c r="DY5" s="150"/>
      <c r="DZ5" s="150"/>
      <c r="EA5" s="150"/>
      <c r="EB5" s="150"/>
      <c r="EC5" s="150"/>
      <c r="ED5" s="150"/>
      <c r="EE5" s="150"/>
      <c r="EF5" s="150"/>
      <c r="EG5" s="150"/>
      <c r="EH5" s="150"/>
      <c r="EI5" s="149"/>
      <c r="EJ5" s="150"/>
      <c r="EK5" s="150"/>
      <c r="EL5" s="150"/>
      <c r="EM5" s="150"/>
      <c r="EN5" s="150"/>
      <c r="EO5" s="150"/>
      <c r="EP5" s="150"/>
      <c r="EQ5" s="150"/>
      <c r="ER5" s="150"/>
      <c r="ES5" s="150"/>
      <c r="ET5" s="150"/>
      <c r="EU5" s="150"/>
      <c r="EV5" s="150"/>
      <c r="EW5" s="150"/>
      <c r="EX5" s="150"/>
      <c r="EY5" s="151"/>
      <c r="EZ5" s="77"/>
    </row>
    <row r="6" customHeight="1" spans="1:156">
      <c r="A6" s="92"/>
      <c r="B6" s="131" t="s">
        <v>19</v>
      </c>
      <c r="C6" s="132"/>
      <c r="D6" s="132"/>
      <c r="E6" s="152"/>
      <c r="F6" s="153"/>
      <c r="G6" s="153"/>
      <c r="H6" s="153"/>
      <c r="I6" s="153"/>
      <c r="J6" s="153"/>
      <c r="K6" s="153"/>
      <c r="L6" s="153"/>
      <c r="M6" s="153"/>
      <c r="N6" s="155" t="s">
        <v>20</v>
      </c>
      <c r="O6" s="156"/>
      <c r="P6" s="157"/>
      <c r="Q6" s="153"/>
      <c r="R6" s="153"/>
      <c r="S6" s="153"/>
      <c r="T6" s="153"/>
      <c r="U6" s="153"/>
      <c r="V6" s="153"/>
      <c r="W6" s="153"/>
      <c r="X6" s="153"/>
      <c r="Y6" s="153"/>
      <c r="Z6" s="158"/>
      <c r="AA6" s="92"/>
      <c r="AB6" s="131" t="s">
        <v>21</v>
      </c>
      <c r="AC6" s="132"/>
      <c r="AD6" s="136"/>
      <c r="AE6" s="137" t="s">
        <v>22</v>
      </c>
      <c r="AF6" s="138"/>
      <c r="AG6" s="138"/>
      <c r="AH6" s="139">
        <f>'幕间计算'!BI1199</f>
        <v>0</v>
      </c>
      <c r="AI6" s="139"/>
      <c r="AJ6" s="139"/>
      <c r="AK6" s="115">
        <f>附表!B5*5</f>
        <v>0</v>
      </c>
      <c r="AL6" s="115"/>
      <c r="AM6" s="115"/>
      <c r="AN6" s="139"/>
      <c r="AO6" s="139"/>
      <c r="AP6" s="139"/>
      <c r="AQ6" s="140"/>
      <c r="AR6" s="141"/>
      <c r="AS6" s="141"/>
      <c r="AT6" s="141"/>
      <c r="AU6" s="141"/>
      <c r="AV6" s="141"/>
      <c r="AW6" s="141"/>
      <c r="AX6" s="141"/>
      <c r="AY6" s="141"/>
      <c r="AZ6" s="141"/>
      <c r="BA6" s="141"/>
      <c r="BB6" s="141"/>
      <c r="BC6" s="141"/>
      <c r="BD6" s="141"/>
      <c r="BE6" s="141"/>
      <c r="BF6" s="141"/>
      <c r="BG6" s="142"/>
      <c r="BH6" s="98"/>
      <c r="BI6" s="119"/>
      <c r="BJ6" s="120"/>
      <c r="BK6" s="120"/>
      <c r="BL6" s="120"/>
      <c r="BM6" s="120"/>
      <c r="BN6" s="120"/>
      <c r="BO6" s="120"/>
      <c r="BP6" s="120"/>
      <c r="BQ6" s="120"/>
      <c r="BR6" s="120"/>
      <c r="BS6" s="120"/>
      <c r="BT6" s="120"/>
      <c r="BU6" s="120"/>
      <c r="BV6" s="121"/>
      <c r="BW6" s="98"/>
      <c r="BX6" s="143"/>
      <c r="BY6" s="144"/>
      <c r="BZ6" s="144"/>
      <c r="CA6" s="144"/>
      <c r="CB6" s="144"/>
      <c r="CC6" s="144"/>
      <c r="CD6" s="144"/>
      <c r="CE6" s="144"/>
      <c r="CF6" s="144"/>
      <c r="CG6" s="144"/>
      <c r="CH6" s="144"/>
      <c r="CI6" s="144"/>
      <c r="CJ6" s="144"/>
      <c r="CK6" s="144"/>
      <c r="CL6" s="144"/>
      <c r="CM6" s="144"/>
      <c r="CN6" s="144"/>
      <c r="CO6" s="144"/>
      <c r="CP6" s="145"/>
      <c r="CQ6" s="145"/>
      <c r="CR6" s="145"/>
      <c r="CS6" s="145"/>
      <c r="CT6" s="145"/>
      <c r="CU6" s="145"/>
      <c r="CV6" s="145"/>
      <c r="CW6" s="145"/>
      <c r="CX6" s="146"/>
      <c r="CY6" s="92"/>
      <c r="CZ6" s="147"/>
      <c r="DA6" s="148"/>
      <c r="DB6" s="148"/>
      <c r="DC6" s="148"/>
      <c r="DD6" s="148"/>
      <c r="DE6" s="148"/>
      <c r="DF6" s="148"/>
      <c r="DG6" s="148"/>
      <c r="DH6" s="148"/>
      <c r="DI6" s="148"/>
      <c r="DJ6" s="148"/>
      <c r="DK6" s="148"/>
      <c r="DL6" s="148"/>
      <c r="DM6" s="148"/>
      <c r="DN6" s="148"/>
      <c r="DO6" s="148"/>
      <c r="DP6" s="148"/>
      <c r="DQ6" s="148"/>
      <c r="DR6" s="149"/>
      <c r="DS6" s="150"/>
      <c r="DT6" s="150"/>
      <c r="DU6" s="150"/>
      <c r="DV6" s="150"/>
      <c r="DW6" s="150"/>
      <c r="DX6" s="150"/>
      <c r="DY6" s="150"/>
      <c r="DZ6" s="150"/>
      <c r="EA6" s="150"/>
      <c r="EB6" s="150"/>
      <c r="EC6" s="150"/>
      <c r="ED6" s="150"/>
      <c r="EE6" s="150"/>
      <c r="EF6" s="150"/>
      <c r="EG6" s="150"/>
      <c r="EH6" s="150"/>
      <c r="EI6" s="149"/>
      <c r="EJ6" s="150"/>
      <c r="EK6" s="150"/>
      <c r="EL6" s="150"/>
      <c r="EM6" s="150"/>
      <c r="EN6" s="150"/>
      <c r="EO6" s="150"/>
      <c r="EP6" s="150"/>
      <c r="EQ6" s="150"/>
      <c r="ER6" s="150"/>
      <c r="ES6" s="150"/>
      <c r="ET6" s="150"/>
      <c r="EU6" s="150"/>
      <c r="EV6" s="150"/>
      <c r="EW6" s="150"/>
      <c r="EX6" s="150"/>
      <c r="EY6" s="151"/>
      <c r="EZ6" s="77"/>
    </row>
    <row r="7" customHeight="1" spans="1:156">
      <c r="A7" s="92"/>
      <c r="B7" s="131" t="s">
        <v>23</v>
      </c>
      <c r="C7" s="132"/>
      <c r="D7" s="132"/>
      <c r="E7" s="160"/>
      <c r="F7" s="160"/>
      <c r="G7" s="160"/>
      <c r="H7" s="160"/>
      <c r="I7" s="160"/>
      <c r="J7" s="160"/>
      <c r="K7" s="160"/>
      <c r="L7" s="160"/>
      <c r="M7" s="160"/>
      <c r="N7" s="160"/>
      <c r="O7" s="160"/>
      <c r="P7" s="160"/>
      <c r="Q7" s="160"/>
      <c r="R7" s="160"/>
      <c r="S7" s="160"/>
      <c r="T7" s="160"/>
      <c r="U7" s="160"/>
      <c r="V7" s="160"/>
      <c r="W7" s="160"/>
      <c r="X7" s="160"/>
      <c r="Y7" s="160"/>
      <c r="Z7" s="161"/>
      <c r="AA7" s="92"/>
      <c r="AB7" s="131" t="s">
        <v>24</v>
      </c>
      <c r="AC7" s="132"/>
      <c r="AD7" s="159"/>
      <c r="AE7" s="137" t="s">
        <v>25</v>
      </c>
      <c r="AF7" s="138"/>
      <c r="AG7" s="138"/>
      <c r="AH7" s="139">
        <f>'幕间计算'!BJ1199</f>
        <v>0</v>
      </c>
      <c r="AI7" s="139"/>
      <c r="AJ7" s="139"/>
      <c r="AK7" s="115">
        <f>附表!B6*5</f>
        <v>0</v>
      </c>
      <c r="AL7" s="115"/>
      <c r="AM7" s="115"/>
      <c r="AN7" s="139"/>
      <c r="AO7" s="139"/>
      <c r="AP7" s="139"/>
      <c r="AQ7" s="140"/>
      <c r="AR7" s="141"/>
      <c r="AS7" s="141"/>
      <c r="AT7" s="141"/>
      <c r="AU7" s="141"/>
      <c r="AV7" s="141"/>
      <c r="AW7" s="141"/>
      <c r="AX7" s="141"/>
      <c r="AY7" s="141"/>
      <c r="AZ7" s="141"/>
      <c r="BA7" s="141"/>
      <c r="BB7" s="141"/>
      <c r="BC7" s="141"/>
      <c r="BD7" s="141"/>
      <c r="BE7" s="141"/>
      <c r="BF7" s="141"/>
      <c r="BG7" s="142"/>
      <c r="BH7" s="98"/>
      <c r="BI7" s="119"/>
      <c r="BJ7" s="120"/>
      <c r="BK7" s="120"/>
      <c r="BL7" s="120"/>
      <c r="BM7" s="120"/>
      <c r="BN7" s="120"/>
      <c r="BO7" s="120"/>
      <c r="BP7" s="120"/>
      <c r="BQ7" s="120"/>
      <c r="BR7" s="120"/>
      <c r="BS7" s="120"/>
      <c r="BT7" s="120"/>
      <c r="BU7" s="120"/>
      <c r="BV7" s="121"/>
      <c r="BW7" s="98"/>
      <c r="BX7" s="143"/>
      <c r="BY7" s="144"/>
      <c r="BZ7" s="144"/>
      <c r="CA7" s="144"/>
      <c r="CB7" s="144"/>
      <c r="CC7" s="144"/>
      <c r="CD7" s="144"/>
      <c r="CE7" s="144"/>
      <c r="CF7" s="144"/>
      <c r="CG7" s="144"/>
      <c r="CH7" s="144"/>
      <c r="CI7" s="144"/>
      <c r="CJ7" s="144"/>
      <c r="CK7" s="144"/>
      <c r="CL7" s="144"/>
      <c r="CM7" s="144"/>
      <c r="CN7" s="144"/>
      <c r="CO7" s="144"/>
      <c r="CP7" s="145"/>
      <c r="CQ7" s="145"/>
      <c r="CR7" s="145"/>
      <c r="CS7" s="145"/>
      <c r="CT7" s="145"/>
      <c r="CU7" s="145"/>
      <c r="CV7" s="145"/>
      <c r="CW7" s="145"/>
      <c r="CX7" s="146"/>
      <c r="CY7" s="92"/>
      <c r="CZ7" s="147"/>
      <c r="DA7" s="148"/>
      <c r="DB7" s="148"/>
      <c r="DC7" s="148"/>
      <c r="DD7" s="148"/>
      <c r="DE7" s="148"/>
      <c r="DF7" s="148"/>
      <c r="DG7" s="148"/>
      <c r="DH7" s="148"/>
      <c r="DI7" s="148"/>
      <c r="DJ7" s="148"/>
      <c r="DK7" s="148"/>
      <c r="DL7" s="148"/>
      <c r="DM7" s="148"/>
      <c r="DN7" s="148"/>
      <c r="DO7" s="148"/>
      <c r="DP7" s="148"/>
      <c r="DQ7" s="148"/>
      <c r="DR7" s="149"/>
      <c r="DS7" s="150"/>
      <c r="DT7" s="150"/>
      <c r="DU7" s="150"/>
      <c r="DV7" s="150"/>
      <c r="DW7" s="150"/>
      <c r="DX7" s="150"/>
      <c r="DY7" s="150"/>
      <c r="DZ7" s="150"/>
      <c r="EA7" s="150"/>
      <c r="EB7" s="150"/>
      <c r="EC7" s="150"/>
      <c r="ED7" s="150"/>
      <c r="EE7" s="150"/>
      <c r="EF7" s="150"/>
      <c r="EG7" s="150"/>
      <c r="EH7" s="150"/>
      <c r="EI7" s="149"/>
      <c r="EJ7" s="150"/>
      <c r="EK7" s="150"/>
      <c r="EL7" s="150"/>
      <c r="EM7" s="150"/>
      <c r="EN7" s="150"/>
      <c r="EO7" s="150"/>
      <c r="EP7" s="150"/>
      <c r="EQ7" s="150"/>
      <c r="ER7" s="150"/>
      <c r="ES7" s="150"/>
      <c r="ET7" s="150"/>
      <c r="EU7" s="150"/>
      <c r="EV7" s="150"/>
      <c r="EW7" s="150"/>
      <c r="EX7" s="150"/>
      <c r="EY7" s="151"/>
      <c r="EZ7" s="77"/>
    </row>
    <row r="8" customHeight="1" spans="1:156">
      <c r="A8" s="92"/>
      <c r="B8" s="162" t="s">
        <v>26</v>
      </c>
      <c r="C8" s="163"/>
      <c r="D8" s="163"/>
      <c r="E8" s="164"/>
      <c r="F8" s="165"/>
      <c r="G8" s="165"/>
      <c r="H8" s="165"/>
      <c r="I8" s="165"/>
      <c r="J8" s="165"/>
      <c r="K8" s="165"/>
      <c r="L8" s="165"/>
      <c r="M8" s="165"/>
      <c r="N8" s="165"/>
      <c r="O8" s="165"/>
      <c r="P8" s="165"/>
      <c r="Q8" s="165"/>
      <c r="R8" s="165"/>
      <c r="S8" s="165"/>
      <c r="T8" s="165"/>
      <c r="U8" s="165"/>
      <c r="V8" s="165"/>
      <c r="W8" s="165"/>
      <c r="X8" s="165"/>
      <c r="Y8" s="165"/>
      <c r="Z8" s="166"/>
      <c r="AA8" s="167"/>
      <c r="AB8" s="162" t="s">
        <v>27</v>
      </c>
      <c r="AC8" s="163"/>
      <c r="AD8" s="168"/>
      <c r="AE8" s="169" t="s">
        <v>28</v>
      </c>
      <c r="AF8" s="170"/>
      <c r="AG8" s="170"/>
      <c r="AH8" s="171">
        <f>'幕间计算'!BK1199</f>
        <v>0</v>
      </c>
      <c r="AI8" s="171"/>
      <c r="AJ8" s="171"/>
      <c r="AK8" s="172">
        <f>附表!B7*5</f>
        <v>0</v>
      </c>
      <c r="AL8" s="172"/>
      <c r="AM8" s="172"/>
      <c r="AN8" s="171"/>
      <c r="AO8" s="171"/>
      <c r="AP8" s="171"/>
      <c r="AQ8" s="173"/>
      <c r="AR8" s="174"/>
      <c r="AS8" s="174"/>
      <c r="AT8" s="174"/>
      <c r="AU8" s="174"/>
      <c r="AV8" s="174"/>
      <c r="AW8" s="174"/>
      <c r="AX8" s="174"/>
      <c r="AY8" s="174"/>
      <c r="AZ8" s="174"/>
      <c r="BA8" s="174"/>
      <c r="BB8" s="174"/>
      <c r="BC8" s="174"/>
      <c r="BD8" s="174"/>
      <c r="BE8" s="174"/>
      <c r="BF8" s="174"/>
      <c r="BG8" s="175"/>
      <c r="BH8" s="98"/>
      <c r="BI8" s="119"/>
      <c r="BJ8" s="120"/>
      <c r="BK8" s="120"/>
      <c r="BL8" s="120"/>
      <c r="BM8" s="120"/>
      <c r="BN8" s="120"/>
      <c r="BO8" s="120"/>
      <c r="BP8" s="120"/>
      <c r="BQ8" s="120"/>
      <c r="BR8" s="120"/>
      <c r="BS8" s="120"/>
      <c r="BT8" s="120"/>
      <c r="BU8" s="120"/>
      <c r="BV8" s="121"/>
      <c r="BW8" s="98"/>
      <c r="BX8" s="143"/>
      <c r="BY8" s="144"/>
      <c r="BZ8" s="144"/>
      <c r="CA8" s="144"/>
      <c r="CB8" s="144"/>
      <c r="CC8" s="144"/>
      <c r="CD8" s="144"/>
      <c r="CE8" s="144"/>
      <c r="CF8" s="144"/>
      <c r="CG8" s="144"/>
      <c r="CH8" s="144"/>
      <c r="CI8" s="144"/>
      <c r="CJ8" s="144"/>
      <c r="CK8" s="144"/>
      <c r="CL8" s="144"/>
      <c r="CM8" s="144"/>
      <c r="CN8" s="144"/>
      <c r="CO8" s="144"/>
      <c r="CP8" s="145"/>
      <c r="CQ8" s="145"/>
      <c r="CR8" s="145"/>
      <c r="CS8" s="145"/>
      <c r="CT8" s="145"/>
      <c r="CU8" s="145"/>
      <c r="CV8" s="145"/>
      <c r="CW8" s="145"/>
      <c r="CX8" s="146"/>
      <c r="CY8" s="92"/>
      <c r="CZ8" s="147"/>
      <c r="DA8" s="148"/>
      <c r="DB8" s="148"/>
      <c r="DC8" s="148"/>
      <c r="DD8" s="148"/>
      <c r="DE8" s="148"/>
      <c r="DF8" s="148"/>
      <c r="DG8" s="148"/>
      <c r="DH8" s="148"/>
      <c r="DI8" s="148"/>
      <c r="DJ8" s="148"/>
      <c r="DK8" s="148"/>
      <c r="DL8" s="148"/>
      <c r="DM8" s="148"/>
      <c r="DN8" s="148"/>
      <c r="DO8" s="148"/>
      <c r="DP8" s="148"/>
      <c r="DQ8" s="148"/>
      <c r="DR8" s="149"/>
      <c r="DS8" s="150"/>
      <c r="DT8" s="150"/>
      <c r="DU8" s="150"/>
      <c r="DV8" s="150"/>
      <c r="DW8" s="150"/>
      <c r="DX8" s="150"/>
      <c r="DY8" s="150"/>
      <c r="DZ8" s="150"/>
      <c r="EA8" s="150"/>
      <c r="EB8" s="150"/>
      <c r="EC8" s="150"/>
      <c r="ED8" s="150"/>
      <c r="EE8" s="150"/>
      <c r="EF8" s="150"/>
      <c r="EG8" s="150"/>
      <c r="EH8" s="150"/>
      <c r="EI8" s="176" t="s">
        <v>29</v>
      </c>
      <c r="EJ8" s="176"/>
      <c r="EK8" s="150"/>
      <c r="EL8" s="150"/>
      <c r="EM8" s="150"/>
      <c r="EN8" s="150"/>
      <c r="EO8" s="150"/>
      <c r="EP8" s="150"/>
      <c r="EQ8" s="150"/>
      <c r="ER8" s="150"/>
      <c r="ES8" s="150"/>
      <c r="ET8" s="150"/>
      <c r="EU8" s="150"/>
      <c r="EV8" s="150"/>
      <c r="EW8" s="150"/>
      <c r="EX8" s="150"/>
      <c r="EY8" s="151"/>
      <c r="EZ8" s="77"/>
    </row>
    <row r="9" customHeight="1" spans="1:156">
      <c r="B9" s="80"/>
      <c r="C9" s="80"/>
      <c r="D9" s="80"/>
      <c r="E9" s="80"/>
      <c r="F9" s="80"/>
      <c r="G9" s="80"/>
      <c r="H9" s="80"/>
      <c r="I9" s="80"/>
      <c r="J9" s="80"/>
      <c r="K9" s="80"/>
      <c r="L9" s="80"/>
      <c r="M9" s="80"/>
      <c r="N9" s="80"/>
      <c r="O9" s="177"/>
      <c r="R9" s="178" t="s">
        <v>30</v>
      </c>
      <c r="S9" s="179"/>
      <c r="T9" s="179"/>
      <c r="U9" s="179"/>
      <c r="V9" s="179"/>
      <c r="W9" s="180"/>
      <c r="X9" s="181">
        <f>SUM('幕间与结算'!A5:F5)</f>
        <v>0</v>
      </c>
      <c r="Y9" s="182"/>
      <c r="Z9" s="182"/>
      <c r="AA9" s="183"/>
      <c r="AB9" s="178" t="s">
        <v>31</v>
      </c>
      <c r="AC9" s="179"/>
      <c r="AD9" s="179"/>
      <c r="AE9" s="179"/>
      <c r="AF9" s="179"/>
      <c r="AG9" s="179"/>
      <c r="AH9" s="180"/>
      <c r="AI9" s="184">
        <f>SUM(V14:V43,AY14:AY43)-SUMIF(V14:V43,"&gt;0",S14:S43)-SUMIF(AY14:AY43,"&gt;0",AV14:AV43)</f>
        <v>0</v>
      </c>
      <c r="AJ9" s="185"/>
      <c r="AK9" s="186"/>
      <c r="AL9" s="184" t="s">
        <v>32</v>
      </c>
      <c r="AM9" s="185"/>
      <c r="AN9" s="185"/>
      <c r="AO9" s="185"/>
      <c r="AP9" s="185"/>
      <c r="AQ9" s="185"/>
      <c r="AR9" s="185"/>
      <c r="AS9" s="186"/>
      <c r="AT9" s="187" t="str">
        <f ca="1">IFERROR(MAX(0,IF(AND(AI9&gt;=350,AI9&lt;=500,MOD(AI9,50)=0),(550-AI9)/50,"错误")-IF(DF46="艰苦经历",1,0)),"错误")&amp;"）"</f>
        <v>错误）</v>
      </c>
      <c r="AU9" s="187"/>
      <c r="AV9" s="187"/>
      <c r="AW9" s="188" t="s">
        <v>33</v>
      </c>
      <c r="AX9" s="188"/>
      <c r="AY9" s="188"/>
      <c r="AZ9" s="188"/>
      <c r="BA9" s="188"/>
      <c r="BB9" s="188"/>
      <c r="BC9" s="188"/>
      <c r="BD9" s="189">
        <f ca="1">规则数据!S3</f>
        <v>0</v>
      </c>
      <c r="BE9" s="189"/>
      <c r="BF9" s="189"/>
      <c r="BG9" s="189"/>
      <c r="BH9" s="190"/>
      <c r="BI9" s="119"/>
      <c r="BJ9" s="120"/>
      <c r="BK9" s="120"/>
      <c r="BL9" s="120"/>
      <c r="BM9" s="120"/>
      <c r="BN9" s="120"/>
      <c r="BO9" s="120"/>
      <c r="BP9" s="120"/>
      <c r="BQ9" s="120"/>
      <c r="BR9" s="120"/>
      <c r="BS9" s="120"/>
      <c r="BT9" s="120"/>
      <c r="BU9" s="120"/>
      <c r="BV9" s="121"/>
      <c r="BW9" s="98"/>
      <c r="BX9" s="143"/>
      <c r="BY9" s="144"/>
      <c r="BZ9" s="144"/>
      <c r="CA9" s="144"/>
      <c r="CB9" s="144"/>
      <c r="CC9" s="144"/>
      <c r="CD9" s="144"/>
      <c r="CE9" s="144"/>
      <c r="CF9" s="144"/>
      <c r="CG9" s="144"/>
      <c r="CH9" s="144"/>
      <c r="CI9" s="144"/>
      <c r="CJ9" s="144"/>
      <c r="CK9" s="144"/>
      <c r="CL9" s="144"/>
      <c r="CM9" s="144"/>
      <c r="CN9" s="144"/>
      <c r="CO9" s="144"/>
      <c r="CP9" s="145"/>
      <c r="CQ9" s="145"/>
      <c r="CR9" s="145"/>
      <c r="CS9" s="145"/>
      <c r="CT9" s="145"/>
      <c r="CU9" s="145"/>
      <c r="CV9" s="145"/>
      <c r="CW9" s="145"/>
      <c r="CX9" s="146"/>
      <c r="CY9" s="92"/>
      <c r="CZ9" s="147"/>
      <c r="DA9" s="148"/>
      <c r="DB9" s="148"/>
      <c r="DC9" s="148"/>
      <c r="DD9" s="148"/>
      <c r="DE9" s="148"/>
      <c r="DF9" s="148"/>
      <c r="DG9" s="148"/>
      <c r="DH9" s="148"/>
      <c r="DI9" s="148"/>
      <c r="DJ9" s="148"/>
      <c r="DK9" s="148"/>
      <c r="DL9" s="148"/>
      <c r="DM9" s="148"/>
      <c r="DN9" s="148"/>
      <c r="DO9" s="148"/>
      <c r="DP9" s="148"/>
      <c r="DQ9" s="148"/>
      <c r="DR9" s="149"/>
      <c r="DS9" s="150"/>
      <c r="DT9" s="150"/>
      <c r="DU9" s="150"/>
      <c r="DV9" s="150"/>
      <c r="DW9" s="150"/>
      <c r="DX9" s="150"/>
      <c r="DY9" s="150"/>
      <c r="DZ9" s="150"/>
      <c r="EA9" s="150"/>
      <c r="EB9" s="150"/>
      <c r="EC9" s="150"/>
      <c r="ED9" s="150"/>
      <c r="EE9" s="150"/>
      <c r="EF9" s="150"/>
      <c r="EG9" s="150"/>
      <c r="EH9" s="150"/>
      <c r="EI9" s="176"/>
      <c r="EJ9" s="176"/>
      <c r="EK9" s="150"/>
      <c r="EL9" s="150"/>
      <c r="EM9" s="150"/>
      <c r="EN9" s="150"/>
      <c r="EO9" s="150"/>
      <c r="EP9" s="150"/>
      <c r="EQ9" s="150"/>
      <c r="ER9" s="150"/>
      <c r="ES9" s="150"/>
      <c r="ET9" s="150"/>
      <c r="EU9" s="150"/>
      <c r="EV9" s="150"/>
      <c r="EW9" s="150"/>
      <c r="EX9" s="150"/>
      <c r="EY9" s="151"/>
      <c r="EZ9" s="77"/>
    </row>
    <row r="10" customHeight="1" spans="1:156">
      <c r="A10" s="92"/>
      <c r="B10" s="191" t="s">
        <v>34</v>
      </c>
      <c r="C10" s="192"/>
      <c r="D10" s="192"/>
      <c r="E10" s="192"/>
      <c r="F10" s="192"/>
      <c r="G10" s="192"/>
      <c r="H10" s="193">
        <f>'幕间计算'!BM1199</f>
        <v>0</v>
      </c>
      <c r="I10" s="193"/>
      <c r="J10" s="194"/>
      <c r="K10" s="195">
        <f>CEILING((附表!B2+附表!B3)/2,1)</f>
        <v>0</v>
      </c>
      <c r="L10" s="196"/>
      <c r="M10" s="197"/>
      <c r="N10" s="198" t="s">
        <v>35</v>
      </c>
      <c r="O10" s="199"/>
      <c r="P10" s="199"/>
      <c r="Q10" s="199"/>
      <c r="R10" s="199"/>
      <c r="S10" s="199"/>
      <c r="T10" s="199"/>
      <c r="U10" s="200"/>
      <c r="V10" s="201">
        <f>'幕间计算'!BN1199</f>
        <v>0</v>
      </c>
      <c r="W10" s="202"/>
      <c r="X10" s="203"/>
      <c r="Y10" s="204">
        <f>附表!B6</f>
        <v>0</v>
      </c>
      <c r="Z10" s="205"/>
      <c r="AA10" s="206"/>
      <c r="AB10" s="207" t="s">
        <v>36</v>
      </c>
      <c r="AC10" s="192"/>
      <c r="AD10" s="192"/>
      <c r="AE10" s="192"/>
      <c r="AF10" s="192"/>
      <c r="AG10" s="208"/>
      <c r="AH10" s="209">
        <f>'幕间计算'!BO1199</f>
        <v>0</v>
      </c>
      <c r="AI10" s="193"/>
      <c r="AJ10" s="194"/>
      <c r="AK10" s="196">
        <f>99-AS39</f>
        <v>99</v>
      </c>
      <c r="AL10" s="196"/>
      <c r="AM10" s="210"/>
      <c r="AN10" s="211" t="s">
        <v>37</v>
      </c>
      <c r="AO10" s="212"/>
      <c r="AP10" s="212"/>
      <c r="AQ10" s="212"/>
      <c r="AR10" s="212"/>
      <c r="AS10" s="212"/>
      <c r="AT10" s="212"/>
      <c r="AU10" s="213">
        <f>'幕间计算'!BP1199</f>
        <v>0</v>
      </c>
      <c r="AV10" s="214"/>
      <c r="AW10" s="215"/>
      <c r="AX10" s="216" t="s">
        <v>38</v>
      </c>
      <c r="AY10" s="217"/>
      <c r="AZ10" s="217"/>
      <c r="BA10" s="217"/>
      <c r="BB10" s="217"/>
      <c r="BC10" s="217"/>
      <c r="BD10" s="218" t="str">
        <f>IF(DF46="极端暴力","已适应","☐☐☐")</f>
        <v>☐☐☐</v>
      </c>
      <c r="BE10" s="218"/>
      <c r="BF10" s="218"/>
      <c r="BG10" s="219"/>
      <c r="BH10" s="220"/>
      <c r="BI10" s="119"/>
      <c r="BJ10" s="120"/>
      <c r="BK10" s="120"/>
      <c r="BL10" s="120"/>
      <c r="BM10" s="120"/>
      <c r="BN10" s="120"/>
      <c r="BO10" s="120"/>
      <c r="BP10" s="120"/>
      <c r="BQ10" s="120"/>
      <c r="BR10" s="120"/>
      <c r="BS10" s="120"/>
      <c r="BT10" s="120"/>
      <c r="BU10" s="120"/>
      <c r="BV10" s="121"/>
      <c r="BW10" s="98"/>
      <c r="BX10" s="143"/>
      <c r="BY10" s="144"/>
      <c r="BZ10" s="144"/>
      <c r="CA10" s="144"/>
      <c r="CB10" s="144"/>
      <c r="CC10" s="144"/>
      <c r="CD10" s="144"/>
      <c r="CE10" s="144"/>
      <c r="CF10" s="144"/>
      <c r="CG10" s="144"/>
      <c r="CH10" s="144"/>
      <c r="CI10" s="144"/>
      <c r="CJ10" s="144"/>
      <c r="CK10" s="144"/>
      <c r="CL10" s="144"/>
      <c r="CM10" s="144"/>
      <c r="CN10" s="144"/>
      <c r="CO10" s="144"/>
      <c r="CP10" s="145"/>
      <c r="CQ10" s="145"/>
      <c r="CR10" s="145"/>
      <c r="CS10" s="145"/>
      <c r="CT10" s="145"/>
      <c r="CU10" s="145"/>
      <c r="CV10" s="145"/>
      <c r="CW10" s="145"/>
      <c r="CX10" s="146"/>
      <c r="CY10" s="92"/>
      <c r="CZ10" s="147"/>
      <c r="DA10" s="148"/>
      <c r="DB10" s="148"/>
      <c r="DC10" s="148"/>
      <c r="DD10" s="148"/>
      <c r="DE10" s="148"/>
      <c r="DF10" s="148"/>
      <c r="DG10" s="148"/>
      <c r="DH10" s="148"/>
      <c r="DI10" s="148"/>
      <c r="DJ10" s="148"/>
      <c r="DK10" s="148"/>
      <c r="DL10" s="148"/>
      <c r="DM10" s="148"/>
      <c r="DN10" s="148"/>
      <c r="DO10" s="148"/>
      <c r="DP10" s="148"/>
      <c r="DQ10" s="148"/>
      <c r="DR10" s="149"/>
      <c r="DS10" s="150"/>
      <c r="DT10" s="150"/>
      <c r="DU10" s="150"/>
      <c r="DV10" s="150"/>
      <c r="DW10" s="150"/>
      <c r="DX10" s="150"/>
      <c r="DY10" s="150"/>
      <c r="DZ10" s="150"/>
      <c r="EA10" s="150"/>
      <c r="EB10" s="150"/>
      <c r="EC10" s="150"/>
      <c r="ED10" s="150"/>
      <c r="EE10" s="150"/>
      <c r="EF10" s="150"/>
      <c r="EG10" s="150"/>
      <c r="EH10" s="151"/>
      <c r="EI10" s="176"/>
      <c r="EJ10" s="176"/>
      <c r="EK10" s="150"/>
      <c r="EL10" s="150"/>
      <c r="EM10" s="150"/>
      <c r="EN10" s="150"/>
      <c r="EO10" s="150"/>
      <c r="EP10" s="150"/>
      <c r="EQ10" s="150"/>
      <c r="ER10" s="150"/>
      <c r="ES10" s="150"/>
      <c r="ET10" s="150"/>
      <c r="EU10" s="150"/>
      <c r="EV10" s="150"/>
      <c r="EW10" s="150"/>
      <c r="EX10" s="150"/>
      <c r="EY10" s="151"/>
      <c r="EZ10" s="77"/>
    </row>
    <row r="11" customHeight="1" spans="1:156">
      <c r="A11" s="92"/>
      <c r="B11" s="221" t="s">
        <v>39</v>
      </c>
      <c r="C11" s="222"/>
      <c r="D11" s="222"/>
      <c r="E11" s="222"/>
      <c r="F11" s="222"/>
      <c r="G11" s="222"/>
      <c r="H11" s="223"/>
      <c r="I11" s="223"/>
      <c r="J11" s="224"/>
      <c r="K11" s="225"/>
      <c r="L11" s="226"/>
      <c r="M11" s="227"/>
      <c r="N11" s="228" t="s">
        <v>40</v>
      </c>
      <c r="O11" s="229"/>
      <c r="P11" s="229"/>
      <c r="Q11" s="229"/>
      <c r="R11" s="229"/>
      <c r="S11" s="229"/>
      <c r="T11" s="229"/>
      <c r="U11" s="230"/>
      <c r="V11" s="231"/>
      <c r="W11" s="232"/>
      <c r="X11" s="233"/>
      <c r="Y11" s="234"/>
      <c r="Z11" s="235"/>
      <c r="AA11" s="236"/>
      <c r="AB11" s="237" t="s">
        <v>41</v>
      </c>
      <c r="AC11" s="222"/>
      <c r="AD11" s="222"/>
      <c r="AE11" s="222"/>
      <c r="AF11" s="222"/>
      <c r="AG11" s="238"/>
      <c r="AH11" s="239"/>
      <c r="AI11" s="223"/>
      <c r="AJ11" s="224"/>
      <c r="AK11" s="226"/>
      <c r="AL11" s="226"/>
      <c r="AM11" s="240"/>
      <c r="AN11" s="241" t="s">
        <v>42</v>
      </c>
      <c r="AO11" s="242"/>
      <c r="AP11" s="242"/>
      <c r="AQ11" s="242"/>
      <c r="AR11" s="242"/>
      <c r="AS11" s="242"/>
      <c r="AT11" s="242"/>
      <c r="AU11" s="243"/>
      <c r="AV11" s="244"/>
      <c r="AW11" s="245"/>
      <c r="AX11" s="246" t="s">
        <v>43</v>
      </c>
      <c r="AY11" s="247"/>
      <c r="AZ11" s="247"/>
      <c r="BA11" s="247"/>
      <c r="BB11" s="247"/>
      <c r="BC11" s="247"/>
      <c r="BD11" s="248" t="str">
        <f>IF(DF46="关押或入狱","已适应","☐☐☐")</f>
        <v>☐☐☐</v>
      </c>
      <c r="BE11" s="248"/>
      <c r="BF11" s="248"/>
      <c r="BG11" s="249"/>
      <c r="BH11" s="220"/>
      <c r="BI11" s="250"/>
      <c r="BJ11" s="251"/>
      <c r="BK11" s="251"/>
      <c r="BL11" s="251"/>
      <c r="BM11" s="251"/>
      <c r="BN11" s="251"/>
      <c r="BO11" s="251"/>
      <c r="BP11" s="251"/>
      <c r="BQ11" s="251"/>
      <c r="BR11" s="251"/>
      <c r="BS11" s="251"/>
      <c r="BT11" s="251"/>
      <c r="BU11" s="251"/>
      <c r="BV11" s="252"/>
      <c r="BW11" s="98"/>
      <c r="BX11" s="253"/>
      <c r="BY11" s="254"/>
      <c r="BZ11" s="254"/>
      <c r="CA11" s="254"/>
      <c r="CB11" s="254"/>
      <c r="CC11" s="254"/>
      <c r="CD11" s="254"/>
      <c r="CE11" s="254"/>
      <c r="CF11" s="254"/>
      <c r="CG11" s="254"/>
      <c r="CH11" s="254"/>
      <c r="CI11" s="254"/>
      <c r="CJ11" s="254"/>
      <c r="CK11" s="254"/>
      <c r="CL11" s="254"/>
      <c r="CM11" s="254"/>
      <c r="CN11" s="254"/>
      <c r="CO11" s="254"/>
      <c r="CP11" s="255"/>
      <c r="CQ11" s="255"/>
      <c r="CR11" s="255"/>
      <c r="CS11" s="255"/>
      <c r="CT11" s="255"/>
      <c r="CU11" s="255"/>
      <c r="CV11" s="255"/>
      <c r="CW11" s="255"/>
      <c r="CX11" s="256"/>
      <c r="CY11" s="92"/>
      <c r="CZ11" s="257"/>
      <c r="DA11" s="258"/>
      <c r="DB11" s="258"/>
      <c r="DC11" s="258"/>
      <c r="DD11" s="258"/>
      <c r="DE11" s="258"/>
      <c r="DF11" s="258"/>
      <c r="DG11" s="258"/>
      <c r="DH11" s="258"/>
      <c r="DI11" s="258"/>
      <c r="DJ11" s="258"/>
      <c r="DK11" s="258"/>
      <c r="DL11" s="258"/>
      <c r="DM11" s="258"/>
      <c r="DN11" s="258"/>
      <c r="DO11" s="258"/>
      <c r="DP11" s="258"/>
      <c r="DQ11" s="258"/>
      <c r="DR11" s="259"/>
      <c r="DS11" s="260"/>
      <c r="DT11" s="260"/>
      <c r="DU11" s="260"/>
      <c r="DV11" s="260"/>
      <c r="DW11" s="260"/>
      <c r="DX11" s="260"/>
      <c r="DY11" s="260"/>
      <c r="DZ11" s="260"/>
      <c r="EA11" s="260"/>
      <c r="EB11" s="260"/>
      <c r="EC11" s="260"/>
      <c r="ED11" s="260"/>
      <c r="EE11" s="260"/>
      <c r="EF11" s="260"/>
      <c r="EG11" s="260"/>
      <c r="EH11" s="261"/>
      <c r="EI11" s="262"/>
      <c r="EJ11" s="262"/>
      <c r="EK11" s="260"/>
      <c r="EL11" s="260"/>
      <c r="EM11" s="260"/>
      <c r="EN11" s="260"/>
      <c r="EO11" s="260"/>
      <c r="EP11" s="260"/>
      <c r="EQ11" s="260"/>
      <c r="ER11" s="260"/>
      <c r="ES11" s="260"/>
      <c r="ET11" s="260"/>
      <c r="EU11" s="260"/>
      <c r="EV11" s="260"/>
      <c r="EW11" s="260"/>
      <c r="EX11" s="260"/>
      <c r="EY11" s="261"/>
      <c r="EZ11" s="77"/>
    </row>
    <row r="12" ht="6.6" customHeight="1" spans="1:156">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92"/>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76"/>
      <c r="EI12" s="263"/>
      <c r="EJ12" s="263"/>
      <c r="EK12" s="263"/>
      <c r="EL12" s="263"/>
      <c r="EM12" s="263"/>
      <c r="EN12" s="263"/>
      <c r="EO12" s="263"/>
      <c r="EP12" s="263"/>
      <c r="EQ12" s="263"/>
      <c r="ER12" s="263"/>
      <c r="ES12" s="263"/>
      <c r="ET12" s="263"/>
      <c r="EU12" s="263"/>
      <c r="EV12" s="263"/>
      <c r="EW12" s="263"/>
      <c r="EX12" s="263"/>
      <c r="EY12" s="263"/>
    </row>
    <row r="13" customHeight="1" spans="1:156">
      <c r="A13" s="92"/>
      <c r="B13" s="264" t="s">
        <v>44</v>
      </c>
      <c r="C13" s="264"/>
      <c r="D13" s="264"/>
      <c r="E13" s="264"/>
      <c r="F13" s="264"/>
      <c r="G13" s="264"/>
      <c r="H13" s="264"/>
      <c r="I13" s="264"/>
      <c r="J13" s="264"/>
      <c r="K13" s="264"/>
      <c r="L13" s="264"/>
      <c r="M13" s="264"/>
      <c r="N13" s="264"/>
      <c r="O13" s="264"/>
      <c r="P13" s="265" t="s">
        <v>45</v>
      </c>
      <c r="Q13" s="265"/>
      <c r="R13" s="265"/>
      <c r="S13" s="265" t="s">
        <v>46</v>
      </c>
      <c r="T13" s="265"/>
      <c r="U13" s="265"/>
      <c r="V13" s="265" t="s">
        <v>47</v>
      </c>
      <c r="W13" s="265"/>
      <c r="X13" s="265"/>
      <c r="Y13" s="265" t="s">
        <v>48</v>
      </c>
      <c r="Z13" s="265"/>
      <c r="AA13" s="265"/>
      <c r="AB13" s="265" t="s">
        <v>49</v>
      </c>
      <c r="AC13" s="265"/>
      <c r="AD13" s="265"/>
      <c r="AE13" s="265"/>
      <c r="AF13" s="265"/>
      <c r="AG13" s="265"/>
      <c r="AH13" s="265"/>
      <c r="AI13" s="265"/>
      <c r="AJ13" s="265"/>
      <c r="AK13" s="265"/>
      <c r="AL13" s="265"/>
      <c r="AM13" s="265"/>
      <c r="AN13" s="265"/>
      <c r="AO13" s="265"/>
      <c r="AP13" s="265"/>
      <c r="AQ13" s="265"/>
      <c r="AR13" s="265"/>
      <c r="AS13" s="265" t="s">
        <v>45</v>
      </c>
      <c r="AT13" s="265"/>
      <c r="AU13" s="265"/>
      <c r="AV13" s="265" t="s">
        <v>46</v>
      </c>
      <c r="AW13" s="265"/>
      <c r="AX13" s="265"/>
      <c r="AY13" s="265" t="s">
        <v>47</v>
      </c>
      <c r="AZ13" s="265"/>
      <c r="BA13" s="265"/>
      <c r="BB13" s="265" t="s">
        <v>48</v>
      </c>
      <c r="BC13" s="265"/>
      <c r="BD13" s="265"/>
      <c r="BE13" s="265" t="s">
        <v>49</v>
      </c>
      <c r="BF13" s="265"/>
      <c r="BG13" s="265"/>
      <c r="BH13" s="266"/>
      <c r="BI13" s="267" t="s">
        <v>50</v>
      </c>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92"/>
      <c r="CZ13" s="269" t="s">
        <v>51</v>
      </c>
      <c r="DA13" s="270"/>
      <c r="DB13" s="270"/>
      <c r="DC13" s="270"/>
      <c r="DD13" s="270"/>
      <c r="DE13" s="270"/>
      <c r="DF13" s="270"/>
      <c r="DG13" s="270"/>
      <c r="DH13" s="270"/>
      <c r="DI13" s="270"/>
      <c r="DJ13" s="270"/>
      <c r="DK13" s="270"/>
      <c r="DL13" s="271"/>
      <c r="DM13" s="272" t="s">
        <v>52</v>
      </c>
      <c r="DN13" s="273"/>
      <c r="DO13" s="273"/>
      <c r="DP13" s="274"/>
      <c r="DQ13" s="272" t="s">
        <v>53</v>
      </c>
      <c r="DR13" s="273"/>
      <c r="DS13" s="273"/>
      <c r="DT13" s="273"/>
      <c r="DU13" s="273"/>
      <c r="DV13" s="274"/>
      <c r="DW13" s="275" t="s">
        <v>54</v>
      </c>
      <c r="DX13" s="275"/>
      <c r="DY13" s="275"/>
      <c r="DZ13" s="272" t="s">
        <v>55</v>
      </c>
      <c r="EA13" s="273"/>
      <c r="EB13" s="273"/>
      <c r="EC13" s="274"/>
      <c r="ED13" s="272" t="s">
        <v>56</v>
      </c>
      <c r="EE13" s="273"/>
      <c r="EF13" s="273"/>
      <c r="EG13" s="274"/>
      <c r="EH13" s="276"/>
      <c r="EI13" s="277" t="s">
        <v>57</v>
      </c>
      <c r="EJ13" s="278"/>
      <c r="EK13" s="278"/>
      <c r="EL13" s="278"/>
      <c r="EM13" s="278"/>
      <c r="EN13" s="278"/>
      <c r="EO13" s="278"/>
      <c r="EP13" s="278"/>
      <c r="EQ13" s="279">
        <f>IF(AH3="",0,FLOOR((附表!B2-9)/4,1))</f>
        <v>-3</v>
      </c>
      <c r="ER13" s="279"/>
      <c r="ES13" s="279"/>
      <c r="ET13" s="279"/>
      <c r="EU13" s="279"/>
      <c r="EV13" s="279"/>
      <c r="EW13" s="279"/>
      <c r="EX13" s="279"/>
      <c r="EY13" s="280"/>
      <c r="EZ13" s="77"/>
    </row>
    <row r="14" customHeight="1" spans="1:156">
      <c r="A14" s="92"/>
      <c r="B14" s="281" t="inlineStr">
        <is>
          <t>☐</t>
        </is>
      </c>
      <c r="C14" s="282"/>
      <c r="D14" s="283" t="s">
        <v>58</v>
      </c>
      <c r="E14" s="283"/>
      <c r="F14" s="283"/>
      <c r="G14" s="283"/>
      <c r="H14" s="283"/>
      <c r="I14" s="283"/>
      <c r="J14" s="283"/>
      <c r="K14" s="283"/>
      <c r="L14" s="283"/>
      <c r="M14" s="283"/>
      <c r="N14" s="283"/>
      <c r="O14" s="283"/>
      <c r="P14" s="284">
        <f>MAX(0,MIN(99,IF(V14="",N(S14),N(V14))+N(Y14)+N(AB14)))</f>
        <v>10</v>
      </c>
      <c r="Q14" s="284"/>
      <c r="R14" s="284"/>
      <c r="S14" s="285">
        <v>10</v>
      </c>
      <c r="T14" s="285"/>
      <c r="U14" s="285"/>
      <c r="V14" s="286" t="str">
        <f ca="1">IF(职业选项!V40&gt;0,职业选项!V40,"")</f>
        <v/>
      </c>
      <c r="W14" s="286"/>
      <c r="X14" s="286"/>
      <c r="Y14" s="286" t="str">
        <f ca="1">规则数据!H20</f>
        <v/>
      </c>
      <c r="Z14" s="286"/>
      <c r="AA14" s="286"/>
      <c r="AB14" s="286">
        <f>'幕间计算'!B2+IF(AND('幕间计算'!A2&lt;&gt;"",COUNTIF('幕间计算'!$A$2:A2,'幕间计算'!A2)=1),SUMIF('幕间计算'!$C$200:$C$1199,'幕间计算'!A2,'幕间计算'!$E$200:$E$1199),0)</f>
        <v>0</v>
      </c>
      <c r="AC14" s="286"/>
      <c r="AD14" s="287"/>
      <c r="AE14" s="288" t="inlineStr">
        <is>
          <t>☐</t>
        </is>
      </c>
      <c r="AF14" s="282"/>
      <c r="AG14" s="283" t="s">
        <v>59</v>
      </c>
      <c r="AH14" s="283"/>
      <c r="AI14" s="283"/>
      <c r="AJ14" s="283"/>
      <c r="AK14" s="283"/>
      <c r="AL14" s="283"/>
      <c r="AM14" s="283"/>
      <c r="AN14" s="283"/>
      <c r="AO14" s="283"/>
      <c r="AP14" s="283"/>
      <c r="AQ14" s="283"/>
      <c r="AR14" s="283"/>
      <c r="AS14" s="284">
        <f>MAX(0,MIN(99,IF(AY14="",N(AV14),N(AY14))+N(BB14)+N(BE14)))</f>
        <v>0</v>
      </c>
      <c r="AT14" s="284"/>
      <c r="AU14" s="284"/>
      <c r="AV14" s="285">
        <v>0</v>
      </c>
      <c r="AW14" s="285"/>
      <c r="AX14" s="285"/>
      <c r="AY14" s="286" t="str">
        <f ca="1">IF(职业选项!V41&gt;0,职业选项!V41,"")</f>
        <v/>
      </c>
      <c r="AZ14" s="286"/>
      <c r="BA14" s="286"/>
      <c r="BB14" s="286" t="str">
        <f ca="1">规则数据!H50</f>
        <v/>
      </c>
      <c r="BC14" s="286"/>
      <c r="BD14" s="286"/>
      <c r="BE14" s="286">
        <f>'幕间计算'!B32+IF(AND('幕间计算'!A32&lt;&gt;"",COUNTIF('幕间计算'!$A$2:A32,'幕间计算'!A32)=1),SUMIF('幕间计算'!$C$200:$C$1199,'幕间计算'!A32,'幕间计算'!$E$200:$E$1199),0)</f>
        <v>0</v>
      </c>
      <c r="BF14" s="286"/>
      <c r="BG14" s="289"/>
      <c r="BH14" s="92"/>
      <c r="BI14" s="290" t="s">
        <v>60</v>
      </c>
      <c r="BJ14" s="291"/>
      <c r="BK14" s="291"/>
      <c r="BL14" s="291"/>
      <c r="BM14" s="291"/>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3"/>
      <c r="CY14" s="92"/>
      <c r="CZ14" s="294"/>
      <c r="DA14" s="295"/>
      <c r="DB14" s="295"/>
      <c r="DC14" s="295"/>
      <c r="DD14" s="295"/>
      <c r="DE14" s="295"/>
      <c r="DF14" s="295"/>
      <c r="DG14" s="295"/>
      <c r="DH14" s="295"/>
      <c r="DI14" s="295"/>
      <c r="DJ14" s="295"/>
      <c r="DK14" s="295"/>
      <c r="DL14" s="295"/>
      <c r="DM14" s="295" t="str">
        <f ca="1">IFERROR(INDIRECT(INDEX(规则数据!$C$500:$C$553,MATCH(CZ14,规则数据!$A$500:$A$553,0))),"")</f>
        <v/>
      </c>
      <c r="DN14" s="295"/>
      <c r="DO14" s="295"/>
      <c r="DP14" s="295"/>
      <c r="DQ14" s="295" t="str">
        <f>IFERROR(IF(INDEX(规则数据!$D$500:$D$553,MATCH(CZ14,规则数据!$A$500:$A$553,0))="","",INDEX(规则数据!$D$500:$D$553,MATCH(CZ14,规则数据!$A$500:$A$553,0))),"")</f>
        <v/>
      </c>
      <c r="DR14" s="295"/>
      <c r="DS14" s="295"/>
      <c r="DT14" s="295"/>
      <c r="DU14" s="295"/>
      <c r="DV14" s="295"/>
      <c r="DW14" s="295" t="str">
        <f>IFERROR(IF(INDEX(规则数据!$E$500:$E$553,MATCH(CZ14,规则数据!$A$500:$A$553,0))="","",INDEX(规则数据!$E$500:$E$553,MATCH(CZ14,规则数据!$A$500:$A$553,0))),"")</f>
        <v/>
      </c>
      <c r="DX14" s="295"/>
      <c r="DY14" s="295"/>
      <c r="DZ14" s="295" t="str">
        <f>IFERROR(IF(INDEX(规则数据!$F$500:$F$553,MATCH(CZ14,规则数据!$A$500:$A$553,0))="","",INDEX(规则数据!$F$500:$F$553,MATCH(CZ14,规则数据!$A$500:$A$553,0))),"")</f>
        <v/>
      </c>
      <c r="EA14" s="295"/>
      <c r="EB14" s="295"/>
      <c r="EC14" s="295"/>
      <c r="ED14" s="295" t="str">
        <f>IFERROR(IF(INDEX(规则数据!$G$500:$G$553,MATCH(CZ14,规则数据!$A$500:$A$553,0))="","",INDEX(规则数据!$G$500:$G$553,MATCH(CZ14,规则数据!$A$500:$A$553,0))),"")</f>
        <v/>
      </c>
      <c r="EE14" s="295"/>
      <c r="EF14" s="295"/>
      <c r="EG14" s="296"/>
      <c r="EH14" s="276"/>
      <c r="EI14" s="297" t="s">
        <v>62</v>
      </c>
      <c r="EJ14" s="298"/>
      <c r="EK14" s="298"/>
      <c r="EL14" s="298"/>
      <c r="EM14" s="298"/>
      <c r="EN14" s="298"/>
      <c r="EO14" s="298"/>
      <c r="EP14" s="298"/>
      <c r="EQ14" s="299"/>
      <c r="ER14" s="299"/>
      <c r="ES14" s="299"/>
      <c r="ET14" s="299"/>
      <c r="EU14" s="299"/>
      <c r="EV14" s="299"/>
      <c r="EW14" s="299"/>
      <c r="EX14" s="299"/>
      <c r="EY14" s="300"/>
      <c r="EZ14" s="77"/>
    </row>
    <row r="15" customHeight="1" spans="1:156">
      <c r="A15" s="92"/>
      <c r="B15" s="301" t="inlineStr">
        <is>
          <t>☐</t>
        </is>
      </c>
      <c r="C15" s="302"/>
      <c r="D15" s="303" t="s">
        <v>63</v>
      </c>
      <c r="E15" s="303"/>
      <c r="F15" s="303"/>
      <c r="G15" s="303"/>
      <c r="H15" s="303"/>
      <c r="I15" s="303"/>
      <c r="J15" s="303"/>
      <c r="K15" s="303"/>
      <c r="L15" s="303"/>
      <c r="M15" s="303"/>
      <c r="N15" s="303"/>
      <c r="O15" s="303"/>
      <c r="P15" s="304">
        <f>MAX(0,MIN(99,IF(V15="",N(S15),N(V15))+N(Y15)+N(AB15)))</f>
        <v>20</v>
      </c>
      <c r="Q15" s="304"/>
      <c r="R15" s="304"/>
      <c r="S15" s="305">
        <v>20</v>
      </c>
      <c r="T15" s="305"/>
      <c r="U15" s="305"/>
      <c r="V15" s="139" t="str">
        <f ca="1">IF(职业选项!V42&gt;0,职业选项!V42,"")</f>
        <v/>
      </c>
      <c r="W15" s="139"/>
      <c r="X15" s="139"/>
      <c r="Y15" s="139" t="str">
        <f ca="1">规则数据!H21</f>
        <v/>
      </c>
      <c r="Z15" s="139"/>
      <c r="AA15" s="139"/>
      <c r="AB15" s="139">
        <f>'幕间计算'!B3+IF(AND('幕间计算'!A3&lt;&gt;"",COUNTIF('幕间计算'!$A$2:A3,'幕间计算'!A3)=1),SUMIF('幕间计算'!$C$200:$C$1199,'幕间计算'!A3,'幕间计算'!$E$200:$E$1199),0)</f>
        <v>0</v>
      </c>
      <c r="AC15" s="139"/>
      <c r="AD15" s="306"/>
      <c r="AE15" s="307" t="inlineStr">
        <is>
          <t>☐</t>
        </is>
      </c>
      <c r="AF15" s="302"/>
      <c r="AG15" s="303" t="s">
        <v>64</v>
      </c>
      <c r="AH15" s="303"/>
      <c r="AI15" s="303"/>
      <c r="AJ15" s="303"/>
      <c r="AK15" s="303"/>
      <c r="AL15" s="303"/>
      <c r="AM15" s="303"/>
      <c r="AN15" s="303"/>
      <c r="AO15" s="303"/>
      <c r="AP15" s="303"/>
      <c r="AQ15" s="303"/>
      <c r="AR15" s="303"/>
      <c r="AS15" s="304">
        <f>MAX(0,MIN(99,IF(AY15="",N(AV15),N(AY15))+N(BB15)+N(BE15)))</f>
        <v>0</v>
      </c>
      <c r="AT15" s="304"/>
      <c r="AU15" s="304"/>
      <c r="AV15" s="305">
        <v>0</v>
      </c>
      <c r="AW15" s="305"/>
      <c r="AX15" s="305"/>
      <c r="AY15" s="139" t="str">
        <f ca="1">IF(职业选项!V43&gt;0,职业选项!V43,"")</f>
        <v/>
      </c>
      <c r="AZ15" s="139"/>
      <c r="BA15" s="139"/>
      <c r="BB15" s="139" t="str">
        <f ca="1">规则数据!H51</f>
        <v/>
      </c>
      <c r="BC15" s="139"/>
      <c r="BD15" s="139"/>
      <c r="BE15" s="139">
        <f>'幕间计算'!B33+IF(AND('幕间计算'!A33&lt;&gt;"",COUNTIF('幕间计算'!$A$2:A33,'幕间计算'!A33)=1),SUMIF('幕间计算'!$C$200:$C$1199,'幕间计算'!A33,'幕间计算'!$E$200:$E$1199),0)</f>
        <v>0</v>
      </c>
      <c r="BF15" s="139"/>
      <c r="BG15" s="308"/>
      <c r="BH15" s="92"/>
      <c r="BI15" s="131"/>
      <c r="BJ15" s="132"/>
      <c r="BK15" s="132"/>
      <c r="BL15" s="132"/>
      <c r="BM15" s="132"/>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10"/>
      <c r="CY15" s="92"/>
      <c r="CZ15" s="311"/>
      <c r="DA15" s="312"/>
      <c r="DB15" s="312"/>
      <c r="DC15" s="312"/>
      <c r="DD15" s="312"/>
      <c r="DE15" s="312"/>
      <c r="DF15" s="312"/>
      <c r="DG15" s="312"/>
      <c r="DH15" s="312"/>
      <c r="DI15" s="312"/>
      <c r="DJ15" s="312"/>
      <c r="DK15" s="312"/>
      <c r="DL15" s="312"/>
      <c r="DM15" s="312" t="str">
        <f ca="1">IFERROR(INDIRECT(INDEX(规则数据!$C$500:$C$553,MATCH(CZ15,规则数据!$A$500:$A$553,0))),"")</f>
        <v/>
      </c>
      <c r="DN15" s="312"/>
      <c r="DO15" s="312"/>
      <c r="DP15" s="312"/>
      <c r="DQ15" s="312" t="str">
        <f>IFERROR(IF(INDEX(规则数据!$D$500:$D$553,MATCH(CZ15,规则数据!$A$500:$A$553,0))="","",INDEX(规则数据!$D$500:$D$553,MATCH(CZ15,规则数据!$A$500:$A$553,0))),"")</f>
        <v/>
      </c>
      <c r="DR15" s="312"/>
      <c r="DS15" s="312"/>
      <c r="DT15" s="312"/>
      <c r="DU15" s="312"/>
      <c r="DV15" s="312"/>
      <c r="DW15" s="312" t="str">
        <f>IFERROR(IF(INDEX(规则数据!$E$500:$E$553,MATCH(CZ15,规则数据!$A$500:$A$553,0))="","",INDEX(规则数据!$E$500:$E$553,MATCH(CZ15,规则数据!$A$500:$A$553,0))),"")</f>
        <v/>
      </c>
      <c r="DX15" s="312"/>
      <c r="DY15" s="312"/>
      <c r="DZ15" s="312" t="str">
        <f>IFERROR(IF(INDEX(规则数据!$F$500:$F$553,MATCH(CZ15,规则数据!$A$500:$A$553,0))="","",INDEX(规则数据!$F$500:$F$553,MATCH(CZ15,规则数据!$A$500:$A$553,0))),"")</f>
        <v/>
      </c>
      <c r="EA15" s="312"/>
      <c r="EB15" s="312"/>
      <c r="EC15" s="312"/>
      <c r="ED15" s="312" t="str">
        <f>IFERROR(IF(INDEX(规则数据!$G$500:$G$553,MATCH(CZ15,规则数据!$A$500:$A$553,0))="","",INDEX(规则数据!$G$500:$G$553,MATCH(CZ15,规则数据!$A$500:$A$553,0))),"")</f>
        <v/>
      </c>
      <c r="EE15" s="312"/>
      <c r="EF15" s="312"/>
      <c r="EG15" s="313"/>
      <c r="EH15" s="314"/>
      <c r="EI15" s="315"/>
      <c r="EJ15" s="316"/>
      <c r="EK15" s="316"/>
      <c r="EL15" s="316"/>
      <c r="EM15" s="316"/>
      <c r="EN15" s="316"/>
      <c r="EO15" s="316"/>
      <c r="EP15" s="316"/>
      <c r="EQ15" s="316"/>
      <c r="ER15" s="316"/>
      <c r="ES15" s="316"/>
      <c r="ET15" s="316"/>
      <c r="EU15" s="316"/>
      <c r="EV15" s="316"/>
      <c r="EW15" s="316"/>
      <c r="EX15" s="316"/>
      <c r="EY15" s="317"/>
    </row>
    <row r="16" customHeight="1" spans="1:156">
      <c r="A16" s="92"/>
      <c r="B16" s="301" t="inlineStr">
        <is>
          <t>☐</t>
        </is>
      </c>
      <c r="C16" s="302"/>
      <c r="D16" s="303" t="s">
        <v>65</v>
      </c>
      <c r="E16" s="303"/>
      <c r="F16" s="303"/>
      <c r="G16" s="303"/>
      <c r="H16" s="303"/>
      <c r="I16" s="303"/>
      <c r="J16" s="303"/>
      <c r="K16" s="303"/>
      <c r="L16" s="303"/>
      <c r="M16" s="303"/>
      <c r="N16" s="303"/>
      <c r="O16" s="303"/>
      <c r="P16" s="304">
        <f>MAX(0,MIN(99,IF(V16="",N(S16),N(V16))+N(Y16)+N(AB16)))</f>
        <v>0</v>
      </c>
      <c r="Q16" s="304"/>
      <c r="R16" s="304"/>
      <c r="S16" s="305">
        <v>0</v>
      </c>
      <c r="T16" s="305"/>
      <c r="U16" s="305"/>
      <c r="V16" s="139" t="str">
        <f ca="1">IF(职业选项!V44&gt;0,职业选项!V44,"")</f>
        <v/>
      </c>
      <c r="W16" s="139"/>
      <c r="X16" s="139"/>
      <c r="Y16" s="139" t="str">
        <f ca="1">规则数据!H22</f>
        <v/>
      </c>
      <c r="Z16" s="139"/>
      <c r="AA16" s="139"/>
      <c r="AB16" s="139">
        <f>'幕间计算'!B4+IF(AND('幕间计算'!A4&lt;&gt;"",COUNTIF('幕间计算'!$A$2:A4,'幕间计算'!A4)=1),SUMIF('幕间计算'!$C$200:$C$1199,'幕间计算'!A4,'幕间计算'!$E$200:$E$1199),0)</f>
        <v>0</v>
      </c>
      <c r="AC16" s="139"/>
      <c r="AD16" s="306"/>
      <c r="AE16" s="307" t="inlineStr">
        <is>
          <t>☐</t>
        </is>
      </c>
      <c r="AF16" s="302"/>
      <c r="AG16" s="303" t="s">
        <v>66</v>
      </c>
      <c r="AH16" s="303"/>
      <c r="AI16" s="303"/>
      <c r="AJ16" s="303"/>
      <c r="AK16" s="303"/>
      <c r="AL16" s="303"/>
      <c r="AM16" s="303"/>
      <c r="AN16" s="303"/>
      <c r="AO16" s="303"/>
      <c r="AP16" s="303"/>
      <c r="AQ16" s="303"/>
      <c r="AR16" s="303"/>
      <c r="AS16" s="304">
        <f>MAX(0,MIN(99,IF(AY16="",N(AV16),N(AY16))+N(BB16)+N(BE16)))</f>
        <v>30</v>
      </c>
      <c r="AT16" s="304"/>
      <c r="AU16" s="304"/>
      <c r="AV16" s="305">
        <v>30</v>
      </c>
      <c r="AW16" s="305"/>
      <c r="AX16" s="305"/>
      <c r="AY16" s="139" t="str">
        <f ca="1">IF(职业选项!V45&gt;0,职业选项!V45,"")</f>
        <v/>
      </c>
      <c r="AZ16" s="139"/>
      <c r="BA16" s="139"/>
      <c r="BB16" s="139" t="str">
        <f ca="1">规则数据!H52</f>
        <v/>
      </c>
      <c r="BC16" s="139"/>
      <c r="BD16" s="139"/>
      <c r="BE16" s="139">
        <f>'幕间计算'!B34+IF(AND('幕间计算'!A34&lt;&gt;"",COUNTIF('幕间计算'!$A$2:A34,'幕间计算'!A34)=1),SUMIF('幕间计算'!$C$200:$C$1199,'幕间计算'!A34,'幕间计算'!$E$200:$E$1199),0)</f>
        <v>0</v>
      </c>
      <c r="BF16" s="139"/>
      <c r="BG16" s="308"/>
      <c r="BH16" s="92"/>
      <c r="BI16" s="131"/>
      <c r="BJ16" s="132"/>
      <c r="BK16" s="132"/>
      <c r="BL16" s="132"/>
      <c r="BM16" s="132"/>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10"/>
      <c r="CY16" s="92"/>
      <c r="CZ16" s="311"/>
      <c r="DA16" s="312"/>
      <c r="DB16" s="312"/>
      <c r="DC16" s="312"/>
      <c r="DD16" s="312"/>
      <c r="DE16" s="312"/>
      <c r="DF16" s="312"/>
      <c r="DG16" s="312"/>
      <c r="DH16" s="312"/>
      <c r="DI16" s="312"/>
      <c r="DJ16" s="312"/>
      <c r="DK16" s="312"/>
      <c r="DL16" s="312"/>
      <c r="DM16" s="312" t="str">
        <f ca="1">IFERROR(INDIRECT(INDEX(规则数据!$C$500:$C$553,MATCH(CZ16,规则数据!$A$500:$A$553,0))),"")</f>
        <v/>
      </c>
      <c r="DN16" s="312"/>
      <c r="DO16" s="312"/>
      <c r="DP16" s="312"/>
      <c r="DQ16" s="312" t="str">
        <f>IFERROR(IF(INDEX(规则数据!$D$500:$D$553,MATCH(CZ16,规则数据!$A$500:$A$553,0))="","",INDEX(规则数据!$D$500:$D$553,MATCH(CZ16,规则数据!$A$500:$A$553,0))),"")</f>
        <v/>
      </c>
      <c r="DR16" s="312"/>
      <c r="DS16" s="312"/>
      <c r="DT16" s="312"/>
      <c r="DU16" s="312"/>
      <c r="DV16" s="312"/>
      <c r="DW16" s="312" t="str">
        <f>IFERROR(IF(INDEX(规则数据!$E$500:$E$553,MATCH(CZ16,规则数据!$A$500:$A$553,0))="","",INDEX(规则数据!$E$500:$E$553,MATCH(CZ16,规则数据!$A$500:$A$553,0))),"")</f>
        <v/>
      </c>
      <c r="DX16" s="312"/>
      <c r="DY16" s="312"/>
      <c r="DZ16" s="312" t="str">
        <f>IFERROR(IF(INDEX(规则数据!$F$500:$F$553,MATCH(CZ16,规则数据!$A$500:$A$553,0))="","",INDEX(规则数据!$F$500:$F$553,MATCH(CZ16,规则数据!$A$500:$A$553,0))),"")</f>
        <v/>
      </c>
      <c r="EA16" s="312"/>
      <c r="EB16" s="312"/>
      <c r="EC16" s="312"/>
      <c r="ED16" s="312" t="str">
        <f>IFERROR(IF(INDEX(规则数据!$G$500:$G$553,MATCH(CZ16,规则数据!$A$500:$A$553,0))="","",INDEX(规则数据!$G$500:$G$553,MATCH(CZ16,规则数据!$A$500:$A$553,0))),"")</f>
        <v/>
      </c>
      <c r="EE16" s="312"/>
      <c r="EF16" s="312"/>
      <c r="EG16" s="313"/>
      <c r="EH16" s="276"/>
      <c r="EI16" s="318" t="s">
        <v>67</v>
      </c>
      <c r="EJ16" s="319"/>
      <c r="EK16" s="319"/>
      <c r="EL16" s="319"/>
      <c r="EM16" s="319"/>
      <c r="EN16" s="319"/>
      <c r="EO16" s="319"/>
      <c r="EP16" s="319"/>
      <c r="EQ16" s="319"/>
      <c r="ER16" s="319"/>
      <c r="ES16" s="319"/>
      <c r="ET16" s="319"/>
      <c r="EU16" s="319"/>
      <c r="EV16" s="319"/>
      <c r="EW16" s="319"/>
      <c r="EX16" s="319"/>
      <c r="EY16" s="320"/>
      <c r="EZ16" s="77"/>
    </row>
    <row r="17" customHeight="1" spans="1:156">
      <c r="A17" s="92"/>
      <c r="B17" s="301" t="inlineStr">
        <is>
          <t>☐</t>
        </is>
      </c>
      <c r="C17" s="302"/>
      <c r="D17" s="303" t="s">
        <v>68</v>
      </c>
      <c r="E17" s="303"/>
      <c r="F17" s="303"/>
      <c r="G17" s="303"/>
      <c r="H17" s="303"/>
      <c r="I17" s="303"/>
      <c r="J17" s="303"/>
      <c r="K17" s="303"/>
      <c r="L17" s="303"/>
      <c r="M17" s="303"/>
      <c r="N17" s="303"/>
      <c r="O17" s="303"/>
      <c r="P17" s="304">
        <f>MAX(0,MIN(99,IF(V17="",N(S17),N(V17))+N(Y17)+N(AB17)))</f>
        <v>0</v>
      </c>
      <c r="Q17" s="304"/>
      <c r="R17" s="304"/>
      <c r="S17" s="305">
        <v>0</v>
      </c>
      <c r="T17" s="305"/>
      <c r="U17" s="305"/>
      <c r="V17" s="139" t="str">
        <f ca="1">IF(职业选项!V46&gt;0,职业选项!V46,"")</f>
        <v/>
      </c>
      <c r="W17" s="139"/>
      <c r="X17" s="139"/>
      <c r="Y17" s="139" t="str">
        <f ca="1">规则数据!H23</f>
        <v/>
      </c>
      <c r="Z17" s="139"/>
      <c r="AA17" s="139"/>
      <c r="AB17" s="139">
        <f>'幕间计算'!B5+IF(AND('幕间计算'!A5&lt;&gt;"",COUNTIF('幕间计算'!$A$2:A5,'幕间计算'!A5)=1),SUMIF('幕间计算'!$C$200:$C$1199,'幕间计算'!A5,'幕间计算'!$E$200:$E$1199),0)</f>
        <v>0</v>
      </c>
      <c r="AC17" s="139"/>
      <c r="AD17" s="306"/>
      <c r="AE17" s="307" t="inlineStr">
        <is>
          <t>☐</t>
        </is>
      </c>
      <c r="AF17" s="302"/>
      <c r="AG17" s="321" t="s">
        <v>69</v>
      </c>
      <c r="AH17" s="322"/>
      <c r="AI17" s="322"/>
      <c r="AJ17" s="322"/>
      <c r="AK17" s="322"/>
      <c r="AL17" s="322"/>
      <c r="AM17" s="3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323"/>
      <c r="AO17" s="323"/>
      <c r="AP17" s="323"/>
      <c r="AQ17" s="323"/>
      <c r="AR17" s="324"/>
      <c r="AS17" s="304">
        <f>MAX(0,MIN(99,IF(AY17="",N(AV17),N(AY17))+N(BB17)+N(BE17)))</f>
        <v>0</v>
      </c>
      <c r="AT17" s="304"/>
      <c r="AU17" s="304"/>
      <c r="AV17" s="305">
        <v>0</v>
      </c>
      <c r="AW17" s="305"/>
      <c r="AX17" s="305"/>
      <c r="AY17" s="139" t="str">
        <f ca="1">IF(职业选项!V47&gt;0,职业选项!V47,"")</f>
        <v/>
      </c>
      <c r="AZ17" s="139"/>
      <c r="BA17" s="139"/>
      <c r="BB17" s="139" t="str">
        <f ca="1">规则数据!H53</f>
        <v/>
      </c>
      <c r="BC17" s="139"/>
      <c r="BD17" s="139"/>
      <c r="BE17" s="139">
        <f>'幕间计算'!B35+IF(AND('幕间计算'!A35&lt;&gt;"",COUNTIF('幕间计算'!$A$2:A35,'幕间计算'!A35)=1),SUMIF('幕间计算'!$C$200:$C$1199,'幕间计算'!A35,'幕间计算'!$E$200:$E$1199),0)</f>
        <v>0</v>
      </c>
      <c r="BF17" s="139"/>
      <c r="BG17" s="308"/>
      <c r="BH17" s="92"/>
      <c r="BI17" s="325" t="s">
        <v>70</v>
      </c>
      <c r="BJ17" s="326"/>
      <c r="BK17" s="326"/>
      <c r="BL17" s="326"/>
      <c r="BM17" s="326"/>
      <c r="BN17" s="327" t="str">
        <f>规则数据!S10&amp;IF(AND(DF46="人类不应知道之事",DR55&lt;&gt;""),IF(规则数据!S10&lt;&gt;"",CHAR(10),"")&amp;"创伤心理疾病："&amp;DR55,"")</f>
        <v/>
      </c>
      <c r="BO17" s="327"/>
      <c r="BP17" s="327"/>
      <c r="BQ17" s="327"/>
      <c r="BR17" s="327"/>
      <c r="BS17" s="327"/>
      <c r="BT17" s="327"/>
      <c r="BU17" s="327"/>
      <c r="BV17" s="327"/>
      <c r="BW17" s="327"/>
      <c r="BX17" s="327"/>
      <c r="BY17" s="327"/>
      <c r="BZ17" s="327"/>
      <c r="CA17" s="327"/>
      <c r="CB17" s="327"/>
      <c r="CC17" s="327"/>
      <c r="CD17" s="327"/>
      <c r="CE17" s="327"/>
      <c r="CF17" s="327"/>
      <c r="CG17" s="327"/>
      <c r="CH17" s="327"/>
      <c r="CI17" s="327"/>
      <c r="CJ17" s="327"/>
      <c r="CK17" s="327"/>
      <c r="CL17" s="327"/>
      <c r="CM17" s="327"/>
      <c r="CN17" s="327"/>
      <c r="CO17" s="327"/>
      <c r="CP17" s="327"/>
      <c r="CQ17" s="327"/>
      <c r="CR17" s="327"/>
      <c r="CS17" s="327"/>
      <c r="CT17" s="327"/>
      <c r="CU17" s="327"/>
      <c r="CV17" s="327"/>
      <c r="CW17" s="327"/>
      <c r="CX17" s="328"/>
      <c r="CY17" s="92"/>
      <c r="CZ17" s="311"/>
      <c r="DA17" s="312"/>
      <c r="DB17" s="312"/>
      <c r="DC17" s="312"/>
      <c r="DD17" s="312"/>
      <c r="DE17" s="312"/>
      <c r="DF17" s="312"/>
      <c r="DG17" s="312"/>
      <c r="DH17" s="312"/>
      <c r="DI17" s="312"/>
      <c r="DJ17" s="312"/>
      <c r="DK17" s="312"/>
      <c r="DL17" s="312"/>
      <c r="DM17" s="312" t="str">
        <f ca="1">IFERROR(INDIRECT(INDEX(规则数据!$C$500:$C$553,MATCH(CZ17,规则数据!$A$500:$A$553,0))),"")</f>
        <v/>
      </c>
      <c r="DN17" s="312"/>
      <c r="DO17" s="312"/>
      <c r="DP17" s="312"/>
      <c r="DQ17" s="312" t="str">
        <f>IFERROR(IF(INDEX(规则数据!$D$500:$D$553,MATCH(CZ17,规则数据!$A$500:$A$553,0))="","",INDEX(规则数据!$D$500:$D$553,MATCH(CZ17,规则数据!$A$500:$A$553,0))),"")</f>
        <v/>
      </c>
      <c r="DR17" s="312"/>
      <c r="DS17" s="312"/>
      <c r="DT17" s="312"/>
      <c r="DU17" s="312"/>
      <c r="DV17" s="312"/>
      <c r="DW17" s="312" t="str">
        <f>IFERROR(IF(INDEX(规则数据!$E$500:$E$553,MATCH(CZ17,规则数据!$A$500:$A$553,0))="","",INDEX(规则数据!$E$500:$E$553,MATCH(CZ17,规则数据!$A$500:$A$553,0))),"")</f>
        <v/>
      </c>
      <c r="DX17" s="312"/>
      <c r="DY17" s="312"/>
      <c r="DZ17" s="312" t="str">
        <f>IFERROR(IF(INDEX(规则数据!$F$500:$F$553,MATCH(CZ17,规则数据!$A$500:$A$553,0))="","",INDEX(规则数据!$F$500:$F$553,MATCH(CZ17,规则数据!$A$500:$A$553,0))),"")</f>
        <v/>
      </c>
      <c r="EA17" s="312"/>
      <c r="EB17" s="312"/>
      <c r="EC17" s="312"/>
      <c r="ED17" s="312" t="str">
        <f>IFERROR(IF(INDEX(规则数据!$G$500:$G$553,MATCH(CZ17,规则数据!$A$500:$A$553,0))="","",INDEX(规则数据!$G$500:$G$553,MATCH(CZ17,规则数据!$A$500:$A$553,0))),"")</f>
        <v/>
      </c>
      <c r="EE17" s="312"/>
      <c r="EF17" s="312"/>
      <c r="EG17" s="313"/>
      <c r="EH17" s="276"/>
      <c r="EI17" s="329"/>
      <c r="EJ17" s="150"/>
      <c r="EK17" s="150"/>
      <c r="EL17" s="150"/>
      <c r="EM17" s="150"/>
      <c r="EN17" s="150"/>
      <c r="EO17" s="150"/>
      <c r="EP17" s="150"/>
      <c r="EQ17" s="150"/>
      <c r="ER17" s="150"/>
      <c r="ES17" s="150"/>
      <c r="ET17" s="150"/>
      <c r="EU17" s="150"/>
      <c r="EV17" s="150"/>
      <c r="EW17" s="150"/>
      <c r="EX17" s="150"/>
      <c r="EY17" s="151"/>
      <c r="EZ17" s="77"/>
    </row>
    <row r="18" customHeight="1" spans="1:156">
      <c r="A18" s="92"/>
      <c r="B18" s="301" t="inlineStr">
        <is>
          <t>☐</t>
        </is>
      </c>
      <c r="C18" s="302"/>
      <c r="D18" s="330" t="s">
        <v>71</v>
      </c>
      <c r="E18" s="331"/>
      <c r="F18" s="331"/>
      <c r="G18" s="331"/>
      <c r="H18" s="331"/>
      <c r="I18" s="331"/>
      <c r="J18" s="332"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332"/>
      <c r="L18" s="332"/>
      <c r="M18" s="332"/>
      <c r="N18" s="332"/>
      <c r="O18" s="333"/>
      <c r="P18" s="304">
        <f>MAX(0,MIN(99,IF(V18="",N(S18),N(V18))+N(Y18)+N(AB18)))</f>
        <v>0</v>
      </c>
      <c r="Q18" s="304"/>
      <c r="R18" s="304"/>
      <c r="S18" s="305">
        <v>0</v>
      </c>
      <c r="T18" s="305"/>
      <c r="U18" s="305"/>
      <c r="V18" s="139" t="str">
        <f ca="1">IF(职业选项!V48&gt;0,职业选项!V48,"")</f>
        <v/>
      </c>
      <c r="W18" s="139"/>
      <c r="X18" s="139"/>
      <c r="Y18" s="139" t="str">
        <f ca="1">规则数据!H24</f>
        <v/>
      </c>
      <c r="Z18" s="139"/>
      <c r="AA18" s="139"/>
      <c r="AB18" s="139">
        <f>'幕间计算'!B6+IF(AND('幕间计算'!A6&lt;&gt;"",COUNTIF('幕间计算'!$A$2:A6,'幕间计算'!A6)=1),SUMIF('幕间计算'!$C$200:$C$1199,'幕间计算'!A6,'幕间计算'!$E$200:$E$1199),0)</f>
        <v>0</v>
      </c>
      <c r="AC18" s="139"/>
      <c r="AD18" s="306"/>
      <c r="AE18" s="307" t="inlineStr">
        <is>
          <t>☐</t>
        </is>
      </c>
      <c r="AF18" s="302"/>
      <c r="AG18" s="330" t="s">
        <v>69</v>
      </c>
      <c r="AH18" s="331"/>
      <c r="AI18" s="331"/>
      <c r="AJ18" s="331"/>
      <c r="AK18" s="331"/>
      <c r="AL18" s="331"/>
      <c r="AM18" s="332"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332"/>
      <c r="AO18" s="332"/>
      <c r="AP18" s="332"/>
      <c r="AQ18" s="332"/>
      <c r="AR18" s="333"/>
      <c r="AS18" s="304">
        <f>MAX(0,MIN(99,IF(AY18="",N(AV18),N(AY18))+N(BB18)+N(BE18)))</f>
        <v>0</v>
      </c>
      <c r="AT18" s="304"/>
      <c r="AU18" s="304"/>
      <c r="AV18" s="305">
        <v>0</v>
      </c>
      <c r="AW18" s="305"/>
      <c r="AX18" s="305"/>
      <c r="AY18" s="139" t="str">
        <f ca="1">IF(职业选项!V49&gt;0,职业选项!V49,"")</f>
        <v/>
      </c>
      <c r="AZ18" s="139"/>
      <c r="BA18" s="139"/>
      <c r="BB18" s="139" t="str">
        <f ca="1">规则数据!H54</f>
        <v/>
      </c>
      <c r="BC18" s="139"/>
      <c r="BD18" s="139"/>
      <c r="BE18" s="139">
        <f>'幕间计算'!B36+IF(AND('幕间计算'!A36&lt;&gt;"",COUNTIF('幕间计算'!$A$2:A36,'幕间计算'!A36)=1),SUMIF('幕间计算'!$C$200:$C$1199,'幕间计算'!A36,'幕间计算'!$E$200:$E$1199),0)</f>
        <v>0</v>
      </c>
      <c r="BF18" s="139"/>
      <c r="BG18" s="308"/>
      <c r="BH18" s="92"/>
      <c r="BI18" s="325"/>
      <c r="BJ18" s="326"/>
      <c r="BK18" s="326"/>
      <c r="BL18" s="326"/>
      <c r="BM18" s="326"/>
      <c r="BN18" s="327"/>
      <c r="BO18" s="327"/>
      <c r="BP18" s="327"/>
      <c r="BQ18" s="327"/>
      <c r="BR18" s="327"/>
      <c r="BS18" s="327"/>
      <c r="BT18" s="327"/>
      <c r="BU18" s="327"/>
      <c r="BV18" s="327"/>
      <c r="BW18" s="327"/>
      <c r="BX18" s="327"/>
      <c r="BY18" s="327"/>
      <c r="BZ18" s="327"/>
      <c r="CA18" s="327"/>
      <c r="CB18" s="327"/>
      <c r="CC18" s="327"/>
      <c r="CD18" s="327"/>
      <c r="CE18" s="327"/>
      <c r="CF18" s="327"/>
      <c r="CG18" s="327"/>
      <c r="CH18" s="327"/>
      <c r="CI18" s="327"/>
      <c r="CJ18" s="327"/>
      <c r="CK18" s="327"/>
      <c r="CL18" s="327"/>
      <c r="CM18" s="327"/>
      <c r="CN18" s="327"/>
      <c r="CO18" s="327"/>
      <c r="CP18" s="327"/>
      <c r="CQ18" s="327"/>
      <c r="CR18" s="327"/>
      <c r="CS18" s="327"/>
      <c r="CT18" s="327"/>
      <c r="CU18" s="327"/>
      <c r="CV18" s="327"/>
      <c r="CW18" s="327"/>
      <c r="CX18" s="328"/>
      <c r="CY18" s="92"/>
      <c r="CZ18" s="311"/>
      <c r="DA18" s="312"/>
      <c r="DB18" s="312"/>
      <c r="DC18" s="312"/>
      <c r="DD18" s="312"/>
      <c r="DE18" s="312"/>
      <c r="DF18" s="312"/>
      <c r="DG18" s="312"/>
      <c r="DH18" s="312"/>
      <c r="DI18" s="312"/>
      <c r="DJ18" s="312"/>
      <c r="DK18" s="312"/>
      <c r="DL18" s="312"/>
      <c r="DM18" s="312" t="str">
        <f ca="1">IFERROR(INDIRECT(INDEX(规则数据!$C$500:$C$553,MATCH(CZ18,规则数据!$A$500:$A$553,0))),"")</f>
        <v/>
      </c>
      <c r="DN18" s="312"/>
      <c r="DO18" s="312"/>
      <c r="DP18" s="312"/>
      <c r="DQ18" s="312" t="str">
        <f>IFERROR(IF(INDEX(规则数据!$D$500:$D$553,MATCH(CZ18,规则数据!$A$500:$A$553,0))="","",INDEX(规则数据!$D$500:$D$553,MATCH(CZ18,规则数据!$A$500:$A$553,0))),"")</f>
        <v/>
      </c>
      <c r="DR18" s="312"/>
      <c r="DS18" s="312"/>
      <c r="DT18" s="312"/>
      <c r="DU18" s="312"/>
      <c r="DV18" s="312"/>
      <c r="DW18" s="312" t="str">
        <f>IFERROR(IF(INDEX(规则数据!$E$500:$E$553,MATCH(CZ18,规则数据!$A$500:$A$553,0))="","",INDEX(规则数据!$E$500:$E$553,MATCH(CZ18,规则数据!$A$500:$A$553,0))),"")</f>
        <v/>
      </c>
      <c r="DX18" s="312"/>
      <c r="DY18" s="312"/>
      <c r="DZ18" s="312" t="str">
        <f>IFERROR(IF(INDEX(规则数据!$F$500:$F$553,MATCH(CZ18,规则数据!$A$500:$A$553,0))="","",INDEX(规则数据!$F$500:$F$553,MATCH(CZ18,规则数据!$A$500:$A$553,0))),"")</f>
        <v/>
      </c>
      <c r="EA18" s="312"/>
      <c r="EB18" s="312"/>
      <c r="EC18" s="312"/>
      <c r="ED18" s="312" t="str">
        <f>IFERROR(IF(INDEX(规则数据!$G$500:$G$553,MATCH(CZ18,规则数据!$A$500:$A$553,0))="","",INDEX(规则数据!$G$500:$G$553,MATCH(CZ18,规则数据!$A$500:$A$553,0))),"")</f>
        <v/>
      </c>
      <c r="EE18" s="312"/>
      <c r="EF18" s="312"/>
      <c r="EG18" s="313"/>
      <c r="EH18" s="276"/>
      <c r="EI18" s="329"/>
      <c r="EJ18" s="150"/>
      <c r="EK18" s="150"/>
      <c r="EL18" s="150"/>
      <c r="EM18" s="150"/>
      <c r="EN18" s="150"/>
      <c r="EO18" s="150"/>
      <c r="EP18" s="150"/>
      <c r="EQ18" s="150"/>
      <c r="ER18" s="150"/>
      <c r="ES18" s="150"/>
      <c r="ET18" s="150"/>
      <c r="EU18" s="150"/>
      <c r="EV18" s="150"/>
      <c r="EW18" s="150"/>
      <c r="EX18" s="150"/>
      <c r="EY18" s="151"/>
      <c r="EZ18" s="77"/>
    </row>
    <row r="19" customHeight="1" spans="1:156">
      <c r="A19" s="92"/>
      <c r="B19" s="301" t="inlineStr">
        <is>
          <t>☐</t>
        </is>
      </c>
      <c r="C19" s="302"/>
      <c r="D19" s="321" t="s">
        <v>71</v>
      </c>
      <c r="E19" s="322"/>
      <c r="F19" s="322"/>
      <c r="G19" s="322"/>
      <c r="H19" s="322"/>
      <c r="I19" s="322"/>
      <c r="J19" s="3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323"/>
      <c r="L19" s="323"/>
      <c r="M19" s="323"/>
      <c r="N19" s="323"/>
      <c r="O19" s="324"/>
      <c r="P19" s="304">
        <f>MAX(0,MIN(99,IF(V19="",N(S19),N(V19))+N(Y19)+N(AB19)))</f>
        <v>0</v>
      </c>
      <c r="Q19" s="304"/>
      <c r="R19" s="304"/>
      <c r="S19" s="305">
        <v>0</v>
      </c>
      <c r="T19" s="305"/>
      <c r="U19" s="305"/>
      <c r="V19" s="139" t="str">
        <f ca="1">IF(职业选项!V50&gt;0,职业选项!V50,"")</f>
        <v/>
      </c>
      <c r="W19" s="139"/>
      <c r="X19" s="139"/>
      <c r="Y19" s="139" t="str">
        <f ca="1">规则数据!H25</f>
        <v/>
      </c>
      <c r="Z19" s="139"/>
      <c r="AA19" s="139"/>
      <c r="AB19" s="139">
        <f>'幕间计算'!B7+IF(AND('幕间计算'!A7&lt;&gt;"",COUNTIF('幕间计算'!$A$2:A7,'幕间计算'!A7)=1),SUMIF('幕间计算'!$C$200:$C$1199,'幕间计算'!A7,'幕间计算'!$E$200:$E$1199),0)</f>
        <v>0</v>
      </c>
      <c r="AC19" s="139"/>
      <c r="AD19" s="306"/>
      <c r="AE19" s="307" t="inlineStr">
        <is>
          <t>☐</t>
        </is>
      </c>
      <c r="AF19" s="302"/>
      <c r="AG19" s="321" t="s">
        <v>69</v>
      </c>
      <c r="AH19" s="322"/>
      <c r="AI19" s="322"/>
      <c r="AJ19" s="322"/>
      <c r="AK19" s="322"/>
      <c r="AL19" s="322"/>
      <c r="AM19" s="3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323"/>
      <c r="AO19" s="323"/>
      <c r="AP19" s="323"/>
      <c r="AQ19" s="323"/>
      <c r="AR19" s="324"/>
      <c r="AS19" s="304">
        <f>MAX(0,MIN(99,IF(AY19="",N(AV19),N(AY19))+N(BB19)+N(BE19)))</f>
        <v>0</v>
      </c>
      <c r="AT19" s="304"/>
      <c r="AU19" s="304"/>
      <c r="AV19" s="305">
        <v>0</v>
      </c>
      <c r="AW19" s="305"/>
      <c r="AX19" s="305"/>
      <c r="AY19" s="139" t="str">
        <f ca="1">IF(职业选项!V51&gt;0,职业选项!V51,"")</f>
        <v/>
      </c>
      <c r="AZ19" s="139"/>
      <c r="BA19" s="139"/>
      <c r="BB19" s="139" t="str">
        <f ca="1">规则数据!H55</f>
        <v/>
      </c>
      <c r="BC19" s="139"/>
      <c r="BD19" s="139"/>
      <c r="BE19" s="139">
        <f>'幕间计算'!B37+IF(AND('幕间计算'!A37&lt;&gt;"",COUNTIF('幕间计算'!$A$2:A37,'幕间计算'!A37)=1),SUMIF('幕间计算'!$C$200:$C$1199,'幕间计算'!A37,'幕间计算'!$E$200:$E$1199),0)</f>
        <v>0</v>
      </c>
      <c r="BF19" s="139"/>
      <c r="BG19" s="308"/>
      <c r="BH19" s="92"/>
      <c r="BI19" s="325"/>
      <c r="BJ19" s="326"/>
      <c r="BK19" s="326"/>
      <c r="BL19" s="326"/>
      <c r="BM19" s="326"/>
      <c r="BN19" s="327"/>
      <c r="BO19" s="327"/>
      <c r="BP19" s="327"/>
      <c r="BQ19" s="327"/>
      <c r="BR19" s="327"/>
      <c r="BS19" s="327"/>
      <c r="BT19" s="327"/>
      <c r="BU19" s="327"/>
      <c r="BV19" s="327"/>
      <c r="BW19" s="327"/>
      <c r="BX19" s="327"/>
      <c r="BY19" s="327"/>
      <c r="BZ19" s="327"/>
      <c r="CA19" s="327"/>
      <c r="CB19" s="327"/>
      <c r="CC19" s="327"/>
      <c r="CD19" s="327"/>
      <c r="CE19" s="327"/>
      <c r="CF19" s="327"/>
      <c r="CG19" s="327"/>
      <c r="CH19" s="327"/>
      <c r="CI19" s="327"/>
      <c r="CJ19" s="327"/>
      <c r="CK19" s="327"/>
      <c r="CL19" s="327"/>
      <c r="CM19" s="327"/>
      <c r="CN19" s="327"/>
      <c r="CO19" s="327"/>
      <c r="CP19" s="327"/>
      <c r="CQ19" s="327"/>
      <c r="CR19" s="327"/>
      <c r="CS19" s="327"/>
      <c r="CT19" s="327"/>
      <c r="CU19" s="327"/>
      <c r="CV19" s="327"/>
      <c r="CW19" s="327"/>
      <c r="CX19" s="328"/>
      <c r="CY19" s="92"/>
      <c r="CZ19" s="311"/>
      <c r="DA19" s="312"/>
      <c r="DB19" s="312"/>
      <c r="DC19" s="312"/>
      <c r="DD19" s="312"/>
      <c r="DE19" s="312"/>
      <c r="DF19" s="312"/>
      <c r="DG19" s="312"/>
      <c r="DH19" s="312"/>
      <c r="DI19" s="312"/>
      <c r="DJ19" s="312"/>
      <c r="DK19" s="312"/>
      <c r="DL19" s="312"/>
      <c r="DM19" s="312" t="str">
        <f ca="1">IFERROR(INDIRECT(INDEX(规则数据!$C$500:$C$553,MATCH(CZ19,规则数据!$A$500:$A$553,0))),"")</f>
        <v/>
      </c>
      <c r="DN19" s="312"/>
      <c r="DO19" s="312"/>
      <c r="DP19" s="312"/>
      <c r="DQ19" s="312" t="str">
        <f>IFERROR(IF(INDEX(规则数据!$D$500:$D$553,MATCH(CZ19,规则数据!$A$500:$A$553,0))="","",INDEX(规则数据!$D$500:$D$553,MATCH(CZ19,规则数据!$A$500:$A$553,0))),"")</f>
        <v/>
      </c>
      <c r="DR19" s="312"/>
      <c r="DS19" s="312"/>
      <c r="DT19" s="312"/>
      <c r="DU19" s="312"/>
      <c r="DV19" s="312"/>
      <c r="DW19" s="312" t="str">
        <f>IFERROR(IF(INDEX(规则数据!$E$500:$E$553,MATCH(CZ19,规则数据!$A$500:$A$553,0))="","",INDEX(规则数据!$E$500:$E$553,MATCH(CZ19,规则数据!$A$500:$A$553,0))),"")</f>
        <v/>
      </c>
      <c r="DX19" s="312"/>
      <c r="DY19" s="312"/>
      <c r="DZ19" s="312" t="str">
        <f>IFERROR(IF(INDEX(规则数据!$F$500:$F$553,MATCH(CZ19,规则数据!$A$500:$A$553,0))="","",INDEX(规则数据!$F$500:$F$553,MATCH(CZ19,规则数据!$A$500:$A$553,0))),"")</f>
        <v/>
      </c>
      <c r="EA19" s="312"/>
      <c r="EB19" s="312"/>
      <c r="EC19" s="312"/>
      <c r="ED19" s="312" t="str">
        <f>IFERROR(IF(INDEX(规则数据!$G$500:$G$553,MATCH(CZ19,规则数据!$A$500:$A$553,0))="","",INDEX(规则数据!$G$500:$G$553,MATCH(CZ19,规则数据!$A$500:$A$553,0))),"")</f>
        <v/>
      </c>
      <c r="EE19" s="312"/>
      <c r="EF19" s="312"/>
      <c r="EG19" s="313"/>
      <c r="EH19" s="276"/>
      <c r="EI19" s="329"/>
      <c r="EJ19" s="150"/>
      <c r="EK19" s="150"/>
      <c r="EL19" s="150"/>
      <c r="EM19" s="150"/>
      <c r="EN19" s="150"/>
      <c r="EO19" s="150"/>
      <c r="EP19" s="150"/>
      <c r="EQ19" s="150"/>
      <c r="ER19" s="150"/>
      <c r="ES19" s="150"/>
      <c r="ET19" s="150"/>
      <c r="EU19" s="150"/>
      <c r="EV19" s="150"/>
      <c r="EW19" s="150"/>
      <c r="EX19" s="150"/>
      <c r="EY19" s="151"/>
      <c r="EZ19" s="77"/>
    </row>
    <row r="20" customHeight="1" spans="1:156">
      <c r="A20" s="92"/>
      <c r="B20" s="301" t="inlineStr">
        <is>
          <t>☐</t>
        </is>
      </c>
      <c r="C20" s="302"/>
      <c r="D20" s="330" t="s">
        <v>71</v>
      </c>
      <c r="E20" s="331"/>
      <c r="F20" s="331"/>
      <c r="G20" s="331"/>
      <c r="H20" s="331"/>
      <c r="I20" s="331"/>
      <c r="J20" s="332"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332"/>
      <c r="L20" s="332"/>
      <c r="M20" s="332"/>
      <c r="N20" s="332"/>
      <c r="O20" s="333"/>
      <c r="P20" s="304">
        <f>MAX(0,MIN(99,IF(V20="",N(S20),N(V20))+N(Y20)+N(AB20)))</f>
        <v>0</v>
      </c>
      <c r="Q20" s="304"/>
      <c r="R20" s="304"/>
      <c r="S20" s="305">
        <v>0</v>
      </c>
      <c r="T20" s="305"/>
      <c r="U20" s="305"/>
      <c r="V20" s="139" t="str">
        <f ca="1">IF(职业选项!V52&gt;0,职业选项!V52,"")</f>
        <v/>
      </c>
      <c r="W20" s="139"/>
      <c r="X20" s="139"/>
      <c r="Y20" s="139" t="str">
        <f ca="1">规则数据!H26</f>
        <v/>
      </c>
      <c r="Z20" s="139"/>
      <c r="AA20" s="139"/>
      <c r="AB20" s="139">
        <f>'幕间计算'!B8+IF(AND('幕间计算'!A8&lt;&gt;"",COUNTIF('幕间计算'!$A$2:A8,'幕间计算'!A8)=1),SUMIF('幕间计算'!$C$200:$C$1199,'幕间计算'!A8,'幕间计算'!$E$200:$E$1199),0)</f>
        <v>0</v>
      </c>
      <c r="AC20" s="139"/>
      <c r="AD20" s="306"/>
      <c r="AE20" s="307" t="inlineStr">
        <is>
          <t>☐</t>
        </is>
      </c>
      <c r="AF20" s="302"/>
      <c r="AG20" s="303" t="s">
        <v>72</v>
      </c>
      <c r="AH20" s="303"/>
      <c r="AI20" s="303"/>
      <c r="AJ20" s="303"/>
      <c r="AK20" s="303"/>
      <c r="AL20" s="303"/>
      <c r="AM20" s="303"/>
      <c r="AN20" s="303"/>
      <c r="AO20" s="303"/>
      <c r="AP20" s="303"/>
      <c r="AQ20" s="303"/>
      <c r="AR20" s="303"/>
      <c r="AS20" s="304">
        <f>MAX(0,MIN(99,IF(AY20="",N(AV20),N(AY20))+N(BB20)+N(BE20)))</f>
        <v>10</v>
      </c>
      <c r="AT20" s="304"/>
      <c r="AU20" s="304"/>
      <c r="AV20" s="305">
        <v>10</v>
      </c>
      <c r="AW20" s="305"/>
      <c r="AX20" s="305"/>
      <c r="AY20" s="139" t="str">
        <f ca="1">IF(职业选项!V53&gt;0,职业选项!V53,"")</f>
        <v/>
      </c>
      <c r="AZ20" s="139"/>
      <c r="BA20" s="139"/>
      <c r="BB20" s="139" t="str">
        <f ca="1">规则数据!H56</f>
        <v/>
      </c>
      <c r="BC20" s="139"/>
      <c r="BD20" s="139"/>
      <c r="BE20" s="139">
        <f>'幕间计算'!B38+IF(AND('幕间计算'!A38&lt;&gt;"",COUNTIF('幕间计算'!$A$2:A38,'幕间计算'!A38)=1),SUMIF('幕间计算'!$C$200:$C$1199,'幕间计算'!A38,'幕间计算'!$E$200:$E$1199),0)</f>
        <v>0</v>
      </c>
      <c r="BF20" s="139"/>
      <c r="BG20" s="308"/>
      <c r="BH20" s="92"/>
      <c r="BI20" s="325"/>
      <c r="BJ20" s="326"/>
      <c r="BK20" s="326"/>
      <c r="BL20" s="326"/>
      <c r="BM20" s="326"/>
      <c r="BN20" s="327"/>
      <c r="BO20" s="327"/>
      <c r="BP20" s="327"/>
      <c r="BQ20" s="327"/>
      <c r="BR20" s="327"/>
      <c r="BS20" s="327"/>
      <c r="BT20" s="327"/>
      <c r="BU20" s="327"/>
      <c r="BV20" s="327"/>
      <c r="BW20" s="327"/>
      <c r="BX20" s="327"/>
      <c r="BY20" s="327"/>
      <c r="BZ20" s="327"/>
      <c r="CA20" s="327"/>
      <c r="CB20" s="327"/>
      <c r="CC20" s="327"/>
      <c r="CD20" s="327"/>
      <c r="CE20" s="327"/>
      <c r="CF20" s="327"/>
      <c r="CG20" s="327"/>
      <c r="CH20" s="327"/>
      <c r="CI20" s="327"/>
      <c r="CJ20" s="327"/>
      <c r="CK20" s="327"/>
      <c r="CL20" s="327"/>
      <c r="CM20" s="327"/>
      <c r="CN20" s="327"/>
      <c r="CO20" s="327"/>
      <c r="CP20" s="327"/>
      <c r="CQ20" s="327"/>
      <c r="CR20" s="327"/>
      <c r="CS20" s="327"/>
      <c r="CT20" s="327"/>
      <c r="CU20" s="327"/>
      <c r="CV20" s="327"/>
      <c r="CW20" s="327"/>
      <c r="CX20" s="328"/>
      <c r="CY20" s="92"/>
      <c r="CZ20" s="334"/>
      <c r="DA20" s="335"/>
      <c r="DB20" s="335"/>
      <c r="DC20" s="335"/>
      <c r="DD20" s="335"/>
      <c r="DE20" s="335"/>
      <c r="DF20" s="335"/>
      <c r="DG20" s="335"/>
      <c r="DH20" s="335"/>
      <c r="DI20" s="335"/>
      <c r="DJ20" s="335"/>
      <c r="DK20" s="335"/>
      <c r="DL20" s="335"/>
      <c r="DM20" s="335" t="str">
        <f ca="1">IFERROR(INDIRECT(INDEX(规则数据!$C$500:$C$553,MATCH(CZ20,规则数据!$A$500:$A$553,0))),"")</f>
        <v/>
      </c>
      <c r="DN20" s="335"/>
      <c r="DO20" s="335"/>
      <c r="DP20" s="335"/>
      <c r="DQ20" s="335" t="str">
        <f>IFERROR(IF(INDEX(规则数据!$D$500:$D$553,MATCH(CZ20,规则数据!$A$500:$A$553,0))="","",INDEX(规则数据!$D$500:$D$553,MATCH(CZ20,规则数据!$A$500:$A$553,0))),"")</f>
        <v/>
      </c>
      <c r="DR20" s="335"/>
      <c r="DS20" s="335"/>
      <c r="DT20" s="335"/>
      <c r="DU20" s="335"/>
      <c r="DV20" s="335"/>
      <c r="DW20" s="335" t="str">
        <f>IFERROR(IF(INDEX(规则数据!$E$500:$E$553,MATCH(CZ20,规则数据!$A$500:$A$553,0))="","",INDEX(规则数据!$E$500:$E$553,MATCH(CZ20,规则数据!$A$500:$A$553,0))),"")</f>
        <v/>
      </c>
      <c r="DX20" s="335"/>
      <c r="DY20" s="335"/>
      <c r="DZ20" s="335" t="str">
        <f>IFERROR(IF(INDEX(规则数据!$F$500:$F$553,MATCH(CZ20,规则数据!$A$500:$A$553,0))="","",INDEX(规则数据!$F$500:$F$553,MATCH(CZ20,规则数据!$A$500:$A$553,0))),"")</f>
        <v/>
      </c>
      <c r="EA20" s="335"/>
      <c r="EB20" s="335"/>
      <c r="EC20" s="335"/>
      <c r="ED20" s="335" t="str">
        <f>IFERROR(IF(INDEX(规则数据!$G$500:$G$553,MATCH(CZ20,规则数据!$A$500:$A$553,0))="","",INDEX(规则数据!$G$500:$G$553,MATCH(CZ20,规则数据!$A$500:$A$553,0))),"")</f>
        <v/>
      </c>
      <c r="EE20" s="335"/>
      <c r="EF20" s="335"/>
      <c r="EG20" s="336"/>
      <c r="EH20" s="276"/>
      <c r="EI20" s="337"/>
      <c r="EJ20" s="260"/>
      <c r="EK20" s="260"/>
      <c r="EL20" s="260"/>
      <c r="EM20" s="260"/>
      <c r="EN20" s="260"/>
      <c r="EO20" s="260"/>
      <c r="EP20" s="260"/>
      <c r="EQ20" s="260"/>
      <c r="ER20" s="260"/>
      <c r="ES20" s="260"/>
      <c r="ET20" s="260"/>
      <c r="EU20" s="260"/>
      <c r="EV20" s="260"/>
      <c r="EW20" s="260"/>
      <c r="EX20" s="260"/>
      <c r="EY20" s="261"/>
      <c r="EZ20" s="77"/>
    </row>
    <row r="21" customHeight="1" spans="1:156">
      <c r="A21" s="92"/>
      <c r="B21" s="301" t="inlineStr">
        <is>
          <t>☐</t>
        </is>
      </c>
      <c r="C21" s="302"/>
      <c r="D21" s="303" t="s">
        <v>73</v>
      </c>
      <c r="E21" s="303"/>
      <c r="F21" s="303"/>
      <c r="G21" s="303"/>
      <c r="H21" s="303"/>
      <c r="I21" s="303"/>
      <c r="J21" s="303"/>
      <c r="K21" s="303"/>
      <c r="L21" s="303"/>
      <c r="M21" s="303"/>
      <c r="N21" s="303"/>
      <c r="O21" s="303"/>
      <c r="P21" s="304">
        <f>MAX(0,MIN(99,IF(V21="",N(S21),N(V21))+N(Y21)+N(AB21)))</f>
        <v>0</v>
      </c>
      <c r="Q21" s="304"/>
      <c r="R21" s="304"/>
      <c r="S21" s="305">
        <v>0</v>
      </c>
      <c r="T21" s="305"/>
      <c r="U21" s="305"/>
      <c r="V21" s="139" t="str">
        <f ca="1">IF(职业选项!V54&gt;0,职业选项!V54,"")</f>
        <v/>
      </c>
      <c r="W21" s="139"/>
      <c r="X21" s="139"/>
      <c r="Y21" s="139" t="str">
        <f ca="1">规则数据!H27</f>
        <v/>
      </c>
      <c r="Z21" s="139"/>
      <c r="AA21" s="139"/>
      <c r="AB21" s="139">
        <f>'幕间计算'!B9+IF(AND('幕间计算'!A9&lt;&gt;"",COUNTIF('幕间计算'!$A$2:A9,'幕间计算'!A9)=1),SUMIF('幕间计算'!$C$200:$C$1199,'幕间计算'!A9,'幕间计算'!$E$200:$E$1199),0)</f>
        <v>0</v>
      </c>
      <c r="AC21" s="139"/>
      <c r="AD21" s="306"/>
      <c r="AE21" s="307" t="inlineStr">
        <is>
          <t>☐</t>
        </is>
      </c>
      <c r="AF21" s="302"/>
      <c r="AG21" s="303" t="s">
        <v>74</v>
      </c>
      <c r="AH21" s="303"/>
      <c r="AI21" s="303"/>
      <c r="AJ21" s="303"/>
      <c r="AK21" s="303"/>
      <c r="AL21" s="303"/>
      <c r="AM21" s="303"/>
      <c r="AN21" s="303"/>
      <c r="AO21" s="303"/>
      <c r="AP21" s="303"/>
      <c r="AQ21" s="303"/>
      <c r="AR21" s="303"/>
      <c r="AS21" s="304">
        <f>MAX(0,MIN(99,IF(AY21="",N(AV21),N(AY21))+N(BB21)+N(BE21)))</f>
        <v>10</v>
      </c>
      <c r="AT21" s="304"/>
      <c r="AU21" s="304"/>
      <c r="AV21" s="305">
        <v>10</v>
      </c>
      <c r="AW21" s="305"/>
      <c r="AX21" s="305"/>
      <c r="AY21" s="139" t="str">
        <f ca="1">IF(职业选项!V55&gt;0,职业选项!V55,"")</f>
        <v/>
      </c>
      <c r="AZ21" s="139"/>
      <c r="BA21" s="139"/>
      <c r="BB21" s="139" t="str">
        <f ca="1">规则数据!H57</f>
        <v/>
      </c>
      <c r="BC21" s="139"/>
      <c r="BD21" s="139"/>
      <c r="BE21" s="139">
        <f>'幕间计算'!B39+IF(AND('幕间计算'!A39&lt;&gt;"",COUNTIF('幕间计算'!$A$2:A39,'幕间计算'!A39)=1),SUMIF('幕间计算'!$C$200:$C$1199,'幕间计算'!A39,'幕间计算'!$E$200:$E$1199),0)</f>
        <v>0</v>
      </c>
      <c r="BF21" s="139"/>
      <c r="BG21" s="308"/>
      <c r="BH21" s="92"/>
      <c r="BI21" s="325"/>
      <c r="BJ21" s="326"/>
      <c r="BK21" s="326"/>
      <c r="BL21" s="326"/>
      <c r="BM21" s="326"/>
      <c r="BN21" s="327"/>
      <c r="BO21" s="327"/>
      <c r="BP21" s="327"/>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7"/>
      <c r="CW21" s="327"/>
      <c r="CX21" s="328"/>
      <c r="CY21" s="92"/>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338"/>
      <c r="EI21" s="263"/>
      <c r="EJ21" s="263"/>
      <c r="EK21" s="263"/>
      <c r="EL21" s="263"/>
      <c r="EM21" s="263"/>
      <c r="EN21" s="263"/>
      <c r="EO21" s="263"/>
      <c r="EP21" s="263"/>
      <c r="EQ21" s="263"/>
      <c r="ER21" s="263"/>
      <c r="ES21" s="263"/>
      <c r="ET21" s="263"/>
      <c r="EU21" s="263"/>
      <c r="EV21" s="263"/>
      <c r="EW21" s="263"/>
      <c r="EX21" s="263"/>
      <c r="EY21" s="263"/>
    </row>
    <row r="22" customHeight="1" spans="1:156">
      <c r="A22" s="92"/>
      <c r="B22" s="301" t="inlineStr">
        <is>
          <t>☐</t>
        </is>
      </c>
      <c r="C22" s="302"/>
      <c r="D22" s="303" t="s">
        <v>75</v>
      </c>
      <c r="E22" s="303"/>
      <c r="F22" s="303"/>
      <c r="G22" s="303"/>
      <c r="H22" s="303"/>
      <c r="I22" s="303"/>
      <c r="J22" s="303"/>
      <c r="K22" s="303"/>
      <c r="L22" s="303"/>
      <c r="M22" s="303"/>
      <c r="N22" s="303"/>
      <c r="O22" s="303"/>
      <c r="P22" s="304">
        <f>MAX(0,MIN(99,IF(V22="",N(S22),N(V22))+N(Y22)+N(AB22)))</f>
        <v>30</v>
      </c>
      <c r="Q22" s="304"/>
      <c r="R22" s="304"/>
      <c r="S22" s="305">
        <v>30</v>
      </c>
      <c r="T22" s="305"/>
      <c r="U22" s="305"/>
      <c r="V22" s="139" t="str">
        <f ca="1">IF(职业选项!V56&gt;0,职业选项!V56,"")</f>
        <v/>
      </c>
      <c r="W22" s="139"/>
      <c r="X22" s="139"/>
      <c r="Y22" s="139" t="str">
        <f ca="1">规则数据!H28</f>
        <v/>
      </c>
      <c r="Z22" s="139"/>
      <c r="AA22" s="139"/>
      <c r="AB22" s="139">
        <f>'幕间计算'!B10+IF(AND('幕间计算'!A10&lt;&gt;"",COUNTIF('幕间计算'!$A$2:A10,'幕间计算'!A10)=1),SUMIF('幕间计算'!$C$200:$C$1199,'幕间计算'!A10,'幕间计算'!$E$200:$E$1199),0)</f>
        <v>0</v>
      </c>
      <c r="AC22" s="139"/>
      <c r="AD22" s="306"/>
      <c r="AE22" s="307" t="inlineStr">
        <is>
          <t>☐</t>
        </is>
      </c>
      <c r="AF22" s="302"/>
      <c r="AG22" s="303" t="s">
        <v>76</v>
      </c>
      <c r="AH22" s="303"/>
      <c r="AI22" s="303"/>
      <c r="AJ22" s="303"/>
      <c r="AK22" s="303"/>
      <c r="AL22" s="303"/>
      <c r="AM22" s="303"/>
      <c r="AN22" s="303"/>
      <c r="AO22" s="303"/>
      <c r="AP22" s="303"/>
      <c r="AQ22" s="303"/>
      <c r="AR22" s="303"/>
      <c r="AS22" s="304">
        <f>MAX(0,MIN(99,IF(AY22="",N(AV22),N(AY22))+N(BB22)+N(BE22)))</f>
        <v>20</v>
      </c>
      <c r="AT22" s="304"/>
      <c r="AU22" s="304"/>
      <c r="AV22" s="305">
        <v>20</v>
      </c>
      <c r="AW22" s="305"/>
      <c r="AX22" s="305"/>
      <c r="AY22" s="139" t="str">
        <f ca="1">IF(职业选项!V57&gt;0,职业选项!V57,"")</f>
        <v/>
      </c>
      <c r="AZ22" s="139"/>
      <c r="BA22" s="139"/>
      <c r="BB22" s="139" t="str">
        <f ca="1">规则数据!H58</f>
        <v/>
      </c>
      <c r="BC22" s="139"/>
      <c r="BD22" s="139"/>
      <c r="BE22" s="139">
        <f>'幕间计算'!B40+IF(AND('幕间计算'!A40&lt;&gt;"",COUNTIF('幕间计算'!$A$2:A40,'幕间计算'!A40)=1),SUMIF('幕间计算'!$C$200:$C$1199,'幕间计算'!A40,'幕间计算'!$E$200:$E$1199),0)</f>
        <v>0</v>
      </c>
      <c r="BF22" s="139"/>
      <c r="BG22" s="308"/>
      <c r="BH22" s="92"/>
      <c r="BI22" s="325"/>
      <c r="BJ22" s="326"/>
      <c r="BK22" s="326"/>
      <c r="BL22" s="326"/>
      <c r="BM22" s="326"/>
      <c r="BN22" s="327"/>
      <c r="BO22" s="327"/>
      <c r="BP22" s="327"/>
      <c r="BQ22" s="327"/>
      <c r="BR22" s="327"/>
      <c r="BS22" s="327"/>
      <c r="BT22" s="327"/>
      <c r="BU22" s="327"/>
      <c r="BV22" s="327"/>
      <c r="BW22" s="327"/>
      <c r="BX22" s="327"/>
      <c r="BY22" s="327"/>
      <c r="BZ22" s="327"/>
      <c r="CA22" s="327"/>
      <c r="CB22" s="327"/>
      <c r="CC22" s="327"/>
      <c r="CD22" s="327"/>
      <c r="CE22" s="327"/>
      <c r="CF22" s="327"/>
      <c r="CG22" s="327"/>
      <c r="CH22" s="327"/>
      <c r="CI22" s="327"/>
      <c r="CJ22" s="327"/>
      <c r="CK22" s="327"/>
      <c r="CL22" s="327"/>
      <c r="CM22" s="327"/>
      <c r="CN22" s="327"/>
      <c r="CO22" s="327"/>
      <c r="CP22" s="327"/>
      <c r="CQ22" s="327"/>
      <c r="CR22" s="327"/>
      <c r="CS22" s="327"/>
      <c r="CT22" s="327"/>
      <c r="CU22" s="327"/>
      <c r="CV22" s="327"/>
      <c r="CW22" s="327"/>
      <c r="CX22" s="328"/>
      <c r="CY22" s="92"/>
      <c r="CZ22" s="267" t="s">
        <v>77</v>
      </c>
      <c r="DA22" s="268"/>
      <c r="DB22" s="268"/>
      <c r="DC22" s="268"/>
      <c r="DD22" s="268"/>
      <c r="DE22" s="268"/>
      <c r="DF22" s="268"/>
      <c r="DG22" s="268"/>
      <c r="DH22" s="268"/>
      <c r="DI22" s="339"/>
      <c r="DJ22" s="339"/>
      <c r="DK22" s="339"/>
      <c r="DL22" s="339"/>
      <c r="DM22" s="339"/>
      <c r="DN22" s="339"/>
      <c r="DO22" s="339"/>
      <c r="DP22" s="339"/>
      <c r="DQ22" s="268"/>
      <c r="DR22" s="339"/>
      <c r="DS22" s="339"/>
      <c r="DT22" s="340" t="s">
        <v>78</v>
      </c>
      <c r="DU22" s="340"/>
      <c r="DV22" s="340"/>
      <c r="DW22" s="340"/>
      <c r="DX22" s="341">
        <f>COUNTIF(ED24,"&gt;0")+COUNTIF(ED27,"&gt;0")+COUNTIF(ED30,"&gt;0")+COUNTIF(ED33,"&gt;0")+COUNTIF(ED36,"&gt;0")+COUNTIF(ED39,"&gt;0")+COUNTIF(ED42,"&gt;0")</f>
        <v>0</v>
      </c>
      <c r="DY22" s="341"/>
      <c r="DZ22" s="342"/>
      <c r="EA22" s="342"/>
      <c r="EB22" s="343"/>
      <c r="EC22" s="344" t="s">
        <v>79</v>
      </c>
      <c r="ED22" s="344"/>
      <c r="EE22" s="344"/>
      <c r="EF22" s="345">
        <f>附表!B7</f>
        <v>0</v>
      </c>
      <c r="EG22" s="345"/>
      <c r="EH22" s="276"/>
      <c r="EI22" s="93" t="s">
        <v>80</v>
      </c>
      <c r="EJ22" s="94"/>
      <c r="EK22" s="94"/>
      <c r="EL22" s="94"/>
      <c r="EM22" s="94"/>
      <c r="EN22" s="94"/>
      <c r="EO22" s="94"/>
      <c r="EP22" s="94"/>
      <c r="EQ22" s="94"/>
      <c r="ER22" s="94"/>
      <c r="ES22" s="94"/>
      <c r="ET22" s="94"/>
      <c r="EU22" s="94"/>
      <c r="EV22" s="94"/>
      <c r="EW22" s="94"/>
      <c r="EX22" s="94"/>
      <c r="EY22" s="95"/>
      <c r="EZ22" s="77"/>
    </row>
    <row r="23" customHeight="1" spans="1:156">
      <c r="A23" s="92"/>
      <c r="B23" s="301" t="inlineStr">
        <is>
          <t>☐</t>
        </is>
      </c>
      <c r="C23" s="302"/>
      <c r="D23" s="303" t="s">
        <v>81</v>
      </c>
      <c r="E23" s="303"/>
      <c r="F23" s="303"/>
      <c r="G23" s="303"/>
      <c r="H23" s="303"/>
      <c r="I23" s="303"/>
      <c r="J23" s="303"/>
      <c r="K23" s="303"/>
      <c r="L23" s="303"/>
      <c r="M23" s="303"/>
      <c r="N23" s="303"/>
      <c r="O23" s="303"/>
      <c r="P23" s="304">
        <f>MAX(0,MIN(99,IF(V23="",N(S23),N(V23))+N(Y23)+N(AB23)))</f>
        <v>10</v>
      </c>
      <c r="Q23" s="304"/>
      <c r="R23" s="304"/>
      <c r="S23" s="305">
        <v>10</v>
      </c>
      <c r="T23" s="305"/>
      <c r="U23" s="305"/>
      <c r="V23" s="139" t="str">
        <f ca="1">IF(职业选项!V58&gt;0,职业选项!V58,"")</f>
        <v/>
      </c>
      <c r="W23" s="139"/>
      <c r="X23" s="139"/>
      <c r="Y23" s="139" t="str">
        <f ca="1">规则数据!H29</f>
        <v/>
      </c>
      <c r="Z23" s="139"/>
      <c r="AA23" s="139"/>
      <c r="AB23" s="139">
        <f>'幕间计算'!B11+IF(AND('幕间计算'!A11&lt;&gt;"",COUNTIF('幕间计算'!$A$2:A11,'幕间计算'!A11)=1),SUMIF('幕间计算'!$C$200:$C$1199,'幕间计算'!A11,'幕间计算'!$E$200:$E$1199),0)</f>
        <v>0</v>
      </c>
      <c r="AC23" s="139"/>
      <c r="AD23" s="306"/>
      <c r="AE23" s="307" t="inlineStr">
        <is>
          <t>☐</t>
        </is>
      </c>
      <c r="AF23" s="302"/>
      <c r="AG23" s="303" t="s">
        <v>82</v>
      </c>
      <c r="AH23" s="303"/>
      <c r="AI23" s="303"/>
      <c r="AJ23" s="303"/>
      <c r="AK23" s="303"/>
      <c r="AL23" s="303"/>
      <c r="AM23" s="303"/>
      <c r="AN23" s="303"/>
      <c r="AO23" s="303"/>
      <c r="AP23" s="303"/>
      <c r="AQ23" s="303"/>
      <c r="AR23" s="303"/>
      <c r="AS23" s="304">
        <f>MAX(0,MIN(99,IF(AY23="",N(AV23),N(AY23))+N(BB23)+N(BE23)))</f>
        <v>0</v>
      </c>
      <c r="AT23" s="304"/>
      <c r="AU23" s="304"/>
      <c r="AV23" s="305">
        <v>0</v>
      </c>
      <c r="AW23" s="305"/>
      <c r="AX23" s="305"/>
      <c r="AY23" s="139" t="str">
        <f ca="1">IF(职业选项!V59&gt;0,职业选项!V59,"")</f>
        <v/>
      </c>
      <c r="AZ23" s="139"/>
      <c r="BA23" s="139"/>
      <c r="BB23" s="139" t="str">
        <f ca="1">规则数据!H59</f>
        <v/>
      </c>
      <c r="BC23" s="139"/>
      <c r="BD23" s="139"/>
      <c r="BE23" s="139">
        <f>'幕间计算'!B41+IF(AND('幕间计算'!A41&lt;&gt;"",COUNTIF('幕间计算'!$A$2:A41,'幕间计算'!A41)=1),SUMIF('幕间计算'!$C$200:$C$1199,'幕间计算'!A41,'幕间计算'!$E$200:$E$1199),0)</f>
        <v>0</v>
      </c>
      <c r="BF23" s="139"/>
      <c r="BG23" s="308"/>
      <c r="BH23" s="92"/>
      <c r="BI23" s="325"/>
      <c r="BJ23" s="326"/>
      <c r="BK23" s="326"/>
      <c r="BL23" s="326"/>
      <c r="BM23" s="326"/>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8"/>
      <c r="CY23" s="92"/>
      <c r="CZ23" s="346"/>
      <c r="DA23" s="292"/>
      <c r="DB23" s="292"/>
      <c r="DC23" s="292"/>
      <c r="DD23" s="292"/>
      <c r="DE23" s="292"/>
      <c r="DF23" s="292"/>
      <c r="DG23" s="292"/>
      <c r="DH23" s="292"/>
      <c r="DI23" s="292"/>
      <c r="DJ23" s="292"/>
      <c r="DK23" s="292"/>
      <c r="DL23" s="292"/>
      <c r="DM23" s="292"/>
      <c r="DN23" s="292"/>
      <c r="DO23" s="292"/>
      <c r="DP23" s="292"/>
      <c r="DQ23" s="292"/>
      <c r="DR23" s="292"/>
      <c r="DS23" s="292"/>
      <c r="DT23" s="292"/>
      <c r="DU23" s="292"/>
      <c r="DV23" s="292"/>
      <c r="DW23" s="292"/>
      <c r="DX23" s="292"/>
      <c r="DY23" s="292"/>
      <c r="DZ23" s="292"/>
      <c r="EA23" s="292"/>
      <c r="EB23" s="292"/>
      <c r="EC23" s="292"/>
      <c r="ED23" s="291" t="s">
        <v>83</v>
      </c>
      <c r="EE23" s="291"/>
      <c r="EF23" s="291" t="s">
        <v>84</v>
      </c>
      <c r="EG23" s="347"/>
      <c r="EH23" s="276"/>
      <c r="EI23" s="348"/>
      <c r="EJ23" s="349"/>
      <c r="EK23" s="349"/>
      <c r="EL23" s="349"/>
      <c r="EM23" s="349"/>
      <c r="EN23" s="349"/>
      <c r="EO23" s="349"/>
      <c r="EP23" s="349"/>
      <c r="EQ23" s="349"/>
      <c r="ER23" s="349"/>
      <c r="ES23" s="349"/>
      <c r="ET23" s="349"/>
      <c r="EU23" s="349"/>
      <c r="EV23" s="349"/>
      <c r="EW23" s="349"/>
      <c r="EX23" s="349"/>
      <c r="EY23" s="350"/>
      <c r="EZ23" s="77"/>
    </row>
    <row r="24" customHeight="1" spans="1:156">
      <c r="A24" s="92"/>
      <c r="B24" s="301" t="inlineStr">
        <is>
          <t>☐</t>
        </is>
      </c>
      <c r="C24" s="302"/>
      <c r="D24" s="303" t="s">
        <v>85</v>
      </c>
      <c r="E24" s="303"/>
      <c r="F24" s="303"/>
      <c r="G24" s="303"/>
      <c r="H24" s="303"/>
      <c r="I24" s="303"/>
      <c r="J24" s="303"/>
      <c r="K24" s="303"/>
      <c r="L24" s="303"/>
      <c r="M24" s="303"/>
      <c r="N24" s="303"/>
      <c r="O24" s="303"/>
      <c r="P24" s="304">
        <f>MAX(0,MIN(99,IF(V24="",N(S24),N(V24))+N(Y24)+N(AB24)))</f>
        <v>0</v>
      </c>
      <c r="Q24" s="304"/>
      <c r="R24" s="304"/>
      <c r="S24" s="305">
        <v>0</v>
      </c>
      <c r="T24" s="305"/>
      <c r="U24" s="305"/>
      <c r="V24" s="139" t="str">
        <f ca="1">IF(职业选项!V60&gt;0,职业选项!V60,"")</f>
        <v/>
      </c>
      <c r="W24" s="139"/>
      <c r="X24" s="139"/>
      <c r="Y24" s="139" t="str">
        <f ca="1">规则数据!H30</f>
        <v/>
      </c>
      <c r="Z24" s="139"/>
      <c r="AA24" s="139"/>
      <c r="AB24" s="139">
        <f>'幕间计算'!B12+IF(AND('幕间计算'!A12&lt;&gt;"",COUNTIF('幕间计算'!$A$2:A12,'幕间计算'!A12)=1),SUMIF('幕间计算'!$C$200:$C$1199,'幕间计算'!A12,'幕间计算'!$E$200:$E$1199),0)</f>
        <v>0</v>
      </c>
      <c r="AC24" s="139"/>
      <c r="AD24" s="306"/>
      <c r="AE24" s="307" t="inlineStr">
        <is>
          <t>☐</t>
        </is>
      </c>
      <c r="AF24" s="302"/>
      <c r="AG24" s="330" t="s">
        <v>86</v>
      </c>
      <c r="AH24" s="331"/>
      <c r="AI24" s="331"/>
      <c r="AJ24" s="331"/>
      <c r="AK24" s="331"/>
      <c r="AL24" s="331"/>
      <c r="AM24" s="332"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332"/>
      <c r="AO24" s="332"/>
      <c r="AP24" s="332"/>
      <c r="AQ24" s="332"/>
      <c r="AR24" s="333"/>
      <c r="AS24" s="304">
        <f>MAX(0,MIN(99,IF(AY24="",N(AV24),N(AY24))+N(BB24)+N(BE24)))</f>
        <v>0</v>
      </c>
      <c r="AT24" s="304"/>
      <c r="AU24" s="304"/>
      <c r="AV24" s="305">
        <v>0</v>
      </c>
      <c r="AW24" s="305"/>
      <c r="AX24" s="305"/>
      <c r="AY24" s="139" t="str">
        <f ca="1">IF(职业选项!V61&gt;0,职业选项!V61,"")</f>
        <v/>
      </c>
      <c r="AZ24" s="139"/>
      <c r="BA24" s="139"/>
      <c r="BB24" s="139" t="str">
        <f ca="1">规则数据!H60</f>
        <v/>
      </c>
      <c r="BC24" s="139"/>
      <c r="BD24" s="139"/>
      <c r="BE24" s="139">
        <f>'幕间计算'!B42+IF(AND('幕间计算'!A42&lt;&gt;"",COUNTIF('幕间计算'!$A$2:A42,'幕间计算'!A42)=1),SUMIF('幕间计算'!$C$200:$C$1199,'幕间计算'!A42,'幕间计算'!$E$200:$E$1199),0)</f>
        <v>0</v>
      </c>
      <c r="BF24" s="139"/>
      <c r="BG24" s="308"/>
      <c r="BH24" s="92"/>
      <c r="BI24" s="325"/>
      <c r="BJ24" s="326"/>
      <c r="BK24" s="326"/>
      <c r="BL24" s="326"/>
      <c r="BM24" s="326"/>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8"/>
      <c r="CY24" s="92"/>
      <c r="CZ24" s="351"/>
      <c r="DA24" s="309"/>
      <c r="DB24" s="309"/>
      <c r="DC24" s="309"/>
      <c r="DD24" s="309"/>
      <c r="DE24" s="309"/>
      <c r="DF24" s="309"/>
      <c r="DG24" s="309"/>
      <c r="DH24" s="309"/>
      <c r="DI24" s="309"/>
      <c r="DJ24" s="309"/>
      <c r="DK24" s="309"/>
      <c r="DL24" s="309"/>
      <c r="DM24" s="309"/>
      <c r="DN24" s="309"/>
      <c r="DO24" s="309"/>
      <c r="DP24" s="309"/>
      <c r="DQ24" s="309"/>
      <c r="DR24" s="309"/>
      <c r="DS24" s="309"/>
      <c r="DT24" s="309"/>
      <c r="DU24" s="309"/>
      <c r="DV24" s="309"/>
      <c r="DW24" s="309"/>
      <c r="DX24" s="309"/>
      <c r="DY24" s="309"/>
      <c r="DZ24" s="309"/>
      <c r="EA24" s="309"/>
      <c r="EB24" s="309"/>
      <c r="EC24" s="309"/>
      <c r="ED24" s="352" t="str">
        <f>IF(CZ23="","",'幕间计算'!BQ1199)</f>
        <v/>
      </c>
      <c r="EE24" s="353"/>
      <c r="EF24" s="312" t="s">
        <v>87</v>
      </c>
      <c r="EG24" s="354"/>
      <c r="EH24" s="276"/>
      <c r="EI24" s="348"/>
      <c r="EJ24" s="349"/>
      <c r="EK24" s="349"/>
      <c r="EL24" s="349"/>
      <c r="EM24" s="349"/>
      <c r="EN24" s="349"/>
      <c r="EO24" s="349"/>
      <c r="EP24" s="349"/>
      <c r="EQ24" s="349"/>
      <c r="ER24" s="349"/>
      <c r="ES24" s="349"/>
      <c r="ET24" s="349"/>
      <c r="EU24" s="349"/>
      <c r="EV24" s="349"/>
      <c r="EW24" s="349"/>
      <c r="EX24" s="349"/>
      <c r="EY24" s="350"/>
      <c r="EZ24" s="77"/>
    </row>
    <row r="25" customHeight="1" spans="1:156">
      <c r="A25" s="92"/>
      <c r="B25" s="301" t="inlineStr">
        <is>
          <t>☐</t>
        </is>
      </c>
      <c r="C25" s="302"/>
      <c r="D25" s="321" t="s">
        <v>88</v>
      </c>
      <c r="E25" s="322"/>
      <c r="F25" s="322"/>
      <c r="G25" s="322"/>
      <c r="H25" s="322"/>
      <c r="I25" s="322"/>
      <c r="J25" s="3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323"/>
      <c r="L25" s="323"/>
      <c r="M25" s="323"/>
      <c r="N25" s="323"/>
      <c r="O25" s="324"/>
      <c r="P25" s="304">
        <f>MAX(0,MIN(99,IF(V25="",N(S25),N(V25))+N(Y25)+N(AB25)))</f>
        <v>0</v>
      </c>
      <c r="Q25" s="304"/>
      <c r="R25" s="304"/>
      <c r="S25" s="305">
        <v>0</v>
      </c>
      <c r="T25" s="305"/>
      <c r="U25" s="305"/>
      <c r="V25" s="139" t="str">
        <f ca="1">IF(职业选项!V62&gt;0,职业选项!V62,"")</f>
        <v/>
      </c>
      <c r="W25" s="139"/>
      <c r="X25" s="139"/>
      <c r="Y25" s="139" t="str">
        <f ca="1">规则数据!H31</f>
        <v/>
      </c>
      <c r="Z25" s="139"/>
      <c r="AA25" s="139"/>
      <c r="AB25" s="139">
        <f>'幕间计算'!B13+IF(AND('幕间计算'!A13&lt;&gt;"",COUNTIF('幕间计算'!$A$2:A13,'幕间计算'!A13)=1),SUMIF('幕间计算'!$C$200:$C$1199,'幕间计算'!A13,'幕间计算'!$E$200:$E$1199),0)</f>
        <v>0</v>
      </c>
      <c r="AC25" s="139"/>
      <c r="AD25" s="306"/>
      <c r="AE25" s="307" t="inlineStr">
        <is>
          <t>☐</t>
        </is>
      </c>
      <c r="AF25" s="302"/>
      <c r="AG25" s="321" t="s">
        <v>86</v>
      </c>
      <c r="AH25" s="322"/>
      <c r="AI25" s="322"/>
      <c r="AJ25" s="322"/>
      <c r="AK25" s="322"/>
      <c r="AL25" s="322"/>
      <c r="AM25" s="3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323"/>
      <c r="AO25" s="323"/>
      <c r="AP25" s="323"/>
      <c r="AQ25" s="323"/>
      <c r="AR25" s="324"/>
      <c r="AS25" s="304">
        <f>MAX(0,MIN(99,IF(AY25="",N(AV25),N(AY25))+N(BB25)+N(BE25)))</f>
        <v>0</v>
      </c>
      <c r="AT25" s="304"/>
      <c r="AU25" s="304"/>
      <c r="AV25" s="305">
        <v>0</v>
      </c>
      <c r="AW25" s="305"/>
      <c r="AX25" s="305"/>
      <c r="AY25" s="139" t="str">
        <f ca="1">IF(职业选项!V63&gt;0,职业选项!V63,"")</f>
        <v/>
      </c>
      <c r="AZ25" s="139"/>
      <c r="BA25" s="139"/>
      <c r="BB25" s="139" t="str">
        <f ca="1">规则数据!H61</f>
        <v/>
      </c>
      <c r="BC25" s="139"/>
      <c r="BD25" s="139"/>
      <c r="BE25" s="139">
        <f>'幕间计算'!B43+IF(AND('幕间计算'!A43&lt;&gt;"",COUNTIF('幕间计算'!$A$2:A43,'幕间计算'!A43)=1),SUMIF('幕间计算'!$C$200:$C$1199,'幕间计算'!A43,'幕间计算'!$E$200:$E$1199),0)</f>
        <v>0</v>
      </c>
      <c r="BF25" s="139"/>
      <c r="BG25" s="308"/>
      <c r="BH25" s="92"/>
      <c r="BI25" s="325"/>
      <c r="BJ25" s="326"/>
      <c r="BK25" s="326"/>
      <c r="BL25" s="326"/>
      <c r="BM25" s="326"/>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8"/>
      <c r="CY25" s="92"/>
      <c r="CZ25" s="351"/>
      <c r="DA25" s="309"/>
      <c r="DB25" s="309"/>
      <c r="DC25" s="309"/>
      <c r="DD25" s="309"/>
      <c r="DE25" s="309"/>
      <c r="DF25" s="309"/>
      <c r="DG25" s="309"/>
      <c r="DH25" s="309"/>
      <c r="DI25" s="309"/>
      <c r="DJ25" s="309"/>
      <c r="DK25" s="309"/>
      <c r="DL25" s="309"/>
      <c r="DM25" s="309"/>
      <c r="DN25" s="309"/>
      <c r="DO25" s="309"/>
      <c r="DP25" s="309"/>
      <c r="DQ25" s="309"/>
      <c r="DR25" s="309"/>
      <c r="DS25" s="309"/>
      <c r="DT25" s="309"/>
      <c r="DU25" s="309"/>
      <c r="DV25" s="309"/>
      <c r="DW25" s="309"/>
      <c r="DX25" s="309"/>
      <c r="DY25" s="309"/>
      <c r="DZ25" s="309"/>
      <c r="EA25" s="309"/>
      <c r="EB25" s="309"/>
      <c r="EC25" s="309"/>
      <c r="ED25" s="355"/>
      <c r="EE25" s="356"/>
      <c r="EF25" s="312"/>
      <c r="EG25" s="354"/>
      <c r="EH25" s="276"/>
      <c r="EI25" s="348"/>
      <c r="EJ25" s="349"/>
      <c r="EK25" s="349"/>
      <c r="EL25" s="349"/>
      <c r="EM25" s="349"/>
      <c r="EN25" s="349"/>
      <c r="EO25" s="349"/>
      <c r="EP25" s="349"/>
      <c r="EQ25" s="349"/>
      <c r="ER25" s="349"/>
      <c r="ES25" s="349"/>
      <c r="ET25" s="349"/>
      <c r="EU25" s="349"/>
      <c r="EV25" s="349"/>
      <c r="EW25" s="349"/>
      <c r="EX25" s="349"/>
      <c r="EY25" s="350"/>
      <c r="EZ25" s="77"/>
    </row>
    <row r="26" customHeight="1" spans="1:156">
      <c r="A26" s="92"/>
      <c r="B26" s="301" t="inlineStr">
        <is>
          <t>☐</t>
        </is>
      </c>
      <c r="C26" s="302"/>
      <c r="D26" s="330" t="s">
        <v>88</v>
      </c>
      <c r="E26" s="331"/>
      <c r="F26" s="331"/>
      <c r="G26" s="331"/>
      <c r="H26" s="331"/>
      <c r="I26" s="331"/>
      <c r="J26" s="332"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332"/>
      <c r="L26" s="332"/>
      <c r="M26" s="332"/>
      <c r="N26" s="332"/>
      <c r="O26" s="333"/>
      <c r="P26" s="304">
        <f>MAX(0,MIN(99,IF(V26="",N(S26),N(V26))+N(Y26)+N(AB26)))</f>
        <v>0</v>
      </c>
      <c r="Q26" s="304"/>
      <c r="R26" s="304"/>
      <c r="S26" s="305">
        <v>0</v>
      </c>
      <c r="T26" s="305"/>
      <c r="U26" s="305"/>
      <c r="V26" s="139" t="str">
        <f ca="1">IF(职业选项!V64&gt;0,职业选项!V64,"")</f>
        <v/>
      </c>
      <c r="W26" s="139"/>
      <c r="X26" s="139"/>
      <c r="Y26" s="139" t="str">
        <f ca="1">规则数据!H32</f>
        <v/>
      </c>
      <c r="Z26" s="139"/>
      <c r="AA26" s="139"/>
      <c r="AB26" s="139">
        <f>'幕间计算'!B14+IF(AND('幕间计算'!A14&lt;&gt;"",COUNTIF('幕间计算'!$A$2:A14,'幕间计算'!A14)=1),SUMIF('幕间计算'!$C$200:$C$1199,'幕间计算'!A14,'幕间计算'!$E$200:$E$1199),0)</f>
        <v>0</v>
      </c>
      <c r="AC26" s="139"/>
      <c r="AD26" s="306"/>
      <c r="AE26" s="307" t="inlineStr">
        <is>
          <t>☐</t>
        </is>
      </c>
      <c r="AF26" s="302"/>
      <c r="AG26" s="330" t="s">
        <v>86</v>
      </c>
      <c r="AH26" s="331"/>
      <c r="AI26" s="331"/>
      <c r="AJ26" s="331"/>
      <c r="AK26" s="331"/>
      <c r="AL26" s="331"/>
      <c r="AM26" s="332"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332"/>
      <c r="AO26" s="332"/>
      <c r="AP26" s="332"/>
      <c r="AQ26" s="332"/>
      <c r="AR26" s="333"/>
      <c r="AS26" s="304">
        <f>MAX(0,MIN(99,IF(AY26="",N(AV26),N(AY26))+N(BB26)+N(BE26)))</f>
        <v>0</v>
      </c>
      <c r="AT26" s="304"/>
      <c r="AU26" s="304"/>
      <c r="AV26" s="305">
        <v>0</v>
      </c>
      <c r="AW26" s="305"/>
      <c r="AX26" s="305"/>
      <c r="AY26" s="139" t="str">
        <f ca="1">IF(职业选项!V65&gt;0,职业选项!V65,"")</f>
        <v/>
      </c>
      <c r="AZ26" s="139"/>
      <c r="BA26" s="139"/>
      <c r="BB26" s="139" t="str">
        <f ca="1">规则数据!H62</f>
        <v/>
      </c>
      <c r="BC26" s="139"/>
      <c r="BD26" s="139"/>
      <c r="BE26" s="139">
        <f>'幕间计算'!B44+IF(AND('幕间计算'!A44&lt;&gt;"",COUNTIF('幕间计算'!$A$2:A44,'幕间计算'!A44)=1),SUMIF('幕间计算'!$C$200:$C$1199,'幕间计算'!A44,'幕间计算'!$E$200:$E$1199),0)</f>
        <v>0</v>
      </c>
      <c r="BF26" s="139"/>
      <c r="BG26" s="308"/>
      <c r="BH26" s="92"/>
      <c r="BI26" s="325"/>
      <c r="BJ26" s="326"/>
      <c r="BK26" s="326"/>
      <c r="BL26" s="326"/>
      <c r="BM26" s="326"/>
      <c r="BN26" s="32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7"/>
      <c r="CP26" s="327"/>
      <c r="CQ26" s="327"/>
      <c r="CR26" s="327"/>
      <c r="CS26" s="327"/>
      <c r="CT26" s="327"/>
      <c r="CU26" s="327"/>
      <c r="CV26" s="327"/>
      <c r="CW26" s="327"/>
      <c r="CX26" s="328"/>
      <c r="CY26" s="92"/>
      <c r="CZ26" s="351"/>
      <c r="DA26" s="309"/>
      <c r="DB26" s="309"/>
      <c r="DC26" s="309"/>
      <c r="DD26" s="309"/>
      <c r="DE26" s="309"/>
      <c r="DF26" s="309"/>
      <c r="DG26" s="309"/>
      <c r="DH26" s="309"/>
      <c r="DI26" s="309"/>
      <c r="DJ26" s="309"/>
      <c r="DK26" s="309"/>
      <c r="DL26" s="309"/>
      <c r="DM26" s="309"/>
      <c r="DN26" s="309"/>
      <c r="DO26" s="309"/>
      <c r="DP26" s="309"/>
      <c r="DQ26" s="309"/>
      <c r="DR26" s="309"/>
      <c r="DS26" s="309"/>
      <c r="DT26" s="309"/>
      <c r="DU26" s="309"/>
      <c r="DV26" s="309"/>
      <c r="DW26" s="309"/>
      <c r="DX26" s="309"/>
      <c r="DY26" s="309"/>
      <c r="DZ26" s="309"/>
      <c r="EA26" s="309"/>
      <c r="EB26" s="309"/>
      <c r="EC26" s="309"/>
      <c r="ED26" s="132" t="s">
        <v>83</v>
      </c>
      <c r="EE26" s="132"/>
      <c r="EF26" s="132" t="s">
        <v>84</v>
      </c>
      <c r="EG26" s="357"/>
      <c r="EH26" s="276"/>
      <c r="EI26" s="348"/>
      <c r="EJ26" s="349"/>
      <c r="EK26" s="349"/>
      <c r="EL26" s="349"/>
      <c r="EM26" s="349"/>
      <c r="EN26" s="349"/>
      <c r="EO26" s="349"/>
      <c r="EP26" s="349"/>
      <c r="EQ26" s="349"/>
      <c r="ER26" s="349"/>
      <c r="ES26" s="349"/>
      <c r="ET26" s="349"/>
      <c r="EU26" s="349"/>
      <c r="EV26" s="349"/>
      <c r="EW26" s="349"/>
      <c r="EX26" s="349"/>
      <c r="EY26" s="350"/>
      <c r="EZ26" s="77"/>
    </row>
    <row r="27" customHeight="1" spans="1:156">
      <c r="A27" s="92"/>
      <c r="B27" s="301" t="inlineStr">
        <is>
          <t>☐</t>
        </is>
      </c>
      <c r="C27" s="302"/>
      <c r="D27" s="321" t="s">
        <v>88</v>
      </c>
      <c r="E27" s="322"/>
      <c r="F27" s="322"/>
      <c r="G27" s="322"/>
      <c r="H27" s="322"/>
      <c r="I27" s="322"/>
      <c r="J27" s="3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323"/>
      <c r="L27" s="323"/>
      <c r="M27" s="323"/>
      <c r="N27" s="323"/>
      <c r="O27" s="324"/>
      <c r="P27" s="304">
        <f>MAX(0,MIN(99,IF(V27="",N(S27),N(V27))+N(Y27)+N(AB27)))</f>
        <v>0</v>
      </c>
      <c r="Q27" s="304"/>
      <c r="R27" s="304"/>
      <c r="S27" s="305">
        <v>0</v>
      </c>
      <c r="T27" s="305"/>
      <c r="U27" s="305"/>
      <c r="V27" s="139" t="str">
        <f ca="1">IF(职业选项!V66&gt;0,职业选项!V66,"")</f>
        <v/>
      </c>
      <c r="W27" s="139"/>
      <c r="X27" s="139"/>
      <c r="Y27" s="139" t="str">
        <f ca="1">规则数据!H33</f>
        <v/>
      </c>
      <c r="Z27" s="139"/>
      <c r="AA27" s="139"/>
      <c r="AB27" s="139">
        <f>'幕间计算'!B15+IF(AND('幕间计算'!A15&lt;&gt;"",COUNTIF('幕间计算'!$A$2:A15,'幕间计算'!A15)=1),SUMIF('幕间计算'!$C$200:$C$1199,'幕间计算'!A15,'幕间计算'!$E$200:$E$1199),0)</f>
        <v>0</v>
      </c>
      <c r="AC27" s="139"/>
      <c r="AD27" s="306"/>
      <c r="AE27" s="307" t="inlineStr">
        <is>
          <t>☐</t>
        </is>
      </c>
      <c r="AF27" s="302"/>
      <c r="AG27" s="303" t="s">
        <v>89</v>
      </c>
      <c r="AH27" s="303"/>
      <c r="AI27" s="303"/>
      <c r="AJ27" s="303"/>
      <c r="AK27" s="303"/>
      <c r="AL27" s="303"/>
      <c r="AM27" s="303"/>
      <c r="AN27" s="303"/>
      <c r="AO27" s="303"/>
      <c r="AP27" s="303"/>
      <c r="AQ27" s="303"/>
      <c r="AR27" s="303"/>
      <c r="AS27" s="304">
        <f>MAX(0,MIN(99,IF(AY27="",N(AV27),N(AY27))+N(BB27)+N(BE27)))</f>
        <v>10</v>
      </c>
      <c r="AT27" s="304"/>
      <c r="AU27" s="304"/>
      <c r="AV27" s="305">
        <v>10</v>
      </c>
      <c r="AW27" s="305"/>
      <c r="AX27" s="305"/>
      <c r="AY27" s="139" t="str">
        <f ca="1">IF(职业选项!V67&gt;0,职业选项!V67,"")</f>
        <v/>
      </c>
      <c r="AZ27" s="139"/>
      <c r="BA27" s="139"/>
      <c r="BB27" s="139" t="str">
        <f ca="1">规则数据!H63</f>
        <v/>
      </c>
      <c r="BC27" s="139"/>
      <c r="BD27" s="139"/>
      <c r="BE27" s="139">
        <f>'幕间计算'!B45+IF(AND('幕间计算'!A45&lt;&gt;"",COUNTIF('幕间计算'!$A$2:A45,'幕间计算'!A45)=1),SUMIF('幕间计算'!$C$200:$C$1199,'幕间计算'!A45,'幕间计算'!$E$200:$E$1199),0)</f>
        <v>0</v>
      </c>
      <c r="BF27" s="139"/>
      <c r="BG27" s="308"/>
      <c r="BH27" s="92"/>
      <c r="BI27" s="358"/>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10"/>
      <c r="CY27" s="92"/>
      <c r="CZ27" s="351"/>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52" t="str">
        <f>IF(CZ26="","",'幕间计算'!BR1199)</f>
        <v/>
      </c>
      <c r="EE27" s="353"/>
      <c r="EF27" s="312" t="s">
        <v>87</v>
      </c>
      <c r="EG27" s="354"/>
      <c r="EH27" s="276"/>
      <c r="EI27" s="348"/>
      <c r="EJ27" s="349"/>
      <c r="EK27" s="349"/>
      <c r="EL27" s="349"/>
      <c r="EM27" s="349"/>
      <c r="EN27" s="349"/>
      <c r="EO27" s="349"/>
      <c r="EP27" s="349"/>
      <c r="EQ27" s="349"/>
      <c r="ER27" s="349"/>
      <c r="ES27" s="349"/>
      <c r="ET27" s="349"/>
      <c r="EU27" s="349"/>
      <c r="EV27" s="349"/>
      <c r="EW27" s="349"/>
      <c r="EX27" s="349"/>
      <c r="EY27" s="350"/>
      <c r="EZ27" s="77"/>
    </row>
    <row r="28" customHeight="1" spans="1:156">
      <c r="A28" s="92"/>
      <c r="B28" s="301" t="inlineStr">
        <is>
          <t>☐</t>
        </is>
      </c>
      <c r="C28" s="302"/>
      <c r="D28" s="330" t="s">
        <v>88</v>
      </c>
      <c r="E28" s="331"/>
      <c r="F28" s="331"/>
      <c r="G28" s="331"/>
      <c r="H28" s="331"/>
      <c r="I28" s="331"/>
      <c r="J28" s="332"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332"/>
      <c r="L28" s="332"/>
      <c r="M28" s="332"/>
      <c r="N28" s="332"/>
      <c r="O28" s="333"/>
      <c r="P28" s="304">
        <f>MAX(0,MIN(99,IF(V28="",N(S28),N(V28))+N(Y28)+N(AB28)))</f>
        <v>0</v>
      </c>
      <c r="Q28" s="304"/>
      <c r="R28" s="304"/>
      <c r="S28" s="305">
        <v>0</v>
      </c>
      <c r="T28" s="305"/>
      <c r="U28" s="305"/>
      <c r="V28" s="139" t="str">
        <f ca="1">IF(职业选项!V68&gt;0,职业选项!V68,"")</f>
        <v/>
      </c>
      <c r="W28" s="139"/>
      <c r="X28" s="139"/>
      <c r="Y28" s="139" t="str">
        <f ca="1">规则数据!H34</f>
        <v/>
      </c>
      <c r="Z28" s="139"/>
      <c r="AA28" s="139"/>
      <c r="AB28" s="139">
        <f>'幕间计算'!B16+IF(AND('幕间计算'!A16&lt;&gt;"",COUNTIF('幕间计算'!$A$2:A16,'幕间计算'!A16)=1),SUMIF('幕间计算'!$C$200:$C$1199,'幕间计算'!A16,'幕间计算'!$E$200:$E$1199),0)</f>
        <v>0</v>
      </c>
      <c r="AC28" s="139"/>
      <c r="AD28" s="306"/>
      <c r="AE28" s="307" t="inlineStr">
        <is>
          <t>☐</t>
        </is>
      </c>
      <c r="AF28" s="302"/>
      <c r="AG28" s="303" t="s">
        <v>90</v>
      </c>
      <c r="AH28" s="303"/>
      <c r="AI28" s="303"/>
      <c r="AJ28" s="303"/>
      <c r="AK28" s="303"/>
      <c r="AL28" s="303"/>
      <c r="AM28" s="303"/>
      <c r="AN28" s="303"/>
      <c r="AO28" s="303"/>
      <c r="AP28" s="303"/>
      <c r="AQ28" s="303"/>
      <c r="AR28" s="303"/>
      <c r="AS28" s="304">
        <f>MAX(0,MIN(99,IF(AY28="",N(AV28),N(AY28))+N(BB28)+N(BE28)))</f>
        <v>10</v>
      </c>
      <c r="AT28" s="304"/>
      <c r="AU28" s="304"/>
      <c r="AV28" s="305">
        <v>10</v>
      </c>
      <c r="AW28" s="305"/>
      <c r="AX28" s="305"/>
      <c r="AY28" s="139" t="str">
        <f ca="1">IF(职业选项!V69&gt;0,职业选项!V69,"")</f>
        <v/>
      </c>
      <c r="AZ28" s="139"/>
      <c r="BA28" s="139"/>
      <c r="BB28" s="139" t="str">
        <f ca="1">规则数据!H64</f>
        <v/>
      </c>
      <c r="BC28" s="139"/>
      <c r="BD28" s="139"/>
      <c r="BE28" s="139">
        <f>'幕间计算'!B46+IF(AND('幕间计算'!A46&lt;&gt;"",COUNTIF('幕间计算'!$A$2:A46,'幕间计算'!A46)=1),SUMIF('幕间计算'!$C$200:$C$1199,'幕间计算'!A46,'幕间计算'!$E$200:$E$1199),0)</f>
        <v>0</v>
      </c>
      <c r="BF28" s="139"/>
      <c r="BG28" s="308"/>
      <c r="BH28" s="359"/>
      <c r="BI28" s="358"/>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10"/>
      <c r="CY28" s="92"/>
      <c r="CZ28" s="351"/>
      <c r="DA28" s="309"/>
      <c r="DB28" s="309"/>
      <c r="DC28" s="309"/>
      <c r="DD28" s="309"/>
      <c r="DE28" s="309"/>
      <c r="DF28" s="309"/>
      <c r="DG28" s="309"/>
      <c r="DH28" s="309"/>
      <c r="DI28" s="309"/>
      <c r="DJ28" s="309"/>
      <c r="DK28" s="309"/>
      <c r="DL28" s="309"/>
      <c r="DM28" s="309"/>
      <c r="DN28" s="309"/>
      <c r="DO28" s="309"/>
      <c r="DP28" s="309"/>
      <c r="DQ28" s="309"/>
      <c r="DR28" s="309"/>
      <c r="DS28" s="309"/>
      <c r="DT28" s="309"/>
      <c r="DU28" s="309"/>
      <c r="DV28" s="309"/>
      <c r="DW28" s="309"/>
      <c r="DX28" s="309"/>
      <c r="DY28" s="309"/>
      <c r="DZ28" s="309"/>
      <c r="EA28" s="309"/>
      <c r="EB28" s="309"/>
      <c r="EC28" s="309"/>
      <c r="ED28" s="355"/>
      <c r="EE28" s="356"/>
      <c r="EF28" s="312"/>
      <c r="EG28" s="354"/>
      <c r="EH28" s="276"/>
      <c r="EI28" s="348"/>
      <c r="EJ28" s="349"/>
      <c r="EK28" s="349"/>
      <c r="EL28" s="349"/>
      <c r="EM28" s="349"/>
      <c r="EN28" s="349"/>
      <c r="EO28" s="349"/>
      <c r="EP28" s="349"/>
      <c r="EQ28" s="349"/>
      <c r="ER28" s="349"/>
      <c r="ES28" s="349"/>
      <c r="ET28" s="349"/>
      <c r="EU28" s="349"/>
      <c r="EV28" s="349"/>
      <c r="EW28" s="349"/>
      <c r="EX28" s="349"/>
      <c r="EY28" s="350"/>
      <c r="EZ28" s="77"/>
    </row>
    <row r="29" customHeight="1" spans="1:156">
      <c r="A29" s="92"/>
      <c r="B29" s="301" t="inlineStr">
        <is>
          <t>☐</t>
        </is>
      </c>
      <c r="C29" s="302"/>
      <c r="D29" s="303" t="s">
        <v>91</v>
      </c>
      <c r="E29" s="303"/>
      <c r="F29" s="303"/>
      <c r="G29" s="303"/>
      <c r="H29" s="303"/>
      <c r="I29" s="303"/>
      <c r="J29" s="303"/>
      <c r="K29" s="303"/>
      <c r="L29" s="303"/>
      <c r="M29" s="303"/>
      <c r="N29" s="303"/>
      <c r="O29" s="303"/>
      <c r="P29" s="304">
        <f>MAX(0,MIN(99,IF(V29="",N(S29),N(V29))+N(Y29)+N(AB29)))</f>
        <v>10</v>
      </c>
      <c r="Q29" s="304"/>
      <c r="R29" s="304"/>
      <c r="S29" s="305">
        <v>10</v>
      </c>
      <c r="T29" s="305"/>
      <c r="U29" s="305"/>
      <c r="V29" s="139" t="str">
        <f ca="1">IF(职业选项!V70&gt;0,职业选项!V70,"")</f>
        <v/>
      </c>
      <c r="W29" s="139"/>
      <c r="X29" s="139"/>
      <c r="Y29" s="139" t="str">
        <f ca="1">规则数据!H35</f>
        <v/>
      </c>
      <c r="Z29" s="139"/>
      <c r="AA29" s="139"/>
      <c r="AB29" s="139">
        <f>'幕间计算'!B17+IF(AND('幕间计算'!A17&lt;&gt;"",COUNTIF('幕间计算'!$A$2:A17,'幕间计算'!A17)=1),SUMIF('幕间计算'!$C$200:$C$1199,'幕间计算'!A17,'幕间计算'!$E$200:$E$1199),0)</f>
        <v>0</v>
      </c>
      <c r="AC29" s="139"/>
      <c r="AD29" s="306"/>
      <c r="AE29" s="307" t="inlineStr">
        <is>
          <t>☐</t>
        </is>
      </c>
      <c r="AF29" s="302"/>
      <c r="AG29" s="321" t="s">
        <v>92</v>
      </c>
      <c r="AH29" s="322"/>
      <c r="AI29" s="322"/>
      <c r="AJ29" s="322"/>
      <c r="AK29" s="322"/>
      <c r="AL29" s="322"/>
      <c r="AM29" s="3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323"/>
      <c r="AO29" s="323"/>
      <c r="AP29" s="323"/>
      <c r="AQ29" s="323"/>
      <c r="AR29" s="324"/>
      <c r="AS29" s="304">
        <f>MAX(0,MIN(99,IF(AY29="",N(AV29),N(AY29))+N(BB29)+N(BE29)))</f>
        <v>0</v>
      </c>
      <c r="AT29" s="304"/>
      <c r="AU29" s="304"/>
      <c r="AV29" s="305">
        <v>0</v>
      </c>
      <c r="AW29" s="305"/>
      <c r="AX29" s="305"/>
      <c r="AY29" s="139" t="str">
        <f ca="1">IF(职业选项!V71&gt;0,职业选项!V71,"")</f>
        <v/>
      </c>
      <c r="AZ29" s="139"/>
      <c r="BA29" s="139"/>
      <c r="BB29" s="139" t="str">
        <f ca="1">规则数据!H65</f>
        <v/>
      </c>
      <c r="BC29" s="139"/>
      <c r="BD29" s="139"/>
      <c r="BE29" s="139">
        <f>'幕间计算'!B47+IF(AND('幕间计算'!A47&lt;&gt;"",COUNTIF('幕间计算'!$A$2:A47,'幕间计算'!A47)=1),SUMIF('幕间计算'!$C$200:$C$1199,'幕间计算'!A47,'幕间计算'!$E$200:$E$1199),0)</f>
        <v>0</v>
      </c>
      <c r="BF29" s="139"/>
      <c r="BG29" s="308"/>
      <c r="BH29" s="359"/>
      <c r="BI29" s="358"/>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10"/>
      <c r="CY29" s="92"/>
      <c r="CZ29" s="351"/>
      <c r="DA29" s="309"/>
      <c r="DB29" s="309"/>
      <c r="DC29" s="309"/>
      <c r="DD29" s="309"/>
      <c r="DE29" s="309"/>
      <c r="DF29" s="309"/>
      <c r="DG29" s="309"/>
      <c r="DH29" s="309"/>
      <c r="DI29" s="309"/>
      <c r="DJ29" s="309"/>
      <c r="DK29" s="309"/>
      <c r="DL29" s="309"/>
      <c r="DM29" s="309"/>
      <c r="DN29" s="309"/>
      <c r="DO29" s="309"/>
      <c r="DP29" s="309"/>
      <c r="DQ29" s="309"/>
      <c r="DR29" s="309"/>
      <c r="DS29" s="309"/>
      <c r="DT29" s="309"/>
      <c r="DU29" s="309"/>
      <c r="DV29" s="309"/>
      <c r="DW29" s="309"/>
      <c r="DX29" s="309"/>
      <c r="DY29" s="309"/>
      <c r="DZ29" s="309"/>
      <c r="EA29" s="309"/>
      <c r="EB29" s="309"/>
      <c r="EC29" s="309"/>
      <c r="ED29" s="132" t="s">
        <v>83</v>
      </c>
      <c r="EE29" s="132"/>
      <c r="EF29" s="132" t="s">
        <v>84</v>
      </c>
      <c r="EG29" s="357"/>
      <c r="EH29" s="92"/>
      <c r="EI29" s="348"/>
      <c r="EJ29" s="349"/>
      <c r="EK29" s="349"/>
      <c r="EL29" s="349"/>
      <c r="EM29" s="349"/>
      <c r="EN29" s="349"/>
      <c r="EO29" s="349"/>
      <c r="EP29" s="349"/>
      <c r="EQ29" s="349"/>
      <c r="ER29" s="349"/>
      <c r="ES29" s="349"/>
      <c r="ET29" s="349"/>
      <c r="EU29" s="349"/>
      <c r="EV29" s="349"/>
      <c r="EW29" s="349"/>
      <c r="EX29" s="349"/>
      <c r="EY29" s="350"/>
      <c r="EZ29" s="77"/>
    </row>
    <row r="30" customHeight="1" spans="1:156">
      <c r="A30" s="92"/>
      <c r="B30" s="301" t="inlineStr">
        <is>
          <t>☐</t>
        </is>
      </c>
      <c r="C30" s="302"/>
      <c r="D30" s="303" t="s">
        <v>93</v>
      </c>
      <c r="E30" s="303"/>
      <c r="F30" s="303"/>
      <c r="G30" s="303"/>
      <c r="H30" s="303"/>
      <c r="I30" s="303"/>
      <c r="J30" s="303"/>
      <c r="K30" s="303"/>
      <c r="L30" s="303"/>
      <c r="M30" s="303"/>
      <c r="N30" s="303"/>
      <c r="O30" s="303"/>
      <c r="P30" s="304">
        <f>MAX(0,MIN(99,IF(V30="",N(S30),N(V30))+N(Y30)+N(AB30)))</f>
        <v>0</v>
      </c>
      <c r="Q30" s="304"/>
      <c r="R30" s="304"/>
      <c r="S30" s="305">
        <v>0</v>
      </c>
      <c r="T30" s="305"/>
      <c r="U30" s="305"/>
      <c r="V30" s="139" t="str">
        <f ca="1">IF(职业选项!V72&gt;0,职业选项!V72,"")</f>
        <v/>
      </c>
      <c r="W30" s="139"/>
      <c r="X30" s="139"/>
      <c r="Y30" s="139" t="str">
        <f ca="1">规则数据!H36</f>
        <v/>
      </c>
      <c r="Z30" s="139"/>
      <c r="AA30" s="139"/>
      <c r="AB30" s="139">
        <f>'幕间计算'!B18+IF(AND('幕间计算'!A18&lt;&gt;"",COUNTIF('幕间计算'!$A$2:A18,'幕间计算'!A18)=1),SUMIF('幕间计算'!$C$200:$C$1199,'幕间计算'!A18,'幕间计算'!$E$200:$E$1199),0)</f>
        <v>0</v>
      </c>
      <c r="AC30" s="139"/>
      <c r="AD30" s="306"/>
      <c r="AE30" s="307" t="inlineStr">
        <is>
          <t>☐</t>
        </is>
      </c>
      <c r="AF30" s="302"/>
      <c r="AG30" s="330" t="s">
        <v>92</v>
      </c>
      <c r="AH30" s="331"/>
      <c r="AI30" s="331"/>
      <c r="AJ30" s="331"/>
      <c r="AK30" s="331"/>
      <c r="AL30" s="331"/>
      <c r="AM30" s="332"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332"/>
      <c r="AO30" s="332"/>
      <c r="AP30" s="332"/>
      <c r="AQ30" s="332"/>
      <c r="AR30" s="333"/>
      <c r="AS30" s="304">
        <f>MAX(0,MIN(99,IF(AY30="",N(AV30),N(AY30))+N(BB30)+N(BE30)))</f>
        <v>0</v>
      </c>
      <c r="AT30" s="304"/>
      <c r="AU30" s="304"/>
      <c r="AV30" s="305">
        <v>0</v>
      </c>
      <c r="AW30" s="305"/>
      <c r="AX30" s="305"/>
      <c r="AY30" s="139" t="str">
        <f ca="1">IF(职业选项!V73&gt;0,职业选项!V73,"")</f>
        <v/>
      </c>
      <c r="AZ30" s="139"/>
      <c r="BA30" s="139"/>
      <c r="BB30" s="139" t="str">
        <f ca="1">规则数据!H66</f>
        <v/>
      </c>
      <c r="BC30" s="139"/>
      <c r="BD30" s="139"/>
      <c r="BE30" s="139">
        <f>'幕间计算'!B48+IF(AND('幕间计算'!A48&lt;&gt;"",COUNTIF('幕间计算'!$A$2:A48,'幕间计算'!A48)=1),SUMIF('幕间计算'!$C$200:$C$1199,'幕间计算'!A48,'幕间计算'!$E$200:$E$1199),0)</f>
        <v>0</v>
      </c>
      <c r="BF30" s="139"/>
      <c r="BG30" s="308"/>
      <c r="BH30" s="359"/>
      <c r="BI30" s="358"/>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10"/>
      <c r="CY30" s="92"/>
      <c r="CZ30" s="351"/>
      <c r="DA30" s="309"/>
      <c r="DB30" s="309"/>
      <c r="DC30" s="309"/>
      <c r="DD30" s="309"/>
      <c r="DE30" s="309"/>
      <c r="DF30" s="309"/>
      <c r="DG30" s="309"/>
      <c r="DH30" s="309"/>
      <c r="DI30" s="309"/>
      <c r="DJ30" s="309"/>
      <c r="DK30" s="309"/>
      <c r="DL30" s="309"/>
      <c r="DM30" s="309"/>
      <c r="DN30" s="309"/>
      <c r="DO30" s="309"/>
      <c r="DP30" s="309"/>
      <c r="DQ30" s="309"/>
      <c r="DR30" s="309"/>
      <c r="DS30" s="309"/>
      <c r="DT30" s="309"/>
      <c r="DU30" s="309"/>
      <c r="DV30" s="309"/>
      <c r="DW30" s="309"/>
      <c r="DX30" s="309"/>
      <c r="DY30" s="309"/>
      <c r="DZ30" s="309"/>
      <c r="EA30" s="309"/>
      <c r="EB30" s="309"/>
      <c r="EC30" s="309"/>
      <c r="ED30" s="352" t="str">
        <f>IF(CZ29="","",'幕间计算'!BS1199)</f>
        <v/>
      </c>
      <c r="EE30" s="353"/>
      <c r="EF30" s="312" t="s">
        <v>87</v>
      </c>
      <c r="EG30" s="354"/>
      <c r="EH30" s="92"/>
      <c r="EI30" s="348"/>
      <c r="EJ30" s="349"/>
      <c r="EK30" s="349"/>
      <c r="EL30" s="349"/>
      <c r="EM30" s="349"/>
      <c r="EN30" s="349"/>
      <c r="EO30" s="349"/>
      <c r="EP30" s="349"/>
      <c r="EQ30" s="349"/>
      <c r="ER30" s="349"/>
      <c r="ES30" s="349"/>
      <c r="ET30" s="349"/>
      <c r="EU30" s="349"/>
      <c r="EV30" s="349"/>
      <c r="EW30" s="349"/>
      <c r="EX30" s="349"/>
      <c r="EY30" s="350"/>
      <c r="EZ30" s="77"/>
    </row>
    <row r="31" customHeight="1" spans="1:156">
      <c r="A31" s="92"/>
      <c r="B31" s="301" t="inlineStr">
        <is>
          <t>☐</t>
        </is>
      </c>
      <c r="C31" s="302"/>
      <c r="D31" s="303" t="s">
        <v>94</v>
      </c>
      <c r="E31" s="303"/>
      <c r="F31" s="303"/>
      <c r="G31" s="303"/>
      <c r="H31" s="303"/>
      <c r="I31" s="303"/>
      <c r="J31" s="303"/>
      <c r="K31" s="303"/>
      <c r="L31" s="303"/>
      <c r="M31" s="303"/>
      <c r="N31" s="303"/>
      <c r="O31" s="303"/>
      <c r="P31" s="304">
        <f>MAX(0,MIN(99,IF(V31="",N(S31),N(V31))+N(Y31)+N(AB31)))</f>
        <v>10</v>
      </c>
      <c r="Q31" s="304"/>
      <c r="R31" s="304"/>
      <c r="S31" s="305">
        <v>10</v>
      </c>
      <c r="T31" s="305"/>
      <c r="U31" s="305"/>
      <c r="V31" s="139" t="str">
        <f ca="1">IF(职业选项!V74&gt;0,职业选项!V74,"")</f>
        <v/>
      </c>
      <c r="W31" s="139"/>
      <c r="X31" s="139"/>
      <c r="Y31" s="139" t="str">
        <f ca="1">规则数据!H37</f>
        <v/>
      </c>
      <c r="Z31" s="139"/>
      <c r="AA31" s="139"/>
      <c r="AB31" s="139">
        <f>'幕间计算'!B19+IF(AND('幕间计算'!A19&lt;&gt;"",COUNTIF('幕间计算'!$A$2:A19,'幕间计算'!A19)=1),SUMIF('幕间计算'!$C$200:$C$1199,'幕间计算'!A19,'幕间计算'!$E$200:$E$1199),0)</f>
        <v>0</v>
      </c>
      <c r="AC31" s="139"/>
      <c r="AD31" s="306"/>
      <c r="AE31" s="307" t="inlineStr">
        <is>
          <t>☐</t>
        </is>
      </c>
      <c r="AF31" s="302"/>
      <c r="AG31" s="321" t="s">
        <v>92</v>
      </c>
      <c r="AH31" s="322"/>
      <c r="AI31" s="322"/>
      <c r="AJ31" s="322"/>
      <c r="AK31" s="322"/>
      <c r="AL31" s="322"/>
      <c r="AM31" s="3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323"/>
      <c r="AO31" s="323"/>
      <c r="AP31" s="323"/>
      <c r="AQ31" s="323"/>
      <c r="AR31" s="324"/>
      <c r="AS31" s="304">
        <f>MAX(0,MIN(99,IF(AY31="",N(AV31),N(AY31))+N(BB31)+N(BE31)))</f>
        <v>0</v>
      </c>
      <c r="AT31" s="304"/>
      <c r="AU31" s="304"/>
      <c r="AV31" s="305">
        <v>0</v>
      </c>
      <c r="AW31" s="305"/>
      <c r="AX31" s="305"/>
      <c r="AY31" s="139" t="str">
        <f ca="1">IF(职业选项!V75&gt;0,职业选项!V75,"")</f>
        <v/>
      </c>
      <c r="AZ31" s="139"/>
      <c r="BA31" s="139"/>
      <c r="BB31" s="139" t="str">
        <f ca="1">规则数据!H67</f>
        <v/>
      </c>
      <c r="BC31" s="139"/>
      <c r="BD31" s="139"/>
      <c r="BE31" s="139">
        <f>'幕间计算'!B49+IF(AND('幕间计算'!A49&lt;&gt;"",COUNTIF('幕间计算'!$A$2:A49,'幕间计算'!A49)=1),SUMIF('幕间计算'!$C$200:$C$1199,'幕间计算'!A49,'幕间计算'!$E$200:$E$1199),0)</f>
        <v>0</v>
      </c>
      <c r="BF31" s="139"/>
      <c r="BG31" s="308"/>
      <c r="BH31" s="359"/>
      <c r="BI31" s="358"/>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10"/>
      <c r="CY31" s="92"/>
      <c r="CZ31" s="351"/>
      <c r="DA31" s="309"/>
      <c r="DB31" s="309"/>
      <c r="DC31" s="309"/>
      <c r="DD31" s="309"/>
      <c r="DE31" s="309"/>
      <c r="DF31" s="309"/>
      <c r="DG31" s="309"/>
      <c r="DH31" s="309"/>
      <c r="DI31" s="309"/>
      <c r="DJ31" s="309"/>
      <c r="DK31" s="309"/>
      <c r="DL31" s="309"/>
      <c r="DM31" s="309"/>
      <c r="DN31" s="309"/>
      <c r="DO31" s="309"/>
      <c r="DP31" s="309"/>
      <c r="DQ31" s="309"/>
      <c r="DR31" s="309"/>
      <c r="DS31" s="309"/>
      <c r="DT31" s="309"/>
      <c r="DU31" s="309"/>
      <c r="DV31" s="309"/>
      <c r="DW31" s="309"/>
      <c r="DX31" s="309"/>
      <c r="DY31" s="309"/>
      <c r="DZ31" s="309"/>
      <c r="EA31" s="309"/>
      <c r="EB31" s="309"/>
      <c r="EC31" s="309"/>
      <c r="ED31" s="355"/>
      <c r="EE31" s="356"/>
      <c r="EF31" s="312"/>
      <c r="EG31" s="354"/>
      <c r="EH31" s="92"/>
      <c r="EI31" s="348"/>
      <c r="EJ31" s="349"/>
      <c r="EK31" s="349"/>
      <c r="EL31" s="349"/>
      <c r="EM31" s="349"/>
      <c r="EN31" s="349"/>
      <c r="EO31" s="349"/>
      <c r="EP31" s="349"/>
      <c r="EQ31" s="349"/>
      <c r="ER31" s="349"/>
      <c r="ES31" s="349"/>
      <c r="ET31" s="349"/>
      <c r="EU31" s="349"/>
      <c r="EV31" s="349"/>
      <c r="EW31" s="349"/>
      <c r="EX31" s="349"/>
      <c r="EY31" s="350"/>
      <c r="EZ31" s="77"/>
    </row>
    <row r="32" customHeight="1" spans="1:156">
      <c r="A32" s="92"/>
      <c r="B32" s="301" t="inlineStr">
        <is>
          <t>☐</t>
        </is>
      </c>
      <c r="C32" s="302"/>
      <c r="D32" s="303" t="s">
        <v>95</v>
      </c>
      <c r="E32" s="303"/>
      <c r="F32" s="303"/>
      <c r="G32" s="303"/>
      <c r="H32" s="303"/>
      <c r="I32" s="303"/>
      <c r="J32" s="303"/>
      <c r="K32" s="303"/>
      <c r="L32" s="303"/>
      <c r="M32" s="303"/>
      <c r="N32" s="303"/>
      <c r="O32" s="303"/>
      <c r="P32" s="304">
        <f>MAX(0,MIN(99,IF(V32="",N(S32),N(V32))+N(Y32)+N(AB32)))</f>
        <v>30</v>
      </c>
      <c r="Q32" s="304"/>
      <c r="R32" s="304"/>
      <c r="S32" s="305">
        <v>30</v>
      </c>
      <c r="T32" s="305"/>
      <c r="U32" s="305"/>
      <c r="V32" s="139" t="str">
        <f ca="1">IF(职业选项!V76&gt;0,职业选项!V76,"")</f>
        <v/>
      </c>
      <c r="W32" s="139"/>
      <c r="X32" s="139"/>
      <c r="Y32" s="139" t="str">
        <f ca="1">规则数据!H38</f>
        <v/>
      </c>
      <c r="Z32" s="139"/>
      <c r="AA32" s="139"/>
      <c r="AB32" s="139">
        <f>'幕间计算'!B20+IF(AND('幕间计算'!A20&lt;&gt;"",COUNTIF('幕间计算'!$A$2:A20,'幕间计算'!A20)=1),SUMIF('幕间计算'!$C$200:$C$1199,'幕间计算'!A20,'幕间计算'!$E$200:$E$1199),0)</f>
        <v>0</v>
      </c>
      <c r="AC32" s="139"/>
      <c r="AD32" s="306"/>
      <c r="AE32" s="307" t="inlineStr">
        <is>
          <t>☐</t>
        </is>
      </c>
      <c r="AF32" s="302"/>
      <c r="AG32" s="303" t="s">
        <v>96</v>
      </c>
      <c r="AH32" s="303"/>
      <c r="AI32" s="303"/>
      <c r="AJ32" s="303"/>
      <c r="AK32" s="303"/>
      <c r="AL32" s="303"/>
      <c r="AM32" s="303"/>
      <c r="AN32" s="303"/>
      <c r="AO32" s="303"/>
      <c r="AP32" s="303"/>
      <c r="AQ32" s="303"/>
      <c r="AR32" s="303"/>
      <c r="AS32" s="304">
        <f>MAX(0,MIN(99,IF(AY32="",N(AV32),N(AY32))+N(BB32)+N(BE32)))</f>
        <v>20</v>
      </c>
      <c r="AT32" s="304"/>
      <c r="AU32" s="304"/>
      <c r="AV32" s="305">
        <v>20</v>
      </c>
      <c r="AW32" s="305"/>
      <c r="AX32" s="305"/>
      <c r="AY32" s="139" t="str">
        <f ca="1">IF(职业选项!V77&gt;0,职业选项!V77,"")</f>
        <v/>
      </c>
      <c r="AZ32" s="139"/>
      <c r="BA32" s="139"/>
      <c r="BB32" s="139" t="str">
        <f ca="1">规则数据!H68</f>
        <v/>
      </c>
      <c r="BC32" s="139"/>
      <c r="BD32" s="139"/>
      <c r="BE32" s="139">
        <f>'幕间计算'!B50+IF(AND('幕间计算'!A50&lt;&gt;"",COUNTIF('幕间计算'!$A$2:A50,'幕间计算'!A50)=1),SUMIF('幕间计算'!$C$200:$C$1199,'幕间计算'!A50,'幕间计算'!$E$200:$E$1199),0)</f>
        <v>0</v>
      </c>
      <c r="BF32" s="139"/>
      <c r="BG32" s="308"/>
      <c r="BH32" s="359"/>
      <c r="BI32" s="358"/>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10"/>
      <c r="CY32" s="92"/>
      <c r="CZ32" s="351"/>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132" t="s">
        <v>83</v>
      </c>
      <c r="EE32" s="132"/>
      <c r="EF32" s="132" t="s">
        <v>84</v>
      </c>
      <c r="EG32" s="357"/>
      <c r="EH32" s="92"/>
      <c r="EI32" s="348"/>
      <c r="EJ32" s="349"/>
      <c r="EK32" s="349"/>
      <c r="EL32" s="349"/>
      <c r="EM32" s="349"/>
      <c r="EN32" s="349"/>
      <c r="EO32" s="349"/>
      <c r="EP32" s="349"/>
      <c r="EQ32" s="349"/>
      <c r="ER32" s="349"/>
      <c r="ES32" s="349"/>
      <c r="ET32" s="349"/>
      <c r="EU32" s="349"/>
      <c r="EV32" s="349"/>
      <c r="EW32" s="349"/>
      <c r="EX32" s="349"/>
      <c r="EY32" s="350"/>
      <c r="EZ32" s="77"/>
    </row>
    <row r="33" customHeight="1" spans="1:156">
      <c r="A33" s="92"/>
      <c r="B33" s="301" t="inlineStr">
        <is>
          <t>☐</t>
        </is>
      </c>
      <c r="C33" s="302"/>
      <c r="D33" s="303" t="s">
        <v>97</v>
      </c>
      <c r="E33" s="303"/>
      <c r="F33" s="303"/>
      <c r="G33" s="303"/>
      <c r="H33" s="303"/>
      <c r="I33" s="303"/>
      <c r="J33" s="303"/>
      <c r="K33" s="303"/>
      <c r="L33" s="303"/>
      <c r="M33" s="303"/>
      <c r="N33" s="303"/>
      <c r="O33" s="303"/>
      <c r="P33" s="304">
        <f>MAX(0,MIN(99,IF(V33="",N(S33),N(V33))+N(Y33)+N(AB33)))</f>
        <v>20</v>
      </c>
      <c r="Q33" s="304"/>
      <c r="R33" s="304"/>
      <c r="S33" s="305">
        <v>20</v>
      </c>
      <c r="T33" s="305"/>
      <c r="U33" s="305"/>
      <c r="V33" s="139" t="str">
        <f ca="1">IF(职业选项!V78&gt;0,职业选项!V78,"")</f>
        <v/>
      </c>
      <c r="W33" s="139"/>
      <c r="X33" s="139"/>
      <c r="Y33" s="139" t="str">
        <f ca="1">规则数据!H39</f>
        <v/>
      </c>
      <c r="Z33" s="139"/>
      <c r="AA33" s="139"/>
      <c r="AB33" s="139">
        <f>'幕间计算'!B21+IF(AND('幕间计算'!A21&lt;&gt;"",COUNTIF('幕间计算'!$A$2:A21,'幕间计算'!A21)=1),SUMIF('幕间计算'!$C$200:$C$1199,'幕间计算'!A21,'幕间计算'!$E$200:$E$1199),0)</f>
        <v>0</v>
      </c>
      <c r="AC33" s="139"/>
      <c r="AD33" s="306"/>
      <c r="AE33" s="307" t="inlineStr">
        <is>
          <t>☐</t>
        </is>
      </c>
      <c r="AF33" s="302"/>
      <c r="AG33" s="303" t="s">
        <v>98</v>
      </c>
      <c r="AH33" s="303"/>
      <c r="AI33" s="303"/>
      <c r="AJ33" s="303"/>
      <c r="AK33" s="303"/>
      <c r="AL33" s="303"/>
      <c r="AM33" s="303"/>
      <c r="AN33" s="303"/>
      <c r="AO33" s="303"/>
      <c r="AP33" s="303"/>
      <c r="AQ33" s="303"/>
      <c r="AR33" s="303"/>
      <c r="AS33" s="304">
        <f>MAX(0,MIN(99,IF(AY33="",N(AV33),N(AY33))+N(BB33)+N(BE33)))</f>
        <v>0</v>
      </c>
      <c r="AT33" s="304"/>
      <c r="AU33" s="304"/>
      <c r="AV33" s="305">
        <v>0</v>
      </c>
      <c r="AW33" s="305"/>
      <c r="AX33" s="305"/>
      <c r="AY33" s="139" t="str">
        <f ca="1">IF(职业选项!V79&gt;0,职业选项!V79,"")</f>
        <v/>
      </c>
      <c r="AZ33" s="139"/>
      <c r="BA33" s="139"/>
      <c r="BB33" s="139" t="str">
        <f ca="1">规则数据!H69</f>
        <v/>
      </c>
      <c r="BC33" s="139"/>
      <c r="BD33" s="139"/>
      <c r="BE33" s="139">
        <f>'幕间计算'!B51+IF(AND('幕间计算'!A51&lt;&gt;"",COUNTIF('幕间计算'!$A$2:A51,'幕间计算'!A51)=1),SUMIF('幕间计算'!$C$200:$C$1199,'幕间计算'!A51,'幕间计算'!$E$200:$E$1199),0)</f>
        <v>0</v>
      </c>
      <c r="BF33" s="139"/>
      <c r="BG33" s="308"/>
      <c r="BH33" s="359"/>
      <c r="BI33" s="358"/>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10"/>
      <c r="CY33" s="92"/>
      <c r="CZ33" s="351"/>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52" t="str">
        <f>IF(CZ32="","",'幕间计算'!BT1199)</f>
        <v/>
      </c>
      <c r="EE33" s="353"/>
      <c r="EF33" s="312" t="s">
        <v>87</v>
      </c>
      <c r="EG33" s="354"/>
      <c r="EH33" s="92"/>
      <c r="EI33" s="348"/>
      <c r="EJ33" s="349"/>
      <c r="EK33" s="349"/>
      <c r="EL33" s="349"/>
      <c r="EM33" s="349"/>
      <c r="EN33" s="349"/>
      <c r="EO33" s="349"/>
      <c r="EP33" s="349"/>
      <c r="EQ33" s="349"/>
      <c r="ER33" s="349"/>
      <c r="ES33" s="349"/>
      <c r="ET33" s="349"/>
      <c r="EU33" s="349"/>
      <c r="EV33" s="349"/>
      <c r="EW33" s="349"/>
      <c r="EX33" s="349"/>
      <c r="EY33" s="350"/>
      <c r="EZ33" s="77"/>
    </row>
    <row r="34" customHeight="1" spans="1:156">
      <c r="A34" s="92"/>
      <c r="B34" s="301" t="inlineStr">
        <is>
          <t>☐</t>
        </is>
      </c>
      <c r="C34" s="302"/>
      <c r="D34" s="303" t="s">
        <v>99</v>
      </c>
      <c r="E34" s="303"/>
      <c r="F34" s="303"/>
      <c r="G34" s="303"/>
      <c r="H34" s="303"/>
      <c r="I34" s="303"/>
      <c r="J34" s="303"/>
      <c r="K34" s="303"/>
      <c r="L34" s="303"/>
      <c r="M34" s="303"/>
      <c r="N34" s="303"/>
      <c r="O34" s="303"/>
      <c r="P34" s="304">
        <f>MAX(0,MIN(99,IF(V34="",N(S34),N(V34))+N(Y34)+N(AB34)))</f>
        <v>20</v>
      </c>
      <c r="Q34" s="304"/>
      <c r="R34" s="304"/>
      <c r="S34" s="305">
        <v>20</v>
      </c>
      <c r="T34" s="305"/>
      <c r="U34" s="305"/>
      <c r="V34" s="139" t="str">
        <f ca="1">IF(职业选项!V80&gt;0,职业选项!V80,"")</f>
        <v/>
      </c>
      <c r="W34" s="139"/>
      <c r="X34" s="139"/>
      <c r="Y34" s="139" t="str">
        <f ca="1">规则数据!H40</f>
        <v/>
      </c>
      <c r="Z34" s="139"/>
      <c r="AA34" s="139"/>
      <c r="AB34" s="139">
        <f>'幕间计算'!B22+IF(AND('幕间计算'!A22&lt;&gt;"",COUNTIF('幕间计算'!$A$2:A22,'幕间计算'!A22)=1),SUMIF('幕间计算'!$C$200:$C$1199,'幕间计算'!A22,'幕间计算'!$E$200:$E$1199),0)</f>
        <v>0</v>
      </c>
      <c r="AC34" s="139"/>
      <c r="AD34" s="306"/>
      <c r="AE34" s="307" t="inlineStr">
        <is>
          <t>☐</t>
        </is>
      </c>
      <c r="AF34" s="302"/>
      <c r="AG34" s="303" t="s">
        <v>100</v>
      </c>
      <c r="AH34" s="303"/>
      <c r="AI34" s="303"/>
      <c r="AJ34" s="303"/>
      <c r="AK34" s="303"/>
      <c r="AL34" s="303"/>
      <c r="AM34" s="303"/>
      <c r="AN34" s="303"/>
      <c r="AO34" s="303"/>
      <c r="AP34" s="303"/>
      <c r="AQ34" s="303"/>
      <c r="AR34" s="303"/>
      <c r="AS34" s="304">
        <f>MAX(0,MIN(99,IF(AY34="",N(AV34),N(AY34))+N(BB34)+N(BE34)))</f>
        <v>10</v>
      </c>
      <c r="AT34" s="304"/>
      <c r="AU34" s="304"/>
      <c r="AV34" s="305">
        <v>10</v>
      </c>
      <c r="AW34" s="305"/>
      <c r="AX34" s="305"/>
      <c r="AY34" s="139" t="str">
        <f ca="1">IF(职业选项!V81&gt;0,职业选项!V81,"")</f>
        <v/>
      </c>
      <c r="AZ34" s="139"/>
      <c r="BA34" s="139"/>
      <c r="BB34" s="139" t="str">
        <f ca="1">规则数据!H70</f>
        <v/>
      </c>
      <c r="BC34" s="139"/>
      <c r="BD34" s="139"/>
      <c r="BE34" s="139">
        <f>'幕间计算'!B52+IF(AND('幕间计算'!A52&lt;&gt;"",COUNTIF('幕间计算'!$A$2:A52,'幕间计算'!A52)=1),SUMIF('幕间计算'!$C$200:$C$1199,'幕间计算'!A52,'幕间计算'!$E$200:$E$1199),0)</f>
        <v>0</v>
      </c>
      <c r="BF34" s="139"/>
      <c r="BG34" s="308"/>
      <c r="BH34" s="359"/>
      <c r="BI34" s="358"/>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10"/>
      <c r="CY34" s="92"/>
      <c r="CZ34" s="351"/>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55"/>
      <c r="EE34" s="356"/>
      <c r="EF34" s="312"/>
      <c r="EG34" s="354"/>
      <c r="EH34" s="92"/>
      <c r="EI34" s="348"/>
      <c r="EJ34" s="349"/>
      <c r="EK34" s="349"/>
      <c r="EL34" s="349"/>
      <c r="EM34" s="349"/>
      <c r="EN34" s="349"/>
      <c r="EO34" s="349"/>
      <c r="EP34" s="349"/>
      <c r="EQ34" s="349"/>
      <c r="ER34" s="349"/>
      <c r="ES34" s="349"/>
      <c r="ET34" s="349"/>
      <c r="EU34" s="349"/>
      <c r="EV34" s="349"/>
      <c r="EW34" s="349"/>
      <c r="EX34" s="349"/>
      <c r="EY34" s="350"/>
      <c r="EZ34" s="77"/>
    </row>
    <row r="35" customHeight="1" spans="1:156">
      <c r="A35" s="92"/>
      <c r="B35" s="301" t="inlineStr">
        <is>
          <t>☐</t>
        </is>
      </c>
      <c r="C35" s="302"/>
      <c r="D35" s="303" t="s">
        <v>101</v>
      </c>
      <c r="E35" s="303"/>
      <c r="F35" s="303"/>
      <c r="G35" s="303"/>
      <c r="H35" s="303"/>
      <c r="I35" s="303"/>
      <c r="J35" s="303"/>
      <c r="K35" s="303"/>
      <c r="L35" s="303"/>
      <c r="M35" s="303"/>
      <c r="N35" s="303"/>
      <c r="O35" s="303"/>
      <c r="P35" s="304">
        <f>MAX(0,MIN(99,IF(V35="",N(S35),N(V35))+N(Y35)+N(AB35)))</f>
        <v>10</v>
      </c>
      <c r="Q35" s="304"/>
      <c r="R35" s="304"/>
      <c r="S35" s="305">
        <v>10</v>
      </c>
      <c r="T35" s="305"/>
      <c r="U35" s="305"/>
      <c r="V35" s="139" t="str">
        <f ca="1">IF(职业选项!V82&gt;0,职业选项!V82,"")</f>
        <v/>
      </c>
      <c r="W35" s="139"/>
      <c r="X35" s="139"/>
      <c r="Y35" s="139" t="str">
        <f ca="1">规则数据!H41</f>
        <v/>
      </c>
      <c r="Z35" s="139"/>
      <c r="AA35" s="139"/>
      <c r="AB35" s="139">
        <f>'幕间计算'!B23+IF(AND('幕间计算'!A23&lt;&gt;"",COUNTIF('幕间计算'!$A$2:A23,'幕间计算'!A23)=1),SUMIF('幕间计算'!$C$200:$C$1199,'幕间计算'!A23,'幕间计算'!$E$200:$E$1199),0)</f>
        <v>0</v>
      </c>
      <c r="AC35" s="139"/>
      <c r="AD35" s="306"/>
      <c r="AE35" s="307" t="inlineStr">
        <is>
          <t>☐</t>
        </is>
      </c>
      <c r="AF35" s="302"/>
      <c r="AG35" s="303" t="s">
        <v>102</v>
      </c>
      <c r="AH35" s="303"/>
      <c r="AI35" s="303"/>
      <c r="AJ35" s="303"/>
      <c r="AK35" s="303"/>
      <c r="AL35" s="303"/>
      <c r="AM35" s="303"/>
      <c r="AN35" s="303"/>
      <c r="AO35" s="303"/>
      <c r="AP35" s="303"/>
      <c r="AQ35" s="303"/>
      <c r="AR35" s="303"/>
      <c r="AS35" s="304">
        <f>MAX(0,MIN(99,IF(AY35="",N(AV35),N(AY35))+N(BB35)+N(BE35)))</f>
        <v>0</v>
      </c>
      <c r="AT35" s="304"/>
      <c r="AU35" s="304"/>
      <c r="AV35" s="305">
        <v>0</v>
      </c>
      <c r="AW35" s="305"/>
      <c r="AX35" s="305"/>
      <c r="AY35" s="139" t="str">
        <f ca="1">IF(职业选项!V83&gt;0,职业选项!V83,"")</f>
        <v/>
      </c>
      <c r="AZ35" s="139"/>
      <c r="BA35" s="139"/>
      <c r="BB35" s="139" t="str">
        <f ca="1">规则数据!H71</f>
        <v/>
      </c>
      <c r="BC35" s="139"/>
      <c r="BD35" s="139"/>
      <c r="BE35" s="139">
        <f>'幕间计算'!B53+IF(AND('幕间计算'!A53&lt;&gt;"",COUNTIF('幕间计算'!$A$2:A53,'幕间计算'!A53)=1),SUMIF('幕间计算'!$C$200:$C$1199,'幕间计算'!A53,'幕间计算'!$E$200:$E$1199),0)</f>
        <v>0</v>
      </c>
      <c r="BF35" s="139"/>
      <c r="BG35" s="308"/>
      <c r="BH35" s="359"/>
      <c r="BI35" s="358"/>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10"/>
      <c r="CY35" s="92"/>
      <c r="CZ35" s="351"/>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132" t="s">
        <v>83</v>
      </c>
      <c r="EE35" s="132"/>
      <c r="EF35" s="132" t="s">
        <v>84</v>
      </c>
      <c r="EG35" s="357"/>
      <c r="EH35" s="92"/>
      <c r="EI35" s="348"/>
      <c r="EJ35" s="349"/>
      <c r="EK35" s="349"/>
      <c r="EL35" s="349"/>
      <c r="EM35" s="349"/>
      <c r="EN35" s="349"/>
      <c r="EO35" s="349"/>
      <c r="EP35" s="349"/>
      <c r="EQ35" s="349"/>
      <c r="ER35" s="349"/>
      <c r="ES35" s="349"/>
      <c r="ET35" s="349"/>
      <c r="EU35" s="349"/>
      <c r="EV35" s="349"/>
      <c r="EW35" s="349"/>
      <c r="EX35" s="349"/>
      <c r="EY35" s="350"/>
      <c r="EZ35" s="77"/>
    </row>
    <row r="36" customHeight="1" spans="1:156">
      <c r="A36" s="92"/>
      <c r="B36" s="301" t="inlineStr">
        <is>
          <t>☐</t>
        </is>
      </c>
      <c r="C36" s="302"/>
      <c r="D36" s="330" t="s">
        <v>103</v>
      </c>
      <c r="E36" s="331"/>
      <c r="F36" s="331"/>
      <c r="G36" s="331"/>
      <c r="H36" s="331"/>
      <c r="I36" s="331"/>
      <c r="J36" s="332" t="str">
        <f>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332"/>
      <c r="L36" s="332"/>
      <c r="M36" s="332"/>
      <c r="N36" s="332"/>
      <c r="O36" s="333"/>
      <c r="P36" s="304">
        <f>MAX(0,MIN(99,IF(V36="",N(S36),N(V36))+N(Y36)+N(AB36)))</f>
        <v>0</v>
      </c>
      <c r="Q36" s="304"/>
      <c r="R36" s="304"/>
      <c r="S36" s="305">
        <v>0</v>
      </c>
      <c r="T36" s="305"/>
      <c r="U36" s="305"/>
      <c r="V36" s="139" t="str">
        <f ca="1">IF(职业选项!V84&gt;0,职业选项!V84,"")</f>
        <v/>
      </c>
      <c r="W36" s="139"/>
      <c r="X36" s="139"/>
      <c r="Y36" s="139" t="str">
        <f ca="1">规则数据!H42</f>
        <v/>
      </c>
      <c r="Z36" s="139"/>
      <c r="AA36" s="139"/>
      <c r="AB36" s="139">
        <f>'幕间计算'!B24+IF(AND('幕间计算'!A24&lt;&gt;"",COUNTIF('幕间计算'!$A$2:A24,'幕间计算'!A24)=1),SUMIF('幕间计算'!$C$200:$C$1199,'幕间计算'!A24,'幕间计算'!$E$200:$E$1199),0)</f>
        <v>0</v>
      </c>
      <c r="AC36" s="139"/>
      <c r="AD36" s="306"/>
      <c r="AE36" s="307" t="inlineStr">
        <is>
          <t>☐</t>
        </is>
      </c>
      <c r="AF36" s="302"/>
      <c r="AG36" s="303" t="s">
        <v>104</v>
      </c>
      <c r="AH36" s="303"/>
      <c r="AI36" s="303"/>
      <c r="AJ36" s="303"/>
      <c r="AK36" s="303"/>
      <c r="AL36" s="303"/>
      <c r="AM36" s="303"/>
      <c r="AN36" s="303"/>
      <c r="AO36" s="303"/>
      <c r="AP36" s="303"/>
      <c r="AQ36" s="303"/>
      <c r="AR36" s="303"/>
      <c r="AS36" s="304">
        <f>MAX(0,MIN(99,IF(AY36="",N(AV36),N(AY36))+N(BB36)+N(BE36)))</f>
        <v>10</v>
      </c>
      <c r="AT36" s="304"/>
      <c r="AU36" s="304"/>
      <c r="AV36" s="305">
        <v>10</v>
      </c>
      <c r="AW36" s="305"/>
      <c r="AX36" s="305"/>
      <c r="AY36" s="139" t="str">
        <f ca="1">IF(职业选项!V85&gt;0,职业选项!V85,"")</f>
        <v/>
      </c>
      <c r="AZ36" s="139"/>
      <c r="BA36" s="139"/>
      <c r="BB36" s="139" t="str">
        <f ca="1">规则数据!H72</f>
        <v/>
      </c>
      <c r="BC36" s="139"/>
      <c r="BD36" s="139"/>
      <c r="BE36" s="139">
        <f>'幕间计算'!B54+IF(AND('幕间计算'!A54&lt;&gt;"",COUNTIF('幕间计算'!$A$2:A54,'幕间计算'!A54)=1),SUMIF('幕间计算'!$C$200:$C$1199,'幕间计算'!A54,'幕间计算'!$E$200:$E$1199),0)</f>
        <v>0</v>
      </c>
      <c r="BF36" s="139"/>
      <c r="BG36" s="308"/>
      <c r="BH36" s="359"/>
      <c r="BI36" s="358"/>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10"/>
      <c r="CY36" s="92"/>
      <c r="CZ36" s="351"/>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52" t="str">
        <f>IF(CZ35="","",'幕间计算'!BU1199)</f>
        <v/>
      </c>
      <c r="EE36" s="353"/>
      <c r="EF36" s="312" t="s">
        <v>87</v>
      </c>
      <c r="EG36" s="354"/>
      <c r="EH36" s="92"/>
      <c r="EI36" s="348"/>
      <c r="EJ36" s="349"/>
      <c r="EK36" s="349"/>
      <c r="EL36" s="349"/>
      <c r="EM36" s="349"/>
      <c r="EN36" s="349"/>
      <c r="EO36" s="349"/>
      <c r="EP36" s="349"/>
      <c r="EQ36" s="349"/>
      <c r="ER36" s="349"/>
      <c r="ES36" s="349"/>
      <c r="ET36" s="349"/>
      <c r="EU36" s="349"/>
      <c r="EV36" s="349"/>
      <c r="EW36" s="349"/>
      <c r="EX36" s="349"/>
      <c r="EY36" s="350"/>
      <c r="EZ36" s="77"/>
    </row>
    <row r="37" customHeight="1" spans="1:156">
      <c r="A37" s="92"/>
      <c r="B37" s="301" t="inlineStr">
        <is>
          <t>☐</t>
        </is>
      </c>
      <c r="C37" s="302"/>
      <c r="D37" s="321" t="s">
        <v>103</v>
      </c>
      <c r="E37" s="322"/>
      <c r="F37" s="322"/>
      <c r="G37" s="322"/>
      <c r="H37" s="322"/>
      <c r="I37" s="322"/>
      <c r="J37" s="323" t="str">
        <f>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323"/>
      <c r="L37" s="323"/>
      <c r="M37" s="323"/>
      <c r="N37" s="323"/>
      <c r="O37" s="324"/>
      <c r="P37" s="304">
        <f>MAX(0,MIN(99,IF(V37="",N(S37),N(V37))+N(Y37)+N(AB37)))</f>
        <v>0</v>
      </c>
      <c r="Q37" s="304"/>
      <c r="R37" s="304"/>
      <c r="S37" s="305">
        <v>0</v>
      </c>
      <c r="T37" s="305"/>
      <c r="U37" s="305"/>
      <c r="V37" s="139" t="str">
        <f ca="1">IF(职业选项!V86&gt;0,职业选项!V86,"")</f>
        <v/>
      </c>
      <c r="W37" s="139"/>
      <c r="X37" s="139"/>
      <c r="Y37" s="139" t="str">
        <f ca="1">规则数据!H43</f>
        <v/>
      </c>
      <c r="Z37" s="139"/>
      <c r="AA37" s="139"/>
      <c r="AB37" s="139">
        <f>'幕间计算'!B25+IF(AND('幕间计算'!A25&lt;&gt;"",COUNTIF('幕间计算'!$A$2:A25,'幕间计算'!A25)=1),SUMIF('幕间计算'!$C$200:$C$1199,'幕间计算'!A25,'幕间计算'!$E$200:$E$1199),0)</f>
        <v>0</v>
      </c>
      <c r="AC37" s="139"/>
      <c r="AD37" s="306"/>
      <c r="AE37" s="307" t="inlineStr">
        <is>
          <t>☐</t>
        </is>
      </c>
      <c r="AF37" s="302"/>
      <c r="AG37" s="303" t="s">
        <v>105</v>
      </c>
      <c r="AH37" s="303"/>
      <c r="AI37" s="303"/>
      <c r="AJ37" s="303"/>
      <c r="AK37" s="303"/>
      <c r="AL37" s="303"/>
      <c r="AM37" s="303"/>
      <c r="AN37" s="303"/>
      <c r="AO37" s="303"/>
      <c r="AP37" s="303"/>
      <c r="AQ37" s="303"/>
      <c r="AR37" s="303"/>
      <c r="AS37" s="304">
        <f>MAX(0,MIN(99,IF(AY37="",N(AV37),N(AY37))+N(BB37)+N(BE37)))</f>
        <v>20</v>
      </c>
      <c r="AT37" s="304"/>
      <c r="AU37" s="304"/>
      <c r="AV37" s="305">
        <v>20</v>
      </c>
      <c r="AW37" s="305"/>
      <c r="AX37" s="305"/>
      <c r="AY37" s="139" t="str">
        <f ca="1">IF(职业选项!V87&gt;0,职业选项!V87,"")</f>
        <v/>
      </c>
      <c r="AZ37" s="139"/>
      <c r="BA37" s="139"/>
      <c r="BB37" s="139" t="str">
        <f ca="1">规则数据!H73</f>
        <v/>
      </c>
      <c r="BC37" s="139"/>
      <c r="BD37" s="139"/>
      <c r="BE37" s="139">
        <f>'幕间计算'!B55+IF(AND('幕间计算'!A55&lt;&gt;"",COUNTIF('幕间计算'!$A$2:A55,'幕间计算'!A55)=1),SUMIF('幕间计算'!$C$200:$C$1199,'幕间计算'!A55,'幕间计算'!$E$200:$E$1199),0)</f>
        <v>0</v>
      </c>
      <c r="BF37" s="139"/>
      <c r="BG37" s="308"/>
      <c r="BH37" s="359"/>
      <c r="BI37" s="358"/>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10"/>
      <c r="CY37" s="92"/>
      <c r="CZ37" s="351"/>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55"/>
      <c r="EE37" s="356"/>
      <c r="EF37" s="312"/>
      <c r="EG37" s="354"/>
      <c r="EH37" s="92"/>
      <c r="EI37" s="348"/>
      <c r="EJ37" s="349"/>
      <c r="EK37" s="349"/>
      <c r="EL37" s="349"/>
      <c r="EM37" s="349"/>
      <c r="EN37" s="349"/>
      <c r="EO37" s="349"/>
      <c r="EP37" s="349"/>
      <c r="EQ37" s="349"/>
      <c r="ER37" s="349"/>
      <c r="ES37" s="349"/>
      <c r="ET37" s="349"/>
      <c r="EU37" s="349"/>
      <c r="EV37" s="349"/>
      <c r="EW37" s="349"/>
      <c r="EX37" s="349"/>
      <c r="EY37" s="350"/>
      <c r="EZ37" s="77"/>
    </row>
    <row r="38" customHeight="1" spans="1:156">
      <c r="A38" s="92"/>
      <c r="B38" s="301" t="inlineStr">
        <is>
          <t>☐</t>
        </is>
      </c>
      <c r="C38" s="302"/>
      <c r="D38" s="330" t="s">
        <v>103</v>
      </c>
      <c r="E38" s="331"/>
      <c r="F38" s="331"/>
      <c r="G38" s="331"/>
      <c r="H38" s="331"/>
      <c r="I38" s="331"/>
      <c r="J38" s="332"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332"/>
      <c r="L38" s="332"/>
      <c r="M38" s="332"/>
      <c r="N38" s="332"/>
      <c r="O38" s="333"/>
      <c r="P38" s="304">
        <f>MAX(0,MIN(99,IF(V38="",N(S38),N(V38))+N(Y38)+N(AB38)))</f>
        <v>0</v>
      </c>
      <c r="Q38" s="304"/>
      <c r="R38" s="304"/>
      <c r="S38" s="305">
        <v>0</v>
      </c>
      <c r="T38" s="305"/>
      <c r="U38" s="305"/>
      <c r="V38" s="139" t="str">
        <f ca="1">IF(职业选项!V88&gt;0,职业选项!V88,"")</f>
        <v/>
      </c>
      <c r="W38" s="139"/>
      <c r="X38" s="139"/>
      <c r="Y38" s="139" t="str">
        <f ca="1">规则数据!H44</f>
        <v/>
      </c>
      <c r="Z38" s="139"/>
      <c r="AA38" s="139"/>
      <c r="AB38" s="139">
        <f>'幕间计算'!B26+IF(AND('幕间计算'!A26&lt;&gt;"",COUNTIF('幕间计算'!$A$2:A26,'幕间计算'!A26)=1),SUMIF('幕间计算'!$C$200:$C$1199,'幕间计算'!A26,'幕间计算'!$E$200:$E$1199),0)</f>
        <v>0</v>
      </c>
      <c r="AC38" s="139"/>
      <c r="AD38" s="306"/>
      <c r="AE38" s="307" t="inlineStr">
        <is>
          <t>☐</t>
        </is>
      </c>
      <c r="AF38" s="302"/>
      <c r="AG38" s="303" t="s">
        <v>106</v>
      </c>
      <c r="AH38" s="303"/>
      <c r="AI38" s="303"/>
      <c r="AJ38" s="303"/>
      <c r="AK38" s="303"/>
      <c r="AL38" s="303"/>
      <c r="AM38" s="303"/>
      <c r="AN38" s="303"/>
      <c r="AO38" s="303"/>
      <c r="AP38" s="303"/>
      <c r="AQ38" s="303"/>
      <c r="AR38" s="303"/>
      <c r="AS38" s="304">
        <f>MAX(0,MIN(99,IF(AY38="",N(AV38),N(AY38))+N(BB38)+N(BE38)))</f>
        <v>40</v>
      </c>
      <c r="AT38" s="304"/>
      <c r="AU38" s="304"/>
      <c r="AV38" s="305">
        <v>40</v>
      </c>
      <c r="AW38" s="305"/>
      <c r="AX38" s="305"/>
      <c r="AY38" s="139" t="str">
        <f ca="1">IF(职业选项!V89&gt;0,职业选项!V89,"")</f>
        <v/>
      </c>
      <c r="AZ38" s="139"/>
      <c r="BA38" s="139"/>
      <c r="BB38" s="139" t="str">
        <f ca="1">规则数据!H74</f>
        <v/>
      </c>
      <c r="BC38" s="139"/>
      <c r="BD38" s="139"/>
      <c r="BE38" s="139">
        <f>'幕间计算'!B56+IF(AND('幕间计算'!A56&lt;&gt;"",COUNTIF('幕间计算'!$A$2:A56,'幕间计算'!A56)=1),SUMIF('幕间计算'!$C$200:$C$1199,'幕间计算'!A56,'幕间计算'!$E$200:$E$1199),0)</f>
        <v>0</v>
      </c>
      <c r="BF38" s="139"/>
      <c r="BG38" s="308"/>
      <c r="BH38" s="359"/>
      <c r="BI38" s="358"/>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10"/>
      <c r="CY38" s="92"/>
      <c r="CZ38" s="351"/>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132" t="s">
        <v>83</v>
      </c>
      <c r="EE38" s="132"/>
      <c r="EF38" s="132" t="s">
        <v>84</v>
      </c>
      <c r="EG38" s="357"/>
      <c r="EH38" s="92"/>
      <c r="EI38" s="348"/>
      <c r="EJ38" s="349"/>
      <c r="EK38" s="349"/>
      <c r="EL38" s="349"/>
      <c r="EM38" s="349"/>
      <c r="EN38" s="349"/>
      <c r="EO38" s="349"/>
      <c r="EP38" s="349"/>
      <c r="EQ38" s="349"/>
      <c r="ER38" s="349"/>
      <c r="ES38" s="349"/>
      <c r="ET38" s="349"/>
      <c r="EU38" s="349"/>
      <c r="EV38" s="349"/>
      <c r="EW38" s="349"/>
      <c r="EX38" s="349"/>
      <c r="EY38" s="350"/>
      <c r="EZ38" s="77"/>
    </row>
    <row r="39" customHeight="1" spans="1:156">
      <c r="A39" s="92"/>
      <c r="B39" s="301" t="inlineStr">
        <is>
          <t>☐</t>
        </is>
      </c>
      <c r="C39" s="302"/>
      <c r="D39" s="303" t="s">
        <v>107</v>
      </c>
      <c r="E39" s="303"/>
      <c r="F39" s="303"/>
      <c r="G39" s="303"/>
      <c r="H39" s="303"/>
      <c r="I39" s="303"/>
      <c r="J39" s="303"/>
      <c r="K39" s="303"/>
      <c r="L39" s="303"/>
      <c r="M39" s="303"/>
      <c r="N39" s="303"/>
      <c r="O39" s="303"/>
      <c r="P39" s="304">
        <f>MAX(0,MIN(99,IF(V39="",N(S39),N(V39))+N(Y39)+N(AB39)))</f>
        <v>0</v>
      </c>
      <c r="Q39" s="304"/>
      <c r="R39" s="304"/>
      <c r="S39" s="305">
        <v>0</v>
      </c>
      <c r="T39" s="305"/>
      <c r="U39" s="305"/>
      <c r="V39" s="139" t="str">
        <f ca="1">IF(职业选项!V90&gt;0,职业选项!V90,"")</f>
        <v/>
      </c>
      <c r="W39" s="139"/>
      <c r="X39" s="139"/>
      <c r="Y39" s="139" t="str">
        <f ca="1">规则数据!H45</f>
        <v/>
      </c>
      <c r="Z39" s="139"/>
      <c r="AA39" s="139"/>
      <c r="AB39" s="139">
        <f>'幕间计算'!B27+IF(AND('幕间计算'!A27&lt;&gt;"",COUNTIF('幕间计算'!$A$2:A27,'幕间计算'!A27)=1),SUMIF('幕间计算'!$C$200:$C$1199,'幕间计算'!A27,'幕间计算'!$E$200:$E$1199),0)</f>
        <v>0</v>
      </c>
      <c r="AC39" s="139"/>
      <c r="AD39" s="306"/>
      <c r="AE39" s="360" t="inlineStr">
        <is>
          <t>☐</t>
        </is>
      </c>
      <c r="AF39" s="361"/>
      <c r="AG39" s="303" t="s">
        <v>108</v>
      </c>
      <c r="AH39" s="303"/>
      <c r="AI39" s="303"/>
      <c r="AJ39" s="303"/>
      <c r="AK39" s="303"/>
      <c r="AL39" s="303"/>
      <c r="AM39" s="303"/>
      <c r="AN39" s="303"/>
      <c r="AO39" s="303"/>
      <c r="AP39" s="303"/>
      <c r="AQ39" s="303"/>
      <c r="AR39" s="303"/>
      <c r="AS39" s="304">
        <f>MAX(0,MIN(99,N(BB39)+N(BE39)))</f>
        <v>0</v>
      </c>
      <c r="AT39" s="304"/>
      <c r="AU39" s="304"/>
      <c r="AV39" s="305">
        <v>0</v>
      </c>
      <c r="AW39" s="305"/>
      <c r="AX39" s="305"/>
      <c r="AY39" s="305" t="s">
        <v>109</v>
      </c>
      <c r="AZ39" s="305"/>
      <c r="BA39" s="305"/>
      <c r="BB39" s="305">
        <f>IF(DF46="人类不应知道之事",10,0)</f>
        <v>0</v>
      </c>
      <c r="BC39" s="305"/>
      <c r="BD39" s="305"/>
      <c r="BE39" s="139">
        <f>'幕间计算'!B57+IF(AND('幕间计算'!A57&lt;&gt;"",COUNTIF('幕间计算'!$A$2:A57,'幕间计算'!A57)=1),SUMIF('幕间计算'!$C$200:$C$1199,'幕间计算'!A57,'幕间计算'!$E$200:$E$1199),0)</f>
        <v>0</v>
      </c>
      <c r="BF39" s="139"/>
      <c r="BG39" s="308"/>
      <c r="BH39" s="359"/>
      <c r="BI39" s="358"/>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10"/>
      <c r="CY39" s="92"/>
      <c r="CZ39" s="351"/>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52" t="str">
        <f>IF(CZ38="","",'幕间计算'!BV1199)</f>
        <v/>
      </c>
      <c r="EE39" s="353"/>
      <c r="EF39" s="312" t="s">
        <v>87</v>
      </c>
      <c r="EG39" s="354"/>
      <c r="EH39" s="92"/>
      <c r="EI39" s="348"/>
      <c r="EJ39" s="349"/>
      <c r="EK39" s="349"/>
      <c r="EL39" s="349"/>
      <c r="EM39" s="349"/>
      <c r="EN39" s="349"/>
      <c r="EO39" s="349"/>
      <c r="EP39" s="349"/>
      <c r="EQ39" s="349"/>
      <c r="ER39" s="349"/>
      <c r="ES39" s="349"/>
      <c r="ET39" s="349"/>
      <c r="EU39" s="349"/>
      <c r="EV39" s="349"/>
      <c r="EW39" s="349"/>
      <c r="EX39" s="349"/>
      <c r="EY39" s="350"/>
      <c r="EZ39" s="77"/>
    </row>
    <row r="40" customHeight="1" spans="1:156">
      <c r="A40" s="92"/>
      <c r="B40" s="301" t="inlineStr">
        <is>
          <t>☐</t>
        </is>
      </c>
      <c r="C40" s="302"/>
      <c r="D40" s="303" t="s">
        <v>110</v>
      </c>
      <c r="E40" s="303"/>
      <c r="F40" s="303"/>
      <c r="G40" s="303"/>
      <c r="H40" s="303"/>
      <c r="I40" s="303"/>
      <c r="J40" s="303"/>
      <c r="K40" s="303"/>
      <c r="L40" s="303"/>
      <c r="M40" s="303"/>
      <c r="N40" s="303"/>
      <c r="O40" s="303"/>
      <c r="P40" s="304">
        <f>MAX(0,MIN(99,IF(V40="",N(S40),N(V40))+N(Y40)+N(AB40)))</f>
        <v>10</v>
      </c>
      <c r="Q40" s="304"/>
      <c r="R40" s="304"/>
      <c r="S40" s="305">
        <v>10</v>
      </c>
      <c r="T40" s="305"/>
      <c r="U40" s="305"/>
      <c r="V40" s="139" t="str">
        <f ca="1">IF(职业选项!V91&gt;0,职业选项!V91,"")</f>
        <v/>
      </c>
      <c r="W40" s="139"/>
      <c r="X40" s="139"/>
      <c r="Y40" s="139" t="str">
        <f ca="1">规则数据!H46</f>
        <v/>
      </c>
      <c r="Z40" s="139"/>
      <c r="AA40" s="139"/>
      <c r="AB40" s="139">
        <f>'幕间计算'!B28+IF(AND('幕间计算'!A28&lt;&gt;"",COUNTIF('幕间计算'!$A$2:A28,'幕间计算'!A28)=1),SUMIF('幕间计算'!$C$200:$C$1199,'幕间计算'!A28,'幕间计算'!$E$200:$E$1199),0)</f>
        <v>0</v>
      </c>
      <c r="AC40" s="139"/>
      <c r="AD40" s="306"/>
      <c r="AE40" s="307" t="inlineStr">
        <is>
          <t>☐</t>
        </is>
      </c>
      <c r="AF40" s="302"/>
      <c r="AG40" s="362" t="str">
        <f ca="1">IFERROR(INDEX(规则数据!$C$2:$C$9,SMALL(规则数据!$AX$2:$AX$9,1)),"")</f>
        <v/>
      </c>
      <c r="AH40" s="362"/>
      <c r="AI40" s="362"/>
      <c r="AJ40" s="362"/>
      <c r="AK40" s="362"/>
      <c r="AL40" s="362"/>
      <c r="AM40" s="362"/>
      <c r="AN40" s="362"/>
      <c r="AO40" s="362"/>
      <c r="AP40" s="362"/>
      <c r="AQ40" s="362"/>
      <c r="AR40" s="362"/>
      <c r="AS40" s="363">
        <f>MAX(0,MIN(99,IF(AY40="",N(AV40),N(AY40))+N(BB40)+N(BE40)))</f>
        <v>0</v>
      </c>
      <c r="AT40" s="363"/>
      <c r="AU40" s="363"/>
      <c r="AV40" s="139"/>
      <c r="AW40" s="139"/>
      <c r="AX40" s="139"/>
      <c r="AY40" s="139"/>
      <c r="AZ40" s="139"/>
      <c r="BA40" s="139"/>
      <c r="BB40" s="139" t="str">
        <f ca="1">规则数据!H75</f>
        <v/>
      </c>
      <c r="BC40" s="139"/>
      <c r="BD40" s="139"/>
      <c r="BE40" s="139">
        <f>'幕间计算'!B58+IF(AND('幕间计算'!A58&lt;&gt;"",COUNTIF('幕间计算'!$A$2:A58,'幕间计算'!A58)=1),SUMIF('幕间计算'!$C$200:$C$1199,'幕间计算'!A58,'幕间计算'!$E$200:$E$1199),0)</f>
        <v>0</v>
      </c>
      <c r="BF40" s="139"/>
      <c r="BG40" s="308"/>
      <c r="BH40" s="359"/>
      <c r="BI40" s="358"/>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10"/>
      <c r="CY40" s="92"/>
      <c r="CZ40" s="351"/>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55"/>
      <c r="EE40" s="356"/>
      <c r="EF40" s="312"/>
      <c r="EG40" s="354"/>
      <c r="EH40" s="92"/>
      <c r="EI40" s="348"/>
      <c r="EJ40" s="349"/>
      <c r="EK40" s="349"/>
      <c r="EL40" s="349"/>
      <c r="EM40" s="349"/>
      <c r="EN40" s="349"/>
      <c r="EO40" s="349"/>
      <c r="EP40" s="349"/>
      <c r="EQ40" s="349"/>
      <c r="ER40" s="349"/>
      <c r="ES40" s="349"/>
      <c r="ET40" s="349"/>
      <c r="EU40" s="349"/>
      <c r="EV40" s="349"/>
      <c r="EW40" s="349"/>
      <c r="EX40" s="349"/>
      <c r="EY40" s="350"/>
      <c r="EZ40" s="77"/>
    </row>
    <row r="41" customHeight="1" spans="1:156">
      <c r="A41" s="92"/>
      <c r="B41" s="301" t="inlineStr">
        <is>
          <t>☐</t>
        </is>
      </c>
      <c r="C41" s="302"/>
      <c r="D41" s="303" t="s">
        <v>111</v>
      </c>
      <c r="E41" s="303"/>
      <c r="F41" s="303"/>
      <c r="G41" s="303"/>
      <c r="H41" s="303"/>
      <c r="I41" s="303"/>
      <c r="J41" s="303"/>
      <c r="K41" s="303"/>
      <c r="L41" s="303"/>
      <c r="M41" s="303"/>
      <c r="N41" s="303"/>
      <c r="O41" s="303"/>
      <c r="P41" s="304">
        <f>MAX(0,MIN(99,IF(V41="",N(S41),N(V41))+N(Y41)+N(AB41)))</f>
        <v>0</v>
      </c>
      <c r="Q41" s="304"/>
      <c r="R41" s="304"/>
      <c r="S41" s="305">
        <v>0</v>
      </c>
      <c r="T41" s="305"/>
      <c r="U41" s="305"/>
      <c r="V41" s="139" t="str">
        <f ca="1">IF(职业选项!V92&gt;0,职业选项!V92,"")</f>
        <v/>
      </c>
      <c r="W41" s="139"/>
      <c r="X41" s="139"/>
      <c r="Y41" s="139" t="str">
        <f ca="1">规则数据!H47</f>
        <v/>
      </c>
      <c r="Z41" s="139"/>
      <c r="AA41" s="139"/>
      <c r="AB41" s="139">
        <f>'幕间计算'!B29+IF(AND('幕间计算'!A29&lt;&gt;"",COUNTIF('幕间计算'!$A$2:A29,'幕间计算'!A29)=1),SUMIF('幕间计算'!$C$200:$C$1199,'幕间计算'!A29,'幕间计算'!$E$200:$E$1199),0)</f>
        <v>0</v>
      </c>
      <c r="AC41" s="139"/>
      <c r="AD41" s="306"/>
      <c r="AE41" s="307" t="inlineStr">
        <is>
          <t>☐</t>
        </is>
      </c>
      <c r="AF41" s="302"/>
      <c r="AG41" s="362" t="str">
        <f ca="1">IFERROR(INDEX(规则数据!$C$2:$C$9,SMALL(规则数据!$AX$2:$AX$9,2)),"")</f>
        <v/>
      </c>
      <c r="AH41" s="362"/>
      <c r="AI41" s="362"/>
      <c r="AJ41" s="362"/>
      <c r="AK41" s="362"/>
      <c r="AL41" s="362"/>
      <c r="AM41" s="362"/>
      <c r="AN41" s="362"/>
      <c r="AO41" s="362"/>
      <c r="AP41" s="362"/>
      <c r="AQ41" s="362"/>
      <c r="AR41" s="362"/>
      <c r="AS41" s="363">
        <f>MAX(0,MIN(99,IF(AY41="",N(AV41),N(AY41))+N(BB41)+N(BE41)))</f>
        <v>0</v>
      </c>
      <c r="AT41" s="363"/>
      <c r="AU41" s="363"/>
      <c r="AV41" s="139"/>
      <c r="AW41" s="139"/>
      <c r="AX41" s="139"/>
      <c r="AY41" s="139"/>
      <c r="AZ41" s="139"/>
      <c r="BA41" s="139"/>
      <c r="BB41" s="139" t="str">
        <f ca="1">规则数据!H76</f>
        <v/>
      </c>
      <c r="BC41" s="139"/>
      <c r="BD41" s="139"/>
      <c r="BE41" s="139">
        <f>'幕间计算'!B59+IF(AND('幕间计算'!A59&lt;&gt;"",COUNTIF('幕间计算'!$A$2:A59,'幕间计算'!A59)=1),SUMIF('幕间计算'!$C$200:$C$1199,'幕间计算'!A59,'幕间计算'!$E$200:$E$1199),0)</f>
        <v>0</v>
      </c>
      <c r="BF41" s="139"/>
      <c r="BG41" s="308"/>
      <c r="BH41" s="359"/>
      <c r="BI41" s="358"/>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10"/>
      <c r="CY41" s="92"/>
      <c r="CZ41" s="351"/>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132" t="s">
        <v>83</v>
      </c>
      <c r="EE41" s="132"/>
      <c r="EF41" s="132" t="s">
        <v>84</v>
      </c>
      <c r="EG41" s="357"/>
      <c r="EH41" s="92"/>
      <c r="EI41" s="348"/>
      <c r="EJ41" s="349"/>
      <c r="EK41" s="349"/>
      <c r="EL41" s="349"/>
      <c r="EM41" s="349"/>
      <c r="EN41" s="349"/>
      <c r="EO41" s="349"/>
      <c r="EP41" s="349"/>
      <c r="EQ41" s="349"/>
      <c r="ER41" s="349"/>
      <c r="ES41" s="349"/>
      <c r="ET41" s="349"/>
      <c r="EU41" s="349"/>
      <c r="EV41" s="349"/>
      <c r="EW41" s="349"/>
      <c r="EX41" s="349"/>
      <c r="EY41" s="350"/>
      <c r="EZ41" s="77"/>
    </row>
    <row r="42" customHeight="1" spans="1:156">
      <c r="A42" s="92"/>
      <c r="B42" s="301" t="inlineStr">
        <is>
          <t>☐</t>
        </is>
      </c>
      <c r="C42" s="302"/>
      <c r="D42" s="303" t="s">
        <v>112</v>
      </c>
      <c r="E42" s="303"/>
      <c r="F42" s="303"/>
      <c r="G42" s="303"/>
      <c r="H42" s="303"/>
      <c r="I42" s="303"/>
      <c r="J42" s="303"/>
      <c r="K42" s="303"/>
      <c r="L42" s="303"/>
      <c r="M42" s="303"/>
      <c r="N42" s="303"/>
      <c r="O42" s="303"/>
      <c r="P42" s="304">
        <f>MAX(0,MIN(99,IF(V42="",N(S42),N(V42))+N(Y42)+N(AB42)))</f>
        <v>10</v>
      </c>
      <c r="Q42" s="304"/>
      <c r="R42" s="304"/>
      <c r="S42" s="305">
        <v>10</v>
      </c>
      <c r="T42" s="305"/>
      <c r="U42" s="305"/>
      <c r="V42" s="139" t="str">
        <f ca="1">IF(职业选项!V93&gt;0,职业选项!V93,"")</f>
        <v/>
      </c>
      <c r="W42" s="139"/>
      <c r="X42" s="139"/>
      <c r="Y42" s="139" t="str">
        <f ca="1">规则数据!H48</f>
        <v/>
      </c>
      <c r="Z42" s="139"/>
      <c r="AA42" s="139"/>
      <c r="AB42" s="139">
        <f>'幕间计算'!B30+IF(AND('幕间计算'!A30&lt;&gt;"",COUNTIF('幕间计算'!$A$2:A30,'幕间计算'!A30)=1),SUMIF('幕间计算'!$C$200:$C$1199,'幕间计算'!A30,'幕间计算'!$E$200:$E$1199),0)</f>
        <v>0</v>
      </c>
      <c r="AC42" s="139"/>
      <c r="AD42" s="306"/>
      <c r="AE42" s="307" t="inlineStr">
        <is>
          <t>☐</t>
        </is>
      </c>
      <c r="AF42" s="302"/>
      <c r="AG42" s="362" t="str">
        <f ca="1">IFERROR(INDEX(规则数据!$C$2:$C$9,SMALL(规则数据!$AX$2:$AX$9,3)),"")</f>
        <v/>
      </c>
      <c r="AH42" s="362"/>
      <c r="AI42" s="362"/>
      <c r="AJ42" s="362"/>
      <c r="AK42" s="362"/>
      <c r="AL42" s="362"/>
      <c r="AM42" s="362"/>
      <c r="AN42" s="362"/>
      <c r="AO42" s="362"/>
      <c r="AP42" s="362"/>
      <c r="AQ42" s="362"/>
      <c r="AR42" s="362"/>
      <c r="AS42" s="363">
        <f>MAX(0,MIN(99,IF(AY42="",N(AV42),N(AY42))+N(BB42)+N(BE42)))</f>
        <v>0</v>
      </c>
      <c r="AT42" s="363"/>
      <c r="AU42" s="363"/>
      <c r="AV42" s="139"/>
      <c r="AW42" s="139"/>
      <c r="AX42" s="139"/>
      <c r="AY42" s="139"/>
      <c r="AZ42" s="139"/>
      <c r="BA42" s="139"/>
      <c r="BB42" s="139" t="str">
        <f ca="1">规则数据!H77</f>
        <v/>
      </c>
      <c r="BC42" s="139"/>
      <c r="BD42" s="139"/>
      <c r="BE42" s="139">
        <f>'幕间计算'!B60+IF(AND('幕间计算'!A60&lt;&gt;"",COUNTIF('幕间计算'!$A$2:A60,'幕间计算'!A60)=1),SUMIF('幕间计算'!$C$200:$C$1199,'幕间计算'!A60,'幕间计算'!$E$200:$E$1199),0)</f>
        <v>0</v>
      </c>
      <c r="BF42" s="139"/>
      <c r="BG42" s="308"/>
      <c r="BH42" s="359"/>
      <c r="BI42" s="358"/>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10"/>
      <c r="CY42" s="92"/>
      <c r="CZ42" s="351"/>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52" t="str">
        <f>IF(CZ41="","",'幕间计算'!BW1199)</f>
        <v/>
      </c>
      <c r="EE42" s="353"/>
      <c r="EF42" s="312" t="s">
        <v>87</v>
      </c>
      <c r="EG42" s="354"/>
      <c r="EH42" s="92"/>
      <c r="EI42" s="348"/>
      <c r="EJ42" s="349"/>
      <c r="EK42" s="349"/>
      <c r="EL42" s="349"/>
      <c r="EM42" s="349"/>
      <c r="EN42" s="349"/>
      <c r="EO42" s="349"/>
      <c r="EP42" s="349"/>
      <c r="EQ42" s="349"/>
      <c r="ER42" s="349"/>
      <c r="ES42" s="349"/>
      <c r="ET42" s="349"/>
      <c r="EU42" s="349"/>
      <c r="EV42" s="349"/>
      <c r="EW42" s="349"/>
      <c r="EX42" s="349"/>
      <c r="EY42" s="350"/>
      <c r="EZ42" s="77"/>
    </row>
    <row r="43" customHeight="1" spans="1:156">
      <c r="A43" s="92"/>
      <c r="B43" s="364" t="inlineStr">
        <is>
          <t>☐</t>
        </is>
      </c>
      <c r="C43" s="365"/>
      <c r="D43" s="366" t="s">
        <v>113</v>
      </c>
      <c r="E43" s="366"/>
      <c r="F43" s="366"/>
      <c r="G43" s="366"/>
      <c r="H43" s="366"/>
      <c r="I43" s="366"/>
      <c r="J43" s="366"/>
      <c r="K43" s="366"/>
      <c r="L43" s="366"/>
      <c r="M43" s="366"/>
      <c r="N43" s="366"/>
      <c r="O43" s="366"/>
      <c r="P43" s="367">
        <f>MAX(0,MIN(99,IF(V43="",N(S43),N(V43))+N(Y43)+N(AB43)))</f>
        <v>10</v>
      </c>
      <c r="Q43" s="367"/>
      <c r="R43" s="367"/>
      <c r="S43" s="368">
        <v>10</v>
      </c>
      <c r="T43" s="368"/>
      <c r="U43" s="368"/>
      <c r="V43" s="369" t="str">
        <f ca="1">IF(职业选项!V94&gt;0,职业选项!V94,"")</f>
        <v/>
      </c>
      <c r="W43" s="369"/>
      <c r="X43" s="369"/>
      <c r="Y43" s="369" t="str">
        <f ca="1">规则数据!H49</f>
        <v/>
      </c>
      <c r="Z43" s="369"/>
      <c r="AA43" s="369"/>
      <c r="AB43" s="369">
        <f>'幕间计算'!B31+IF(AND('幕间计算'!A31&lt;&gt;"",COUNTIF('幕间计算'!$A$2:A31,'幕间计算'!A31)=1),SUMIF('幕间计算'!$C$200:$C$1199,'幕间计算'!A31,'幕间计算'!$E$200:$E$1199),0)</f>
        <v>0</v>
      </c>
      <c r="AC43" s="369"/>
      <c r="AD43" s="370"/>
      <c r="AE43" s="371" t="inlineStr">
        <is>
          <t>☐</t>
        </is>
      </c>
      <c r="AF43" s="365"/>
      <c r="AG43" s="372" t="str">
        <f ca="1">IFERROR(INDEX(规则数据!$C$2:$C$9,SMALL(规则数据!$AX$2:$AX$9,4)),"")</f>
        <v/>
      </c>
      <c r="AH43" s="372"/>
      <c r="AI43" s="372"/>
      <c r="AJ43" s="372"/>
      <c r="AK43" s="372"/>
      <c r="AL43" s="372"/>
      <c r="AM43" s="372"/>
      <c r="AN43" s="372"/>
      <c r="AO43" s="372"/>
      <c r="AP43" s="372"/>
      <c r="AQ43" s="372"/>
      <c r="AR43" s="372"/>
      <c r="AS43" s="373">
        <f>MAX(0,MIN(99,IF(AY43="",N(AV43),N(AY43))+N(BB43)+N(BE43)))</f>
        <v>0</v>
      </c>
      <c r="AT43" s="373"/>
      <c r="AU43" s="373"/>
      <c r="AV43" s="369"/>
      <c r="AW43" s="369"/>
      <c r="AX43" s="369"/>
      <c r="AY43" s="369"/>
      <c r="AZ43" s="369"/>
      <c r="BA43" s="369"/>
      <c r="BB43" s="369" t="str">
        <f ca="1">规则数据!H78</f>
        <v/>
      </c>
      <c r="BC43" s="369"/>
      <c r="BD43" s="369"/>
      <c r="BE43" s="369">
        <f>'幕间计算'!B61+IF(AND('幕间计算'!A61&lt;&gt;"",COUNTIF('幕间计算'!$A$2:A61,'幕间计算'!A61)=1),SUMIF('幕间计算'!$C$200:$C$1199,'幕间计算'!A61,'幕间计算'!$E$200:$E$1199),0)</f>
        <v>0</v>
      </c>
      <c r="BF43" s="369"/>
      <c r="BG43" s="374"/>
      <c r="BH43" s="359"/>
      <c r="BI43" s="375"/>
      <c r="BJ43" s="376"/>
      <c r="BK43" s="376"/>
      <c r="BL43" s="376"/>
      <c r="BM43" s="376"/>
      <c r="BN43" s="376"/>
      <c r="BO43" s="376"/>
      <c r="BP43" s="376"/>
      <c r="BQ43" s="376"/>
      <c r="BR43" s="376"/>
      <c r="BS43" s="376"/>
      <c r="BT43" s="376"/>
      <c r="BU43" s="376"/>
      <c r="BV43" s="37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7"/>
      <c r="CY43" s="92"/>
      <c r="CZ43" s="378"/>
      <c r="DA43" s="376"/>
      <c r="DB43" s="376"/>
      <c r="DC43" s="376"/>
      <c r="DD43" s="376"/>
      <c r="DE43" s="376"/>
      <c r="DF43" s="376"/>
      <c r="DG43" s="376"/>
      <c r="DH43" s="376"/>
      <c r="DI43" s="376"/>
      <c r="DJ43" s="376"/>
      <c r="DK43" s="376"/>
      <c r="DL43" s="376"/>
      <c r="DM43" s="376"/>
      <c r="DN43" s="376"/>
      <c r="DO43" s="376"/>
      <c r="DP43" s="376"/>
      <c r="DQ43" s="376"/>
      <c r="DR43" s="376"/>
      <c r="DS43" s="376"/>
      <c r="DT43" s="376"/>
      <c r="DU43" s="376"/>
      <c r="DV43" s="376"/>
      <c r="DW43" s="376"/>
      <c r="DX43" s="376"/>
      <c r="DY43" s="376"/>
      <c r="DZ43" s="376"/>
      <c r="EA43" s="376"/>
      <c r="EB43" s="376"/>
      <c r="EC43" s="376"/>
      <c r="ED43" s="379"/>
      <c r="EE43" s="380"/>
      <c r="EF43" s="381"/>
      <c r="EG43" s="382"/>
      <c r="EH43" s="92"/>
      <c r="EI43" s="348"/>
      <c r="EJ43" s="349"/>
      <c r="EK43" s="349"/>
      <c r="EL43" s="349"/>
      <c r="EM43" s="349"/>
      <c r="EN43" s="349"/>
      <c r="EO43" s="349"/>
      <c r="EP43" s="349"/>
      <c r="EQ43" s="349"/>
      <c r="ER43" s="349"/>
      <c r="ES43" s="349"/>
      <c r="ET43" s="349"/>
      <c r="EU43" s="349"/>
      <c r="EV43" s="349"/>
      <c r="EW43" s="349"/>
      <c r="EX43" s="349"/>
      <c r="EY43" s="350"/>
      <c r="EZ43" s="77"/>
    </row>
    <row r="44" customHeight="1" spans="1:15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I44" s="76"/>
      <c r="BJ44" s="76"/>
      <c r="BK44" s="76"/>
      <c r="BL44" s="76"/>
      <c r="BM44" s="76"/>
      <c r="BN44" s="76"/>
      <c r="BO44" s="76"/>
      <c r="BP44" s="76"/>
      <c r="BQ44" s="76"/>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76"/>
      <c r="CO44" s="76"/>
      <c r="CP44" s="76"/>
      <c r="CQ44" s="76"/>
      <c r="CR44" s="76"/>
      <c r="CS44" s="76"/>
      <c r="CT44" s="76"/>
      <c r="CU44" s="76"/>
      <c r="CV44" s="76"/>
      <c r="CW44" s="76"/>
      <c r="CX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I44" s="76"/>
      <c r="EJ44" s="76"/>
      <c r="EK44" s="76"/>
      <c r="EL44" s="76"/>
      <c r="EM44" s="76"/>
      <c r="EN44" s="76"/>
      <c r="EO44" s="76"/>
      <c r="EP44" s="76"/>
      <c r="EQ44" s="76"/>
      <c r="ER44" s="76"/>
      <c r="ES44" s="76"/>
      <c r="ET44" s="76"/>
      <c r="EU44" s="76"/>
      <c r="EV44" s="76"/>
      <c r="EW44" s="76"/>
      <c r="EX44" s="76"/>
      <c r="EY44" s="76"/>
    </row>
    <row r="45" customHeight="1" spans="1:156">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5"/>
      <c r="BS45" s="385"/>
      <c r="BT45" s="385"/>
      <c r="BU45" s="338"/>
      <c r="BV45" s="383"/>
      <c r="BW45" s="383"/>
      <c r="BX45" s="383"/>
      <c r="BY45" s="383"/>
      <c r="BZ45" s="383"/>
      <c r="CA45" s="383"/>
      <c r="CB45" s="383"/>
      <c r="CC45" s="383"/>
      <c r="CD45" s="383"/>
      <c r="CE45" s="383"/>
      <c r="CF45" s="383"/>
      <c r="CG45" s="383"/>
      <c r="CH45" s="383"/>
      <c r="CI45" s="383"/>
      <c r="CJ45" s="383"/>
      <c r="CK45" s="383"/>
      <c r="CL45" s="383"/>
      <c r="CM45" s="383"/>
      <c r="CN45" s="76"/>
      <c r="CO45" s="76"/>
      <c r="CP45" s="76"/>
      <c r="CQ45" s="76"/>
      <c r="CR45" s="76"/>
      <c r="CS45" s="76"/>
      <c r="CT45" s="76"/>
      <c r="CU45" s="76"/>
      <c r="CV45" s="76"/>
      <c r="CW45" s="76"/>
      <c r="CX45" s="76"/>
      <c r="CZ45" s="76"/>
      <c r="DA45" s="76"/>
      <c r="DB45" s="76"/>
      <c r="DC45" s="76"/>
      <c r="DD45" s="76"/>
      <c r="DE45" s="76"/>
      <c r="DF45" s="80"/>
      <c r="DG45" s="80"/>
      <c r="DH45" s="80"/>
      <c r="DI45" s="80"/>
      <c r="DJ45" s="80"/>
      <c r="DK45" s="80"/>
      <c r="DL45" s="80"/>
      <c r="DM45" s="80"/>
      <c r="DN45" s="80"/>
      <c r="DO45" s="80"/>
      <c r="DP45" s="80"/>
      <c r="DQ45" s="80"/>
      <c r="DR45" s="80"/>
      <c r="DS45" s="76"/>
      <c r="DT45" s="76"/>
      <c r="DU45" s="76"/>
      <c r="DV45" s="76"/>
      <c r="DW45" s="76"/>
      <c r="DX45" s="76"/>
      <c r="DY45" s="76"/>
      <c r="DZ45" s="76"/>
      <c r="EA45" s="76"/>
      <c r="EB45" s="76"/>
      <c r="EC45" s="76"/>
      <c r="ED45" s="76"/>
      <c r="EE45" s="76"/>
      <c r="EF45" s="76"/>
      <c r="EG45" s="76"/>
      <c r="EI45" s="76"/>
      <c r="EJ45" s="76"/>
      <c r="EK45" s="76"/>
      <c r="EL45" s="76"/>
      <c r="EM45" s="76"/>
      <c r="EN45" s="76"/>
      <c r="EO45" s="76"/>
      <c r="EP45" s="76"/>
      <c r="EQ45" s="76"/>
      <c r="ER45" s="76"/>
      <c r="ES45" s="76"/>
      <c r="ET45" s="76"/>
      <c r="EU45" s="76"/>
      <c r="EV45" s="76"/>
      <c r="EW45" s="76"/>
      <c r="EX45" s="76"/>
      <c r="EY45" s="76"/>
    </row>
    <row r="46" customHeight="1" spans="1:156">
      <c r="A46" s="92"/>
      <c r="B46" s="386" t="s">
        <v>114</v>
      </c>
      <c r="C46" s="387"/>
      <c r="D46" s="387"/>
      <c r="E46" s="387"/>
      <c r="F46" s="387"/>
      <c r="G46" s="388"/>
      <c r="H46" s="389" t="inlineStr">
        <is>
          <t xml:space="preserve">（创建新职业）</t>
        </is>
      </c>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1"/>
      <c r="AK46" s="392"/>
      <c r="AL46" s="393"/>
      <c r="AM46" s="393"/>
      <c r="AN46" s="393"/>
      <c r="AO46" s="393"/>
      <c r="AP46" s="393"/>
      <c r="AQ46" s="393"/>
      <c r="AR46" s="393"/>
      <c r="AS46" s="393"/>
      <c r="AT46" s="393"/>
      <c r="AU46" s="393"/>
      <c r="AV46" s="393"/>
      <c r="AW46" s="393"/>
      <c r="AX46" s="393"/>
      <c r="AY46" s="393"/>
      <c r="AZ46" s="393"/>
      <c r="BA46" s="393"/>
      <c r="BB46" s="393"/>
      <c r="BC46" s="394"/>
      <c r="BD46" s="77"/>
      <c r="BN46" s="395" t="s">
        <v>116</v>
      </c>
      <c r="BO46" s="396"/>
      <c r="BP46" s="396"/>
      <c r="BQ46" s="396"/>
      <c r="BR46" s="396"/>
      <c r="BS46" s="396"/>
      <c r="BT46" s="396"/>
      <c r="BU46" s="396"/>
      <c r="BV46" s="397"/>
      <c r="BW46" s="398" t="inlineStr">
        <is>
          <t xml:space="preserve">（自选）</t>
        </is>
      </c>
      <c r="BX46" s="398"/>
      <c r="BY46" s="398"/>
      <c r="BZ46" s="398"/>
      <c r="CA46" s="398"/>
      <c r="CB46" s="398"/>
      <c r="CC46" s="398"/>
      <c r="CD46" s="398"/>
      <c r="CE46" s="398"/>
      <c r="CF46" s="398"/>
      <c r="CG46" s="398"/>
      <c r="CH46" s="398"/>
      <c r="CI46" s="398"/>
      <c r="CJ46" s="398"/>
      <c r="CK46" s="398"/>
      <c r="CL46" s="398"/>
      <c r="CM46" s="398"/>
      <c r="CN46" s="398"/>
      <c r="CO46" s="398"/>
      <c r="CP46" s="398"/>
      <c r="CQ46" s="399"/>
      <c r="CZ46" s="395" t="s">
        <v>118</v>
      </c>
      <c r="DA46" s="396"/>
      <c r="DB46" s="396"/>
      <c r="DC46" s="396"/>
      <c r="DD46" s="396"/>
      <c r="DE46" s="396"/>
      <c r="DF46" s="400" t="inlineStr">
        <is>
          <t xml:space="preserve">（无）</t>
        </is>
      </c>
      <c r="DG46" s="401"/>
      <c r="DH46" s="401"/>
      <c r="DI46" s="401"/>
      <c r="DJ46" s="401"/>
      <c r="DK46" s="401"/>
      <c r="DL46" s="401"/>
      <c r="DM46" s="401"/>
      <c r="DN46" s="401"/>
      <c r="DO46" s="401"/>
      <c r="DP46" s="401"/>
      <c r="DQ46" s="401"/>
      <c r="DR46" s="402"/>
      <c r="DS46" s="77"/>
    </row>
    <row r="47" customHeight="1" spans="1:156">
      <c r="A47" s="92"/>
      <c r="B47" s="403" t="s">
        <v>120</v>
      </c>
      <c r="C47" s="404"/>
      <c r="D47" s="404"/>
      <c r="E47" s="404"/>
      <c r="F47" s="404"/>
      <c r="G47" s="405"/>
      <c r="H47" s="406"/>
      <c r="I47" s="407"/>
      <c r="J47" s="407"/>
      <c r="K47" s="407"/>
      <c r="L47" s="407"/>
      <c r="M47" s="407"/>
      <c r="N47" s="407"/>
      <c r="O47" s="407"/>
      <c r="P47" s="407"/>
      <c r="Q47" s="407"/>
      <c r="R47" s="407"/>
      <c r="S47" s="407"/>
      <c r="T47" s="407"/>
      <c r="U47" s="408"/>
      <c r="V47" s="409" t="str">
        <f>IF(附表!I12=FALSE,"←请选择子模板","")</f>
        <v/>
      </c>
      <c r="W47" s="409"/>
      <c r="X47" s="409"/>
      <c r="Y47" s="409"/>
      <c r="Z47" s="409"/>
      <c r="AA47" s="409"/>
      <c r="AB47" s="409"/>
      <c r="AC47" s="409"/>
      <c r="AD47" s="409"/>
      <c r="AE47" s="409"/>
      <c r="AF47" s="409"/>
      <c r="AG47" s="409"/>
      <c r="AH47" s="409"/>
      <c r="AI47" s="409"/>
      <c r="AJ47" s="409"/>
      <c r="AK47" s="76"/>
      <c r="AL47" s="410"/>
      <c r="AM47" s="410"/>
      <c r="AN47" s="410"/>
      <c r="AO47" s="410"/>
      <c r="AP47" s="410"/>
      <c r="AQ47" s="410"/>
      <c r="AR47" s="410"/>
      <c r="AS47" s="410"/>
      <c r="AT47" s="410"/>
      <c r="AU47" s="410"/>
      <c r="AV47" s="410"/>
      <c r="AW47" s="410"/>
      <c r="AX47" s="410"/>
      <c r="AY47" s="410"/>
      <c r="AZ47" s="410"/>
      <c r="BA47" s="410"/>
      <c r="BB47" s="410"/>
      <c r="BC47" s="411"/>
      <c r="BD47" s="412"/>
      <c r="BE47" s="413"/>
      <c r="BN47" s="414" t="inlineStr">
        <is>
          <t>右栏可替换固定项；留空沿用模板。</t>
        </is>
      </c>
      <c r="BO47" s="415"/>
      <c r="BP47" s="415"/>
      <c r="BQ47" s="415"/>
      <c r="BR47" s="415"/>
      <c r="BS47" s="415"/>
      <c r="BT47" s="415"/>
      <c r="BU47" s="415"/>
      <c r="BV47" s="415"/>
      <c r="BW47" s="415"/>
      <c r="BX47" s="415"/>
      <c r="BY47" s="415"/>
      <c r="BZ47" s="415"/>
      <c r="CA47" s="415"/>
      <c r="CB47" s="415"/>
      <c r="CC47" s="415"/>
      <c r="CD47" s="415"/>
      <c r="CE47" s="415"/>
      <c r="CF47" s="415"/>
      <c r="CG47" s="415"/>
      <c r="CH47" s="415"/>
      <c r="CI47" s="415"/>
      <c r="CJ47" s="415"/>
      <c r="CK47" s="415"/>
      <c r="CL47" s="415"/>
      <c r="CM47" s="415"/>
      <c r="CN47" s="415"/>
      <c r="CO47" s="415"/>
      <c r="CP47" s="415"/>
      <c r="CQ47" s="416"/>
      <c r="CY47" s="220"/>
      <c r="CZ47" s="417" t="str">
        <f>IFERROR(IF(INDEX(附表!$B$84:$G$88,MATCH($DF$46,附表!$A$84:$A$88,0),1)=0,"",INDEX(附表!$B$84:$G$88,MATCH($DF$46,附表!$A$84:$A$88,0),1)),"")</f>
        <v> </v>
      </c>
      <c r="DA47" s="418"/>
      <c r="DB47" s="418"/>
      <c r="DC47" s="418"/>
      <c r="DD47" s="418"/>
      <c r="DE47" s="418"/>
      <c r="DF47" s="418"/>
      <c r="DG47" s="418"/>
      <c r="DH47" s="418"/>
      <c r="DI47" s="418"/>
      <c r="DJ47" s="418"/>
      <c r="DK47" s="418"/>
      <c r="DL47" s="418"/>
      <c r="DM47" s="418"/>
      <c r="DN47" s="418"/>
      <c r="DO47" s="418"/>
      <c r="DP47" s="418"/>
      <c r="DQ47" s="418"/>
      <c r="DR47" s="419"/>
      <c r="DS47" s="77"/>
    </row>
    <row r="48" customHeight="1" spans="1:156">
      <c r="A48" s="92"/>
      <c r="B48" s="420" t="str">
        <f>IF(附表!$I$12,IF(附表!A20=0,"",附表!A20),"")</f>
        <v>任选10个本职技能，分配350</v>
      </c>
      <c r="C48" s="421"/>
      <c r="D48" s="421"/>
      <c r="E48" s="421"/>
      <c r="F48" s="421"/>
      <c r="G48" s="421"/>
      <c r="H48" s="421"/>
      <c r="I48" s="421"/>
      <c r="J48" s="421"/>
      <c r="K48" s="421"/>
      <c r="L48" s="421"/>
      <c r="M48" s="421"/>
      <c r="N48" s="421"/>
      <c r="O48" s="421"/>
      <c r="P48" s="422" t="str">
        <f>IF(职业选项!$T$3&gt;0,"下拉选"&amp;职业选项!$T$3&amp;"·已选"&amp;职业选项!$T$4,"无任选项")</f>
        <v>无任选项</v>
      </c>
      <c r="Q48" s="422"/>
      <c r="R48" s="422"/>
      <c r="S48" s="422"/>
      <c r="T48" s="422"/>
      <c r="U48" s="422"/>
      <c r="V48" s="422"/>
      <c r="W48" s="422"/>
      <c r="X48" s="422"/>
      <c r="Y48" s="422"/>
      <c r="Z48" s="423"/>
      <c r="AA48" s="424" t="s">
        <v>122</v>
      </c>
      <c r="AB48" s="425"/>
      <c r="AC48" s="425"/>
      <c r="AD48" s="425"/>
      <c r="AE48" s="425"/>
      <c r="AF48" s="425"/>
      <c r="AG48" s="425"/>
      <c r="AH48" s="426" t="str">
        <f>附表!C16</f>
        <v>≤4</v>
      </c>
      <c r="AI48" s="427"/>
      <c r="AJ48" s="427"/>
      <c r="AK48" s="428" t="str">
        <f>IF(附表!AN15=0,"","装备：")</f>
        <v/>
      </c>
      <c r="AL48" s="428"/>
      <c r="AM48" s="428"/>
      <c r="AN48" s="428"/>
      <c r="AO48" s="428"/>
      <c r="AP48" s="428"/>
      <c r="AQ48" s="428"/>
      <c r="AR48" s="428"/>
      <c r="AS48" s="428"/>
      <c r="AT48" s="428"/>
      <c r="AU48" s="428"/>
      <c r="AV48" s="428"/>
      <c r="AW48" s="428"/>
      <c r="AX48" s="428"/>
      <c r="AY48" s="428"/>
      <c r="AZ48" s="428"/>
      <c r="BA48" s="428"/>
      <c r="BB48" s="428"/>
      <c r="BC48" s="429"/>
      <c r="BD48" s="412"/>
      <c r="BE48" s="413"/>
      <c r="BN48" s="430" t="s">
        <v>123</v>
      </c>
      <c r="BO48" s="428"/>
      <c r="BP48" s="428"/>
      <c r="BQ48" s="428"/>
      <c r="BR48" s="428"/>
      <c r="BS48" s="428"/>
      <c r="BT48" s="428"/>
      <c r="BU48" s="428"/>
      <c r="BV48" s="428"/>
      <c r="BZ48" s="430" t="inlineStr">
        <is>
          <t>替换／任选</t>
        </is>
      </c>
      <c r="CQ48" s="431"/>
      <c r="CY48" s="220"/>
      <c r="CZ48" s="432" t="str">
        <f>IFERROR(IF(INDEX(附表!$B$84:$G$88,MATCH($DF$46,附表!$A$84:$A$88,0),2)=0,"",INDEX(附表!$B$84:$G$88,MATCH($DF$46,附表!$A$84:$A$88,0),2)),"")</f>
        <v> </v>
      </c>
      <c r="DR48" s="433"/>
      <c r="DS48" s="77"/>
    </row>
    <row r="49" customHeight="1" spans="1:123">
      <c r="A49" s="92"/>
      <c r="B49" s="420" t="str">
        <f>IF(附表!$I$12,IF(附表!A21=0,"",附表!A21),"")</f>
        <v>技能点，额外加在基础值上，</v>
      </c>
      <c r="C49" s="421"/>
      <c r="D49" s="421"/>
      <c r="E49" s="421"/>
      <c r="F49" s="421"/>
      <c r="G49" s="421"/>
      <c r="H49" s="421"/>
      <c r="I49" s="421"/>
      <c r="J49" s="421"/>
      <c r="K49" s="421"/>
      <c r="L49" s="421"/>
      <c r="M49" s="421"/>
      <c r="N49" s="421"/>
      <c r="O49" s="421"/>
      <c r="P49" s="491" t="inlineStr">
        <is>
          <t xml:space="preserve">☐</t>
        </is>
      </c>
      <c r="Q49" s="427"/>
      <c r="R49" s="492" t="str">
        <f>IF(AND(附表!$I$12,职业选项!A18&lt;&gt;""),职业选项!A18,"")</f>
        <v/>
      </c>
      <c r="S49" s="427"/>
      <c r="T49" s="427"/>
      <c r="U49" s="427"/>
      <c r="V49" s="427"/>
      <c r="W49" s="427"/>
      <c r="X49" s="427"/>
      <c r="Y49" s="427"/>
      <c r="Z49" s="434"/>
      <c r="AA49" s="435" t="str">
        <f>IF(附表!B16=0,"","推荐属性：")</f>
        <v/>
      </c>
      <c r="AB49" s="435"/>
      <c r="AC49" s="435"/>
      <c r="AD49" s="435"/>
      <c r="AE49" s="435"/>
      <c r="AF49" s="435"/>
      <c r="AG49" s="436"/>
      <c r="AH49" s="436"/>
      <c r="AI49" s="436"/>
      <c r="AJ49" s="437"/>
      <c r="AK49" s="438" t="str">
        <f>IF(附表!AN15=0,"",附表!AN15)</f>
        <v/>
      </c>
      <c r="AL49" s="438"/>
      <c r="AM49" s="438"/>
      <c r="AN49" s="438"/>
      <c r="AO49" s="438"/>
      <c r="AP49" s="438"/>
      <c r="AQ49" s="438"/>
      <c r="AR49" s="438"/>
      <c r="AS49" s="438"/>
      <c r="AT49" s="438"/>
      <c r="AU49" s="438"/>
      <c r="AV49" s="438"/>
      <c r="AW49" s="438"/>
      <c r="AX49" s="438"/>
      <c r="AY49" s="438"/>
      <c r="AZ49" s="438"/>
      <c r="BA49" s="438"/>
      <c r="BB49" s="438"/>
      <c r="BC49" s="439"/>
      <c r="BD49" s="412"/>
      <c r="BE49" s="413"/>
      <c r="BN49" s="430" t="str">
        <f ca="1">规则数据!A2</f>
        <v>自选技能1（+20）</v>
      </c>
      <c r="BO49" s="440"/>
      <c r="BP49" s="440"/>
      <c r="BQ49" s="440"/>
      <c r="BR49" s="440"/>
      <c r="BS49" s="440"/>
      <c r="BT49" s="440"/>
      <c r="BU49" s="440"/>
      <c r="BV49" s="440"/>
      <c r="BW49" s="440"/>
      <c r="BX49" s="440"/>
      <c r="BY49" s="440"/>
      <c r="BZ49" s="441"/>
      <c r="CA49" s="440"/>
      <c r="CB49" s="440"/>
      <c r="CC49" s="440"/>
      <c r="CD49" s="440"/>
      <c r="CE49" s="440"/>
      <c r="CF49" s="440"/>
      <c r="CG49" s="440"/>
      <c r="CH49" s="440"/>
      <c r="CI49" s="440"/>
      <c r="CJ49" s="440"/>
      <c r="CK49" s="440"/>
      <c r="CQ49" s="431"/>
      <c r="CY49" s="220"/>
      <c r="CZ49" s="432" t="str">
        <f>IFERROR(IF(INDEX(附表!$B$84:$G$88,MATCH($DF$46,附表!$A$84:$A$88,0),3)=0,"",INDEX(附表!$B$84:$G$88,MATCH($DF$46,附表!$A$84:$A$88,0),3)),"")</f>
        <v> </v>
      </c>
      <c r="DR49" s="433"/>
      <c r="DS49" s="77"/>
    </row>
    <row r="50" customHeight="1" spans="1:123">
      <c r="A50" s="92"/>
      <c r="B50" s="420" t="str">
        <f>IF(附表!$I$12,IF(附表!A22=0,"",附表!A22),"")</f>
        <v>最高至60%。重要关系自4个开</v>
      </c>
      <c r="C50" s="421"/>
      <c r="D50" s="421"/>
      <c r="E50" s="421"/>
      <c r="F50" s="421"/>
      <c r="G50" s="421"/>
      <c r="H50" s="421"/>
      <c r="I50" s="421"/>
      <c r="J50" s="421"/>
      <c r="K50" s="421"/>
      <c r="L50" s="421"/>
      <c r="M50" s="421"/>
      <c r="N50" s="421"/>
      <c r="O50" s="421"/>
      <c r="P50" s="493" t="inlineStr">
        <is>
          <t xml:space="preserve">☐</t>
        </is>
      </c>
      <c r="Q50" s="427"/>
      <c r="R50" s="494" t="str">
        <f>IF(AND(附表!$I$12,职业选项!A19&lt;&gt;""),职业选项!A19,"")</f>
        <v/>
      </c>
      <c r="S50" s="427"/>
      <c r="T50" s="427"/>
      <c r="U50" s="427"/>
      <c r="V50" s="427"/>
      <c r="W50" s="427"/>
      <c r="X50" s="427"/>
      <c r="Y50" s="427"/>
      <c r="Z50" s="434"/>
      <c r="AA50" s="442" t="str">
        <f>IF(附表!B16=0,"",附表!B16)</f>
        <v/>
      </c>
      <c r="AB50" s="443"/>
      <c r="AC50" s="443"/>
      <c r="AD50" s="443"/>
      <c r="AE50" s="443"/>
      <c r="AF50" s="443"/>
      <c r="AG50" s="443"/>
      <c r="AH50" s="443"/>
      <c r="AI50" s="443"/>
      <c r="AJ50" s="443"/>
      <c r="AK50" s="438"/>
      <c r="AL50" s="438"/>
      <c r="AM50" s="438"/>
      <c r="AN50" s="438"/>
      <c r="AO50" s="438"/>
      <c r="AP50" s="438"/>
      <c r="AQ50" s="438"/>
      <c r="AR50" s="438"/>
      <c r="AS50" s="438"/>
      <c r="AT50" s="438"/>
      <c r="AU50" s="438"/>
      <c r="AV50" s="438"/>
      <c r="AW50" s="438"/>
      <c r="AX50" s="438"/>
      <c r="AY50" s="438"/>
      <c r="AZ50" s="438"/>
      <c r="BA50" s="438"/>
      <c r="BB50" s="438"/>
      <c r="BC50" s="439"/>
      <c r="BD50" s="412"/>
      <c r="BE50" s="413"/>
      <c r="BN50" s="430" t="str">
        <f ca="1">规则数据!A3</f>
        <v>自选技能2（+20）</v>
      </c>
      <c r="BO50" s="440"/>
      <c r="BP50" s="440"/>
      <c r="BQ50" s="440"/>
      <c r="BR50" s="440"/>
      <c r="BS50" s="440"/>
      <c r="BT50" s="440"/>
      <c r="BU50" s="440"/>
      <c r="BV50" s="440"/>
      <c r="BW50" s="440"/>
      <c r="BX50" s="440"/>
      <c r="BY50" s="440"/>
      <c r="BZ50" s="441"/>
      <c r="CA50" s="440"/>
      <c r="CB50" s="440"/>
      <c r="CC50" s="440"/>
      <c r="CD50" s="440"/>
      <c r="CE50" s="440"/>
      <c r="CF50" s="440"/>
      <c r="CG50" s="440"/>
      <c r="CH50" s="440"/>
      <c r="CI50" s="440"/>
      <c r="CJ50" s="440"/>
      <c r="CK50" s="440"/>
      <c r="CQ50" s="431"/>
      <c r="CY50" s="220"/>
      <c r="CZ50" s="432" t="str">
        <f>IFERROR(IF(INDEX(附表!$B$84:$G$88,MATCH($DF$46,附表!$A$84:$A$88,0),4)=0,"",INDEX(附表!$B$84:$G$88,MATCH($DF$46,附表!$A$84:$A$88,0),4)),"")</f>
        <v> </v>
      </c>
      <c r="DR50" s="433"/>
      <c r="DS50" s="77"/>
    </row>
    <row r="51" customHeight="1" spans="1:123">
      <c r="A51" s="92"/>
      <c r="B51" s="420" t="str">
        <f>IF(附表!$I$12,IF(附表!A23=0,"",附表!A23),"")</f>
        <v>始每少一个（最少1个），增</v>
      </c>
      <c r="C51" s="421"/>
      <c r="D51" s="421"/>
      <c r="E51" s="421"/>
      <c r="F51" s="421"/>
      <c r="G51" s="421"/>
      <c r="H51" s="421"/>
      <c r="I51" s="421"/>
      <c r="J51" s="421"/>
      <c r="K51" s="421"/>
      <c r="L51" s="421"/>
      <c r="M51" s="421"/>
      <c r="N51" s="421"/>
      <c r="O51" s="421"/>
      <c r="P51" s="495" t="inlineStr">
        <is>
          <t xml:space="preserve">☐</t>
        </is>
      </c>
      <c r="Q51" s="427"/>
      <c r="R51" s="496" t="str">
        <f>IF(AND(附表!$I$12,职业选项!A20&lt;&gt;""),职业选项!A20,"")</f>
        <v/>
      </c>
      <c r="S51" s="427"/>
      <c r="T51" s="427"/>
      <c r="U51" s="427"/>
      <c r="V51" s="427"/>
      <c r="W51" s="427"/>
      <c r="X51" s="427"/>
      <c r="Y51" s="427"/>
      <c r="Z51" s="434"/>
      <c r="AA51" s="444" t="str">
        <f>IF(附表!F20=0,"","建议额外技能：")</f>
        <v/>
      </c>
      <c r="AB51" s="445"/>
      <c r="AC51" s="445"/>
      <c r="AD51" s="445"/>
      <c r="AE51" s="445"/>
      <c r="AF51" s="445"/>
      <c r="AG51" s="445"/>
      <c r="AH51" s="445"/>
      <c r="AI51" s="445"/>
      <c r="AJ51" s="445"/>
      <c r="AK51" s="438"/>
      <c r="AL51" s="438"/>
      <c r="AM51" s="438"/>
      <c r="AN51" s="438"/>
      <c r="AO51" s="438"/>
      <c r="AP51" s="438"/>
      <c r="AQ51" s="438"/>
      <c r="AR51" s="438"/>
      <c r="AS51" s="438"/>
      <c r="AT51" s="438"/>
      <c r="AU51" s="438"/>
      <c r="AV51" s="438"/>
      <c r="AW51" s="438"/>
      <c r="AX51" s="438"/>
      <c r="AY51" s="438"/>
      <c r="AZ51" s="438"/>
      <c r="BA51" s="438"/>
      <c r="BB51" s="438"/>
      <c r="BC51" s="439"/>
      <c r="BD51" s="77"/>
      <c r="BN51" s="430" t="str">
        <f ca="1">规则数据!A4</f>
        <v>自选技能3（+20）</v>
      </c>
      <c r="BO51" s="440"/>
      <c r="BP51" s="440"/>
      <c r="BQ51" s="440"/>
      <c r="BR51" s="440"/>
      <c r="BS51" s="440"/>
      <c r="BT51" s="440"/>
      <c r="BU51" s="440"/>
      <c r="BV51" s="440"/>
      <c r="BW51" s="440"/>
      <c r="BX51" s="440"/>
      <c r="BY51" s="440"/>
      <c r="BZ51" s="441"/>
      <c r="CA51" s="440"/>
      <c r="CB51" s="440"/>
      <c r="CC51" s="440"/>
      <c r="CD51" s="440"/>
      <c r="CE51" s="440"/>
      <c r="CF51" s="440"/>
      <c r="CG51" s="440"/>
      <c r="CH51" s="440"/>
      <c r="CI51" s="440"/>
      <c r="CJ51" s="440"/>
      <c r="CK51" s="440"/>
      <c r="CQ51" s="431"/>
      <c r="CY51" s="220"/>
      <c r="CZ51" s="432" t="str">
        <f>IFERROR(IF(INDEX(附表!$B$84:$G$88,MATCH($DF$46,附表!$A$84:$A$88,0),5)=0,"",INDEX(附表!$B$84:$G$88,MATCH($DF$46,附表!$A$84:$A$88,0),5)),"")</f>
        <v> </v>
      </c>
      <c r="DR51" s="433"/>
      <c r="DS51" s="77"/>
    </row>
    <row r="52" customHeight="1" spans="1:123">
      <c r="A52" s="92"/>
      <c r="B52" s="420" t="str">
        <f>IF(附表!$I$12,IF(附表!A24=0,"",附表!A24),"")</f>
        <v>加50本职技能点。</v>
      </c>
      <c r="C52" s="421"/>
      <c r="D52" s="421"/>
      <c r="E52" s="421"/>
      <c r="F52" s="421"/>
      <c r="G52" s="421"/>
      <c r="H52" s="421"/>
      <c r="I52" s="421"/>
      <c r="J52" s="421"/>
      <c r="K52" s="421"/>
      <c r="L52" s="421"/>
      <c r="M52" s="421"/>
      <c r="N52" s="421"/>
      <c r="O52" s="421"/>
      <c r="P52" s="497" t="inlineStr">
        <is>
          <t xml:space="preserve">☐</t>
        </is>
      </c>
      <c r="Q52" s="427"/>
      <c r="R52" s="498" t="str">
        <f>IF(AND(附表!$I$12,职业选项!A21&lt;&gt;""),职业选项!A21,"")</f>
        <v/>
      </c>
      <c r="S52" s="427"/>
      <c r="T52" s="427"/>
      <c r="U52" s="427"/>
      <c r="V52" s="427"/>
      <c r="W52" s="427"/>
      <c r="X52" s="427"/>
      <c r="Y52" s="427"/>
      <c r="Z52" s="434"/>
      <c r="AA52" s="442" t="str">
        <f>IF(附表!F20=0,"",附表!F20)</f>
        <v/>
      </c>
      <c r="AB52" s="443"/>
      <c r="AC52" s="443"/>
      <c r="AD52" s="443"/>
      <c r="AE52" s="443"/>
      <c r="AF52" s="443"/>
      <c r="AG52" s="443"/>
      <c r="AH52" s="443"/>
      <c r="AI52" s="443"/>
      <c r="AJ52" s="443"/>
      <c r="AK52" s="438"/>
      <c r="AL52" s="438"/>
      <c r="AM52" s="438"/>
      <c r="AN52" s="438"/>
      <c r="AO52" s="438"/>
      <c r="AP52" s="438"/>
      <c r="AQ52" s="438"/>
      <c r="AR52" s="438"/>
      <c r="AS52" s="438"/>
      <c r="AT52" s="438"/>
      <c r="AU52" s="438"/>
      <c r="AV52" s="438"/>
      <c r="AW52" s="438"/>
      <c r="AX52" s="438"/>
      <c r="AY52" s="438"/>
      <c r="AZ52" s="438"/>
      <c r="BA52" s="438"/>
      <c r="BB52" s="438"/>
      <c r="BC52" s="439"/>
      <c r="BD52" s="77"/>
      <c r="BN52" s="430" t="str">
        <f ca="1">规则数据!A5</f>
        <v>自选技能4（+20）</v>
      </c>
      <c r="BO52" s="440"/>
      <c r="BP52" s="440"/>
      <c r="BQ52" s="440"/>
      <c r="BR52" s="440"/>
      <c r="BS52" s="440"/>
      <c r="BT52" s="440"/>
      <c r="BU52" s="440"/>
      <c r="BV52" s="440"/>
      <c r="BW52" s="440"/>
      <c r="BX52" s="440"/>
      <c r="BY52" s="440"/>
      <c r="BZ52" s="441"/>
      <c r="CA52" s="440"/>
      <c r="CB52" s="440"/>
      <c r="CC52" s="440"/>
      <c r="CD52" s="440"/>
      <c r="CE52" s="440"/>
      <c r="CF52" s="440"/>
      <c r="CG52" s="440"/>
      <c r="CH52" s="440"/>
      <c r="CI52" s="440"/>
      <c r="CJ52" s="440"/>
      <c r="CK52" s="440"/>
      <c r="CQ52" s="431"/>
      <c r="CY52" s="220"/>
      <c r="CZ52" s="446" t="str">
        <f>IFERROR(IF(INDEX(附表!$B$84:$G$88,MATCH($DF$46,附表!$A$84:$A$88,0),6)=0,"",INDEX(附表!$B$84:$G$88,MATCH($DF$46,附表!$A$84:$A$88,0),6)),"")</f>
        <v> </v>
      </c>
      <c r="DA52" s="447"/>
      <c r="DB52" s="447"/>
      <c r="DC52" s="447"/>
      <c r="DD52" s="447"/>
      <c r="DE52" s="447"/>
      <c r="DF52" s="447"/>
      <c r="DG52" s="447"/>
      <c r="DH52" s="447"/>
      <c r="DI52" s="447"/>
      <c r="DJ52" s="447"/>
      <c r="DK52" s="447"/>
      <c r="DL52" s="447"/>
      <c r="DM52" s="447"/>
      <c r="DN52" s="447"/>
      <c r="DO52" s="447"/>
      <c r="DP52" s="447"/>
      <c r="DQ52" s="447"/>
      <c r="DR52" s="448"/>
      <c r="DS52" s="77"/>
    </row>
    <row r="53" customHeight="1" spans="1:123">
      <c r="A53" s="92"/>
      <c r="B53" s="420" t="str">
        <f>IF(附表!$I$12,IF(附表!A25=0,"",附表!A25),"")</f>
        <v/>
      </c>
      <c r="C53" s="421"/>
      <c r="D53" s="421"/>
      <c r="E53" s="421"/>
      <c r="F53" s="421"/>
      <c r="G53" s="421"/>
      <c r="H53" s="421"/>
      <c r="I53" s="421"/>
      <c r="J53" s="421"/>
      <c r="K53" s="421"/>
      <c r="L53" s="421"/>
      <c r="M53" s="421"/>
      <c r="N53" s="421"/>
      <c r="O53" s="421"/>
      <c r="P53" s="499" t="inlineStr">
        <is>
          <t xml:space="preserve">☐</t>
        </is>
      </c>
      <c r="Q53" s="427"/>
      <c r="R53" s="500" t="str">
        <f>IF(AND(附表!$I$12,职业选项!A22&lt;&gt;""),职业选项!A22,"")</f>
        <v/>
      </c>
      <c r="S53" s="427"/>
      <c r="T53" s="427"/>
      <c r="U53" s="427"/>
      <c r="V53" s="427"/>
      <c r="W53" s="427"/>
      <c r="X53" s="427"/>
      <c r="Y53" s="427"/>
      <c r="Z53" s="434"/>
      <c r="AA53" s="442" t="str">
        <f>IF(附表!F21=0,"",附表!F21)</f>
        <v/>
      </c>
      <c r="AB53" s="443"/>
      <c r="AC53" s="443"/>
      <c r="AD53" s="443"/>
      <c r="AE53" s="443"/>
      <c r="AF53" s="443"/>
      <c r="AG53" s="443"/>
      <c r="AH53" s="443"/>
      <c r="AI53" s="443"/>
      <c r="AJ53" s="443"/>
      <c r="AK53" s="438"/>
      <c r="AL53" s="438"/>
      <c r="AM53" s="438"/>
      <c r="AN53" s="438"/>
      <c r="AO53" s="438"/>
      <c r="AP53" s="438"/>
      <c r="AQ53" s="438"/>
      <c r="AR53" s="438"/>
      <c r="AS53" s="438"/>
      <c r="AT53" s="438"/>
      <c r="AU53" s="438"/>
      <c r="AV53" s="438"/>
      <c r="AW53" s="438"/>
      <c r="AX53" s="438"/>
      <c r="AY53" s="438"/>
      <c r="AZ53" s="438"/>
      <c r="BA53" s="438"/>
      <c r="BB53" s="438"/>
      <c r="BC53" s="439"/>
      <c r="BD53" s="77"/>
      <c r="BN53" s="430" t="str">
        <f ca="1">规则数据!A6</f>
        <v>自选技能5（+20）</v>
      </c>
      <c r="BO53" s="440"/>
      <c r="BP53" s="440"/>
      <c r="BQ53" s="440"/>
      <c r="BR53" s="440"/>
      <c r="BS53" s="440"/>
      <c r="BT53" s="440"/>
      <c r="BU53" s="440"/>
      <c r="BV53" s="440"/>
      <c r="BW53" s="440"/>
      <c r="BX53" s="440"/>
      <c r="BY53" s="440"/>
      <c r="BZ53" s="441"/>
      <c r="CA53" s="440"/>
      <c r="CB53" s="440"/>
      <c r="CC53" s="440"/>
      <c r="CD53" s="440"/>
      <c r="CE53" s="440"/>
      <c r="CF53" s="440"/>
      <c r="CG53" s="440"/>
      <c r="CH53" s="440"/>
      <c r="CI53" s="440"/>
      <c r="CJ53" s="440"/>
      <c r="CK53" s="440"/>
      <c r="CQ53" s="431"/>
      <c r="CZ53" s="76"/>
      <c r="DA53" s="76"/>
      <c r="DB53" s="76"/>
      <c r="DC53" s="76"/>
      <c r="DD53" s="76"/>
      <c r="DE53" s="76"/>
      <c r="DF53" s="76"/>
      <c r="DG53" s="76"/>
      <c r="DH53" s="76"/>
      <c r="DI53" s="76"/>
      <c r="DJ53" s="76"/>
      <c r="DK53" s="76"/>
      <c r="DL53" s="76"/>
      <c r="DM53" s="76"/>
      <c r="DN53" s="76"/>
      <c r="DO53" s="76"/>
      <c r="DP53" s="76"/>
      <c r="DQ53" s="76"/>
      <c r="DR53" s="76"/>
    </row>
    <row r="54" customHeight="1" spans="1:123">
      <c r="A54" s="92"/>
      <c r="B54" s="420" t="str">
        <f>IF(附表!$I$12,IF(附表!A26=0,"",附表!A26),"")</f>
        <v/>
      </c>
      <c r="C54" s="421"/>
      <c r="D54" s="421"/>
      <c r="E54" s="421"/>
      <c r="F54" s="421"/>
      <c r="G54" s="421"/>
      <c r="H54" s="421"/>
      <c r="I54" s="421"/>
      <c r="J54" s="421"/>
      <c r="K54" s="421"/>
      <c r="L54" s="421"/>
      <c r="M54" s="421"/>
      <c r="N54" s="421"/>
      <c r="O54" s="421"/>
      <c r="P54" s="501" t="inlineStr">
        <is>
          <t xml:space="preserve">☐</t>
        </is>
      </c>
      <c r="Q54" s="427"/>
      <c r="R54" s="502" t="str">
        <f>IF(AND(附表!$I$12,职业选项!A23&lt;&gt;""),职业选项!A23,"")</f>
        <v/>
      </c>
      <c r="S54" s="427"/>
      <c r="T54" s="427"/>
      <c r="U54" s="427"/>
      <c r="V54" s="427"/>
      <c r="W54" s="427"/>
      <c r="X54" s="427"/>
      <c r="Y54" s="427"/>
      <c r="Z54" s="434"/>
      <c r="AA54" s="442" t="str">
        <f>IF(附表!F22=0,"",附表!F22)</f>
        <v/>
      </c>
      <c r="AB54" s="443"/>
      <c r="AC54" s="443"/>
      <c r="AD54" s="443"/>
      <c r="AE54" s="443"/>
      <c r="AF54" s="443"/>
      <c r="AG54" s="443"/>
      <c r="AH54" s="443"/>
      <c r="AI54" s="443"/>
      <c r="AJ54" s="443"/>
      <c r="AK54" s="438"/>
      <c r="AL54" s="438"/>
      <c r="AM54" s="438"/>
      <c r="AN54" s="438"/>
      <c r="AO54" s="438"/>
      <c r="AP54" s="438"/>
      <c r="AQ54" s="438"/>
      <c r="AR54" s="438"/>
      <c r="AS54" s="438"/>
      <c r="AT54" s="438"/>
      <c r="AU54" s="438"/>
      <c r="AV54" s="438"/>
      <c r="AW54" s="438"/>
      <c r="AX54" s="438"/>
      <c r="AY54" s="438"/>
      <c r="AZ54" s="438"/>
      <c r="BA54" s="438"/>
      <c r="BB54" s="438"/>
      <c r="BC54" s="439"/>
      <c r="BD54" s="77"/>
      <c r="BN54" s="430" t="str">
        <f ca="1">规则数据!A7</f>
        <v>自选技能6（+20）</v>
      </c>
      <c r="BO54" s="440"/>
      <c r="BP54" s="440"/>
      <c r="BQ54" s="440"/>
      <c r="BR54" s="440"/>
      <c r="BS54" s="440"/>
      <c r="BT54" s="440"/>
      <c r="BU54" s="440"/>
      <c r="BV54" s="440"/>
      <c r="BW54" s="440"/>
      <c r="BX54" s="440"/>
      <c r="BY54" s="440"/>
      <c r="BZ54" s="441"/>
      <c r="CA54" s="440"/>
      <c r="CB54" s="440"/>
      <c r="CC54" s="440"/>
      <c r="CD54" s="440"/>
      <c r="CE54" s="440"/>
      <c r="CF54" s="440"/>
      <c r="CG54" s="440"/>
      <c r="CH54" s="440"/>
      <c r="CI54" s="440"/>
      <c r="CJ54" s="440"/>
      <c r="CK54" s="440"/>
      <c r="CQ54" s="431"/>
      <c r="CZ54" s="430" t="s">
        <v>125</v>
      </c>
      <c r="DF54" s="441">
        <f>N('幕间与结算'!E5)</f>
        <v>0</v>
      </c>
      <c r="DK54" s="430" t="s">
        <v>126</v>
      </c>
      <c r="DR54" s="441">
        <f>N('幕间与结算'!F5)</f>
        <v>0</v>
      </c>
    </row>
    <row r="55" customHeight="1" spans="1:123">
      <c r="A55" s="92"/>
      <c r="B55" s="420" t="str">
        <f>IF(附表!$I$12,IF(附表!A27=0,"",附表!A27),"")</f>
        <v/>
      </c>
      <c r="C55" s="421"/>
      <c r="D55" s="421"/>
      <c r="E55" s="421"/>
      <c r="F55" s="421"/>
      <c r="G55" s="421"/>
      <c r="H55" s="421"/>
      <c r="I55" s="421"/>
      <c r="J55" s="421"/>
      <c r="K55" s="421"/>
      <c r="L55" s="421"/>
      <c r="M55" s="421"/>
      <c r="N55" s="421"/>
      <c r="O55" s="421"/>
      <c r="P55" s="503" t="inlineStr">
        <is>
          <t xml:space="preserve">☐</t>
        </is>
      </c>
      <c r="Q55" s="427"/>
      <c r="R55" s="504" t="str">
        <f>IF(AND(附表!$I$12,职业选项!A24&lt;&gt;""),职业选项!A24,"")</f>
        <v/>
      </c>
      <c r="S55" s="427"/>
      <c r="T55" s="427"/>
      <c r="U55" s="427"/>
      <c r="V55" s="427"/>
      <c r="W55" s="427"/>
      <c r="X55" s="427"/>
      <c r="Y55" s="427"/>
      <c r="Z55" s="434"/>
      <c r="AA55" s="442" t="str">
        <f>IF(附表!F23=0,"",附表!F23)</f>
        <v/>
      </c>
      <c r="AB55" s="443"/>
      <c r="AC55" s="443"/>
      <c r="AD55" s="443"/>
      <c r="AE55" s="443"/>
      <c r="AF55" s="443"/>
      <c r="AG55" s="443"/>
      <c r="AH55" s="443"/>
      <c r="AI55" s="443"/>
      <c r="AJ55" s="443"/>
      <c r="AK55" s="438"/>
      <c r="AL55" s="438"/>
      <c r="AM55" s="438"/>
      <c r="AN55" s="438"/>
      <c r="AO55" s="438"/>
      <c r="AP55" s="438"/>
      <c r="AQ55" s="438"/>
      <c r="AR55" s="438"/>
      <c r="AS55" s="438"/>
      <c r="AT55" s="438"/>
      <c r="AU55" s="438"/>
      <c r="AV55" s="438"/>
      <c r="AW55" s="438"/>
      <c r="AX55" s="438"/>
      <c r="AY55" s="438"/>
      <c r="AZ55" s="438"/>
      <c r="BA55" s="438"/>
      <c r="BB55" s="438"/>
      <c r="BC55" s="439"/>
      <c r="BD55" s="77"/>
      <c r="BN55" s="430" t="str">
        <f ca="1">规则数据!A8</f>
        <v>自选技能7（+20）</v>
      </c>
      <c r="BO55" s="440"/>
      <c r="BP55" s="440"/>
      <c r="BQ55" s="440"/>
      <c r="BR55" s="440"/>
      <c r="BS55" s="440"/>
      <c r="BT55" s="440"/>
      <c r="BU55" s="440"/>
      <c r="BV55" s="440"/>
      <c r="BW55" s="440"/>
      <c r="BX55" s="440"/>
      <c r="BY55" s="440"/>
      <c r="BZ55" s="441"/>
      <c r="CA55" s="440"/>
      <c r="CB55" s="440"/>
      <c r="CC55" s="440"/>
      <c r="CD55" s="440"/>
      <c r="CE55" s="440"/>
      <c r="CF55" s="440"/>
      <c r="CG55" s="440"/>
      <c r="CH55" s="440"/>
      <c r="CI55" s="440"/>
      <c r="CJ55" s="440"/>
      <c r="CK55" s="440"/>
      <c r="CQ55" s="431"/>
      <c r="CZ55" s="430" t="s">
        <v>127</v>
      </c>
      <c r="DF55" s="441"/>
      <c r="DK55" s="430" t="s">
        <v>128</v>
      </c>
      <c r="DR55" s="441"/>
    </row>
    <row r="56" customHeight="1" spans="1:123">
      <c r="A56" s="92"/>
      <c r="B56" s="420" t="str">
        <f>IF(附表!$I$12,IF(附表!A28=0,"",附表!A28),"")</f>
        <v/>
      </c>
      <c r="C56" s="421"/>
      <c r="D56" s="421"/>
      <c r="E56" s="421"/>
      <c r="F56" s="421"/>
      <c r="G56" s="421"/>
      <c r="H56" s="421"/>
      <c r="I56" s="421"/>
      <c r="J56" s="421"/>
      <c r="K56" s="421"/>
      <c r="L56" s="421"/>
      <c r="M56" s="421"/>
      <c r="N56" s="421"/>
      <c r="O56" s="421"/>
      <c r="P56" s="505" t="inlineStr">
        <is>
          <t xml:space="preserve">☐</t>
        </is>
      </c>
      <c r="Q56" s="427"/>
      <c r="R56" s="506" t="str">
        <f>IF(AND(附表!$I$12,职业选项!A25&lt;&gt;""),职业选项!A25,"")</f>
        <v/>
      </c>
      <c r="S56" s="427"/>
      <c r="T56" s="427"/>
      <c r="U56" s="427"/>
      <c r="V56" s="427"/>
      <c r="W56" s="427"/>
      <c r="X56" s="427"/>
      <c r="Y56" s="427"/>
      <c r="Z56" s="434"/>
      <c r="AJ56" s="220"/>
      <c r="AK56" s="438"/>
      <c r="AL56" s="438"/>
      <c r="AM56" s="438"/>
      <c r="AN56" s="438"/>
      <c r="AO56" s="438"/>
      <c r="AP56" s="438"/>
      <c r="AQ56" s="438"/>
      <c r="AR56" s="438"/>
      <c r="AS56" s="438"/>
      <c r="AT56" s="438"/>
      <c r="AU56" s="438"/>
      <c r="AV56" s="438"/>
      <c r="AW56" s="438"/>
      <c r="AX56" s="438"/>
      <c r="AY56" s="438"/>
      <c r="AZ56" s="438"/>
      <c r="BA56" s="438"/>
      <c r="BB56" s="438"/>
      <c r="BC56" s="439"/>
      <c r="BD56" s="77"/>
      <c r="BN56" s="430" t="str">
        <f ca="1">规则数据!A9</f>
        <v>自选技能8（+20）</v>
      </c>
      <c r="BO56" s="449"/>
      <c r="BP56" s="449"/>
      <c r="BQ56" s="449"/>
      <c r="BR56" s="449"/>
      <c r="BS56" s="449"/>
      <c r="BT56" s="449"/>
      <c r="BU56" s="449"/>
      <c r="BV56" s="449"/>
      <c r="BW56" s="449"/>
      <c r="BX56" s="449"/>
      <c r="BY56" s="449"/>
      <c r="BZ56" s="441"/>
      <c r="CA56" s="449"/>
      <c r="CB56" s="449"/>
      <c r="CC56" s="449"/>
      <c r="CD56" s="449"/>
      <c r="CE56" s="449"/>
      <c r="CF56" s="449"/>
      <c r="CG56" s="449"/>
      <c r="CH56" s="449"/>
      <c r="CI56" s="449"/>
      <c r="CJ56" s="449"/>
      <c r="CK56" s="449"/>
      <c r="CL56" s="450"/>
      <c r="CM56" s="450"/>
      <c r="CN56" s="450"/>
      <c r="CO56" s="450"/>
      <c r="CP56" s="450"/>
      <c r="CQ56" s="431"/>
      <c r="CZ56" s="414" t="str">
        <f ca="1">规则数据!S8</f>
        <v>固定效果已计入</v>
      </c>
    </row>
    <row r="57" customHeight="1" spans="1:123">
      <c r="A57" s="92"/>
      <c r="B57" s="420" t="str">
        <f>IF(附表!$I$12,IF(附表!A29=0,"",附表!A29),"")</f>
        <v/>
      </c>
      <c r="C57" s="421"/>
      <c r="D57" s="421"/>
      <c r="E57" s="421"/>
      <c r="F57" s="421"/>
      <c r="G57" s="421"/>
      <c r="H57" s="421"/>
      <c r="I57" s="421"/>
      <c r="J57" s="421"/>
      <c r="K57" s="421"/>
      <c r="L57" s="421"/>
      <c r="M57" s="421"/>
      <c r="N57" s="421"/>
      <c r="O57" s="421"/>
      <c r="P57" s="507" t="inlineStr">
        <is>
          <t xml:space="preserve">☐</t>
        </is>
      </c>
      <c r="Q57" s="427"/>
      <c r="R57" s="508" t="str">
        <f>IF(AND(附表!$I$12,职业选项!A26&lt;&gt;""),职业选项!A26,"")</f>
        <v/>
      </c>
      <c r="S57" s="427"/>
      <c r="T57" s="427"/>
      <c r="U57" s="427"/>
      <c r="V57" s="427"/>
      <c r="W57" s="427"/>
      <c r="X57" s="427"/>
      <c r="Y57" s="427"/>
      <c r="Z57" s="434"/>
      <c r="AJ57" s="220"/>
      <c r="AK57" s="438"/>
      <c r="AL57" s="438"/>
      <c r="AM57" s="438"/>
      <c r="AN57" s="438"/>
      <c r="AO57" s="438"/>
      <c r="AP57" s="438"/>
      <c r="AQ57" s="438"/>
      <c r="AR57" s="438"/>
      <c r="AS57" s="438"/>
      <c r="AT57" s="438"/>
      <c r="AU57" s="438"/>
      <c r="AV57" s="438"/>
      <c r="AW57" s="438"/>
      <c r="AX57" s="438"/>
      <c r="AY57" s="438"/>
      <c r="AZ57" s="438"/>
      <c r="BA57" s="438"/>
      <c r="BB57" s="438"/>
      <c r="BC57" s="439"/>
      <c r="BD57" s="77"/>
      <c r="BN57" s="414" t="str">
        <f ca="1">规则数据!S6</f>
        <v>0/8项；已加0/160点；待填细项／选择</v>
      </c>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51"/>
      <c r="CZ57" s="430" t="s">
        <v>129</v>
      </c>
      <c r="DF57" s="441"/>
    </row>
    <row r="58" customHeight="1" spans="1:123">
      <c r="B58" s="420" t="str">
        <f>IF(附表!$I$12,IF(附表!A30=0,"",附表!A30),"")</f>
        <v/>
      </c>
      <c r="C58" s="421"/>
      <c r="D58" s="421"/>
      <c r="E58" s="421"/>
      <c r="F58" s="421"/>
      <c r="G58" s="421"/>
      <c r="H58" s="421"/>
      <c r="I58" s="421"/>
      <c r="J58" s="421"/>
      <c r="K58" s="421"/>
      <c r="L58" s="421"/>
      <c r="M58" s="421"/>
      <c r="N58" s="421"/>
      <c r="O58" s="421"/>
      <c r="P58" s="509" t="inlineStr">
        <is>
          <t xml:space="preserve">☐</t>
        </is>
      </c>
      <c r="Q58" s="427"/>
      <c r="R58" s="510" t="str">
        <f>IF(AND(附表!$I$12,职业选项!A27&lt;&gt;""),职业选项!A27,"")</f>
        <v/>
      </c>
      <c r="S58" s="427"/>
      <c r="T58" s="427"/>
      <c r="U58" s="427"/>
      <c r="V58" s="427"/>
      <c r="W58" s="427"/>
      <c r="X58" s="427"/>
      <c r="Y58" s="427"/>
      <c r="Z58" s="434"/>
      <c r="AJ58" s="220"/>
      <c r="AK58" s="438"/>
      <c r="AL58" s="438"/>
      <c r="AM58" s="438"/>
      <c r="AN58" s="438"/>
      <c r="AO58" s="438"/>
      <c r="AP58" s="438"/>
      <c r="AQ58" s="438"/>
      <c r="AR58" s="438"/>
      <c r="AS58" s="438"/>
      <c r="AT58" s="438"/>
      <c r="AU58" s="438"/>
      <c r="AV58" s="438"/>
      <c r="AW58" s="438"/>
      <c r="AX58" s="438"/>
      <c r="AY58" s="438"/>
      <c r="AZ58" s="438"/>
      <c r="BA58" s="438"/>
      <c r="BB58" s="438"/>
      <c r="BC58" s="439"/>
      <c r="BD58" s="79"/>
      <c r="BE58" s="76"/>
      <c r="BF58" s="76"/>
      <c r="BG58" s="76"/>
      <c r="BH58" s="76"/>
      <c r="BI58" s="76"/>
      <c r="BJ58" s="76"/>
      <c r="BK58" s="76"/>
      <c r="BL58" s="76"/>
      <c r="BM58" s="76"/>
      <c r="BN58" s="76"/>
      <c r="BO58" s="76"/>
      <c r="BP58" s="76"/>
      <c r="BQ58" s="76"/>
      <c r="BR58" s="76"/>
      <c r="BS58" s="76"/>
      <c r="BT58" s="76"/>
      <c r="CZ58" s="430" t="s">
        <v>130</v>
      </c>
      <c r="DF58" s="441"/>
    </row>
    <row r="59" customHeight="1" spans="1:123">
      <c r="B59" s="420" t="str">
        <f>IF(附表!$I$12,IF(附表!A31=0,"",附表!A31),"")</f>
        <v/>
      </c>
      <c r="C59" s="421"/>
      <c r="D59" s="421"/>
      <c r="E59" s="421"/>
      <c r="F59" s="421"/>
      <c r="G59" s="421"/>
      <c r="H59" s="421"/>
      <c r="I59" s="421"/>
      <c r="J59" s="421"/>
      <c r="K59" s="421"/>
      <c r="L59" s="421"/>
      <c r="M59" s="421"/>
      <c r="N59" s="421"/>
      <c r="O59" s="421"/>
      <c r="P59" s="511" t="inlineStr">
        <is>
          <t xml:space="preserve">☐</t>
        </is>
      </c>
      <c r="Q59" s="427"/>
      <c r="R59" s="512" t="str">
        <f>IF(AND(附表!$I$12,职业选项!A28&lt;&gt;""),职业选项!A28,"")</f>
        <v/>
      </c>
      <c r="S59" s="427"/>
      <c r="T59" s="427"/>
      <c r="U59" s="427"/>
      <c r="V59" s="427"/>
      <c r="W59" s="427"/>
      <c r="X59" s="427"/>
      <c r="Y59" s="427"/>
      <c r="Z59" s="434"/>
      <c r="AJ59" s="220"/>
      <c r="AK59" s="438"/>
      <c r="AL59" s="438"/>
      <c r="AM59" s="438"/>
      <c r="AN59" s="438"/>
      <c r="AO59" s="438"/>
      <c r="AP59" s="438"/>
      <c r="AQ59" s="438"/>
      <c r="AR59" s="438"/>
      <c r="AS59" s="438"/>
      <c r="AT59" s="438"/>
      <c r="AU59" s="438"/>
      <c r="AV59" s="438"/>
      <c r="AW59" s="438"/>
      <c r="AX59" s="438"/>
      <c r="AY59" s="438"/>
      <c r="AZ59" s="438"/>
      <c r="BA59" s="438"/>
      <c r="BB59" s="438"/>
      <c r="BC59" s="439"/>
      <c r="BD59" s="77"/>
      <c r="CZ59" s="430" t="s">
        <v>131</v>
      </c>
      <c r="DF59" s="441"/>
    </row>
    <row r="60" customHeight="1" spans="1:123">
      <c r="B60" s="420" t="str">
        <f>IF(附表!$I$12,IF(附表!A32=0,"",附表!A32),"")</f>
        <v/>
      </c>
      <c r="C60" s="421"/>
      <c r="D60" s="421"/>
      <c r="E60" s="421"/>
      <c r="F60" s="421"/>
      <c r="G60" s="421"/>
      <c r="H60" s="421"/>
      <c r="I60" s="421"/>
      <c r="J60" s="421"/>
      <c r="K60" s="421"/>
      <c r="L60" s="421"/>
      <c r="M60" s="421"/>
      <c r="N60" s="421"/>
      <c r="O60" s="421"/>
      <c r="AA60" s="452" t="str">
        <f ca="1">职业选项!$T$8</f>
        <v>任选已完成
细项直接填上方</v>
      </c>
      <c r="AB60" s="453"/>
      <c r="AC60" s="453"/>
      <c r="AD60" s="453"/>
      <c r="AE60" s="453"/>
      <c r="AF60" s="453"/>
      <c r="AG60" s="453"/>
      <c r="AH60" s="453"/>
      <c r="AI60" s="453"/>
      <c r="AJ60" s="454"/>
      <c r="AK60" s="438"/>
      <c r="AL60" s="438"/>
      <c r="AM60" s="438"/>
      <c r="AN60" s="438"/>
      <c r="AO60" s="438"/>
      <c r="AP60" s="438"/>
      <c r="AQ60" s="438"/>
      <c r="AR60" s="438"/>
      <c r="AS60" s="438"/>
      <c r="AT60" s="438"/>
      <c r="AU60" s="438"/>
      <c r="AV60" s="438"/>
      <c r="AW60" s="438"/>
      <c r="AX60" s="438"/>
      <c r="AY60" s="438"/>
      <c r="AZ60" s="438"/>
      <c r="BA60" s="438"/>
      <c r="BB60" s="438"/>
      <c r="BC60" s="439"/>
      <c r="BD60" s="77"/>
      <c r="CZ60" s="430" t="s">
        <v>132</v>
      </c>
      <c r="DF60" s="441"/>
    </row>
    <row r="61" customHeight="1" spans="1:123">
      <c r="B61" s="420" t="str">
        <f>IF(附表!$I$12,IF(附表!A33=0,"",附表!A33),"")</f>
        <v/>
      </c>
      <c r="C61" s="421"/>
      <c r="D61" s="421"/>
      <c r="E61" s="421"/>
      <c r="F61" s="421"/>
      <c r="G61" s="421"/>
      <c r="H61" s="421"/>
      <c r="I61" s="421"/>
      <c r="J61" s="421"/>
      <c r="K61" s="421"/>
      <c r="L61" s="421"/>
      <c r="M61" s="421"/>
      <c r="N61" s="421"/>
      <c r="O61" s="421"/>
      <c r="P61" s="421" t="str">
        <f ca="1">IF(COUNTIF(职业选项!$E$2:$E$28,"skill")&gt;0,"固定二选一：","")</f>
        <v/>
      </c>
      <c r="AA61" s="455"/>
      <c r="AB61" s="456"/>
      <c r="AC61" s="456"/>
      <c r="AD61" s="456"/>
      <c r="AE61" s="456"/>
      <c r="AF61" s="456"/>
      <c r="AG61" s="456"/>
      <c r="AH61" s="456"/>
      <c r="AI61" s="456"/>
      <c r="AJ61" s="457"/>
      <c r="AK61" s="438"/>
      <c r="AL61" s="438"/>
      <c r="AM61" s="438"/>
      <c r="AN61" s="438"/>
      <c r="AO61" s="438"/>
      <c r="AP61" s="438"/>
      <c r="AQ61" s="438"/>
      <c r="AR61" s="438"/>
      <c r="AS61" s="438"/>
      <c r="AT61" s="438"/>
      <c r="AU61" s="438"/>
      <c r="AV61" s="438"/>
      <c r="AW61" s="438"/>
      <c r="AX61" s="438"/>
      <c r="AY61" s="438"/>
      <c r="AZ61" s="438"/>
      <c r="BA61" s="438"/>
      <c r="BB61" s="438"/>
      <c r="BC61" s="439"/>
      <c r="BD61" s="77"/>
      <c r="CZ61" s="430" t="s">
        <v>133</v>
      </c>
      <c r="DF61" s="441"/>
    </row>
    <row r="62" customHeight="1" spans="1:123">
      <c r="B62" s="420" t="str">
        <f>IF(附表!$I$12,IF(附表!A34=0,"",附表!A34),"")</f>
        <v/>
      </c>
      <c r="C62" s="421"/>
      <c r="D62" s="421"/>
      <c r="E62" s="421"/>
      <c r="F62" s="421"/>
      <c r="G62" s="421"/>
      <c r="H62" s="421"/>
      <c r="I62" s="421"/>
      <c r="J62" s="421"/>
      <c r="K62" s="421"/>
      <c r="L62" s="421"/>
      <c r="M62" s="421"/>
      <c r="N62" s="421"/>
      <c r="O62" s="421"/>
      <c r="P62" s="421"/>
      <c r="AA62" s="455"/>
      <c r="AB62" s="456"/>
      <c r="AC62" s="456"/>
      <c r="AD62" s="456"/>
      <c r="AE62" s="456"/>
      <c r="AF62" s="456"/>
      <c r="AG62" s="456"/>
      <c r="AH62" s="456"/>
      <c r="AI62" s="456"/>
      <c r="AJ62" s="457"/>
      <c r="AK62" s="438"/>
      <c r="AL62" s="438"/>
      <c r="AM62" s="438"/>
      <c r="AN62" s="438"/>
      <c r="AO62" s="438"/>
      <c r="AP62" s="438"/>
      <c r="AQ62" s="438"/>
      <c r="AR62" s="438"/>
      <c r="AS62" s="438"/>
      <c r="AT62" s="438"/>
      <c r="AU62" s="438"/>
      <c r="AV62" s="438"/>
      <c r="AW62" s="438"/>
      <c r="AX62" s="438"/>
      <c r="AY62" s="438"/>
      <c r="AZ62" s="438"/>
      <c r="BA62" s="438"/>
      <c r="BB62" s="438"/>
      <c r="BC62" s="439"/>
      <c r="BD62" s="77"/>
    </row>
    <row r="63" customHeight="1" spans="1:123">
      <c r="B63" s="458" t="str">
        <f>IF(附表!$I$12,IF(附表!A35=0,"",附表!A35),"")</f>
        <v/>
      </c>
      <c r="C63" s="459"/>
      <c r="D63" s="459"/>
      <c r="E63" s="459"/>
      <c r="F63" s="459"/>
      <c r="G63" s="459"/>
      <c r="H63" s="459"/>
      <c r="I63" s="459"/>
      <c r="J63" s="459"/>
      <c r="K63" s="459"/>
      <c r="L63" s="459"/>
      <c r="M63" s="459"/>
      <c r="N63" s="459"/>
      <c r="O63" s="459"/>
      <c r="P63" s="447"/>
      <c r="Q63" s="447"/>
      <c r="R63" s="447"/>
      <c r="S63" s="447"/>
      <c r="T63" s="447"/>
      <c r="U63" s="447"/>
      <c r="V63" s="447"/>
      <c r="W63" s="447"/>
      <c r="X63" s="447"/>
      <c r="Y63" s="447"/>
      <c r="Z63" s="447"/>
      <c r="AA63" s="460"/>
      <c r="AB63" s="461"/>
      <c r="AC63" s="461"/>
      <c r="AD63" s="461"/>
      <c r="AE63" s="461"/>
      <c r="AF63" s="461"/>
      <c r="AG63" s="461"/>
      <c r="AH63" s="461"/>
      <c r="AI63" s="461"/>
      <c r="AJ63" s="462"/>
      <c r="AK63" s="463"/>
      <c r="AL63" s="463"/>
      <c r="AM63" s="463"/>
      <c r="AN63" s="463"/>
      <c r="AO63" s="463"/>
      <c r="AP63" s="463"/>
      <c r="AQ63" s="463"/>
      <c r="AR63" s="463"/>
      <c r="AS63" s="463"/>
      <c r="AT63" s="463"/>
      <c r="AU63" s="463"/>
      <c r="AV63" s="463"/>
      <c r="AW63" s="463"/>
      <c r="AX63" s="463"/>
      <c r="AY63" s="463"/>
      <c r="AZ63" s="463"/>
      <c r="BA63" s="463"/>
      <c r="BB63" s="463"/>
      <c r="BC63" s="464"/>
      <c r="BD63" s="77"/>
    </row>
    <row r="64" customHeight="1" spans="1:123">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row>
    <row r="65">
      <c r="B65" s="551" t="inlineStr">
        <is>
          <t xml:space="preserve">模组经历备忘录</t>
        </is>
      </c>
      <c r="AB65" s="551" t="inlineStr">
        <is>
          <t xml:space="preserve">绿箱生成器</t>
        </is>
      </c>
      <c r="BI65" s="551" t="inlineStr">
        <is>
          <t xml:space="preserve">规则速查</t>
        </is>
      </c>
      <c r="BX65" s="551" t="inlineStr">
        <is>
          <t xml:space="preserve">更新记录</t>
        </is>
      </c>
    </row>
    <row r="71" customHeight="1" spans="29:29">
      <c r="AC71" s="465"/>
    </row>
    <row r="72" customHeight="1" spans="29:29">
      <c r="AC72" s="466"/>
    </row>
  </sheetData>
  <sheetProtection selectLockedCells="1" formatCells="0"/>
  <mergeCells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count="771">
    <mergeCell ref="AQ1:BG1"/>
    <mergeCell ref="B2:Z2"/>
    <mergeCell ref="AB2:AG2"/>
    <mergeCell ref="AH2:AJ2"/>
    <mergeCell ref="AK2:AM2"/>
    <mergeCell ref="AN2:AP2"/>
    <mergeCell ref="AQ2:BG2"/>
    <mergeCell ref="BX2:CO2"/>
    <mergeCell ref="CP2:CX2"/>
    <mergeCell ref="B3:D3"/>
    <mergeCell ref="E3:Z3"/>
    <mergeCell ref="AB3:AD3"/>
    <mergeCell ref="AE3:AG3"/>
    <mergeCell ref="AH3:AJ3"/>
    <mergeCell ref="AK3:AM3"/>
    <mergeCell ref="AN3:AP3"/>
    <mergeCell ref="AQ3:BG3"/>
    <mergeCell ref="BX3:CO3"/>
    <mergeCell ref="CP3:CX3"/>
    <mergeCell ref="B4:D4"/>
    <mergeCell ref="E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AA49:AF49"/>
    <mergeCell ref="BN49:BY49"/>
    <mergeCell ref="BZ49:CK49"/>
    <mergeCell ref="B50:O50"/>
    <mergeCell ref="P50:Q50"/>
    <mergeCell ref="AA50:AJ50"/>
    <mergeCell ref="BN50:BY50"/>
    <mergeCell ref="BZ50:CK50"/>
    <mergeCell ref="B51:O51"/>
    <mergeCell ref="P51:Q51"/>
    <mergeCell ref="AA51:AJ51"/>
    <mergeCell ref="BN51:BY51"/>
    <mergeCell ref="BZ51:CK51"/>
    <mergeCell ref="B52:O52"/>
    <mergeCell ref="P52:Q52"/>
    <mergeCell ref="AA52:AJ52"/>
    <mergeCell ref="BN52:BY52"/>
    <mergeCell ref="BZ52:CK52"/>
    <mergeCell ref="B53:O53"/>
    <mergeCell ref="P53:Q53"/>
    <mergeCell ref="AA53:AJ53"/>
    <mergeCell ref="BN53:BY53"/>
    <mergeCell ref="BZ53:CK53"/>
    <mergeCell ref="B54:O54"/>
    <mergeCell ref="P54:Q54"/>
    <mergeCell ref="AA54:AJ54"/>
    <mergeCell ref="BN54:BY54"/>
    <mergeCell ref="BZ54:CK54"/>
    <mergeCell ref="CZ54:DE54"/>
    <mergeCell ref="DF54:DI54"/>
    <mergeCell ref="DK54:DQ54"/>
    <mergeCell ref="DR54:DU54"/>
    <mergeCell ref="B55:O55"/>
    <mergeCell ref="P55:Q55"/>
    <mergeCell ref="AA55:AJ55"/>
    <mergeCell ref="BN55:BY55"/>
    <mergeCell ref="BZ55:CK55"/>
    <mergeCell ref="CZ55:DE55"/>
    <mergeCell ref="DF55:DI55"/>
    <mergeCell ref="DK55:DQ55"/>
    <mergeCell ref="DR55:EY55"/>
    <mergeCell ref="B56:O56"/>
    <mergeCell ref="P56:Q56"/>
    <mergeCell ref="BN57:CP57"/>
    <mergeCell ref="CZ56:EY56"/>
    <mergeCell ref="B57:O57"/>
    <mergeCell ref="P57:Q57"/>
    <mergeCell ref="BN56:BY56"/>
    <mergeCell ref="BZ56:CK56"/>
    <mergeCell ref="CZ57:DE57"/>
    <mergeCell ref="DF57:EY57"/>
    <mergeCell ref="B58:O58"/>
    <mergeCell ref="P58:Q58"/>
    <mergeCell ref="CZ58:DE58"/>
    <mergeCell ref="DF58:EY58"/>
    <mergeCell ref="B59:O59"/>
    <mergeCell ref="P59:Q59"/>
    <mergeCell ref="CZ59:DE59"/>
    <mergeCell ref="DF59:EY59"/>
    <mergeCell ref="B60:O60"/>
    <mergeCell ref="CZ60:DE60"/>
    <mergeCell ref="DF60:EY60"/>
    <mergeCell ref="B61:O61"/>
    <mergeCell ref="P61:Z61"/>
    <mergeCell ref="CZ61:DE61"/>
    <mergeCell ref="DF61:EY61"/>
    <mergeCell ref="B62:O62"/>
    <mergeCell ref="P62:Z62"/>
    <mergeCell ref="B63:O63"/>
    <mergeCell ref="EI8:EJ11"/>
    <mergeCell ref="EK8:EY11"/>
    <mergeCell ref="BN17:CX26"/>
    <mergeCell ref="BI17:BM26"/>
    <mergeCell ref="BI27:CX43"/>
    <mergeCell ref="BI14:BM16"/>
    <mergeCell ref="BN14:CX16"/>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EQ13:EY14"/>
    <mergeCell ref="EI23:EY43"/>
    <mergeCell ref="EI17:EY20"/>
    <mergeCell ref="CZ29:EC31"/>
    <mergeCell ref="CZ32:EC34"/>
    <mergeCell ref="ED33:EE34"/>
    <mergeCell ref="EF33:EG34"/>
    <mergeCell ref="ED30:EE31"/>
    <mergeCell ref="EF30:EG31"/>
    <mergeCell ref="AK49:BC63"/>
    <mergeCell ref="AA60:AJ63"/>
    <mergeCell ref="V10:X11"/>
    <mergeCell ref="Y10:AA11"/>
    <mergeCell ref="AH10:AJ11"/>
    <mergeCell ref="AK10:AM11"/>
    <mergeCell ref="H10:J11"/>
    <mergeCell ref="K10:M11"/>
    <mergeCell ref="AU10:AW11"/>
    <mergeCell ref="EI3:EY7"/>
    <mergeCell ref="R49:Z49"/>
    <mergeCell ref="R50:Z50"/>
    <mergeCell ref="R51:Z51"/>
    <mergeCell ref="R52:Z52"/>
    <mergeCell ref="R53:Z53"/>
    <mergeCell ref="R54:Z54"/>
    <mergeCell ref="R55:Z55"/>
    <mergeCell ref="R56:Z56"/>
    <mergeCell ref="R57:Z57"/>
    <mergeCell ref="R58:Z58"/>
    <mergeCell ref="R59:Z59"/>
    <mergeCell ref="B65:Z65"/>
    <mergeCell ref="AB65:BG65"/>
    <mergeCell ref="BI65:BW65"/>
    <mergeCell ref="BX65:CX65"/>
    <mergeCell ref="CZ2:DG2"/>
    <mergeCell ref="DH2:EY2"/>
  </mergeCells>
  <conditionalFormatting sqref="B47:G47">
    <cfRule type="expression" dxfId="0" priority="461">
      <formula>NOT(附表!$I$11)</formula>
    </cfRule>
  </conditionalFormatting>
  <conditionalFormatting sqref="H47">
    <cfRule type="expression" dxfId="1" priority="459">
      <formula>附表!$I$12=FALSE</formula>
    </cfRule>
  </conditionalFormatting>
  <conditionalFormatting sqref="H47:U47">
    <cfRule type="expression" dxfId="2" priority="462">
      <formula>NOT(附表!$I$11)</formula>
    </cfRule>
  </conditionalFormatting>
  <conditionalFormatting sqref="V47">
    <cfRule type="expression" dxfId="3" priority="460">
      <formula>附表!$I$12=FALSE</formula>
    </cfRule>
  </conditionalFormatting>
  <conditionalFormatting sqref="AB3:BG8 B14:BG43 B3:Z4 BX3:CX11 B5:E6 N5:N6 Q5:Q6 B7:Z8 CZ14:EG20">
    <cfRule type="expression" dxfId="4" priority="458">
      <formula>MOD(ROW(),2)=0</formula>
    </cfRule>
  </conditionalFormatting>
  <conditionalFormatting sqref="AH3:AJ8">
    <cfRule type="cellIs" dxfId="5" priority="3" operator="lessThan">
      <formula>9</formula>
    </cfRule>
    <cfRule type="cellIs" dxfId="6" priority="437" operator="greaterThan">
      <formula>12</formula>
    </cfRule>
    <cfRule type="expression" dxfId="7" priority="440">
      <formula>NOT(ISBLANK(AN3))</formula>
    </cfRule>
  </conditionalFormatting>
  <conditionalFormatting sqref="BD10:BG11">
    <cfRule type="cellIs" dxfId="8" priority="424" operator="equal">
      <formula>"已适应"</formula>
    </cfRule>
    <cfRule type="cellIs" dxfId="9" priority="436" operator="equal">
      <formula>"☐☐☐"</formula>
    </cfRule>
  </conditionalFormatting>
  <conditionalFormatting sqref="B14:C43 AE14:AE43">
    <cfRule type="cellIs" dxfId="10" priority="438" operator="equal">
      <formula>"√"</formula>
    </cfRule>
  </conditionalFormatting>
  <conditionalFormatting sqref="AV14:AX38 S14:U43 AV40:AX43">
    <cfRule type="expression" dxfId="11" priority="2">
      <formula>NOT(ISBLANK(V14))</formula>
    </cfRule>
  </conditionalFormatting>
  <conditionalFormatting sqref="AG17:AL19 D18:I20 AG24:AL26 D25:I28 AG29:AL31 D36:I38">
    <cfRule type="expression" dxfId="12" priority="1">
      <formula>ISBLANK(J18)</formula>
    </cfRule>
  </conditionalFormatting>
  <conditionalFormatting sqref="CZ23:EG43">
    <cfRule type="expression" dxfId="4" priority="447">
      <formula>MOD(FLOOR((ROW()-2)/3,1),2)=1</formula>
    </cfRule>
  </conditionalFormatting>
  <conditionalFormatting sqref="EF24 EF27 EF30 EF33 EF36 EF39 EF42">
    <cfRule type="cellIs" dxfId="13" priority="376" operator="equal">
      <formula>"×"</formula>
    </cfRule>
  </conditionalFormatting>
  <conditionalFormatting sqref="P49:Q59">
    <cfRule type="expression" dxfId="20" priority="463" stopIfTrue="1">
      <formula>$R49=""</formula>
    </cfRule>
  </conditionalFormatting>
  <dataValidations count="44">
    <dataValidation type="list" allowBlank="1" sqref="CZ14:DL14 CZ15:DL15 CZ16:DL16 CZ17:DL17 CZ18:DL18 CZ19:DL19 CZ20:DL20" showInputMessage="0">
      <formula1>武器下拉列表</formula1>
    </dataValidation>
    <dataValidation type="list" allowBlank="1" sqref="AM17 AM18 AM19" showInputMessage="0">
      <formula1>子技能!$E$2:$E$4</formula1>
    </dataValidation>
    <dataValidation type="list" allowBlank="1" sqref="J18 J19 J20" showInputMessage="0">
      <formula1>子技能!$A$2:$A$11</formula1>
    </dataValidation>
    <dataValidation type="list" allowBlank="1" sqref="AM24 AM25 AM26" showInputMessage="0">
      <formula1>子技能!$G$2:$G$9</formula1>
    </dataValidation>
    <dataValidation type="list" allowBlank="1" showErrorMessage="1" sqref="EF24 EF27 EF30 EF33 EF36 EF39 EF42" showInputMessage="0">
      <formula1>"×,√"</formula1>
    </dataValidation>
    <dataValidation type="list" allowBlank="1" sqref="J25 J26 J27 J28" showInputMessage="0">
      <formula1>子技能!$C$2:$C$14</formula1>
    </dataValidation>
    <dataValidation type="list" allowBlank="1" sqref="AM29 AM30 AM31" showInputMessage="0">
      <formula1>子技能!$I$2:$I$27</formula1>
    </dataValidation>
    <dataValidation type="list" allowBlank="1" sqref="J36 J37 J38" showInputMessage="0">
      <formula1>"英语,法语,德语,西班牙语,俄语,日语,阿拉伯语,汉语,韩语,意大利语,葡萄牙语,拉丁语"</formula1>
    </dataValidation>
    <dataValidation type="list" allowBlank="1" showErrorMessage="1" sqref="H46:AJ46" showInputMessage="0">
      <formula1>附表!$A$169:$A$273</formula1>
    </dataValidation>
    <dataValidation type="list" allowBlank="1" showErrorMessage="1" sqref="BW46:CQ46" showInputMessage="0">
      <formula1>额外技能包!$A$2:$A$30</formula1>
    </dataValidation>
    <dataValidation type="list" allowBlank="1" showErrorMessage="1" sqref="DF46:DR46" showInputMessage="0">
      <formula1>附表!$A$84:$A$88</formula1>
    </dataValidation>
    <dataValidation type="list" allowBlank="1" showErrorMessage="1" sqref="H47:U47" showInputMessage="0">
      <formula1>OFFSET(附表!$B$62,0,0,附表!$A$63,1)</formula1>
    </dataValidation>
    <dataValidation type="list" allowBlank="1" sqref="BZ49:CK49" showInputMessage="0">
      <formula1>额外第1项</formula1>
    </dataValidation>
    <dataValidation type="list" allowBlank="1" sqref="BZ50:CK50" showInputMessage="0">
      <formula1>额外第2项</formula1>
    </dataValidation>
    <dataValidation type="list" allowBlank="1" sqref="BZ51:CK51" showInputMessage="0">
      <formula1>额外第3项</formula1>
    </dataValidation>
    <dataValidation type="list" allowBlank="1" sqref="BZ52:CK52" showInputMessage="0">
      <formula1>额外第4项</formula1>
    </dataValidation>
    <dataValidation type="list" allowBlank="1" sqref="BZ53:CK53" showInputMessage="0">
      <formula1>额外第5项</formula1>
    </dataValidation>
    <dataValidation type="list" allowBlank="1" sqref="BZ54:CK54" showInputMessage="0">
      <formula1>额外第6项</formula1>
    </dataValidation>
    <dataValidation type="whole" operator="between" allowBlank="1" showErrorMessage="1" sqref="DF54:DI54" showInputMessage="0">
      <formula1>1</formula1>
      <formula2>18</formula2>
    </dataValidation>
    <dataValidation type="whole" operator="between" allowBlank="1" showErrorMessage="1" sqref="DR54:DU54" showInputMessage="0">
      <formula1>1</formula1>
      <formula2>18</formula2>
    </dataValidation>
    <dataValidation type="list" allowBlank="1" sqref="BZ55:CK55" showInputMessage="0">
      <formula1>额外第7项</formula1>
    </dataValidation>
    <dataValidation type="list" allowBlank="1" showErrorMessage="1" sqref="DF55:DI55" showInputMessage="0">
      <formula1>"1,2,3,4,5,6,7"</formula1>
    </dataValidation>
    <dataValidation type="list" allowBlank="1" sqref="DR55:EY55" showInputMessage="0">
      <formula1>非自然心理疾病</formula1>
    </dataValidation>
    <dataValidation type="list" allowBlank="1" sqref="BZ56:CK56" showInputMessage="0">
      <formula1>额外第8项</formula1>
    </dataValidation>
    <dataValidation type="list" allowBlank="1" sqref="DF57:EY57 DF58:EY58 DF59:EY59 DF60:EY60 DF61:EY61" showInputMessage="0">
      <formula1>主卡技能选项</formula1>
    </dataValidation>
    <dataValidation type="list" allowBlank="1" showErrorMessage="1" sqref="P62:Z62" showInputMessage="0">
      <formula1>"人类学,考古学"</formula1>
    </dataValidation>
    <dataValidation type="list" allowBlank="1" showErrorMessage="1" sqref="BD10:BG11" showInputMessage="0">
      <formula1>"☐☐☐,√☐☐,√√☐,已适应"</formula1>
    </dataValidation>
    <dataValidation type="list" allowBlank="1" sqref="EK8:EY11" showInputMessage="0">
      <formula1>护甲下拉列表</formula1>
    </dataValidation>
    <dataValidation type="list" allowBlank="1" sqref="CP3:CX11" showInputMessage="0">
      <formula1>特训对应项</formula1>
    </dataValidation>
    <s:dataValidation xmlns:s="http://schemas.openxmlformats.org/spreadsheetml/2006/main" type="list" allowBlank="1" showErrorMessage="1" errorTitle="请选择勾选状态" error="请选择☑或☐，或清空。" sqref="P49" showInputMessage="0">
      <s:formula1>IF($R49&lt;&gt;"",任选勾选值,空白选项)</s:formula1>
    </s:dataValidation>
    <s:dataValidation xmlns:s="http://schemas.openxmlformats.org/spreadsheetml/2006/main" type="list" allowBlank="1" showErrorMessage="1" errorTitle="请选择勾选状态" error="请选择☑或☐，或清空。" sqref="P50" showInputMessage="0">
      <s:formula1>IF($R50&lt;&gt;"",任选勾选值,空白选项)</s:formula1>
    </s:dataValidation>
    <s:dataValidation xmlns:s="http://schemas.openxmlformats.org/spreadsheetml/2006/main" type="list" allowBlank="1" showErrorMessage="1" errorTitle="请选择勾选状态" error="请选择☑或☐，或清空。" sqref="P51" showInputMessage="0">
      <s:formula1>IF($R51&lt;&gt;"",任选勾选值,空白选项)</s:formula1>
    </s:dataValidation>
    <s:dataValidation xmlns:s="http://schemas.openxmlformats.org/spreadsheetml/2006/main" type="list" allowBlank="1" showErrorMessage="1" errorTitle="请选择勾选状态" error="请选择☑或☐，或清空。" sqref="P52" showInputMessage="0">
      <s:formula1>IF($R52&lt;&gt;"",任选勾选值,空白选项)</s:formula1>
    </s:dataValidation>
    <s:dataValidation xmlns:s="http://schemas.openxmlformats.org/spreadsheetml/2006/main" type="list" allowBlank="1" showErrorMessage="1" errorTitle="请选择勾选状态" error="请选择☑或☐，或清空。" sqref="P53" showInputMessage="0">
      <s:formula1>IF($R53&lt;&gt;"",任选勾选值,空白选项)</s:formula1>
    </s:dataValidation>
    <s:dataValidation xmlns:s="http://schemas.openxmlformats.org/spreadsheetml/2006/main" type="list" allowBlank="1" showErrorMessage="1" errorTitle="请选择勾选状态" error="请选择☑或☐，或清空。" sqref="P54" showInputMessage="0">
      <s:formula1>IF($R54&lt;&gt;"",任选勾选值,空白选项)</s:formula1>
    </s:dataValidation>
    <s:dataValidation xmlns:s="http://schemas.openxmlformats.org/spreadsheetml/2006/main" type="list" allowBlank="1" showErrorMessage="1" errorTitle="请选择勾选状态" error="请选择☑或☐，或清空。" sqref="P55" showInputMessage="0">
      <s:formula1>IF($R55&lt;&gt;"",任选勾选值,空白选项)</s:formula1>
    </s:dataValidation>
    <s:dataValidation xmlns:s="http://schemas.openxmlformats.org/spreadsheetml/2006/main" type="list" allowBlank="1" showErrorMessage="1" errorTitle="请选择勾选状态" error="请选择☑或☐，或清空。" sqref="P56" showInputMessage="0">
      <s:formula1>IF($R56&lt;&gt;"",任选勾选值,空白选项)</s:formula1>
    </s:dataValidation>
    <s:dataValidation xmlns:s="http://schemas.openxmlformats.org/spreadsheetml/2006/main" type="list" allowBlank="1" showErrorMessage="1" errorTitle="请选择勾选状态" error="请选择☑或☐，或清空。" sqref="P57" showInputMessage="0">
      <s:formula1>IF($R57&lt;&gt;"",任选勾选值,空白选项)</s:formula1>
    </s:dataValidation>
    <s:dataValidation xmlns:s="http://schemas.openxmlformats.org/spreadsheetml/2006/main" type="list" allowBlank="1" showErrorMessage="1" errorTitle="请选择勾选状态" error="请选择☑或☐，或清空。" sqref="P58" showInputMessage="0">
      <s:formula1>IF($R58&lt;&gt;"",任选勾选值,空白选项)</s:formula1>
    </s:dataValidation>
    <s:dataValidation xmlns:s="http://schemas.openxmlformats.org/spreadsheetml/2006/main" type="list" allowBlank="1" showErrorMessage="1" errorTitle="请选择勾选状态" error="请选择☑或☐，或清空。" sqref="P59" showInputMessage="0">
      <s:formula1>IF($R59&lt;&gt;"",任选勾选值,空白选项)</s:formula1>
    </s:dataValidation>
    <s:dataValidation xmlns:s="http://schemas.openxmlformats.org/spreadsheetml/2006/main" type="list" allowBlank="1" showErrorMessage="0" sqref="BX3 BX4 BX5 BX6 BX7 BX8 BX9 BX10 BX11" showInputMessage="0">
      <s:formula1>特训范例</s:formula1>
    </s:dataValidation>
    <dataValidation type="list" allowBlank="1" showDropDown="0" showInputMessage="0" showErrorMessage="0" sqref="CZ23 CZ26 CZ29 CZ32 CZ35 CZ38 CZ41" errorTitle="请检查输入" error="请选择列表项目或填写允许的数值。">
      <formula1>关系称谓</formula1>
    </dataValidation>
    <dataValidation type="list" allowBlank="1" showDropDown="0" showInputMessage="0" showErrorMessage="1" sqref="B14:C43 AE14:AF43" errorTitle="请检查输入" error="请选择列表项目或填写允许的数值。">
      <formula1>"☐,√"</formula1>
    </dataValidation>
    <dataValidation type="list" allowBlank="1" showDropDown="0" showInputMessage="0" showErrorMessage="1" sqref="DH2:EY2" errorTitle="请检查输入" error="请选择列表项目或填写允许的数值。">
      <formula1>装备包选项</formula1>
    </dataValidation>
  </dataValidations>
  <hyperlinks>
    <hyperlink ref="B65" location="'模组经历备忘录'!A1"/>
    <hyperlink ref="AB65" r:id="rIdV16Link4"/>
    <hyperlink ref="BI65" location="'规则速查'!A1"/>
    <hyperlink ref="BX65" location="'更新记录'!A1"/>
  </hyperlinks>
  <pageMargins left="0.7" right="0.7" top="0.75" bottom="0.75" header="0.3" footer="0.3"/>
  <pageSetup paperSize="1" orientation="portrait"/>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 sqref="B2"/>
    </sheetView>
  </sheetViews>
  <sheetFormatPr defaultColWidth="8.86666666666667" defaultRowHeight="14" outlineLevelRow="3" outlineLevelCol="3"/>
  <cols>
    <col min="1" max="1" width="49.6666666666667" style="72" customWidth="1"/>
    <col min="2" max="2" width="38.7333333333333" style="72" customWidth="1"/>
    <col min="3" max="3" width="35.1333333333333" style="72" customWidth="1"/>
    <col min="4" max="16384" width="8.86666666666667" style="72"/>
  </cols>
  <sheetData>
    <row r="1" spans="1:4">
      <c r="A1" s="552" t="s">
        <v>134</v>
      </c>
    </row>
    <row r="2" ht="190.9" customHeight="1" spans="1:4">
      <c r="A2" s="553" t="s">
        <v>135</v>
      </c>
      <c r="B2" s="554"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553"/>
    </row>
    <row r="3" spans="1:4">
      <c r="A3" s="552" t="s">
        <v>136</v>
      </c>
    </row>
    <row r="4" spans="1:4">
      <c r="A4" s="555" t="s">
        <v>137</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 customWidth="1"/>
    <col min="2" max="2" width="17.6" customWidth="1"/>
    <col min="3" max="3" width="11.4" customWidth="1"/>
    <col min="4" max="4" width="27.8666666666667" customWidth="1"/>
    <col min="5" max="5" width="28.2666666666667" customWidth="1"/>
    <col min="6" max="6" width="28.5333333333333" customWidth="1"/>
    <col min="7" max="7" width="24.3333333333333" customWidth="1"/>
    <col min="8" max="8" width="17.8666666666667" customWidth="1"/>
    <col min="9" max="10" width="22.0666666666667" customWidth="1"/>
    <col min="11" max="11" width="19.9333333333333" customWidth="1"/>
    <col min="12" max="19" width="13.7333333333333" customWidth="1"/>
    <col min="20" max="20" width="15.4666666666667" customWidth="1"/>
    <col min="21" max="21" width="17.8666666666667" customWidth="1"/>
    <col min="22" max="22" width="22.0666666666667" customWidth="1"/>
    <col min="23" max="23" width="17.8666666666667" hidden="1" customWidth="1"/>
    <col min="24" max="24" width="22.0666666666667" customWidth="1"/>
    <col min="25" max="25" width="15.6" customWidth="1"/>
    <col min="26" max="26" width="13.7333333333333" customWidth="1"/>
    <col min="27" max="27" width="17.8666666666667" customWidth="1"/>
    <col min="28" max="28" width="11.7333333333333" customWidth="1"/>
    <col min="29" max="29" width="22.0666666666667" customWidth="1"/>
    <col min="30" max="30" width="11.7333333333333" customWidth="1"/>
    <col min="31" max="35" width="17.8666666666667" customWidth="1"/>
    <col min="36" max="37" width="13.2" customWidth="1"/>
    <col min="38" max="38" width="13.4666666666667" customWidth="1"/>
    <col min="39" max="39" width="15.4666666666667" customWidth="1"/>
    <col min="40" max="40" width="125.266666666667" customWidth="1"/>
    <col min="41" max="41" width="9" customWidth="1"/>
  </cols>
  <sheetData>
    <row r="1" s="66" customFormat="1" spans="1:41">
      <c r="A1" s="556" t="s">
        <v>138</v>
      </c>
      <c r="B1" s="556" t="s">
        <v>139</v>
      </c>
      <c r="C1" s="556" t="s">
        <v>140</v>
      </c>
      <c r="D1" s="556" t="s">
        <v>141</v>
      </c>
      <c r="T1" s="556" t="s">
        <v>142</v>
      </c>
      <c r="U1" s="556" t="s">
        <v>143</v>
      </c>
      <c r="AF1" s="556" t="s">
        <v>144</v>
      </c>
      <c r="AJ1" s="556" t="s">
        <v>145</v>
      </c>
      <c r="AN1" s="556" t="s">
        <v>146</v>
      </c>
    </row>
    <row r="2" spans="1:41">
      <c r="A2" t="s" s="557">
        <v>147</v>
      </c>
      <c r="C2" t="s" s="557">
        <v>148</v>
      </c>
      <c r="D2" s="557" t="str">
        <f t="array" ref="D2:H2">TRANSPOSE(附表!A37:A41)</f>
        <v>任选10个本职技能，分配350</v>
      </c>
      <c r="E2" s="557" t="str">
        <v>技能点，额外加在基础值上，</v>
      </c>
      <c r="F2" s="557" t="str">
        <v>最高至60%。重要关系自4个开</v>
      </c>
      <c r="G2" s="557" t="str">
        <v>始每少一个（最少1个），增</v>
      </c>
      <c r="H2" s="557" t="str">
        <v>加50本职技能点。</v>
      </c>
      <c r="AO2" s="557">
        <f>ROW()</f>
        <v>2</v>
      </c>
    </row>
    <row r="3" s="68" customFormat="1" spans="1:41">
      <c r="A3" s="558" t="s">
        <v>149</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60">
        <f>IF(LEFT(TRIM(A3&amp;"$"),1)="（",65536,ROW())</f>
        <v>65536</v>
      </c>
    </row>
    <row r="4" s="68" customFormat="1" spans="1:41">
      <c r="A4" s="558" t="s">
        <v>150</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c r="AF4" s="559"/>
      <c r="AG4" s="559"/>
      <c r="AH4" s="559"/>
      <c r="AI4" s="559"/>
      <c r="AJ4" s="559"/>
      <c r="AK4" s="559"/>
      <c r="AL4" s="559"/>
      <c r="AM4" s="559"/>
      <c r="AN4" s="559"/>
      <c r="AO4" s="560">
        <f t="shared" ref="AO4:AO7" si="0">IF(LEFT(TRIM(A4&amp;"$"),1)="（",65536,ROW())</f>
        <v>65536</v>
      </c>
    </row>
    <row r="5" s="68" customFormat="1" spans="1:41">
      <c r="A5" s="558" t="s">
        <v>151</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560">
        <f t="shared" si="0"/>
        <v>65536</v>
      </c>
    </row>
    <row r="6" s="68" customFormat="1" spans="1:41">
      <c r="A6" s="558" t="s">
        <v>152</v>
      </c>
      <c r="B6" s="559"/>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559"/>
      <c r="AI6" s="559"/>
      <c r="AJ6" s="559"/>
      <c r="AK6" s="559"/>
      <c r="AL6" s="559"/>
      <c r="AM6" s="559"/>
      <c r="AN6" s="559"/>
      <c r="AO6" s="560">
        <f t="shared" si="0"/>
        <v>65536</v>
      </c>
    </row>
    <row r="7" s="68" customFormat="1" spans="1:41">
      <c r="A7" s="558" t="s">
        <v>153</v>
      </c>
      <c r="B7" s="559"/>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59"/>
      <c r="AL7" s="559"/>
      <c r="AM7" s="559"/>
      <c r="AN7" s="559"/>
      <c r="AO7" s="560">
        <f t="shared" si="0"/>
        <v>65536</v>
      </c>
    </row>
    <row r="8" spans="1:41">
      <c r="A8" t="s" s="557">
        <v>154</v>
      </c>
      <c r="B8" t="s" s="557">
        <v>21</v>
      </c>
      <c r="C8" s="557">
        <v>4</v>
      </c>
      <c r="D8" t="s" s="557">
        <v>155</v>
      </c>
      <c r="E8" t="s" s="557">
        <v>156</v>
      </c>
      <c r="F8" t="s" s="557">
        <v>157</v>
      </c>
      <c r="G8" t="s" s="557">
        <v>158</v>
      </c>
      <c r="H8" t="s" s="557">
        <v>159</v>
      </c>
      <c r="I8" t="s" s="557">
        <v>160</v>
      </c>
      <c r="J8" t="s" s="557">
        <v>161</v>
      </c>
      <c r="T8" s="557">
        <v>2</v>
      </c>
      <c r="U8" t="s" s="557">
        <v>162</v>
      </c>
      <c r="V8" t="s" s="557">
        <v>163</v>
      </c>
      <c r="W8" t="s" s="557">
        <v>164</v>
      </c>
      <c r="X8" t="s" s="557">
        <v>165</v>
      </c>
      <c r="Y8" t="s" s="557">
        <v>166</v>
      </c>
      <c r="Z8" t="s" s="557">
        <v>167</v>
      </c>
      <c r="AA8" t="s" s="557">
        <v>168</v>
      </c>
      <c r="AO8" s="560">
        <f t="shared" ref="AO8:AO71" si="1">ROW()</f>
        <v>8</v>
      </c>
    </row>
    <row r="9" spans="1:41">
      <c r="A9" t="s" s="557">
        <v>169</v>
      </c>
      <c r="B9" t="s" s="557">
        <v>21</v>
      </c>
      <c r="C9" s="557">
        <v>3</v>
      </c>
      <c r="D9" t="s" s="557">
        <v>170</v>
      </c>
      <c r="E9" t="s" s="557">
        <v>171</v>
      </c>
      <c r="F9" t="s" s="557">
        <v>172</v>
      </c>
      <c r="G9" t="s" s="557">
        <v>173</v>
      </c>
      <c r="H9" t="s" s="557">
        <v>174</v>
      </c>
      <c r="I9" t="s" s="557">
        <v>175</v>
      </c>
      <c r="T9" s="557">
        <v>4</v>
      </c>
      <c r="U9" t="s" s="557">
        <v>176</v>
      </c>
      <c r="V9" t="s" s="557">
        <v>177</v>
      </c>
      <c r="W9" t="s" s="557">
        <v>178</v>
      </c>
      <c r="X9" t="s" s="557">
        <v>158</v>
      </c>
      <c r="Y9" t="s" s="557">
        <v>179</v>
      </c>
      <c r="Z9" t="s" s="557">
        <v>180</v>
      </c>
      <c r="AA9" t="s" s="557">
        <v>181</v>
      </c>
      <c r="AO9" s="560">
        <f t="shared" si="1"/>
        <v>9</v>
      </c>
    </row>
    <row r="10" spans="1:41">
      <c r="A10" t="s" s="557">
        <v>182</v>
      </c>
      <c r="B10" t="s" s="557">
        <v>183</v>
      </c>
      <c r="C10" s="557">
        <v>3</v>
      </c>
      <c r="D10" t="s" s="557">
        <v>184</v>
      </c>
      <c r="E10" t="s" s="557">
        <v>156</v>
      </c>
      <c r="F10" t="s" s="557">
        <v>185</v>
      </c>
      <c r="G10" t="s" s="557">
        <v>186</v>
      </c>
      <c r="H10" t="s" s="557">
        <v>187</v>
      </c>
      <c r="I10" t="s" s="557">
        <v>188</v>
      </c>
      <c r="J10" t="s" s="557">
        <v>189</v>
      </c>
      <c r="K10" t="s" s="557">
        <v>190</v>
      </c>
      <c r="L10" t="s" s="557">
        <v>191</v>
      </c>
      <c r="M10" t="s" s="557">
        <v>192</v>
      </c>
      <c r="N10" t="s" s="557">
        <v>193</v>
      </c>
      <c r="T10" s="557">
        <v>1</v>
      </c>
      <c r="U10" t="s" s="557">
        <v>194</v>
      </c>
      <c r="V10" t="s" s="557">
        <v>195</v>
      </c>
      <c r="W10" t="s" s="557">
        <v>157</v>
      </c>
      <c r="X10" t="s" s="557">
        <v>196</v>
      </c>
      <c r="Y10" t="s" s="557">
        <v>197</v>
      </c>
      <c r="AO10" s="560">
        <f t="shared" si="1"/>
        <v>10</v>
      </c>
    </row>
    <row r="11" spans="1:41">
      <c r="A11" t="s" s="557">
        <v>198</v>
      </c>
      <c r="B11" t="s" s="557">
        <v>199</v>
      </c>
      <c r="C11" s="557">
        <v>3</v>
      </c>
      <c r="D11" t="s" s="557">
        <v>177</v>
      </c>
      <c r="E11" t="s" s="557">
        <v>200</v>
      </c>
      <c r="F11" t="s" s="557">
        <v>201</v>
      </c>
      <c r="G11" t="s" s="557">
        <v>161</v>
      </c>
      <c r="H11" t="s" s="557">
        <v>197</v>
      </c>
      <c r="I11" t="s" s="557">
        <v>202</v>
      </c>
      <c r="J11" t="s" s="557">
        <v>203</v>
      </c>
      <c r="T11" s="557">
        <v>2</v>
      </c>
      <c r="U11" t="s" s="557">
        <v>204</v>
      </c>
      <c r="V11" t="s" s="557">
        <v>205</v>
      </c>
      <c r="W11" t="s" s="557">
        <v>206</v>
      </c>
      <c r="X11" t="s" s="557">
        <v>207</v>
      </c>
      <c r="AO11" s="560">
        <f t="shared" si="1"/>
        <v>11</v>
      </c>
    </row>
    <row r="12" spans="1:41">
      <c r="A12" t="s" s="557">
        <v>115</v>
      </c>
      <c r="B12" t="s" s="557">
        <v>21</v>
      </c>
      <c r="C12" s="557">
        <v>4</v>
      </c>
      <c r="D12" t="s" s="557">
        <v>156</v>
      </c>
      <c r="E12" t="s" s="557">
        <v>208</v>
      </c>
      <c r="F12" t="s" s="557">
        <v>209</v>
      </c>
      <c r="G12" t="s" s="557">
        <v>206</v>
      </c>
      <c r="H12" t="s" s="557">
        <v>206</v>
      </c>
      <c r="T12" s="557">
        <v>3</v>
      </c>
      <c r="U12" t="s" s="557">
        <v>176</v>
      </c>
      <c r="V12" t="s" s="557">
        <v>178</v>
      </c>
      <c r="W12" t="s" s="557">
        <v>158</v>
      </c>
      <c r="X12" t="s" s="557">
        <v>210</v>
      </c>
      <c r="Y12" t="s" s="557">
        <v>180</v>
      </c>
      <c r="Z12" t="s" s="557">
        <v>211</v>
      </c>
      <c r="AO12" s="560">
        <f t="shared" si="1"/>
        <v>12</v>
      </c>
    </row>
    <row r="13" spans="1:41">
      <c r="A13" t="s" s="557">
        <v>212</v>
      </c>
      <c r="B13" t="s" s="557">
        <v>213</v>
      </c>
      <c r="C13" s="557">
        <v>2</v>
      </c>
      <c r="D13" t="s" s="557">
        <v>214</v>
      </c>
      <c r="E13" t="s" s="557">
        <v>215</v>
      </c>
      <c r="F13" t="s" s="557">
        <v>216</v>
      </c>
      <c r="G13" t="s" s="557">
        <v>217</v>
      </c>
      <c r="H13" t="s" s="557">
        <v>196</v>
      </c>
      <c r="I13" t="s" s="557">
        <v>218</v>
      </c>
      <c r="J13" t="s" s="557">
        <v>219</v>
      </c>
      <c r="K13" t="s" s="557">
        <v>165</v>
      </c>
      <c r="L13" t="s" s="557">
        <v>220</v>
      </c>
      <c r="M13" t="s" s="557">
        <v>168</v>
      </c>
      <c r="N13" t="s" s="557">
        <v>221</v>
      </c>
      <c r="O13" t="s" s="557">
        <v>193</v>
      </c>
      <c r="AO13" s="560">
        <f t="shared" si="1"/>
        <v>13</v>
      </c>
    </row>
    <row r="14" spans="1:41">
      <c r="A14" t="s" s="557">
        <v>222</v>
      </c>
      <c r="B14" t="s" s="557">
        <v>223</v>
      </c>
      <c r="C14" s="557">
        <v>4</v>
      </c>
      <c r="D14" t="s" s="557">
        <v>184</v>
      </c>
      <c r="E14" t="s" s="557">
        <v>224</v>
      </c>
      <c r="F14" t="s" s="557">
        <v>225</v>
      </c>
      <c r="G14" t="s" s="557">
        <v>226</v>
      </c>
      <c r="H14" t="s" s="557">
        <v>186</v>
      </c>
      <c r="I14" t="s" s="557">
        <v>227</v>
      </c>
      <c r="J14" t="s" s="557">
        <v>228</v>
      </c>
      <c r="K14" t="s" s="557">
        <v>229</v>
      </c>
      <c r="L14" t="s" s="557">
        <v>191</v>
      </c>
      <c r="M14" t="s" s="557">
        <v>220</v>
      </c>
      <c r="N14" t="s" s="557">
        <v>230</v>
      </c>
      <c r="T14" s="557">
        <v>2</v>
      </c>
      <c r="U14" t="s" s="557">
        <v>231</v>
      </c>
      <c r="V14" t="s" s="557">
        <v>216</v>
      </c>
      <c r="W14" t="s" s="557">
        <v>232</v>
      </c>
      <c r="X14" t="s" s="557">
        <v>158</v>
      </c>
      <c r="Y14" t="s" s="557">
        <v>210</v>
      </c>
      <c r="Z14" t="s" s="557">
        <v>164</v>
      </c>
      <c r="AA14" t="s" s="557">
        <v>165</v>
      </c>
      <c r="AB14" t="s" s="557">
        <v>233</v>
      </c>
      <c r="AC14" t="s" s="557">
        <v>211</v>
      </c>
      <c r="AO14" s="560">
        <f t="shared" si="1"/>
        <v>14</v>
      </c>
    </row>
    <row r="15" spans="1:41">
      <c r="A15" t="s" s="557">
        <v>234</v>
      </c>
      <c r="B15" t="s" s="557">
        <v>235</v>
      </c>
      <c r="C15" s="557">
        <v>3</v>
      </c>
      <c r="D15" t="s" s="557">
        <v>184</v>
      </c>
      <c r="E15" t="s" s="557">
        <v>215</v>
      </c>
      <c r="F15" t="s" s="557">
        <v>236</v>
      </c>
      <c r="G15" t="s" s="557">
        <v>237</v>
      </c>
      <c r="H15" t="s" s="557">
        <v>238</v>
      </c>
      <c r="I15" t="s" s="557">
        <v>186</v>
      </c>
      <c r="J15" t="s" s="557">
        <v>239</v>
      </c>
      <c r="K15" t="s" s="557">
        <v>210</v>
      </c>
      <c r="L15" t="s" s="557">
        <v>179</v>
      </c>
      <c r="M15" t="s" s="557">
        <v>165</v>
      </c>
      <c r="N15" t="s" s="557">
        <v>203</v>
      </c>
      <c r="AO15" s="560">
        <f t="shared" si="1"/>
        <v>15</v>
      </c>
    </row>
    <row r="16" spans="1:41">
      <c r="A16" t="s" s="557">
        <v>240</v>
      </c>
      <c r="B16" t="s" s="557">
        <v>241</v>
      </c>
      <c r="C16" s="557">
        <v>3</v>
      </c>
      <c r="D16" t="s" s="557">
        <v>242</v>
      </c>
      <c r="E16" t="s" s="557">
        <v>162</v>
      </c>
      <c r="F16" t="s" s="557">
        <v>243</v>
      </c>
      <c r="G16" t="s" s="557">
        <v>157</v>
      </c>
      <c r="H16" t="s" s="557">
        <v>157</v>
      </c>
      <c r="I16" t="s" s="557">
        <v>158</v>
      </c>
      <c r="J16" t="s" s="557">
        <v>244</v>
      </c>
      <c r="K16" t="s" s="557">
        <v>164</v>
      </c>
      <c r="L16" t="s" s="557">
        <v>180</v>
      </c>
      <c r="M16" t="s" s="557">
        <v>191</v>
      </c>
      <c r="AO16" s="560">
        <f t="shared" si="1"/>
        <v>16</v>
      </c>
    </row>
    <row r="17" spans="1:41">
      <c r="A17" t="s" s="557">
        <v>245</v>
      </c>
      <c r="B17" t="s" s="557">
        <v>21</v>
      </c>
      <c r="C17" s="557">
        <v>3</v>
      </c>
      <c r="D17" t="s" s="557">
        <v>162</v>
      </c>
      <c r="E17" t="s" s="557">
        <v>177</v>
      </c>
      <c r="F17" t="s" s="557">
        <v>208</v>
      </c>
      <c r="G17" t="s" s="557">
        <v>246</v>
      </c>
      <c r="H17" t="s" s="557">
        <v>157</v>
      </c>
      <c r="I17" t="s" s="557">
        <v>157</v>
      </c>
      <c r="J17" t="s" s="557">
        <v>158</v>
      </c>
      <c r="K17" t="s" s="557">
        <v>244</v>
      </c>
      <c r="L17" t="s" s="557">
        <v>164</v>
      </c>
      <c r="M17" t="s" s="557">
        <v>175</v>
      </c>
      <c r="AO17" s="560">
        <f t="shared" si="1"/>
        <v>17</v>
      </c>
    </row>
    <row r="18" spans="1:41">
      <c r="A18" t="s" s="557">
        <v>247</v>
      </c>
      <c r="B18" t="s" s="557">
        <v>248</v>
      </c>
      <c r="C18" s="557">
        <v>2</v>
      </c>
      <c r="D18" t="s" s="557">
        <v>184</v>
      </c>
      <c r="E18" t="s" s="557">
        <v>156</v>
      </c>
      <c r="F18" t="s" s="557">
        <v>185</v>
      </c>
      <c r="G18" t="s" s="557">
        <v>232</v>
      </c>
      <c r="H18" t="s" s="557">
        <v>249</v>
      </c>
      <c r="I18" t="s" s="557">
        <v>227</v>
      </c>
      <c r="J18" t="s" s="557">
        <v>157</v>
      </c>
      <c r="K18" t="s" s="557">
        <v>158</v>
      </c>
      <c r="L18" t="s" s="557">
        <v>189</v>
      </c>
      <c r="M18" t="s" s="557">
        <v>250</v>
      </c>
      <c r="N18" t="s" s="557">
        <v>175</v>
      </c>
      <c r="O18" t="s" s="557">
        <v>220</v>
      </c>
      <c r="P18" t="s" s="557">
        <v>230</v>
      </c>
      <c r="AO18" s="560">
        <f t="shared" si="1"/>
        <v>18</v>
      </c>
    </row>
    <row r="19" spans="1:41">
      <c r="A19" t="s" s="557">
        <v>251</v>
      </c>
      <c r="B19" t="s" s="557">
        <v>241</v>
      </c>
      <c r="C19" s="557">
        <v>4</v>
      </c>
      <c r="D19" t="s" s="557">
        <v>176</v>
      </c>
      <c r="E19" t="s" s="557">
        <v>177</v>
      </c>
      <c r="F19" t="s" s="557">
        <v>252</v>
      </c>
      <c r="G19" t="s" s="557">
        <v>250</v>
      </c>
      <c r="T19" s="557">
        <v>4</v>
      </c>
      <c r="U19" t="s" s="557">
        <v>195</v>
      </c>
      <c r="V19" t="s" s="557">
        <v>225</v>
      </c>
      <c r="W19" t="s" s="557">
        <v>157</v>
      </c>
      <c r="X19" t="s" s="557">
        <v>253</v>
      </c>
      <c r="Y19" t="s" s="557">
        <v>197</v>
      </c>
      <c r="AO19" s="560">
        <f t="shared" si="1"/>
        <v>19</v>
      </c>
    </row>
    <row r="20" spans="1:41">
      <c r="A20" t="s" s="557">
        <v>254</v>
      </c>
      <c r="B20" t="s" s="557">
        <v>241</v>
      </c>
      <c r="C20" s="557">
        <v>4</v>
      </c>
      <c r="D20" t="s" s="557">
        <v>255</v>
      </c>
      <c r="E20" t="s" s="557">
        <v>244</v>
      </c>
      <c r="F20" t="s" s="557">
        <v>252</v>
      </c>
      <c r="G20" t="s" s="557">
        <v>191</v>
      </c>
      <c r="T20" s="557">
        <v>5</v>
      </c>
      <c r="U20" t="s" s="557">
        <v>162</v>
      </c>
      <c r="V20" t="s" s="557">
        <v>163</v>
      </c>
      <c r="W20" t="s" s="557">
        <v>256</v>
      </c>
      <c r="X20" t="s" s="557">
        <v>177</v>
      </c>
      <c r="Y20" t="s" s="557">
        <v>208</v>
      </c>
      <c r="Z20" t="s" s="557">
        <v>185</v>
      </c>
      <c r="AA20" t="s" s="557">
        <v>158</v>
      </c>
      <c r="AB20" t="s" s="557">
        <v>180</v>
      </c>
      <c r="AC20" t="s" s="557">
        <v>257</v>
      </c>
      <c r="AD20" t="s" s="557">
        <v>233</v>
      </c>
      <c r="AE20" t="s" s="557">
        <v>181</v>
      </c>
      <c r="AO20" s="560">
        <f t="shared" si="1"/>
        <v>20</v>
      </c>
    </row>
    <row r="21" spans="1:41">
      <c r="A21" t="s" s="557">
        <v>258</v>
      </c>
      <c r="B21" t="s" s="557">
        <v>248</v>
      </c>
      <c r="C21" s="557">
        <v>4</v>
      </c>
      <c r="D21" t="s" s="557">
        <v>259</v>
      </c>
      <c r="E21" t="s" s="557">
        <v>156</v>
      </c>
      <c r="F21" t="s" s="557">
        <v>200</v>
      </c>
      <c r="G21" t="s" s="557">
        <v>252</v>
      </c>
      <c r="H21" t="s" s="557">
        <v>260</v>
      </c>
      <c r="I21" t="s" s="557">
        <v>161</v>
      </c>
      <c r="J21" t="s" s="557">
        <v>211</v>
      </c>
      <c r="K21" t="s" s="557">
        <v>261</v>
      </c>
      <c r="T21" s="557">
        <v>2</v>
      </c>
      <c r="U21" t="s" s="557">
        <v>262</v>
      </c>
      <c r="V21" t="s" s="557">
        <v>210</v>
      </c>
      <c r="W21" t="s" s="557">
        <v>165</v>
      </c>
      <c r="X21" t="s" s="557">
        <v>263</v>
      </c>
      <c r="Y21" t="s" s="557">
        <v>167</v>
      </c>
      <c r="AO21" s="560">
        <f t="shared" si="1"/>
        <v>21</v>
      </c>
    </row>
    <row r="22" spans="1:41">
      <c r="A22" t="s" s="557">
        <v>264</v>
      </c>
      <c r="B22" t="s" s="557">
        <v>265</v>
      </c>
      <c r="C22" s="557">
        <v>3</v>
      </c>
      <c r="D22" t="s" s="557">
        <v>214</v>
      </c>
      <c r="E22" t="s" s="557">
        <v>266</v>
      </c>
      <c r="F22" t="s" s="557">
        <v>236</v>
      </c>
      <c r="G22" t="s" s="557">
        <v>237</v>
      </c>
      <c r="H22" t="s" s="557">
        <v>165</v>
      </c>
      <c r="I22" t="s" s="557">
        <v>267</v>
      </c>
      <c r="J22" t="s" s="557">
        <v>268</v>
      </c>
      <c r="K22" t="s" s="557">
        <v>269</v>
      </c>
      <c r="T22" s="557">
        <v>2</v>
      </c>
      <c r="U22" t="s" s="557">
        <v>157</v>
      </c>
      <c r="V22" t="s" s="557">
        <v>270</v>
      </c>
      <c r="W22" t="s" s="557">
        <v>196</v>
      </c>
      <c r="X22" t="s" s="557">
        <v>271</v>
      </c>
      <c r="AO22" s="560">
        <f t="shared" si="1"/>
        <v>22</v>
      </c>
    </row>
    <row r="23" spans="1:41">
      <c r="A23" t="s" s="557">
        <v>272</v>
      </c>
      <c r="B23" t="s" s="557">
        <v>213</v>
      </c>
      <c r="C23" s="557">
        <v>3</v>
      </c>
      <c r="D23" t="s" s="557">
        <v>214</v>
      </c>
      <c r="E23" t="s" s="557">
        <v>156</v>
      </c>
      <c r="F23" t="s" s="557">
        <v>246</v>
      </c>
      <c r="G23" t="s" s="557">
        <v>186</v>
      </c>
      <c r="H23" t="s" s="557">
        <v>227</v>
      </c>
      <c r="I23" t="s" s="557">
        <v>273</v>
      </c>
      <c r="J23" t="s" s="557">
        <v>164</v>
      </c>
      <c r="K23" t="s" s="557">
        <v>190</v>
      </c>
      <c r="L23" t="s" s="557">
        <v>218</v>
      </c>
      <c r="M23" t="s" s="557">
        <v>274</v>
      </c>
      <c r="N23" t="s" s="557">
        <v>161</v>
      </c>
      <c r="O23" t="s" s="557">
        <v>203</v>
      </c>
      <c r="P23" t="s" s="557">
        <v>193</v>
      </c>
      <c r="T23" s="557">
        <v>1</v>
      </c>
      <c r="U23" t="s" s="557">
        <v>204</v>
      </c>
      <c r="V23" t="s" s="557">
        <v>275</v>
      </c>
      <c r="W23" t="s" s="557">
        <v>196</v>
      </c>
      <c r="X23" t="s" s="557">
        <v>276</v>
      </c>
      <c r="AO23" s="560">
        <f t="shared" si="1"/>
        <v>23</v>
      </c>
    </row>
    <row r="24" spans="1:41">
      <c r="A24" t="s" s="557">
        <v>277</v>
      </c>
      <c r="B24" t="s" s="557">
        <v>241</v>
      </c>
      <c r="C24" s="557">
        <v>4</v>
      </c>
      <c r="D24" t="s" s="557">
        <v>194</v>
      </c>
      <c r="E24" t="s" s="557">
        <v>243</v>
      </c>
      <c r="F24" t="s" s="557">
        <v>195</v>
      </c>
      <c r="G24" t="s" s="557">
        <v>278</v>
      </c>
      <c r="H24" t="s" s="557">
        <v>157</v>
      </c>
      <c r="I24" t="s" s="557">
        <v>244</v>
      </c>
      <c r="J24" t="s" s="557">
        <v>180</v>
      </c>
      <c r="K24" t="s" s="557">
        <v>191</v>
      </c>
      <c r="T24" s="557">
        <v>1</v>
      </c>
      <c r="U24" t="s" s="557">
        <v>279</v>
      </c>
      <c r="V24" t="s" s="557">
        <v>280</v>
      </c>
      <c r="W24" t="s" s="557">
        <v>281</v>
      </c>
      <c r="X24" t="s" s="557">
        <v>282</v>
      </c>
      <c r="AO24" s="560">
        <f t="shared" si="1"/>
        <v>24</v>
      </c>
    </row>
    <row r="25" spans="1:41">
      <c r="A25" t="s" s="557">
        <v>283</v>
      </c>
      <c r="B25" t="s" s="557">
        <v>284</v>
      </c>
      <c r="C25" s="557">
        <v>4</v>
      </c>
      <c r="D25" t="s" s="557">
        <v>184</v>
      </c>
      <c r="E25" t="s" s="557">
        <v>224</v>
      </c>
      <c r="F25" t="s" s="557">
        <v>266</v>
      </c>
      <c r="G25" t="s" s="557">
        <v>249</v>
      </c>
      <c r="H25" t="s" s="557">
        <v>227</v>
      </c>
      <c r="I25" t="s" s="557">
        <v>285</v>
      </c>
      <c r="J25" t="s" s="557">
        <v>286</v>
      </c>
      <c r="K25" t="s" s="557">
        <v>274</v>
      </c>
      <c r="L25" t="s" s="557">
        <v>287</v>
      </c>
      <c r="M25" t="s" s="557">
        <v>230</v>
      </c>
      <c r="T25" s="557">
        <v>3</v>
      </c>
      <c r="U25" t="s" s="557">
        <v>288</v>
      </c>
      <c r="V25" t="s" s="557">
        <v>208</v>
      </c>
      <c r="W25" t="s" s="557">
        <v>178</v>
      </c>
      <c r="X25" t="s" s="557">
        <v>216</v>
      </c>
      <c r="Y25" t="s" s="557">
        <v>158</v>
      </c>
      <c r="Z25" t="s" s="557">
        <v>179</v>
      </c>
      <c r="AA25" t="s" s="557">
        <v>289</v>
      </c>
      <c r="AB25" t="s" s="557">
        <v>167</v>
      </c>
      <c r="AC25" t="s" s="557">
        <v>175</v>
      </c>
      <c r="AD25" t="s" s="557">
        <v>290</v>
      </c>
      <c r="AO25" s="560">
        <f t="shared" si="1"/>
        <v>25</v>
      </c>
    </row>
    <row r="26" spans="1:41">
      <c r="A26" t="s" s="557">
        <v>291</v>
      </c>
      <c r="AF26" t="s" s="557">
        <v>182</v>
      </c>
      <c r="AJ26" t="s" s="557">
        <v>91</v>
      </c>
      <c r="AK26" t="s" s="557">
        <v>82</v>
      </c>
      <c r="AL26" t="s" s="557">
        <v>292</v>
      </c>
      <c r="AM26" t="s" s="557">
        <v>96</v>
      </c>
      <c r="AN26" s="557" t="str">
        <f>附表!$L$62&amp;"。"</f>
        <v>参见《特工手册》的“本职装备：联邦探员”。</v>
      </c>
      <c r="AO26" s="560">
        <f t="shared" si="1"/>
        <v>26</v>
      </c>
    </row>
    <row r="27" spans="1:41">
      <c r="A27" t="s" s="557">
        <v>293</v>
      </c>
      <c r="AF27" t="s" s="557">
        <v>182</v>
      </c>
      <c r="AG27" t="s" s="557">
        <v>121</v>
      </c>
      <c r="AH27" t="s" s="557">
        <v>294</v>
      </c>
      <c r="AJ27" t="s" s="557">
        <v>295</v>
      </c>
      <c r="AK27" t="s" s="557">
        <v>113</v>
      </c>
      <c r="AL27" t="s" s="557">
        <v>98</v>
      </c>
      <c r="AM27" t="s" s="557">
        <v>85</v>
      </c>
      <c r="AN27" s="557" t="str">
        <f>附表!$L$62&amp;"，此外还有一台强固式笔电，加载先进的数据分析软件，化学嗅探器/分析仪。"</f>
        <v>参见《特工手册》的“本职装备：联邦探员”，此外还有一台强固式笔电，加载先进的数据分析软件，化学嗅探器/分析仪。</v>
      </c>
      <c r="AO27" s="560">
        <f t="shared" si="1"/>
        <v>27</v>
      </c>
    </row>
    <row r="28" spans="1:41">
      <c r="A28" t="s" s="557">
        <v>296</v>
      </c>
      <c r="AF28" t="s" s="557">
        <v>297</v>
      </c>
      <c r="AG28" t="s" s="557">
        <v>294</v>
      </c>
      <c r="AH28" t="s" s="557">
        <v>198</v>
      </c>
      <c r="AI28" t="s" s="557">
        <v>115</v>
      </c>
      <c r="AJ28" t="s" s="557">
        <v>85</v>
      </c>
      <c r="AK28" t="s" s="557">
        <v>113</v>
      </c>
      <c r="AL28" t="s" s="557">
        <v>89</v>
      </c>
      <c r="AM28" t="s" s="557">
        <v>298</v>
      </c>
      <c r="AN28" t="s" s="557">
        <v>299</v>
      </c>
      <c r="AO28" s="560">
        <f t="shared" si="1"/>
        <v>28</v>
      </c>
    </row>
    <row r="29" spans="1:41">
      <c r="A29" t="s" s="557">
        <v>300</v>
      </c>
      <c r="AF29" t="s" s="557">
        <v>121</v>
      </c>
      <c r="AG29" t="s" s="557">
        <v>294</v>
      </c>
      <c r="AJ29" t="s" s="557">
        <v>91</v>
      </c>
      <c r="AK29" t="s" s="557">
        <v>107</v>
      </c>
      <c r="AL29" t="s" s="557">
        <v>99</v>
      </c>
      <c r="AM29" t="s" s="557">
        <v>59</v>
      </c>
      <c r="AN29" t="s" s="557">
        <v>301</v>
      </c>
      <c r="AO29" s="560">
        <f t="shared" si="1"/>
        <v>29</v>
      </c>
    </row>
    <row r="30" spans="1:41">
      <c r="A30" t="s" s="557">
        <v>302</v>
      </c>
      <c r="C30" s="557">
        <v>1</v>
      </c>
      <c r="D30" t="s" s="557">
        <v>214</v>
      </c>
      <c r="E30" t="s" s="557">
        <v>215</v>
      </c>
      <c r="F30" t="s" s="557">
        <v>216</v>
      </c>
      <c r="G30" t="s" s="557">
        <v>303</v>
      </c>
      <c r="H30" t="s" s="557">
        <v>217</v>
      </c>
      <c r="I30" t="s" s="557">
        <v>188</v>
      </c>
      <c r="J30" t="s" s="557">
        <v>196</v>
      </c>
      <c r="K30" t="s" s="557">
        <v>218</v>
      </c>
      <c r="L30" t="s" s="557">
        <v>219</v>
      </c>
      <c r="M30" t="s" s="557">
        <v>165</v>
      </c>
      <c r="N30" t="s" s="557">
        <v>220</v>
      </c>
      <c r="O30" t="s" s="557">
        <v>168</v>
      </c>
      <c r="P30" t="s" s="557">
        <v>221</v>
      </c>
      <c r="Q30" t="s" s="557">
        <v>193</v>
      </c>
      <c r="AJ30" t="s" s="557">
        <v>91</v>
      </c>
      <c r="AK30" t="s" s="557">
        <v>99</v>
      </c>
      <c r="AL30" t="s" s="557">
        <v>66</v>
      </c>
      <c r="AM30" t="s" s="557">
        <v>100</v>
      </c>
      <c r="AN30" s="557"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560">
        <f t="shared" si="1"/>
        <v>30</v>
      </c>
    </row>
    <row r="31" spans="1:41">
      <c r="A31" t="s" s="557">
        <v>304</v>
      </c>
      <c r="AF31" t="s" s="557">
        <v>182</v>
      </c>
      <c r="AG31" t="s" s="557">
        <v>305</v>
      </c>
      <c r="AJ31" t="s" s="557">
        <v>91</v>
      </c>
      <c r="AK31" t="s" s="557">
        <v>82</v>
      </c>
      <c r="AL31" t="s" s="557">
        <v>292</v>
      </c>
      <c r="AM31" t="s" s="557">
        <v>96</v>
      </c>
      <c r="AN31" s="557" t="str">
        <f>附表!$L$62&amp;"。"</f>
        <v>参见《特工手册》的“本职装备：联邦探员”。</v>
      </c>
      <c r="AO31" s="560">
        <f t="shared" si="1"/>
        <v>31</v>
      </c>
    </row>
    <row r="32" spans="1:41">
      <c r="A32" t="s" s="557">
        <v>306</v>
      </c>
      <c r="AF32" t="s" s="557">
        <v>154</v>
      </c>
      <c r="AG32" t="s" s="557">
        <v>307</v>
      </c>
      <c r="AH32" t="s" s="557">
        <v>308</v>
      </c>
      <c r="AI32" t="s" s="557">
        <v>115</v>
      </c>
      <c r="AJ32" t="s" s="557">
        <v>58</v>
      </c>
      <c r="AK32" t="s" s="557">
        <v>107</v>
      </c>
      <c r="AL32" t="s" s="557">
        <v>59</v>
      </c>
      <c r="AM32" t="s" s="557">
        <v>82</v>
      </c>
      <c r="AN32" t="s" s="557">
        <v>309</v>
      </c>
      <c r="AO32" s="560">
        <f t="shared" si="1"/>
        <v>32</v>
      </c>
    </row>
    <row r="33" spans="1:41">
      <c r="A33" t="s" s="557">
        <v>310</v>
      </c>
      <c r="AF33" t="s" s="557">
        <v>297</v>
      </c>
      <c r="AG33" t="s" s="557">
        <v>121</v>
      </c>
      <c r="AJ33" t="s" s="557">
        <v>85</v>
      </c>
      <c r="AK33" t="s" s="557">
        <v>91</v>
      </c>
      <c r="AL33" t="s" s="557">
        <v>59</v>
      </c>
      <c r="AM33" t="s" s="557">
        <v>98</v>
      </c>
      <c r="AN33" t="s" s="557">
        <v>311</v>
      </c>
      <c r="AO33" s="560">
        <f t="shared" si="1"/>
        <v>33</v>
      </c>
    </row>
    <row r="34" spans="1:41">
      <c r="A34" t="s" s="557">
        <v>312</v>
      </c>
      <c r="C34" s="557">
        <v>2</v>
      </c>
      <c r="D34" t="s" s="557">
        <v>184</v>
      </c>
      <c r="E34" t="s" s="557">
        <v>156</v>
      </c>
      <c r="F34" t="s" s="557">
        <v>185</v>
      </c>
      <c r="G34" t="s" s="557">
        <v>249</v>
      </c>
      <c r="H34" t="s" s="557">
        <v>187</v>
      </c>
      <c r="I34" t="s" s="557">
        <v>313</v>
      </c>
      <c r="J34" t="s" s="557">
        <v>188</v>
      </c>
      <c r="K34" t="s" s="557">
        <v>314</v>
      </c>
      <c r="L34" t="s" s="557">
        <v>315</v>
      </c>
      <c r="M34" t="s" s="557">
        <v>190</v>
      </c>
      <c r="N34" t="s" s="557">
        <v>316</v>
      </c>
      <c r="O34" t="s" s="557">
        <v>161</v>
      </c>
      <c r="P34" t="s" s="557">
        <v>317</v>
      </c>
      <c r="Q34" t="s" s="557">
        <v>192</v>
      </c>
      <c r="R34" t="s" s="557">
        <v>318</v>
      </c>
      <c r="S34" t="s" s="557">
        <v>193</v>
      </c>
      <c r="AJ34" t="s" s="557">
        <v>75</v>
      </c>
      <c r="AK34" t="s" s="557">
        <v>99</v>
      </c>
      <c r="AL34" t="s" s="557">
        <v>107</v>
      </c>
      <c r="AM34" t="s" s="557">
        <v>96</v>
      </c>
      <c r="AN34" s="557" t="str">
        <f>附表!$L$64&amp;"。"</f>
        <v>参见《特工手册》的“本职装备：警局警员”。</v>
      </c>
      <c r="AO34" s="560">
        <f t="shared" si="1"/>
        <v>34</v>
      </c>
    </row>
    <row r="35" spans="1:41">
      <c r="A35" t="s" s="557">
        <v>319</v>
      </c>
      <c r="AF35" t="s" s="557">
        <v>182</v>
      </c>
      <c r="AJ35" t="s" s="557">
        <v>81</v>
      </c>
      <c r="AK35" t="s" s="557">
        <v>91</v>
      </c>
      <c r="AL35" t="s" s="557">
        <v>107</v>
      </c>
      <c r="AM35" t="s" s="557">
        <v>113</v>
      </c>
      <c r="AN35" s="557" t="str">
        <f>附表!$L$62&amp;"。"</f>
        <v>参见《特工手册》的“本职装备：联邦探员”。</v>
      </c>
      <c r="AO35" s="560">
        <f t="shared" si="1"/>
        <v>35</v>
      </c>
    </row>
    <row r="36" spans="1:41">
      <c r="A36" t="s" s="557">
        <v>320</v>
      </c>
      <c r="AF36" t="s" s="557">
        <v>321</v>
      </c>
      <c r="AG36" t="s" s="557">
        <v>121</v>
      </c>
      <c r="AJ36" t="s" s="557">
        <v>81</v>
      </c>
      <c r="AK36" t="s" s="557">
        <v>85</v>
      </c>
      <c r="AL36" t="s" s="557">
        <v>298</v>
      </c>
      <c r="AM36" t="s" s="557">
        <v>98</v>
      </c>
      <c r="AN36" s="557" t="str">
        <f>附表!$L$62&amp;"。"</f>
        <v>参见《特工手册》的“本职装备：联邦探员”。</v>
      </c>
      <c r="AO36" s="560">
        <f t="shared" si="1"/>
        <v>36</v>
      </c>
    </row>
    <row r="37" spans="1:41">
      <c r="A37" t="s" s="557">
        <v>322</v>
      </c>
      <c r="C37" s="557">
        <v>2</v>
      </c>
      <c r="D37" t="s" s="557">
        <v>184</v>
      </c>
      <c r="E37" t="s" s="557">
        <v>156</v>
      </c>
      <c r="F37" t="s" s="557">
        <v>185</v>
      </c>
      <c r="G37" t="s" s="557">
        <v>303</v>
      </c>
      <c r="H37" t="s" s="557">
        <v>186</v>
      </c>
      <c r="I37" t="s" s="557">
        <v>187</v>
      </c>
      <c r="J37" t="s" s="557">
        <v>188</v>
      </c>
      <c r="K37" t="s" s="557">
        <v>196</v>
      </c>
      <c r="L37" t="s" s="557">
        <v>189</v>
      </c>
      <c r="M37" t="s" s="557">
        <v>190</v>
      </c>
      <c r="N37" t="s" s="557">
        <v>191</v>
      </c>
      <c r="O37" t="s" s="557">
        <v>192</v>
      </c>
      <c r="P37" t="s" s="557">
        <v>323</v>
      </c>
      <c r="Q37" t="s" s="557">
        <v>193</v>
      </c>
      <c r="AJ37" t="s" s="557">
        <v>95</v>
      </c>
      <c r="AK37" t="s" s="557">
        <v>99</v>
      </c>
      <c r="AL37" t="s" s="557">
        <v>91</v>
      </c>
      <c r="AM37" t="s" s="557">
        <v>66</v>
      </c>
      <c r="AN37" s="557" t="str">
        <f>附表!$L$63&amp;"。"</f>
        <v>参见《特工手册》的“本职装备：特警部队”。</v>
      </c>
      <c r="AO37" s="560">
        <f t="shared" si="1"/>
        <v>37</v>
      </c>
    </row>
    <row r="38" spans="1:41">
      <c r="A38" t="s" s="557">
        <v>324</v>
      </c>
      <c r="AF38" t="s" s="557">
        <v>182</v>
      </c>
      <c r="AJ38" t="s" s="557">
        <v>75</v>
      </c>
      <c r="AK38" t="s" s="557">
        <v>113</v>
      </c>
      <c r="AL38" t="s" s="557">
        <v>76</v>
      </c>
      <c r="AM38" t="s" s="557">
        <v>106</v>
      </c>
      <c r="AN38" s="557" t="str">
        <f>附表!$L$62&amp;"。"</f>
        <v>参见《特工手册》的“本职装备：联邦探员”。</v>
      </c>
      <c r="AO38" s="560">
        <f t="shared" si="1"/>
        <v>38</v>
      </c>
    </row>
    <row r="39" spans="1:41">
      <c r="A39" t="s" s="557">
        <v>325</v>
      </c>
      <c r="AF39" t="s" s="557">
        <v>182</v>
      </c>
      <c r="AJ39" t="s" s="557">
        <v>91</v>
      </c>
      <c r="AK39" t="s" s="557">
        <v>107</v>
      </c>
      <c r="AL39" t="s" s="557">
        <v>59</v>
      </c>
      <c r="AM39" t="s" s="557">
        <v>96</v>
      </c>
      <c r="AN39" s="557" t="str">
        <f>附表!$L$62&amp;"。"</f>
        <v>参见《特工手册》的“本职装备：联邦探员”。</v>
      </c>
      <c r="AO39" s="560">
        <f t="shared" si="1"/>
        <v>39</v>
      </c>
    </row>
    <row r="40" spans="1:41">
      <c r="A40" t="s" s="557">
        <v>326</v>
      </c>
      <c r="C40" s="557">
        <v>2</v>
      </c>
      <c r="D40" t="s" s="557">
        <v>184</v>
      </c>
      <c r="E40" t="s" s="557">
        <v>327</v>
      </c>
      <c r="F40" t="s" s="557">
        <v>156</v>
      </c>
      <c r="G40" t="s" s="557">
        <v>185</v>
      </c>
      <c r="H40" t="s" s="557">
        <v>226</v>
      </c>
      <c r="I40" t="s" s="557">
        <v>186</v>
      </c>
      <c r="J40" t="s" s="557">
        <v>187</v>
      </c>
      <c r="K40" t="s" s="557">
        <v>188</v>
      </c>
      <c r="L40" t="s" s="557">
        <v>196</v>
      </c>
      <c r="M40" t="s" s="557">
        <v>189</v>
      </c>
      <c r="N40" t="s" s="557">
        <v>190</v>
      </c>
      <c r="O40" t="s" s="557">
        <v>191</v>
      </c>
      <c r="P40" t="s" s="557">
        <v>192</v>
      </c>
      <c r="Q40" t="s" s="557">
        <v>323</v>
      </c>
      <c r="R40" t="s" s="557">
        <v>193</v>
      </c>
      <c r="AJ40" t="s" s="557">
        <v>75</v>
      </c>
      <c r="AK40" t="s" s="557">
        <v>95</v>
      </c>
      <c r="AL40" t="s" s="557">
        <v>99</v>
      </c>
      <c r="AM40" t="s" s="557">
        <v>106</v>
      </c>
      <c r="AN40" s="557" t="str">
        <f>附表!$L$63&amp;"。"</f>
        <v>参见《特工手册》的“本职装备：特警部队”。</v>
      </c>
      <c r="AO40" s="560">
        <f t="shared" si="1"/>
        <v>40</v>
      </c>
    </row>
    <row r="41" spans="1:41">
      <c r="A41" t="s" s="557">
        <v>328</v>
      </c>
      <c r="AF41" t="s" s="557">
        <v>115</v>
      </c>
      <c r="AJ41" t="s" s="557">
        <v>81</v>
      </c>
      <c r="AK41" t="s" s="557">
        <v>329</v>
      </c>
      <c r="AL41" t="s" s="557">
        <v>82</v>
      </c>
      <c r="AM41" t="s" s="557">
        <v>330</v>
      </c>
      <c r="AN41" t="s" s="557">
        <v>331</v>
      </c>
      <c r="AO41" s="560">
        <f t="shared" si="1"/>
        <v>41</v>
      </c>
    </row>
    <row r="42" spans="1:41">
      <c r="A42" t="s" s="557">
        <v>332</v>
      </c>
      <c r="AF42" t="s" s="557">
        <v>333</v>
      </c>
      <c r="AJ42" t="s" s="557">
        <v>81</v>
      </c>
      <c r="AK42" t="s" s="557">
        <v>113</v>
      </c>
      <c r="AL42" t="s" s="557">
        <v>334</v>
      </c>
      <c r="AM42" t="s" s="557">
        <v>98</v>
      </c>
      <c r="AN42" s="557" t="str">
        <f>附表!$L$65&amp;"，还有特化的情报和许多不同的生存装备。"</f>
        <v>参见《特工手册》的“本职装备：特种作战员”，还有特化的情报和许多不同的生存装备。</v>
      </c>
      <c r="AO42" s="560">
        <f t="shared" si="1"/>
        <v>42</v>
      </c>
    </row>
    <row r="43" spans="1:41">
      <c r="A43" t="s" s="557">
        <v>335</v>
      </c>
      <c r="C43" s="557">
        <v>3</v>
      </c>
      <c r="D43" t="s" s="557">
        <v>184</v>
      </c>
      <c r="E43" t="s" s="557">
        <v>215</v>
      </c>
      <c r="F43" t="s" s="557">
        <v>266</v>
      </c>
      <c r="G43" t="s" s="557">
        <v>249</v>
      </c>
      <c r="H43" t="s" s="557">
        <v>227</v>
      </c>
      <c r="I43" t="s" s="557">
        <v>273</v>
      </c>
      <c r="J43" t="s" s="557">
        <v>286</v>
      </c>
      <c r="K43" t="s" s="557">
        <v>165</v>
      </c>
      <c r="L43" t="s" s="557">
        <v>287</v>
      </c>
      <c r="M43" t="s" s="557">
        <v>168</v>
      </c>
      <c r="N43" t="s" s="557">
        <v>230</v>
      </c>
      <c r="T43" s="557">
        <v>3</v>
      </c>
      <c r="U43" t="s" s="557">
        <v>208</v>
      </c>
      <c r="V43" t="s" s="557">
        <v>178</v>
      </c>
      <c r="W43" t="s" s="557">
        <v>216</v>
      </c>
      <c r="X43" t="s" s="557">
        <v>158</v>
      </c>
      <c r="Y43" t="s" s="557">
        <v>179</v>
      </c>
      <c r="Z43" t="s" s="557">
        <v>289</v>
      </c>
      <c r="AA43" t="s" s="557">
        <v>167</v>
      </c>
      <c r="AB43" t="s" s="557">
        <v>175</v>
      </c>
      <c r="AC43" t="s" s="557">
        <v>290</v>
      </c>
      <c r="AJ43" t="s" s="557">
        <v>75</v>
      </c>
      <c r="AK43" t="s" s="557">
        <v>99</v>
      </c>
      <c r="AL43" t="s" s="557">
        <v>101</v>
      </c>
      <c r="AM43" t="s" s="557">
        <v>111</v>
      </c>
      <c r="AN43" s="557" t="str">
        <f>附表!$L$65&amp;"，并可获得专门的寒冷天气、高山和沙漠生存装备和设备。"</f>
        <v>参见《特工手册》的“本职装备：特种作战员”，并可获得专门的寒冷天气、高山和沙漠生存装备和设备。</v>
      </c>
      <c r="AO43" s="560">
        <f t="shared" si="1"/>
        <v>43</v>
      </c>
    </row>
    <row r="44" spans="1:41">
      <c r="A44" t="s" s="557">
        <v>336</v>
      </c>
      <c r="C44" s="557">
        <v>3</v>
      </c>
      <c r="D44" t="s" s="557">
        <v>184</v>
      </c>
      <c r="E44" t="s" s="557">
        <v>224</v>
      </c>
      <c r="F44" t="s" s="557">
        <v>266</v>
      </c>
      <c r="G44" t="s" s="557">
        <v>186</v>
      </c>
      <c r="H44" t="s" s="557">
        <v>227</v>
      </c>
      <c r="I44" t="s" s="557">
        <v>273</v>
      </c>
      <c r="J44" t="s" s="557">
        <v>337</v>
      </c>
      <c r="K44" t="s" s="557">
        <v>289</v>
      </c>
      <c r="L44" t="s" s="557">
        <v>338</v>
      </c>
      <c r="M44" t="s" s="557">
        <v>165</v>
      </c>
      <c r="N44" t="s" s="557">
        <v>339</v>
      </c>
      <c r="O44" t="s" s="557">
        <v>168</v>
      </c>
      <c r="P44" t="s" s="557">
        <v>230</v>
      </c>
      <c r="T44" s="557">
        <v>1</v>
      </c>
      <c r="U44" t="s" s="557">
        <v>288</v>
      </c>
      <c r="V44" t="s" s="557">
        <v>208</v>
      </c>
      <c r="W44" t="s" s="557">
        <v>178</v>
      </c>
      <c r="X44" t="s" s="557">
        <v>216</v>
      </c>
      <c r="Y44" t="s" s="557">
        <v>158</v>
      </c>
      <c r="Z44" t="s" s="557">
        <v>175</v>
      </c>
      <c r="AJ44" t="s" s="557">
        <v>99</v>
      </c>
      <c r="AK44" t="s" s="557">
        <v>110</v>
      </c>
      <c r="AL44" t="s" s="557">
        <v>98</v>
      </c>
      <c r="AM44" t="s" s="557">
        <v>104</v>
      </c>
      <c r="AN44" s="557" t="str">
        <f>附表!$L$65&amp;"，以及先进的监视、监听设备，包括远距离、加固的激光指示器。"</f>
        <v>参见《特工手册》的“本职装备：特种作战员”，以及先进的监视、监听设备，包括远距离、加固的激光指示器。</v>
      </c>
      <c r="AO44" s="560">
        <f t="shared" si="1"/>
        <v>44</v>
      </c>
    </row>
    <row r="45" spans="1:41">
      <c r="A45" t="s" s="557">
        <v>340</v>
      </c>
      <c r="AF45" t="s" s="557">
        <v>198</v>
      </c>
      <c r="AJ45" t="s" s="557">
        <v>75</v>
      </c>
      <c r="AK45" t="s" s="557">
        <v>101</v>
      </c>
      <c r="AL45" t="s" s="557">
        <v>64</v>
      </c>
      <c r="AM45" t="s" s="557">
        <v>102</v>
      </c>
      <c r="AN45" t="s" s="557">
        <v>341</v>
      </c>
      <c r="AO45" s="560">
        <f t="shared" si="1"/>
        <v>45</v>
      </c>
    </row>
    <row r="46" spans="1:41">
      <c r="A46" t="s" s="557">
        <v>342</v>
      </c>
      <c r="C46" s="557">
        <v>1</v>
      </c>
      <c r="D46" t="s" s="557">
        <v>184</v>
      </c>
      <c r="E46" t="s" s="557">
        <v>215</v>
      </c>
      <c r="F46" t="s" s="557">
        <v>216</v>
      </c>
      <c r="G46" t="s" s="557">
        <v>217</v>
      </c>
      <c r="H46" t="s" s="557">
        <v>343</v>
      </c>
      <c r="I46" t="s" s="557">
        <v>196</v>
      </c>
      <c r="J46" t="s" s="557">
        <v>252</v>
      </c>
      <c r="K46" t="s" s="557">
        <v>218</v>
      </c>
      <c r="L46" t="s" s="557">
        <v>219</v>
      </c>
      <c r="M46" t="s" s="557">
        <v>165</v>
      </c>
      <c r="N46" t="s" s="557">
        <v>161</v>
      </c>
      <c r="O46" t="s" s="557">
        <v>220</v>
      </c>
      <c r="P46" t="s" s="557">
        <v>168</v>
      </c>
      <c r="Q46" t="s" s="557">
        <v>221</v>
      </c>
      <c r="R46" t="s" s="557">
        <v>193</v>
      </c>
      <c r="AJ46" t="s" s="557">
        <v>99</v>
      </c>
      <c r="AK46" t="s" s="557">
        <v>93</v>
      </c>
      <c r="AL46" t="s" s="557">
        <v>76</v>
      </c>
      <c r="AM46" t="s" s="557">
        <v>98</v>
      </c>
      <c r="AN46" s="557" t="str">
        <f>附表!$L$65&amp;"。"</f>
        <v>参见《特工手册》的“本职装备：特种作战员”。</v>
      </c>
      <c r="AO46" s="560">
        <f t="shared" si="1"/>
        <v>46</v>
      </c>
    </row>
    <row r="47" spans="1:41">
      <c r="A47" t="s" s="557">
        <v>344</v>
      </c>
      <c r="AF47" t="s" s="557">
        <v>212</v>
      </c>
      <c r="AN47" s="557" t="str">
        <f>附表!$L$65&amp;"。"</f>
        <v>参见《特工手册》的“本职装备：特种作战员”。</v>
      </c>
      <c r="AO47" s="560">
        <f t="shared" si="1"/>
        <v>47</v>
      </c>
    </row>
    <row r="48" spans="1:41">
      <c r="A48" t="s" s="557">
        <v>345</v>
      </c>
      <c r="C48" s="557">
        <v>3</v>
      </c>
      <c r="D48" t="s" s="557">
        <v>184</v>
      </c>
      <c r="E48" t="s" s="557">
        <v>224</v>
      </c>
      <c r="F48" t="s" s="557">
        <v>266</v>
      </c>
      <c r="G48" t="s" s="557">
        <v>249</v>
      </c>
      <c r="H48" t="s" s="557">
        <v>227</v>
      </c>
      <c r="I48" t="s" s="557">
        <v>273</v>
      </c>
      <c r="J48" t="s" s="557">
        <v>158</v>
      </c>
      <c r="K48" t="s" s="557">
        <v>164</v>
      </c>
      <c r="L48" t="s" s="557">
        <v>286</v>
      </c>
      <c r="M48" t="s" s="557">
        <v>274</v>
      </c>
      <c r="N48" t="s" s="557">
        <v>191</v>
      </c>
      <c r="O48" t="s" s="557">
        <v>175</v>
      </c>
      <c r="P48" t="s" s="557">
        <v>230</v>
      </c>
      <c r="T48" s="557">
        <v>1</v>
      </c>
      <c r="U48" t="s" s="557">
        <v>346</v>
      </c>
      <c r="V48" t="s" s="557">
        <v>347</v>
      </c>
      <c r="W48" t="s" s="557">
        <v>348</v>
      </c>
      <c r="X48" t="s" s="557">
        <v>349</v>
      </c>
      <c r="AJ48" t="s" s="557">
        <v>75</v>
      </c>
      <c r="AK48" t="s" s="557">
        <v>295</v>
      </c>
      <c r="AL48" t="s" s="557">
        <v>89</v>
      </c>
      <c r="AM48" t="s" s="557">
        <v>98</v>
      </c>
      <c r="AN48" s="557" t="str">
        <f>附表!$L$65&amp;"。"</f>
        <v>参见《特工手册》的“本职装备：特种作战员”。</v>
      </c>
      <c r="AO48" s="560">
        <f t="shared" si="1"/>
        <v>48</v>
      </c>
    </row>
    <row r="49" spans="1:41">
      <c r="A49" t="s" s="557">
        <v>350</v>
      </c>
      <c r="C49" s="557">
        <v>1</v>
      </c>
      <c r="D49" t="s" s="557">
        <v>214</v>
      </c>
      <c r="E49" t="s" s="557">
        <v>224</v>
      </c>
      <c r="F49" t="s" s="557">
        <v>266</v>
      </c>
      <c r="G49" t="s" s="557">
        <v>236</v>
      </c>
      <c r="H49" t="s" s="557">
        <v>237</v>
      </c>
      <c r="I49" t="s" s="557">
        <v>227</v>
      </c>
      <c r="J49" t="s" s="557">
        <v>196</v>
      </c>
      <c r="K49" t="s" s="557">
        <v>351</v>
      </c>
      <c r="L49" t="s" s="557">
        <v>352</v>
      </c>
      <c r="M49" t="s" s="557">
        <v>353</v>
      </c>
      <c r="N49" t="s" s="557">
        <v>354</v>
      </c>
      <c r="O49" t="s" s="557">
        <v>355</v>
      </c>
      <c r="P49" t="s" s="557">
        <v>221</v>
      </c>
      <c r="AJ49" t="s" s="557">
        <v>63</v>
      </c>
      <c r="AK49" t="s" s="557">
        <v>356</v>
      </c>
      <c r="AL49" t="s" s="557">
        <v>104</v>
      </c>
      <c r="AM49" t="s" s="557">
        <v>100</v>
      </c>
      <c r="AN49" s="557" t="str">
        <f>附表!$L$65&amp;"，以及维修直升机设备的操作手册和现场手册。"</f>
        <v>参见《特工手册》的“本职装备：特种作战员”，以及维修直升机设备的操作手册和现场手册。</v>
      </c>
      <c r="AO49" s="560">
        <f t="shared" si="1"/>
        <v>49</v>
      </c>
    </row>
    <row r="50" spans="1:41">
      <c r="A50" t="s" s="557">
        <v>357</v>
      </c>
      <c r="C50" s="557">
        <v>1</v>
      </c>
      <c r="D50" t="s" s="557">
        <v>214</v>
      </c>
      <c r="E50" t="s" s="557">
        <v>215</v>
      </c>
      <c r="F50" t="s" s="557">
        <v>217</v>
      </c>
      <c r="G50" t="s" s="557">
        <v>196</v>
      </c>
      <c r="H50" t="s" s="557">
        <v>164</v>
      </c>
      <c r="I50" t="s" s="557">
        <v>218</v>
      </c>
      <c r="J50" t="s" s="557">
        <v>219</v>
      </c>
      <c r="K50" t="s" s="557">
        <v>165</v>
      </c>
      <c r="L50" t="s" s="557">
        <v>358</v>
      </c>
      <c r="M50" t="s" s="557">
        <v>220</v>
      </c>
      <c r="N50" t="s" s="557">
        <v>168</v>
      </c>
      <c r="O50" t="s" s="557">
        <v>221</v>
      </c>
      <c r="P50" t="s" s="557">
        <v>193</v>
      </c>
      <c r="AJ50" t="s" s="557">
        <v>99</v>
      </c>
      <c r="AK50" t="s" s="557">
        <v>72</v>
      </c>
      <c r="AL50" t="s" s="557">
        <v>96</v>
      </c>
      <c r="AM50" t="s" s="557">
        <v>100</v>
      </c>
      <c r="AN50" s="557" t="str">
        <f>附表!$L$65&amp;"，并且能查阅机密报告。"</f>
        <v>参见《特工手册》的“本职装备：特种作战员”，并且能查阅机密报告。</v>
      </c>
      <c r="AO50" s="560">
        <f t="shared" si="1"/>
        <v>50</v>
      </c>
    </row>
    <row r="51" spans="1:41">
      <c r="A51" t="s" s="557">
        <v>359</v>
      </c>
      <c r="AF51" t="s" s="557">
        <v>360</v>
      </c>
      <c r="AJ51" t="s" s="557">
        <v>63</v>
      </c>
      <c r="AK51" t="s" s="557">
        <v>101</v>
      </c>
      <c r="AL51" t="s" s="557">
        <v>72</v>
      </c>
      <c r="AM51" t="s" s="557">
        <v>361</v>
      </c>
      <c r="AN51" t="s" s="557">
        <v>362</v>
      </c>
      <c r="AO51" s="560">
        <f t="shared" si="1"/>
        <v>51</v>
      </c>
    </row>
    <row r="52" spans="1:41">
      <c r="A52" t="s" s="557">
        <v>363</v>
      </c>
      <c r="AF52" t="s" s="557">
        <v>121</v>
      </c>
      <c r="AJ52" t="s" s="557">
        <v>85</v>
      </c>
      <c r="AK52" t="s" s="557">
        <v>364</v>
      </c>
      <c r="AL52" t="s" s="557">
        <v>76</v>
      </c>
      <c r="AM52" t="s" s="557">
        <v>98</v>
      </c>
      <c r="AN52" t="s" s="557">
        <v>365</v>
      </c>
      <c r="AO52" s="560">
        <f t="shared" si="1"/>
        <v>52</v>
      </c>
    </row>
    <row r="53" spans="1:41">
      <c r="A53" t="s" s="557">
        <v>366</v>
      </c>
      <c r="AF53" t="s" s="557">
        <v>360</v>
      </c>
      <c r="AJ53" t="s" s="557">
        <v>63</v>
      </c>
      <c r="AK53" t="s" s="557">
        <v>98</v>
      </c>
      <c r="AL53" t="s" s="557">
        <v>367</v>
      </c>
      <c r="AM53" t="s" s="557">
        <v>368</v>
      </c>
      <c r="AN53" t="s" s="557">
        <v>369</v>
      </c>
      <c r="AO53" s="560">
        <f t="shared" si="1"/>
        <v>53</v>
      </c>
    </row>
    <row r="54" spans="1:41">
      <c r="A54" t="s" s="557">
        <v>370</v>
      </c>
      <c r="AF54" t="s" s="557">
        <v>297</v>
      </c>
      <c r="AG54" t="s" s="557">
        <v>121</v>
      </c>
      <c r="AJ54" t="s" s="557">
        <v>81</v>
      </c>
      <c r="AK54" t="s" s="557">
        <v>85</v>
      </c>
      <c r="AL54" t="s" s="557">
        <v>371</v>
      </c>
      <c r="AM54" t="s" s="557">
        <v>98</v>
      </c>
      <c r="AN54" s="557" t="str">
        <f>附表!$L$62&amp;"。"</f>
        <v>参见《特工手册》的“本职装备：联邦探员”。</v>
      </c>
      <c r="AO54" s="560">
        <f t="shared" si="1"/>
        <v>54</v>
      </c>
    </row>
    <row r="55" spans="1:41">
      <c r="A55" t="s" s="557">
        <v>372</v>
      </c>
      <c r="AF55" t="s" s="557">
        <v>360</v>
      </c>
      <c r="AJ55" t="s" s="557">
        <v>63</v>
      </c>
      <c r="AK55" t="s" s="557">
        <v>98</v>
      </c>
      <c r="AL55" t="s" s="557">
        <v>373</v>
      </c>
      <c r="AN55" t="s" s="557">
        <v>374</v>
      </c>
      <c r="AO55" s="560">
        <f t="shared" si="1"/>
        <v>55</v>
      </c>
    </row>
    <row r="56" spans="1:41">
      <c r="A56" t="s" s="557">
        <v>375</v>
      </c>
      <c r="AF56" t="s" s="557">
        <v>169</v>
      </c>
      <c r="AJ56" t="s" s="557">
        <v>81</v>
      </c>
      <c r="AK56" t="s" s="557">
        <v>98</v>
      </c>
      <c r="AL56" t="s" s="557">
        <v>368</v>
      </c>
      <c r="AM56" t="s" s="557">
        <v>364</v>
      </c>
      <c r="AN56" t="s" s="557">
        <v>374</v>
      </c>
      <c r="AO56" s="560">
        <f t="shared" si="1"/>
        <v>56</v>
      </c>
    </row>
    <row r="57" spans="1:41">
      <c r="A57" t="s" s="557">
        <v>376</v>
      </c>
      <c r="C57" s="557">
        <v>1</v>
      </c>
      <c r="D57" t="s" s="557">
        <v>214</v>
      </c>
      <c r="E57" t="s" s="557">
        <v>215</v>
      </c>
      <c r="F57" t="s" s="557">
        <v>216</v>
      </c>
      <c r="G57" t="s" s="557">
        <v>217</v>
      </c>
      <c r="H57" t="s" s="557">
        <v>196</v>
      </c>
      <c r="I57" t="s" s="557">
        <v>218</v>
      </c>
      <c r="J57" t="s" s="557">
        <v>219</v>
      </c>
      <c r="K57" t="s" s="557">
        <v>165</v>
      </c>
      <c r="L57" t="s" s="557">
        <v>220</v>
      </c>
      <c r="M57" t="s" s="557">
        <v>168</v>
      </c>
      <c r="N57" t="s" s="557">
        <v>221</v>
      </c>
      <c r="O57" t="s" s="557">
        <v>193</v>
      </c>
      <c r="T57" s="557">
        <v>1</v>
      </c>
      <c r="U57" t="s" s="557">
        <v>200</v>
      </c>
      <c r="V57" t="s" s="557">
        <v>358</v>
      </c>
      <c r="AJ57" t="s" s="557">
        <v>75</v>
      </c>
      <c r="AK57" t="s" s="557">
        <v>72</v>
      </c>
      <c r="AL57" t="s" s="557">
        <v>104</v>
      </c>
      <c r="AM57" t="s" s="557">
        <v>100</v>
      </c>
      <c r="AN57" s="557"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560">
        <f t="shared" si="1"/>
        <v>57</v>
      </c>
    </row>
    <row r="58" spans="1:41">
      <c r="A58" t="s" s="557">
        <v>377</v>
      </c>
      <c r="AF58" t="s" s="557">
        <v>182</v>
      </c>
      <c r="AJ58" t="s" s="557">
        <v>91</v>
      </c>
      <c r="AK58" t="s" s="557">
        <v>76</v>
      </c>
      <c r="AL58" t="s" s="557">
        <v>113</v>
      </c>
      <c r="AM58" t="s" s="557">
        <v>59</v>
      </c>
      <c r="AN58" s="557" t="str">
        <f>附表!$L$62&amp;"。"</f>
        <v>参见《特工手册》的“本职装备：联邦探员”。</v>
      </c>
      <c r="AO58" s="560">
        <f t="shared" si="1"/>
        <v>58</v>
      </c>
    </row>
    <row r="59" spans="1:41">
      <c r="A59" t="s" s="557">
        <v>378</v>
      </c>
      <c r="C59" s="557">
        <v>2</v>
      </c>
      <c r="D59" t="s" s="557">
        <v>214</v>
      </c>
      <c r="E59" t="s" s="557">
        <v>327</v>
      </c>
      <c r="F59" t="s" s="557">
        <v>266</v>
      </c>
      <c r="G59" t="s" s="557">
        <v>236</v>
      </c>
      <c r="H59" t="s" s="557">
        <v>237</v>
      </c>
      <c r="I59" t="s" s="557">
        <v>379</v>
      </c>
      <c r="J59" t="s" s="557">
        <v>380</v>
      </c>
      <c r="K59" t="s" s="557">
        <v>165</v>
      </c>
      <c r="L59" t="s" s="557">
        <v>381</v>
      </c>
      <c r="M59" t="s" s="557">
        <v>268</v>
      </c>
      <c r="N59" t="s" s="557">
        <v>192</v>
      </c>
      <c r="O59" t="s" s="557">
        <v>290</v>
      </c>
      <c r="AJ59" t="s" s="557">
        <v>63</v>
      </c>
      <c r="AK59" t="s" s="557">
        <v>75</v>
      </c>
      <c r="AL59" t="s" s="557">
        <v>368</v>
      </c>
      <c r="AM59" t="s" s="557">
        <v>101</v>
      </c>
      <c r="AN59" t="s" s="557">
        <v>382</v>
      </c>
      <c r="AO59" s="560">
        <f t="shared" si="1"/>
        <v>59</v>
      </c>
    </row>
    <row r="60" spans="1:41">
      <c r="A60" t="s" s="557">
        <v>383</v>
      </c>
      <c r="C60" s="557">
        <v>2</v>
      </c>
      <c r="D60" t="s" s="557">
        <v>184</v>
      </c>
      <c r="E60" t="s" s="557">
        <v>224</v>
      </c>
      <c r="F60" t="s" s="557">
        <v>156</v>
      </c>
      <c r="G60" t="s" s="557">
        <v>227</v>
      </c>
      <c r="H60" t="s" s="557">
        <v>200</v>
      </c>
      <c r="I60" t="s" s="557">
        <v>252</v>
      </c>
      <c r="J60" t="s" s="557">
        <v>260</v>
      </c>
      <c r="K60" t="s" s="557">
        <v>191</v>
      </c>
      <c r="L60" t="s" s="557">
        <v>211</v>
      </c>
      <c r="M60" t="s" s="557">
        <v>261</v>
      </c>
      <c r="N60" t="s" s="557">
        <v>168</v>
      </c>
      <c r="T60" s="557">
        <v>2</v>
      </c>
      <c r="U60" t="s" s="557">
        <v>262</v>
      </c>
      <c r="V60" t="s" s="557">
        <v>210</v>
      </c>
      <c r="W60" t="s" s="557">
        <v>165</v>
      </c>
      <c r="X60" t="s" s="557">
        <v>263</v>
      </c>
      <c r="Y60" t="s" s="557">
        <v>167</v>
      </c>
      <c r="AJ60" t="s" s="557">
        <v>101</v>
      </c>
      <c r="AK60" t="s" s="557">
        <v>64</v>
      </c>
      <c r="AL60" t="s" s="557">
        <v>89</v>
      </c>
      <c r="AM60" t="s" s="557">
        <v>102</v>
      </c>
      <c r="AN60" t="s" s="557">
        <v>384</v>
      </c>
      <c r="AO60" s="560">
        <f t="shared" si="1"/>
        <v>60</v>
      </c>
    </row>
    <row r="61" spans="1:41">
      <c r="A61" t="s" s="557">
        <v>385</v>
      </c>
      <c r="C61" s="557">
        <v>1</v>
      </c>
      <c r="D61" t="s" s="557">
        <v>184</v>
      </c>
      <c r="E61" t="s" s="557">
        <v>215</v>
      </c>
      <c r="F61" t="s" s="557">
        <v>216</v>
      </c>
      <c r="G61" t="s" s="557">
        <v>217</v>
      </c>
      <c r="H61" t="s" s="557">
        <v>196</v>
      </c>
      <c r="I61" t="s" s="557">
        <v>218</v>
      </c>
      <c r="J61" t="s" s="557">
        <v>219</v>
      </c>
      <c r="K61" t="s" s="557">
        <v>165</v>
      </c>
      <c r="L61" t="s" s="557">
        <v>386</v>
      </c>
      <c r="M61" t="s" s="557">
        <v>220</v>
      </c>
      <c r="N61" t="s" s="557">
        <v>387</v>
      </c>
      <c r="O61" t="s" s="557">
        <v>290</v>
      </c>
      <c r="P61" t="s" s="557">
        <v>193</v>
      </c>
      <c r="AJ61" t="s" s="557">
        <v>99</v>
      </c>
      <c r="AK61" t="s" s="557">
        <v>66</v>
      </c>
      <c r="AL61" t="s" s="557">
        <v>100</v>
      </c>
      <c r="AM61" t="s" s="557">
        <v>106</v>
      </c>
      <c r="AN61" s="557" t="str">
        <f>附表!$L$65&amp;"，以及SCUBA 和游泳装备。所有设备都是防水的。"</f>
        <v>参见《特工手册》的“本职装备：特种作战员”，以及SCUBA 和游泳装备。所有设备都是防水的。</v>
      </c>
      <c r="AO61" s="560">
        <f t="shared" si="1"/>
        <v>61</v>
      </c>
    </row>
    <row r="62" spans="1:41">
      <c r="A62" t="s" s="557">
        <v>388</v>
      </c>
      <c r="C62" s="557">
        <v>1</v>
      </c>
      <c r="D62" t="s" s="557">
        <v>214</v>
      </c>
      <c r="E62" t="s" s="557">
        <v>215</v>
      </c>
      <c r="F62" t="s" s="557">
        <v>216</v>
      </c>
      <c r="G62" t="s" s="557">
        <v>303</v>
      </c>
      <c r="H62" t="s" s="557">
        <v>217</v>
      </c>
      <c r="I62" t="s" s="557">
        <v>196</v>
      </c>
      <c r="J62" t="s" s="557">
        <v>218</v>
      </c>
      <c r="K62" t="s" s="557">
        <v>219</v>
      </c>
      <c r="L62" t="s" s="557">
        <v>353</v>
      </c>
      <c r="M62" t="s" s="557">
        <v>389</v>
      </c>
      <c r="N62" t="s" s="557">
        <v>387</v>
      </c>
      <c r="O62" t="s" s="557">
        <v>221</v>
      </c>
      <c r="P62" t="s" s="557">
        <v>193</v>
      </c>
      <c r="AJ62" t="s" s="557">
        <v>97</v>
      </c>
      <c r="AK62" t="s" s="557">
        <v>99</v>
      </c>
      <c r="AL62" t="s" s="557">
        <v>98</v>
      </c>
      <c r="AM62" t="s" s="557">
        <v>104</v>
      </c>
      <c r="AN62" s="557"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560">
        <f t="shared" si="1"/>
        <v>62</v>
      </c>
    </row>
    <row r="63" spans="1:41">
      <c r="A63" t="s" s="557">
        <v>390</v>
      </c>
      <c r="C63" s="557">
        <v>3</v>
      </c>
      <c r="D63" t="s" s="557">
        <v>391</v>
      </c>
      <c r="E63" t="s" s="557">
        <v>215</v>
      </c>
      <c r="F63" t="s" s="557">
        <v>177</v>
      </c>
      <c r="G63" t="s" s="557">
        <v>392</v>
      </c>
      <c r="H63" t="s" s="557">
        <v>393</v>
      </c>
      <c r="I63" t="s" s="557">
        <v>227</v>
      </c>
      <c r="J63" t="s" s="557">
        <v>244</v>
      </c>
      <c r="K63" t="s" s="557">
        <v>164</v>
      </c>
      <c r="L63" t="s" s="557">
        <v>229</v>
      </c>
      <c r="M63" t="s" s="557">
        <v>191</v>
      </c>
      <c r="N63" t="s" s="557">
        <v>394</v>
      </c>
      <c r="O63" t="s" s="557">
        <v>230</v>
      </c>
      <c r="T63" s="557">
        <v>1</v>
      </c>
      <c r="U63" t="s" s="557">
        <v>395</v>
      </c>
      <c r="V63" t="s" s="557">
        <v>157</v>
      </c>
      <c r="W63" t="s" s="557">
        <v>271</v>
      </c>
      <c r="AJ63" t="s" s="557">
        <v>396</v>
      </c>
      <c r="AK63" t="s" s="557">
        <v>75</v>
      </c>
      <c r="AL63" t="s" s="557">
        <v>113</v>
      </c>
      <c r="AM63" t="s" s="557">
        <v>104</v>
      </c>
      <c r="AN63" s="557" t="str">
        <f>附表!$L$65&amp;"。"</f>
        <v>参见《特工手册》的“本职装备：特种作战员”。</v>
      </c>
      <c r="AO63" s="560">
        <f t="shared" si="1"/>
        <v>63</v>
      </c>
    </row>
    <row r="64" spans="1:41">
      <c r="A64" t="s" s="557">
        <v>397</v>
      </c>
      <c r="C64" s="557">
        <v>2</v>
      </c>
      <c r="D64" t="s" s="557">
        <v>214</v>
      </c>
      <c r="E64" t="s" s="557">
        <v>215</v>
      </c>
      <c r="F64" t="s" s="557">
        <v>266</v>
      </c>
      <c r="G64" t="s" s="557">
        <v>216</v>
      </c>
      <c r="H64" t="s" s="557">
        <v>303</v>
      </c>
      <c r="I64" t="s" s="557">
        <v>249</v>
      </c>
      <c r="J64" t="s" s="557">
        <v>217</v>
      </c>
      <c r="K64" t="s" s="557">
        <v>273</v>
      </c>
      <c r="L64" t="s" s="557">
        <v>158</v>
      </c>
      <c r="M64" t="s" s="557">
        <v>179</v>
      </c>
      <c r="N64" t="s" s="557">
        <v>196</v>
      </c>
      <c r="O64" t="s" s="557">
        <v>286</v>
      </c>
      <c r="P64" t="s" s="557">
        <v>274</v>
      </c>
      <c r="Q64" t="s" s="557">
        <v>287</v>
      </c>
      <c r="R64" t="s" s="557">
        <v>290</v>
      </c>
      <c r="S64" t="s" s="557">
        <v>230</v>
      </c>
      <c r="AJ64" t="s" s="557">
        <v>111</v>
      </c>
      <c r="AK64" t="s" s="557">
        <v>72</v>
      </c>
      <c r="AL64" t="s" s="557">
        <v>100</v>
      </c>
      <c r="AN64" t="s" s="557">
        <v>398</v>
      </c>
      <c r="AO64" s="560">
        <f t="shared" si="1"/>
        <v>64</v>
      </c>
    </row>
    <row r="65" spans="1:41">
      <c r="A65" t="s" s="557">
        <v>399</v>
      </c>
      <c r="C65" s="557">
        <v>3</v>
      </c>
      <c r="D65" t="s" s="557">
        <v>214</v>
      </c>
      <c r="E65" t="s" s="557">
        <v>215</v>
      </c>
      <c r="F65" t="s" s="557">
        <v>266</v>
      </c>
      <c r="G65" t="s" s="557">
        <v>249</v>
      </c>
      <c r="H65" t="s" s="557">
        <v>217</v>
      </c>
      <c r="I65" t="s" s="557">
        <v>273</v>
      </c>
      <c r="J65" t="s" s="557">
        <v>289</v>
      </c>
      <c r="K65" t="s" s="557">
        <v>286</v>
      </c>
      <c r="L65" t="s" s="557">
        <v>274</v>
      </c>
      <c r="M65" t="s" s="557">
        <v>287</v>
      </c>
      <c r="N65" t="s" s="557">
        <v>318</v>
      </c>
      <c r="O65" t="s" s="557">
        <v>230</v>
      </c>
      <c r="T65" s="557">
        <v>2</v>
      </c>
      <c r="U65" t="s" s="557">
        <v>216</v>
      </c>
      <c r="V65" t="s" s="557">
        <v>158</v>
      </c>
      <c r="W65" t="s" s="557">
        <v>196</v>
      </c>
      <c r="X65" t="s" s="557">
        <v>167</v>
      </c>
      <c r="Y65" t="s" s="557">
        <v>175</v>
      </c>
      <c r="Z65" t="s" s="557">
        <v>290</v>
      </c>
      <c r="AJ65" t="s" s="557">
        <v>63</v>
      </c>
      <c r="AK65" t="s" s="557">
        <v>99</v>
      </c>
      <c r="AL65" t="s" s="557">
        <v>66</v>
      </c>
      <c r="AM65" t="s" s="557">
        <v>106</v>
      </c>
      <c r="AN65" s="557" t="str">
        <f>附表!$L$65&amp;"。"</f>
        <v>参见《特工手册》的“本职装备：特种作战员”。</v>
      </c>
      <c r="AO65" s="560">
        <f t="shared" si="1"/>
        <v>65</v>
      </c>
    </row>
    <row r="66" spans="1:41">
      <c r="A66" t="s" s="557">
        <v>400</v>
      </c>
      <c r="C66" s="557">
        <v>1</v>
      </c>
      <c r="D66" t="s" s="557">
        <v>184</v>
      </c>
      <c r="E66" t="s" s="557">
        <v>215</v>
      </c>
      <c r="F66" t="s" s="557">
        <v>216</v>
      </c>
      <c r="G66" t="s" s="557">
        <v>217</v>
      </c>
      <c r="H66" t="s" s="557">
        <v>196</v>
      </c>
      <c r="I66" t="s" s="557">
        <v>218</v>
      </c>
      <c r="J66" t="s" s="557">
        <v>219</v>
      </c>
      <c r="K66" t="s" s="557">
        <v>165</v>
      </c>
      <c r="L66" t="s" s="557">
        <v>161</v>
      </c>
      <c r="M66" t="s" s="557">
        <v>386</v>
      </c>
      <c r="N66" t="s" s="557">
        <v>220</v>
      </c>
      <c r="O66" t="s" s="557">
        <v>168</v>
      </c>
      <c r="P66" t="s" s="557">
        <v>221</v>
      </c>
      <c r="Q66" t="s" s="557">
        <v>193</v>
      </c>
      <c r="AJ66" t="s" s="557">
        <v>75</v>
      </c>
      <c r="AK66" t="s" s="557">
        <v>111</v>
      </c>
      <c r="AL66" t="s" s="557">
        <v>113</v>
      </c>
      <c r="AM66" t="s" s="557">
        <v>66</v>
      </c>
      <c r="AN66" s="557" t="str">
        <f>附表!$L$65&amp;"。"</f>
        <v>参见《特工手册》的“本职装备：特种作战员”。</v>
      </c>
      <c r="AO66" s="560">
        <f t="shared" si="1"/>
        <v>66</v>
      </c>
    </row>
    <row r="67" spans="1:41">
      <c r="A67" t="s" s="557">
        <v>401</v>
      </c>
      <c r="AF67" t="s" s="557">
        <v>294</v>
      </c>
      <c r="AJ67" t="s" s="557">
        <v>81</v>
      </c>
      <c r="AK67" t="s" s="557">
        <v>113</v>
      </c>
      <c r="AL67" t="s" s="557">
        <v>76</v>
      </c>
      <c r="AM67" t="s" s="557">
        <v>98</v>
      </c>
      <c r="AN67" t="s" s="557">
        <v>402</v>
      </c>
      <c r="AO67" s="560">
        <f t="shared" si="1"/>
        <v>67</v>
      </c>
    </row>
    <row r="68" spans="1:41">
      <c r="A68" t="s" s="557">
        <v>403</v>
      </c>
      <c r="C68" s="557">
        <v>1</v>
      </c>
      <c r="D68" t="s" s="557">
        <v>214</v>
      </c>
      <c r="E68" t="s" s="557">
        <v>224</v>
      </c>
      <c r="F68" t="s" s="557">
        <v>216</v>
      </c>
      <c r="G68" t="s" s="557">
        <v>217</v>
      </c>
      <c r="H68" t="s" s="557">
        <v>158</v>
      </c>
      <c r="I68" t="s" s="557">
        <v>196</v>
      </c>
      <c r="J68" t="s" s="557">
        <v>315</v>
      </c>
      <c r="K68" t="s" s="557">
        <v>218</v>
      </c>
      <c r="L68" t="s" s="557">
        <v>404</v>
      </c>
      <c r="M68" t="s" s="557">
        <v>165</v>
      </c>
      <c r="N68" t="s" s="557">
        <v>161</v>
      </c>
      <c r="O68" t="s" s="557">
        <v>220</v>
      </c>
      <c r="P68" t="s" s="557">
        <v>168</v>
      </c>
      <c r="Q68" t="s" s="557">
        <v>269</v>
      </c>
      <c r="R68" t="s" s="557">
        <v>193</v>
      </c>
      <c r="AJ68" t="s" s="557">
        <v>63</v>
      </c>
      <c r="AK68" t="s" s="557">
        <v>99</v>
      </c>
      <c r="AL68" t="s" s="557">
        <v>100</v>
      </c>
      <c r="AM68" t="s" s="557">
        <v>104</v>
      </c>
      <c r="AN68" s="557" t="str">
        <f>附表!$L$65&amp;"，并且能调阅机密报告。"</f>
        <v>参见《特工手册》的“本职装备：特种作战员”，并且能调阅机密报告。</v>
      </c>
      <c r="AO68" s="560">
        <f t="shared" si="1"/>
        <v>68</v>
      </c>
    </row>
    <row r="69" spans="1:41">
      <c r="A69" t="s" s="557">
        <v>405</v>
      </c>
      <c r="C69" s="557">
        <v>1</v>
      </c>
      <c r="D69" t="s" s="557">
        <v>242</v>
      </c>
      <c r="E69" t="s" s="557">
        <v>162</v>
      </c>
      <c r="F69" t="s" s="557">
        <v>327</v>
      </c>
      <c r="G69" t="s" s="557">
        <v>243</v>
      </c>
      <c r="H69" t="s" s="557">
        <v>406</v>
      </c>
      <c r="I69" t="s" s="557">
        <v>227</v>
      </c>
      <c r="J69" t="s" s="557">
        <v>157</v>
      </c>
      <c r="K69" t="s" s="557">
        <v>157</v>
      </c>
      <c r="L69" t="s" s="557">
        <v>158</v>
      </c>
      <c r="M69" t="s" s="557">
        <v>244</v>
      </c>
      <c r="N69" t="s" s="557">
        <v>164</v>
      </c>
      <c r="O69" t="s" s="557">
        <v>180</v>
      </c>
      <c r="P69" t="s" s="557">
        <v>191</v>
      </c>
      <c r="Q69" t="s" s="557">
        <v>220</v>
      </c>
      <c r="R69" t="s" s="557">
        <v>193</v>
      </c>
      <c r="AJ69" t="s" s="557">
        <v>81</v>
      </c>
      <c r="AK69" t="s" s="557">
        <v>91</v>
      </c>
      <c r="AL69" t="s" s="557">
        <v>76</v>
      </c>
      <c r="AM69" t="s" s="557">
        <v>98</v>
      </c>
      <c r="AN69" s="557" t="str">
        <f>附表!$L$65&amp;"，并且能调阅机密报告。"</f>
        <v>参见《特工手册》的“本职装备：特种作战员”，并且能调阅机密报告。</v>
      </c>
      <c r="AO69" s="560">
        <f t="shared" si="1"/>
        <v>69</v>
      </c>
    </row>
    <row r="70" spans="1:41">
      <c r="A70" t="s" s="557">
        <v>407</v>
      </c>
      <c r="AF70" t="s" s="557">
        <v>294</v>
      </c>
      <c r="AJ70" t="s" s="557">
        <v>65</v>
      </c>
      <c r="AK70" t="s" s="557">
        <v>113</v>
      </c>
      <c r="AL70" t="s" s="557">
        <v>98</v>
      </c>
      <c r="AM70" t="s" s="557">
        <v>112</v>
      </c>
      <c r="AN70" t="s" s="557">
        <v>402</v>
      </c>
      <c r="AO70" s="560">
        <f t="shared" si="1"/>
        <v>70</v>
      </c>
    </row>
    <row r="71" spans="1:41">
      <c r="A71" t="s" s="557">
        <v>408</v>
      </c>
      <c r="AF71" t="s" s="557">
        <v>409</v>
      </c>
      <c r="AJ71" t="s" s="557">
        <v>65</v>
      </c>
      <c r="AK71" t="s" s="557">
        <v>81</v>
      </c>
      <c r="AL71" t="s" s="557">
        <v>334</v>
      </c>
      <c r="AM71" t="s" s="557">
        <v>112</v>
      </c>
      <c r="AN71" t="s" s="557">
        <v>410</v>
      </c>
      <c r="AO71" s="560">
        <f t="shared" si="1"/>
        <v>71</v>
      </c>
    </row>
    <row r="72" spans="1:41">
      <c r="A72" t="s" s="557">
        <v>411</v>
      </c>
      <c r="AF72" t="s" s="557">
        <v>182</v>
      </c>
      <c r="AJ72" t="s" s="557">
        <v>81</v>
      </c>
      <c r="AK72" t="s" s="557">
        <v>334</v>
      </c>
      <c r="AL72" t="s" s="557">
        <v>113</v>
      </c>
      <c r="AM72" t="s" s="557">
        <v>76</v>
      </c>
      <c r="AN72" s="557" t="str">
        <f>附表!$L$62&amp;"。"</f>
        <v>参见《特工手册》的“本职装备：联邦探员”。</v>
      </c>
      <c r="AO72" s="560">
        <f t="shared" ref="AO72:AO106" si="2">ROW()</f>
        <v>72</v>
      </c>
    </row>
    <row r="73" spans="1:41">
      <c r="A73" t="s" s="557">
        <v>412</v>
      </c>
      <c r="AF73" t="s" s="557">
        <v>409</v>
      </c>
      <c r="AJ73" t="s" s="557">
        <v>81</v>
      </c>
      <c r="AK73" t="s" s="557">
        <v>334</v>
      </c>
      <c r="AL73" t="s" s="557">
        <v>59</v>
      </c>
      <c r="AM73" t="s" s="557">
        <v>76</v>
      </c>
      <c r="AN73" t="s" s="557">
        <v>413</v>
      </c>
      <c r="AO73" s="560">
        <f t="shared" si="2"/>
        <v>73</v>
      </c>
    </row>
    <row r="74" spans="1:41">
      <c r="A74" t="s" s="557">
        <v>414</v>
      </c>
      <c r="AF74" t="s" s="557">
        <v>308</v>
      </c>
      <c r="AJ74" t="s" s="557">
        <v>58</v>
      </c>
      <c r="AK74" t="s" s="557">
        <v>81</v>
      </c>
      <c r="AL74" t="s" s="557">
        <v>91</v>
      </c>
      <c r="AM74" t="s" s="557">
        <v>59</v>
      </c>
      <c r="AN74" s="557" t="str">
        <f>"控制某INL项目的预算"&amp;附表!$L$66&amp;"。"</f>
        <v>控制某INL项目的预算（参见《特工手册》的“项目群经理”）。</v>
      </c>
      <c r="AO74" s="560">
        <f t="shared" si="2"/>
        <v>74</v>
      </c>
    </row>
    <row r="75" spans="1:41">
      <c r="A75" t="s" s="557">
        <v>415</v>
      </c>
      <c r="AF75" t="s" s="557">
        <v>409</v>
      </c>
      <c r="AG75" t="s" s="557">
        <v>321</v>
      </c>
      <c r="AH75" t="s" s="557">
        <v>121</v>
      </c>
      <c r="AJ75" t="s" s="557">
        <v>112</v>
      </c>
      <c r="AK75" t="s" s="557">
        <v>113</v>
      </c>
      <c r="AL75" t="s" s="557">
        <v>76</v>
      </c>
      <c r="AM75" t="s" s="557">
        <v>98</v>
      </c>
      <c r="AN75" t="s" s="557">
        <v>416</v>
      </c>
      <c r="AO75" s="560">
        <f t="shared" si="2"/>
        <v>75</v>
      </c>
    </row>
    <row r="76" spans="1:41">
      <c r="A76" t="s" s="557">
        <v>417</v>
      </c>
      <c r="AF76" t="s" s="557">
        <v>198</v>
      </c>
      <c r="AG76" t="s" s="557">
        <v>308</v>
      </c>
      <c r="AH76" t="s" s="557">
        <v>115</v>
      </c>
      <c r="AJ76" t="s" s="557">
        <v>58</v>
      </c>
      <c r="AK76" t="s" s="557">
        <v>81</v>
      </c>
      <c r="AL76" t="s" s="557">
        <v>76</v>
      </c>
      <c r="AM76" t="s" s="557">
        <v>418</v>
      </c>
      <c r="AN76" s="557" t="str">
        <f>"控制某项目的预算"&amp;附表!$L$66&amp;"。"</f>
        <v>控制某项目的预算（参见《特工手册》的“项目群经理”）。</v>
      </c>
      <c r="AO76" s="560">
        <f t="shared" si="2"/>
        <v>76</v>
      </c>
    </row>
    <row r="77" spans="1:41">
      <c r="A77" t="s" s="557">
        <v>419</v>
      </c>
      <c r="AF77" t="s" s="557">
        <v>198</v>
      </c>
      <c r="AG77" t="s" s="557">
        <v>308</v>
      </c>
      <c r="AH77" t="s" s="557">
        <v>115</v>
      </c>
      <c r="AJ77" t="s" s="557">
        <v>58</v>
      </c>
      <c r="AK77" t="s" s="557">
        <v>81</v>
      </c>
      <c r="AL77" t="s" s="557">
        <v>76</v>
      </c>
      <c r="AM77" t="s" s="557">
        <v>418</v>
      </c>
      <c r="AN77" t="s" s="557">
        <v>420</v>
      </c>
      <c r="AO77" s="560">
        <f t="shared" si="2"/>
        <v>77</v>
      </c>
    </row>
    <row r="78" ht="28" spans="1:41">
      <c r="A78" t="s" s="557">
        <v>421</v>
      </c>
      <c r="AF78" t="s" s="557">
        <v>321</v>
      </c>
      <c r="AG78" t="s" s="557">
        <v>198</v>
      </c>
      <c r="AH78" t="s" s="557">
        <v>115</v>
      </c>
      <c r="AJ78" t="s" s="557">
        <v>334</v>
      </c>
      <c r="AK78" t="s" s="557">
        <v>107</v>
      </c>
      <c r="AL78" t="s" s="557">
        <v>418</v>
      </c>
      <c r="AM78" t="s" s="557">
        <v>104</v>
      </c>
      <c r="AN78" s="561" t="s">
        <v>422</v>
      </c>
      <c r="AO78" s="560">
        <f t="shared" si="2"/>
        <v>78</v>
      </c>
    </row>
    <row r="79" spans="1:41">
      <c r="A79" t="s" s="557">
        <v>423</v>
      </c>
      <c r="AF79" t="s" s="557">
        <v>424</v>
      </c>
      <c r="AG79" t="s" s="557">
        <v>198</v>
      </c>
      <c r="AH79" t="s" s="557">
        <v>115</v>
      </c>
      <c r="AJ79" t="s" s="557">
        <v>101</v>
      </c>
      <c r="AK79" t="s" s="557">
        <v>82</v>
      </c>
      <c r="AL79" t="s" s="557">
        <v>89</v>
      </c>
      <c r="AM79" t="s" s="557">
        <v>102</v>
      </c>
      <c r="AN79" t="s" s="557">
        <v>420</v>
      </c>
      <c r="AO79" s="560">
        <f t="shared" si="2"/>
        <v>79</v>
      </c>
    </row>
    <row r="80" spans="1:41">
      <c r="A80" t="s" s="557">
        <v>425</v>
      </c>
      <c r="C80" s="557">
        <v>4</v>
      </c>
      <c r="D80" t="s" s="557">
        <v>184</v>
      </c>
      <c r="E80" t="s" s="557">
        <v>156</v>
      </c>
      <c r="F80" t="s" s="557">
        <v>185</v>
      </c>
      <c r="G80" t="s" s="557">
        <v>249</v>
      </c>
      <c r="H80" t="s" s="557">
        <v>227</v>
      </c>
      <c r="I80" t="s" s="557">
        <v>210</v>
      </c>
      <c r="J80" t="s" s="557">
        <v>164</v>
      </c>
      <c r="K80" t="s" s="557">
        <v>190</v>
      </c>
      <c r="L80" t="s" s="557">
        <v>191</v>
      </c>
      <c r="M80" t="s" s="557">
        <v>426</v>
      </c>
      <c r="N80" t="s" s="557">
        <v>192</v>
      </c>
      <c r="AJ80" t="s" s="557">
        <v>81</v>
      </c>
      <c r="AK80" t="s" s="557">
        <v>91</v>
      </c>
      <c r="AL80" t="s" s="557">
        <v>107</v>
      </c>
      <c r="AM80" t="s" s="557">
        <v>427</v>
      </c>
      <c r="AN80" s="557"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560">
        <f t="shared" si="2"/>
        <v>80</v>
      </c>
    </row>
    <row r="81" spans="1:41">
      <c r="A81" t="s" s="557">
        <v>428</v>
      </c>
      <c r="C81" s="557">
        <v>4</v>
      </c>
      <c r="D81" t="s" s="557">
        <v>214</v>
      </c>
      <c r="E81" t="s" s="557">
        <v>156</v>
      </c>
      <c r="F81" t="s" s="557">
        <v>210</v>
      </c>
      <c r="G81" t="s" s="557">
        <v>180</v>
      </c>
      <c r="H81" t="s" s="557">
        <v>429</v>
      </c>
      <c r="I81" t="s" s="557">
        <v>430</v>
      </c>
      <c r="J81" t="s" s="557">
        <v>206</v>
      </c>
      <c r="K81" t="s" s="557">
        <v>167</v>
      </c>
      <c r="AJ81" t="s" s="557">
        <v>91</v>
      </c>
      <c r="AK81" t="s" s="557">
        <v>107</v>
      </c>
      <c r="AL81" t="s" s="557">
        <v>113</v>
      </c>
      <c r="AM81" t="s" s="557">
        <v>76</v>
      </c>
      <c r="AN81" t="s" s="557">
        <v>431</v>
      </c>
      <c r="AO81" s="560">
        <f t="shared" si="2"/>
        <v>81</v>
      </c>
    </row>
    <row r="82" spans="1:41">
      <c r="A82" t="s" s="557">
        <v>432</v>
      </c>
      <c r="AF82" t="s" s="557">
        <v>182</v>
      </c>
      <c r="AJ82" t="s" s="557">
        <v>63</v>
      </c>
      <c r="AK82" t="s" s="557">
        <v>81</v>
      </c>
      <c r="AL82" t="s" s="557">
        <v>113</v>
      </c>
      <c r="AM82" t="s" s="557">
        <v>76</v>
      </c>
      <c r="AN82" s="557" t="str">
        <f>附表!$L$62&amp;"。"</f>
        <v>参见《特工手册》的“本职装备：联邦探员”。</v>
      </c>
      <c r="AO82" s="560">
        <f t="shared" si="2"/>
        <v>82</v>
      </c>
    </row>
    <row r="83" spans="1:41">
      <c r="A83" t="s" s="557">
        <v>433</v>
      </c>
      <c r="C83" s="557">
        <v>2</v>
      </c>
      <c r="D83" t="s" s="557">
        <v>184</v>
      </c>
      <c r="E83" t="s" s="557">
        <v>266</v>
      </c>
      <c r="F83" t="s" s="557">
        <v>185</v>
      </c>
      <c r="G83" t="s" s="557">
        <v>186</v>
      </c>
      <c r="H83" t="s" s="557">
        <v>187</v>
      </c>
      <c r="I83" t="s" s="557">
        <v>188</v>
      </c>
      <c r="J83" t="s" s="557">
        <v>434</v>
      </c>
      <c r="K83" t="s" s="557">
        <v>314</v>
      </c>
      <c r="L83" t="s" s="557">
        <v>189</v>
      </c>
      <c r="M83" t="s" s="557">
        <v>190</v>
      </c>
      <c r="N83" t="s" s="557">
        <v>161</v>
      </c>
      <c r="O83" s="562" t="s">
        <v>435</v>
      </c>
      <c r="P83" t="s" s="557">
        <v>192</v>
      </c>
      <c r="Q83" t="s" s="557">
        <v>221</v>
      </c>
      <c r="R83" t="s" s="557">
        <v>193</v>
      </c>
      <c r="AJ83" t="s" s="557">
        <v>63</v>
      </c>
      <c r="AK83" t="s" s="557">
        <v>75</v>
      </c>
      <c r="AL83" t="s" s="557">
        <v>96</v>
      </c>
      <c r="AM83" t="s" s="557">
        <v>98</v>
      </c>
      <c r="AN83" s="557" t="str">
        <f>附表!$L$62&amp;"，以及水上生存装备。"</f>
        <v>参见《特工手册》的“本职装备：联邦探员”，以及水上生存装备。</v>
      </c>
      <c r="AO83" s="560">
        <f t="shared" si="2"/>
        <v>83</v>
      </c>
    </row>
    <row r="84" spans="1:41">
      <c r="A84" t="s" s="557">
        <v>436</v>
      </c>
      <c r="AF84" t="s" s="557">
        <v>182</v>
      </c>
      <c r="AJ84" t="s" s="557">
        <v>63</v>
      </c>
      <c r="AK84" t="s" s="557">
        <v>437</v>
      </c>
      <c r="AL84" t="s" s="557">
        <v>438</v>
      </c>
      <c r="AM84" t="s" s="557">
        <v>96</v>
      </c>
      <c r="AN84" s="557" t="str">
        <f>附表!$L$62&amp;"，外加一只工作用犬（工作犬种或竞技犬种）、犬类处理设备和兽医医疗用品。"</f>
        <v>参见《特工手册》的“本职装备：联邦探员”，外加一只工作用犬（工作犬种或竞技犬种）、犬类处理设备和兽医医疗用品。</v>
      </c>
      <c r="AO84" s="560">
        <f t="shared" si="2"/>
        <v>84</v>
      </c>
    </row>
    <row r="85" spans="1:41">
      <c r="A85" t="s" s="557">
        <v>439</v>
      </c>
      <c r="AF85" t="s" s="557">
        <v>182</v>
      </c>
      <c r="AJ85" t="s" s="557">
        <v>75</v>
      </c>
      <c r="AK85" t="s" s="557">
        <v>97</v>
      </c>
      <c r="AL85" t="s" s="557">
        <v>72</v>
      </c>
      <c r="AM85" t="s" s="557">
        <v>104</v>
      </c>
      <c r="AN85" s="557" t="str">
        <f>附表!$L$62&amp;"，以及各式各样的交通工具。"</f>
        <v>参见《特工手册》的“本职装备：联邦探员”，以及各式各样的交通工具。</v>
      </c>
      <c r="AO85" s="560">
        <f t="shared" si="2"/>
        <v>85</v>
      </c>
    </row>
    <row r="86" spans="1:41">
      <c r="A86" t="s" s="557">
        <v>440</v>
      </c>
      <c r="C86" s="557">
        <v>2</v>
      </c>
      <c r="D86" t="s" s="557">
        <v>184</v>
      </c>
      <c r="E86" t="s" s="557">
        <v>441</v>
      </c>
      <c r="F86" t="s" s="557">
        <v>185</v>
      </c>
      <c r="G86" t="s" s="557">
        <v>186</v>
      </c>
      <c r="H86" t="s" s="557">
        <v>187</v>
      </c>
      <c r="I86" t="s" s="557">
        <v>188</v>
      </c>
      <c r="J86" t="s" s="557">
        <v>442</v>
      </c>
      <c r="K86" t="s" s="557">
        <v>252</v>
      </c>
      <c r="L86" t="s" s="557">
        <v>190</v>
      </c>
      <c r="M86" t="s" s="557">
        <v>353</v>
      </c>
      <c r="N86" t="s" s="557">
        <v>191</v>
      </c>
      <c r="O86" t="s" s="557">
        <v>197</v>
      </c>
      <c r="P86" t="s" s="557">
        <v>192</v>
      </c>
      <c r="Q86" t="s" s="557">
        <v>387</v>
      </c>
      <c r="R86" t="s" s="557">
        <v>193</v>
      </c>
      <c r="AJ86" t="s" s="557">
        <v>63</v>
      </c>
      <c r="AK86" t="s" s="557">
        <v>99</v>
      </c>
      <c r="AL86" t="s" s="557">
        <v>66</v>
      </c>
      <c r="AM86" t="s" s="557">
        <v>443</v>
      </c>
      <c r="AN86" s="557" t="str">
        <f>附表!$L$62&amp;"。"</f>
        <v>参见《特工手册》的“本职装备：联邦探员”。</v>
      </c>
      <c r="AO86" s="560">
        <f t="shared" si="2"/>
        <v>86</v>
      </c>
    </row>
    <row r="87" spans="1:41">
      <c r="A87" s="561" t="s">
        <v>444</v>
      </c>
      <c r="C87" s="557">
        <v>2</v>
      </c>
      <c r="D87" t="s" s="557">
        <v>177</v>
      </c>
      <c r="E87" t="s" s="557">
        <v>200</v>
      </c>
      <c r="F87" t="s" s="557">
        <v>204</v>
      </c>
      <c r="G87" t="s" s="557">
        <v>201</v>
      </c>
      <c r="H87" t="s" s="557">
        <v>274</v>
      </c>
      <c r="I87" t="s" s="557">
        <v>161</v>
      </c>
      <c r="J87" t="s" s="557">
        <v>197</v>
      </c>
      <c r="K87" t="s" s="557">
        <v>445</v>
      </c>
      <c r="L87" t="s" s="557">
        <v>192</v>
      </c>
      <c r="M87" t="s" s="557">
        <v>207</v>
      </c>
      <c r="N87" t="s" s="557">
        <v>318</v>
      </c>
      <c r="AJ87" t="s" s="557">
        <v>99</v>
      </c>
      <c r="AK87" t="s" s="557">
        <v>101</v>
      </c>
      <c r="AL87" t="s" s="557">
        <v>64</v>
      </c>
      <c r="AM87" t="s" s="557">
        <v>104</v>
      </c>
      <c r="AN87" s="557" t="str">
        <f>附表!$L$62&amp;"，及丰富的医疗用品和创伤设备。"</f>
        <v>参见《特工手册》的“本职装备：联邦探员”，及丰富的医疗用品和创伤设备。</v>
      </c>
      <c r="AO87" s="560">
        <f t="shared" si="2"/>
        <v>87</v>
      </c>
    </row>
    <row r="88" spans="1:41">
      <c r="A88" s="561" t="s">
        <v>446</v>
      </c>
      <c r="AF88" t="s" s="557">
        <v>360</v>
      </c>
      <c r="AJ88" t="s" s="557">
        <v>63</v>
      </c>
      <c r="AK88" t="s" s="557">
        <v>98</v>
      </c>
      <c r="AL88" t="s" s="557">
        <v>447</v>
      </c>
      <c r="AM88" t="s" s="557">
        <v>368</v>
      </c>
      <c r="AN88" t="s" s="557">
        <v>448</v>
      </c>
      <c r="AO88" s="560">
        <f t="shared" si="2"/>
        <v>88</v>
      </c>
    </row>
    <row r="89" spans="1:41">
      <c r="A89" t="s" s="557">
        <v>449</v>
      </c>
      <c r="AF89" t="s" s="557">
        <v>182</v>
      </c>
      <c r="AJ89" t="s" s="557">
        <v>437</v>
      </c>
      <c r="AK89" t="s" s="557">
        <v>66</v>
      </c>
      <c r="AL89" t="s" s="557">
        <v>96</v>
      </c>
      <c r="AM89" t="s" s="557">
        <v>104</v>
      </c>
      <c r="AN89" s="557" t="str">
        <f>附表!$L$62&amp;"，外加一只工作用犬（工作犬种）、犬类处理设备和少量兽医医疗用品。"</f>
        <v>参见《特工手册》的“本职装备：联邦探员”，外加一只工作用犬（工作犬种）、犬类处理设备和少量兽医医疗用品。</v>
      </c>
      <c r="AO89" s="560">
        <f t="shared" si="2"/>
        <v>89</v>
      </c>
    </row>
    <row r="90" spans="1:41">
      <c r="A90" t="s" s="557">
        <v>450</v>
      </c>
      <c r="C90" s="557">
        <v>1</v>
      </c>
      <c r="D90" t="s" s="557">
        <v>184</v>
      </c>
      <c r="E90" t="s" s="557">
        <v>156</v>
      </c>
      <c r="F90" t="s" s="557">
        <v>185</v>
      </c>
      <c r="G90" t="s" s="557">
        <v>186</v>
      </c>
      <c r="H90" t="s" s="557">
        <v>187</v>
      </c>
      <c r="I90" t="s" s="557">
        <v>239</v>
      </c>
      <c r="J90" t="s" s="557">
        <v>188</v>
      </c>
      <c r="K90" t="s" s="557">
        <v>189</v>
      </c>
      <c r="L90" t="s" s="557">
        <v>190</v>
      </c>
      <c r="M90" t="s" s="557">
        <v>451</v>
      </c>
      <c r="N90" t="s" s="557">
        <v>316</v>
      </c>
      <c r="O90" t="s" s="557">
        <v>191</v>
      </c>
      <c r="P90" t="s" s="557">
        <v>197</v>
      </c>
      <c r="Q90" t="s" s="557">
        <v>192</v>
      </c>
      <c r="R90" t="s" s="557">
        <v>193</v>
      </c>
      <c r="AJ90" t="s" s="557">
        <v>99</v>
      </c>
      <c r="AK90" t="s" s="557">
        <v>101</v>
      </c>
      <c r="AL90" t="s" s="557">
        <v>452</v>
      </c>
      <c r="AM90" t="s" s="557">
        <v>102</v>
      </c>
      <c r="AN90" s="557" t="str">
        <f>附表!$L$62&amp;"，外加丰富的便携式急救和创伤设备。"</f>
        <v>参见《特工手册》的“本职装备：联邦探员”，外加丰富的便携式急救和创伤设备。</v>
      </c>
      <c r="AO90" s="560">
        <f t="shared" si="2"/>
        <v>90</v>
      </c>
    </row>
    <row r="91" spans="1:41">
      <c r="A91" t="s" s="557">
        <v>453</v>
      </c>
      <c r="C91" s="557">
        <v>1</v>
      </c>
      <c r="D91" t="s" s="557">
        <v>214</v>
      </c>
      <c r="E91" t="s" s="557">
        <v>215</v>
      </c>
      <c r="F91" t="s" s="557">
        <v>238</v>
      </c>
      <c r="G91" t="s" s="557">
        <v>454</v>
      </c>
      <c r="H91" t="s" s="557">
        <v>217</v>
      </c>
      <c r="I91" t="s" s="557">
        <v>285</v>
      </c>
      <c r="J91" t="s" s="557">
        <v>196</v>
      </c>
      <c r="K91" t="s" s="557">
        <v>218</v>
      </c>
      <c r="L91" t="s" s="557">
        <v>316</v>
      </c>
      <c r="M91" t="s" s="557">
        <v>165</v>
      </c>
      <c r="N91" t="s" s="557">
        <v>389</v>
      </c>
      <c r="O91" t="s" s="557">
        <v>168</v>
      </c>
      <c r="P91" t="s" s="557">
        <v>221</v>
      </c>
      <c r="Q91" t="s" s="557">
        <v>193</v>
      </c>
      <c r="AJ91" t="s" s="557">
        <v>75</v>
      </c>
      <c r="AK91" t="s" s="557">
        <v>93</v>
      </c>
      <c r="AL91" t="s" s="557">
        <v>99</v>
      </c>
      <c r="AM91" t="s" s="557">
        <v>113</v>
      </c>
      <c r="AN91" s="557" t="str">
        <f>附表!$L$62&amp;"。"</f>
        <v>参见《特工手册》的“本职装备：联邦探员”。</v>
      </c>
      <c r="AO91" s="560">
        <f t="shared" si="2"/>
        <v>91</v>
      </c>
    </row>
    <row r="92" spans="1:41">
      <c r="A92" s="561" t="s">
        <v>455</v>
      </c>
      <c r="AF92" t="s" s="557">
        <v>182</v>
      </c>
      <c r="AJ92" t="s" s="557">
        <v>91</v>
      </c>
      <c r="AK92" t="s" s="557">
        <v>107</v>
      </c>
      <c r="AL92" t="s" s="557">
        <v>99</v>
      </c>
      <c r="AM92" t="s" s="557">
        <v>59</v>
      </c>
      <c r="AN92" s="557" t="str">
        <f>附表!$L$62&amp;"。"</f>
        <v>参见《特工手册》的“本职装备：联邦探员”。</v>
      </c>
      <c r="AO92" s="560">
        <f t="shared" si="2"/>
        <v>92</v>
      </c>
    </row>
    <row r="93" spans="1:41">
      <c r="A93" t="s" s="557">
        <v>456</v>
      </c>
      <c r="C93" s="557">
        <v>3</v>
      </c>
      <c r="D93" t="s" s="557">
        <v>156</v>
      </c>
      <c r="E93" t="s" s="557">
        <v>208</v>
      </c>
      <c r="F93" t="s" s="557">
        <v>185</v>
      </c>
      <c r="G93" t="s" s="557">
        <v>442</v>
      </c>
      <c r="H93" t="s" s="557">
        <v>189</v>
      </c>
      <c r="I93" t="s" s="557">
        <v>210</v>
      </c>
      <c r="J93" t="s" s="557">
        <v>180</v>
      </c>
      <c r="K93" t="s" s="557">
        <v>457</v>
      </c>
      <c r="L93" t="s" s="557">
        <v>458</v>
      </c>
      <c r="M93" t="s" s="557">
        <v>445</v>
      </c>
      <c r="AJ93" t="s" s="557">
        <v>91</v>
      </c>
      <c r="AK93" t="s" s="557">
        <v>107</v>
      </c>
      <c r="AL93" t="s" s="557">
        <v>59</v>
      </c>
      <c r="AM93" t="s" s="557">
        <v>89</v>
      </c>
      <c r="AN93" t="s" s="557">
        <v>459</v>
      </c>
      <c r="AO93" s="560">
        <f t="shared" si="2"/>
        <v>93</v>
      </c>
    </row>
    <row r="94" spans="1:41">
      <c r="A94" t="s" s="557">
        <v>460</v>
      </c>
      <c r="C94" s="557">
        <v>1</v>
      </c>
      <c r="D94" t="s" s="557">
        <v>214</v>
      </c>
      <c r="E94" t="s" s="557">
        <v>215</v>
      </c>
      <c r="F94" t="s" s="557">
        <v>288</v>
      </c>
      <c r="G94" t="s" s="557">
        <v>379</v>
      </c>
      <c r="H94" t="s" s="557">
        <v>454</v>
      </c>
      <c r="I94" t="s" s="557">
        <v>187</v>
      </c>
      <c r="J94" t="s" s="557">
        <v>285</v>
      </c>
      <c r="K94" t="s" s="557">
        <v>275</v>
      </c>
      <c r="L94" t="s" s="557">
        <v>196</v>
      </c>
      <c r="M94" t="s" s="557">
        <v>352</v>
      </c>
      <c r="N94" t="s" s="557">
        <v>220</v>
      </c>
      <c r="O94" t="s" s="557">
        <v>168</v>
      </c>
      <c r="P94" t="s" s="557">
        <v>221</v>
      </c>
      <c r="Q94" t="s" s="557">
        <v>230</v>
      </c>
      <c r="AJ94" t="s" s="557">
        <v>91</v>
      </c>
      <c r="AK94" t="s" s="557">
        <v>93</v>
      </c>
      <c r="AL94" t="s" s="557">
        <v>107</v>
      </c>
      <c r="AM94" t="s" s="557">
        <v>461</v>
      </c>
      <c r="AN94" s="557"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560">
        <f t="shared" si="2"/>
        <v>94</v>
      </c>
    </row>
    <row r="95" spans="1:41">
      <c r="A95" s="561" t="s">
        <v>462</v>
      </c>
      <c r="AF95" t="s" s="557">
        <v>121</v>
      </c>
      <c r="AJ95" t="s" s="557">
        <v>85</v>
      </c>
      <c r="AK95" t="s" s="557">
        <v>91</v>
      </c>
      <c r="AL95" t="s" s="557">
        <v>113</v>
      </c>
      <c r="AM95" t="s" s="557">
        <v>98</v>
      </c>
      <c r="AN95" t="s" s="557">
        <v>463</v>
      </c>
      <c r="AO95" s="560">
        <f t="shared" si="2"/>
        <v>95</v>
      </c>
    </row>
    <row r="96" spans="1:41">
      <c r="A96" s="561" t="s">
        <v>464</v>
      </c>
      <c r="C96" s="557">
        <v>1</v>
      </c>
      <c r="D96" t="s" s="557">
        <v>214</v>
      </c>
      <c r="E96" t="s" s="557">
        <v>224</v>
      </c>
      <c r="F96" t="s" s="557">
        <v>278</v>
      </c>
      <c r="G96" t="s" s="557">
        <v>216</v>
      </c>
      <c r="H96" t="s" s="557">
        <v>186</v>
      </c>
      <c r="I96" t="s" s="557">
        <v>217</v>
      </c>
      <c r="J96" t="s" s="557">
        <v>196</v>
      </c>
      <c r="K96" t="s" s="557">
        <v>189</v>
      </c>
      <c r="L96" t="s" s="557">
        <v>228</v>
      </c>
      <c r="M96" t="s" s="557">
        <v>218</v>
      </c>
      <c r="N96" t="s" s="557">
        <v>165</v>
      </c>
      <c r="O96" t="s" s="557">
        <v>220</v>
      </c>
      <c r="P96" t="s" s="557">
        <v>168</v>
      </c>
      <c r="Q96" t="s" s="557">
        <v>221</v>
      </c>
      <c r="R96" t="s" s="557">
        <v>193</v>
      </c>
      <c r="AJ96" t="s" s="557">
        <v>75</v>
      </c>
      <c r="AK96" t="s" s="557">
        <v>101</v>
      </c>
      <c r="AL96" t="s" s="557">
        <v>443</v>
      </c>
      <c r="AM96" t="s" s="557">
        <v>96</v>
      </c>
      <c r="AN96" s="557" t="str">
        <f>附表!$L$62&amp;"。"</f>
        <v>参见《特工手册》的“本职装备：联邦探员”。</v>
      </c>
      <c r="AO96" s="560">
        <f t="shared" si="2"/>
        <v>96</v>
      </c>
    </row>
    <row r="97" spans="1:41">
      <c r="A97" s="561" t="s">
        <v>465</v>
      </c>
      <c r="C97" s="557">
        <v>1</v>
      </c>
      <c r="D97" t="s" s="557">
        <v>214</v>
      </c>
      <c r="E97" t="s" s="557">
        <v>215</v>
      </c>
      <c r="F97" t="s" s="557">
        <v>216</v>
      </c>
      <c r="G97" t="s" s="557">
        <v>186</v>
      </c>
      <c r="H97" t="s" s="557">
        <v>217</v>
      </c>
      <c r="I97" t="s" s="557">
        <v>285</v>
      </c>
      <c r="J97" t="s" s="557">
        <v>196</v>
      </c>
      <c r="K97" t="s" s="557">
        <v>218</v>
      </c>
      <c r="L97" t="s" s="557">
        <v>219</v>
      </c>
      <c r="M97" t="s" s="557">
        <v>165</v>
      </c>
      <c r="N97" t="s" s="557">
        <v>220</v>
      </c>
      <c r="O97" t="s" s="557">
        <v>168</v>
      </c>
      <c r="P97" t="s" s="557">
        <v>221</v>
      </c>
      <c r="Q97" t="s" s="557">
        <v>193</v>
      </c>
      <c r="AJ97" t="s" s="557">
        <v>63</v>
      </c>
      <c r="AK97" t="s" s="557">
        <v>91</v>
      </c>
      <c r="AL97" t="s" s="557">
        <v>99</v>
      </c>
      <c r="AM97" t="s" s="557">
        <v>59</v>
      </c>
      <c r="AN97" s="557" t="str">
        <f>附表!$L$62&amp;"。"</f>
        <v>参见《特工手册》的“本职装备：联邦探员”。</v>
      </c>
      <c r="AO97" s="560">
        <f t="shared" si="2"/>
        <v>97</v>
      </c>
    </row>
    <row r="98" spans="1:41">
      <c r="A98" s="561" t="s">
        <v>466</v>
      </c>
      <c r="AF98" t="s" s="557">
        <v>467</v>
      </c>
      <c r="AJ98" t="s" s="557">
        <v>58</v>
      </c>
      <c r="AK98" t="s" s="557">
        <v>85</v>
      </c>
      <c r="AL98" t="s" s="557">
        <v>91</v>
      </c>
      <c r="AM98" t="s" s="557">
        <v>98</v>
      </c>
      <c r="AN98" t="s" s="557">
        <v>468</v>
      </c>
      <c r="AO98" s="560">
        <f t="shared" si="2"/>
        <v>98</v>
      </c>
    </row>
    <row r="99" spans="1:41">
      <c r="A99" s="561" t="s">
        <v>469</v>
      </c>
      <c r="C99" s="557">
        <v>2</v>
      </c>
      <c r="D99" t="s" s="557">
        <v>214</v>
      </c>
      <c r="E99" t="s" s="557">
        <v>215</v>
      </c>
      <c r="F99" t="s" s="557">
        <v>236</v>
      </c>
      <c r="G99" t="s" s="557">
        <v>237</v>
      </c>
      <c r="H99" t="s" s="557">
        <v>239</v>
      </c>
      <c r="I99" t="s" s="557">
        <v>470</v>
      </c>
      <c r="J99" t="s" s="557">
        <v>252</v>
      </c>
      <c r="K99" t="s" s="557">
        <v>165</v>
      </c>
      <c r="L99" t="s" s="557">
        <v>471</v>
      </c>
      <c r="M99" t="s" s="557">
        <v>472</v>
      </c>
      <c r="N99" t="s" s="557">
        <v>355</v>
      </c>
      <c r="O99" t="s" s="557">
        <v>290</v>
      </c>
      <c r="AJ99" t="s" s="557">
        <v>63</v>
      </c>
      <c r="AK99" t="s" s="557">
        <v>101</v>
      </c>
      <c r="AL99" t="s" s="557">
        <v>72</v>
      </c>
      <c r="AM99" t="s" s="557">
        <v>105</v>
      </c>
      <c r="AN99" t="s" s="557">
        <v>473</v>
      </c>
      <c r="AO99" s="560">
        <f t="shared" si="2"/>
        <v>99</v>
      </c>
    </row>
    <row r="100" spans="1:41">
      <c r="A100" s="561" t="s">
        <v>474</v>
      </c>
      <c r="AF100" t="s" s="557">
        <v>308</v>
      </c>
      <c r="AJ100" t="s" s="557">
        <v>58</v>
      </c>
      <c r="AK100" t="s" s="557">
        <v>81</v>
      </c>
      <c r="AL100" t="s" s="557">
        <v>76</v>
      </c>
      <c r="AM100" t="s" s="557">
        <v>475</v>
      </c>
      <c r="AN100" t="s" s="557">
        <v>476</v>
      </c>
      <c r="AO100" s="560">
        <f t="shared" si="2"/>
        <v>100</v>
      </c>
    </row>
    <row r="101" spans="1:41">
      <c r="A101" s="561" t="s">
        <v>477</v>
      </c>
      <c r="AF101" t="s" s="557">
        <v>154</v>
      </c>
      <c r="AJ101" t="s" s="557">
        <v>478</v>
      </c>
      <c r="AK101" t="s" s="557">
        <v>107</v>
      </c>
      <c r="AL101" t="s" s="557">
        <v>113</v>
      </c>
      <c r="AM101" t="s" s="557">
        <v>96</v>
      </c>
      <c r="AN101" t="s" s="557">
        <v>479</v>
      </c>
      <c r="AO101" s="560">
        <f t="shared" si="2"/>
        <v>101</v>
      </c>
    </row>
    <row r="102" spans="1:41">
      <c r="A102" s="561" t="s">
        <v>480</v>
      </c>
      <c r="C102" s="557">
        <v>2</v>
      </c>
      <c r="D102" t="s" s="557">
        <v>214</v>
      </c>
      <c r="E102" t="s" s="557">
        <v>327</v>
      </c>
      <c r="F102" t="s" s="557">
        <v>266</v>
      </c>
      <c r="G102" t="s" s="557">
        <v>481</v>
      </c>
      <c r="H102" t="s" s="557">
        <v>482</v>
      </c>
      <c r="I102" t="s" s="557">
        <v>217</v>
      </c>
      <c r="J102" t="s" s="557">
        <v>337</v>
      </c>
      <c r="K102" t="s" s="557">
        <v>380</v>
      </c>
      <c r="L102" t="s" s="557">
        <v>165</v>
      </c>
      <c r="M102" t="s" s="557">
        <v>483</v>
      </c>
      <c r="N102" t="s" s="557">
        <v>268</v>
      </c>
      <c r="O102" t="s" s="557">
        <v>221</v>
      </c>
      <c r="AJ102" t="s" s="557">
        <v>63</v>
      </c>
      <c r="AK102" t="s" s="557">
        <v>484</v>
      </c>
      <c r="AL102" t="s" s="557">
        <v>99</v>
      </c>
      <c r="AM102" t="s" s="557">
        <v>361</v>
      </c>
      <c r="AN102" s="557"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560">
        <f t="shared" si="2"/>
        <v>102</v>
      </c>
    </row>
    <row r="103" spans="1:41">
      <c r="A103" s="561" t="s">
        <v>485</v>
      </c>
      <c r="C103" s="557">
        <v>2</v>
      </c>
      <c r="D103" t="s" s="557">
        <v>184</v>
      </c>
      <c r="E103" t="s" s="557">
        <v>327</v>
      </c>
      <c r="F103" t="s" s="557">
        <v>156</v>
      </c>
      <c r="G103" t="s" s="557">
        <v>185</v>
      </c>
      <c r="H103" t="s" s="557">
        <v>186</v>
      </c>
      <c r="I103" t="s" s="557">
        <v>187</v>
      </c>
      <c r="J103" t="s" s="557">
        <v>434</v>
      </c>
      <c r="K103" t="s" s="557">
        <v>188</v>
      </c>
      <c r="L103" t="s" s="557">
        <v>196</v>
      </c>
      <c r="M103" t="s" s="557">
        <v>189</v>
      </c>
      <c r="N103" t="s" s="557">
        <v>190</v>
      </c>
      <c r="O103" t="s" s="557">
        <v>191</v>
      </c>
      <c r="P103" t="s" s="557">
        <v>192</v>
      </c>
      <c r="Q103" t="s" s="557">
        <v>290</v>
      </c>
      <c r="R103" t="s" s="557">
        <v>193</v>
      </c>
      <c r="AJ103" t="s" s="557">
        <v>63</v>
      </c>
      <c r="AK103" t="s" s="557">
        <v>99</v>
      </c>
      <c r="AL103" t="s" s="557">
        <v>475</v>
      </c>
      <c r="AM103" t="s" s="557">
        <v>486</v>
      </c>
      <c r="AN103" s="557" t="str">
        <f>附表!$L$62&amp;"，以及基础水上生存装备。"</f>
        <v>参见《特工手册》的“本职装备：联邦探员”，以及基础水上生存装备。</v>
      </c>
      <c r="AO103" s="560">
        <f t="shared" si="2"/>
        <v>103</v>
      </c>
    </row>
    <row r="104" spans="1:41">
      <c r="A104" s="561" t="s">
        <v>487</v>
      </c>
      <c r="C104" s="557">
        <v>1</v>
      </c>
      <c r="D104" t="s" s="557">
        <v>214</v>
      </c>
      <c r="E104" t="s" s="557">
        <v>224</v>
      </c>
      <c r="F104" t="s" s="557">
        <v>266</v>
      </c>
      <c r="G104" t="s" s="557">
        <v>237</v>
      </c>
      <c r="H104" t="s" s="557">
        <v>246</v>
      </c>
      <c r="I104" t="s" s="557">
        <v>227</v>
      </c>
      <c r="J104" t="s" s="557">
        <v>196</v>
      </c>
      <c r="K104" t="s" s="557">
        <v>180</v>
      </c>
      <c r="L104" t="s" s="557">
        <v>380</v>
      </c>
      <c r="M104" t="s" s="557">
        <v>165</v>
      </c>
      <c r="N104" t="s" s="557">
        <v>488</v>
      </c>
      <c r="O104" t="s" s="557">
        <v>268</v>
      </c>
      <c r="P104" t="s" s="557">
        <v>489</v>
      </c>
      <c r="Q104" t="s" s="557">
        <v>290</v>
      </c>
      <c r="AJ104" t="s" s="557">
        <v>63</v>
      </c>
      <c r="AK104" t="s" s="557">
        <v>107</v>
      </c>
      <c r="AL104" t="s" s="557">
        <v>113</v>
      </c>
      <c r="AM104" t="s" s="557">
        <v>100</v>
      </c>
      <c r="AN104" s="557" t="str">
        <f>附表!$L$62&amp;"，以及基础水上生存装备。"</f>
        <v>参见《特工手册》的“本职装备：联邦探员”，以及基础水上生存装备。</v>
      </c>
      <c r="AO104" s="560">
        <f t="shared" si="2"/>
        <v>104</v>
      </c>
    </row>
    <row r="105" spans="1:41">
      <c r="A105" s="561" t="s">
        <v>490</v>
      </c>
      <c r="C105" s="557">
        <v>1</v>
      </c>
      <c r="D105" t="s" s="557">
        <v>214</v>
      </c>
      <c r="E105" t="s" s="557">
        <v>215</v>
      </c>
      <c r="F105" t="s" s="557">
        <v>216</v>
      </c>
      <c r="G105" t="s" s="557">
        <v>454</v>
      </c>
      <c r="H105" t="s" s="557">
        <v>217</v>
      </c>
      <c r="I105" t="s" s="557">
        <v>196</v>
      </c>
      <c r="J105" t="s" s="557">
        <v>218</v>
      </c>
      <c r="K105" t="s" s="557">
        <v>491</v>
      </c>
      <c r="L105" t="s" s="557">
        <v>165</v>
      </c>
      <c r="M105" t="s" s="557">
        <v>203</v>
      </c>
      <c r="N105" t="s" s="557">
        <v>220</v>
      </c>
      <c r="O105" t="s" s="557">
        <v>168</v>
      </c>
      <c r="P105" t="s" s="557">
        <v>221</v>
      </c>
      <c r="Q105" t="s" s="557">
        <v>193</v>
      </c>
      <c r="AJ105" t="s" s="557">
        <v>63</v>
      </c>
      <c r="AK105" t="s" s="557">
        <v>75</v>
      </c>
      <c r="AL105" t="s" s="557">
        <v>99</v>
      </c>
      <c r="AM105" t="s" s="557">
        <v>59</v>
      </c>
      <c r="AN105" s="557" t="str">
        <f>附表!$L$65&amp;"，以及用于逮捕和拘留嫌疑人的限制性工具。"</f>
        <v>参见《特工手册》的“本职装备：特种作战员”，以及用于逮捕和拘留嫌疑人的限制性工具。</v>
      </c>
      <c r="AO105" s="560">
        <f t="shared" si="2"/>
        <v>105</v>
      </c>
    </row>
    <row r="106" spans="1:41">
      <c r="A106" s="561" t="s">
        <v>492</v>
      </c>
      <c r="AF106" t="s" s="557">
        <v>115</v>
      </c>
      <c r="AJ106" t="s" s="557">
        <v>81</v>
      </c>
      <c r="AK106" t="s" s="557">
        <v>292</v>
      </c>
      <c r="AL106" t="s" s="557">
        <v>493</v>
      </c>
      <c r="AM106" t="s" s="557">
        <v>494</v>
      </c>
      <c r="AN106" t="s" s="557">
        <v>495</v>
      </c>
      <c r="AO106" s="560">
        <f t="shared" si="2"/>
        <v>106</v>
      </c>
    </row>
    <row r="107" spans="1:41">
      <c r="AO107" s="563"/>
    </row>
    <row r="108" spans="1:41">
      <c r="AO108" s="563"/>
    </row>
    <row r="109" spans="1:41">
      <c r="AO109" s="563"/>
    </row>
    <row r="110" spans="1:41">
      <c r="AO110" s="563"/>
    </row>
    <row r="111" spans="1:41">
      <c r="AO111" s="563"/>
    </row>
    <row r="112" spans="1:41">
      <c r="AO112" s="563"/>
    </row>
    <row r="113" spans="41:41">
      <c r="AO113" s="563"/>
    </row>
    <row r="114" spans="41:41">
      <c r="AO114" s="563"/>
    </row>
    <row r="115" spans="41:41">
      <c r="AO115" s="563"/>
    </row>
    <row r="116" spans="41:41">
      <c r="AO116" s="563"/>
    </row>
    <row r="117" spans="41:41">
      <c r="AO117" s="563"/>
    </row>
    <row r="118" spans="41:41">
      <c r="AO118" s="563"/>
    </row>
    <row r="119" spans="41:41">
      <c r="AO119" s="563"/>
    </row>
    <row r="120" spans="41:41">
      <c r="AO120" s="563"/>
    </row>
    <row r="121" spans="41:41">
      <c r="AO121" s="563"/>
    </row>
    <row r="122" spans="41:41">
      <c r="AO122" s="563"/>
    </row>
    <row r="123" spans="41:41">
      <c r="AO123" s="563"/>
    </row>
    <row r="124" spans="41:41">
      <c r="AO124" s="563"/>
    </row>
    <row r="125" spans="41:41">
      <c r="AO125" s="563"/>
    </row>
    <row r="126" spans="41:41">
      <c r="AO126" s="563"/>
    </row>
  </sheetData>
  <sheetProtection selectLockedCell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6666666666667" defaultRowHeight="14"/>
  <cols>
    <col min="1" max="1" width="33.6" customWidth="1"/>
    <col min="2" max="2" width="22.3333333333333" customWidth="1"/>
    <col min="3" max="3" width="23.2666666666667" customWidth="1"/>
    <col min="4" max="4" width="22.7333333333333" customWidth="1"/>
    <col min="5" max="5" width="21.4" customWidth="1"/>
    <col min="6" max="6" width="17.2" customWidth="1"/>
    <col min="7" max="7" width="21.4" customWidth="1"/>
    <col min="8" max="8" width="17.2" customWidth="1"/>
    <col min="9" max="9" width="15.0666666666667" customWidth="1"/>
    <col min="10" max="10" width="19.2" style="65" customWidth="1"/>
    <col min="11" max="11" width="13.2" customWidth="1"/>
    <col min="12" max="12" width="17.2" customWidth="1"/>
    <col min="13" max="14" width="9" customWidth="1"/>
    <col min="15" max="15" width="21.4" customWidth="1"/>
    <col min="16" max="17" width="9" customWidth="1"/>
  </cols>
  <sheetData>
    <row r="1" spans="1:17">
      <c r="A1" s="556" t="s">
        <v>496</v>
      </c>
      <c r="B1" s="556" t="s">
        <v>497</v>
      </c>
      <c r="C1" s="564"/>
      <c r="D1" s="564"/>
      <c r="E1" s="564"/>
      <c r="F1" s="564"/>
      <c r="G1" s="564"/>
      <c r="H1" s="564"/>
      <c r="I1" s="564"/>
      <c r="J1" s="556" t="s">
        <v>498</v>
      </c>
      <c r="K1" s="556" t="s">
        <v>499</v>
      </c>
      <c r="L1" s="564"/>
      <c r="M1" s="564"/>
      <c r="N1" s="564"/>
      <c r="O1" s="564"/>
      <c r="P1" s="564"/>
      <c r="Q1" s="564"/>
    </row>
    <row r="2" spans="1:17">
      <c r="A2" t="s" s="557">
        <v>500</v>
      </c>
      <c r="B2" s="557" t="str">
        <f t="array" ref="B2:H2">TRANSPOSE(附表!G37:G43)</f>
        <v>选择8个技能（除了非自</v>
      </c>
      <c r="C2" s="557" t="str">
        <v>然知识），为每一个加上</v>
      </c>
      <c r="D2" s="557" t="str">
        <v>20点。不能超过80%。可</v>
      </c>
      <c r="E2" s="557" t="str">
        <v>重复选择。</v>
      </c>
      <c r="F2" s="557">
        <v>0</v>
      </c>
      <c r="G2" s="557">
        <v>0</v>
      </c>
      <c r="H2" s="557">
        <v>0</v>
      </c>
    </row>
    <row r="3" spans="1:17">
      <c r="A3" t="s" s="557">
        <v>501</v>
      </c>
      <c r="B3" t="s" s="557">
        <v>63</v>
      </c>
      <c r="C3" t="s" s="557">
        <v>502</v>
      </c>
      <c r="D3" t="s" s="557">
        <v>94</v>
      </c>
      <c r="E3" t="s" s="557">
        <v>76</v>
      </c>
      <c r="F3" t="s" s="557">
        <v>503</v>
      </c>
      <c r="G3" t="s" s="557">
        <v>503</v>
      </c>
      <c r="H3" t="s" s="557">
        <v>503</v>
      </c>
      <c r="I3" t="s" s="557">
        <v>113</v>
      </c>
    </row>
    <row r="4" spans="1:17">
      <c r="A4" t="s" s="557">
        <v>117</v>
      </c>
      <c r="B4" t="s" s="557">
        <v>63</v>
      </c>
      <c r="C4" t="s" s="557">
        <v>75</v>
      </c>
      <c r="D4" t="s" s="557">
        <v>95</v>
      </c>
      <c r="E4" t="s" s="557">
        <v>101</v>
      </c>
      <c r="F4" t="s" s="557">
        <v>113</v>
      </c>
      <c r="G4" t="s" s="557">
        <v>76</v>
      </c>
      <c r="H4" t="s" s="557">
        <v>105</v>
      </c>
      <c r="I4" t="s" s="557">
        <v>106</v>
      </c>
    </row>
    <row r="5" spans="1:17">
      <c r="A5" t="s" s="557">
        <v>504</v>
      </c>
      <c r="B5" t="s" s="557">
        <v>503</v>
      </c>
      <c r="C5" t="s" s="557">
        <v>65</v>
      </c>
      <c r="D5" s="561" t="s">
        <v>81</v>
      </c>
      <c r="E5" t="s" s="557">
        <v>112</v>
      </c>
      <c r="F5" t="s" s="557">
        <v>59</v>
      </c>
      <c r="G5" t="s" s="557">
        <v>74</v>
      </c>
      <c r="H5" t="s" s="557">
        <v>76</v>
      </c>
      <c r="I5" t="s" s="557">
        <v>113</v>
      </c>
    </row>
    <row r="6" spans="1:17">
      <c r="A6" t="s" s="557">
        <v>505</v>
      </c>
      <c r="B6" t="s" s="557">
        <v>63</v>
      </c>
      <c r="C6" t="s" s="557">
        <v>75</v>
      </c>
      <c r="D6" t="s" s="557">
        <v>506</v>
      </c>
      <c r="E6" t="s" s="557">
        <v>507</v>
      </c>
      <c r="F6" t="s" s="557">
        <v>91</v>
      </c>
      <c r="G6" t="s" s="557">
        <v>94</v>
      </c>
      <c r="H6" t="s" s="557">
        <v>96</v>
      </c>
      <c r="I6" t="s" s="557">
        <v>100</v>
      </c>
    </row>
    <row r="7" spans="1:17">
      <c r="A7" t="s" s="557">
        <v>508</v>
      </c>
      <c r="B7" t="s" s="557">
        <v>63</v>
      </c>
      <c r="C7" t="s" s="557">
        <v>502</v>
      </c>
      <c r="D7" t="s" s="557">
        <v>502</v>
      </c>
      <c r="E7" t="s" s="557">
        <v>97</v>
      </c>
      <c r="F7" t="s" s="557">
        <v>101</v>
      </c>
      <c r="G7" t="s" s="557">
        <v>110</v>
      </c>
      <c r="H7" t="s" s="557">
        <v>72</v>
      </c>
      <c r="I7" t="s" s="557">
        <v>96</v>
      </c>
    </row>
    <row r="8" spans="1:17">
      <c r="A8" t="s" s="557">
        <v>509</v>
      </c>
      <c r="B8" t="s" s="557">
        <v>58</v>
      </c>
      <c r="C8" t="s" s="557">
        <v>81</v>
      </c>
      <c r="D8" t="s" s="557">
        <v>85</v>
      </c>
      <c r="E8" t="s" s="557">
        <v>91</v>
      </c>
      <c r="F8" t="s" s="557">
        <v>113</v>
      </c>
      <c r="G8" t="s" s="557">
        <v>59</v>
      </c>
      <c r="H8" t="s" s="557">
        <v>76</v>
      </c>
      <c r="I8" t="s" s="557">
        <v>510</v>
      </c>
    </row>
    <row r="9" spans="1:17">
      <c r="A9" t="s" s="557">
        <v>511</v>
      </c>
      <c r="B9" t="s" s="557">
        <v>512</v>
      </c>
      <c r="C9" t="s" s="557">
        <v>112</v>
      </c>
      <c r="D9" t="s" s="557">
        <v>113</v>
      </c>
      <c r="E9" t="s" s="557">
        <v>74</v>
      </c>
      <c r="F9" t="s" s="557">
        <v>76</v>
      </c>
      <c r="G9" t="s" s="557">
        <v>89</v>
      </c>
    </row>
    <row r="10" spans="1:17">
      <c r="A10" t="s" s="557">
        <v>513</v>
      </c>
      <c r="B10" t="s" s="557">
        <v>63</v>
      </c>
      <c r="C10" t="s" s="557">
        <v>95</v>
      </c>
      <c r="D10" t="s" s="557">
        <v>99</v>
      </c>
      <c r="E10" t="s" s="557">
        <v>101</v>
      </c>
      <c r="F10" t="s" s="557">
        <v>111</v>
      </c>
      <c r="G10" t="s" s="557">
        <v>66</v>
      </c>
      <c r="H10" t="s" s="557">
        <v>100</v>
      </c>
      <c r="I10" t="s" s="557">
        <v>106</v>
      </c>
    </row>
    <row r="11" spans="1:17">
      <c r="A11" t="s" s="557">
        <v>514</v>
      </c>
      <c r="B11" t="s" s="557">
        <v>85</v>
      </c>
      <c r="C11" t="s" s="557">
        <v>364</v>
      </c>
      <c r="D11" t="s" s="557">
        <v>371</v>
      </c>
      <c r="E11" t="s" s="557">
        <v>98</v>
      </c>
      <c r="F11" t="s" s="557">
        <v>515</v>
      </c>
    </row>
    <row r="12" spans="1:17">
      <c r="A12" t="s" s="557">
        <v>516</v>
      </c>
      <c r="B12" t="s" s="557">
        <v>81</v>
      </c>
      <c r="C12" t="s" s="557">
        <v>101</v>
      </c>
      <c r="D12" t="s" s="557">
        <v>334</v>
      </c>
      <c r="E12" t="s" s="557">
        <v>113</v>
      </c>
      <c r="F12" t="s" s="557">
        <v>59</v>
      </c>
      <c r="G12" t="s" s="557">
        <v>76</v>
      </c>
      <c r="H12" t="s" s="557">
        <v>89</v>
      </c>
      <c r="I12" t="s" s="557">
        <v>96</v>
      </c>
    </row>
    <row r="13" spans="1:17">
      <c r="A13" t="s" s="557">
        <v>517</v>
      </c>
      <c r="B13" t="s" s="557">
        <v>58</v>
      </c>
      <c r="C13" t="s" s="557">
        <v>81</v>
      </c>
      <c r="D13" t="s" s="557">
        <v>85</v>
      </c>
      <c r="E13" t="s" s="557">
        <v>91</v>
      </c>
      <c r="F13" t="s" s="557">
        <v>107</v>
      </c>
      <c r="G13" t="s" s="557">
        <v>59</v>
      </c>
      <c r="H13" t="s" s="557">
        <v>82</v>
      </c>
      <c r="I13" t="s" s="557">
        <v>96</v>
      </c>
    </row>
    <row r="14" spans="1:17">
      <c r="A14" t="s" s="557">
        <v>518</v>
      </c>
      <c r="B14" t="s" s="557">
        <v>63</v>
      </c>
      <c r="C14" t="s" s="557">
        <v>93</v>
      </c>
      <c r="D14" t="s" s="557">
        <v>97</v>
      </c>
      <c r="E14" t="s" s="557">
        <v>101</v>
      </c>
      <c r="F14" t="s" s="557">
        <v>107</v>
      </c>
      <c r="G14" t="s" s="557">
        <v>110</v>
      </c>
      <c r="H14" t="s" s="557">
        <v>72</v>
      </c>
      <c r="I14" t="s" s="557">
        <v>96</v>
      </c>
    </row>
    <row r="15" spans="1:17">
      <c r="A15" t="s" s="557">
        <v>519</v>
      </c>
      <c r="B15" t="s" s="557">
        <v>63</v>
      </c>
      <c r="C15" t="s" s="557">
        <v>91</v>
      </c>
      <c r="D15" t="s" s="557">
        <v>95</v>
      </c>
      <c r="E15" t="s" s="557">
        <v>97</v>
      </c>
      <c r="F15" t="s" s="557">
        <v>76</v>
      </c>
      <c r="G15" t="s" s="557">
        <v>100</v>
      </c>
      <c r="J15" s="565">
        <v>2</v>
      </c>
      <c r="K15" t="s" s="557">
        <v>75</v>
      </c>
      <c r="L15" t="s" s="557">
        <v>334</v>
      </c>
      <c r="M15" t="s" s="557">
        <v>99</v>
      </c>
      <c r="N15" t="s" s="557">
        <v>113</v>
      </c>
      <c r="O15" t="s" s="557">
        <v>66</v>
      </c>
      <c r="P15" t="s" s="557">
        <v>82</v>
      </c>
      <c r="Q15" t="s" s="557">
        <v>106</v>
      </c>
    </row>
    <row r="16" spans="1:17">
      <c r="A16" t="s" s="557">
        <v>520</v>
      </c>
      <c r="B16" t="s" s="557">
        <v>91</v>
      </c>
      <c r="C16" t="s" s="557">
        <v>334</v>
      </c>
      <c r="D16" t="s" s="557">
        <v>334</v>
      </c>
      <c r="E16" t="s" s="557">
        <v>113</v>
      </c>
      <c r="F16" t="s" s="557">
        <v>59</v>
      </c>
      <c r="G16" t="s" s="557">
        <v>76</v>
      </c>
      <c r="H16" t="s" s="557">
        <v>82</v>
      </c>
      <c r="I16" t="s" s="557">
        <v>96</v>
      </c>
    </row>
    <row r="17" spans="1:16">
      <c r="A17" t="s" s="557">
        <v>521</v>
      </c>
      <c r="B17" t="s" s="557">
        <v>522</v>
      </c>
      <c r="C17" t="s" s="557">
        <v>503</v>
      </c>
      <c r="D17" t="s" s="557">
        <v>334</v>
      </c>
      <c r="E17" t="s" s="557">
        <v>112</v>
      </c>
      <c r="F17" t="s" s="557">
        <v>76</v>
      </c>
      <c r="G17" t="s" s="557">
        <v>523</v>
      </c>
    </row>
    <row r="18" spans="1:16">
      <c r="A18" t="s" s="557">
        <v>524</v>
      </c>
      <c r="B18" t="s" s="557">
        <v>81</v>
      </c>
      <c r="C18" t="s" s="557">
        <v>99</v>
      </c>
      <c r="D18" t="s" s="557">
        <v>112</v>
      </c>
      <c r="E18" t="s" s="557">
        <v>525</v>
      </c>
      <c r="F18" t="s" s="557">
        <v>72</v>
      </c>
      <c r="G18" t="s" s="557">
        <v>76</v>
      </c>
      <c r="H18" t="s" s="557">
        <v>106</v>
      </c>
      <c r="J18" s="565">
        <v>1</v>
      </c>
      <c r="K18" t="s" s="557">
        <v>73</v>
      </c>
      <c r="L18" t="s" s="557">
        <v>110</v>
      </c>
      <c r="M18" t="s" s="557">
        <v>111</v>
      </c>
      <c r="N18" t="s" s="557">
        <v>113</v>
      </c>
      <c r="O18" t="s" s="557">
        <v>526</v>
      </c>
      <c r="P18" t="s" s="557">
        <v>98</v>
      </c>
    </row>
    <row r="19" spans="1:16">
      <c r="A19" t="s" s="557">
        <v>527</v>
      </c>
      <c r="B19" t="s" s="557">
        <v>58</v>
      </c>
      <c r="C19" t="s" s="557">
        <v>81</v>
      </c>
      <c r="D19" t="s" s="557">
        <v>113</v>
      </c>
      <c r="E19" t="s" s="557">
        <v>59</v>
      </c>
      <c r="F19" t="s" s="557">
        <v>76</v>
      </c>
      <c r="G19" t="s" s="557">
        <v>523</v>
      </c>
    </row>
    <row r="20" spans="1:16">
      <c r="A20" t="s" s="557">
        <v>528</v>
      </c>
      <c r="B20" t="s" s="557">
        <v>63</v>
      </c>
      <c r="C20" t="s" s="557">
        <v>101</v>
      </c>
      <c r="D20" t="s" s="557">
        <v>64</v>
      </c>
      <c r="E20" t="s" s="557">
        <v>76</v>
      </c>
      <c r="F20" t="s" s="557">
        <v>82</v>
      </c>
      <c r="G20" t="s" s="557">
        <v>89</v>
      </c>
      <c r="H20" t="s" s="557">
        <v>330</v>
      </c>
      <c r="I20" t="s" s="557">
        <v>96</v>
      </c>
    </row>
    <row r="21" spans="1:16">
      <c r="A21" t="s" s="557">
        <v>529</v>
      </c>
      <c r="B21" t="s" s="557">
        <v>65</v>
      </c>
      <c r="C21" t="s" s="557">
        <v>68</v>
      </c>
      <c r="D21" t="s" s="557">
        <v>85</v>
      </c>
      <c r="E21" t="s" s="557">
        <v>91</v>
      </c>
      <c r="F21" t="s" s="557">
        <v>112</v>
      </c>
      <c r="G21" t="s" s="557">
        <v>74</v>
      </c>
      <c r="H21" t="s" s="557">
        <v>76</v>
      </c>
      <c r="I21" t="s" s="557">
        <v>96</v>
      </c>
    </row>
    <row r="22" spans="1:16">
      <c r="A22" t="s" s="557">
        <v>530</v>
      </c>
      <c r="B22" t="s" s="557">
        <v>63</v>
      </c>
      <c r="C22" t="s" s="557">
        <v>75</v>
      </c>
      <c r="D22" t="s" s="557">
        <v>99</v>
      </c>
      <c r="E22" t="s" s="557">
        <v>72</v>
      </c>
      <c r="F22" t="s" s="557">
        <v>90</v>
      </c>
      <c r="G22" t="s" s="557">
        <v>96</v>
      </c>
      <c r="H22" t="s" s="557">
        <v>100</v>
      </c>
      <c r="I22" t="s" s="557">
        <v>104</v>
      </c>
    </row>
    <row r="23" spans="1:16">
      <c r="A23" t="s" s="557">
        <v>531</v>
      </c>
      <c r="B23" t="s" s="557">
        <v>63</v>
      </c>
      <c r="C23" t="s" s="557">
        <v>532</v>
      </c>
      <c r="D23" t="s" s="557">
        <v>85</v>
      </c>
      <c r="E23" t="s" s="557">
        <v>76</v>
      </c>
      <c r="F23" t="s" s="557">
        <v>96</v>
      </c>
      <c r="G23" t="s" s="557">
        <v>100</v>
      </c>
      <c r="H23" t="s" s="557">
        <v>533</v>
      </c>
    </row>
    <row r="24" spans="1:16">
      <c r="A24" t="s" s="557">
        <v>534</v>
      </c>
      <c r="B24" t="s" s="557">
        <v>63</v>
      </c>
      <c r="C24" t="s" s="557">
        <v>484</v>
      </c>
      <c r="D24" t="s" s="557">
        <v>101</v>
      </c>
      <c r="E24" t="s" s="557">
        <v>334</v>
      </c>
      <c r="F24" t="s" s="557">
        <v>72</v>
      </c>
      <c r="G24" t="s" s="557">
        <v>526</v>
      </c>
      <c r="H24" t="s" s="557">
        <v>104</v>
      </c>
      <c r="I24" t="s" s="557">
        <v>105</v>
      </c>
    </row>
    <row r="25" spans="1:16">
      <c r="A25" t="s" s="557">
        <v>535</v>
      </c>
      <c r="B25" t="s" s="557">
        <v>63</v>
      </c>
      <c r="C25" t="s" s="557">
        <v>91</v>
      </c>
      <c r="D25" t="s" s="557">
        <v>97</v>
      </c>
      <c r="E25" t="s" s="557">
        <v>99</v>
      </c>
      <c r="F25" t="s" s="557">
        <v>113</v>
      </c>
      <c r="G25" t="s" s="557">
        <v>59</v>
      </c>
      <c r="H25" t="s" s="557">
        <v>66</v>
      </c>
      <c r="I25" t="s" s="557">
        <v>106</v>
      </c>
    </row>
    <row r="26" spans="1:16">
      <c r="A26" t="s" s="557">
        <v>536</v>
      </c>
      <c r="B26" t="s" s="557">
        <v>81</v>
      </c>
      <c r="C26" t="s" s="557">
        <v>85</v>
      </c>
      <c r="D26" t="s" s="557">
        <v>502</v>
      </c>
      <c r="E26" t="s" s="557">
        <v>334</v>
      </c>
      <c r="F26" t="s" s="557">
        <v>298</v>
      </c>
      <c r="G26" t="s" s="557">
        <v>298</v>
      </c>
      <c r="H26" t="s" s="557">
        <v>298</v>
      </c>
      <c r="J26" s="565">
        <v>1</v>
      </c>
      <c r="K26" t="s" s="557">
        <v>58</v>
      </c>
      <c r="L26" t="s" s="557">
        <v>107</v>
      </c>
      <c r="M26" t="s" s="557">
        <v>59</v>
      </c>
      <c r="N26" t="s" s="557">
        <v>82</v>
      </c>
    </row>
    <row r="27" spans="1:16">
      <c r="A27" t="s" s="557">
        <v>537</v>
      </c>
      <c r="B27" t="s" s="557">
        <v>81</v>
      </c>
      <c r="C27" t="s" s="557">
        <v>91</v>
      </c>
      <c r="D27" t="s" s="557">
        <v>107</v>
      </c>
      <c r="E27" t="s" s="557">
        <v>334</v>
      </c>
      <c r="F27" t="s" s="557">
        <v>113</v>
      </c>
      <c r="G27" t="s" s="557">
        <v>59</v>
      </c>
      <c r="H27" t="s" s="557">
        <v>76</v>
      </c>
      <c r="I27" t="s" s="557">
        <v>96</v>
      </c>
    </row>
    <row r="28" spans="1:16">
      <c r="A28" t="s" s="557">
        <v>538</v>
      </c>
      <c r="B28" t="s" s="557">
        <v>63</v>
      </c>
      <c r="C28" t="s" s="557">
        <v>73</v>
      </c>
      <c r="D28" t="s" s="557">
        <v>75</v>
      </c>
      <c r="E28" t="s" s="557">
        <v>97</v>
      </c>
      <c r="F28" t="s" s="557">
        <v>99</v>
      </c>
      <c r="G28" t="s" s="557">
        <v>111</v>
      </c>
      <c r="H28" t="s" s="557">
        <v>443</v>
      </c>
      <c r="I28" t="s" s="557">
        <v>106</v>
      </c>
    </row>
    <row r="29" spans="1:16">
      <c r="A29" t="s" s="557">
        <v>539</v>
      </c>
      <c r="B29" t="s" s="557">
        <v>65</v>
      </c>
      <c r="C29" t="s" s="557">
        <v>334</v>
      </c>
      <c r="D29" t="s" s="557">
        <v>334</v>
      </c>
      <c r="E29" t="s" s="557">
        <v>334</v>
      </c>
      <c r="F29" t="s" s="557">
        <v>112</v>
      </c>
      <c r="G29" t="s" s="557">
        <v>113</v>
      </c>
      <c r="H29" t="s" s="557">
        <v>76</v>
      </c>
      <c r="I29" t="s" s="557">
        <v>510</v>
      </c>
    </row>
    <row r="30" spans="1:16">
      <c r="A30" t="s" s="557">
        <v>540</v>
      </c>
      <c r="B30" t="s" s="557">
        <v>63</v>
      </c>
      <c r="C30" t="s" s="557">
        <v>75</v>
      </c>
      <c r="D30" t="s" s="557">
        <v>502</v>
      </c>
      <c r="E30" t="s" s="557">
        <v>59</v>
      </c>
      <c r="F30" t="s" s="557">
        <v>72</v>
      </c>
      <c r="G30" t="s" s="557">
        <v>76</v>
      </c>
      <c r="H30" t="s" s="557">
        <v>96</v>
      </c>
      <c r="I30" t="s" s="557">
        <v>100</v>
      </c>
    </row>
  </sheetData>
  <sheetProtection selectLockedCell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666666666667" customWidth="1"/>
    <col min="7" max="7" width="10.8666666666667" customWidth="1"/>
    <col min="9" max="9" width="11" customWidth="1"/>
  </cols>
  <sheetData>
    <row r="1" spans="1:9">
      <c r="A1" t="s" s="566">
        <v>541</v>
      </c>
      <c r="C1" t="s" s="566">
        <v>542</v>
      </c>
      <c r="E1" t="s" s="566">
        <v>329</v>
      </c>
      <c r="G1" t="s" s="566">
        <v>356</v>
      </c>
      <c r="I1" t="s" s="566">
        <v>543</v>
      </c>
    </row>
    <row r="2" spans="1:9">
      <c r="A2" t="s" s="557">
        <v>544</v>
      </c>
      <c r="C2" t="s" s="557">
        <v>545</v>
      </c>
      <c r="E2" t="s" s="557">
        <v>546</v>
      </c>
      <c r="G2" t="s" s="557">
        <v>547</v>
      </c>
      <c r="I2" t="s" s="557">
        <v>548</v>
      </c>
    </row>
    <row r="3" spans="1:9">
      <c r="A3" t="s" s="557">
        <v>549</v>
      </c>
      <c r="C3" t="s" s="557">
        <v>550</v>
      </c>
      <c r="E3" t="s" s="557">
        <v>551</v>
      </c>
      <c r="G3" t="s" s="557">
        <v>552</v>
      </c>
      <c r="I3" t="s" s="557">
        <v>553</v>
      </c>
    </row>
    <row r="4" spans="1:9">
      <c r="A4" t="s" s="557">
        <v>554</v>
      </c>
      <c r="C4" t="s" s="557">
        <v>555</v>
      </c>
      <c r="E4" t="s" s="557">
        <v>556</v>
      </c>
      <c r="G4" t="s" s="557">
        <v>557</v>
      </c>
      <c r="I4" t="s" s="557">
        <v>558</v>
      </c>
    </row>
    <row r="5" spans="1:9">
      <c r="A5" t="s" s="557">
        <v>559</v>
      </c>
      <c r="C5" t="s" s="557">
        <v>560</v>
      </c>
      <c r="G5" t="s" s="557">
        <v>561</v>
      </c>
      <c r="I5" t="s" s="557">
        <v>562</v>
      </c>
    </row>
    <row r="6" spans="1:9">
      <c r="A6" t="s" s="557">
        <v>563</v>
      </c>
      <c r="C6" t="s" s="557">
        <v>564</v>
      </c>
      <c r="G6" t="s" s="557">
        <v>565</v>
      </c>
      <c r="I6" t="s" s="557">
        <v>566</v>
      </c>
    </row>
    <row r="7" spans="1:9">
      <c r="A7" t="s" s="557">
        <v>567</v>
      </c>
      <c r="C7" t="s" s="557">
        <v>568</v>
      </c>
      <c r="G7" t="s" s="557">
        <v>569</v>
      </c>
      <c r="I7" t="s" s="557">
        <v>570</v>
      </c>
    </row>
    <row r="8" spans="1:9">
      <c r="A8" t="s" s="557">
        <v>571</v>
      </c>
      <c r="C8" t="s" s="557">
        <v>572</v>
      </c>
      <c r="G8" t="s" s="557">
        <v>573</v>
      </c>
      <c r="I8" t="s" s="557">
        <v>574</v>
      </c>
    </row>
    <row r="9" spans="1:9">
      <c r="A9" t="s" s="557">
        <v>575</v>
      </c>
      <c r="C9" t="s" s="557">
        <v>576</v>
      </c>
      <c r="G9" t="s" s="557">
        <v>577</v>
      </c>
      <c r="I9" t="s" s="557">
        <v>578</v>
      </c>
    </row>
    <row r="10" spans="1:9">
      <c r="A10" t="s" s="557">
        <v>579</v>
      </c>
      <c r="C10" t="s" s="557">
        <v>580</v>
      </c>
      <c r="I10" t="s" s="557">
        <v>581</v>
      </c>
    </row>
    <row r="11" spans="1:9">
      <c r="A11" t="s" s="557">
        <v>582</v>
      </c>
      <c r="C11" t="s" s="557">
        <v>583</v>
      </c>
      <c r="I11" t="s" s="557">
        <v>584</v>
      </c>
    </row>
    <row r="12" spans="1:9">
      <c r="C12" t="s" s="557">
        <v>585</v>
      </c>
      <c r="I12" t="s" s="557">
        <v>586</v>
      </c>
    </row>
    <row r="13" spans="1:9">
      <c r="C13" t="s" s="557">
        <v>587</v>
      </c>
      <c r="I13" t="s" s="557">
        <v>588</v>
      </c>
    </row>
    <row r="14" spans="1:9">
      <c r="C14" s="557" t="inlineStr">
        <is>
          <t>电子学</t>
        </is>
      </c>
      <c r="I14" t="s" s="557">
        <v>589</v>
      </c>
    </row>
    <row r="15" spans="1:9">
      <c r="I15" t="s" s="557">
        <v>590</v>
      </c>
    </row>
    <row r="16" spans="1:9">
      <c r="I16" t="s" s="557">
        <v>591</v>
      </c>
    </row>
    <row r="17" spans="9:9">
      <c r="I17" t="s" s="557">
        <v>592</v>
      </c>
    </row>
    <row r="18" spans="9:9">
      <c r="I18" t="s" s="557">
        <v>593</v>
      </c>
    </row>
    <row r="19" spans="9:9">
      <c r="I19" t="s" s="557">
        <v>594</v>
      </c>
    </row>
    <row r="20" spans="9:9">
      <c r="I20" t="s" s="557">
        <v>595</v>
      </c>
    </row>
    <row r="21" spans="9:9">
      <c r="I21" t="s" s="557">
        <v>596</v>
      </c>
    </row>
    <row r="22" spans="9:9">
      <c r="I22" t="s" s="557">
        <v>597</v>
      </c>
    </row>
    <row r="23" spans="9:9">
      <c r="I23" t="s" s="557">
        <v>598</v>
      </c>
    </row>
    <row r="24" spans="9:9">
      <c r="I24" t="s" s="557">
        <v>599</v>
      </c>
    </row>
    <row r="25" spans="9:9">
      <c r="I25" t="s" s="557">
        <v>600</v>
      </c>
    </row>
    <row r="26" spans="9:9">
      <c r="I26" t="s" s="557">
        <v>601</v>
      </c>
    </row>
    <row r="27" spans="9:9">
      <c r="I27" t="s" s="557">
        <v>602</v>
      </c>
    </row>
  </sheetData>
  <sheetProtection selectLockedCell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4666666666667" customWidth="1"/>
    <col min="3" max="3" width="12" customWidth="1"/>
    <col min="4" max="4" width="15.8666666666667" customWidth="1"/>
    <col min="7" max="7" width="17.6" customWidth="1"/>
    <col min="8" max="8" width="9.13333333333333"/>
  </cols>
  <sheetData>
    <row r="1" ht="16.5" spans="1:50">
      <c r="A1" s="567" t="s">
        <v>603</v>
      </c>
      <c r="D1" s="567" t="s">
        <v>604</v>
      </c>
    </row>
    <row r="2" spans="1:50">
      <c r="A2" t="s" s="557">
        <v>11</v>
      </c>
      <c r="B2" s="557">
        <f>IF(ISBLANK(人物卡!AN3),人物卡!AH3,人物卡!AN3)</f>
        <v>0</v>
      </c>
      <c r="D2" s="557" t="str">
        <f>人物卡!ED24</f>
        <v/>
      </c>
    </row>
    <row r="3" spans="1:50">
      <c r="A3" t="s" s="557">
        <v>14</v>
      </c>
      <c r="B3" s="557">
        <f>IF(ISBLANK(人物卡!AN4),人物卡!AH4,人物卡!AN4)</f>
        <v>0</v>
      </c>
      <c r="D3" s="557" t="str">
        <f>人物卡!ED27</f>
        <v/>
      </c>
    </row>
    <row r="4" spans="1:50">
      <c r="A4" t="s" s="557">
        <v>18</v>
      </c>
      <c r="B4" s="557">
        <f>IF(ISBLANK(人物卡!AN5),人物卡!AH5,人物卡!AN5)</f>
        <v>0</v>
      </c>
      <c r="D4" s="557" t="str">
        <f>人物卡!ED30</f>
        <v/>
      </c>
    </row>
    <row r="5" spans="1:50">
      <c r="A5" t="s" s="557">
        <v>22</v>
      </c>
      <c r="B5" s="557">
        <f>IF(ISBLANK(人物卡!AN6),人物卡!AH6,人物卡!AN6)</f>
        <v>0</v>
      </c>
      <c r="D5" s="557" t="str">
        <f>人物卡!ED33</f>
        <v/>
      </c>
    </row>
    <row r="6" spans="1:50">
      <c r="A6" t="s" s="557">
        <v>25</v>
      </c>
      <c r="B6" s="557">
        <f>IF(ISBLANK(人物卡!AN7),人物卡!AH7,人物卡!AN7)</f>
        <v>0</v>
      </c>
      <c r="D6" s="557" t="str">
        <f>人物卡!ED36</f>
        <v/>
      </c>
    </row>
    <row r="7" spans="1:50">
      <c r="A7" t="s" s="557">
        <v>28</v>
      </c>
      <c r="B7" s="557">
        <f>IF(ISBLANK(人物卡!AN8),人物卡!AH8,人物卡!AN8)</f>
        <v>0</v>
      </c>
      <c r="D7" s="557" t="str">
        <f>人物卡!ED39</f>
        <v/>
      </c>
    </row>
    <row r="11" spans="1:50">
      <c r="A11" s="568" t="s">
        <v>605</v>
      </c>
      <c r="C11" t="s" s="557">
        <v>606</v>
      </c>
      <c r="D11" s="557" t="str">
        <f>IF(G11,INDEX(H63:H82,MATCH(IF(A63=1,B62,人物卡!H47),G63:G82,0)),A15)</f>
        <v>（创建新职业）</v>
      </c>
      <c r="F11" t="s" s="557">
        <v>607</v>
      </c>
      <c r="G11" s="557" t="b">
        <f>B62&lt;&gt;0</f>
        <v>0</v>
      </c>
      <c r="H11" t="s" s="557">
        <v>608</v>
      </c>
      <c r="I11" s="557" t="b">
        <f>AND(G11,A63&gt;1)</f>
        <v>0</v>
      </c>
    </row>
    <row r="12" spans="1:50">
      <c r="A12" t="s" s="557">
        <v>609</v>
      </c>
      <c r="B12" s="557">
        <f>MATCH(人物卡!$H$46,职业列表!A2:A505,0)</f>
        <v>1</v>
      </c>
      <c r="C12" t="s" s="557">
        <v>610</v>
      </c>
      <c r="D12" s="557">
        <f>MATCH(D11,职业列表!A2:A505,0)</f>
        <v>1</v>
      </c>
      <c r="H12" t="s" s="557">
        <v>611</v>
      </c>
      <c r="I12" s="557" t="b">
        <f>IFERROR(AND(NOT(ISNA(D11)),OR(NOT(I11),COUNTIF(B62:B65,人物卡!H47)&gt;0)),FALSE)</f>
        <v>1</v>
      </c>
    </row>
    <row r="15" s="59" customFormat="1" spans="1:50">
      <c r="A15" s="557" t="str">
        <f t="array" ref="A15">INDEX(职业列表!A2:A505,$B$12)</f>
        <v>（创建新职业）</v>
      </c>
      <c r="B15" s="557">
        <f t="array" ref="B15">INDEX(职业列表!B2:B505,$B$12)</f>
        <v>0</v>
      </c>
      <c r="C15" s="557" t="str">
        <f t="array" ref="C15">INDEX(职业列表!C2:C505,$B$12)</f>
        <v>≤4</v>
      </c>
      <c r="D15" s="557" t="str">
        <f t="array" ref="D15">INDEX(职业列表!D2:D505,$B$12)</f>
        <v>任选10个本职技能，分配350</v>
      </c>
      <c r="E15" s="557" t="str">
        <f t="array" ref="E15">INDEX(职业列表!E2:E505,$B$12)</f>
        <v>技能点，额外加在基础值上，</v>
      </c>
      <c r="F15" s="557" t="str">
        <f t="array" ref="F15">INDEX(职业列表!F2:F505,$B$12)</f>
        <v>最高至60%。重要关系自4个开</v>
      </c>
      <c r="G15" s="557" t="str">
        <f t="array" ref="G15">INDEX(职业列表!G2:G505,$B$12)</f>
        <v>始每少一个（最少1个），增</v>
      </c>
      <c r="H15" s="557" t="str">
        <f t="array" ref="H15">INDEX(职业列表!H2:H505,$B$12)</f>
        <v>加50本职技能点。</v>
      </c>
      <c r="I15" s="557">
        <f t="array" ref="I15">INDEX(职业列表!I2:I505,$B$12)</f>
        <v>0</v>
      </c>
      <c r="J15" s="557">
        <f t="array" ref="J15">INDEX(职业列表!J2:J505,$B$12)</f>
        <v>0</v>
      </c>
      <c r="K15" s="557">
        <f t="array" ref="K15">INDEX(职业列表!K2:K505,$B$12)</f>
        <v>0</v>
      </c>
      <c r="L15" s="557">
        <f t="array" ref="L15">INDEX(职业列表!L2:L505,$B$12)</f>
        <v>0</v>
      </c>
      <c r="M15" s="557">
        <f t="array" ref="M15">INDEX(职业列表!M2:M505,$B$12)</f>
        <v>0</v>
      </c>
      <c r="N15" s="557">
        <f t="array" ref="N15">INDEX(职业列表!N2:N505,$B$12)</f>
        <v>0</v>
      </c>
      <c r="O15" s="557">
        <f t="array" ref="O15">INDEX(职业列表!O2:O505,$B$12)</f>
        <v>0</v>
      </c>
      <c r="P15" s="557">
        <f t="array" ref="P15">INDEX(职业列表!P2:P505,$B$12)</f>
        <v>0</v>
      </c>
      <c r="Q15" s="557">
        <f t="array" ref="Q15">INDEX(职业列表!Q2:Q505,$B$12)</f>
        <v>0</v>
      </c>
      <c r="R15" s="557">
        <f t="array" ref="R15">INDEX(职业列表!R2:R505,$B$12)</f>
        <v>0</v>
      </c>
      <c r="S15" s="557">
        <f t="array" ref="S15">INDEX(职业列表!S2:S505,$B$12)</f>
        <v>0</v>
      </c>
      <c r="T15" s="557">
        <f t="array" ref="T15">INDEX(职业列表!T2:T505,$B$12)</f>
        <v>0</v>
      </c>
      <c r="U15" s="557">
        <f t="array" ref="U15">INDEX(职业列表!U2:U505,$B$12)</f>
        <v>0</v>
      </c>
      <c r="V15" s="557">
        <f t="array" ref="V15">INDEX(职业列表!V2:V505,$B$12)</f>
        <v>0</v>
      </c>
      <c r="W15" s="557">
        <f t="array" ref="W15">INDEX(职业列表!W2:W505,$B$12)</f>
        <v>0</v>
      </c>
      <c r="X15" s="557">
        <f t="array" ref="X15">INDEX(职业列表!X2:X505,$B$12)</f>
        <v>0</v>
      </c>
      <c r="Y15" s="557">
        <f t="array" ref="Y15">INDEX(职业列表!Y2:Y505,$B$12)</f>
        <v>0</v>
      </c>
      <c r="Z15" s="557">
        <f t="array" ref="Z15">INDEX(职业列表!Z2:Z505,$B$12)</f>
        <v>0</v>
      </c>
      <c r="AA15" s="557">
        <f t="array" ref="AA15">INDEX(职业列表!AA2:AA505,$B$12)</f>
        <v>0</v>
      </c>
      <c r="AB15" s="557">
        <f t="array" ref="AB15">INDEX(职业列表!AB2:AB505,$B$12)</f>
        <v>0</v>
      </c>
      <c r="AC15" s="557">
        <f t="array" ref="AC15">INDEX(职业列表!AC2:AC505,$B$12)</f>
        <v>0</v>
      </c>
      <c r="AD15" s="557">
        <f t="array" ref="AD15">INDEX(职业列表!AD2:AD505,$B$12)</f>
        <v>0</v>
      </c>
      <c r="AE15" s="557">
        <f t="array" ref="AE15">INDEX(职业列表!AE2:AE505,$B$12)</f>
        <v>0</v>
      </c>
      <c r="AF15" s="557">
        <f t="array" ref="AF15">INDEX(职业列表!AF2:AF505,$B$12)</f>
        <v>0</v>
      </c>
      <c r="AG15" s="557">
        <f t="array" ref="AG15">INDEX(职业列表!AG2:AG505,$B$12)</f>
        <v>0</v>
      </c>
      <c r="AH15" s="557">
        <f t="array" ref="AH15">INDEX(职业列表!AH2:AH505,$B$12)</f>
        <v>0</v>
      </c>
      <c r="AI15" s="557">
        <f t="array" ref="AI15">INDEX(职业列表!AI2:AI505,$B$12)</f>
        <v>0</v>
      </c>
      <c r="AJ15" s="557">
        <f t="array" ref="AJ15">INDEX(职业列表!AJ2:AJ505,$B$12)</f>
        <v>0</v>
      </c>
      <c r="AK15" s="557">
        <f t="array" ref="AK15">INDEX(职业列表!AK2:AK505,$B$12)</f>
        <v>0</v>
      </c>
      <c r="AL15" s="557">
        <f t="array" ref="AL15">INDEX(职业列表!AL2:AL505,$B$12)</f>
        <v>0</v>
      </c>
      <c r="AM15" s="557">
        <f t="array" ref="AM15">INDEX(职业列表!AM2:AM505,$B$12)</f>
        <v>0</v>
      </c>
      <c r="AN15" s="557">
        <f t="array" ref="AN15">INDEX(职业列表!AN2:AN505,$B$12)</f>
        <v>0</v>
      </c>
      <c r="AO15" s="557">
        <f t="array" ref="AO15">INDEX(职业列表!AO2:AO505,$B$12)</f>
        <v>2</v>
      </c>
      <c r="AP15" s="557">
        <f t="array" ref="AP15">INDEX(职业列表!AP2:AP505,$B$12)</f>
        <v>0</v>
      </c>
      <c r="AQ15" s="557">
        <f t="array" ref="AQ15">INDEX(职业列表!AQ2:AQ505,$B$12)</f>
        <v>0</v>
      </c>
      <c r="AR15" s="557">
        <f t="array" ref="AR15">INDEX(职业列表!AR2:AR505,$B$12)</f>
        <v>0</v>
      </c>
      <c r="AS15" s="557">
        <f t="array" ref="AS15">INDEX(职业列表!AS2:AS505,$B$12)</f>
        <v>0</v>
      </c>
      <c r="AT15" s="557">
        <f t="array" ref="AT15">INDEX(职业列表!AT2:AT505,$B$12)</f>
        <v>0</v>
      </c>
      <c r="AU15" s="557">
        <f t="array" ref="AU15">INDEX(职业列表!AU2:AU505,$B$12)</f>
        <v>0</v>
      </c>
      <c r="AV15" s="557">
        <f t="array" ref="AV15">INDEX(职业列表!AV2:AV505,$B$12)</f>
        <v>0</v>
      </c>
      <c r="AW15" s="557">
        <f t="array" ref="AW15">INDEX(职业列表!AW2:AW505,$B$12)</f>
        <v>0</v>
      </c>
      <c r="AX15" s="557">
        <f t="array" ref="AX15">INDEX(职业列表!AX2:AX505,$B$12)</f>
        <v>0</v>
      </c>
    </row>
    <row r="16" s="59" customFormat="1" spans="1:50">
      <c r="A16" s="557" t="str">
        <f t="array" ref="A16">INDEX(职业列表!A2:A505,$D$12)</f>
        <v>（创建新职业）</v>
      </c>
      <c r="B16" s="557">
        <f t="array" ref="B16">INDEX(职业列表!B2:B505,$D$12)</f>
        <v>0</v>
      </c>
      <c r="C16" s="557" t="str">
        <f t="array" ref="C16">INDEX(职业列表!C2:C505,$D$12)</f>
        <v>≤4</v>
      </c>
      <c r="D16" s="557" t="str">
        <f t="array" ref="D16">INDEX(职业列表!D2:D505,$D$12)</f>
        <v>任选10个本职技能，分配350</v>
      </c>
      <c r="E16" s="557" t="str">
        <f t="array" ref="E16">INDEX(职业列表!E2:E505,$D$12)</f>
        <v>技能点，额外加在基础值上，</v>
      </c>
      <c r="F16" s="557" t="str">
        <f t="array" ref="F16">INDEX(职业列表!F2:F505,$D$12)</f>
        <v>最高至60%。重要关系自4个开</v>
      </c>
      <c r="G16" s="557" t="str">
        <f t="array" ref="G16">INDEX(职业列表!G2:G505,$D$12)</f>
        <v>始每少一个（最少1个），增</v>
      </c>
      <c r="H16" s="557" t="str">
        <f t="array" ref="H16">INDEX(职业列表!H2:H505,$D$12)</f>
        <v>加50本职技能点。</v>
      </c>
      <c r="I16" s="557">
        <f t="array" ref="I16">INDEX(职业列表!I2:I505,$D$12)</f>
        <v>0</v>
      </c>
      <c r="J16" s="557">
        <f t="array" ref="J16">INDEX(职业列表!J2:J505,$D$12)</f>
        <v>0</v>
      </c>
      <c r="K16" s="557">
        <f t="array" ref="K16">INDEX(职业列表!K2:K505,$D$12)</f>
        <v>0</v>
      </c>
      <c r="L16" s="557">
        <f t="array" ref="L16">INDEX(职业列表!L2:L505,$D$12)</f>
        <v>0</v>
      </c>
      <c r="M16" s="557">
        <f t="array" ref="M16">INDEX(职业列表!M2:M505,$D$12)</f>
        <v>0</v>
      </c>
      <c r="N16" s="557">
        <f t="array" ref="N16">INDEX(职业列表!N2:N505,$D$12)</f>
        <v>0</v>
      </c>
      <c r="O16" s="557">
        <f t="array" ref="O16">INDEX(职业列表!O2:O505,$D$12)</f>
        <v>0</v>
      </c>
      <c r="P16" s="557">
        <f t="array" ref="P16">INDEX(职业列表!P2:P505,$D$12)</f>
        <v>0</v>
      </c>
      <c r="Q16" s="557">
        <f t="array" ref="Q16">INDEX(职业列表!Q2:Q505,$D$12)</f>
        <v>0</v>
      </c>
      <c r="R16" s="557">
        <f t="array" ref="R16">INDEX(职业列表!R2:R505,$D$12)</f>
        <v>0</v>
      </c>
      <c r="S16" s="557">
        <f t="array" ref="S16">INDEX(职业列表!S2:S505,$D$12)</f>
        <v>0</v>
      </c>
      <c r="T16" s="557">
        <f t="array" ref="T16">INDEX(职业列表!T2:T505,$D$12)</f>
        <v>0</v>
      </c>
      <c r="U16" s="557">
        <f t="array" ref="U16">INDEX(职业列表!U2:U505,$D$12)</f>
        <v>0</v>
      </c>
      <c r="V16" s="557">
        <f t="array" ref="V16">INDEX(职业列表!V2:V505,$D$12)</f>
        <v>0</v>
      </c>
      <c r="W16" s="557">
        <f t="array" ref="W16">INDEX(职业列表!W2:W505,$D$12)</f>
        <v>0</v>
      </c>
      <c r="X16" s="557">
        <f t="array" ref="X16">INDEX(职业列表!X2:X505,$D$12)</f>
        <v>0</v>
      </c>
      <c r="Y16" s="557">
        <f t="array" ref="Y16">INDEX(职业列表!Y2:Y505,$D$12)</f>
        <v>0</v>
      </c>
      <c r="Z16" s="557">
        <f t="array" ref="Z16">INDEX(职业列表!Z2:Z505,$D$12)</f>
        <v>0</v>
      </c>
      <c r="AA16" s="557">
        <f t="array" ref="AA16">INDEX(职业列表!AA2:AA505,$D$12)</f>
        <v>0</v>
      </c>
      <c r="AB16" s="557">
        <f t="array" ref="AB16">INDEX(职业列表!AB2:AB505,$D$12)</f>
        <v>0</v>
      </c>
      <c r="AC16" s="557">
        <f t="array" ref="AC16">INDEX(职业列表!AC2:AC505,$D$12)</f>
        <v>0</v>
      </c>
      <c r="AD16" s="557">
        <f t="array" ref="AD16">INDEX(职业列表!AD2:AD505,$D$12)</f>
        <v>0</v>
      </c>
      <c r="AE16" s="557">
        <f t="array" ref="AE16">INDEX(职业列表!AE2:AE505,$D$12)</f>
        <v>0</v>
      </c>
      <c r="AF16" s="557">
        <f t="array" ref="AF16">INDEX(职业列表!AF2:AF505,$D$12)</f>
        <v>0</v>
      </c>
      <c r="AG16" s="557">
        <f t="array" ref="AG16">INDEX(职业列表!AG2:AG505,$D$12)</f>
        <v>0</v>
      </c>
      <c r="AH16" s="557">
        <f t="array" ref="AH16">INDEX(职业列表!AH2:AH505,$D$12)</f>
        <v>0</v>
      </c>
      <c r="AI16" s="557">
        <f t="array" ref="AI16">INDEX(职业列表!AI2:AI505,$D$12)</f>
        <v>0</v>
      </c>
      <c r="AJ16" s="557">
        <f t="array" ref="AJ16">INDEX(职业列表!AJ2:AJ505,$D$12)</f>
        <v>0</v>
      </c>
      <c r="AK16" s="557">
        <f t="array" ref="AK16">INDEX(职业列表!AK2:AK505,$D$12)</f>
        <v>0</v>
      </c>
      <c r="AL16" s="557">
        <f t="array" ref="AL16">INDEX(职业列表!AL2:AL505,$D$12)</f>
        <v>0</v>
      </c>
      <c r="AM16" s="557">
        <f t="array" ref="AM16">INDEX(职业列表!AM2:AM505,$D$12)</f>
        <v>0</v>
      </c>
      <c r="AN16" s="557">
        <f t="array" ref="AN16">INDEX(职业列表!AN2:AN505,$D$12)</f>
        <v>0</v>
      </c>
      <c r="AO16" s="557">
        <f t="array" ref="AO16">INDEX(职业列表!AO2:AO505,$D$12)</f>
        <v>2</v>
      </c>
      <c r="AP16" s="557">
        <f t="array" ref="AP16">INDEX(职业列表!AP2:AP505,$D$12)</f>
        <v>0</v>
      </c>
      <c r="AQ16" s="557">
        <f t="array" ref="AQ16">INDEX(职业列表!AQ2:AQ505,$D$12)</f>
        <v>0</v>
      </c>
      <c r="AR16" s="557">
        <f t="array" ref="AR16">INDEX(职业列表!AR2:AR505,$D$12)</f>
        <v>0</v>
      </c>
      <c r="AS16" s="557">
        <f t="array" ref="AS16">INDEX(职业列表!AS2:AS505,$D$12)</f>
        <v>0</v>
      </c>
      <c r="AT16" s="557">
        <f t="array" ref="AT16">INDEX(职业列表!AT2:AT505,$D$12)</f>
        <v>0</v>
      </c>
      <c r="AU16" s="557">
        <f t="array" ref="AU16">INDEX(职业列表!AU2:AU505,$D$12)</f>
        <v>0</v>
      </c>
      <c r="AV16" s="557">
        <f t="array" ref="AV16">INDEX(职业列表!AV2:AV505,$D$12)</f>
        <v>0</v>
      </c>
      <c r="AW16" s="557">
        <f t="array" ref="AW16">INDEX(职业列表!AW2:AW505,$D$12)</f>
        <v>0</v>
      </c>
      <c r="AX16" s="557">
        <f t="array" ref="AX16">INDEX(职业列表!AX2:AX505,$D$12)</f>
        <v>0</v>
      </c>
    </row>
    <row r="17" s="59" customFormat="1" spans="1:49">
      <c r="A17" s="569"/>
      <c r="B17" s="569"/>
      <c r="C17" s="569"/>
      <c r="D17" s="569"/>
      <c r="E17" s="569"/>
      <c r="F17" s="569"/>
      <c r="G17" s="569"/>
      <c r="H17" s="569"/>
      <c r="I17" s="569"/>
      <c r="J17" s="569"/>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row>
    <row r="19" spans="1:49">
      <c r="A19" s="568" t="s">
        <v>612</v>
      </c>
      <c r="C19" t="s" s="557">
        <v>613</v>
      </c>
      <c r="D19" s="557">
        <f>T16</f>
        <v>0</v>
      </c>
      <c r="F19" t="s" s="557">
        <v>614</v>
      </c>
      <c r="I19" s="570" t="s">
        <v>615</v>
      </c>
      <c r="K19" s="557" t="str">
        <f>INDEX(K20:K26,MATCH(1,I20:I26,0))</f>
        <v>（自定义职业请在掌局者同意后商议定制）</v>
      </c>
    </row>
    <row r="20" spans="1:49">
      <c r="A20" s="557" t="str">
        <f t="array" ref="A20:A35">TRANSPOSE(D16:S16)</f>
        <v>任选10个本职技能，分配350</v>
      </c>
      <c r="D20" s="557">
        <f t="array" ref="D20:D30">TRANSPOSE(U16:AE16)</f>
        <v>0</v>
      </c>
      <c r="F20" s="557">
        <f t="array" ref="F20:F23">TRANSPOSE(AJ15:AM15)</f>
        <v>0</v>
      </c>
      <c r="I20" s="557">
        <f>COUNTIF($A$16,J20&amp;"*")</f>
        <v>0</v>
      </c>
      <c r="J20" t="s" s="557">
        <v>616</v>
      </c>
      <c r="K20" t="s" s="557">
        <v>617</v>
      </c>
    </row>
    <row r="21" spans="1:49">
      <c r="A21" s="557" t="str">
        <v>技能点，额外加在基础值上，</v>
      </c>
      <c r="D21" s="557">
        <v>0</v>
      </c>
      <c r="F21" s="557">
        <v>0</v>
      </c>
      <c r="I21" s="557">
        <f t="shared" ref="I21" si="0">COUNTIF($A$16,J21&amp;"*")</f>
        <v>1</v>
      </c>
      <c r="J21" t="s" s="557">
        <v>147</v>
      </c>
      <c r="K21" t="s" s="557">
        <v>618</v>
      </c>
    </row>
    <row r="22" spans="1:49">
      <c r="A22" s="557" t="str">
        <v>最高至60%。重要关系自4个开</v>
      </c>
      <c r="D22" s="557">
        <v>0</v>
      </c>
      <c r="F22" s="557">
        <v>0</v>
      </c>
    </row>
    <row r="23" spans="1:49">
      <c r="A23" s="557" t="str">
        <v>始每少一个（最少1个），增</v>
      </c>
      <c r="D23" s="557">
        <v>0</v>
      </c>
      <c r="F23" s="557">
        <v>0</v>
      </c>
    </row>
    <row r="24" spans="1:49">
      <c r="A24" s="557" t="str">
        <v>加50本职技能点。</v>
      </c>
      <c r="D24" s="557">
        <v>0</v>
      </c>
    </row>
    <row r="25" spans="1:49">
      <c r="A25" s="557">
        <v>0</v>
      </c>
      <c r="D25" s="557">
        <v>0</v>
      </c>
    </row>
    <row r="26" spans="1:49">
      <c r="A26" s="557">
        <v>0</v>
      </c>
      <c r="D26" s="557">
        <v>0</v>
      </c>
      <c r="I26" s="557">
        <f t="shared" ref="I26" si="1">COUNTIF(A23,J26&amp;"*")</f>
        <v>1</v>
      </c>
      <c r="K26" s="557" t="str">
        <f>""</f>
        <v/>
      </c>
    </row>
    <row r="27" spans="1:49">
      <c r="A27" s="557">
        <v>0</v>
      </c>
      <c r="D27" s="557">
        <v>0</v>
      </c>
      <c r="K27" s="557" t="str">
        <f>""</f>
        <v/>
      </c>
    </row>
    <row r="28" spans="1:49">
      <c r="A28" s="557">
        <v>0</v>
      </c>
      <c r="D28" s="557">
        <v>0</v>
      </c>
    </row>
    <row r="29" spans="1:49">
      <c r="A29" s="557">
        <v>0</v>
      </c>
      <c r="D29" s="557">
        <v>0</v>
      </c>
    </row>
    <row r="30" spans="1:49">
      <c r="A30" s="557">
        <v>0</v>
      </c>
      <c r="D30" s="557">
        <v>0</v>
      </c>
    </row>
    <row r="31" spans="1:49">
      <c r="A31" s="557">
        <v>0</v>
      </c>
    </row>
    <row r="32" spans="1:49">
      <c r="A32" s="557">
        <v>0</v>
      </c>
    </row>
    <row r="33" spans="1:25">
      <c r="A33" s="557">
        <v>0</v>
      </c>
    </row>
    <row r="34" spans="1:25">
      <c r="A34" s="557">
        <v>0</v>
      </c>
    </row>
    <row r="35" spans="1:25">
      <c r="A35" s="557">
        <v>0</v>
      </c>
    </row>
    <row r="36" spans="1:25">
      <c r="A36" s="568" t="s">
        <v>619</v>
      </c>
      <c r="G36" s="571" t="s">
        <v>620</v>
      </c>
    </row>
    <row r="37" spans="1:25">
      <c r="A37" t="s" s="557">
        <v>621</v>
      </c>
      <c r="G37" t="s" s="557">
        <v>622</v>
      </c>
    </row>
    <row r="38" spans="1:25">
      <c r="A38" t="s" s="557">
        <v>623</v>
      </c>
      <c r="G38" t="s" s="557">
        <v>624</v>
      </c>
    </row>
    <row r="39" spans="1:25">
      <c r="A39" t="s" s="557">
        <v>625</v>
      </c>
      <c r="G39" t="s" s="557">
        <v>626</v>
      </c>
    </row>
    <row r="40" spans="1:25">
      <c r="A40" t="s" s="557">
        <v>627</v>
      </c>
      <c r="G40" t="s" s="557">
        <v>628</v>
      </c>
    </row>
    <row r="41" spans="1:25">
      <c r="A41" t="s" s="557">
        <v>629</v>
      </c>
    </row>
    <row r="45" spans="1:25">
      <c r="A45" s="571" t="s">
        <v>630</v>
      </c>
      <c r="C45" s="557">
        <f>MATCH(人物卡!$BW$46,额外技能包!A2:A30,0)</f>
        <v>1</v>
      </c>
    </row>
    <row r="46" spans="1:25">
      <c r="A46" s="557" t="str">
        <f t="array" ref="A46">INDEX(额外技能包!A$2:A$30,$C$45)</f>
        <v>（自选）</v>
      </c>
      <c r="B46" s="557" t="str">
        <f t="array" ref="B46">INDEX(额外技能包!B$2:B$30,$C$45)</f>
        <v>选择8个技能（除了非自</v>
      </c>
      <c r="C46" s="557" t="str">
        <f t="array" ref="C46">INDEX(额外技能包!C$2:C$30,$C$45)</f>
        <v>然知识），为每一个加上</v>
      </c>
      <c r="D46" s="557" t="str">
        <f t="array" ref="D46">INDEX(额外技能包!D$2:D$30,$C$45)</f>
        <v>20点。不能超过80%。可</v>
      </c>
      <c r="E46" s="557" t="str">
        <f t="array" ref="E46">INDEX(额外技能包!E$2:E$30,$C$45)</f>
        <v>重复选择。</v>
      </c>
      <c r="F46" s="557">
        <f t="array" ref="F46">INDEX(额外技能包!F$2:F$30,$C$45)</f>
        <v>0</v>
      </c>
      <c r="G46" s="557">
        <f t="array" ref="G46">INDEX(额外技能包!G$2:G$30,$C$45)</f>
        <v>0</v>
      </c>
      <c r="H46" s="557">
        <f t="array" ref="H46">INDEX(额外技能包!H$2:H$30,$C$45)</f>
        <v>0</v>
      </c>
      <c r="I46" s="557">
        <f t="array" ref="I46">INDEX(额外技能包!I$2:I$30,$C$45)</f>
        <v>0</v>
      </c>
      <c r="J46" s="557">
        <f t="array" ref="J46">INDEX(额外技能包!J$2:J$30,$C$45)</f>
        <v>0</v>
      </c>
      <c r="K46" s="557">
        <f t="array" ref="K46">INDEX(额外技能包!K$2:K$30,$C$45)</f>
        <v>0</v>
      </c>
      <c r="L46" s="557">
        <f t="array" ref="L46">INDEX(额外技能包!L$2:L$30,$C$45)</f>
        <v>0</v>
      </c>
      <c r="M46" s="557">
        <f t="array" ref="M46">INDEX(额外技能包!M$2:M$30,$C$45)</f>
        <v>0</v>
      </c>
      <c r="N46" s="557">
        <f t="array" ref="N46">INDEX(额外技能包!N$2:N$30,$C$45)</f>
        <v>0</v>
      </c>
      <c r="O46" s="557">
        <f t="array" ref="O46">INDEX(额外技能包!O$2:O$30,$C$45)</f>
        <v>0</v>
      </c>
      <c r="P46" s="557">
        <f t="array" ref="P46">INDEX(额外技能包!P$2:P$30,$C$45)</f>
        <v>0</v>
      </c>
      <c r="Q46" s="557">
        <f t="array" ref="Q46">INDEX(额外技能包!Q$2:Q$30,$C$45)</f>
        <v>0</v>
      </c>
      <c r="R46" s="557">
        <f t="array" ref="R46">INDEX(额外技能包!R$2:R$30,$C$45)</f>
        <v>0</v>
      </c>
      <c r="S46" s="557">
        <f t="array" ref="S46">INDEX(额外技能包!S$2:S$30,$C$45)</f>
        <v>0</v>
      </c>
      <c r="T46" s="557">
        <f t="array" ref="T46">INDEX(额外技能包!T$2:T$30,$C$45)</f>
        <v>0</v>
      </c>
      <c r="U46" s="557">
        <f t="array" ref="U46">INDEX(额外技能包!U$2:U$30,$C$45)</f>
        <v>0</v>
      </c>
      <c r="V46" s="557">
        <f t="array" ref="V46">INDEX(额外技能包!V$2:V$30,$C$45)</f>
        <v>0</v>
      </c>
      <c r="W46" s="557">
        <f t="array" ref="W46">INDEX(额外技能包!W$2:W$30,$C$45)</f>
        <v>0</v>
      </c>
      <c r="X46" s="557">
        <f t="array" ref="X46">INDEX(额外技能包!X$2:X$30,$C$45)</f>
        <v>0</v>
      </c>
      <c r="Y46" s="557">
        <f t="array" ref="Y46">INDEX(额外技能包!Y$2:Y$30,$C$45)</f>
        <v>0</v>
      </c>
    </row>
    <row r="48" spans="1:25">
      <c r="A48" s="571" t="s">
        <v>631</v>
      </c>
      <c r="D48" s="557">
        <f>J46</f>
        <v>0</v>
      </c>
    </row>
    <row r="49" spans="1:12">
      <c r="A49" s="557" t="str">
        <f t="array" ref="A49:A56">TRANSPOSE(B46:I46)</f>
        <v>选择8个技能（除了非自</v>
      </c>
      <c r="D49" s="557">
        <f t="array" ref="D49:D59">TRANSPOSE(K46:U46)</f>
        <v>0</v>
      </c>
    </row>
    <row r="50" spans="1:12">
      <c r="A50" s="557" t="str">
        <v>然知识），为每一个加上</v>
      </c>
      <c r="D50" s="557">
        <v>0</v>
      </c>
    </row>
    <row r="51" spans="1:12">
      <c r="A51" s="557" t="str">
        <v>20点。不能超过80%。可</v>
      </c>
      <c r="D51" s="557">
        <v>0</v>
      </c>
    </row>
    <row r="52" spans="1:12">
      <c r="A52" s="557" t="str">
        <v>重复选择。</v>
      </c>
      <c r="D52" s="557">
        <v>0</v>
      </c>
    </row>
    <row r="53" spans="1:12">
      <c r="A53" s="557">
        <v>0</v>
      </c>
      <c r="D53" s="557">
        <v>0</v>
      </c>
    </row>
    <row r="54" spans="1:12">
      <c r="A54" s="557">
        <v>0</v>
      </c>
      <c r="D54" s="557">
        <v>0</v>
      </c>
    </row>
    <row r="55" spans="1:12">
      <c r="A55" s="557">
        <v>0</v>
      </c>
      <c r="D55" s="557">
        <v>0</v>
      </c>
    </row>
    <row r="56" spans="1:12">
      <c r="A56" s="557">
        <v>0</v>
      </c>
      <c r="D56" s="557">
        <v>0</v>
      </c>
    </row>
    <row r="57" spans="1:12">
      <c r="D57" s="557">
        <v>0</v>
      </c>
    </row>
    <row r="58" spans="1:12">
      <c r="D58" s="557">
        <v>0</v>
      </c>
    </row>
    <row r="59" spans="1:12">
      <c r="D59" s="557">
        <v>0</v>
      </c>
    </row>
    <row r="62" spans="1:12">
      <c r="A62" t="s" s="557">
        <v>120</v>
      </c>
      <c r="B62" s="557">
        <f t="array" ref="B62:B65">TRANSPOSE(AF15:AI15)</f>
        <v>0</v>
      </c>
      <c r="G62" t="s" s="557">
        <v>632</v>
      </c>
      <c r="L62" t="s" s="557">
        <v>633</v>
      </c>
    </row>
    <row r="63" spans="1:12">
      <c r="A63" s="557">
        <f>COUNTIF(B62:B65,"&lt;&gt;0")</f>
        <v>0</v>
      </c>
      <c r="B63" s="557">
        <v>0</v>
      </c>
      <c r="G63" t="s" s="557">
        <v>182</v>
      </c>
      <c r="H63" s="557" t="str">
        <f>职业列表!A10</f>
        <v>联邦探员</v>
      </c>
      <c r="L63" t="s" s="557">
        <v>634</v>
      </c>
    </row>
    <row r="64" spans="1:12">
      <c r="B64" s="557">
        <v>0</v>
      </c>
      <c r="G64" t="s" s="557">
        <v>121</v>
      </c>
      <c r="H64" s="557" t="str">
        <f>职业列表!A17</f>
        <v>【额外】情报分析员</v>
      </c>
      <c r="L64" t="s" s="557">
        <v>635</v>
      </c>
    </row>
    <row r="65" spans="2:12">
      <c r="B65" s="557">
        <v>0</v>
      </c>
      <c r="G65" t="s" s="557">
        <v>294</v>
      </c>
      <c r="H65" s="557" t="str">
        <f>职业列表!A18</f>
        <v>【额外】情报官员</v>
      </c>
      <c r="L65" t="s" s="557">
        <v>636</v>
      </c>
    </row>
    <row r="66" spans="2:12">
      <c r="G66" t="s" s="557">
        <v>198</v>
      </c>
      <c r="H66" s="557" t="str">
        <f>职业列表!A11</f>
        <v>医生</v>
      </c>
      <c r="L66" t="s" s="557">
        <v>637</v>
      </c>
    </row>
    <row r="67" spans="2:12">
      <c r="G67" t="s" s="557">
        <v>115</v>
      </c>
      <c r="H67" s="557" t="str">
        <f>职业列表!A12</f>
        <v>科学家</v>
      </c>
    </row>
    <row r="68" spans="2:12">
      <c r="G68" t="s" s="557">
        <v>297</v>
      </c>
      <c r="H68" s="557" t="str">
        <f>职业列表!A9</f>
        <v>计算机科学家或工程师</v>
      </c>
    </row>
    <row r="69" spans="2:12">
      <c r="G69" t="s" s="557">
        <v>305</v>
      </c>
      <c r="H69" s="557" t="str">
        <f>职业列表!A23</f>
        <v>【额外】警察</v>
      </c>
    </row>
    <row r="70" spans="2:12">
      <c r="G70" t="s" s="557">
        <v>154</v>
      </c>
      <c r="H70" s="557" t="str">
        <f>职业列表!A8</f>
        <v>人类学家或历史学家</v>
      </c>
    </row>
    <row r="71" spans="2:12">
      <c r="G71" t="s" s="557">
        <v>307</v>
      </c>
      <c r="H71" s="557" t="str">
        <f>职业列表!A19</f>
        <v>【额外】律师或商务主管</v>
      </c>
    </row>
    <row r="72" spans="2:12">
      <c r="G72" t="s" s="557">
        <v>308</v>
      </c>
      <c r="H72" s="557" t="str">
        <f>职业列表!A24</f>
        <v>【额外】项目群经理</v>
      </c>
    </row>
    <row r="73" spans="2:12">
      <c r="G73" t="s" s="557">
        <v>321</v>
      </c>
      <c r="H73" s="557" t="str">
        <f>职业列表!A20</f>
        <v>【额外】媒体专家</v>
      </c>
    </row>
    <row r="74" spans="2:12">
      <c r="G74" t="s" s="557">
        <v>333</v>
      </c>
      <c r="H74" s="557" t="str">
        <f>职业列表!A25</f>
        <v>【额外】士兵或海军陆战队员</v>
      </c>
    </row>
    <row r="75" spans="2:12">
      <c r="G75" t="s" s="557">
        <v>212</v>
      </c>
      <c r="H75" s="557" t="str">
        <f>职业列表!A25</f>
        <v>【额外】士兵或海军陆战队员</v>
      </c>
    </row>
    <row r="76" spans="2:12">
      <c r="G76" t="s" s="557">
        <v>360</v>
      </c>
      <c r="H76" s="557" t="str">
        <f>职业列表!A22</f>
        <v>【额外】飞行员或水手</v>
      </c>
    </row>
    <row r="77" spans="2:12">
      <c r="G77" t="s" s="557">
        <v>169</v>
      </c>
      <c r="H77" s="557" t="str">
        <f>职业列表!A9</f>
        <v>计算机科学家或工程师</v>
      </c>
    </row>
    <row r="78" spans="2:12">
      <c r="G78" t="s" s="557">
        <v>409</v>
      </c>
      <c r="H78" s="557" t="str">
        <f>职业列表!A16</f>
        <v>【额外】外事官员</v>
      </c>
    </row>
    <row r="79" spans="2:12">
      <c r="G79" t="s" s="557">
        <v>424</v>
      </c>
      <c r="H79" t="s" s="557">
        <v>258</v>
      </c>
    </row>
    <row r="80" spans="2:12">
      <c r="G80" t="s" s="557">
        <v>467</v>
      </c>
      <c r="H80" t="s" s="557">
        <v>251</v>
      </c>
    </row>
    <row r="83" spans="1:8">
      <c r="A83" s="568" t="s">
        <v>638</v>
      </c>
      <c r="B83" s="557">
        <f>MATCH(人物卡!DF46,A84:A88,0)</f>
        <v>1</v>
      </c>
    </row>
    <row r="84" spans="1:8">
      <c r="A84" t="s" s="557">
        <v>639</v>
      </c>
      <c r="B84" s="557" t="str">
        <f t="shared" ref="B84:H84" si="2">" "</f>
        <v> </v>
      </c>
      <c r="C84" s="557" t="str">
        <f t="shared" si="2"/>
        <v> </v>
      </c>
      <c r="D84" s="557" t="str">
        <f t="shared" si="2"/>
        <v> </v>
      </c>
      <c r="E84" s="557" t="str">
        <f t="shared" si="2"/>
        <v> </v>
      </c>
      <c r="F84" s="557" t="str">
        <f t="shared" si="2"/>
        <v> </v>
      </c>
      <c r="G84" s="557" t="str">
        <f t="shared" si="2"/>
        <v> </v>
      </c>
      <c r="H84" s="557" t="str">
        <f t="shared" si="2"/>
        <v> </v>
      </c>
    </row>
    <row r="85" spans="1:8">
      <c r="A85" t="s" s="557">
        <v>640</v>
      </c>
      <c r="B85" t="s" s="557">
        <v>641</v>
      </c>
      <c r="C85" t="s" s="557">
        <v>642</v>
      </c>
      <c r="D85" t="s" s="557">
        <v>643</v>
      </c>
      <c r="E85" t="s" s="557">
        <v>644</v>
      </c>
      <c r="F85" t="s" s="557">
        <v>645</v>
      </c>
      <c r="G85" t="s" s="557">
        <v>646</v>
      </c>
    </row>
    <row r="86" spans="1:8">
      <c r="A86" t="s" s="557">
        <v>647</v>
      </c>
      <c r="B86" t="s" s="557">
        <v>641</v>
      </c>
      <c r="C86" t="s" s="557">
        <v>642</v>
      </c>
      <c r="D86" t="s" s="557">
        <v>648</v>
      </c>
      <c r="E86" t="s" s="557">
        <v>649</v>
      </c>
      <c r="F86" s="557" t="str">
        <f>G85</f>
        <v>与掌局者商讨背景细节</v>
      </c>
      <c r="G86" s="557" t="str">
        <f>" "</f>
        <v> </v>
      </c>
    </row>
    <row r="87" spans="1:8">
      <c r="A87" t="s" s="557">
        <v>650</v>
      </c>
      <c r="B87" t="s" s="557">
        <v>641</v>
      </c>
      <c r="C87" t="s" s="557">
        <v>642</v>
      </c>
      <c r="D87" s="557" t="s">
        <v>651</v>
      </c>
      <c r="E87" s="557" t="s">
        <v>652</v>
      </c>
      <c r="F87" t="s" s="557">
        <v>653</v>
      </c>
      <c r="G87" s="557" t="str">
        <f>G85</f>
        <v>与掌局者商讨背景细节</v>
      </c>
    </row>
    <row r="88" spans="1:8">
      <c r="A88" t="s" s="557">
        <v>119</v>
      </c>
      <c r="B88" t="s" s="557">
        <v>654</v>
      </c>
      <c r="C88" t="s" s="557">
        <v>655</v>
      </c>
      <c r="D88" t="s" s="557">
        <v>656</v>
      </c>
      <c r="E88" t="s" s="557">
        <v>657</v>
      </c>
      <c r="F88" t="s" s="557">
        <v>658</v>
      </c>
      <c r="G88" s="557" t="str">
        <f>G85</f>
        <v>与掌局者商讨背景细节</v>
      </c>
    </row>
    <row r="89" spans="1:8">
      <c r="B89" s="557" t="str">
        <f>VLOOKUP(人物卡!$DF$46,$A$84:$G$88,2,FALSE)</f>
        <v> </v>
      </c>
      <c r="C89" s="557" t="str">
        <f>VLOOKUP(人物卡!$DF$46,$A$84:$G$88,3,FALSE)</f>
        <v> </v>
      </c>
      <c r="D89" s="557" t="str">
        <f>VLOOKUP(人物卡!$DF$46,$A$84:$G$88,4,FALSE)</f>
        <v> </v>
      </c>
      <c r="E89" s="557" t="str">
        <f>VLOOKUP(人物卡!$DF$46,$A$84:$G$88,5,FALSE)</f>
        <v> </v>
      </c>
      <c r="F89" s="557" t="str">
        <f>VLOOKUP(人物卡!$DF$46,$A$84:$G$88,6,FALSE)</f>
        <v> </v>
      </c>
      <c r="G89" s="557" t="str">
        <f>VLOOKUP(人物卡!$DF$46,$A$84:$G$88,7,FALSE)</f>
        <v> </v>
      </c>
    </row>
    <row r="92" spans="1:8">
      <c r="A92" s="568" t="s">
        <v>659</v>
      </c>
    </row>
    <row r="93" spans="1:8">
      <c r="A93" s="557" t="str">
        <f>人物卡!AB3</f>
        <v>力量</v>
      </c>
      <c r="C93" s="557">
        <f>人物卡!AK3</f>
        <v>0</v>
      </c>
      <c r="D93" s="557" t="str">
        <f>IF(LEN(B93)=0,A93,MID(B93,2,LEN(B93)-2))</f>
        <v>力量</v>
      </c>
      <c r="E93" s="557" t="str">
        <f>IF(C93&gt;0,D93&amp;C93,"")</f>
        <v/>
      </c>
    </row>
    <row r="94" spans="1:8">
      <c r="A94" s="557" t="str">
        <f>人物卡!AB4</f>
        <v>体质</v>
      </c>
      <c r="C94" s="557">
        <f>人物卡!AK4</f>
        <v>0</v>
      </c>
      <c r="D94" s="557" t="str">
        <f t="shared" ref="D94:D125" si="3">IF(LEN(B94)=0,A94,MID(B94,2,LEN(B94)-2))</f>
        <v>体质</v>
      </c>
      <c r="E94" s="557" t="str">
        <f t="shared" ref="E94:E125" si="4">IF(C94&gt;0,D94&amp;C94,"")</f>
        <v/>
      </c>
    </row>
    <row r="95" spans="1:8">
      <c r="A95" s="557" t="str">
        <f>人物卡!AB5</f>
        <v>敏捷</v>
      </c>
      <c r="C95" s="557">
        <f>人物卡!AK5</f>
        <v>0</v>
      </c>
      <c r="D95" s="557" t="str">
        <f t="shared" si="3"/>
        <v>敏捷</v>
      </c>
      <c r="E95" s="557" t="str">
        <f t="shared" si="4"/>
        <v/>
      </c>
    </row>
    <row r="96" spans="1:8">
      <c r="A96" s="557" t="str">
        <f>人物卡!AB6</f>
        <v>智力</v>
      </c>
      <c r="C96" s="557">
        <f>人物卡!AK6</f>
        <v>0</v>
      </c>
      <c r="D96" s="557" t="str">
        <f t="shared" si="3"/>
        <v>智力</v>
      </c>
      <c r="E96" s="557" t="str">
        <f t="shared" si="4"/>
        <v/>
      </c>
    </row>
    <row r="97" spans="1:5">
      <c r="A97" s="557" t="str">
        <f>人物卡!AB7</f>
        <v>意志</v>
      </c>
      <c r="C97" s="557">
        <f>人物卡!AK7</f>
        <v>0</v>
      </c>
      <c r="D97" s="557" t="str">
        <f t="shared" si="3"/>
        <v>意志</v>
      </c>
      <c r="E97" s="557" t="str">
        <f t="shared" si="4"/>
        <v/>
      </c>
    </row>
    <row r="98" spans="1:5">
      <c r="A98" s="557" t="str">
        <f>人物卡!AB8</f>
        <v>魅力</v>
      </c>
      <c r="C98" s="557">
        <f>人物卡!AK8</f>
        <v>0</v>
      </c>
      <c r="D98" s="557" t="str">
        <f t="shared" si="3"/>
        <v>魅力</v>
      </c>
      <c r="E98" s="557" t="str">
        <f t="shared" si="4"/>
        <v/>
      </c>
    </row>
    <row r="99" spans="1:5">
      <c r="A99" t="s" s="557">
        <v>34</v>
      </c>
      <c r="C99" s="557">
        <f>人物卡!H10</f>
        <v>0</v>
      </c>
      <c r="D99" s="557" t="str">
        <f t="shared" si="3"/>
        <v>体力</v>
      </c>
      <c r="E99" s="557" t="str">
        <f t="shared" si="4"/>
        <v/>
      </c>
    </row>
    <row r="100" spans="1:5">
      <c r="A100" t="s" s="557">
        <v>35</v>
      </c>
      <c r="C100" s="557">
        <f>人物卡!V10</f>
        <v>0</v>
      </c>
      <c r="D100" s="557" t="str">
        <f t="shared" si="3"/>
        <v>毅力</v>
      </c>
      <c r="E100" s="557" t="str">
        <f t="shared" si="4"/>
        <v/>
      </c>
    </row>
    <row r="101" spans="1:5">
      <c r="A101" t="s" s="557">
        <v>36</v>
      </c>
      <c r="C101" s="557">
        <f>人物卡!AH10</f>
        <v>0</v>
      </c>
      <c r="D101" s="557" t="str">
        <f t="shared" si="3"/>
        <v>理智</v>
      </c>
      <c r="E101" s="557" t="str">
        <f t="shared" si="4"/>
        <v/>
      </c>
    </row>
    <row r="102" spans="1:5">
      <c r="A102" t="s" s="557">
        <v>37</v>
      </c>
      <c r="C102" s="557">
        <f>人物卡!AU10</f>
        <v>0</v>
      </c>
      <c r="D102" s="557" t="str">
        <f t="shared" si="3"/>
        <v>崩溃点</v>
      </c>
      <c r="E102" s="557" t="str">
        <f t="shared" si="4"/>
        <v/>
      </c>
    </row>
    <row r="103" spans="1:5">
      <c r="A103" s="557" t="str">
        <f t="array" ref="A103:A132">SUBSTITUTE(人物卡!D14:D43,"：","")</f>
        <v>会计学</v>
      </c>
      <c r="B103" s="557" t="str">
        <f>IF(ISBLANK(人物卡!J14),"","（"&amp;人物卡!J14&amp;"）")</f>
        <v/>
      </c>
      <c r="C103" s="557">
        <f ca="1">人物卡!P14</f>
        <v>10</v>
      </c>
      <c r="D103" s="557" t="str">
        <f t="shared" si="3"/>
        <v>会计学</v>
      </c>
      <c r="E103" s="557" t="str">
        <f ca="1" t="shared" si="4"/>
        <v>会计学10</v>
      </c>
    </row>
    <row r="104" spans="1:5">
      <c r="A104" s="557" t="str">
        <v>警觉</v>
      </c>
      <c r="B104" s="557" t="str">
        <f>IF(ISBLANK(人物卡!J15),"","（"&amp;人物卡!J15&amp;"）")</f>
        <v/>
      </c>
      <c r="C104" s="557">
        <f ca="1">人物卡!P15</f>
        <v>20</v>
      </c>
      <c r="D104" s="557" t="str">
        <f t="shared" si="3"/>
        <v>警觉</v>
      </c>
      <c r="E104" s="557" t="str">
        <f ca="1" t="shared" si="4"/>
        <v>警觉20</v>
      </c>
    </row>
    <row r="105" spans="1:5">
      <c r="A105" s="557" t="str">
        <v>人类学</v>
      </c>
      <c r="B105" s="557" t="str">
        <f>IF(ISBLANK(人物卡!J16),"","（"&amp;人物卡!J16&amp;"）")</f>
        <v/>
      </c>
      <c r="C105" s="557">
        <f ca="1">人物卡!P16</f>
        <v>0</v>
      </c>
      <c r="D105" s="557" t="str">
        <f t="shared" si="3"/>
        <v>人类学</v>
      </c>
      <c r="E105" s="557" t="str">
        <f ca="1" t="shared" si="4"/>
        <v/>
      </c>
    </row>
    <row r="106" spans="1:5">
      <c r="A106" s="557" t="str">
        <v>考古学</v>
      </c>
      <c r="B106" s="557" t="str">
        <f>IF(ISBLANK(人物卡!J17),"","（"&amp;人物卡!J17&amp;"）")</f>
        <v/>
      </c>
      <c r="C106" s="557">
        <f ca="1">人物卡!P17</f>
        <v>0</v>
      </c>
      <c r="D106" s="557" t="str">
        <f t="shared" si="3"/>
        <v>考古学</v>
      </c>
      <c r="E106" s="557" t="str">
        <f ca="1" t="shared" si="4"/>
        <v/>
      </c>
    </row>
    <row r="107" spans="1:5">
      <c r="A107" s="557" t="str">
        <v>艺术</v>
      </c>
      <c r="B107" s="557" t="str">
        <f ca="1">IF(ISBLANK(人物卡!J18),"","（"&amp;人物卡!J18&amp;"）")</f>
        <v>（）</v>
      </c>
      <c r="C107" s="557">
        <f ca="1">人物卡!P18</f>
        <v>0</v>
      </c>
      <c r="D107" s="557" t="str">
        <f ca="1" t="shared" si="3"/>
        <v/>
      </c>
      <c r="E107" s="557" t="str">
        <f ca="1" t="shared" si="4"/>
        <v/>
      </c>
    </row>
    <row r="108" spans="1:5">
      <c r="A108" s="557" t="str">
        <v>艺术</v>
      </c>
      <c r="B108" s="557" t="str">
        <f ca="1">IF(ISBLANK(人物卡!J19),"","（"&amp;人物卡!J19&amp;"）")</f>
        <v>（）</v>
      </c>
      <c r="C108" s="557">
        <f ca="1">人物卡!P19</f>
        <v>0</v>
      </c>
      <c r="D108" s="557" t="str">
        <f ca="1" t="shared" si="3"/>
        <v/>
      </c>
      <c r="E108" s="557" t="str">
        <f ca="1" t="shared" si="4"/>
        <v/>
      </c>
    </row>
    <row r="109" spans="1:5">
      <c r="A109" s="557" t="str">
        <v>艺术</v>
      </c>
      <c r="B109" s="557" t="str">
        <f ca="1">IF(ISBLANK(人物卡!J20),"","（"&amp;人物卡!J20&amp;"）")</f>
        <v>（）</v>
      </c>
      <c r="C109" s="557">
        <f ca="1">人物卡!P20</f>
        <v>0</v>
      </c>
      <c r="D109" s="557" t="str">
        <f ca="1" t="shared" si="3"/>
        <v/>
      </c>
      <c r="E109" s="557" t="str">
        <f ca="1" t="shared" si="4"/>
        <v/>
      </c>
    </row>
    <row r="110" spans="1:5">
      <c r="A110" s="557" t="str">
        <v>炮术</v>
      </c>
      <c r="B110" s="557" t="str">
        <f>IF(ISBLANK(人物卡!J21),"","（"&amp;人物卡!J21&amp;"）")</f>
        <v/>
      </c>
      <c r="C110" s="557">
        <f ca="1">人物卡!P21</f>
        <v>0</v>
      </c>
      <c r="D110" s="557" t="str">
        <f t="shared" si="3"/>
        <v>炮术</v>
      </c>
      <c r="E110" s="557" t="str">
        <f ca="1" t="shared" si="4"/>
        <v/>
      </c>
    </row>
    <row r="111" spans="1:5">
      <c r="A111" s="557" t="str">
        <v>运动</v>
      </c>
      <c r="B111" s="557" t="str">
        <f>IF(ISBLANK(人物卡!J22),"","（"&amp;人物卡!J22&amp;"）")</f>
        <v/>
      </c>
      <c r="C111" s="557">
        <f ca="1">人物卡!P22</f>
        <v>30</v>
      </c>
      <c r="D111" s="557" t="str">
        <f t="shared" si="3"/>
        <v>运动</v>
      </c>
      <c r="E111" s="557" t="str">
        <f ca="1" t="shared" si="4"/>
        <v>运动30</v>
      </c>
    </row>
    <row r="112" spans="1:5">
      <c r="A112" s="557" t="str">
        <v>行政</v>
      </c>
      <c r="B112" s="557" t="str">
        <f>IF(ISBLANK(人物卡!J23),"","（"&amp;人物卡!J23&amp;"）")</f>
        <v/>
      </c>
      <c r="C112" s="557">
        <f ca="1">人物卡!P23</f>
        <v>10</v>
      </c>
      <c r="D112" s="557" t="str">
        <f t="shared" si="3"/>
        <v>行政</v>
      </c>
      <c r="E112" s="557" t="str">
        <f ca="1" t="shared" si="4"/>
        <v>行政10</v>
      </c>
    </row>
    <row r="113" spans="1:5">
      <c r="A113" s="557" t="str">
        <v>计算机科学</v>
      </c>
      <c r="B113" s="557" t="str">
        <f>IF(ISBLANK(人物卡!J24),"","（"&amp;人物卡!J24&amp;"）")</f>
        <v/>
      </c>
      <c r="C113" s="557">
        <f ca="1">人物卡!P24</f>
        <v>0</v>
      </c>
      <c r="D113" s="557" t="str">
        <f t="shared" si="3"/>
        <v>计算机科学</v>
      </c>
      <c r="E113" s="557" t="str">
        <f ca="1" t="shared" si="4"/>
        <v/>
      </c>
    </row>
    <row r="114" spans="1:5">
      <c r="A114" s="557" t="str">
        <v>工艺</v>
      </c>
      <c r="B114" s="557" t="str">
        <f ca="1">IF(ISBLANK(人物卡!J25),"","（"&amp;人物卡!J25&amp;"）")</f>
        <v>（）</v>
      </c>
      <c r="C114" s="557">
        <f ca="1">人物卡!P25</f>
        <v>0</v>
      </c>
      <c r="D114" s="557" t="str">
        <f ca="1" t="shared" si="3"/>
        <v/>
      </c>
      <c r="E114" s="557" t="str">
        <f ca="1" t="shared" si="4"/>
        <v/>
      </c>
    </row>
    <row r="115" spans="1:5">
      <c r="A115" s="557" t="str">
        <v>工艺</v>
      </c>
      <c r="B115" s="557" t="str">
        <f ca="1">IF(ISBLANK(人物卡!J26),"","（"&amp;人物卡!J26&amp;"）")</f>
        <v>（）</v>
      </c>
      <c r="C115" s="557">
        <f ca="1">人物卡!P26</f>
        <v>0</v>
      </c>
      <c r="D115" s="557" t="str">
        <f ca="1" t="shared" si="3"/>
        <v/>
      </c>
      <c r="E115" s="557" t="str">
        <f ca="1" t="shared" si="4"/>
        <v/>
      </c>
    </row>
    <row r="116" spans="1:5">
      <c r="A116" s="557" t="str">
        <v>工艺</v>
      </c>
      <c r="B116" s="557" t="str">
        <f ca="1">IF(ISBLANK(人物卡!J27),"","（"&amp;人物卡!J27&amp;"）")</f>
        <v>（）</v>
      </c>
      <c r="C116" s="557">
        <f ca="1">人物卡!P27</f>
        <v>0</v>
      </c>
      <c r="D116" s="557" t="str">
        <f ca="1" t="shared" si="3"/>
        <v/>
      </c>
      <c r="E116" s="557" t="str">
        <f ca="1" t="shared" si="4"/>
        <v/>
      </c>
    </row>
    <row r="117" spans="1:5">
      <c r="A117" s="557" t="str">
        <v>工艺</v>
      </c>
      <c r="B117" s="557" t="str">
        <f ca="1">IF(ISBLANK(人物卡!J28),"","（"&amp;人物卡!J28&amp;"）")</f>
        <v>（）</v>
      </c>
      <c r="C117" s="557">
        <f ca="1">人物卡!P28</f>
        <v>0</v>
      </c>
      <c r="D117" s="557" t="str">
        <f ca="1" t="shared" si="3"/>
        <v/>
      </c>
      <c r="E117" s="557" t="str">
        <f ca="1" t="shared" si="4"/>
        <v/>
      </c>
    </row>
    <row r="118" spans="1:5">
      <c r="A118" s="557" t="str">
        <v>犯罪学</v>
      </c>
      <c r="B118" s="557" t="str">
        <f>IF(ISBLANK(人物卡!J29),"","（"&amp;人物卡!J29&amp;"）")</f>
        <v/>
      </c>
      <c r="C118" s="557">
        <f ca="1">人物卡!P29</f>
        <v>10</v>
      </c>
      <c r="D118" s="557" t="str">
        <f t="shared" si="3"/>
        <v>犯罪学</v>
      </c>
      <c r="E118" s="557" t="str">
        <f ca="1" t="shared" si="4"/>
        <v>犯罪学10</v>
      </c>
    </row>
    <row r="119" spans="1:5">
      <c r="A119" s="557" t="str">
        <v>爆破</v>
      </c>
      <c r="B119" s="557" t="str">
        <f>IF(ISBLANK(人物卡!J30),"","（"&amp;人物卡!J30&amp;"）")</f>
        <v/>
      </c>
      <c r="C119" s="557">
        <f ca="1">人物卡!P30</f>
        <v>0</v>
      </c>
      <c r="D119" s="557" t="str">
        <f t="shared" si="3"/>
        <v>爆破</v>
      </c>
      <c r="E119" s="557" t="str">
        <f ca="1" t="shared" si="4"/>
        <v/>
      </c>
    </row>
    <row r="120" spans="1:5">
      <c r="A120" s="557" t="str">
        <v>乔装</v>
      </c>
      <c r="B120" s="557" t="str">
        <f>IF(ISBLANK(人物卡!J31),"","（"&amp;人物卡!J31&amp;"）")</f>
        <v/>
      </c>
      <c r="C120" s="557">
        <f ca="1">人物卡!P31</f>
        <v>10</v>
      </c>
      <c r="D120" s="557" t="str">
        <f t="shared" si="3"/>
        <v>乔装</v>
      </c>
      <c r="E120" s="557" t="str">
        <f ca="1" t="shared" si="4"/>
        <v>乔装10</v>
      </c>
    </row>
    <row r="121" spans="1:5">
      <c r="A121" s="557" t="str">
        <v>闪避</v>
      </c>
      <c r="B121" s="557" t="str">
        <f>IF(ISBLANK(人物卡!J32),"","（"&amp;人物卡!J32&amp;"）")</f>
        <v/>
      </c>
      <c r="C121" s="557">
        <f ca="1">人物卡!P32</f>
        <v>30</v>
      </c>
      <c r="D121" s="557" t="str">
        <f t="shared" si="3"/>
        <v>闪避</v>
      </c>
      <c r="E121" s="557" t="str">
        <f ca="1" t="shared" si="4"/>
        <v>闪避30</v>
      </c>
    </row>
    <row r="122" spans="1:5">
      <c r="A122" s="557" t="str">
        <v>机动车驾驶</v>
      </c>
      <c r="B122" s="557" t="str">
        <f>IF(ISBLANK(人物卡!J33),"","（"&amp;人物卡!J33&amp;"）")</f>
        <v/>
      </c>
      <c r="C122" s="557">
        <f ca="1">人物卡!P33</f>
        <v>20</v>
      </c>
      <c r="D122" s="557" t="str">
        <f t="shared" si="3"/>
        <v>机动车驾驶</v>
      </c>
      <c r="E122" s="557" t="str">
        <f ca="1" t="shared" si="4"/>
        <v>机动车驾驶20</v>
      </c>
    </row>
    <row r="123" spans="1:5">
      <c r="A123" s="557" t="str">
        <v>射击</v>
      </c>
      <c r="B123" s="557" t="str">
        <f>IF(ISBLANK(人物卡!J34),"","（"&amp;人物卡!J34&amp;"）")</f>
        <v/>
      </c>
      <c r="C123" s="557">
        <f ca="1">人物卡!P34</f>
        <v>20</v>
      </c>
      <c r="D123" s="557" t="str">
        <f t="shared" si="3"/>
        <v>射击</v>
      </c>
      <c r="E123" s="557" t="str">
        <f ca="1" t="shared" si="4"/>
        <v>射击20</v>
      </c>
    </row>
    <row r="124" spans="1:5">
      <c r="A124" s="557" t="str">
        <v>急救</v>
      </c>
      <c r="B124" s="557" t="str">
        <f>IF(ISBLANK(人物卡!J35),"","（"&amp;人物卡!J35&amp;"）")</f>
        <v/>
      </c>
      <c r="C124" s="557">
        <f ca="1">人物卡!P35</f>
        <v>10</v>
      </c>
      <c r="D124" s="557" t="str">
        <f t="shared" si="3"/>
        <v>急救</v>
      </c>
      <c r="E124" s="557" t="str">
        <f ca="1" t="shared" si="4"/>
        <v>急救10</v>
      </c>
    </row>
    <row r="125" spans="1:5">
      <c r="A125" s="557" t="str">
        <v>外语</v>
      </c>
      <c r="B125" s="557" t="str">
        <f>IF(ISBLANK(人物卡!J36),"","（"&amp;人物卡!J36&amp;"）")</f>
        <v>（）</v>
      </c>
      <c r="C125" s="557">
        <f ca="1">人物卡!P36</f>
        <v>0</v>
      </c>
      <c r="D125" s="557" t="str">
        <f t="shared" si="3"/>
        <v/>
      </c>
      <c r="E125" s="557" t="str">
        <f ca="1" t="shared" si="4"/>
        <v/>
      </c>
    </row>
    <row r="126" spans="1:5">
      <c r="A126" s="557" t="str">
        <v>外语</v>
      </c>
      <c r="B126" s="557" t="str">
        <f>IF(ISBLANK(人物卡!J37),"","（"&amp;人物卡!J37&amp;"）")</f>
        <v>（）</v>
      </c>
      <c r="C126" s="557">
        <f ca="1">人物卡!P37</f>
        <v>0</v>
      </c>
      <c r="D126" s="557" t="str">
        <f t="shared" ref="D126:D162" si="5">IF(LEN(B126)=0,A126,MID(B126,2,LEN(B126)-2))</f>
        <v/>
      </c>
      <c r="E126" s="557" t="str">
        <f ca="1" t="shared" ref="E126:E162" si="6">IF(C126&gt;0,D126&amp;C126,"")</f>
        <v/>
      </c>
    </row>
    <row r="127" spans="1:5">
      <c r="A127" s="557" t="str">
        <v>外语</v>
      </c>
      <c r="B127" s="557" t="str">
        <f ca="1">IF(ISBLANK(人物卡!J38),"","（"&amp;人物卡!J38&amp;"）")</f>
        <v>（）</v>
      </c>
      <c r="C127" s="557">
        <f ca="1">人物卡!P38</f>
        <v>0</v>
      </c>
      <c r="D127" s="557" t="str">
        <f ca="1" t="shared" si="5"/>
        <v/>
      </c>
      <c r="E127" s="557" t="str">
        <f ca="1" t="shared" si="6"/>
        <v/>
      </c>
    </row>
    <row r="128" spans="1:5">
      <c r="A128" s="557" t="str">
        <v>法证学</v>
      </c>
      <c r="B128" s="557" t="str">
        <f>IF(ISBLANK(人物卡!J39),"","（"&amp;人物卡!J39&amp;"）")</f>
        <v/>
      </c>
      <c r="C128" s="557">
        <f ca="1">人物卡!P39</f>
        <v>0</v>
      </c>
      <c r="D128" s="557" t="str">
        <f t="shared" si="5"/>
        <v>法证学</v>
      </c>
      <c r="E128" s="557" t="str">
        <f ca="1" t="shared" si="6"/>
        <v/>
      </c>
    </row>
    <row r="129" spans="1:5">
      <c r="A129" s="557" t="str">
        <v>重型机械</v>
      </c>
      <c r="B129" s="557" t="str">
        <f>IF(ISBLANK(人物卡!J40),"","（"&amp;人物卡!J40&amp;"）")</f>
        <v/>
      </c>
      <c r="C129" s="557">
        <f ca="1">人物卡!P40</f>
        <v>10</v>
      </c>
      <c r="D129" s="557" t="str">
        <f t="shared" si="5"/>
        <v>重型机械</v>
      </c>
      <c r="E129" s="557" t="str">
        <f ca="1" t="shared" si="6"/>
        <v>重型机械10</v>
      </c>
    </row>
    <row r="130" spans="1:5">
      <c r="A130" s="557" t="str">
        <v>重型武器</v>
      </c>
      <c r="B130" s="557" t="str">
        <f>IF(ISBLANK(人物卡!J41),"","（"&amp;人物卡!J41&amp;"）")</f>
        <v/>
      </c>
      <c r="C130" s="557">
        <f ca="1">人物卡!P41</f>
        <v>0</v>
      </c>
      <c r="D130" s="557" t="str">
        <f t="shared" si="5"/>
        <v>重型武器</v>
      </c>
      <c r="E130" s="557" t="str">
        <f ca="1" t="shared" si="6"/>
        <v/>
      </c>
    </row>
    <row r="131" spans="1:5">
      <c r="A131" s="557" t="str">
        <v>历史</v>
      </c>
      <c r="B131" s="557" t="str">
        <f>IF(ISBLANK(人物卡!J42),"","（"&amp;人物卡!J42&amp;"）")</f>
        <v/>
      </c>
      <c r="C131" s="557">
        <f ca="1">人物卡!P42</f>
        <v>10</v>
      </c>
      <c r="D131" s="557" t="str">
        <f t="shared" si="5"/>
        <v>历史</v>
      </c>
      <c r="E131" s="557" t="str">
        <f ca="1" t="shared" si="6"/>
        <v>历史10</v>
      </c>
    </row>
    <row r="132" spans="1:5">
      <c r="A132" s="557" t="str">
        <v>人源情报</v>
      </c>
      <c r="B132" s="557" t="str">
        <f>IF(ISBLANK(人物卡!J43),"","（"&amp;人物卡!J43&amp;"）")</f>
        <v/>
      </c>
      <c r="C132" s="557">
        <f ca="1">人物卡!P43</f>
        <v>10</v>
      </c>
      <c r="D132" s="557" t="str">
        <f t="shared" si="5"/>
        <v>人源情报</v>
      </c>
      <c r="E132" s="557" t="str">
        <f ca="1" t="shared" si="6"/>
        <v>人源情报10</v>
      </c>
    </row>
    <row r="133" spans="1:5">
      <c r="A133" s="557" t="str">
        <f ca="1" t="array" ref="A133:A162">SUBSTITUTE(人物卡!AG14:AG43,"：","")</f>
        <v>法律</v>
      </c>
      <c r="B133" s="557" t="str">
        <f>IF(ISBLANK(人物卡!AM14),"","（"&amp;人物卡!AM14&amp;"）")</f>
        <v/>
      </c>
      <c r="C133" s="557">
        <f ca="1">人物卡!AS14</f>
        <v>0</v>
      </c>
      <c r="D133" s="557" t="str">
        <f ca="1" t="shared" si="5"/>
        <v>法律</v>
      </c>
      <c r="E133" s="557" t="str">
        <f ca="1" t="shared" si="6"/>
        <v/>
      </c>
    </row>
    <row r="134" spans="1:5">
      <c r="A134" s="557" t="str">
        <v>医学</v>
      </c>
      <c r="B134" s="557" t="str">
        <f>IF(ISBLANK(人物卡!AM15),"","（"&amp;人物卡!AM15&amp;"）")</f>
        <v/>
      </c>
      <c r="C134" s="557">
        <f ca="1">人物卡!AS15</f>
        <v>0</v>
      </c>
      <c r="D134" s="557" t="str">
        <f ca="1" t="shared" si="5"/>
        <v>医学</v>
      </c>
      <c r="E134" s="557" t="str">
        <f ca="1" t="shared" si="6"/>
        <v/>
      </c>
    </row>
    <row r="135" spans="1:5">
      <c r="A135" s="557" t="str">
        <v>近战武器</v>
      </c>
      <c r="B135" s="557" t="str">
        <f>IF(ISBLANK(人物卡!AM16),"","（"&amp;人物卡!AM16&amp;"）")</f>
        <v/>
      </c>
      <c r="C135" s="557">
        <f ca="1">人物卡!AS16</f>
        <v>30</v>
      </c>
      <c r="D135" s="557" t="str">
        <f ca="1" t="shared" si="5"/>
        <v>近战武器</v>
      </c>
      <c r="E135" s="557" t="str">
        <f ca="1" t="shared" si="6"/>
        <v>近战武器30</v>
      </c>
    </row>
    <row r="136" spans="1:5">
      <c r="A136" s="557" t="str">
        <v>军事科学</v>
      </c>
      <c r="B136" s="557" t="str">
        <f ca="1">IF(ISBLANK(人物卡!AM17),"","（"&amp;人物卡!AM17&amp;"）")</f>
        <v>（）</v>
      </c>
      <c r="C136" s="557">
        <f ca="1">人物卡!AS17</f>
        <v>0</v>
      </c>
      <c r="D136" s="557" t="str">
        <f ca="1" t="shared" si="5"/>
        <v/>
      </c>
      <c r="E136" s="557" t="str">
        <f ca="1" t="shared" si="6"/>
        <v/>
      </c>
    </row>
    <row r="137" spans="1:5">
      <c r="A137" s="557" t="str">
        <v>军事科学</v>
      </c>
      <c r="B137" s="557" t="str">
        <f ca="1">IF(ISBLANK(人物卡!AM18),"","（"&amp;人物卡!AM18&amp;"）")</f>
        <v>（）</v>
      </c>
      <c r="C137" s="557">
        <f ca="1">人物卡!AS18</f>
        <v>0</v>
      </c>
      <c r="D137" s="557" t="str">
        <f ca="1" t="shared" si="5"/>
        <v/>
      </c>
      <c r="E137" s="557" t="str">
        <f ca="1" t="shared" si="6"/>
        <v/>
      </c>
    </row>
    <row r="138" spans="1:5">
      <c r="A138" s="557" t="str">
        <v>军事科学</v>
      </c>
      <c r="B138" s="557" t="str">
        <f ca="1">IF(ISBLANK(人物卡!AM19),"","（"&amp;人物卡!AM19&amp;"）")</f>
        <v>（）</v>
      </c>
      <c r="C138" s="557">
        <f ca="1">人物卡!AS19</f>
        <v>0</v>
      </c>
      <c r="D138" s="557" t="str">
        <f ca="1" t="shared" si="5"/>
        <v/>
      </c>
      <c r="E138" s="557" t="str">
        <f ca="1" t="shared" si="6"/>
        <v/>
      </c>
    </row>
    <row r="139" spans="1:5">
      <c r="A139" s="557" t="str">
        <v>导航</v>
      </c>
      <c r="B139" s="557" t="str">
        <f>IF(ISBLANK(人物卡!AM20),"","（"&amp;人物卡!AM20&amp;"）")</f>
        <v/>
      </c>
      <c r="C139" s="557">
        <f ca="1">人物卡!AS20</f>
        <v>10</v>
      </c>
      <c r="D139" s="557" t="str">
        <f ca="1" t="shared" si="5"/>
        <v>导航</v>
      </c>
      <c r="E139" s="557" t="str">
        <f ca="1" t="shared" si="6"/>
        <v>导航10</v>
      </c>
    </row>
    <row r="140" spans="1:5">
      <c r="A140" s="557" t="str">
        <v>神秘学</v>
      </c>
      <c r="B140" s="557" t="str">
        <f>IF(ISBLANK(人物卡!AM21),"","（"&amp;人物卡!AM21&amp;"）")</f>
        <v/>
      </c>
      <c r="C140" s="557">
        <f ca="1">人物卡!AS21</f>
        <v>10</v>
      </c>
      <c r="D140" s="557" t="str">
        <f ca="1" t="shared" si="5"/>
        <v>神秘学</v>
      </c>
      <c r="E140" s="557" t="str">
        <f ca="1" t="shared" si="6"/>
        <v>神秘学10</v>
      </c>
    </row>
    <row r="141" spans="1:5">
      <c r="A141" s="557" t="str">
        <v>说服</v>
      </c>
      <c r="B141" s="557" t="str">
        <f>IF(ISBLANK(人物卡!AM22),"","（"&amp;人物卡!AM22&amp;"）")</f>
        <v/>
      </c>
      <c r="C141" s="557">
        <f ca="1">人物卡!AS22</f>
        <v>20</v>
      </c>
      <c r="D141" s="557" t="str">
        <f ca="1" t="shared" si="5"/>
        <v>说服</v>
      </c>
      <c r="E141" s="557" t="str">
        <f ca="1" t="shared" si="6"/>
        <v>说服20</v>
      </c>
    </row>
    <row r="142" spans="1:5">
      <c r="A142" s="557" t="str">
        <v>药学</v>
      </c>
      <c r="B142" s="557" t="str">
        <f>IF(ISBLANK(人物卡!AM23),"","（"&amp;人物卡!AM23&amp;"）")</f>
        <v/>
      </c>
      <c r="C142" s="557">
        <f ca="1">人物卡!AS23</f>
        <v>0</v>
      </c>
      <c r="D142" s="557" t="str">
        <f ca="1" t="shared" si="5"/>
        <v>药学</v>
      </c>
      <c r="E142" s="557" t="str">
        <f ca="1" t="shared" si="6"/>
        <v/>
      </c>
    </row>
    <row r="143" spans="1:5">
      <c r="A143" s="557" t="str">
        <v>特种载具</v>
      </c>
      <c r="B143" s="557" t="str">
        <f ca="1">IF(ISBLANK(人物卡!AM24),"","（"&amp;人物卡!AM24&amp;"）")</f>
        <v>（）</v>
      </c>
      <c r="C143" s="557">
        <f ca="1">人物卡!AS24</f>
        <v>0</v>
      </c>
      <c r="D143" s="557" t="str">
        <f ca="1" t="shared" si="5"/>
        <v/>
      </c>
      <c r="E143" s="557" t="str">
        <f ca="1" t="shared" si="6"/>
        <v/>
      </c>
    </row>
    <row r="144" spans="1:5">
      <c r="A144" s="557" t="str">
        <v>特种载具</v>
      </c>
      <c r="B144" s="557" t="str">
        <f ca="1">IF(ISBLANK(人物卡!AM25),"","（"&amp;人物卡!AM25&amp;"）")</f>
        <v>（）</v>
      </c>
      <c r="C144" s="557">
        <f ca="1">人物卡!AS25</f>
        <v>0</v>
      </c>
      <c r="D144" s="557" t="str">
        <f ca="1" t="shared" si="5"/>
        <v/>
      </c>
      <c r="E144" s="557" t="str">
        <f ca="1" t="shared" si="6"/>
        <v/>
      </c>
    </row>
    <row r="145" spans="1:5">
      <c r="A145" s="557" t="str">
        <v>特种载具</v>
      </c>
      <c r="B145" s="557" t="str">
        <f ca="1">IF(ISBLANK(人物卡!AM26),"","（"&amp;人物卡!AM26&amp;"）")</f>
        <v>（）</v>
      </c>
      <c r="C145" s="557">
        <f ca="1">人物卡!AS26</f>
        <v>0</v>
      </c>
      <c r="D145" s="557" t="str">
        <f ca="1" t="shared" si="5"/>
        <v/>
      </c>
      <c r="E145" s="557" t="str">
        <f ca="1" t="shared" si="6"/>
        <v/>
      </c>
    </row>
    <row r="146" spans="1:5">
      <c r="A146" s="557" t="str">
        <v>精神治疗</v>
      </c>
      <c r="B146" s="557" t="str">
        <f>IF(ISBLANK(人物卡!AM27),"","（"&amp;人物卡!AM27&amp;"）")</f>
        <v/>
      </c>
      <c r="C146" s="557">
        <f ca="1">人物卡!AS27</f>
        <v>10</v>
      </c>
      <c r="D146" s="557" t="str">
        <f ca="1" t="shared" si="5"/>
        <v>精神治疗</v>
      </c>
      <c r="E146" s="557" t="str">
        <f ca="1" t="shared" si="6"/>
        <v>精神治疗10</v>
      </c>
    </row>
    <row r="147" spans="1:5">
      <c r="A147" s="557" t="str">
        <v>骑术</v>
      </c>
      <c r="B147" s="557" t="str">
        <f>IF(ISBLANK(人物卡!AM28),"","（"&amp;人物卡!AM28&amp;"）")</f>
        <v/>
      </c>
      <c r="C147" s="557">
        <f ca="1">人物卡!AS28</f>
        <v>10</v>
      </c>
      <c r="D147" s="557" t="str">
        <f ca="1" t="shared" si="5"/>
        <v>骑术</v>
      </c>
      <c r="E147" s="557" t="str">
        <f ca="1" t="shared" si="6"/>
        <v>骑术10</v>
      </c>
    </row>
    <row r="148" spans="1:5">
      <c r="A148" s="557" t="str">
        <v>科学</v>
      </c>
      <c r="B148" s="557" t="str">
        <f ca="1">IF(ISBLANK(人物卡!AM29),"","（"&amp;人物卡!AM29&amp;"）")</f>
        <v>（）</v>
      </c>
      <c r="C148" s="557">
        <f ca="1">人物卡!AS29</f>
        <v>0</v>
      </c>
      <c r="D148" s="557" t="str">
        <f ca="1" t="shared" si="5"/>
        <v/>
      </c>
      <c r="E148" s="557" t="str">
        <f ca="1" t="shared" si="6"/>
        <v/>
      </c>
    </row>
    <row r="149" spans="1:5">
      <c r="A149" s="557" t="str">
        <v>科学</v>
      </c>
      <c r="B149" s="557" t="str">
        <f ca="1">IF(ISBLANK(人物卡!AM30),"","（"&amp;人物卡!AM30&amp;"）")</f>
        <v>（）</v>
      </c>
      <c r="C149" s="557">
        <f ca="1">人物卡!AS30</f>
        <v>0</v>
      </c>
      <c r="D149" s="557" t="str">
        <f ca="1" t="shared" si="5"/>
        <v/>
      </c>
      <c r="E149" s="557" t="str">
        <f ca="1" t="shared" si="6"/>
        <v/>
      </c>
    </row>
    <row r="150" spans="1:5">
      <c r="A150" s="557" t="str">
        <v>科学</v>
      </c>
      <c r="B150" s="557" t="str">
        <f ca="1">IF(ISBLANK(人物卡!AM31),"","（"&amp;人物卡!AM31&amp;"）")</f>
        <v>（）</v>
      </c>
      <c r="C150" s="557">
        <f ca="1">人物卡!AS31</f>
        <v>0</v>
      </c>
      <c r="D150" s="557" t="str">
        <f ca="1" t="shared" si="5"/>
        <v/>
      </c>
      <c r="E150" s="557" t="str">
        <f ca="1" t="shared" si="6"/>
        <v/>
      </c>
    </row>
    <row r="151" spans="1:5">
      <c r="A151" s="557" t="str">
        <v>搜寻</v>
      </c>
      <c r="B151" s="557" t="str">
        <f>IF(ISBLANK(人物卡!AM32),"","（"&amp;人物卡!AM32&amp;"）")</f>
        <v/>
      </c>
      <c r="C151" s="557">
        <f ca="1">人物卡!AS32</f>
        <v>20</v>
      </c>
      <c r="D151" s="557" t="str">
        <f ca="1" t="shared" si="5"/>
        <v>搜寻</v>
      </c>
      <c r="E151" s="557" t="str">
        <f ca="1" t="shared" si="6"/>
        <v>搜寻20</v>
      </c>
    </row>
    <row r="152" spans="1:5">
      <c r="A152" s="557" t="str">
        <v>信号情报</v>
      </c>
      <c r="B152" s="557" t="str">
        <f>IF(ISBLANK(人物卡!AM33),"","（"&amp;人物卡!AM33&amp;"）")</f>
        <v/>
      </c>
      <c r="C152" s="557">
        <f ca="1">人物卡!AS33</f>
        <v>0</v>
      </c>
      <c r="D152" s="557" t="str">
        <f ca="1" t="shared" si="5"/>
        <v>信号情报</v>
      </c>
      <c r="E152" s="557" t="str">
        <f ca="1" t="shared" si="6"/>
        <v/>
      </c>
    </row>
    <row r="153" spans="1:5">
      <c r="A153" s="557" t="str">
        <v>潜藏</v>
      </c>
      <c r="B153" s="557" t="str">
        <f>IF(ISBLANK(人物卡!AM34),"","（"&amp;人物卡!AM34&amp;"）")</f>
        <v/>
      </c>
      <c r="C153" s="557">
        <f ca="1">人物卡!AS34</f>
        <v>10</v>
      </c>
      <c r="D153" s="557" t="str">
        <f ca="1" t="shared" si="5"/>
        <v>潜藏</v>
      </c>
      <c r="E153" s="557" t="str">
        <f ca="1" t="shared" si="6"/>
        <v>潜藏10</v>
      </c>
    </row>
    <row r="154" spans="1:5">
      <c r="A154" s="557" t="str">
        <v>手术</v>
      </c>
      <c r="B154" s="557" t="str">
        <f>IF(ISBLANK(人物卡!AM35),"","（"&amp;人物卡!AM35&amp;"）")</f>
        <v/>
      </c>
      <c r="C154" s="557">
        <f ca="1">人物卡!AS35</f>
        <v>0</v>
      </c>
      <c r="D154" s="557" t="str">
        <f ca="1" t="shared" si="5"/>
        <v>手术</v>
      </c>
      <c r="E154" s="557" t="str">
        <f ca="1" t="shared" si="6"/>
        <v/>
      </c>
    </row>
    <row r="155" spans="1:5">
      <c r="A155" s="557" t="str">
        <v>生存</v>
      </c>
      <c r="B155" s="557" t="str">
        <f>IF(ISBLANK(人物卡!AM36),"","（"&amp;人物卡!AM36&amp;"）")</f>
        <v/>
      </c>
      <c r="C155" s="557">
        <f ca="1">人物卡!AS36</f>
        <v>10</v>
      </c>
      <c r="D155" s="557" t="str">
        <f ca="1" t="shared" si="5"/>
        <v>生存</v>
      </c>
      <c r="E155" s="557" t="str">
        <f ca="1" t="shared" si="6"/>
        <v>生存10</v>
      </c>
    </row>
    <row r="156" spans="1:5">
      <c r="A156" s="557" t="str">
        <v>游泳</v>
      </c>
      <c r="B156" s="557" t="str">
        <f>IF(ISBLANK(人物卡!AM37),"","（"&amp;人物卡!AM37&amp;"）")</f>
        <v/>
      </c>
      <c r="C156" s="557">
        <f ca="1">人物卡!AS37</f>
        <v>20</v>
      </c>
      <c r="D156" s="557" t="str">
        <f ca="1" t="shared" si="5"/>
        <v>游泳</v>
      </c>
      <c r="E156" s="557" t="str">
        <f ca="1" t="shared" si="6"/>
        <v>游泳20</v>
      </c>
    </row>
    <row r="157" spans="1:5">
      <c r="A157" s="557" t="str">
        <v>徒手搏斗</v>
      </c>
      <c r="B157" s="557" t="str">
        <f>IF(ISBLANK(人物卡!AM38),"","（"&amp;人物卡!AM38&amp;"）")</f>
        <v/>
      </c>
      <c r="C157" s="557">
        <f ca="1">人物卡!AS38</f>
        <v>40</v>
      </c>
      <c r="D157" s="557" t="str">
        <f ca="1" t="shared" si="5"/>
        <v>徒手搏斗</v>
      </c>
      <c r="E157" s="557" t="str">
        <f ca="1" t="shared" si="6"/>
        <v>徒手搏斗40</v>
      </c>
    </row>
    <row r="158" spans="1:5">
      <c r="A158" s="557" t="str">
        <v>非自然知识</v>
      </c>
      <c r="B158" s="557" t="str">
        <f>IF(ISBLANK(人物卡!AM39),"","（"&amp;人物卡!AM39&amp;"）")</f>
        <v/>
      </c>
      <c r="C158" s="557">
        <f>人物卡!AS39</f>
        <v>0</v>
      </c>
      <c r="D158" s="557" t="str">
        <f ca="1" t="shared" si="5"/>
        <v>非自然知识</v>
      </c>
      <c r="E158" s="557" t="str">
        <f ca="1" t="shared" si="6"/>
        <v/>
      </c>
    </row>
    <row r="159" spans="1:5">
      <c r="A159" s="557" t="str">
        <v/>
      </c>
      <c r="B159" s="557" t="str">
        <f>IF(ISBLANK(人物卡!AM40),"","（"&amp;人物卡!AM40&amp;"）")</f>
        <v/>
      </c>
      <c r="C159" s="557">
        <f ca="1">人物卡!AS40</f>
        <v>0</v>
      </c>
      <c r="D159" s="557" t="str">
        <f ca="1" t="shared" si="5"/>
        <v/>
      </c>
      <c r="E159" s="557" t="str">
        <f ca="1" t="shared" si="6"/>
        <v/>
      </c>
    </row>
    <row r="160" spans="1:5">
      <c r="A160" s="557" t="str">
        <v/>
      </c>
      <c r="B160" s="557" t="str">
        <f>IF(ISBLANK(人物卡!AM41),"","（"&amp;人物卡!AM41&amp;"）")</f>
        <v/>
      </c>
      <c r="C160" s="557">
        <f ca="1">人物卡!AS41</f>
        <v>0</v>
      </c>
      <c r="D160" s="557" t="str">
        <f ca="1" t="shared" si="5"/>
        <v/>
      </c>
      <c r="E160" s="557" t="str">
        <f ca="1" t="shared" si="6"/>
        <v/>
      </c>
    </row>
    <row r="161" spans="1:5">
      <c r="A161" s="557" t="str">
        <v/>
      </c>
      <c r="B161" s="557" t="str">
        <f>IF(ISBLANK(人物卡!AM42),"","（"&amp;人物卡!AM42&amp;"）")</f>
        <v/>
      </c>
      <c r="C161" s="557">
        <f ca="1">人物卡!AS42</f>
        <v>0</v>
      </c>
      <c r="D161" s="557" t="str">
        <f ca="1" t="shared" si="5"/>
        <v/>
      </c>
      <c r="E161" s="557" t="str">
        <f ca="1" t="shared" si="6"/>
        <v/>
      </c>
    </row>
    <row r="162" spans="1:5">
      <c r="A162" s="557" t="str">
        <v/>
      </c>
      <c r="B162" s="557" t="str">
        <f>IF(ISBLANK(人物卡!AM43),"","（"&amp;人物卡!AM43&amp;"）")</f>
        <v/>
      </c>
      <c r="C162" s="557">
        <f ca="1">人物卡!AS43</f>
        <v>0</v>
      </c>
      <c r="D162" s="557" t="str">
        <f ca="1" t="shared" si="5"/>
        <v/>
      </c>
      <c r="E162" s="557" t="str">
        <f ca="1" t="shared" si="6"/>
        <v/>
      </c>
    </row>
    <row r="168" spans="1:5">
      <c r="A168" t="s" s="557">
        <v>660</v>
      </c>
    </row>
    <row r="169" spans="1:5">
      <c r="A169" s="557" t="str">
        <f>IFERROR(INDEX(职业列表!A:A,SMALL(职业列表!AO$2:AO$106,ROW()-168))&amp;"","")</f>
        <v>（创建新职业）</v>
      </c>
    </row>
    <row r="170" spans="1:5">
      <c r="A170" s="557" t="str">
        <f>IFERROR(INDEX(职业列表!A:A,SMALL(职业列表!AO$2:AO$106,ROW()-168))&amp;"","")</f>
        <v>人类学家或历史学家</v>
      </c>
    </row>
    <row r="171" spans="1:5">
      <c r="A171" s="557" t="str">
        <f>IFERROR(INDEX(职业列表!A:A,SMALL(职业列表!AO$2:AO$106,ROW()-168))&amp;"","")</f>
        <v>计算机科学家或工程师</v>
      </c>
    </row>
    <row r="172" spans="1:5">
      <c r="A172" s="557" t="str">
        <f>IFERROR(INDEX(职业列表!A:A,SMALL(职业列表!AO$2:AO$106,ROW()-168))&amp;"","")</f>
        <v>联邦探员</v>
      </c>
    </row>
    <row r="173" spans="1:5">
      <c r="A173" s="557" t="str">
        <f>IFERROR(INDEX(职业列表!A:A,SMALL(职业列表!AO$2:AO$106,ROW()-168))&amp;"","")</f>
        <v>医生</v>
      </c>
    </row>
    <row r="174" spans="1:5">
      <c r="A174" s="557" t="str">
        <f>IFERROR(INDEX(职业列表!A:A,SMALL(职业列表!AO$2:AO$106,ROW()-168))&amp;"","")</f>
        <v>科学家</v>
      </c>
    </row>
    <row r="175" spans="1:5">
      <c r="A175" s="557" t="str">
        <f>IFERROR(INDEX(职业列表!A:A,SMALL(职业列表!AO$2:AO$106,ROW()-168))&amp;"","")</f>
        <v>特种作战员</v>
      </c>
    </row>
    <row r="176" spans="1:5">
      <c r="A176" s="557" t="str">
        <f>IFERROR(INDEX(职业列表!A:A,SMALL(职业列表!AO$2:AO$106,ROW()-168))&amp;"","")</f>
        <v>【额外】罪犯</v>
      </c>
    </row>
    <row r="177" spans="1:1">
      <c r="A177" s="557" t="str">
        <f>IFERROR(INDEX(职业列表!A:A,SMALL(职业列表!AO$2:AO$106,ROW()-168))&amp;"","")</f>
        <v>【额外】消防队员</v>
      </c>
    </row>
    <row r="178" spans="1:1">
      <c r="A178" s="557" t="str">
        <f>IFERROR(INDEX(职业列表!A:A,SMALL(职业列表!AO$2:AO$106,ROW()-168))&amp;"","")</f>
        <v>【额外】外事官员</v>
      </c>
    </row>
    <row r="179" spans="1:1">
      <c r="A179" s="557" t="str">
        <f>IFERROR(INDEX(职业列表!A:A,SMALL(职业列表!AO$2:AO$106,ROW()-168))&amp;"","")</f>
        <v>【额外】情报分析员</v>
      </c>
    </row>
    <row r="180" spans="1:1">
      <c r="A180" s="557" t="str">
        <f>IFERROR(INDEX(职业列表!A:A,SMALL(职业列表!AO$2:AO$106,ROW()-168))&amp;"","")</f>
        <v>【额外】情报官员</v>
      </c>
    </row>
    <row r="181" spans="1:1">
      <c r="A181" s="557" t="str">
        <f>IFERROR(INDEX(职业列表!A:A,SMALL(职业列表!AO$2:AO$106,ROW()-168))&amp;"","")</f>
        <v>【额外】律师或商务主管</v>
      </c>
    </row>
    <row r="182" spans="1:1">
      <c r="A182" s="557" t="str">
        <f>IFERROR(INDEX(职业列表!A:A,SMALL(职业列表!AO$2:AO$106,ROW()-168))&amp;"","")</f>
        <v>【额外】媒体专家</v>
      </c>
    </row>
    <row r="183" spans="1:1">
      <c r="A183" s="557" t="str">
        <f>IFERROR(INDEX(职业列表!A:A,SMALL(职业列表!AO$2:AO$106,ROW()-168))&amp;"","")</f>
        <v>【额外】护士或护理人员</v>
      </c>
    </row>
    <row r="184" spans="1:1">
      <c r="A184" s="557" t="str">
        <f>IFERROR(INDEX(职业列表!A:A,SMALL(职业列表!AO$2:AO$106,ROW()-168))&amp;"","")</f>
        <v>【额外】飞行员或水手</v>
      </c>
    </row>
    <row r="185" spans="1:1">
      <c r="A185" s="557" t="str">
        <f>IFERROR(INDEX(职业列表!A:A,SMALL(职业列表!AO$2:AO$106,ROW()-168))&amp;"","")</f>
        <v>【额外】警察</v>
      </c>
    </row>
    <row r="186" spans="1:1">
      <c r="A186" s="557" t="str">
        <f>IFERROR(INDEX(职业列表!A:A,SMALL(职业列表!AO$2:AO$106,ROW()-168))&amp;"","")</f>
        <v>【额外】项目群经理</v>
      </c>
    </row>
    <row r="187" spans="1:1">
      <c r="A187" s="557" t="str">
        <f>IFERROR(INDEX(职业列表!A:A,SMALL(职业列表!AO$2:AO$106,ROW()-168))&amp;"","")</f>
        <v>【额外】士兵或海军陆战队员</v>
      </c>
    </row>
    <row r="188" spans="1:1">
      <c r="A188" s="557" t="str">
        <f>IFERROR(INDEX(职业列表!A:A,SMALL(职业列表!AO$2:AO$106,ROW()-168))&amp;"","")</f>
        <v>FBI / 犯罪调查处（CID）</v>
      </c>
    </row>
    <row r="189" spans="1:1">
      <c r="A189" s="557" t="str">
        <f>IFERROR(INDEX(职业列表!A:A,SMALL(职业列表!AO$2:AO$106,ROW()-168))&amp;"","")</f>
        <v>FBI / 国家安保部（NSB）</v>
      </c>
    </row>
    <row r="190" spans="1:1">
      <c r="A190" s="557" t="str">
        <f>IFERROR(INDEX(职业列表!A:A,SMALL(职业列表!AO$2:AO$106,ROW()-168))&amp;"","")</f>
        <v>FBI / 调查与行动支援科（IOSS）</v>
      </c>
    </row>
    <row r="191" spans="1:1">
      <c r="A191" s="557" t="str">
        <f>IFERROR(INDEX(职业列表!A:A,SMALL(职业列表!AO$2:AO$106,ROW()-168))&amp;"","")</f>
        <v>FBI / 情报部</v>
      </c>
    </row>
    <row r="192" spans="1:1">
      <c r="A192" s="557" t="str">
        <f>IFERROR(INDEX(职业列表!A:A,SMALL(职业列表!AO$2:AO$106,ROW()-168))&amp;"","")</f>
        <v>FBI / 人质救援队（HRT）或特警队（SWAT）</v>
      </c>
    </row>
    <row r="193" spans="1:1">
      <c r="A193" s="557" t="str">
        <f>IFERROR(INDEX(职业列表!A:A,SMALL(职业列表!AO$2:AO$106,ROW()-168))&amp;"","")</f>
        <v>DEA / 行动分处</v>
      </c>
    </row>
    <row r="194" spans="1:1">
      <c r="A194" s="557" t="str">
        <f>IFERROR(INDEX(职业列表!A:A,SMALL(职业列表!AO$2:AO$106,ROW()-168))&amp;"","")</f>
        <v>DEA / 行动支援分处</v>
      </c>
    </row>
    <row r="195" spans="1:1">
      <c r="A195" s="557" t="str">
        <f>IFERROR(INDEX(职业列表!A:A,SMALL(职业列表!AO$2:AO$106,ROW()-168))&amp;"","")</f>
        <v>DEA / 特种作战科（SOD）</v>
      </c>
    </row>
    <row r="196" spans="1:1">
      <c r="A196" s="557" t="str">
        <f>IFERROR(INDEX(职业列表!A:A,SMALL(职业列表!AO$2:AO$106,ROW()-168))&amp;"","")</f>
        <v>DEA / 海外部署咨询与支援小组（FAST）</v>
      </c>
    </row>
    <row r="197" spans="1:1">
      <c r="A197" s="557" t="str">
        <f>IFERROR(INDEX(职业列表!A:A,SMALL(职业列表!AO$2:AO$106,ROW()-168))&amp;"","")</f>
        <v>ICE / 国土调查处（HSI）</v>
      </c>
    </row>
    <row r="198" spans="1:1">
      <c r="A198" s="557" t="str">
        <f>IFERROR(INDEX(职业列表!A:A,SMALL(职业列表!AO$2:AO$106,ROW()-168))&amp;"","")</f>
        <v>ICE / HIS，情报办公室</v>
      </c>
    </row>
    <row r="199" spans="1:1">
      <c r="A199" s="557" t="str">
        <f>IFERROR(INDEX(职业列表!A:A,SMALL(职业列表!AO$2:AO$106,ROW()-168))&amp;"","")</f>
        <v>ICE / 特别应对小组（SRT）</v>
      </c>
    </row>
    <row r="200" spans="1:1">
      <c r="A200" s="557" t="str">
        <f>IFERROR(INDEX(职业列表!A:A,SMALL(职业列表!AO$2:AO$106,ROW()-168))&amp;"","")</f>
        <v>ICE / 遣返行动执法处（ERO）</v>
      </c>
    </row>
    <row r="201" spans="1:1">
      <c r="A201" s="557" t="str">
        <f>IFERROR(INDEX(职业列表!A:A,SMALL(职业列表!AO$2:AO$106,ROW()-168))&amp;"","")</f>
        <v>USMS / 调查行动处</v>
      </c>
    </row>
    <row r="202" spans="1:1">
      <c r="A202" s="557" t="str">
        <f>IFERROR(INDEX(职业列表!A:A,SMALL(职业列表!AO$2:AO$106,ROW()-168))&amp;"","")</f>
        <v>USMS / 特种行动队（SOG）</v>
      </c>
    </row>
    <row r="203" spans="1:1">
      <c r="A203" s="557" t="str">
        <f>IFERROR(INDEX(职业列表!A:A,SMALL(职业列表!AO$2:AO$106,ROW()-168))&amp;"","")</f>
        <v>陆军 / 传染病医学研究院（USAMRIID）</v>
      </c>
    </row>
    <row r="204" spans="1:1">
      <c r="A204" s="557" t="str">
        <f>IFERROR(INDEX(职业列表!A:A,SMALL(职业列表!AO$2:AO$106,ROW()-168))&amp;"","")</f>
        <v>陆军 / 第902军事情报大队</v>
      </c>
    </row>
    <row r="205" spans="1:1">
      <c r="A205" s="557" t="str">
        <f>IFERROR(INDEX(职业列表!A:A,SMALL(职业列表!AO$2:AO$106,ROW()-168))&amp;"","")</f>
        <v>陆军 / 第10山地师</v>
      </c>
    </row>
    <row r="206" spans="1:1">
      <c r="A206" s="557" t="str">
        <f>IFERROR(INDEX(职业列表!A:A,SMALL(职业列表!AO$2:AO$106,ROW()-168))&amp;"","")</f>
        <v>陆军 / 第1旅，第1骑兵师（“铁马旅”）</v>
      </c>
    </row>
    <row r="207" spans="1:1">
      <c r="A207" s="557" t="str">
        <f>IFERROR(INDEX(职业列表!A:A,SMALL(职业列表!AO$2:AO$106,ROW()-168))&amp;"","")</f>
        <v>陆军 / 医疗兵团</v>
      </c>
    </row>
    <row r="208" spans="1:1">
      <c r="A208" s="557" t="str">
        <f>IFERROR(INDEX(职业列表!A:A,SMALL(职业列表!AO$2:AO$106,ROW()-168))&amp;"","")</f>
        <v>陆军SOCOM / 第1特种作战群</v>
      </c>
    </row>
    <row r="209" spans="1:1">
      <c r="A209" s="557" t="str">
        <f>IFERROR(INDEX(职业列表!A:A,SMALL(职业列表!AO$2:AO$106,ROW()-168))&amp;"","")</f>
        <v>陆军SOCOM / 第75游骑兵团</v>
      </c>
    </row>
    <row r="210" spans="1:1">
      <c r="A210" s="557" t="str">
        <f>IFERROR(INDEX(职业列表!A:A,SMALL(职业列表!AO$2:AO$106,ROW()-168))&amp;"","")</f>
        <v>陆军SOCOM / 第4军事信息支援大队</v>
      </c>
    </row>
    <row r="211" spans="1:1">
      <c r="A211" s="557" t="str">
        <f>IFERROR(INDEX(职业列表!A:A,SMALL(职业列表!AO$2:AO$106,ROW()-168))&amp;"","")</f>
        <v>陆军SOCOM / 第160特种作战航空团（“暗夜潜行者”）</v>
      </c>
    </row>
    <row r="212" spans="1:1">
      <c r="A212" s="557" t="str">
        <f>IFERROR(INDEX(职业列表!A:A,SMALL(职业列表!AO$2:AO$106,ROW()-168))&amp;"","")</f>
        <v>陆军SOCOM / 情报支持行动处</v>
      </c>
    </row>
    <row r="213" spans="1:1">
      <c r="A213" s="557" t="str">
        <f>IFERROR(INDEX(职业列表!A:A,SMALL(职业列表!AO$2:AO$106,ROW()-168))&amp;"","")</f>
        <v>空军 / 第41救援中队</v>
      </c>
    </row>
    <row r="214" spans="1:1">
      <c r="A214" s="557" t="str">
        <f>IFERROR(INDEX(职业列表!A:A,SMALL(职业列表!AO$2:AO$106,ROW()-168))&amp;"","")</f>
        <v>空军 / 614航空航天运营中心</v>
      </c>
    </row>
    <row r="215" spans="1:1">
      <c r="A215" s="557" t="str">
        <f>IFERROR(INDEX(职业列表!A:A,SMALL(职业列表!AO$2:AO$106,ROW()-168))&amp;"","")</f>
        <v>空军 / 432d行动小组</v>
      </c>
    </row>
    <row r="216" spans="1:1">
      <c r="A216" s="557" t="str">
        <f>IFERROR(INDEX(职业列表!A:A,SMALL(职业列表!AO$2:AO$106,ROW()-168))&amp;"","")</f>
        <v>空军 / 第70情报、监视和侦察（ISR）联队</v>
      </c>
    </row>
    <row r="217" spans="1:1">
      <c r="A217" s="557" t="str">
        <f>IFERROR(INDEX(职业列表!A:A,SMALL(职业列表!AO$2:AO$106,ROW()-168))&amp;"","")</f>
        <v>空军 / 第354战斗机中队</v>
      </c>
    </row>
    <row r="218" spans="1:1">
      <c r="A218" s="557" t="str">
        <f>IFERROR(INDEX(职业列表!A:A,SMALL(职业列表!AO$2:AO$106,ROW()-168))&amp;"","")</f>
        <v>空军 / 第318网络空间运营小组</v>
      </c>
    </row>
    <row r="219" spans="1:1">
      <c r="A219" s="557" t="str">
        <f>IFERROR(INDEX(职业列表!A:A,SMALL(职业列表!AO$2:AO$106,ROW()-168))&amp;"","")</f>
        <v>空军SOCOM / 第24特战联队，第720特种战术大队</v>
      </c>
    </row>
    <row r="220" spans="1:1">
      <c r="A220" s="557" t="str">
        <f>IFERROR(INDEX(职业列表!A:A,SMALL(职业列表!AO$2:AO$106,ROW()-168))&amp;"","")</f>
        <v>海军 / 罪案调查处（NCIS）</v>
      </c>
    </row>
    <row r="221" spans="1:1">
      <c r="A221" s="557" t="str">
        <f>IFERROR(INDEX(职业列表!A:A,SMALL(职业列表!AO$2:AO$106,ROW()-168))&amp;"","")</f>
        <v>海军 / 爆炸品处理部队（EOD）</v>
      </c>
    </row>
    <row r="222" spans="1:1">
      <c r="A222" s="557" t="str">
        <f>IFERROR(INDEX(职业列表!A:A,SMALL(职业列表!AO$2:AO$106,ROW()-168))&amp;"","")</f>
        <v>海军 / 医务兵</v>
      </c>
    </row>
    <row r="223" spans="1:1">
      <c r="A223" s="557" t="str">
        <f>IFERROR(INDEX(职业列表!A:A,SMALL(职业列表!AO$2:AO$106,ROW()-168))&amp;"","")</f>
        <v>海军SOCOM / 特种作战开发群&amp;三栖特战队第一小队</v>
      </c>
    </row>
    <row r="224" spans="1:1">
      <c r="A224" s="557" t="str">
        <f>IFERROR(INDEX(职业列表!A:A,SMALL(职业列表!AO$2:AO$106,ROW()-168))&amp;"","")</f>
        <v>海军陆战队 / 武装侦察部队</v>
      </c>
    </row>
    <row r="225" spans="1:1">
      <c r="A225" s="557" t="str">
        <f>IFERROR(INDEX(职业列表!A:A,SMALL(职业列表!AO$2:AO$106,ROW()-168))&amp;"","")</f>
        <v>海军陆战队 / 公共事务处战地摄影师</v>
      </c>
    </row>
    <row r="226" spans="1:1">
      <c r="A226" s="557" t="str">
        <f>IFERROR(INDEX(职业列表!A:A,SMALL(职业列表!AO$2:AO$106,ROW()-168))&amp;"","")</f>
        <v>海军陆战队 / 海上特殊目的部队</v>
      </c>
    </row>
    <row r="227" spans="1:1">
      <c r="A227" s="557" t="str">
        <f>IFERROR(INDEX(职业列表!A:A,SMALL(职业列表!AO$2:AO$106,ROW()-168))&amp;"","")</f>
        <v>海军陆战队 / 海军陆战保安团</v>
      </c>
    </row>
    <row r="228" spans="1:1">
      <c r="A228" s="557" t="str">
        <f>IFERROR(INDEX(职业列表!A:A,SMALL(职业列表!AO$2:AO$106,ROW()-168))&amp;"","")</f>
        <v>海军陆战队SOCOM / 陆战队突击团</v>
      </c>
    </row>
    <row r="229" spans="1:1">
      <c r="A229" s="557" t="str">
        <f>IFERROR(INDEX(职业列表!A:A,SMALL(职业列表!AO$2:AO$106,ROW()-168))&amp;"","")</f>
        <v>CIA / 行动处（DO）</v>
      </c>
    </row>
    <row r="230" spans="1:1">
      <c r="A230" s="557" t="str">
        <f>IFERROR(INDEX(职业列表!A:A,SMALL(职业列表!AO$2:AO$106,ROW()-168))&amp;"","")</f>
        <v>CIA / 特别活动处特种作战组（SAD/SOG）</v>
      </c>
    </row>
    <row r="231" spans="1:1">
      <c r="A231" s="557" t="str">
        <f>IFERROR(INDEX(职业列表!A:A,SMALL(职业列表!AO$2:AO$106,ROW()-168))&amp;"","")</f>
        <v>CIA / 特别活动处政治行动组（SAD/PAG）</v>
      </c>
    </row>
    <row r="232" spans="1:1">
      <c r="A232" s="557" t="str">
        <f>IFERROR(INDEX(职业列表!A:A,SMALL(职业列表!AO$2:AO$106,ROW()-168))&amp;"","")</f>
        <v>CIA / 分析科（DA）</v>
      </c>
    </row>
    <row r="233" spans="1:1">
      <c r="A233" s="557" t="str">
        <f>IFERROR(INDEX(职业列表!A:A,SMALL(职业列表!AO$2:AO$106,ROW()-168))&amp;"","")</f>
        <v>DOS / 西半球事务局</v>
      </c>
    </row>
    <row r="234" spans="1:1">
      <c r="A234" s="557" t="str">
        <f>IFERROR(INDEX(职业列表!A:A,SMALL(职业列表!AO$2:AO$106,ROW()-168))&amp;"","")</f>
        <v>DOS / 外交安全局（FSO）</v>
      </c>
    </row>
    <row r="235" spans="1:1">
      <c r="A235" s="557" t="str">
        <f>IFERROR(INDEX(职业列表!A:A,SMALL(职业列表!AO$2:AO$106,ROW()-168))&amp;"","")</f>
        <v>DOS / 外交信使</v>
      </c>
    </row>
    <row r="236" spans="1:1">
      <c r="A236" s="557" t="str">
        <f>IFERROR(INDEX(职业列表!A:A,SMALL(职业列表!AO$2:AO$106,ROW()-168))&amp;"","")</f>
        <v>DOS / 国际毒品与执法事务局（INL）</v>
      </c>
    </row>
    <row r="237" spans="1:1">
      <c r="A237" s="557" t="str">
        <f>IFERROR(INDEX(职业列表!A:A,SMALL(职业列表!AO$2:AO$106,ROW()-168))&amp;"","")</f>
        <v>DOS / 情报研究局（INR）</v>
      </c>
    </row>
    <row r="238" spans="1:1">
      <c r="A238" s="557" t="str">
        <f>IFERROR(INDEX(职业列表!A:A,SMALL(职业列表!AO$2:AO$106,ROW()-168))&amp;"","")</f>
        <v>CDC / 预防和应对中心</v>
      </c>
    </row>
    <row r="239" spans="1:1">
      <c r="A239" s="557" t="str">
        <f>IFERROR(INDEX(职业列表!A:A,SMALL(职业列表!AO$2:AO$106,ROW()-168))&amp;"","")</f>
        <v>CDC / 紧急行动中心</v>
      </c>
    </row>
    <row r="240" spans="1:1">
      <c r="A240" s="557" t="str">
        <f>IFERROR(INDEX(职业列表!A:A,SMALL(职业列表!AO$2:AO$106,ROW()-168))&amp;"","")</f>
        <v>CDC / 全球快速反应小组（RRT）</v>
      </c>
    </row>
    <row r="241" spans="1:1">
      <c r="A241" s="557" t="str">
        <f>IFERROR(INDEX(职业列表!A:A,SMALL(职业列表!AO$2:AO$106,ROW()-168))&amp;"","")</f>
        <v>CDC / 公共卫生服务军官团（PHSCC）</v>
      </c>
    </row>
    <row r="242" spans="1:1">
      <c r="A242" s="557" t="str">
        <f>IFERROR(INDEX(职业列表!A:A,SMALL(职业列表!AO$2:AO$106,ROW()-168))&amp;"","")</f>
        <v>EPA / 刑事执法、司法鉴证与培训处（OCEFT）</v>
      </c>
    </row>
    <row r="243" spans="1:1">
      <c r="A243" s="557" t="str">
        <f>IFERROR(INDEX(职业列表!A:A,SMALL(职业列表!AO$2:AO$106,ROW()-168))&amp;"","")</f>
        <v>EPA / 区域办事处专家</v>
      </c>
    </row>
    <row r="244" spans="1:1">
      <c r="A244" s="557" t="str">
        <f>IFERROR(INDEX(职业列表!A:A,SMALL(职业列表!AO$2:AO$106,ROW()-168))&amp;"","")</f>
        <v>CBP / 边境保护（预先清关或入国审查）（OFO/P）</v>
      </c>
    </row>
    <row r="245" spans="1:1">
      <c r="A245" s="557" t="str">
        <f>IFERROR(INDEX(职业列表!A:A,SMALL(职业列表!AO$2:AO$106,ROW()-168))&amp;"","")</f>
        <v>CBP / 海上拦截（AMO/MI）</v>
      </c>
    </row>
    <row r="246" spans="1:1">
      <c r="A246" s="557" t="str">
        <f>IFERROR(INDEX(职业列表!A:A,SMALL(职业列表!AO$2:AO$106,ROW()-168))&amp;"","")</f>
        <v>CBP / 检测犬项目（OFO/K9）</v>
      </c>
    </row>
    <row r="247" spans="1:1">
      <c r="A247" s="557" t="str">
        <f>IFERROR(INDEX(职业列表!A:A,SMALL(职业列表!AO$2:AO$106,ROW()-168))&amp;"","")</f>
        <v>CBP / 边境巡逻队</v>
      </c>
    </row>
    <row r="248" spans="1:1">
      <c r="A248" s="557" t="str">
        <f>IFERROR(INDEX(职业列表!A:A,SMALL(职业列表!AO$2:AO$106,ROW()-168))&amp;"","")</f>
        <v>CBP / 边境巡逻队战术单位（SOG/BORTAC）</v>
      </c>
    </row>
    <row r="249" spans="1:1">
      <c r="A249" s="557" t="str">
        <f>IFERROR(INDEX(职业列表!A:A,SMALL(职业列表!AO$2:AO$106,ROW()-168))&amp;"","")</f>
        <v>CBP / 边境巡逻队搜索、创伤与救援单位（SOG/BORSTAR）</v>
      </c>
    </row>
    <row r="250" spans="1:1">
      <c r="A250" s="557" t="str">
        <f>IFERROR(INDEX(职业列表!A:A,SMALL(职业列表!AO$2:AO$106,ROW()-168))&amp;"","")</f>
        <v>CBP / 国家空中安全行动（AMO/NASO）</v>
      </c>
    </row>
    <row r="251" spans="1:1">
      <c r="A251" s="557" t="str">
        <f>IFERROR(INDEX(职业列表!A:A,SMALL(职业列表!AO$2:AO$106,ROW()-168))&amp;"","")</f>
        <v>ATF / 特种犬项目（SRT/K9）</v>
      </c>
    </row>
    <row r="252" spans="1:1">
      <c r="A252" s="557" t="str">
        <f>IFERROR(INDEX(职业列表!A:A,SMALL(职业列表!AO$2:AO$106,ROW()-168))&amp;"","")</f>
        <v>ATF / 特种医疗项目（SRT/TMP）</v>
      </c>
    </row>
    <row r="253" spans="1:1">
      <c r="A253" s="557" t="str">
        <f>IFERROR(INDEX(职业列表!A:A,SMALL(职业列表!AO$2:AO$106,ROW()-168))&amp;"","")</f>
        <v>ATF / 特种行动（SRT/TO）</v>
      </c>
    </row>
    <row r="254" spans="1:1">
      <c r="A254" s="557" t="str">
        <f>IFERROR(INDEX(职业列表!A:A,SMALL(职业列表!AO$2:AO$106,ROW()-168))&amp;"","")</f>
        <v>ATF / 外勤行动及调查办公室（OFO）</v>
      </c>
    </row>
    <row r="255" spans="1:1">
      <c r="A255" s="557" t="str">
        <f>IFERROR(INDEX(职业列表!A:A,SMALL(职业列表!AO$2:AO$106,ROW()-168))&amp;"","")</f>
        <v>ATF / 刑事侦查分析员</v>
      </c>
    </row>
    <row r="256" spans="1:1">
      <c r="A256" s="557" t="str">
        <f>IFERROR(INDEX(职业列表!A:A,SMALL(职业列表!AO$2:AO$106,ROW()-168))&amp;"","")</f>
        <v>ATF / 爆炸物专家</v>
      </c>
    </row>
    <row r="257" spans="1:1">
      <c r="A257" s="557" t="str">
        <f>IFERROR(INDEX(职业列表!A:A,SMALL(职业列表!AO$2:AO$106,ROW()-168))&amp;"","")</f>
        <v>USSS / 保护情报和评估处（PID）</v>
      </c>
    </row>
    <row r="258" spans="1:1">
      <c r="A258" s="557" t="str">
        <f>IFERROR(INDEX(职业列表!A:A,SMALL(职业列表!AO$2:AO$106,ROW()-168))&amp;"","")</f>
        <v>USSS / 贴身警卫处（PPD）</v>
      </c>
    </row>
    <row r="259" spans="1:1">
      <c r="A259" s="557" t="str">
        <f>IFERROR(INDEX(职业列表!A:A,SMALL(职业列表!AO$2:AO$106,ROW()-168))&amp;"","")</f>
        <v>USSS / 反突击组（CAT）</v>
      </c>
    </row>
    <row r="260" spans="1:1">
      <c r="A260" s="557" t="str">
        <f>IFERROR(INDEX(职业列表!A:A,SMALL(职业列表!AO$2:AO$106,ROW()-168))&amp;"","")</f>
        <v>USSS / 财务行政、专业和技术支助（F-ATP）</v>
      </c>
    </row>
    <row r="261" spans="1:1">
      <c r="A261" s="557" t="str">
        <f>IFERROR(INDEX(职业列表!A:A,SMALL(职业列表!AO$2:AO$106,ROW()-168))&amp;"","")</f>
        <v>USCG / 搜救组（SAR）</v>
      </c>
    </row>
    <row r="262" spans="1:1">
      <c r="A262" s="557" t="str">
        <f>IFERROR(INDEX(职业列表!A:A,SMALL(职业列表!AO$2:AO$106,ROW()-168))&amp;"","")</f>
        <v>USCG / 响应政策办公室（CG-5R）</v>
      </c>
    </row>
    <row r="263" spans="1:1">
      <c r="A263" s="557" t="str">
        <f>IFERROR(INDEX(职业列表!A:A,SMALL(职业列表!AO$2:AO$106,ROW()-168))&amp;"","")</f>
        <v>USCG / 调查和伤亡分析办公室（INV）</v>
      </c>
    </row>
    <row r="264" spans="1:1">
      <c r="A264" s="557" t="str">
        <f>IFERROR(INDEX(职业列表!A:A,SMALL(职业列表!AO$2:AO$106,ROW()-168))&amp;"","")</f>
        <v>USCG / 直升机拦截战术中队（HITRON）</v>
      </c>
    </row>
    <row r="265" spans="1:1">
      <c r="A265" s="557" t="str">
        <f>IFERROR(INDEX(职业列表!A:A,SMALL(职业列表!AO$2:AO$106,ROW()-168))&amp;"","")</f>
        <v>USCG / 战术执法分队（TACLET）</v>
      </c>
    </row>
    <row r="266" spans="1:1">
      <c r="A266" s="557" t="str">
        <f>IFERROR(INDEX(职业列表!A:A,SMALL(职业列表!AO$2:AO$106,ROW()-168))&amp;"","")</f>
        <v>USCG / 海上安全和保安队（MSST）</v>
      </c>
    </row>
    <row r="267" spans="1:1">
      <c r="A267" s="557" t="str">
        <f>IFERROR(INDEX(职业列表!A:A,SMALL(职业列表!AO$2:AO$106,ROW()-168))&amp;"","")</f>
        <v>USCG / 海上保安应变队（MSRT）</v>
      </c>
    </row>
    <row r="268" spans="1:1">
      <c r="A268" s="557" t="str">
        <f>IFERROR(INDEX(职业列表!A:A,SMALL(职业列表!AO$2:AO$106,ROW()-168))&amp;"","")</f>
        <v>USCG / 国家打击部队（NSF）</v>
      </c>
    </row>
    <row r="269" spans="1:1">
      <c r="A269" s="557" t="str">
        <f>IFERROR(INDEX(职业列表!A:A,SMALL(职业列表!AO$2:AO$106,ROW()-168))&amp;"","")</f>
        <v/>
      </c>
    </row>
    <row r="270" spans="1:1">
      <c r="A270" s="557" t="str">
        <f>IFERROR(INDEX(职业列表!A:A,SMALL(职业列表!AO$2:AO$106,ROW()-168))&amp;"","")</f>
        <v/>
      </c>
    </row>
    <row r="271" spans="1:1">
      <c r="A271" s="557" t="str">
        <f>IFERROR(INDEX(职业列表!A:A,SMALL(职业列表!AO$2:AO$106,ROW()-168))&amp;"","")</f>
        <v/>
      </c>
    </row>
    <row r="272" spans="1:1">
      <c r="A272" s="557" t="str">
        <f>IFERROR(INDEX(职业列表!A:A,SMALL(职业列表!AO$2:AO$106,ROW()-168))&amp;"","")</f>
        <v/>
      </c>
    </row>
    <row r="273" spans="1:1">
      <c r="A273" s="557" t="str">
        <f>IFERROR(INDEX(职业列表!A:A,SMALL(职业列表!AO$2:AO$106,ROW()-168))&amp;"","")</f>
        <v/>
      </c>
    </row>
    <row r="284" spans="1:1">
      <c r="A284" s="572"/>
    </row>
  </sheetData>
  <sheetProtection selectLockedCells="1"/>
  <pageMargins left="0.7" right="0.7" top="0.75" bottom="0.75" header="0.3" footer="0.3"/>
  <pageSetup paperSize="1" orientation="portrait"/>
  <headerFooter/>
</worksheet>
</file>

<file path=xl/worksheets/sheet8.xml><?xml version="1.0" encoding="utf-8"?>
<x:worksheet xmlns:x="http://schemas.openxmlformats.org/spreadsheetml/2006/main">
  <x:sheetPr>
    <x:tabColor rgb="FF303030"/>
    <x:pageSetUpPr fitToPage="1"/>
  </x:sheetPr>
  <x:sheetViews>
    <x:sheetView showGridLines="0" workbookViewId="0" tabSelected="0">
      <x:pane ySplit="10" topLeftCell="A11" activePane="bottomLeft" state="frozen"/>
    </x:sheetView>
  </x:sheetViews>
  <x:sheetFormatPr defaultRowHeight="15"/>
  <x:cols>
    <x:col min="1" max="1" width="14" hidden="0" customWidth="1"/>
    <x:col min="2" max="2" width="110" hidden="0" customWidth="1"/>
  </x:cols>
  <x:sheetData>
    <x:row r="1" ht="32" customHeight="1">
      <x:c r="A1" s="769" t="str">
        <x:v>绿色三角洲人物卡｜更新记录</x:v>
      </x:c>
      <x:c r="B1" s="769" t="str">
        <x:v>绿色三角洲人物卡｜更新记录</x:v>
      </x:c>
    </x:row>
    <x:row r="2" ht="7" customHeight="1">
      <x:c r="A2" s="766"/>
      <x:c r="B2" s="766"/>
    </x:row>
    <x:row r="3" ht="24" customHeight="1">
      <x:c r="A3" s="771" t="str">
        <x:v>原版作者</x:v>
      </x:c>
      <x:c r="B3" s="766" t="str">
        <x:v>DKWings</x:v>
      </x:c>
    </x:row>
    <x:row r="4" ht="24" customHeight="1">
      <x:c r="A4" s="771" t="str">
        <x:v>联系方式</x:v>
      </x:c>
      <x:c r="B4" s="772" t="str">
        <x:v>QQ：280848250　Email：dkwings@gmail.com</x:v>
      </x:c>
    </x:row>
    <x:row r="5" ht="24" customHeight="1">
      <x:c r="A5" s="771" t="str">
        <x:v>后续改版</x:v>
      </x:c>
      <x:c r="B5" s="766" t="str">
        <x:v>v0.4之后：Lindrich King　QQ：2113155803</x:v>
      </x:c>
    </x:row>
    <x:row r="6" ht="24" customHeight="1">
      <x:c r="A6" s="771" t="str">
        <x:v>项目仓库</x:v>
      </x:c>
      <x:c r="B6" s="772" t="str">
        <x:v>https://github.com/Shylosia/DeltaGreen</x:v>
      </x:c>
    </x:row>
    <x:row r="7" ht="24" customHeight="1">
      <x:c r="A7" s="771" t="str">
        <x:v>当前版本</x:v>
      </x:c>
      <x:c r="B7" s="766" t="str">
        <x:v>v1.10</x:v>
      </x:c>
    </x:row>
    <x:row r="8" ht="24" customHeight="1">
      <x:c r="A8" s="772" t="str">
        <x:v>返回人物卡</x:v>
      </x:c>
      <x:c r="B8" s="772" t="str">
        <x:v>绿箱生成器</x:v>
      </x:c>
    </x:row>
    <x:row r="9" ht="7" customHeight="1">
      <x:c r="A9" s="766"/>
      <x:c r="B9" s="766"/>
    </x:row>
    <x:row r="10" ht="25" customHeight="1">
      <x:c r="A10" s="775" t="str">
        <x:v>版本</x:v>
      </x:c>
      <x:c r="B10" s="775" t="str">
        <x:v>更新内容</x:v>
      </x:c>
    </x:row>
    <x:row r="11" ht="28" customHeight="1">
      <x:c r="A11" s="782" t="str">
        <x:v>v1.10</x:v>
      </x:c>
      <x:c r="B11" s="779" t="str">
        <x:v>主卡失败勾选、批量成长与职业装备（2026-09-22）</x:v>
      </x:c>
    </x:row>
    <x:row r="12" ht="46" customHeight="1">
      <x:c r="A12" s="782"/>
      <x:c r="B12" s="777" t="str">
        <x:v>恢复主卡失败技能下拉勾选；幕间页自动列出已勾选技能和当前值，分别填写1D4即可生成整批成长记录，不再逐项录入失败事件。</x:v>
      </x:c>
    </x:row>
    <x:row r="13" ht="46" customHeight="1">
      <x:c r="A13" s="782"/>
      <x:c r="B13" s="777" t="str">
        <x:v>复制生成记录的前九列，粘贴为值到归档区后统一计入主卡；同一模组同一技能只计一次。归档保留变更前后值，清空勾选不会删除已归档成长。</x:v>
      </x:c>
    </x:row>
    <x:row r="14" ht="46" customHeight="1">
      <x:c r="A14" s="782"/>
      <x:c r="B14" s="777" t="str">
        <x:v>模组结算后可接续一至两次幕间：选择事项、目标、结果及骰点，自动生成技能、属性、理智和关系变化；归档后联动主卡。</x:v>
      </x:c>
    </x:row>
    <x:row r="15" ht="46" customHeight="1">
      <x:c r="A15" s="782"/>
      <x:c r="B15" s="777" t="str">
        <x:v>将装备权衡中的五组装备加入物品栏下拉，默认随职业及子模板带入；保留可选、二选一和车载装备说明，亦可单独选择装备包。</x:v>
      </x:c>
    </x:row>
    <x:row r="16" ht="28" customHeight="1">
      <x:c r="A16" s="782"/>
      <x:c r="B16" s="777" t="str">
        <x:v>保留当前角色的职业、属性、武器及其他已填资料；保留主卡和双页A4的行高、列宽，更新说明按新到旧排列。</x:v>
      </x:c>
    </x:row>
    <x:row r="17" ht="46" customHeight="1">
      <x:c r="A17" s="782"/>
      <x:c r="B17" s="777" t="str">
        <x:v>成长骰点使用实际掷骰结果。归档后手动清空失败标记与骰点；下一模组更换编号并清空两组幕间输入，归档记录继续保留。</x:v>
      </x:c>
    </x:row>
    <x:row r="18" ht="6" customHeight="1">
      <x:c r="A18" s="766"/>
      <x:c r="B18" s="766"/>
    </x:row>
    <x:row r="19" ht="28" customHeight="1">
      <x:c r="A19" s="782" t="str">
        <x:v>v1.9</x:v>
      </x:c>
      <x:c r="B19" s="779" t="str">
        <x:v>幕间结算、成长记录与页面整理（2026-09-22）</x:v>
      </x:c>
    </x:row>
    <x:row r="20" ht="46" customHeight="1">
      <x:c r="A20" s="782"/>
      <x:c r="B20" s="777" t="str">
        <x:v>新增“幕间与结算”工作表，提供九类幕间事项下拉；记录游戏内日期、事件、变更前值、实际增减和关系代价，确认后按属性与技能上限累计到人物卡。</x:v>
      </x:c>
    </x:row>
    <x:row r="21" ht="28" customHeight="1">
      <x:c r="A21" s="782"/>
      <x:c r="B21" s="777" t="str">
        <x:v>初始属性移至“幕间与结算”填写，主卡显示计入背景与后续变化后的累计值。</x:v>
      </x:c>
    </x:row>
    <x:row r="22" ht="46" customHeight="1">
      <x:c r="A22" s="782"/>
      <x:c r="B22" s="777" t="str">
        <x:v>技能失败结算手动录入结算前值和固定1D4结果，同一模组的同一技能只结算一次；保留成长前后值，失败标记和成长历史联动主卡。</x:v>
      </x:c>
    </x:row>
    <x:row r="23" ht="28" customHeight="1">
      <x:c r="A23" s="782"/>
      <x:c r="B23" s="777" t="str">
        <x:v>重要关系名称使用下拉选择，移除“个人／群体”占位选项。</x:v>
      </x:c>
    </x:row>
    <x:row r="24" ht="28" customHeight="1">
      <x:c r="A24" s="782"/>
      <x:c r="B24" s="777" t="str">
        <x:v>隐藏职业列表、额外技能包、子技能、附表和职业选项，规则数据继续隐藏；删除空展示页。</x:v>
      </x:c>
    </x:row>
    <x:row r="25" ht="28" customHeight="1">
      <x:c r="A25" s="782"/>
      <x:c r="B25" s="777" t="str">
        <x:v>A4打印版只保留首页深绿色主标题，背面不再重复标题；保留两页A4、页脚、行高和列宽。</x:v>
      </x:c>
    </x:row>
    <x:row r="26" ht="6" customHeight="1">
      <x:c r="A26" s="766"/>
      <x:c r="B26" s="766"/>
    </x:row>
    <x:row r="27" ht="28" customHeight="1">
      <x:c r="A27" s="782" t="str">
        <x:v>v1.8</x:v>
      </x:c>
      <x:c r="B27" s="779" t="str">
        <x:v>固定工艺技能匹配修正（2026-09-22）</x:v>
      </x:c>
    </x:row>
    <x:row r="28" ht="46" customHeight="1">
      <x:c r="A28" s="782"/>
      <x:c r="B28" s="777" t="str">
        <x:v>固定工艺按主卡已有的专攻名称匹配，调整到其他工艺行后仍计入职业值；原位置优先，同名只计一次，无匹配时仍待填，不改写玩家输入。</x:v>
      </x:c>
    </x:row>
    <x:row r="29" ht="46" customHeight="1">
      <x:c r="A29" s="782"/>
      <x:c r="B29" s="777" t="str">
        <x:v>核对计算机科学家或工程师的电工30%、机械30%、微电子40%及相关模板；工艺下拉补入“电子学”，四个工艺名称格均可选择，保留“电子”和“微电子”为独立选项。</x:v>
      </x:c>
    </x:row>
    <x:row r="30" ht="46" customHeight="1">
      <x:c r="A30" s="782"/>
      <x:c r="B30" s="777" t="str">
        <x:v>保留人物卡版式、职业任选规则、技能包逐项替换与额外技能联动；同步角色版、公开空白母版和更新记录为v1.8。</x:v>
      </x:c>
    </x:row>
    <x:row r="31" ht="6" customHeight="1">
      <x:c r="A31" s="766"/>
      <x:c r="B31" s="766"/>
    </x:row>
    <x:row r="32" ht="28" customHeight="1">
      <x:c r="A32" s="782" t="str">
        <x:v>v1.7</x:v>
      </x:c>
      <x:c r="B32" s="779" t="str">
        <x:v>技能包单项替换与分配统计（2026-09-22）</x:v>
      </x:c>
    </x:row>
    <x:row r="33" ht="28" customHeight="1">
      <x:c r="A33" s="782"/>
      <x:c r="B33" s="777" t="str">
        <x:v>技能包的模板固定项也可在右栏替换；例如将运动员的一项换成其他技能，清空手选后恢复该模板默认项。</x:v>
      </x:c>
    </x:row>
    <x:row r="34" ht="46" customHeight="1">
      <x:c r="A34" s="782"/>
      <x:c r="B34" s="777" t="str">
        <x:v>保留八项各+20、同一技能可重复分配及创建上限80%；非自然知识不能通过技能包提升，原有任选与专攻范围保持不变。</x:v>
      </x:c>
    </x:row>
    <x:row r="35" ht="28" customHeight="1">
      <x:c r="A35" s="782"/>
      <x:c r="B35" s="777" t="str">
        <x:v>将分配统计移到第八项技能之后，八项连续排列，便于逐项核对。</x:v>
      </x:c>
    </x:row>
    <x:row r="36" ht="28" customHeight="1">
      <x:c r="A36" s="782"/>
      <x:c r="B36" s="777" t="str">
        <x:v>保留原人物卡行高、列宽及其余联动；同步角色版、公开空白母版和更新记录为v1.7。</x:v>
      </x:c>
    </x:row>
    <x:row r="37" ht="6" customHeight="1">
      <x:c r="A37" s="766"/>
      <x:c r="B37" s="766"/>
    </x:row>
    <x:row r="38" ht="28" customHeight="1">
      <x:c r="A38" s="782" t="str">
        <x:v>v1.6</x:v>
      </x:c>
      <x:c r="B38" s="779" t="str">
        <x:v>导航、模组备忘录与打印占位（2026-09-22）</x:v>
      </x:c>
    </x:row>
    <x:row r="39" ht="46" customHeight="1">
      <x:c r="A39" s="782"/>
      <x:c r="B39" s="777" t="str">
        <x:v>规则速查由68个分类链接精简为12个主题导航；冻结前8行替代原25行，保留538条正文，并提示筛选后先清除筛选再跳转。</x:v>
      </x:c>
    </x:row>
    <x:row r="40" ht="28" customHeight="1">
      <x:c r="A40" s="782"/>
      <x:c r="B40" s="777" t="str">
        <x:v>清理规则速查、精神疾病与参考选项中的出处栏目及备注末尾出处行，参考内容仍完整留在工作表中。</x:v>
      </x:c>
    </x:row>
    <x:row r="41" ht="28" customHeight="1">
      <x:c r="A41" s="782"/>
      <x:c r="B41" s="777" t="str">
        <x:v>新增20条空白场次的模组经历备忘录，可记录日期、行动、掌局者、同行特工、结果、角色变化与下次备忘。</x:v>
      </x:c>
    </x:row>
    <x:row r="42" ht="46" customHeight="1">
      <x:c r="A42" s="782"/>
      <x:c r="B42" s="777" t="str">
        <x:v>主卡底部和备忘录加入绿箱生成器、规则速查和版本记录入口；绿箱地址为 https://greenbox.thebackstop.app/。</x:v>
      </x:c>
    </x:row>
    <x:row r="43" ht="28" customHeight="1">
      <x:c r="A43" s="782"/>
      <x:c r="B43" s="777" t="str">
        <x:v>v0.4之后版本改编维护：Lindrich King，QQ：2113155803；保留原版作者DKWings及既有历史记录。</x:v>
      </x:c>
    </x:row>
    <x:row r="44" ht="28" customHeight="1">
      <x:c r="A44" s="782"/>
      <x:c r="B44" s="777" t="str">
        <x:v>项目入口：https://github.com/Shylosia/DeltaGreen。仓库发布空白母版；已填写角色版保留在本地。</x:v>
      </x:c>
    </x:row>
    <x:row r="45" ht="46" customHeight="1">
      <x:c r="A45" s="782"/>
      <x:c r="B45" s="777" t="str">
        <x:v>打印页135处数值或基础等级标签在空白时以0占位；姓名、专攻名称、背景叙述继续留白。未填力量时伤害加成显示0。</x:v>
      </x:c>
    </x:row>
    <x:row r="46" ht="28" customHeight="1">
      <x:c r="A46" s="782"/>
      <x:c r="B46" s="777" t="str">
        <x:v>同步版本v1.6。保留原人物卡与A4表的行高列宽、原有联动及已填写角色内容；新增底部导航不移动原外框。</x:v>
      </x:c>
    </x:row>
    <x:row r="47" ht="28" customHeight="1">
      <x:c r="A47" s="782"/>
      <x:c r="B47" s="777" t="str">
        <x:v>精简属性、规则和操作备注，删除坐标引导、页码引用及重复提示；关闭重复输入浮窗，保留输入错误提示。</x:v>
      </x:c>
    </x:row>
    <x:row r="48" ht="28" customHeight="1">
      <x:c r="A48" s="782"/>
      <x:c r="B48" s="777" t="str">
        <x:v>规则速查去掉条目后的“｜说明”等冗词；参考选项的共用规则集中保留，更新记录按版本倒序排列。</x:v>
      </x:c>
    </x:row>
    <x:row r="49" ht="46" customHeight="1">
      <x:c r="A49" s="782"/>
      <x:c r="B49" s="777" t="str">
        <x:v>统一新增工作表的黑灰、浅蓝配色、字体及细边框，与人物卡保持一致；原人物卡和A4打印表的行列尺寸保持不变。</x:v>
      </x:c>
    </x:row>
    <x:row r="50" ht="28" customHeight="1">
      <x:c r="A50" s="782"/>
      <x:c r="B50" s="777" t="str">
        <x:v>保留职业候选的下拉勾选与空候选隐藏；计数处显示“下拉选”及已选数量，检查选择状态和技能数值联动。</x:v>
      </x:c>
    </x:row>
    <x:row r="51" ht="6" customHeight="1">
      <x:c r="A51" s="766"/>
      <x:c r="B51" s="766"/>
    </x:row>
    <x:row r="52" ht="28" customHeight="1">
      <x:c r="A52" s="782" t="str">
        <x:v>v1.5</x:v>
      </x:c>
      <x:c r="B52" s="779" t="str">
        <x:v>属性备注与可见参考表（2026-09-22）</x:v>
      </x:c>
    </x:row>
    <x:row r="53" ht="28" customHeight="1">
      <x:c r="A53" s="782"/>
      <x:c r="B53" s="777" t="str">
        <x:v>新增45条基础属性和关键输入说明，正文8pt、标题9pt，保留原技能备注。</x:v>
      </x:c>
    </x:row>
    <x:row r="54" ht="28" customHeight="1">
      <x:c r="A54" s="782"/>
      <x:c r="B54" s="777" t="str">
        <x:v>职业任选改为原位☑／☐状态选择，只显示当前职业有效候选，修复固定多余勾选框；切换职业后核对已有选择。</x:v>
      </x:c>
    </x:row>
    <x:row r="55" ht="46" customHeight="1">
      <x:c r="A55" s="782"/>
      <x:c r="B55" s="777" t="str">
        <x:v>规则速查完整保留在工作簿；新增精神疾病与参考选项两张可编辑表，共87条手册参考，精神疾病含18项及细项、永久疯狂。</x:v>
      </x:c>
    </x:row>
    <x:row r="56" ht="28" customHeight="1">
      <x:c r="A56" s="782"/>
      <x:c r="B56" s="777" t="str">
        <x:v>非自然背景心理疾病下拉引用新表适用的8项；特训名称新增14项手册范例下拉，仍可自填。</x:v>
      </x:c>
    </x:row>
    <x:row r="57" ht="46" customHeight="1">
      <x:c r="A57" s="782"/>
      <x:c r="B57" s="777" t="str">
        <x:v>同步主卡、打印页和文档版本为v1.5；保留当前角色填写、原行高列宽与外框排版。状态区仅拆分原文字预留空间。</x:v>
      </x:c>
    </x:row>
    <x:row r="58" ht="28" customHeight="1">
      <x:c r="A58" s="782"/>
      <x:c r="B58" s="777" t="str">
        <x:v>本次交付为xlsx，所有规则和参考内容都在工作表中，无需另开PDF。</x:v>
      </x:c>
    </x:row>
    <x:row r="59" ht="6" customHeight="1">
      <x:c r="A59" s="766"/>
      <x:c r="B59" s="766"/>
    </x:row>
    <x:row r="60" ht="28" customHeight="1">
      <x:c r="A60" s="782" t="str">
        <x:v>v1.4</x:v>
      </x:c>
      <x:c r="B60" s="779" t="str">
        <x:v>装备、额外技能与创伤联动（2026-09-21）</x:v>
      </x:c>
    </x:row>
    <x:row r="61" ht="28" customHeight="1">
      <x:c r="A61" s="782"/>
      <x:c r="B61" s="777" t="str">
        <x:v>54项武器下拉按特工手册v2.0.1，自动带入技能、伤害、穿甲、射程与半径；增加护甲和特训对应项下拉。</x:v>
      </x:c>
    </x:row>
    <x:row r="62" ht="28" customHeight="1">
      <x:c r="A62" s="782"/>
      <x:c r="B62" s="777" t="str">
        <x:v>技能包自动分配八次+20；原框内选择可选项，科学等细项直接读取主卡，支持个人特长重复分配和80上限提示。</x:v>
      </x:c>
    </x:row>
    <x:row r="63" ht="28" customHeight="1">
      <x:c r="A63" s="782"/>
      <x:c r="B63" s="777" t="str">
        <x:v>创伤背景联动神秘学、非自然知识、理智、毅力、意志、魅力、适应与关系；艰苦经历五项在原框填写。</x:v>
      </x:c>
    </x:row>
    <x:row r="64" ht="28" customHeight="1">
      <x:c r="A64" s="782"/>
      <x:c r="B64" s="777" t="str">
        <x:v>创伤区填写原始意志与魅力，属性区显示修正后的数值；普通三种创伤不自动重置崩溃点。</x:v>
      </x:c>
    </x:row>
    <x:row r="65" ht="28" customHeight="1">
      <x:c r="A65" s="782"/>
      <x:c r="B65" s="777" t="str">
        <x:v>新增规则速查工作表：纯Excel文字表格，补齐检定、对抗、战斗、治疗及理智等；冲突以指定特工手册为准。</x:v>
      </x:c>
    </x:row>
    <x:row r="66" ht="28" customHeight="1">
      <x:c r="A66" s="782"/>
      <x:c r="B66" s="777" t="str">
        <x:v>保持原行高、列宽与既有合并；新增输入仅用原空白区域；人物卡A4可编辑打印表仍置于最后。</x:v>
      </x:c>
    </x:row>
    <x:row r="67" ht="6" customHeight="1">
      <x:c r="A67" s="766"/>
      <x:c r="B67" s="766"/>
    </x:row>
    <x:row r="68" ht="28" customHeight="1">
      <x:c r="A68" s="782" t="str">
        <x:v>v1.3</x:v>
      </x:c>
      <x:c r="B68" s="779" t="str">
        <x:v>原位职业选择与可编辑A4打印（2026-09-21）</x:v>
      </x:c>
    </x:row>
    <x:row r="69" ht="28" customHeight="1">
      <x:c r="A69" s="782"/>
      <x:c r="B69" s="777" t="str">
        <x:v>原职业候选框直接勾选，职业值由隐藏表自动计算；使用普通查表公式。</x:v>
      </x:c>
    </x:row>
    <x:row r="70" ht="28" customHeight="1">
      <x:c r="A70" s="782"/>
      <x:c r="B70" s="777" t="str">
        <x:v>科学、外语、工艺等细项直接填入人物卡对应格，不再跳到职业选项页。</x:v>
      </x:c>
    </x:row>
    <x:row r="71" ht="28" customHeight="1">
      <x:c r="A71" s="782"/>
      <x:c r="B71" s="777" t="str">
        <x:v>人类学／考古学的固定二选一在职业框内补充选择格；重复、超选和未填细项仍提示。</x:v>
      </x:c>
    </x:row>
    <x:row r="72" ht="28" customHeight="1">
      <x:c r="A72" s="782"/>
      <x:c r="B72" s="777" t="str">
        <x:v>保留当前角色输入；切换职业后核对旧选择和细项。</x:v>
      </x:c>
    </x:row>
    <x:row r="73" ht="28" customHeight="1">
      <x:c r="A73" s="782"/>
      <x:c r="B73" s="777" t="str">
        <x:v>备注正文8pt、标题9pt，删除尾部空白并按实际文字收紧备注框。</x:v>
      </x:c>
    </x:row>
    <x:row r="74" ht="28" customHeight="1">
      <x:c r="A74" s="782"/>
      <x:c r="B74" s="777" t="str">
        <x:v>末页重建为纯单元格文字与边框表格，无底图或文字框；完整引用人物数据，仍为两页A4。</x:v>
      </x:c>
    </x:row>
    <x:row r="75" ht="28" customHeight="1">
      <x:c r="A75" s="782"/>
      <x:c r="B75" s="777" t="str">
        <x:v>原人物卡行高、列宽和既有合并位置保留；二选一输入使用职业框原空白位置。</x:v>
      </x:c>
    </x:row>
    <x:row r="76" ht="6" customHeight="1">
      <x:c r="A76" s="766"/>
      <x:c r="B76" s="766"/>
    </x:row>
    <x:row r="77" ht="28" customHeight="1">
      <x:c r="A77" s="782" t="str">
        <x:v>v1.2</x:v>
      </x:c>
      <x:c r="B77" s="779" t="str">
        <x:v>技能悬停说明（2026-09-21）</x:v>
      </x:c>
    </x:row>
    <x:row r="78" ht="28" customHeight="1">
      <x:c r="A78" s="782"/>
      <x:c r="B78" s="777" t="str">
        <x:v>人物卡43种技能、56个技能名称格新增备注；鼠标悬停即可查看基础等级与完整说明。</x:v>
      </x:c>
    </x:row>
    <x:row r="79" ht="28" customHeight="1">
      <x:c r="A79" s="782"/>
      <x:c r="B79" s="777" t="str">
        <x:v>专攻技能各重复栏位均可查看；清理原文页眉、页码及断行，脚注按所属技能归位。</x:v>
      </x:c>
    </x:row>
    <x:row r="80" ht="28" customHeight="1">
      <x:c r="A80" s="782"/>
      <x:c r="B80" s="777" t="str">
        <x:v>保留原技能规则与措辞，现有职业勾选联动、原表排版和两页A4打印设置不变。</x:v>
      </x:c>
    </x:row>
    <x:row r="81" ht="6" customHeight="1">
      <x:c r="A81" s="766"/>
      <x:c r="B81" s="766"/>
    </x:row>
    <x:row r="82" ht="28" customHeight="1">
      <x:c r="A82" s="782" t="str">
        <x:v>v1.1</x:v>
      </x:c>
      <x:c r="B82" s="779" t="str">
        <x:v>职业任选勾选联动（2026-09-21）</x:v>
      </x:c>
    </x:row>
    <x:row r="83" ht="28" customHeight="1">
      <x:c r="A83" s="782"/>
      <x:c r="B83" s="777" t="str">
        <x:v>点击人物卡候选文字直达职业选项，勾选 N 项；各职业及子模板独立保存。</x:v>
      </x:c>
    </x:row>
    <x:row r="84" ht="28" customHeight="1">
      <x:c r="A84" s="782"/>
      <x:c r="B84" s="777" t="str">
        <x:v>新增职业选项页：固定任选、二选一及候选细项均可设置；点击人物卡提示区定位。</x:v>
      </x:c>
    </x:row>
    <x:row r="85" ht="28" customHeight="1">
      <x:c r="A85" s="782"/>
      <x:c r="B85" s="777" t="str">
        <x:v>职业值取模板最终水平；重复技能提示，超选时任选值暂不计入，取消勾选立即撤回。</x:v>
      </x:c>
    </x:row>
    <x:row r="86" ht="28" customHeight="1">
      <x:c r="A86" s="782"/>
      <x:c r="B86" s="777" t="str">
        <x:v>职业列表缺百分号的候选也可解析；明确的重型武器升级项以50替换40。</x:v>
      </x:c>
    </x:row>
    <x:row r="87" ht="28" customHeight="1">
      <x:c r="A87" s="782"/>
      <x:c r="B87" s="777" t="str">
        <x:v>原表行高、列宽、合并和A4两页打印设置保留；打印数据同步更新。</x:v>
      </x:c>
    </x:row>
    <x:row r="88" ht="28" customHeight="1">
      <x:c r="A88" s="782"/>
      <x:c r="B88" s="777" t="str">
        <x:v>各细项按来源固定占位；先确定职业与细项再填额外、成长，改选后核对。</x:v>
      </x:c>
    </x:row>
    <x:row r="89" ht="6" customHeight="1">
      <x:c r="A89" s="766"/>
      <x:c r="B89" s="766"/>
    </x:row>
    <x:row r="90" ht="28" customHeight="1">
      <x:c r="A90" s="782" t="str">
        <x:v>v1.0</x:v>
      </x:c>
      <x:c r="B90" s="779" t="str">
        <x:v>2026-09-21 · 职业联动与A4打印版</x:v>
      </x:c>
    </x:row>
    <x:row r="91" ht="28" customHeight="1">
      <x:c r="A91" s="782"/>
      <x:c r="B91" s="777" t="str">
        <x:v>新增：最后一张工作表“可打印版（A4）”，保留提供PDF的表框、标题与底纹。</x:v>
      </x:c>
    </x:row>
    <x:row r="92" ht="28" customHeight="1">
      <x:c r="A92" s="782"/>
      <x:c r="B92" s="777" t="str">
        <x:v>打印：原PDF为Letter；新表固定A4纵向、两页、指定打印区域及分页，支持双面长边翻页。</x:v>
      </x:c>
    </x:row>
    <x:row r="93" ht="28" customHeight="1">
      <x:c r="A93" s="782"/>
      <x:c r="B93" s="777" t="str">
        <x:v>联动：打印版自动引用人物卡的身份、属性、衍生属性、技能、关系、背景、装备、武器及特训。</x:v>
      </x:c>
    </x:row>
    <x:row r="94" ht="28" customHeight="1">
      <x:c r="A94" s="782"/>
      <x:c r="B94" s="777" t="str">
        <x:v>续栏：超出原PDF容量的重要关系、细分技能、其他技能和特训转入背面个人详情及备注。</x:v>
      </x:c>
    </x:row>
    <x:row r="95" ht="28" customHeight="1">
      <x:c r="A95" s="782"/>
      <x:c r="B95" s="777" t="str">
        <x:v>职业：选择职业及适用子模板后自动填写固定技能；任选项由玩家确认后填写。</x:v>
      </x:c>
    </x:row>
    <x:row r="96" ht="28" customHeight="1">
      <x:c r="A96" s="782"/>
      <x:c r="B96" s="777" t="str">
        <x:v>修复：职业公式空白时正确回落到基础值；保留额外与成长加点；补全职业下拉前两项。</x:v>
      </x:c>
    </x:row>
    <x:row r="97" ht="28" customHeight="1">
      <x:c r="A97" s="782"/>
      <x:c r="B97" s="777" t="str">
        <x:v>修复：武器致死率保留百分号并填入致死等级列；多项细分技能通过独立行与背面续栏完整呈现。</x:v>
      </x:c>
    </x:row>
    <x:row r="98" ht="28" customHeight="1">
      <x:c r="A98" s="782"/>
      <x:c r="B98" s="777" t="str">
        <x:v>保留：原有工作表的行高、列宽、合并、样式和历史更新记录不变。</x:v>
      </x:c>
    </x:row>
    <x:row r="99" ht="28" customHeight="1">
      <x:c r="A99" s="782"/>
      <x:c r="B99" s="777" t="str">
        <x:v>使用：先在“人物卡”编辑，后选择“可打印版（A4）”打印活动工作表；使用A4纸、100%缩放。</x:v>
      </x:c>
    </x:row>
    <x:row r="100" ht="28" customHeight="1">
      <x:c r="A100" s="782"/>
      <x:c r="B100" s="777" t="str">
        <x:v>注意：手动输入职业格会覆盖该格公式；建议保留母版，每名角色另存一份。</x:v>
      </x:c>
    </x:row>
    <x:row r="101" ht="28" customHeight="1">
      <x:c r="A101" s="782"/>
      <x:c r="B101" s="777" t="str">
        <x:v>说明：新打印页采用高分辨率原版式图与联动文字层；表框不是可单独编辑的Excel单元格。</x:v>
      </x:c>
    </x:row>
    <x:row r="102" ht="28" customHeight="1">
      <x:c r="A102" s="782"/>
      <x:c r="B102" s="777" t="str">
        <x:v>说明：原表没有的伤后急救确认、日常变故、弹药及签字保留空白，供纸上补填。</x:v>
      </x:c>
    </x:row>
    <x:row r="103" ht="28" customHeight="1">
      <x:c r="A103" s="782"/>
      <x:c r="B103" s="777" t="str">
        <x:v>已知：原模板“陆军（陆军）40%”名称异常及特种作战员子模板映射沿用原表。</x:v>
      </x:c>
    </x:row>
    <x:row r="104" ht="28" customHeight="1">
      <x:c r="A104" s="782"/>
      <x:c r="B104" s="777" t="str">
        <x:v>打印页保留原表框及文字结构；原作者信息保留。</x:v>
      </x:c>
    </x:row>
    <x:row r="105" ht="6" customHeight="1">
      <x:c r="A105" s="766"/>
      <x:c r="B105" s="766"/>
    </x:row>
    <x:row r="106" ht="28" customHeight="1">
      <x:c r="A106" s="782" t="str">
        <x:v>v0.4.7</x:v>
      </x:c>
      <x:c r="B106" s="779" t="str">
        <x:v>根据官方中文版规则书（2022-8-28）更新了部分译名。</x:v>
      </x:c>
    </x:row>
    <x:row r="107" ht="28" customHeight="1">
      <x:c r="A107" s="782"/>
      <x:c r="B107" s="777" t="str">
        <x:v>同上，根据新版官方人物卡，去除了“代号”一格。</x:v>
      </x:c>
    </x:row>
    <x:row r="108" ht="28" customHeight="1">
      <x:c r="A108" s="782"/>
      <x:c r="B108" s="777" t="str">
        <x:v>修正了创伤经历-艰苦经历的内容。</x:v>
      </x:c>
    </x:row>
    <x:row r="109" ht="28" customHeight="1">
      <x:c r="A109" s="782"/>
      <x:c r="B109" s="777" t="str">
        <x:v>细节格式修正。</x:v>
      </x:c>
    </x:row>
    <x:row r="110" ht="6" customHeight="1">
      <x:c r="A110" s="766"/>
      <x:c r="B110" s="766"/>
    </x:row>
    <x:row r="111" ht="28" customHeight="1">
      <x:c r="A111" s="782" t="str">
        <x:v>v0.4.6</x:v>
      </x:c>
      <x:c r="B111" s="779" t="str">
        <x:v>修正了Excel 2019或更低版本无法使用职业列表的问题。</x:v>
      </x:c>
    </x:row>
    <x:row r="112" ht="28" customHeight="1">
      <x:c r="A112" s="782"/>
      <x:c r="B112" s="777" t="str">
        <x:v>修正了深色行的成长勾的背景颜色错误的问题。</x:v>
      </x:c>
    </x:row>
    <x:row r="113" ht="6" customHeight="1">
      <x:c r="A113" s="766"/>
      <x:c r="B113" s="766"/>
    </x:row>
    <x:row r="114" ht="28" customHeight="1">
      <x:c r="A114" s="782" t="str">
        <x:v>v0.4.5</x:v>
      </x:c>
      <x:c r="B114" s="779" t="str">
        <x:v>修改：专攻技能的骰子指令现在只使用专攻名（括号内的技能）。</x:v>
      </x:c>
    </x:row>
    <x:row r="115" ht="6" customHeight="1">
      <x:c r="A115" s="766"/>
      <x:c r="B115" s="766"/>
    </x:row>
    <x:row r="116" ht="28" customHeight="1">
      <x:c r="A116" s="782" t="str">
        <x:v>v0.4.4</x:v>
      </x:c>
      <x:c r="B116" s="779" t="str">
        <x:v>修复创伤经历在WPS下显示错误的问题。</x:v>
      </x:c>
    </x:row>
    <x:row r="117" ht="28" customHeight="1">
      <x:c r="A117" s="782"/>
      <x:c r="B117" s="777" t="str">
        <x:v>修正了USSS贴身警卫处的职业技能。</x:v>
      </x:c>
    </x:row>
    <x:row r="118" ht="6" customHeight="1">
      <x:c r="A118" s="766"/>
      <x:c r="B118" s="766"/>
    </x:row>
    <x:row r="119" ht="28" customHeight="1">
      <x:c r="A119" s="782" t="str">
        <x:v>v0.4.3</x:v>
      </x:c>
      <x:c r="B119" s="779" t="str">
        <x:v>新功能：显示职业技能点对应的初始重要关系数。</x:v>
      </x:c>
    </x:row>
    <x:row r="120" ht="28" customHeight="1">
      <x:c r="A120" s="782"/>
      <x:c r="B120" s="777" t="str">
        <x:v>新功能：创伤背景查找表。</x:v>
      </x:c>
    </x:row>
    <x:row r="121" ht="28" customHeight="1">
      <x:c r="A121" s="782"/>
      <x:c r="B121" s="777" t="str">
        <x:v>修复职业技能点计算错误的问题。</x:v>
      </x:c>
    </x:row>
    <x:row r="122" ht="6" customHeight="1">
      <x:c r="A122" s="766"/>
      <x:c r="B122" s="766"/>
    </x:row>
    <x:row r="123" ht="28" customHeight="1">
      <x:c r="A123" s="782" t="str">
        <x:v>v0.4.2</x:v>
      </x:c>
      <x:c r="B123" s="779" t="str">
        <x:v>修复DB在WPS下显示错误的问题。</x:v>
      </x:c>
    </x:row>
    <x:row r="124" ht="6" customHeight="1">
      <x:c r="A124" s="766"/>
      <x:c r="B124" s="766"/>
    </x:row>
    <x:row r="125" ht="28" customHeight="1">
      <x:c r="A125" s="782" t="str">
        <x:v>v0.4.1</x:v>
      </x:c>
      <x:c r="B125" s="779" t="str">
        <x:v>职业模板：为职业模板页添加了5个可以自由编辑的栏。</x:v>
      </x:c>
    </x:row>
    <x:row r="126" ht="28" customHeight="1">
      <x:c r="A126" s="782"/>
      <x:c r="B126" s="777" t="str">
        <x:v>外观：带有职业技能值的技能，基础技能值现在会显示为灰色。</x:v>
      </x:c>
    </x:row>
    <x:row r="127" ht="28" customHeight="1">
      <x:c r="A127" s="782"/>
      <x:c r="B127" s="777" t="str">
        <x:v>修正了部分子模板错误。</x:v>
      </x:c>
    </x:row>
    <x:row r="128" ht="28" customHeight="1">
      <x:c r="A128" s="782"/>
      <x:c r="B128" s="777" t="str">
        <x:v>修正了工艺技能下拉菜单不全的问题。</x:v>
      </x:c>
    </x:row>
    <x:row r="129" ht="6" customHeight="1">
      <x:c r="A129" s="766"/>
      <x:c r="B129" s="766"/>
    </x:row>
    <x:row r="130" ht="28" customHeight="1">
      <x:c r="A130" s="782" t="str">
        <x:v>v0.4.0</x:v>
      </x:c>
      <x:c r="B130" s="779" t="str">
        <x:v>添加了来自CBP、ATF、USSS、USCG的职业模板。</x:v>
      </x:c>
    </x:row>
    <x:row r="131" ht="6" customHeight="1">
      <x:c r="A131" s="766"/>
      <x:c r="B131" s="766"/>
    </x:row>
    <x:row r="132" ht="28" customHeight="1">
      <x:c r="A132" s="782" t="str">
        <x:v>v0.3.1</x:v>
      </x:c>
      <x:c r="B132" s="779" t="str">
        <x:v>修正了创建新职业的本职技能点的叙述。</x:v>
      </x:c>
    </x:row>
    <x:row r="133" ht="6" customHeight="1">
      <x:c r="A133" s="766"/>
      <x:c r="B133" s="766"/>
    </x:row>
    <x:row r="134" ht="28" customHeight="1">
      <x:c r="A134" s="782" t="str">
        <x:v>v0.3.0</x:v>
      </x:c>
      <x:c r="B134" s="779" t="str">
        <x:v>新功能：职业技能模板查询。现在包含《特工手册》上的所有职业。</x:v>
      </x:c>
    </x:row>
    <x:row r="135" ht="28" customHeight="1">
      <x:c r="A135" s="782"/>
      <x:c r="B135" s="777" t="str">
        <x:v>新功能：可选额外技能包查询。</x:v>
      </x:c>
    </x:row>
    <x:row r="136" ht="28" customHeight="1">
      <x:c r="A136" s="782"/>
      <x:c r="B136" s="777" t="str">
        <x:v>新功能：骰子属性设置指令。</x:v>
      </x:c>
    </x:row>
    <x:row r="137" ht="28" customHeight="1">
      <x:c r="A137" s="782"/>
      <x:c r="B137" s="777" t="str">
        <x:v>改动了“总本职技能点”的计算方式：现在是技能值减去基础值。</x:v>
      </x:c>
    </x:row>
    <x:row r="138" ht="6" customHeight="1">
      <x:c r="A138" s="766"/>
      <x:c r="B138" s="766"/>
    </x:row>
    <x:row r="139" ht="28" customHeight="1">
      <x:c r="A139" s="782" t="str">
        <x:v>v0.2.1</x:v>
      </x:c>
      <x:c r="B139" s="779" t="str">
        <x:v>移除非自然知识技能前的方框</x:v>
      </x:c>
    </x:row>
    <x:row r="140" ht="28" customHeight="1">
      <x:c r="A140" s="782"/>
      <x:c r="B140" s="777" t="str">
        <x:v>修复了右栏技能方框无法编辑的问题</x:v>
      </x:c>
    </x:row>
    <x:row r="141" ht="28" customHeight="1">
      <x:c r="A141" s="782"/>
      <x:c r="B141" s="777" t="str">
        <x:v>修复了部分行突出属性颜色错误的问题。</x:v>
      </x:c>
    </x:row>
    <x:row r="142" ht="28" customHeight="1">
      <x:c r="A142" s="782"/>
      <x:c r="B142" s="777" t="str">
        <x:v>增加了几个科学技能。</x:v>
      </x:c>
    </x:row>
    <x:row r="143" ht="6" customHeight="1">
      <x:c r="A143" s="766"/>
      <x:c r="B143" s="766"/>
    </x:row>
    <x:row r="144" ht="28" customHeight="1">
      <x:c r="A144" s="782" t="str">
        <x:v>v0.2.0</x:v>
      </x:c>
      <x:c r="B144" s="779" t="str">
        <x:v>大幅度调整布局</x:v>
      </x:c>
    </x:row>
    <x:row r="145" ht="28" customHeight="1">
      <x:c r="A145" s="782"/>
      <x:c r="B145" s="777" t="str">
        <x:v>增加工艺（电子）</x:v>
      </x:c>
    </x:row>
    <x:row r="146" ht="6" customHeight="1">
      <x:c r="A146" s="766"/>
      <x:c r="B146" s="766"/>
    </x:row>
    <x:row r="147" ht="28" customHeight="1">
      <x:c r="A147" s="782" t="str">
        <x:v>v0.1.2</x:v>
      </x:c>
      <x:c r="B147" s="779" t="str">
        <x:v>自动填写初始衍生属性值</x:v>
      </x:c>
    </x:row>
    <x:row r="148" ht="28" customHeight="1">
      <x:c r="A148" s="782"/>
      <x:c r="B148" s="777" t="str">
        <x:v>修复了WPS体力上限显示错误的问题</x:v>
      </x:c>
    </x:row>
    <x:row r="149" ht="28" customHeight="1">
      <x:c r="A149" s="782"/>
      <x:c r="B149" s="777" t="str">
        <x:v>修复了理智上限应该是99-非自然知识的问题</x:v>
      </x:c>
    </x:row>
    <x:row r="150" ht="28" customHeight="1">
      <x:c r="A150" s="782"/>
      <x:c r="B150" s="777" t="str">
        <x:v>删除了重要关系上限（因为并没有上限）</x:v>
      </x:c>
    </x:row>
    <x:row r="151" ht="28" customHeight="1">
      <x:c r="A151" s="782"/>
      <x:c r="B151" s="777" t="str">
        <x:v>修复了重要关系计数错误的问题</x:v>
      </x:c>
    </x:row>
    <x:row r="152" ht="28" customHeight="1">
      <x:c r="A152" s="782"/>
      <x:c r="B152" s="777" t="str">
        <x:v>调整外观</x:v>
      </x:c>
    </x:row>
    <x:row r="153" ht="6" customHeight="1">
      <x:c r="A153" s="766"/>
      <x:c r="B153" s="766"/>
    </x:row>
    <x:row r="154" ht="28" customHeight="1">
      <x:c r="A154" s="782" t="str">
        <x:v>v0.1.1</x:v>
      </x:c>
      <x:c r="B154" s="779" t="str">
        <x:v>增加了武器栏、护甲栏、物品栏和背景栏</x:v>
      </x:c>
    </x:row>
    <x:row r="155" ht="28" customHeight="1">
      <x:c r="A155" s="782"/>
      <x:c r="B155" s="777" t="str">
        <x:v>重要关系栏：增添计数以及CHA显示</x:v>
      </x:c>
    </x:row>
    <x:row r="156" ht="28" customHeight="1">
      <x:c r="A156" s="782"/>
      <x:c r="B156" s="777" t="str">
        <x:v>职业技能点现在替换基础技能点，而不是增添</x:v>
      </x:c>
    </x:row>
    <x:row r="157" ht="6" customHeight="1">
      <x:c r="A157" s="766"/>
      <x:c r="B157" s="766"/>
    </x:row>
    <x:row r="158" ht="28" customHeight="1">
      <x:c r="A158" s="782" t="str">
        <x:v>v0.1.0</x:v>
      </x:c>
      <x:c r="B158" s="779" t="str">
        <x:v>第一版</x:v>
      </x:c>
    </x:row>
  </x:sheetData>
  <x:mergeCells>
    <x:mergeCell ref="A1:B1"/>
  </x:mergeCells>
  <x:hyperlinks>
    <x:hyperlink xmlns:ns0="http://schemas.openxmlformats.org/officeDocument/2006/relationships" ref="B4" ns0:id="rIdHistory1"/>
    <x:hyperlink xmlns:ns1="http://schemas.openxmlformats.org/officeDocument/2006/relationships" ref="B6" ns1:id="rIdHistory2"/>
    <x:hyperlink ref="A8" location="'人物卡'!B2"/>
    <x:hyperlink xmlns:ns2="http://schemas.openxmlformats.org/officeDocument/2006/relationships" ref="B8" ns2:id="rIdHistory4"/>
  </x:hyperlinks>
  <x:printOptions horizontalCentered="1"/>
  <x:pageMargins left="0.25" right="0.25" top="0.35" bottom="0.35" header="0.15" footer="0.15"/>
  <x:pageSetup paperSize="9" orientation="landscape" fitToWidth="1" fitToHeight="0"/>
</x: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6">
      <c r="S1" t="s">
        <v>661</v>
      </c>
      <c r="T1">
        <f>IFERROR(MATCH(附表!$D$11,职业列表!$A$1:$A$106,0),2)</f>
        <v>2</v>
      </c>
    </row>
    <row r="2" spans="1:26">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AND(C2="工艺",E2="",F2&lt;&gt;""),IF(AND(I2="工艺1",TRIM(人物卡!J25)=F2),"J25",IF(AND(I2="工艺2",TRIM(人物卡!J26)=F2),"J26",IF(AND(I2="工艺3",TRIM(人物卡!J27)=F2),"J27",IF(AND(I2="工艺4",TRIM(人物卡!J28)=F2),"J28",IF(TRIM(人物卡!J25)=F2,"J25",IF(TRIM(人物卡!J26)=F2,"J26",IF(TRIM(人物卡!J27)=F2,"J27",IF(TRIM(人物卡!J28)=F2,"J28",IF(INDEX($L$1:$L$1611,$T$2+0)="","",INDEX($L$1:$L$1611,$T$2+0)))))))))),IF(INDEX($L$1:$L$1611,$T$2+0)="","",INDEX($L$1:$L$1611,$T$2+0)))</f>
        <v/>
      </c>
      <c r="Q2" t="str">
        <f ca="1">IF(INDEX($M$1:$M$1611,$T$2+0)="","",INDEX($M$1:$M$1611,$T$2+0))</f>
        <v>D2</v>
      </c>
      <c r="R2" t="b">
        <f ca="1">INDEX($N$1:$N$1611,$T$2+0)</f>
        <v>0</v>
      </c>
      <c r="T2">
        <f>IFERROR(MATCH(T1,$A$100:$A$1611,0)+99,100)</f>
        <v>100</v>
      </c>
      <c r="Z2" s="0" t="b">
        <f>AND(附表!$I$12,A18&lt;&gt;"",人物卡!P49="☑")</f>
        <v>0</v>
      </c>
      <c r="AA2" s="0" t="inlineStr">
        <is>
          <t xml:space="preserve">☐</t>
        </is>
      </c>
    </row>
    <row r="3" spans="1:26">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AND(C3="工艺",E3="",F3&lt;&gt;""),IF(AND(I3="工艺1",TRIM(人物卡!J25)=F3),"J25",IF(AND(I3="工艺2",TRIM(人物卡!J26)=F3),"J26",IF(AND(I3="工艺3",TRIM(人物卡!J27)=F3),"J27",IF(AND(I3="工艺4",TRIM(人物卡!J28)=F3),"J28",IF(TRIM(人物卡!J25)=F3,"J25",IF(TRIM(人物卡!J26)=F3,"J26",IF(TRIM(人物卡!J27)=F3,"J27",IF(TRIM(人物卡!J28)=F3,"J28",IF(INDEX($L$1:$L$1611,$T$2+1)="","",INDEX($L$1:$L$1611,$T$2+1)))))))))),IF(INDEX($L$1:$L$1611,$T$2+1)="","",INDEX($L$1:$L$1611,$T$2+1)))</f>
        <v/>
      </c>
      <c r="Q3" t="str">
        <f ca="1">IF(INDEX($M$1:$M$1611,$T$2+1)="","",INDEX($M$1:$M$1611,$T$2+1))</f>
        <v>E2</v>
      </c>
      <c r="R3" t="b">
        <f ca="1">INDEX($N$1:$N$1611,$T$2+1)</f>
        <v>0</v>
      </c>
      <c r="S3" t="s">
        <v>662</v>
      </c>
      <c r="T3">
        <f>IFERROR(INDEX(职业列表!$T$1:$T$106,T1),0)</f>
        <v>0</v>
      </c>
      <c r="Z3" s="0" t="b">
        <f>AND(附表!$I$12,A19&lt;&gt;"",人物卡!P50="☑")</f>
        <v>0</v>
      </c>
      <c r="AA3" s="0" t="inlineStr">
        <is>
          <t xml:space="preserve">☑</t>
        </is>
      </c>
    </row>
    <row r="4" spans="1:26">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AND(C4="工艺",E4="",F4&lt;&gt;""),IF(AND(I4="工艺1",TRIM(人物卡!J25)=F4),"J25",IF(AND(I4="工艺2",TRIM(人物卡!J26)=F4),"J26",IF(AND(I4="工艺3",TRIM(人物卡!J27)=F4),"J27",IF(AND(I4="工艺4",TRIM(人物卡!J28)=F4),"J28",IF(TRIM(人物卡!J25)=F4,"J25",IF(TRIM(人物卡!J26)=F4,"J26",IF(TRIM(人物卡!J27)=F4,"J27",IF(TRIM(人物卡!J28)=F4,"J28",IF(INDEX($L$1:$L$1611,$T$2+2)="","",INDEX($L$1:$L$1611,$T$2+2)))))))))),IF(INDEX($L$1:$L$1611,$T$2+2)="","",INDEX($L$1:$L$1611,$T$2+2)))</f>
        <v/>
      </c>
      <c r="Q4" t="str">
        <f ca="1">IF(INDEX($M$1:$M$1611,$T$2+2)="","",INDEX($M$1:$M$1611,$T$2+2))</f>
        <v>F2</v>
      </c>
      <c r="R4" t="b">
        <f ca="1">INDEX($N$1:$N$1611,$T$2+2)</f>
        <v>0</v>
      </c>
      <c r="S4" t="s">
        <v>663</v>
      </c>
      <c r="T4">
        <f ca="1">COUNTIFS($L$18:$L$28,TRUE,$A$18:$A$28,"&lt;&gt;")</f>
        <v>0</v>
      </c>
      <c r="Z4" s="0" t="b">
        <f>AND(附表!$I$12,A20&lt;&gt;"",人物卡!P51="☑")</f>
        <v>0</v>
      </c>
      <c r="AA4" s="0" t="inlineStr">
        <is>
          <t xml:space="preserve"/>
        </is>
      </c>
    </row>
    <row r="5" spans="1:26">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AND(C5="工艺",E5="",F5&lt;&gt;""),IF(AND(I5="工艺1",TRIM(人物卡!J25)=F5),"J25",IF(AND(I5="工艺2",TRIM(人物卡!J26)=F5),"J26",IF(AND(I5="工艺3",TRIM(人物卡!J27)=F5),"J27",IF(AND(I5="工艺4",TRIM(人物卡!J28)=F5),"J28",IF(TRIM(人物卡!J25)=F5,"J25",IF(TRIM(人物卡!J26)=F5,"J26",IF(TRIM(人物卡!J27)=F5,"J27",IF(TRIM(人物卡!J28)=F5,"J28",IF(INDEX($L$1:$L$1611,$T$2+3)="","",INDEX($L$1:$L$1611,$T$2+3)))))))))),IF(INDEX($L$1:$L$1611,$T$2+3)="","",INDEX($L$1:$L$1611,$T$2+3)))</f>
        <v/>
      </c>
      <c r="Q5" t="str">
        <f ca="1">IF(INDEX($M$1:$M$1611,$T$2+3)="","",INDEX($M$1:$M$1611,$T$2+3))</f>
        <v>G2</v>
      </c>
      <c r="R5" t="b">
        <f ca="1">INDEX($N$1:$N$1611,$T$2+3)</f>
        <v>0</v>
      </c>
      <c r="S5" t="s">
        <v>664</v>
      </c>
      <c r="T5">
        <f ca="1">COUNTIF($O$18:$O$28,"&gt;0")</f>
        <v>0</v>
      </c>
      <c r="Z5" s="0" t="b">
        <f>AND(附表!$I$12,A21&lt;&gt;"",人物卡!P52="☑")</f>
        <v>0</v>
      </c>
    </row>
    <row r="6" spans="1:26">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AND(C6="工艺",E6="",F6&lt;&gt;""),IF(AND(I6="工艺1",TRIM(人物卡!J25)=F6),"J25",IF(AND(I6="工艺2",TRIM(人物卡!J26)=F6),"J26",IF(AND(I6="工艺3",TRIM(人物卡!J27)=F6),"J27",IF(AND(I6="工艺4",TRIM(人物卡!J28)=F6),"J28",IF(TRIM(人物卡!J25)=F6,"J25",IF(TRIM(人物卡!J26)=F6,"J26",IF(TRIM(人物卡!J27)=F6,"J27",IF(TRIM(人物卡!J28)=F6,"J28",IF(INDEX($L$1:$L$1611,$T$2+4)="","",INDEX($L$1:$L$1611,$T$2+4)))))))))),IF(INDEX($L$1:$L$1611,$T$2+4)="","",INDEX($L$1:$L$1611,$T$2+4)))</f>
        <v/>
      </c>
      <c r="Q6" t="str">
        <f ca="1">IF(INDEX($M$1:$M$1611,$T$2+4)="","",INDEX($M$1:$M$1611,$T$2+4))</f>
        <v>H2</v>
      </c>
      <c r="R6" t="b">
        <f ca="1">INDEX($N$1:$N$1611,$T$2+4)</f>
        <v>0</v>
      </c>
      <c r="S6" t="s">
        <v>665</v>
      </c>
      <c r="T6">
        <f ca="1">SUMPRODUCT(--($A$2:$A$17&lt;&gt;""),--($P$2:$P$17&lt;&gt;""),--($O$2:$O$17=0))</f>
        <v>0</v>
      </c>
      <c r="Z6" s="0" t="b">
        <f>AND(附表!$I$12,A22&lt;&gt;"",人物卡!P53="☑")</f>
        <v>0</v>
      </c>
    </row>
    <row r="7" spans="1:26">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AND(C7="工艺",E7="",F7&lt;&gt;""),IF(AND(I7="工艺1",TRIM(人物卡!J25)=F7),"J25",IF(AND(I7="工艺2",TRIM(人物卡!J26)=F7),"J26",IF(AND(I7="工艺3",TRIM(人物卡!J27)=F7),"J27",IF(AND(I7="工艺4",TRIM(人物卡!J28)=F7),"J28",IF(TRIM(人物卡!J25)=F7,"J25",IF(TRIM(人物卡!J26)=F7,"J26",IF(TRIM(人物卡!J27)=F7,"J27",IF(TRIM(人物卡!J28)=F7,"J28",IF(INDEX($L$1:$L$1611,$T$2+5)="","",INDEX($L$1:$L$1611,$T$2+5)))))))))),IF(INDEX($L$1:$L$1611,$T$2+5)="","",INDEX($L$1:$L$1611,$T$2+5)))</f>
        <v/>
      </c>
      <c r="Q7" t="str">
        <f ca="1">IF(INDEX($M$1:$M$1611,$T$2+5)="","",INDEX($M$1:$M$1611,$T$2+5))</f>
        <v>I2</v>
      </c>
      <c r="R7" t="b">
        <f ca="1">INDEX($N$1:$N$1611,$T$2+5)</f>
        <v>0</v>
      </c>
      <c r="T7">
        <f ca="1">COUNTIF($E$2:$E$28,"unknown")</f>
        <v>0</v>
      </c>
      <c r="Z7" s="0" t="b">
        <f>AND(附表!$I$12,A23&lt;&gt;"",人物卡!P54="☑")</f>
        <v>0</v>
      </c>
    </row>
    <row r="8" spans="1:26">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AND(C8="工艺",E8="",F8&lt;&gt;""),IF(AND(I8="工艺1",TRIM(人物卡!J25)=F8),"J25",IF(AND(I8="工艺2",TRIM(人物卡!J26)=F8),"J26",IF(AND(I8="工艺3",TRIM(人物卡!J27)=F8),"J27",IF(AND(I8="工艺4",TRIM(人物卡!J28)=F8),"J28",IF(TRIM(人物卡!J25)=F8,"J25",IF(TRIM(人物卡!J26)=F8,"J26",IF(TRIM(人物卡!J27)=F8,"J27",IF(TRIM(人物卡!J28)=F8,"J28",IF(INDEX($L$1:$L$1611,$T$2+6)="","",INDEX($L$1:$L$1611,$T$2+6)))))))))),IF(INDEX($L$1:$L$1611,$T$2+6)="","",INDEX($L$1:$L$1611,$T$2+6)))</f>
        <v/>
      </c>
      <c r="Q8" t="str">
        <f ca="1">IF(INDEX($M$1:$M$1611,$T$2+6)="","",INDEX($M$1:$M$1611,$T$2+6))</f>
        <v>J2</v>
      </c>
      <c r="R8" t="b">
        <f ca="1">INDEX($N$1:$N$1611,$T$2+6)</f>
        <v>0</v>
      </c>
      <c r="S8" t="s">
        <v>666</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s="0" t="b">
        <f>AND(附表!$I$12,A24&lt;&gt;"",人物卡!P55="☑")</f>
        <v>0</v>
      </c>
    </row>
    <row r="9" spans="1:26">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AND(C9="工艺",E9="",F9&lt;&gt;""),IF(AND(I9="工艺1",TRIM(人物卡!J25)=F9),"J25",IF(AND(I9="工艺2",TRIM(人物卡!J26)=F9),"J26",IF(AND(I9="工艺3",TRIM(人物卡!J27)=F9),"J27",IF(AND(I9="工艺4",TRIM(人物卡!J28)=F9),"J28",IF(TRIM(人物卡!J25)=F9,"J25",IF(TRIM(人物卡!J26)=F9,"J26",IF(TRIM(人物卡!J27)=F9,"J27",IF(TRIM(人物卡!J28)=F9,"J28",IF(INDEX($L$1:$L$1611,$T$2+7)="","",INDEX($L$1:$L$1611,$T$2+7)))))))))),IF(INDEX($L$1:$L$1611,$T$2+7)="","",INDEX($L$1:$L$1611,$T$2+7)))</f>
        <v/>
      </c>
      <c r="Q9" t="str">
        <f ca="1">IF(INDEX($M$1:$M$1611,$T$2+7)="","",INDEX($M$1:$M$1611,$T$2+7))</f>
        <v>K2</v>
      </c>
      <c r="R9" t="b">
        <f ca="1">INDEX($N$1:$N$1611,$T$2+7)</f>
        <v>0</v>
      </c>
      <c r="Z9" s="0" t="b">
        <f>AND(附表!$I$12,A25&lt;&gt;"",人物卡!P56="☑")</f>
        <v>0</v>
      </c>
    </row>
    <row r="10" spans="1:26">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AND(C10="工艺",E10="",F10&lt;&gt;""),IF(AND(I10="工艺1",TRIM(人物卡!J25)=F10),"J25",IF(AND(I10="工艺2",TRIM(人物卡!J26)=F10),"J26",IF(AND(I10="工艺3",TRIM(人物卡!J27)=F10),"J27",IF(AND(I10="工艺4",TRIM(人物卡!J28)=F10),"J28",IF(TRIM(人物卡!J25)=F10,"J25",IF(TRIM(人物卡!J26)=F10,"J26",IF(TRIM(人物卡!J27)=F10,"J27",IF(TRIM(人物卡!J28)=F10,"J28",IF(INDEX($L$1:$L$1611,$T$2+8)="","",INDEX($L$1:$L$1611,$T$2+8)))))))))),IF(INDEX($L$1:$L$1611,$T$2+8)="","",INDEX($L$1:$L$1611,$T$2+8)))</f>
        <v/>
      </c>
      <c r="Q10" t="str">
        <f ca="1">IF(INDEX($M$1:$M$1611,$T$2+8)="","",INDEX($M$1:$M$1611,$T$2+8))</f>
        <v>L2</v>
      </c>
      <c r="R10" t="b">
        <f ca="1">INDEX($N$1:$N$1611,$T$2+8)</f>
        <v>0</v>
      </c>
      <c r="Z10" s="0" t="b">
        <f>AND(附表!$I$12,A26&lt;&gt;"",人物卡!P57="☑")</f>
        <v>0</v>
      </c>
    </row>
    <row r="11" spans="1:26">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AND(C11="工艺",E11="",F11&lt;&gt;""),IF(AND(I11="工艺1",TRIM(人物卡!J25)=F11),"J25",IF(AND(I11="工艺2",TRIM(人物卡!J26)=F11),"J26",IF(AND(I11="工艺3",TRIM(人物卡!J27)=F11),"J27",IF(AND(I11="工艺4",TRIM(人物卡!J28)=F11),"J28",IF(TRIM(人物卡!J25)=F11,"J25",IF(TRIM(人物卡!J26)=F11,"J26",IF(TRIM(人物卡!J27)=F11,"J27",IF(TRIM(人物卡!J28)=F11,"J28",IF(INDEX($L$1:$L$1611,$T$2+9)="","",INDEX($L$1:$L$1611,$T$2+9)))))))))),IF(INDEX($L$1:$L$1611,$T$2+9)="","",INDEX($L$1:$L$1611,$T$2+9)))</f>
        <v/>
      </c>
      <c r="Q11" t="str">
        <f ca="1">IF(INDEX($M$1:$M$1611,$T$2+9)="","",INDEX($M$1:$M$1611,$T$2+9))</f>
        <v>M2</v>
      </c>
      <c r="R11" t="b">
        <f ca="1">INDEX($N$1:$N$1611,$T$2+9)</f>
        <v>0</v>
      </c>
      <c r="Z11" s="0" t="b">
        <f>AND(附表!$I$12,A27&lt;&gt;"",人物卡!P58="☑")</f>
        <v>0</v>
      </c>
    </row>
    <row r="12" spans="1:26">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AND(C12="工艺",E12="",F12&lt;&gt;""),IF(AND(I12="工艺1",TRIM(人物卡!J25)=F12),"J25",IF(AND(I12="工艺2",TRIM(人物卡!J26)=F12),"J26",IF(AND(I12="工艺3",TRIM(人物卡!J27)=F12),"J27",IF(AND(I12="工艺4",TRIM(人物卡!J28)=F12),"J28",IF(TRIM(人物卡!J25)=F12,"J25",IF(TRIM(人物卡!J26)=F12,"J26",IF(TRIM(人物卡!J27)=F12,"J27",IF(TRIM(人物卡!J28)=F12,"J28",IF(INDEX($L$1:$L$1611,$T$2+10)="","",INDEX($L$1:$L$1611,$T$2+10)))))))))),IF(INDEX($L$1:$L$1611,$T$2+10)="","",INDEX($L$1:$L$1611,$T$2+10)))</f>
        <v/>
      </c>
      <c r="Q12" t="str">
        <f ca="1">IF(INDEX($M$1:$M$1611,$T$2+10)="","",INDEX($M$1:$M$1611,$T$2+10))</f>
        <v>N2</v>
      </c>
      <c r="R12" t="b">
        <f ca="1">INDEX($N$1:$N$1611,$T$2+10)</f>
        <v>0</v>
      </c>
      <c r="Z12" s="0" t="b">
        <f>AND(附表!$I$12,A28&lt;&gt;"",人物卡!P59="☑")</f>
        <v>0</v>
      </c>
    </row>
    <row r="13" spans="1:26">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AND(C13="工艺",E13="",F13&lt;&gt;""),IF(AND(I13="工艺1",TRIM(人物卡!J25)=F13),"J25",IF(AND(I13="工艺2",TRIM(人物卡!J26)=F13),"J26",IF(AND(I13="工艺3",TRIM(人物卡!J27)=F13),"J27",IF(AND(I13="工艺4",TRIM(人物卡!J28)=F13),"J28",IF(TRIM(人物卡!J25)=F13,"J25",IF(TRIM(人物卡!J26)=F13,"J26",IF(TRIM(人物卡!J27)=F13,"J27",IF(TRIM(人物卡!J28)=F13,"J28",IF(INDEX($L$1:$L$1611,$T$2+11)="","",INDEX($L$1:$L$1611,$T$2+11)))))))))),IF(INDEX($L$1:$L$1611,$T$2+11)="","",INDEX($L$1:$L$1611,$T$2+11)))</f>
        <v/>
      </c>
      <c r="Q13" t="str">
        <f ca="1">IF(INDEX($M$1:$M$1611,$T$2+11)="","",INDEX($M$1:$M$1611,$T$2+11))</f>
        <v>O2</v>
      </c>
      <c r="R13" t="b">
        <f ca="1">INDEX($N$1:$N$1611,$T$2+11)</f>
        <v>0</v>
      </c>
    </row>
    <row r="14" spans="1:26">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AND(C14="工艺",E14="",F14&lt;&gt;""),IF(AND(I14="工艺1",TRIM(人物卡!J25)=F14),"J25",IF(AND(I14="工艺2",TRIM(人物卡!J26)=F14),"J26",IF(AND(I14="工艺3",TRIM(人物卡!J27)=F14),"J27",IF(AND(I14="工艺4",TRIM(人物卡!J28)=F14),"J28",IF(TRIM(人物卡!J25)=F14,"J25",IF(TRIM(人物卡!J26)=F14,"J26",IF(TRIM(人物卡!J27)=F14,"J27",IF(TRIM(人物卡!J28)=F14,"J28",IF(INDEX($L$1:$L$1611,$T$2+12)="","",INDEX($L$1:$L$1611,$T$2+12)))))))))),IF(INDEX($L$1:$L$1611,$T$2+12)="","",INDEX($L$1:$L$1611,$T$2+12)))</f>
        <v/>
      </c>
      <c r="Q14" t="str">
        <f ca="1">IF(INDEX($M$1:$M$1611,$T$2+12)="","",INDEX($M$1:$M$1611,$T$2+12))</f>
        <v>P2</v>
      </c>
      <c r="R14" t="b">
        <f ca="1">INDEX($N$1:$N$1611,$T$2+12)</f>
        <v>0</v>
      </c>
    </row>
    <row r="15" spans="1:26">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AND(C15="工艺",E15="",F15&lt;&gt;""),IF(AND(I15="工艺1",TRIM(人物卡!J25)=F15),"J25",IF(AND(I15="工艺2",TRIM(人物卡!J26)=F15),"J26",IF(AND(I15="工艺3",TRIM(人物卡!J27)=F15),"J27",IF(AND(I15="工艺4",TRIM(人物卡!J28)=F15),"J28",IF(TRIM(人物卡!J25)=F15,"J25",IF(TRIM(人物卡!J26)=F15,"J26",IF(TRIM(人物卡!J27)=F15,"J27",IF(TRIM(人物卡!J28)=F15,"J28",IF(INDEX($L$1:$L$1611,$T$2+13)="","",INDEX($L$1:$L$1611,$T$2+13)))))))))),IF(INDEX($L$1:$L$1611,$T$2+13)="","",INDEX($L$1:$L$1611,$T$2+13)))</f>
        <v/>
      </c>
      <c r="Q15" t="str">
        <f ca="1">IF(INDEX($M$1:$M$1611,$T$2+13)="","",INDEX($M$1:$M$1611,$T$2+13))</f>
        <v>Q2</v>
      </c>
      <c r="R15" t="b">
        <f ca="1">INDEX($N$1:$N$1611,$T$2+13)</f>
        <v>0</v>
      </c>
    </row>
    <row r="16" spans="1:26">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AND(C16="工艺",E16="",F16&lt;&gt;""),IF(AND(I16="工艺1",TRIM(人物卡!J25)=F16),"J25",IF(AND(I16="工艺2",TRIM(人物卡!J26)=F16),"J26",IF(AND(I16="工艺3",TRIM(人物卡!J27)=F16),"J27",IF(AND(I16="工艺4",TRIM(人物卡!J28)=F16),"J28",IF(TRIM(人物卡!J25)=F16,"J25",IF(TRIM(人物卡!J26)=F16,"J26",IF(TRIM(人物卡!J27)=F16,"J27",IF(TRIM(人物卡!J28)=F16,"J28",IF(INDEX($L$1:$L$1611,$T$2+14)="","",INDEX($L$1:$L$1611,$T$2+14)))))))))),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AND(C17="工艺",E17="",F17&lt;&gt;""),IF(AND(I17="工艺1",TRIM(人物卡!J25)=F17),"J25",IF(AND(I17="工艺2",TRIM(人物卡!J26)=F17),"J26",IF(AND(I17="工艺3",TRIM(人物卡!J27)=F17),"J27",IF(AND(I17="工艺4",TRIM(人物卡!J28)=F17),"J28",IF(TRIM(人物卡!J25)=F17,"J25",IF(TRIM(人物卡!J26)=F17,"J26",IF(TRIM(人物卡!J27)=F17,"J27",IF(TRIM(人物卡!J28)=F17,"J28",IF(INDEX($L$1:$L$1611,$T$2+15)="","",INDEX($L$1:$L$1611,$T$2+15)))))))))),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AND(C18="工艺",E18="",F18&lt;&gt;""),IF(AND(I18="工艺1",TRIM(人物卡!J25)=F18),"J25",IF(AND(I18="工艺2",TRIM(人物卡!J26)=F18),"J26",IF(AND(I18="工艺3",TRIM(人物卡!J27)=F18),"J27",IF(AND(I18="工艺4",TRIM(人物卡!J28)=F18),"J28",IF(TRIM(人物卡!J25)=F18,"J25",IF(TRIM(人物卡!J26)=F18,"J26",IF(TRIM(人物卡!J27)=F18,"J27",IF(TRIM(人物卡!J28)=F18,"J28",IF(INDEX($L$1:$L$1611,$T$2+16)="","",INDEX($L$1:$L$1611,$T$2+16)))))))))),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AND(C19="工艺",E19="",F19&lt;&gt;""),IF(AND(I19="工艺1",TRIM(人物卡!J25)=F19),"J25",IF(AND(I19="工艺2",TRIM(人物卡!J26)=F19),"J26",IF(AND(I19="工艺3",TRIM(人物卡!J27)=F19),"J27",IF(AND(I19="工艺4",TRIM(人物卡!J28)=F19),"J28",IF(TRIM(人物卡!J25)=F19,"J25",IF(TRIM(人物卡!J26)=F19,"J26",IF(TRIM(人物卡!J27)=F19,"J27",IF(TRIM(人物卡!J28)=F19,"J28",IF(INDEX($L$1:$L$1611,$T$2+17)="","",INDEX($L$1:$L$1611,$T$2+17)))))))))),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AND(C20="工艺",E20="",F20&lt;&gt;""),IF(AND(I20="工艺1",TRIM(人物卡!J25)=F20),"J25",IF(AND(I20="工艺2",TRIM(人物卡!J26)=F20),"J26",IF(AND(I20="工艺3",TRIM(人物卡!J27)=F20),"J27",IF(AND(I20="工艺4",TRIM(人物卡!J28)=F20),"J28",IF(TRIM(人物卡!J25)=F20,"J25",IF(TRIM(人物卡!J26)=F20,"J26",IF(TRIM(人物卡!J27)=F20,"J27",IF(TRIM(人物卡!J28)=F20,"J28",IF(INDEX($L$1:$L$1611,$T$2+18)="","",INDEX($L$1:$L$1611,$T$2+18)))))))))),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AND(C21="工艺",E21="",F21&lt;&gt;""),IF(AND(I21="工艺1",TRIM(人物卡!J25)=F21),"J25",IF(AND(I21="工艺2",TRIM(人物卡!J26)=F21),"J26",IF(AND(I21="工艺3",TRIM(人物卡!J27)=F21),"J27",IF(AND(I21="工艺4",TRIM(人物卡!J28)=F21),"J28",IF(TRIM(人物卡!J25)=F21,"J25",IF(TRIM(人物卡!J26)=F21,"J26",IF(TRIM(人物卡!J27)=F21,"J27",IF(TRIM(人物卡!J28)=F21,"J28",IF(INDEX($L$1:$L$1611,$T$2+19)="","",INDEX($L$1:$L$1611,$T$2+19)))))))))),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AND(C22="工艺",E22="",F22&lt;&gt;""),IF(AND(I22="工艺1",TRIM(人物卡!J25)=F22),"J25",IF(AND(I22="工艺2",TRIM(人物卡!J26)=F22),"J26",IF(AND(I22="工艺3",TRIM(人物卡!J27)=F22),"J27",IF(AND(I22="工艺4",TRIM(人物卡!J28)=F22),"J28",IF(TRIM(人物卡!J25)=F22,"J25",IF(TRIM(人物卡!J26)=F22,"J26",IF(TRIM(人物卡!J27)=F22,"J27",IF(TRIM(人物卡!J28)=F22,"J28",IF(INDEX($L$1:$L$1611,$T$2+20)="","",INDEX($L$1:$L$1611,$T$2+20)))))))))),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AND(C23="工艺",E23="",F23&lt;&gt;""),IF(AND(I23="工艺1",TRIM(人物卡!J25)=F23),"J25",IF(AND(I23="工艺2",TRIM(人物卡!J26)=F23),"J26",IF(AND(I23="工艺3",TRIM(人物卡!J27)=F23),"J27",IF(AND(I23="工艺4",TRIM(人物卡!J28)=F23),"J28",IF(TRIM(人物卡!J25)=F23,"J25",IF(TRIM(人物卡!J26)=F23,"J26",IF(TRIM(人物卡!J27)=F23,"J27",IF(TRIM(人物卡!J28)=F23,"J28",IF(INDEX($L$1:$L$1611,$T$2+21)="","",INDEX($L$1:$L$1611,$T$2+21)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AND(C24="工艺",E24="",F24&lt;&gt;""),IF(AND(I24="工艺1",TRIM(人物卡!J25)=F24),"J25",IF(AND(I24="工艺2",TRIM(人物卡!J26)=F24),"J26",IF(AND(I24="工艺3",TRIM(人物卡!J27)=F24),"J27",IF(AND(I24="工艺4",TRIM(人物卡!J28)=F24),"J28",IF(TRIM(人物卡!J25)=F24,"J25",IF(TRIM(人物卡!J26)=F24,"J26",IF(TRIM(人物卡!J27)=F24,"J27",IF(TRIM(人物卡!J28)=F24,"J28",IF(INDEX($L$1:$L$1611,$T$2+22)="","",INDEX($L$1:$L$1611,$T$2+22)))))))))),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AND(C25="工艺",E25="",F25&lt;&gt;""),IF(AND(I25="工艺1",TRIM(人物卡!J25)=F25),"J25",IF(AND(I25="工艺2",TRIM(人物卡!J26)=F25),"J26",IF(AND(I25="工艺3",TRIM(人物卡!J27)=F25),"J27",IF(AND(I25="工艺4",TRIM(人物卡!J28)=F25),"J28",IF(TRIM(人物卡!J25)=F25,"J25",IF(TRIM(人物卡!J26)=F25,"J26",IF(TRIM(人物卡!J27)=F25,"J27",IF(TRIM(人物卡!J28)=F25,"J28",IF(INDEX($L$1:$L$1611,$T$2+23)="","",INDEX($L$1:$L$1611,$T$2+23)))))))))),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AND(C26="工艺",E26="",F26&lt;&gt;""),IF(AND(I26="工艺1",TRIM(人物卡!J25)=F26),"J25",IF(AND(I26="工艺2",TRIM(人物卡!J26)=F26),"J26",IF(AND(I26="工艺3",TRIM(人物卡!J27)=F26),"J27",IF(AND(I26="工艺4",TRIM(人物卡!J28)=F26),"J28",IF(TRIM(人物卡!J25)=F26,"J25",IF(TRIM(人物卡!J26)=F26,"J26",IF(TRIM(人物卡!J27)=F26,"J27",IF(TRIM(人物卡!J28)=F26,"J28",IF(INDEX($L$1:$L$1611,$T$2+24)="","",INDEX($L$1:$L$1611,$T$2+24)))))))))),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AND(C27="工艺",E27="",F27&lt;&gt;""),IF(AND(I27="工艺1",TRIM(人物卡!J25)=F27),"J25",IF(AND(I27="工艺2",TRIM(人物卡!J26)=F27),"J26",IF(AND(I27="工艺3",TRIM(人物卡!J27)=F27),"J27",IF(AND(I27="工艺4",TRIM(人物卡!J28)=F27),"J28",IF(TRIM(人物卡!J25)=F27,"J25",IF(TRIM(人物卡!J26)=F27,"J26",IF(TRIM(人物卡!J27)=F27,"J27",IF(TRIM(人物卡!J28)=F27,"J28",IF(INDEX($L$1:$L$1611,$T$2+25)="","",INDEX($L$1:$L$1611,$T$2+25)))))))))),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AND(C28="工艺",E28="",F28&lt;&gt;""),IF(AND(I28="工艺1",TRIM(人物卡!J25)=F28),"J25",IF(AND(I28="工艺2",TRIM(人物卡!J26)=F28),"J26",IF(AND(I28="工艺3",TRIM(人物卡!J27)=F28),"J27",IF(AND(I28="工艺4",TRIM(人物卡!J28)=F28),"J28",IF(TRIM(人物卡!J25)=F28,"J25",IF(TRIM(人物卡!J26)=F28,"J26",IF(TRIM(人物卡!J27)=F28,"J27",IF(TRIM(人物卡!J28)=F28,"J28",IF(INDEX($L$1:$L$1611,$T$2+26)="","",INDEX($L$1:$L$1611,$T$2+26)))))))))),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667</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668</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669</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670</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671</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672</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673</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674</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675</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676</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677</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678</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679</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680</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681</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682</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683</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684</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685</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686</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687</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688</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689</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690</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691</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692</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693</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694</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695</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696</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697</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698</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699</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700</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701</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702</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703</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704</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705</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706</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707</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708</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709</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710</v>
      </c>
    </row>
    <row r="84" spans="21:23">
      <c r="U84" t="str">
        <f>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711</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712</v>
      </c>
    </row>
    <row r="86" spans="21:23">
      <c r="U86" t="str">
        <f>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713</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714</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715</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716</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717</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718</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719</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720</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721</v>
      </c>
    </row>
    <row r="100" spans="1:14">
      <c r="A100">
        <v>2</v>
      </c>
      <c r="B100">
        <v>0</v>
      </c>
      <c r="C100" t="s">
        <v>124</v>
      </c>
      <c r="D100" t="s">
        <v>722</v>
      </c>
      <c r="E100" t="s">
        <v>124</v>
      </c>
      <c r="F100">
        <v>0</v>
      </c>
      <c r="G100" t="s">
        <v>124</v>
      </c>
      <c r="H100" t="s">
        <v>124</v>
      </c>
      <c r="I100" t="s">
        <v>124</v>
      </c>
      <c r="J100" t="s">
        <v>124</v>
      </c>
      <c r="K100" t="s">
        <v>124</v>
      </c>
      <c r="L100" t="s">
        <v>124</v>
      </c>
      <c r="M100" t="s">
        <v>723</v>
      </c>
      <c r="N100" t="b">
        <v>0</v>
      </c>
    </row>
    <row r="101" spans="1:14">
      <c r="A101">
        <v>2</v>
      </c>
      <c r="B101">
        <v>1</v>
      </c>
      <c r="C101" t="s">
        <v>124</v>
      </c>
      <c r="D101" t="s">
        <v>722</v>
      </c>
      <c r="E101" t="s">
        <v>124</v>
      </c>
      <c r="F101">
        <v>0</v>
      </c>
      <c r="G101" t="s">
        <v>124</v>
      </c>
      <c r="H101" t="s">
        <v>124</v>
      </c>
      <c r="I101" t="s">
        <v>124</v>
      </c>
      <c r="J101" t="s">
        <v>124</v>
      </c>
      <c r="K101" t="s">
        <v>124</v>
      </c>
      <c r="L101" t="s">
        <v>124</v>
      </c>
      <c r="M101" t="s">
        <v>724</v>
      </c>
      <c r="N101" t="b">
        <v>0</v>
      </c>
    </row>
    <row r="102" spans="1:14">
      <c r="A102">
        <v>2</v>
      </c>
      <c r="B102">
        <v>2</v>
      </c>
      <c r="C102" t="s">
        <v>124</v>
      </c>
      <c r="D102" t="s">
        <v>722</v>
      </c>
      <c r="E102" t="s">
        <v>124</v>
      </c>
      <c r="F102">
        <v>0</v>
      </c>
      <c r="G102" t="s">
        <v>124</v>
      </c>
      <c r="H102" t="s">
        <v>124</v>
      </c>
      <c r="I102" t="s">
        <v>124</v>
      </c>
      <c r="J102" t="s">
        <v>124</v>
      </c>
      <c r="K102" t="s">
        <v>124</v>
      </c>
      <c r="L102" t="s">
        <v>124</v>
      </c>
      <c r="M102" t="s">
        <v>725</v>
      </c>
      <c r="N102" t="b">
        <v>0</v>
      </c>
    </row>
    <row r="103" spans="1:14">
      <c r="A103">
        <v>2</v>
      </c>
      <c r="B103">
        <v>3</v>
      </c>
      <c r="C103" t="s">
        <v>124</v>
      </c>
      <c r="D103" t="s">
        <v>722</v>
      </c>
      <c r="E103" t="s">
        <v>124</v>
      </c>
      <c r="F103">
        <v>0</v>
      </c>
      <c r="G103" t="s">
        <v>124</v>
      </c>
      <c r="H103" t="s">
        <v>124</v>
      </c>
      <c r="I103" t="s">
        <v>124</v>
      </c>
      <c r="J103" t="s">
        <v>124</v>
      </c>
      <c r="K103" t="s">
        <v>124</v>
      </c>
      <c r="L103" t="s">
        <v>124</v>
      </c>
      <c r="M103" t="s">
        <v>726</v>
      </c>
      <c r="N103" t="b">
        <v>0</v>
      </c>
    </row>
    <row r="104" spans="1:14">
      <c r="A104">
        <v>2</v>
      </c>
      <c r="B104">
        <v>4</v>
      </c>
      <c r="C104" t="s">
        <v>124</v>
      </c>
      <c r="D104" t="s">
        <v>722</v>
      </c>
      <c r="E104" t="s">
        <v>124</v>
      </c>
      <c r="F104">
        <v>0</v>
      </c>
      <c r="G104" t="s">
        <v>124</v>
      </c>
      <c r="H104" t="s">
        <v>124</v>
      </c>
      <c r="I104" t="s">
        <v>124</v>
      </c>
      <c r="J104" t="s">
        <v>124</v>
      </c>
      <c r="K104" t="s">
        <v>124</v>
      </c>
      <c r="L104" t="s">
        <v>124</v>
      </c>
      <c r="M104" t="s">
        <v>727</v>
      </c>
      <c r="N104" t="b">
        <v>0</v>
      </c>
    </row>
    <row r="105" spans="1:14">
      <c r="A105">
        <v>2</v>
      </c>
      <c r="B105">
        <v>5</v>
      </c>
      <c r="C105" t="s">
        <v>124</v>
      </c>
      <c r="D105" t="s">
        <v>722</v>
      </c>
      <c r="E105" t="s">
        <v>124</v>
      </c>
      <c r="F105">
        <v>0</v>
      </c>
      <c r="G105" t="s">
        <v>124</v>
      </c>
      <c r="H105" t="s">
        <v>124</v>
      </c>
      <c r="I105" t="s">
        <v>124</v>
      </c>
      <c r="J105" t="s">
        <v>124</v>
      </c>
      <c r="K105" t="s">
        <v>124</v>
      </c>
      <c r="L105" t="s">
        <v>124</v>
      </c>
      <c r="M105" t="s">
        <v>728</v>
      </c>
      <c r="N105" t="b">
        <v>0</v>
      </c>
    </row>
    <row r="106" spans="1:14">
      <c r="A106">
        <v>2</v>
      </c>
      <c r="B106">
        <v>6</v>
      </c>
      <c r="C106" t="s">
        <v>124</v>
      </c>
      <c r="D106" t="s">
        <v>722</v>
      </c>
      <c r="E106" t="s">
        <v>124</v>
      </c>
      <c r="F106">
        <v>0</v>
      </c>
      <c r="G106" t="s">
        <v>124</v>
      </c>
      <c r="H106" t="s">
        <v>124</v>
      </c>
      <c r="I106" t="s">
        <v>124</v>
      </c>
      <c r="J106" t="s">
        <v>124</v>
      </c>
      <c r="K106" t="s">
        <v>124</v>
      </c>
      <c r="L106" t="s">
        <v>124</v>
      </c>
      <c r="M106" t="s">
        <v>729</v>
      </c>
      <c r="N106" t="b">
        <v>0</v>
      </c>
    </row>
    <row r="107" spans="1:14">
      <c r="A107">
        <v>2</v>
      </c>
      <c r="B107">
        <v>7</v>
      </c>
      <c r="C107" t="s">
        <v>124</v>
      </c>
      <c r="D107" t="s">
        <v>722</v>
      </c>
      <c r="E107" t="s">
        <v>124</v>
      </c>
      <c r="F107">
        <v>0</v>
      </c>
      <c r="G107" t="s">
        <v>124</v>
      </c>
      <c r="H107" t="s">
        <v>124</v>
      </c>
      <c r="I107" t="s">
        <v>124</v>
      </c>
      <c r="J107" t="s">
        <v>124</v>
      </c>
      <c r="K107" t="s">
        <v>124</v>
      </c>
      <c r="L107" t="s">
        <v>124</v>
      </c>
      <c r="M107" t="s">
        <v>730</v>
      </c>
      <c r="N107" t="b">
        <v>0</v>
      </c>
    </row>
    <row r="108" spans="1:14">
      <c r="A108">
        <v>2</v>
      </c>
      <c r="B108">
        <v>8</v>
      </c>
      <c r="C108" t="s">
        <v>124</v>
      </c>
      <c r="D108" t="s">
        <v>722</v>
      </c>
      <c r="E108" t="s">
        <v>124</v>
      </c>
      <c r="F108">
        <v>0</v>
      </c>
      <c r="G108" t="s">
        <v>124</v>
      </c>
      <c r="H108" t="s">
        <v>124</v>
      </c>
      <c r="I108" t="s">
        <v>124</v>
      </c>
      <c r="J108" t="s">
        <v>124</v>
      </c>
      <c r="K108" t="s">
        <v>124</v>
      </c>
      <c r="L108" t="s">
        <v>124</v>
      </c>
      <c r="M108" t="s">
        <v>731</v>
      </c>
      <c r="N108" t="b">
        <v>0</v>
      </c>
    </row>
    <row r="109" spans="1:14">
      <c r="A109">
        <v>2</v>
      </c>
      <c r="B109">
        <v>9</v>
      </c>
      <c r="C109" t="s">
        <v>124</v>
      </c>
      <c r="D109" t="s">
        <v>722</v>
      </c>
      <c r="E109" t="s">
        <v>124</v>
      </c>
      <c r="F109">
        <v>0</v>
      </c>
      <c r="G109" t="s">
        <v>124</v>
      </c>
      <c r="H109" t="s">
        <v>124</v>
      </c>
      <c r="I109" t="s">
        <v>124</v>
      </c>
      <c r="J109" t="s">
        <v>124</v>
      </c>
      <c r="K109" t="s">
        <v>124</v>
      </c>
      <c r="L109" t="s">
        <v>124</v>
      </c>
      <c r="M109" t="s">
        <v>732</v>
      </c>
      <c r="N109" t="b">
        <v>0</v>
      </c>
    </row>
    <row r="110" spans="1:14">
      <c r="A110">
        <v>2</v>
      </c>
      <c r="B110">
        <v>10</v>
      </c>
      <c r="C110" t="s">
        <v>124</v>
      </c>
      <c r="D110" t="s">
        <v>722</v>
      </c>
      <c r="E110" t="s">
        <v>124</v>
      </c>
      <c r="F110">
        <v>0</v>
      </c>
      <c r="G110" t="s">
        <v>124</v>
      </c>
      <c r="H110" t="s">
        <v>124</v>
      </c>
      <c r="I110" t="s">
        <v>124</v>
      </c>
      <c r="J110" t="s">
        <v>124</v>
      </c>
      <c r="K110" t="s">
        <v>124</v>
      </c>
      <c r="L110" t="s">
        <v>124</v>
      </c>
      <c r="M110" t="s">
        <v>733</v>
      </c>
      <c r="N110" t="b">
        <v>0</v>
      </c>
    </row>
    <row r="111" spans="1:14">
      <c r="A111">
        <v>2</v>
      </c>
      <c r="B111">
        <v>11</v>
      </c>
      <c r="C111" t="s">
        <v>124</v>
      </c>
      <c r="D111" t="s">
        <v>722</v>
      </c>
      <c r="E111" t="s">
        <v>124</v>
      </c>
      <c r="F111">
        <v>0</v>
      </c>
      <c r="G111" t="s">
        <v>124</v>
      </c>
      <c r="H111" t="s">
        <v>124</v>
      </c>
      <c r="I111" t="s">
        <v>124</v>
      </c>
      <c r="J111" t="s">
        <v>124</v>
      </c>
      <c r="K111" t="s">
        <v>124</v>
      </c>
      <c r="L111" t="s">
        <v>124</v>
      </c>
      <c r="M111" t="s">
        <v>734</v>
      </c>
      <c r="N111" t="b">
        <v>0</v>
      </c>
    </row>
    <row r="112" spans="1:14">
      <c r="A112">
        <v>2</v>
      </c>
      <c r="B112">
        <v>12</v>
      </c>
      <c r="C112" t="s">
        <v>124</v>
      </c>
      <c r="D112" t="s">
        <v>722</v>
      </c>
      <c r="E112" t="s">
        <v>124</v>
      </c>
      <c r="F112">
        <v>0</v>
      </c>
      <c r="G112" t="s">
        <v>124</v>
      </c>
      <c r="H112" t="s">
        <v>124</v>
      </c>
      <c r="I112" t="s">
        <v>124</v>
      </c>
      <c r="J112" t="s">
        <v>124</v>
      </c>
      <c r="K112" t="s">
        <v>124</v>
      </c>
      <c r="L112" t="s">
        <v>124</v>
      </c>
      <c r="M112" t="s">
        <v>735</v>
      </c>
      <c r="N112" t="b">
        <v>0</v>
      </c>
    </row>
    <row r="113" spans="1:14">
      <c r="A113">
        <v>2</v>
      </c>
      <c r="B113">
        <v>13</v>
      </c>
      <c r="C113" t="s">
        <v>124</v>
      </c>
      <c r="D113" t="s">
        <v>722</v>
      </c>
      <c r="E113" t="s">
        <v>124</v>
      </c>
      <c r="F113">
        <v>0</v>
      </c>
      <c r="G113" t="s">
        <v>124</v>
      </c>
      <c r="H113" t="s">
        <v>124</v>
      </c>
      <c r="I113" t="s">
        <v>124</v>
      </c>
      <c r="J113" t="s">
        <v>124</v>
      </c>
      <c r="K113" t="s">
        <v>124</v>
      </c>
      <c r="L113" t="s">
        <v>124</v>
      </c>
      <c r="M113" t="s">
        <v>736</v>
      </c>
      <c r="N113" t="b">
        <v>0</v>
      </c>
    </row>
    <row r="114" spans="1:14">
      <c r="A114">
        <v>2</v>
      </c>
      <c r="B114">
        <v>14</v>
      </c>
      <c r="C114" t="s">
        <v>124</v>
      </c>
      <c r="D114" t="s">
        <v>722</v>
      </c>
      <c r="E114" t="s">
        <v>124</v>
      </c>
      <c r="F114">
        <v>0</v>
      </c>
      <c r="G114" t="s">
        <v>124</v>
      </c>
      <c r="H114" t="s">
        <v>124</v>
      </c>
      <c r="I114" t="s">
        <v>124</v>
      </c>
      <c r="J114" t="s">
        <v>124</v>
      </c>
      <c r="K114" t="s">
        <v>124</v>
      </c>
      <c r="L114" t="s">
        <v>124</v>
      </c>
      <c r="M114" t="s">
        <v>737</v>
      </c>
      <c r="N114" t="b">
        <v>0</v>
      </c>
    </row>
    <row r="115" spans="1:14">
      <c r="A115">
        <v>2</v>
      </c>
      <c r="B115">
        <v>15</v>
      </c>
      <c r="C115" t="s">
        <v>124</v>
      </c>
      <c r="D115" t="s">
        <v>722</v>
      </c>
      <c r="E115" t="s">
        <v>124</v>
      </c>
      <c r="F115">
        <v>0</v>
      </c>
      <c r="G115" t="s">
        <v>124</v>
      </c>
      <c r="H115" t="s">
        <v>124</v>
      </c>
      <c r="I115" t="s">
        <v>124</v>
      </c>
      <c r="J115" t="s">
        <v>124</v>
      </c>
      <c r="K115" t="s">
        <v>124</v>
      </c>
      <c r="L115" t="s">
        <v>124</v>
      </c>
      <c r="M115" t="s">
        <v>738</v>
      </c>
      <c r="N115" t="b">
        <v>0</v>
      </c>
    </row>
    <row r="116" spans="1:14">
      <c r="A116">
        <v>2</v>
      </c>
      <c r="B116">
        <v>16</v>
      </c>
      <c r="C116" t="s">
        <v>124</v>
      </c>
      <c r="D116" t="s">
        <v>739</v>
      </c>
      <c r="E116" t="s">
        <v>124</v>
      </c>
      <c r="F116">
        <v>0</v>
      </c>
      <c r="G116" t="s">
        <v>124</v>
      </c>
      <c r="H116" t="s">
        <v>124</v>
      </c>
      <c r="I116" t="s">
        <v>124</v>
      </c>
      <c r="J116" t="s">
        <v>124</v>
      </c>
      <c r="K116" t="s">
        <v>124</v>
      </c>
      <c r="L116" t="s">
        <v>124</v>
      </c>
      <c r="M116" t="s">
        <v>740</v>
      </c>
      <c r="N116" t="b">
        <v>0</v>
      </c>
    </row>
    <row r="117" spans="1:14">
      <c r="A117">
        <v>2</v>
      </c>
      <c r="B117">
        <v>17</v>
      </c>
      <c r="C117" t="s">
        <v>124</v>
      </c>
      <c r="D117" t="s">
        <v>739</v>
      </c>
      <c r="E117" t="s">
        <v>124</v>
      </c>
      <c r="F117">
        <v>0</v>
      </c>
      <c r="G117" t="s">
        <v>124</v>
      </c>
      <c r="H117" t="s">
        <v>124</v>
      </c>
      <c r="I117" t="s">
        <v>124</v>
      </c>
      <c r="J117" t="s">
        <v>124</v>
      </c>
      <c r="K117" t="s">
        <v>124</v>
      </c>
      <c r="L117" t="s">
        <v>124</v>
      </c>
      <c r="M117" t="s">
        <v>741</v>
      </c>
      <c r="N117" t="b">
        <v>0</v>
      </c>
    </row>
    <row r="118" spans="1:14">
      <c r="A118">
        <v>2</v>
      </c>
      <c r="B118">
        <v>18</v>
      </c>
      <c r="C118" t="s">
        <v>124</v>
      </c>
      <c r="D118" t="s">
        <v>739</v>
      </c>
      <c r="E118" t="s">
        <v>124</v>
      </c>
      <c r="F118">
        <v>0</v>
      </c>
      <c r="G118" t="s">
        <v>124</v>
      </c>
      <c r="H118" t="s">
        <v>124</v>
      </c>
      <c r="I118" t="s">
        <v>124</v>
      </c>
      <c r="J118" t="s">
        <v>124</v>
      </c>
      <c r="K118" t="s">
        <v>124</v>
      </c>
      <c r="L118" t="s">
        <v>124</v>
      </c>
      <c r="M118" t="s">
        <v>742</v>
      </c>
      <c r="N118" t="b">
        <v>0</v>
      </c>
    </row>
    <row r="119" spans="1:14">
      <c r="A119">
        <v>2</v>
      </c>
      <c r="B119">
        <v>19</v>
      </c>
      <c r="C119" t="s">
        <v>124</v>
      </c>
      <c r="D119" t="s">
        <v>739</v>
      </c>
      <c r="E119" t="s">
        <v>124</v>
      </c>
      <c r="F119">
        <v>0</v>
      </c>
      <c r="G119" t="s">
        <v>124</v>
      </c>
      <c r="H119" t="s">
        <v>124</v>
      </c>
      <c r="I119" t="s">
        <v>124</v>
      </c>
      <c r="J119" t="s">
        <v>124</v>
      </c>
      <c r="K119" t="s">
        <v>124</v>
      </c>
      <c r="L119" t="s">
        <v>124</v>
      </c>
      <c r="M119" t="s">
        <v>743</v>
      </c>
      <c r="N119" t="b">
        <v>0</v>
      </c>
    </row>
    <row r="120" spans="1:14">
      <c r="A120">
        <v>2</v>
      </c>
      <c r="B120">
        <v>20</v>
      </c>
      <c r="C120" t="s">
        <v>124</v>
      </c>
      <c r="D120" t="s">
        <v>739</v>
      </c>
      <c r="E120" t="s">
        <v>124</v>
      </c>
      <c r="F120">
        <v>0</v>
      </c>
      <c r="G120" t="s">
        <v>124</v>
      </c>
      <c r="H120" t="s">
        <v>124</v>
      </c>
      <c r="I120" t="s">
        <v>124</v>
      </c>
      <c r="J120" t="s">
        <v>124</v>
      </c>
      <c r="K120" t="s">
        <v>124</v>
      </c>
      <c r="L120" t="s">
        <v>124</v>
      </c>
      <c r="M120" t="s">
        <v>744</v>
      </c>
      <c r="N120" t="b">
        <v>0</v>
      </c>
    </row>
    <row r="121" spans="1:14">
      <c r="A121">
        <v>2</v>
      </c>
      <c r="B121">
        <v>21</v>
      </c>
      <c r="C121" t="s">
        <v>124</v>
      </c>
      <c r="D121" t="s">
        <v>739</v>
      </c>
      <c r="E121" t="s">
        <v>124</v>
      </c>
      <c r="F121">
        <v>0</v>
      </c>
      <c r="G121" t="s">
        <v>124</v>
      </c>
      <c r="H121" t="s">
        <v>124</v>
      </c>
      <c r="I121" t="s">
        <v>124</v>
      </c>
      <c r="J121" t="s">
        <v>124</v>
      </c>
      <c r="K121" t="s">
        <v>124</v>
      </c>
      <c r="L121" t="s">
        <v>124</v>
      </c>
      <c r="M121" t="s">
        <v>745</v>
      </c>
      <c r="N121" t="b">
        <v>0</v>
      </c>
    </row>
    <row r="122" spans="1:14">
      <c r="A122">
        <v>2</v>
      </c>
      <c r="B122">
        <v>22</v>
      </c>
      <c r="C122" t="s">
        <v>124</v>
      </c>
      <c r="D122" t="s">
        <v>739</v>
      </c>
      <c r="E122" t="s">
        <v>124</v>
      </c>
      <c r="F122">
        <v>0</v>
      </c>
      <c r="G122" t="s">
        <v>124</v>
      </c>
      <c r="H122" t="s">
        <v>124</v>
      </c>
      <c r="I122" t="s">
        <v>124</v>
      </c>
      <c r="J122" t="s">
        <v>124</v>
      </c>
      <c r="K122" t="s">
        <v>124</v>
      </c>
      <c r="L122" t="s">
        <v>124</v>
      </c>
      <c r="M122" t="s">
        <v>746</v>
      </c>
      <c r="N122" t="b">
        <v>0</v>
      </c>
    </row>
    <row r="123" spans="1:14">
      <c r="A123">
        <v>2</v>
      </c>
      <c r="B123">
        <v>23</v>
      </c>
      <c r="C123" t="s">
        <v>124</v>
      </c>
      <c r="D123" t="s">
        <v>739</v>
      </c>
      <c r="E123" t="s">
        <v>124</v>
      </c>
      <c r="F123">
        <v>0</v>
      </c>
      <c r="G123" t="s">
        <v>124</v>
      </c>
      <c r="H123" t="s">
        <v>124</v>
      </c>
      <c r="I123" t="s">
        <v>124</v>
      </c>
      <c r="J123" t="s">
        <v>124</v>
      </c>
      <c r="K123" t="s">
        <v>124</v>
      </c>
      <c r="L123" t="s">
        <v>124</v>
      </c>
      <c r="M123" t="s">
        <v>747</v>
      </c>
      <c r="N123" t="b">
        <v>0</v>
      </c>
    </row>
    <row r="124" spans="1:14">
      <c r="A124">
        <v>2</v>
      </c>
      <c r="B124">
        <v>24</v>
      </c>
      <c r="C124" t="s">
        <v>124</v>
      </c>
      <c r="D124" t="s">
        <v>739</v>
      </c>
      <c r="E124" t="s">
        <v>124</v>
      </c>
      <c r="F124">
        <v>0</v>
      </c>
      <c r="G124" t="s">
        <v>124</v>
      </c>
      <c r="H124" t="s">
        <v>124</v>
      </c>
      <c r="I124" t="s">
        <v>124</v>
      </c>
      <c r="J124" t="s">
        <v>124</v>
      </c>
      <c r="K124" t="s">
        <v>124</v>
      </c>
      <c r="L124" t="s">
        <v>124</v>
      </c>
      <c r="M124" t="s">
        <v>748</v>
      </c>
      <c r="N124" t="b">
        <v>0</v>
      </c>
    </row>
    <row r="125" spans="1:14">
      <c r="A125">
        <v>2</v>
      </c>
      <c r="B125">
        <v>25</v>
      </c>
      <c r="C125" t="s">
        <v>124</v>
      </c>
      <c r="D125" t="s">
        <v>739</v>
      </c>
      <c r="E125" t="s">
        <v>124</v>
      </c>
      <c r="F125">
        <v>0</v>
      </c>
      <c r="G125" t="s">
        <v>124</v>
      </c>
      <c r="H125" t="s">
        <v>124</v>
      </c>
      <c r="I125" t="s">
        <v>124</v>
      </c>
      <c r="J125" t="s">
        <v>124</v>
      </c>
      <c r="K125" t="s">
        <v>124</v>
      </c>
      <c r="L125" t="s">
        <v>124</v>
      </c>
      <c r="M125" t="s">
        <v>749</v>
      </c>
      <c r="N125" t="b">
        <v>0</v>
      </c>
    </row>
    <row r="126" spans="1:14">
      <c r="A126">
        <v>2</v>
      </c>
      <c r="B126">
        <v>26</v>
      </c>
      <c r="C126" t="s">
        <v>124</v>
      </c>
      <c r="D126" t="s">
        <v>739</v>
      </c>
      <c r="E126" t="s">
        <v>124</v>
      </c>
      <c r="F126">
        <v>0</v>
      </c>
      <c r="G126" t="s">
        <v>124</v>
      </c>
      <c r="H126" t="s">
        <v>124</v>
      </c>
      <c r="I126" t="s">
        <v>124</v>
      </c>
      <c r="J126" t="s">
        <v>124</v>
      </c>
      <c r="K126" t="s">
        <v>124</v>
      </c>
      <c r="L126" t="s">
        <v>124</v>
      </c>
      <c r="M126" t="s">
        <v>750</v>
      </c>
      <c r="N126" t="b">
        <v>0</v>
      </c>
    </row>
    <row r="127" spans="1:14">
      <c r="A127">
        <v>8</v>
      </c>
      <c r="B127">
        <v>0</v>
      </c>
      <c r="C127" t="s">
        <v>155</v>
      </c>
      <c r="D127" t="s">
        <v>751</v>
      </c>
      <c r="E127" t="s">
        <v>124</v>
      </c>
      <c r="F127">
        <v>50</v>
      </c>
      <c r="G127" t="s">
        <v>752</v>
      </c>
      <c r="H127" t="s">
        <v>124</v>
      </c>
      <c r="I127" t="s">
        <v>124</v>
      </c>
      <c r="J127" t="s">
        <v>753</v>
      </c>
      <c r="K127" t="s">
        <v>754</v>
      </c>
      <c r="L127" t="s">
        <v>755</v>
      </c>
      <c r="M127" t="s">
        <v>756</v>
      </c>
      <c r="N127" t="b">
        <v>0</v>
      </c>
    </row>
    <row r="128" spans="1:14">
      <c r="A128">
        <v>8</v>
      </c>
      <c r="B128">
        <v>1</v>
      </c>
      <c r="C128" t="s">
        <v>156</v>
      </c>
      <c r="D128" t="s">
        <v>722</v>
      </c>
      <c r="E128" t="s">
        <v>81</v>
      </c>
      <c r="F128">
        <v>40</v>
      </c>
      <c r="G128" t="s">
        <v>124</v>
      </c>
      <c r="H128" t="s">
        <v>124</v>
      </c>
      <c r="I128" t="s">
        <v>81</v>
      </c>
      <c r="J128" t="s">
        <v>124</v>
      </c>
      <c r="K128" t="s">
        <v>124</v>
      </c>
      <c r="L128" t="s">
        <v>124</v>
      </c>
      <c r="M128" t="s">
        <v>757</v>
      </c>
      <c r="N128" t="b">
        <v>0</v>
      </c>
    </row>
    <row r="129" spans="1:14">
      <c r="A129">
        <v>8</v>
      </c>
      <c r="B129">
        <v>2</v>
      </c>
      <c r="C129" t="s">
        <v>157</v>
      </c>
      <c r="D129" t="s">
        <v>751</v>
      </c>
      <c r="E129" t="s">
        <v>295</v>
      </c>
      <c r="F129">
        <v>50</v>
      </c>
      <c r="G129" t="s">
        <v>758</v>
      </c>
      <c r="H129" t="s">
        <v>124</v>
      </c>
      <c r="I129" t="s">
        <v>124</v>
      </c>
      <c r="J129" t="s">
        <v>759</v>
      </c>
      <c r="K129" t="s">
        <v>760</v>
      </c>
      <c r="L129" t="s">
        <v>761</v>
      </c>
      <c r="M129" t="s">
        <v>762</v>
      </c>
      <c r="N129" t="b">
        <v>0</v>
      </c>
    </row>
    <row r="130" spans="1:14">
      <c r="A130">
        <v>8</v>
      </c>
      <c r="B130">
        <v>3</v>
      </c>
      <c r="C130" t="s">
        <v>158</v>
      </c>
      <c r="D130" t="s">
        <v>751</v>
      </c>
      <c r="E130" t="s">
        <v>295</v>
      </c>
      <c r="F130">
        <v>40</v>
      </c>
      <c r="G130" t="s">
        <v>758</v>
      </c>
      <c r="H130" t="s">
        <v>124</v>
      </c>
      <c r="I130" t="s">
        <v>124</v>
      </c>
      <c r="J130" t="s">
        <v>759</v>
      </c>
      <c r="K130" t="s">
        <v>763</v>
      </c>
      <c r="L130" t="s">
        <v>764</v>
      </c>
      <c r="M130" t="s">
        <v>765</v>
      </c>
      <c r="N130" t="b">
        <v>0</v>
      </c>
    </row>
    <row r="131" spans="1:14">
      <c r="A131">
        <v>8</v>
      </c>
      <c r="B131">
        <v>4</v>
      </c>
      <c r="C131" t="s">
        <v>159</v>
      </c>
      <c r="D131" t="s">
        <v>722</v>
      </c>
      <c r="E131" t="s">
        <v>112</v>
      </c>
      <c r="F131">
        <v>60</v>
      </c>
      <c r="G131" t="s">
        <v>124</v>
      </c>
      <c r="H131" t="s">
        <v>124</v>
      </c>
      <c r="I131" t="s">
        <v>112</v>
      </c>
      <c r="J131" t="s">
        <v>124</v>
      </c>
      <c r="K131" t="s">
        <v>124</v>
      </c>
      <c r="L131" t="s">
        <v>124</v>
      </c>
      <c r="M131" t="s">
        <v>766</v>
      </c>
      <c r="N131" t="b">
        <v>0</v>
      </c>
    </row>
    <row r="132" spans="1:14">
      <c r="A132">
        <v>8</v>
      </c>
      <c r="B132">
        <v>5</v>
      </c>
      <c r="C132" t="s">
        <v>160</v>
      </c>
      <c r="D132" t="s">
        <v>722</v>
      </c>
      <c r="E132" t="s">
        <v>74</v>
      </c>
      <c r="F132">
        <v>40</v>
      </c>
      <c r="G132" t="s">
        <v>124</v>
      </c>
      <c r="H132" t="s">
        <v>124</v>
      </c>
      <c r="I132" t="s">
        <v>74</v>
      </c>
      <c r="J132" t="s">
        <v>124</v>
      </c>
      <c r="K132" t="s">
        <v>124</v>
      </c>
      <c r="L132" t="s">
        <v>124</v>
      </c>
      <c r="M132" t="s">
        <v>767</v>
      </c>
      <c r="N132" t="b">
        <v>0</v>
      </c>
    </row>
    <row r="133" spans="1:14">
      <c r="A133">
        <v>8</v>
      </c>
      <c r="B133">
        <v>6</v>
      </c>
      <c r="C133" t="s">
        <v>161</v>
      </c>
      <c r="D133" t="s">
        <v>722</v>
      </c>
      <c r="E133" t="s">
        <v>76</v>
      </c>
      <c r="F133">
        <v>40</v>
      </c>
      <c r="G133" t="s">
        <v>124</v>
      </c>
      <c r="H133" t="s">
        <v>124</v>
      </c>
      <c r="I133" t="s">
        <v>76</v>
      </c>
      <c r="J133" t="s">
        <v>124</v>
      </c>
      <c r="K133" t="s">
        <v>124</v>
      </c>
      <c r="L133" t="s">
        <v>124</v>
      </c>
      <c r="M133" t="s">
        <v>768</v>
      </c>
      <c r="N133" t="b">
        <v>0</v>
      </c>
    </row>
    <row r="134" spans="1:14">
      <c r="A134">
        <v>8</v>
      </c>
      <c r="B134">
        <v>7</v>
      </c>
      <c r="C134" t="s">
        <v>124</v>
      </c>
      <c r="D134" t="s">
        <v>722</v>
      </c>
      <c r="E134" t="s">
        <v>124</v>
      </c>
      <c r="F134">
        <v>0</v>
      </c>
      <c r="G134" t="s">
        <v>124</v>
      </c>
      <c r="H134" t="s">
        <v>124</v>
      </c>
      <c r="I134" t="s">
        <v>124</v>
      </c>
      <c r="J134" t="s">
        <v>124</v>
      </c>
      <c r="K134" t="s">
        <v>124</v>
      </c>
      <c r="L134" t="s">
        <v>124</v>
      </c>
      <c r="M134" t="s">
        <v>769</v>
      </c>
      <c r="N134" t="b">
        <v>0</v>
      </c>
    </row>
    <row r="135" spans="1:14">
      <c r="A135">
        <v>8</v>
      </c>
      <c r="B135">
        <v>8</v>
      </c>
      <c r="C135" t="s">
        <v>124</v>
      </c>
      <c r="D135" t="s">
        <v>722</v>
      </c>
      <c r="E135" t="s">
        <v>124</v>
      </c>
      <c r="F135">
        <v>0</v>
      </c>
      <c r="G135" t="s">
        <v>124</v>
      </c>
      <c r="H135" t="s">
        <v>124</v>
      </c>
      <c r="I135" t="s">
        <v>124</v>
      </c>
      <c r="J135" t="s">
        <v>124</v>
      </c>
      <c r="K135" t="s">
        <v>124</v>
      </c>
      <c r="L135" t="s">
        <v>124</v>
      </c>
      <c r="M135" t="s">
        <v>770</v>
      </c>
      <c r="N135" t="b">
        <v>0</v>
      </c>
    </row>
    <row r="136" spans="1:14">
      <c r="A136">
        <v>8</v>
      </c>
      <c r="B136">
        <v>9</v>
      </c>
      <c r="C136" t="s">
        <v>124</v>
      </c>
      <c r="D136" t="s">
        <v>722</v>
      </c>
      <c r="E136" t="s">
        <v>124</v>
      </c>
      <c r="F136">
        <v>0</v>
      </c>
      <c r="G136" t="s">
        <v>124</v>
      </c>
      <c r="H136" t="s">
        <v>124</v>
      </c>
      <c r="I136" t="s">
        <v>124</v>
      </c>
      <c r="J136" t="s">
        <v>124</v>
      </c>
      <c r="K136" t="s">
        <v>124</v>
      </c>
      <c r="L136" t="s">
        <v>124</v>
      </c>
      <c r="M136" t="s">
        <v>771</v>
      </c>
      <c r="N136" t="b">
        <v>0</v>
      </c>
    </row>
    <row r="137" spans="1:14">
      <c r="A137">
        <v>8</v>
      </c>
      <c r="B137">
        <v>10</v>
      </c>
      <c r="C137" t="s">
        <v>124</v>
      </c>
      <c r="D137" t="s">
        <v>722</v>
      </c>
      <c r="E137" t="s">
        <v>124</v>
      </c>
      <c r="F137">
        <v>0</v>
      </c>
      <c r="G137" t="s">
        <v>124</v>
      </c>
      <c r="H137" t="s">
        <v>124</v>
      </c>
      <c r="I137" t="s">
        <v>124</v>
      </c>
      <c r="J137" t="s">
        <v>124</v>
      </c>
      <c r="K137" t="s">
        <v>124</v>
      </c>
      <c r="L137" t="s">
        <v>124</v>
      </c>
      <c r="M137" t="s">
        <v>772</v>
      </c>
      <c r="N137" t="b">
        <v>0</v>
      </c>
    </row>
    <row r="138" spans="1:14">
      <c r="A138">
        <v>8</v>
      </c>
      <c r="B138">
        <v>11</v>
      </c>
      <c r="C138" t="s">
        <v>124</v>
      </c>
      <c r="D138" t="s">
        <v>722</v>
      </c>
      <c r="E138" t="s">
        <v>124</v>
      </c>
      <c r="F138">
        <v>0</v>
      </c>
      <c r="G138" t="s">
        <v>124</v>
      </c>
      <c r="H138" t="s">
        <v>124</v>
      </c>
      <c r="I138" t="s">
        <v>124</v>
      </c>
      <c r="J138" t="s">
        <v>124</v>
      </c>
      <c r="K138" t="s">
        <v>124</v>
      </c>
      <c r="L138" t="s">
        <v>124</v>
      </c>
      <c r="M138" t="s">
        <v>773</v>
      </c>
      <c r="N138" t="b">
        <v>0</v>
      </c>
    </row>
    <row r="139" spans="1:14">
      <c r="A139">
        <v>8</v>
      </c>
      <c r="B139">
        <v>12</v>
      </c>
      <c r="C139" t="s">
        <v>124</v>
      </c>
      <c r="D139" t="s">
        <v>722</v>
      </c>
      <c r="E139" t="s">
        <v>124</v>
      </c>
      <c r="F139">
        <v>0</v>
      </c>
      <c r="G139" t="s">
        <v>124</v>
      </c>
      <c r="H139" t="s">
        <v>124</v>
      </c>
      <c r="I139" t="s">
        <v>124</v>
      </c>
      <c r="J139" t="s">
        <v>124</v>
      </c>
      <c r="K139" t="s">
        <v>124</v>
      </c>
      <c r="L139" t="s">
        <v>124</v>
      </c>
      <c r="M139" t="s">
        <v>774</v>
      </c>
      <c r="N139" t="b">
        <v>0</v>
      </c>
    </row>
    <row r="140" spans="1:14">
      <c r="A140">
        <v>8</v>
      </c>
      <c r="B140">
        <v>13</v>
      </c>
      <c r="C140" t="s">
        <v>124</v>
      </c>
      <c r="D140" t="s">
        <v>722</v>
      </c>
      <c r="E140" t="s">
        <v>124</v>
      </c>
      <c r="F140">
        <v>0</v>
      </c>
      <c r="G140" t="s">
        <v>124</v>
      </c>
      <c r="H140" t="s">
        <v>124</v>
      </c>
      <c r="I140" t="s">
        <v>124</v>
      </c>
      <c r="J140" t="s">
        <v>124</v>
      </c>
      <c r="K140" t="s">
        <v>124</v>
      </c>
      <c r="L140" t="s">
        <v>124</v>
      </c>
      <c r="M140" t="s">
        <v>775</v>
      </c>
      <c r="N140" t="b">
        <v>0</v>
      </c>
    </row>
    <row r="141" spans="1:14">
      <c r="A141">
        <v>8</v>
      </c>
      <c r="B141">
        <v>14</v>
      </c>
      <c r="C141" t="s">
        <v>124</v>
      </c>
      <c r="D141" t="s">
        <v>722</v>
      </c>
      <c r="E141" t="s">
        <v>124</v>
      </c>
      <c r="F141">
        <v>0</v>
      </c>
      <c r="G141" t="s">
        <v>124</v>
      </c>
      <c r="H141" t="s">
        <v>124</v>
      </c>
      <c r="I141" t="s">
        <v>124</v>
      </c>
      <c r="J141" t="s">
        <v>124</v>
      </c>
      <c r="K141" t="s">
        <v>124</v>
      </c>
      <c r="L141" t="s">
        <v>124</v>
      </c>
      <c r="M141" t="s">
        <v>776</v>
      </c>
      <c r="N141" t="b">
        <v>0</v>
      </c>
    </row>
    <row r="142" spans="1:14">
      <c r="A142">
        <v>8</v>
      </c>
      <c r="B142">
        <v>15</v>
      </c>
      <c r="C142" t="s">
        <v>124</v>
      </c>
      <c r="D142" t="s">
        <v>722</v>
      </c>
      <c r="E142" t="s">
        <v>124</v>
      </c>
      <c r="F142">
        <v>0</v>
      </c>
      <c r="G142" t="s">
        <v>124</v>
      </c>
      <c r="H142" t="s">
        <v>124</v>
      </c>
      <c r="I142" t="s">
        <v>124</v>
      </c>
      <c r="J142" t="s">
        <v>124</v>
      </c>
      <c r="K142" t="s">
        <v>124</v>
      </c>
      <c r="L142" t="s">
        <v>124</v>
      </c>
      <c r="M142" t="s">
        <v>777</v>
      </c>
      <c r="N142" t="b">
        <v>0</v>
      </c>
    </row>
    <row r="143" spans="1:14">
      <c r="A143">
        <v>8</v>
      </c>
      <c r="B143">
        <v>16</v>
      </c>
      <c r="C143" t="s">
        <v>162</v>
      </c>
      <c r="D143" t="s">
        <v>739</v>
      </c>
      <c r="E143" t="s">
        <v>65</v>
      </c>
      <c r="F143">
        <v>40</v>
      </c>
      <c r="G143" t="s">
        <v>124</v>
      </c>
      <c r="H143" t="s">
        <v>124</v>
      </c>
      <c r="I143" t="s">
        <v>65</v>
      </c>
      <c r="J143" t="s">
        <v>124</v>
      </c>
      <c r="K143" t="s">
        <v>124</v>
      </c>
      <c r="L143" t="s">
        <v>124</v>
      </c>
      <c r="M143" t="s">
        <v>778</v>
      </c>
      <c r="N143" t="b">
        <v>0</v>
      </c>
    </row>
    <row r="144" spans="1:14">
      <c r="A144">
        <v>8</v>
      </c>
      <c r="B144">
        <v>17</v>
      </c>
      <c r="C144" t="s">
        <v>163</v>
      </c>
      <c r="D144" t="s">
        <v>739</v>
      </c>
      <c r="E144" t="s">
        <v>68</v>
      </c>
      <c r="F144">
        <v>40</v>
      </c>
      <c r="G144" t="s">
        <v>124</v>
      </c>
      <c r="H144" t="s">
        <v>124</v>
      </c>
      <c r="I144" t="s">
        <v>68</v>
      </c>
      <c r="J144" t="s">
        <v>124</v>
      </c>
      <c r="K144" t="s">
        <v>124</v>
      </c>
      <c r="L144" t="s">
        <v>124</v>
      </c>
      <c r="M144" t="s">
        <v>779</v>
      </c>
      <c r="N144" t="b">
        <v>0</v>
      </c>
    </row>
    <row r="145" spans="1:14">
      <c r="A145">
        <v>8</v>
      </c>
      <c r="B145">
        <v>18</v>
      </c>
      <c r="C145" t="s">
        <v>164</v>
      </c>
      <c r="D145" t="s">
        <v>739</v>
      </c>
      <c r="E145" t="s">
        <v>113</v>
      </c>
      <c r="F145">
        <v>50</v>
      </c>
      <c r="G145" t="s">
        <v>124</v>
      </c>
      <c r="H145" t="s">
        <v>124</v>
      </c>
      <c r="I145" t="s">
        <v>113</v>
      </c>
      <c r="J145" t="s">
        <v>124</v>
      </c>
      <c r="K145" t="s">
        <v>124</v>
      </c>
      <c r="L145" t="s">
        <v>124</v>
      </c>
      <c r="M145" t="s">
        <v>780</v>
      </c>
      <c r="N145" t="b">
        <v>0</v>
      </c>
    </row>
    <row r="146" spans="1:14">
      <c r="A146">
        <v>8</v>
      </c>
      <c r="B146">
        <v>19</v>
      </c>
      <c r="C146" t="s">
        <v>165</v>
      </c>
      <c r="D146" t="s">
        <v>739</v>
      </c>
      <c r="E146" t="s">
        <v>72</v>
      </c>
      <c r="F146">
        <v>50</v>
      </c>
      <c r="G146" t="s">
        <v>124</v>
      </c>
      <c r="H146" t="s">
        <v>124</v>
      </c>
      <c r="I146" t="s">
        <v>72</v>
      </c>
      <c r="J146" t="s">
        <v>124</v>
      </c>
      <c r="K146" t="s">
        <v>124</v>
      </c>
      <c r="L146" t="s">
        <v>124</v>
      </c>
      <c r="M146" t="s">
        <v>781</v>
      </c>
      <c r="N146" t="b">
        <v>0</v>
      </c>
    </row>
    <row r="147" spans="1:14">
      <c r="A147">
        <v>8</v>
      </c>
      <c r="B147">
        <v>20</v>
      </c>
      <c r="C147" t="s">
        <v>166</v>
      </c>
      <c r="D147" t="s">
        <v>739</v>
      </c>
      <c r="E147" t="s">
        <v>90</v>
      </c>
      <c r="F147">
        <v>50</v>
      </c>
      <c r="G147" t="s">
        <v>124</v>
      </c>
      <c r="H147" t="s">
        <v>124</v>
      </c>
      <c r="I147" t="s">
        <v>90</v>
      </c>
      <c r="J147" t="s">
        <v>124</v>
      </c>
      <c r="K147" t="s">
        <v>124</v>
      </c>
      <c r="L147" t="s">
        <v>124</v>
      </c>
      <c r="M147" t="s">
        <v>782</v>
      </c>
      <c r="N147" t="b">
        <v>0</v>
      </c>
    </row>
    <row r="148" spans="1:14">
      <c r="A148">
        <v>8</v>
      </c>
      <c r="B148">
        <v>21</v>
      </c>
      <c r="C148" t="s">
        <v>167</v>
      </c>
      <c r="D148" t="s">
        <v>739</v>
      </c>
      <c r="E148" t="s">
        <v>96</v>
      </c>
      <c r="F148">
        <v>60</v>
      </c>
      <c r="G148" t="s">
        <v>124</v>
      </c>
      <c r="H148" t="s">
        <v>124</v>
      </c>
      <c r="I148" t="s">
        <v>96</v>
      </c>
      <c r="J148" t="s">
        <v>124</v>
      </c>
      <c r="K148" t="s">
        <v>124</v>
      </c>
      <c r="L148" t="s">
        <v>124</v>
      </c>
      <c r="M148" t="s">
        <v>783</v>
      </c>
      <c r="N148" t="b">
        <v>0</v>
      </c>
    </row>
    <row r="149" spans="1:14">
      <c r="A149">
        <v>8</v>
      </c>
      <c r="B149">
        <v>22</v>
      </c>
      <c r="C149" t="s">
        <v>168</v>
      </c>
      <c r="D149" t="s">
        <v>739</v>
      </c>
      <c r="E149" t="s">
        <v>104</v>
      </c>
      <c r="F149">
        <v>50</v>
      </c>
      <c r="G149" t="s">
        <v>124</v>
      </c>
      <c r="H149" t="s">
        <v>124</v>
      </c>
      <c r="I149" t="s">
        <v>104</v>
      </c>
      <c r="J149" t="s">
        <v>124</v>
      </c>
      <c r="K149" t="s">
        <v>124</v>
      </c>
      <c r="L149" t="s">
        <v>124</v>
      </c>
      <c r="M149" t="s">
        <v>784</v>
      </c>
      <c r="N149" t="b">
        <v>0</v>
      </c>
    </row>
    <row r="150" spans="1:14">
      <c r="A150">
        <v>8</v>
      </c>
      <c r="B150">
        <v>23</v>
      </c>
      <c r="C150" t="s">
        <v>124</v>
      </c>
      <c r="D150" t="s">
        <v>739</v>
      </c>
      <c r="E150" t="s">
        <v>124</v>
      </c>
      <c r="F150">
        <v>0</v>
      </c>
      <c r="G150" t="s">
        <v>124</v>
      </c>
      <c r="H150" t="s">
        <v>124</v>
      </c>
      <c r="I150" t="s">
        <v>124</v>
      </c>
      <c r="J150" t="s">
        <v>124</v>
      </c>
      <c r="K150" t="s">
        <v>124</v>
      </c>
      <c r="L150" t="s">
        <v>124</v>
      </c>
      <c r="M150" t="s">
        <v>785</v>
      </c>
      <c r="N150" t="b">
        <v>0</v>
      </c>
    </row>
    <row r="151" spans="1:14">
      <c r="A151">
        <v>8</v>
      </c>
      <c r="B151">
        <v>24</v>
      </c>
      <c r="C151" t="s">
        <v>124</v>
      </c>
      <c r="D151" t="s">
        <v>739</v>
      </c>
      <c r="E151" t="s">
        <v>124</v>
      </c>
      <c r="F151">
        <v>0</v>
      </c>
      <c r="G151" t="s">
        <v>124</v>
      </c>
      <c r="H151" t="s">
        <v>124</v>
      </c>
      <c r="I151" t="s">
        <v>124</v>
      </c>
      <c r="J151" t="s">
        <v>124</v>
      </c>
      <c r="K151" t="s">
        <v>124</v>
      </c>
      <c r="L151" t="s">
        <v>124</v>
      </c>
      <c r="M151" t="s">
        <v>786</v>
      </c>
      <c r="N151" t="b">
        <v>0</v>
      </c>
    </row>
    <row r="152" spans="1:14">
      <c r="A152">
        <v>8</v>
      </c>
      <c r="B152">
        <v>25</v>
      </c>
      <c r="C152" t="s">
        <v>124</v>
      </c>
      <c r="D152" t="s">
        <v>739</v>
      </c>
      <c r="E152" t="s">
        <v>124</v>
      </c>
      <c r="F152">
        <v>0</v>
      </c>
      <c r="G152" t="s">
        <v>124</v>
      </c>
      <c r="H152" t="s">
        <v>124</v>
      </c>
      <c r="I152" t="s">
        <v>124</v>
      </c>
      <c r="J152" t="s">
        <v>124</v>
      </c>
      <c r="K152" t="s">
        <v>124</v>
      </c>
      <c r="L152" t="s">
        <v>124</v>
      </c>
      <c r="M152" t="s">
        <v>787</v>
      </c>
      <c r="N152" t="b">
        <v>0</v>
      </c>
    </row>
    <row r="153" spans="1:14">
      <c r="A153">
        <v>8</v>
      </c>
      <c r="B153">
        <v>26</v>
      </c>
      <c r="C153" t="s">
        <v>124</v>
      </c>
      <c r="D153" t="s">
        <v>739</v>
      </c>
      <c r="E153" t="s">
        <v>124</v>
      </c>
      <c r="F153">
        <v>0</v>
      </c>
      <c r="G153" t="s">
        <v>124</v>
      </c>
      <c r="H153" t="s">
        <v>124</v>
      </c>
      <c r="I153" t="s">
        <v>124</v>
      </c>
      <c r="J153" t="s">
        <v>124</v>
      </c>
      <c r="K153" t="s">
        <v>124</v>
      </c>
      <c r="L153" t="s">
        <v>124</v>
      </c>
      <c r="M153" t="s">
        <v>788</v>
      </c>
      <c r="N153" t="b">
        <v>0</v>
      </c>
    </row>
    <row r="154" spans="1:14">
      <c r="A154">
        <v>9</v>
      </c>
      <c r="B154">
        <v>0</v>
      </c>
      <c r="C154" t="s">
        <v>170</v>
      </c>
      <c r="D154" t="s">
        <v>722</v>
      </c>
      <c r="E154" t="s">
        <v>85</v>
      </c>
      <c r="F154">
        <v>60</v>
      </c>
      <c r="G154" t="s">
        <v>124</v>
      </c>
      <c r="H154" t="s">
        <v>124</v>
      </c>
      <c r="I154" t="s">
        <v>85</v>
      </c>
      <c r="J154" t="s">
        <v>124</v>
      </c>
      <c r="K154" t="s">
        <v>124</v>
      </c>
      <c r="L154" t="s">
        <v>124</v>
      </c>
      <c r="M154" t="s">
        <v>789</v>
      </c>
      <c r="N154" t="b">
        <v>0</v>
      </c>
    </row>
    <row r="155" spans="1:14">
      <c r="A155">
        <v>9</v>
      </c>
      <c r="B155">
        <v>1</v>
      </c>
      <c r="C155" t="s">
        <v>171</v>
      </c>
      <c r="D155" t="s">
        <v>722</v>
      </c>
      <c r="E155" t="s">
        <v>542</v>
      </c>
      <c r="F155">
        <v>30</v>
      </c>
      <c r="G155" t="s">
        <v>124</v>
      </c>
      <c r="H155" t="s">
        <v>545</v>
      </c>
      <c r="I155" t="s">
        <v>506</v>
      </c>
      <c r="J155" t="s">
        <v>124</v>
      </c>
      <c r="K155" t="s">
        <v>790</v>
      </c>
      <c r="L155" t="s">
        <v>791</v>
      </c>
      <c r="M155" t="s">
        <v>792</v>
      </c>
      <c r="N155" t="b">
        <v>0</v>
      </c>
    </row>
    <row r="156" spans="1:14">
      <c r="A156">
        <v>9</v>
      </c>
      <c r="B156">
        <v>2</v>
      </c>
      <c r="C156" t="s">
        <v>172</v>
      </c>
      <c r="D156" t="s">
        <v>722</v>
      </c>
      <c r="E156" t="s">
        <v>542</v>
      </c>
      <c r="F156">
        <v>30</v>
      </c>
      <c r="G156" t="s">
        <v>124</v>
      </c>
      <c r="H156" t="s">
        <v>555</v>
      </c>
      <c r="I156" t="s">
        <v>484</v>
      </c>
      <c r="J156" t="s">
        <v>124</v>
      </c>
      <c r="K156" t="s">
        <v>793</v>
      </c>
      <c r="L156" t="s">
        <v>794</v>
      </c>
      <c r="M156" t="s">
        <v>795</v>
      </c>
      <c r="N156" t="b">
        <v>0</v>
      </c>
    </row>
    <row r="157" spans="1:14">
      <c r="A157">
        <v>9</v>
      </c>
      <c r="B157">
        <v>3</v>
      </c>
      <c r="C157" t="s">
        <v>173</v>
      </c>
      <c r="D157" t="s">
        <v>722</v>
      </c>
      <c r="E157" t="s">
        <v>542</v>
      </c>
      <c r="F157">
        <v>40</v>
      </c>
      <c r="G157" t="s">
        <v>124</v>
      </c>
      <c r="H157" t="s">
        <v>576</v>
      </c>
      <c r="I157" t="s">
        <v>364</v>
      </c>
      <c r="J157" t="s">
        <v>124</v>
      </c>
      <c r="K157" t="s">
        <v>796</v>
      </c>
      <c r="L157" t="s">
        <v>797</v>
      </c>
      <c r="M157" t="s">
        <v>798</v>
      </c>
      <c r="N157" t="b">
        <v>0</v>
      </c>
    </row>
    <row r="158" spans="1:14">
      <c r="A158">
        <v>9</v>
      </c>
      <c r="B158">
        <v>4</v>
      </c>
      <c r="C158" t="s">
        <v>174</v>
      </c>
      <c r="D158" t="s">
        <v>722</v>
      </c>
      <c r="E158" t="s">
        <v>543</v>
      </c>
      <c r="F158">
        <v>40</v>
      </c>
      <c r="G158" t="s">
        <v>124</v>
      </c>
      <c r="H158" t="s">
        <v>578</v>
      </c>
      <c r="I158" t="s">
        <v>371</v>
      </c>
      <c r="J158" t="s">
        <v>124</v>
      </c>
      <c r="K158" t="s">
        <v>799</v>
      </c>
      <c r="L158" t="s">
        <v>800</v>
      </c>
      <c r="M158" t="s">
        <v>801</v>
      </c>
      <c r="N158" t="b">
        <v>0</v>
      </c>
    </row>
    <row r="159" spans="1:14">
      <c r="A159">
        <v>9</v>
      </c>
      <c r="B159">
        <v>5</v>
      </c>
      <c r="C159" t="s">
        <v>175</v>
      </c>
      <c r="D159" t="s">
        <v>722</v>
      </c>
      <c r="E159" t="s">
        <v>98</v>
      </c>
      <c r="F159">
        <v>40</v>
      </c>
      <c r="G159" t="s">
        <v>124</v>
      </c>
      <c r="H159" t="s">
        <v>124</v>
      </c>
      <c r="I159" t="s">
        <v>98</v>
      </c>
      <c r="J159" t="s">
        <v>124</v>
      </c>
      <c r="K159" t="s">
        <v>124</v>
      </c>
      <c r="L159" t="s">
        <v>124</v>
      </c>
      <c r="M159" t="s">
        <v>802</v>
      </c>
      <c r="N159" t="b">
        <v>0</v>
      </c>
    </row>
    <row r="160" spans="1:14">
      <c r="A160">
        <v>9</v>
      </c>
      <c r="B160">
        <v>6</v>
      </c>
      <c r="C160" t="s">
        <v>124</v>
      </c>
      <c r="D160" t="s">
        <v>722</v>
      </c>
      <c r="E160" t="s">
        <v>124</v>
      </c>
      <c r="F160">
        <v>0</v>
      </c>
      <c r="G160" t="s">
        <v>124</v>
      </c>
      <c r="H160" t="s">
        <v>124</v>
      </c>
      <c r="I160" t="s">
        <v>124</v>
      </c>
      <c r="J160" t="s">
        <v>124</v>
      </c>
      <c r="K160" t="s">
        <v>124</v>
      </c>
      <c r="L160" t="s">
        <v>124</v>
      </c>
      <c r="M160" t="s">
        <v>803</v>
      </c>
      <c r="N160" t="b">
        <v>0</v>
      </c>
    </row>
    <row r="161" spans="1:14">
      <c r="A161">
        <v>9</v>
      </c>
      <c r="B161">
        <v>7</v>
      </c>
      <c r="C161" t="s">
        <v>124</v>
      </c>
      <c r="D161" t="s">
        <v>722</v>
      </c>
      <c r="E161" t="s">
        <v>124</v>
      </c>
      <c r="F161">
        <v>0</v>
      </c>
      <c r="G161" t="s">
        <v>124</v>
      </c>
      <c r="H161" t="s">
        <v>124</v>
      </c>
      <c r="I161" t="s">
        <v>124</v>
      </c>
      <c r="J161" t="s">
        <v>124</v>
      </c>
      <c r="K161" t="s">
        <v>124</v>
      </c>
      <c r="L161" t="s">
        <v>124</v>
      </c>
      <c r="M161" t="s">
        <v>804</v>
      </c>
      <c r="N161" t="b">
        <v>0</v>
      </c>
    </row>
    <row r="162" spans="1:14">
      <c r="A162">
        <v>9</v>
      </c>
      <c r="B162">
        <v>8</v>
      </c>
      <c r="C162" t="s">
        <v>124</v>
      </c>
      <c r="D162" t="s">
        <v>722</v>
      </c>
      <c r="E162" t="s">
        <v>124</v>
      </c>
      <c r="F162">
        <v>0</v>
      </c>
      <c r="G162" t="s">
        <v>124</v>
      </c>
      <c r="H162" t="s">
        <v>124</v>
      </c>
      <c r="I162" t="s">
        <v>124</v>
      </c>
      <c r="J162" t="s">
        <v>124</v>
      </c>
      <c r="K162" t="s">
        <v>124</v>
      </c>
      <c r="L162" t="s">
        <v>124</v>
      </c>
      <c r="M162" t="s">
        <v>805</v>
      </c>
      <c r="N162" t="b">
        <v>0</v>
      </c>
    </row>
    <row r="163" spans="1:14">
      <c r="A163">
        <v>9</v>
      </c>
      <c r="B163">
        <v>9</v>
      </c>
      <c r="C163" t="s">
        <v>124</v>
      </c>
      <c r="D163" t="s">
        <v>722</v>
      </c>
      <c r="E163" t="s">
        <v>124</v>
      </c>
      <c r="F163">
        <v>0</v>
      </c>
      <c r="G163" t="s">
        <v>124</v>
      </c>
      <c r="H163" t="s">
        <v>124</v>
      </c>
      <c r="I163" t="s">
        <v>124</v>
      </c>
      <c r="J163" t="s">
        <v>124</v>
      </c>
      <c r="K163" t="s">
        <v>124</v>
      </c>
      <c r="L163" t="s">
        <v>124</v>
      </c>
      <c r="M163" t="s">
        <v>806</v>
      </c>
      <c r="N163" t="b">
        <v>0</v>
      </c>
    </row>
    <row r="164" spans="1:14">
      <c r="A164">
        <v>9</v>
      </c>
      <c r="B164">
        <v>10</v>
      </c>
      <c r="C164" t="s">
        <v>124</v>
      </c>
      <c r="D164" t="s">
        <v>722</v>
      </c>
      <c r="E164" t="s">
        <v>124</v>
      </c>
      <c r="F164">
        <v>0</v>
      </c>
      <c r="G164" t="s">
        <v>124</v>
      </c>
      <c r="H164" t="s">
        <v>124</v>
      </c>
      <c r="I164" t="s">
        <v>124</v>
      </c>
      <c r="J164" t="s">
        <v>124</v>
      </c>
      <c r="K164" t="s">
        <v>124</v>
      </c>
      <c r="L164" t="s">
        <v>124</v>
      </c>
      <c r="M164" t="s">
        <v>807</v>
      </c>
      <c r="N164" t="b">
        <v>0</v>
      </c>
    </row>
    <row r="165" spans="1:14">
      <c r="A165">
        <v>9</v>
      </c>
      <c r="B165">
        <v>11</v>
      </c>
      <c r="C165" t="s">
        <v>124</v>
      </c>
      <c r="D165" t="s">
        <v>722</v>
      </c>
      <c r="E165" t="s">
        <v>124</v>
      </c>
      <c r="F165">
        <v>0</v>
      </c>
      <c r="G165" t="s">
        <v>124</v>
      </c>
      <c r="H165" t="s">
        <v>124</v>
      </c>
      <c r="I165" t="s">
        <v>124</v>
      </c>
      <c r="J165" t="s">
        <v>124</v>
      </c>
      <c r="K165" t="s">
        <v>124</v>
      </c>
      <c r="L165" t="s">
        <v>124</v>
      </c>
      <c r="M165" t="s">
        <v>808</v>
      </c>
      <c r="N165" t="b">
        <v>0</v>
      </c>
    </row>
    <row r="166" spans="1:14">
      <c r="A166">
        <v>9</v>
      </c>
      <c r="B166">
        <v>12</v>
      </c>
      <c r="C166" t="s">
        <v>124</v>
      </c>
      <c r="D166" t="s">
        <v>722</v>
      </c>
      <c r="E166" t="s">
        <v>124</v>
      </c>
      <c r="F166">
        <v>0</v>
      </c>
      <c r="G166" t="s">
        <v>124</v>
      </c>
      <c r="H166" t="s">
        <v>124</v>
      </c>
      <c r="I166" t="s">
        <v>124</v>
      </c>
      <c r="J166" t="s">
        <v>124</v>
      </c>
      <c r="K166" t="s">
        <v>124</v>
      </c>
      <c r="L166" t="s">
        <v>124</v>
      </c>
      <c r="M166" t="s">
        <v>809</v>
      </c>
      <c r="N166" t="b">
        <v>0</v>
      </c>
    </row>
    <row r="167" spans="1:14">
      <c r="A167">
        <v>9</v>
      </c>
      <c r="B167">
        <v>13</v>
      </c>
      <c r="C167" t="s">
        <v>124</v>
      </c>
      <c r="D167" t="s">
        <v>722</v>
      </c>
      <c r="E167" t="s">
        <v>124</v>
      </c>
      <c r="F167">
        <v>0</v>
      </c>
      <c r="G167" t="s">
        <v>124</v>
      </c>
      <c r="H167" t="s">
        <v>124</v>
      </c>
      <c r="I167" t="s">
        <v>124</v>
      </c>
      <c r="J167" t="s">
        <v>124</v>
      </c>
      <c r="K167" t="s">
        <v>124</v>
      </c>
      <c r="L167" t="s">
        <v>124</v>
      </c>
      <c r="M167" t="s">
        <v>810</v>
      </c>
      <c r="N167" t="b">
        <v>0</v>
      </c>
    </row>
    <row r="168" spans="1:14">
      <c r="A168">
        <v>9</v>
      </c>
      <c r="B168">
        <v>14</v>
      </c>
      <c r="C168" t="s">
        <v>124</v>
      </c>
      <c r="D168" t="s">
        <v>722</v>
      </c>
      <c r="E168" t="s">
        <v>124</v>
      </c>
      <c r="F168">
        <v>0</v>
      </c>
      <c r="G168" t="s">
        <v>124</v>
      </c>
      <c r="H168" t="s">
        <v>124</v>
      </c>
      <c r="I168" t="s">
        <v>124</v>
      </c>
      <c r="J168" t="s">
        <v>124</v>
      </c>
      <c r="K168" t="s">
        <v>124</v>
      </c>
      <c r="L168" t="s">
        <v>124</v>
      </c>
      <c r="M168" t="s">
        <v>811</v>
      </c>
      <c r="N168" t="b">
        <v>0</v>
      </c>
    </row>
    <row r="169" spans="1:14">
      <c r="A169">
        <v>9</v>
      </c>
      <c r="B169">
        <v>15</v>
      </c>
      <c r="C169" t="s">
        <v>124</v>
      </c>
      <c r="D169" t="s">
        <v>722</v>
      </c>
      <c r="E169" t="s">
        <v>124</v>
      </c>
      <c r="F169">
        <v>0</v>
      </c>
      <c r="G169" t="s">
        <v>124</v>
      </c>
      <c r="H169" t="s">
        <v>124</v>
      </c>
      <c r="I169" t="s">
        <v>124</v>
      </c>
      <c r="J169" t="s">
        <v>124</v>
      </c>
      <c r="K169" t="s">
        <v>124</v>
      </c>
      <c r="L169" t="s">
        <v>124</v>
      </c>
      <c r="M169" t="s">
        <v>812</v>
      </c>
      <c r="N169" t="b">
        <v>0</v>
      </c>
    </row>
    <row r="170" spans="1:14">
      <c r="A170">
        <v>9</v>
      </c>
      <c r="B170">
        <v>16</v>
      </c>
      <c r="C170" t="s">
        <v>176</v>
      </c>
      <c r="D170" t="s">
        <v>739</v>
      </c>
      <c r="E170" t="s">
        <v>58</v>
      </c>
      <c r="F170">
        <v>50</v>
      </c>
      <c r="G170" t="s">
        <v>124</v>
      </c>
      <c r="H170" t="s">
        <v>124</v>
      </c>
      <c r="I170" t="s">
        <v>58</v>
      </c>
      <c r="J170" t="s">
        <v>124</v>
      </c>
      <c r="K170" t="s">
        <v>124</v>
      </c>
      <c r="L170" t="s">
        <v>124</v>
      </c>
      <c r="M170" t="s">
        <v>813</v>
      </c>
      <c r="N170" t="b">
        <v>0</v>
      </c>
    </row>
    <row r="171" spans="1:14">
      <c r="A171">
        <v>9</v>
      </c>
      <c r="B171">
        <v>17</v>
      </c>
      <c r="C171" t="s">
        <v>177</v>
      </c>
      <c r="D171" t="s">
        <v>739</v>
      </c>
      <c r="E171" t="s">
        <v>81</v>
      </c>
      <c r="F171">
        <v>50</v>
      </c>
      <c r="G171" t="s">
        <v>124</v>
      </c>
      <c r="H171" t="s">
        <v>124</v>
      </c>
      <c r="I171" t="s">
        <v>81</v>
      </c>
      <c r="J171" t="s">
        <v>124</v>
      </c>
      <c r="K171" t="s">
        <v>124</v>
      </c>
      <c r="L171" t="s">
        <v>124</v>
      </c>
      <c r="M171" t="s">
        <v>814</v>
      </c>
      <c r="N171" t="b">
        <v>0</v>
      </c>
    </row>
    <row r="172" spans="1:14">
      <c r="A172">
        <v>9</v>
      </c>
      <c r="B172">
        <v>18</v>
      </c>
      <c r="C172" t="s">
        <v>178</v>
      </c>
      <c r="D172" t="s">
        <v>739</v>
      </c>
      <c r="E172" t="s">
        <v>542</v>
      </c>
      <c r="F172">
        <v>40</v>
      </c>
      <c r="G172" t="s">
        <v>758</v>
      </c>
      <c r="H172" t="s">
        <v>124</v>
      </c>
      <c r="I172" t="s">
        <v>124</v>
      </c>
      <c r="J172" t="s">
        <v>815</v>
      </c>
      <c r="K172" t="s">
        <v>816</v>
      </c>
      <c r="L172" t="s">
        <v>817</v>
      </c>
      <c r="M172" t="s">
        <v>818</v>
      </c>
      <c r="N172" t="b">
        <v>0</v>
      </c>
    </row>
    <row r="173" spans="1:14">
      <c r="A173">
        <v>9</v>
      </c>
      <c r="B173">
        <v>19</v>
      </c>
      <c r="C173" t="s">
        <v>158</v>
      </c>
      <c r="D173" t="s">
        <v>739</v>
      </c>
      <c r="E173" t="s">
        <v>295</v>
      </c>
      <c r="F173">
        <v>40</v>
      </c>
      <c r="G173" t="s">
        <v>758</v>
      </c>
      <c r="H173" t="s">
        <v>124</v>
      </c>
      <c r="I173" t="s">
        <v>124</v>
      </c>
      <c r="J173" t="s">
        <v>759</v>
      </c>
      <c r="K173" t="s">
        <v>760</v>
      </c>
      <c r="L173" t="s">
        <v>761</v>
      </c>
      <c r="M173" t="s">
        <v>819</v>
      </c>
      <c r="N173" t="b">
        <v>0</v>
      </c>
    </row>
    <row r="174" spans="1:14">
      <c r="A174">
        <v>9</v>
      </c>
      <c r="B174">
        <v>20</v>
      </c>
      <c r="C174" t="s">
        <v>179</v>
      </c>
      <c r="D174" t="s">
        <v>739</v>
      </c>
      <c r="E174" t="s">
        <v>110</v>
      </c>
      <c r="F174">
        <v>50</v>
      </c>
      <c r="G174" t="s">
        <v>124</v>
      </c>
      <c r="H174" t="s">
        <v>124</v>
      </c>
      <c r="I174" t="s">
        <v>110</v>
      </c>
      <c r="J174" t="s">
        <v>124</v>
      </c>
      <c r="K174" t="s">
        <v>124</v>
      </c>
      <c r="L174" t="s">
        <v>124</v>
      </c>
      <c r="M174" t="s">
        <v>820</v>
      </c>
      <c r="N174" t="b">
        <v>0</v>
      </c>
    </row>
    <row r="175" spans="1:14">
      <c r="A175">
        <v>9</v>
      </c>
      <c r="B175">
        <v>21</v>
      </c>
      <c r="C175" t="s">
        <v>180</v>
      </c>
      <c r="D175" t="s">
        <v>739</v>
      </c>
      <c r="E175" t="s">
        <v>59</v>
      </c>
      <c r="F175">
        <v>40</v>
      </c>
      <c r="G175" t="s">
        <v>124</v>
      </c>
      <c r="H175" t="s">
        <v>124</v>
      </c>
      <c r="I175" t="s">
        <v>59</v>
      </c>
      <c r="J175" t="s">
        <v>124</v>
      </c>
      <c r="K175" t="s">
        <v>124</v>
      </c>
      <c r="L175" t="s">
        <v>124</v>
      </c>
      <c r="M175" t="s">
        <v>821</v>
      </c>
      <c r="N175" t="b">
        <v>0</v>
      </c>
    </row>
    <row r="176" spans="1:14">
      <c r="A176">
        <v>9</v>
      </c>
      <c r="B176">
        <v>22</v>
      </c>
      <c r="C176" t="s">
        <v>181</v>
      </c>
      <c r="D176" t="s">
        <v>739</v>
      </c>
      <c r="E176" t="s">
        <v>543</v>
      </c>
      <c r="F176">
        <v>40</v>
      </c>
      <c r="G176" t="s">
        <v>758</v>
      </c>
      <c r="H176" t="s">
        <v>124</v>
      </c>
      <c r="I176" t="s">
        <v>124</v>
      </c>
      <c r="J176" t="s">
        <v>822</v>
      </c>
      <c r="K176" t="s">
        <v>823</v>
      </c>
      <c r="L176" t="s">
        <v>824</v>
      </c>
      <c r="M176" t="s">
        <v>825</v>
      </c>
      <c r="N176" t="b">
        <v>0</v>
      </c>
    </row>
    <row r="177" spans="1:14">
      <c r="A177">
        <v>9</v>
      </c>
      <c r="B177">
        <v>23</v>
      </c>
      <c r="C177" t="s">
        <v>124</v>
      </c>
      <c r="D177" t="s">
        <v>739</v>
      </c>
      <c r="E177" t="s">
        <v>124</v>
      </c>
      <c r="F177">
        <v>0</v>
      </c>
      <c r="G177" t="s">
        <v>124</v>
      </c>
      <c r="H177" t="s">
        <v>124</v>
      </c>
      <c r="I177" t="s">
        <v>124</v>
      </c>
      <c r="J177" t="s">
        <v>124</v>
      </c>
      <c r="K177" t="s">
        <v>124</v>
      </c>
      <c r="L177" t="s">
        <v>124</v>
      </c>
      <c r="M177" t="s">
        <v>826</v>
      </c>
      <c r="N177" t="b">
        <v>0</v>
      </c>
    </row>
    <row r="178" spans="1:14">
      <c r="A178">
        <v>9</v>
      </c>
      <c r="B178">
        <v>24</v>
      </c>
      <c r="C178" t="s">
        <v>124</v>
      </c>
      <c r="D178" t="s">
        <v>739</v>
      </c>
      <c r="E178" t="s">
        <v>124</v>
      </c>
      <c r="F178">
        <v>0</v>
      </c>
      <c r="G178" t="s">
        <v>124</v>
      </c>
      <c r="H178" t="s">
        <v>124</v>
      </c>
      <c r="I178" t="s">
        <v>124</v>
      </c>
      <c r="J178" t="s">
        <v>124</v>
      </c>
      <c r="K178" t="s">
        <v>124</v>
      </c>
      <c r="L178" t="s">
        <v>124</v>
      </c>
      <c r="M178" t="s">
        <v>827</v>
      </c>
      <c r="N178" t="b">
        <v>0</v>
      </c>
    </row>
    <row r="179" spans="1:14">
      <c r="A179">
        <v>9</v>
      </c>
      <c r="B179">
        <v>25</v>
      </c>
      <c r="C179" t="s">
        <v>124</v>
      </c>
      <c r="D179" t="s">
        <v>739</v>
      </c>
      <c r="E179" t="s">
        <v>124</v>
      </c>
      <c r="F179">
        <v>0</v>
      </c>
      <c r="G179" t="s">
        <v>124</v>
      </c>
      <c r="H179" t="s">
        <v>124</v>
      </c>
      <c r="I179" t="s">
        <v>124</v>
      </c>
      <c r="J179" t="s">
        <v>124</v>
      </c>
      <c r="K179" t="s">
        <v>124</v>
      </c>
      <c r="L179" t="s">
        <v>124</v>
      </c>
      <c r="M179" t="s">
        <v>828</v>
      </c>
      <c r="N179" t="b">
        <v>0</v>
      </c>
    </row>
    <row r="180" spans="1:14">
      <c r="A180">
        <v>9</v>
      </c>
      <c r="B180">
        <v>26</v>
      </c>
      <c r="C180" t="s">
        <v>124</v>
      </c>
      <c r="D180" t="s">
        <v>739</v>
      </c>
      <c r="E180" t="s">
        <v>124</v>
      </c>
      <c r="F180">
        <v>0</v>
      </c>
      <c r="G180" t="s">
        <v>124</v>
      </c>
      <c r="H180" t="s">
        <v>124</v>
      </c>
      <c r="I180" t="s">
        <v>124</v>
      </c>
      <c r="J180" t="s">
        <v>124</v>
      </c>
      <c r="K180" t="s">
        <v>124</v>
      </c>
      <c r="L180" t="s">
        <v>124</v>
      </c>
      <c r="M180" t="s">
        <v>829</v>
      </c>
      <c r="N180" t="b">
        <v>0</v>
      </c>
    </row>
    <row r="181" spans="1:14">
      <c r="A181">
        <v>10</v>
      </c>
      <c r="B181">
        <v>0</v>
      </c>
      <c r="C181" t="s">
        <v>184</v>
      </c>
      <c r="D181" t="s">
        <v>722</v>
      </c>
      <c r="E181" t="s">
        <v>63</v>
      </c>
      <c r="F181">
        <v>50</v>
      </c>
      <c r="G181" t="s">
        <v>124</v>
      </c>
      <c r="H181" t="s">
        <v>124</v>
      </c>
      <c r="I181" t="s">
        <v>63</v>
      </c>
      <c r="J181" t="s">
        <v>124</v>
      </c>
      <c r="K181" t="s">
        <v>124</v>
      </c>
      <c r="L181" t="s">
        <v>124</v>
      </c>
      <c r="M181" t="s">
        <v>830</v>
      </c>
      <c r="N181" t="b">
        <v>0</v>
      </c>
    </row>
    <row r="182" spans="1:14">
      <c r="A182">
        <v>10</v>
      </c>
      <c r="B182">
        <v>1</v>
      </c>
      <c r="C182" t="s">
        <v>156</v>
      </c>
      <c r="D182" t="s">
        <v>722</v>
      </c>
      <c r="E182" t="s">
        <v>81</v>
      </c>
      <c r="F182">
        <v>40</v>
      </c>
      <c r="G182" t="s">
        <v>124</v>
      </c>
      <c r="H182" t="s">
        <v>124</v>
      </c>
      <c r="I182" t="s">
        <v>81</v>
      </c>
      <c r="J182" t="s">
        <v>124</v>
      </c>
      <c r="K182" t="s">
        <v>124</v>
      </c>
      <c r="L182" t="s">
        <v>124</v>
      </c>
      <c r="M182" t="s">
        <v>831</v>
      </c>
      <c r="N182" t="b">
        <v>0</v>
      </c>
    </row>
    <row r="183" spans="1:14">
      <c r="A183">
        <v>10</v>
      </c>
      <c r="B183">
        <v>2</v>
      </c>
      <c r="C183" t="s">
        <v>185</v>
      </c>
      <c r="D183" t="s">
        <v>722</v>
      </c>
      <c r="E183" t="s">
        <v>91</v>
      </c>
      <c r="F183">
        <v>50</v>
      </c>
      <c r="G183" t="s">
        <v>124</v>
      </c>
      <c r="H183" t="s">
        <v>124</v>
      </c>
      <c r="I183" t="s">
        <v>91</v>
      </c>
      <c r="J183" t="s">
        <v>124</v>
      </c>
      <c r="K183" t="s">
        <v>124</v>
      </c>
      <c r="L183" t="s">
        <v>124</v>
      </c>
      <c r="M183" t="s">
        <v>832</v>
      </c>
      <c r="N183" t="b">
        <v>0</v>
      </c>
    </row>
    <row r="184" spans="1:14">
      <c r="A184">
        <v>10</v>
      </c>
      <c r="B184">
        <v>3</v>
      </c>
      <c r="C184" t="s">
        <v>186</v>
      </c>
      <c r="D184" t="s">
        <v>722</v>
      </c>
      <c r="E184" t="s">
        <v>97</v>
      </c>
      <c r="F184">
        <v>50</v>
      </c>
      <c r="G184" t="s">
        <v>124</v>
      </c>
      <c r="H184" t="s">
        <v>124</v>
      </c>
      <c r="I184" t="s">
        <v>97</v>
      </c>
      <c r="J184" t="s">
        <v>124</v>
      </c>
      <c r="K184" t="s">
        <v>124</v>
      </c>
      <c r="L184" t="s">
        <v>124</v>
      </c>
      <c r="M184" t="s">
        <v>833</v>
      </c>
      <c r="N184" t="b">
        <v>0</v>
      </c>
    </row>
    <row r="185" spans="1:14">
      <c r="A185">
        <v>10</v>
      </c>
      <c r="B185">
        <v>4</v>
      </c>
      <c r="C185" t="s">
        <v>187</v>
      </c>
      <c r="D185" t="s">
        <v>722</v>
      </c>
      <c r="E185" t="s">
        <v>99</v>
      </c>
      <c r="F185">
        <v>50</v>
      </c>
      <c r="G185" t="s">
        <v>124</v>
      </c>
      <c r="H185" t="s">
        <v>124</v>
      </c>
      <c r="I185" t="s">
        <v>99</v>
      </c>
      <c r="J185" t="s">
        <v>124</v>
      </c>
      <c r="K185" t="s">
        <v>124</v>
      </c>
      <c r="L185" t="s">
        <v>124</v>
      </c>
      <c r="M185" t="s">
        <v>834</v>
      </c>
      <c r="N185" t="b">
        <v>0</v>
      </c>
    </row>
    <row r="186" spans="1:14">
      <c r="A186">
        <v>10</v>
      </c>
      <c r="B186">
        <v>5</v>
      </c>
      <c r="C186" t="s">
        <v>188</v>
      </c>
      <c r="D186" t="s">
        <v>722</v>
      </c>
      <c r="E186" t="s">
        <v>107</v>
      </c>
      <c r="F186">
        <v>30</v>
      </c>
      <c r="G186" t="s">
        <v>124</v>
      </c>
      <c r="H186" t="s">
        <v>124</v>
      </c>
      <c r="I186" t="s">
        <v>107</v>
      </c>
      <c r="J186" t="s">
        <v>124</v>
      </c>
      <c r="K186" t="s">
        <v>124</v>
      </c>
      <c r="L186" t="s">
        <v>124</v>
      </c>
      <c r="M186" t="s">
        <v>835</v>
      </c>
      <c r="N186" t="b">
        <v>0</v>
      </c>
    </row>
    <row r="187" spans="1:14">
      <c r="A187">
        <v>10</v>
      </c>
      <c r="B187">
        <v>6</v>
      </c>
      <c r="C187" t="s">
        <v>189</v>
      </c>
      <c r="D187" t="s">
        <v>722</v>
      </c>
      <c r="E187" t="s">
        <v>113</v>
      </c>
      <c r="F187">
        <v>60</v>
      </c>
      <c r="G187" t="s">
        <v>124</v>
      </c>
      <c r="H187" t="s">
        <v>124</v>
      </c>
      <c r="I187" t="s">
        <v>113</v>
      </c>
      <c r="J187" t="s">
        <v>124</v>
      </c>
      <c r="K187" t="s">
        <v>124</v>
      </c>
      <c r="L187" t="s">
        <v>124</v>
      </c>
      <c r="M187" t="s">
        <v>836</v>
      </c>
      <c r="N187" t="b">
        <v>0</v>
      </c>
    </row>
    <row r="188" spans="1:14">
      <c r="A188">
        <v>10</v>
      </c>
      <c r="B188">
        <v>7</v>
      </c>
      <c r="C188" t="s">
        <v>190</v>
      </c>
      <c r="D188" t="s">
        <v>722</v>
      </c>
      <c r="E188" t="s">
        <v>59</v>
      </c>
      <c r="F188">
        <v>30</v>
      </c>
      <c r="G188" t="s">
        <v>124</v>
      </c>
      <c r="H188" t="s">
        <v>124</v>
      </c>
      <c r="I188" t="s">
        <v>59</v>
      </c>
      <c r="J188" t="s">
        <v>124</v>
      </c>
      <c r="K188" t="s">
        <v>124</v>
      </c>
      <c r="L188" t="s">
        <v>124</v>
      </c>
      <c r="M188" t="s">
        <v>837</v>
      </c>
      <c r="N188" t="b">
        <v>0</v>
      </c>
    </row>
    <row r="189" spans="1:14">
      <c r="A189">
        <v>10</v>
      </c>
      <c r="B189">
        <v>8</v>
      </c>
      <c r="C189" t="s">
        <v>191</v>
      </c>
      <c r="D189" t="s">
        <v>722</v>
      </c>
      <c r="E189" t="s">
        <v>76</v>
      </c>
      <c r="F189">
        <v>50</v>
      </c>
      <c r="G189" t="s">
        <v>124</v>
      </c>
      <c r="H189" t="s">
        <v>124</v>
      </c>
      <c r="I189" t="s">
        <v>76</v>
      </c>
      <c r="J189" t="s">
        <v>124</v>
      </c>
      <c r="K189" t="s">
        <v>124</v>
      </c>
      <c r="L189" t="s">
        <v>124</v>
      </c>
      <c r="M189" t="s">
        <v>838</v>
      </c>
      <c r="N189" t="b">
        <v>0</v>
      </c>
    </row>
    <row r="190" spans="1:14">
      <c r="A190">
        <v>10</v>
      </c>
      <c r="B190">
        <v>9</v>
      </c>
      <c r="C190" t="s">
        <v>192</v>
      </c>
      <c r="D190" t="s">
        <v>722</v>
      </c>
      <c r="E190" t="s">
        <v>96</v>
      </c>
      <c r="F190">
        <v>50</v>
      </c>
      <c r="G190" t="s">
        <v>124</v>
      </c>
      <c r="H190" t="s">
        <v>124</v>
      </c>
      <c r="I190" t="s">
        <v>96</v>
      </c>
      <c r="J190" t="s">
        <v>124</v>
      </c>
      <c r="K190" t="s">
        <v>124</v>
      </c>
      <c r="L190" t="s">
        <v>124</v>
      </c>
      <c r="M190" t="s">
        <v>839</v>
      </c>
      <c r="N190" t="b">
        <v>0</v>
      </c>
    </row>
    <row r="191" spans="1:14">
      <c r="A191">
        <v>10</v>
      </c>
      <c r="B191">
        <v>10</v>
      </c>
      <c r="C191" t="s">
        <v>193</v>
      </c>
      <c r="D191" t="s">
        <v>722</v>
      </c>
      <c r="E191" t="s">
        <v>106</v>
      </c>
      <c r="F191">
        <v>60</v>
      </c>
      <c r="G191" t="s">
        <v>124</v>
      </c>
      <c r="H191" t="s">
        <v>124</v>
      </c>
      <c r="I191" t="s">
        <v>106</v>
      </c>
      <c r="J191" t="s">
        <v>124</v>
      </c>
      <c r="K191" t="s">
        <v>124</v>
      </c>
      <c r="L191" t="s">
        <v>124</v>
      </c>
      <c r="M191" t="s">
        <v>840</v>
      </c>
      <c r="N191" t="b">
        <v>0</v>
      </c>
    </row>
    <row r="192" spans="1:14">
      <c r="A192">
        <v>10</v>
      </c>
      <c r="B192">
        <v>11</v>
      </c>
      <c r="C192" t="s">
        <v>124</v>
      </c>
      <c r="D192" t="s">
        <v>722</v>
      </c>
      <c r="E192" t="s">
        <v>124</v>
      </c>
      <c r="F192">
        <v>0</v>
      </c>
      <c r="G192" t="s">
        <v>124</v>
      </c>
      <c r="H192" t="s">
        <v>124</v>
      </c>
      <c r="I192" t="s">
        <v>124</v>
      </c>
      <c r="J192" t="s">
        <v>124</v>
      </c>
      <c r="K192" t="s">
        <v>124</v>
      </c>
      <c r="L192" t="s">
        <v>124</v>
      </c>
      <c r="M192" t="s">
        <v>841</v>
      </c>
      <c r="N192" t="b">
        <v>0</v>
      </c>
    </row>
    <row r="193" spans="1:14">
      <c r="A193">
        <v>10</v>
      </c>
      <c r="B193">
        <v>12</v>
      </c>
      <c r="C193" t="s">
        <v>124</v>
      </c>
      <c r="D193" t="s">
        <v>722</v>
      </c>
      <c r="E193" t="s">
        <v>124</v>
      </c>
      <c r="F193">
        <v>0</v>
      </c>
      <c r="G193" t="s">
        <v>124</v>
      </c>
      <c r="H193" t="s">
        <v>124</v>
      </c>
      <c r="I193" t="s">
        <v>124</v>
      </c>
      <c r="J193" t="s">
        <v>124</v>
      </c>
      <c r="K193" t="s">
        <v>124</v>
      </c>
      <c r="L193" t="s">
        <v>124</v>
      </c>
      <c r="M193" t="s">
        <v>842</v>
      </c>
      <c r="N193" t="b">
        <v>0</v>
      </c>
    </row>
    <row r="194" spans="1:14">
      <c r="A194">
        <v>10</v>
      </c>
      <c r="B194">
        <v>13</v>
      </c>
      <c r="C194" t="s">
        <v>124</v>
      </c>
      <c r="D194" t="s">
        <v>722</v>
      </c>
      <c r="E194" t="s">
        <v>124</v>
      </c>
      <c r="F194">
        <v>0</v>
      </c>
      <c r="G194" t="s">
        <v>124</v>
      </c>
      <c r="H194" t="s">
        <v>124</v>
      </c>
      <c r="I194" t="s">
        <v>124</v>
      </c>
      <c r="J194" t="s">
        <v>124</v>
      </c>
      <c r="K194" t="s">
        <v>124</v>
      </c>
      <c r="L194" t="s">
        <v>124</v>
      </c>
      <c r="M194" t="s">
        <v>843</v>
      </c>
      <c r="N194" t="b">
        <v>0</v>
      </c>
    </row>
    <row r="195" spans="1:14">
      <c r="A195">
        <v>10</v>
      </c>
      <c r="B195">
        <v>14</v>
      </c>
      <c r="C195" t="s">
        <v>124</v>
      </c>
      <c r="D195" t="s">
        <v>722</v>
      </c>
      <c r="E195" t="s">
        <v>124</v>
      </c>
      <c r="F195">
        <v>0</v>
      </c>
      <c r="G195" t="s">
        <v>124</v>
      </c>
      <c r="H195" t="s">
        <v>124</v>
      </c>
      <c r="I195" t="s">
        <v>124</v>
      </c>
      <c r="J195" t="s">
        <v>124</v>
      </c>
      <c r="K195" t="s">
        <v>124</v>
      </c>
      <c r="L195" t="s">
        <v>124</v>
      </c>
      <c r="M195" t="s">
        <v>844</v>
      </c>
      <c r="N195" t="b">
        <v>0</v>
      </c>
    </row>
    <row r="196" spans="1:14">
      <c r="A196">
        <v>10</v>
      </c>
      <c r="B196">
        <v>15</v>
      </c>
      <c r="C196" t="s">
        <v>124</v>
      </c>
      <c r="D196" t="s">
        <v>722</v>
      </c>
      <c r="E196" t="s">
        <v>124</v>
      </c>
      <c r="F196">
        <v>0</v>
      </c>
      <c r="G196" t="s">
        <v>124</v>
      </c>
      <c r="H196" t="s">
        <v>124</v>
      </c>
      <c r="I196" t="s">
        <v>124</v>
      </c>
      <c r="J196" t="s">
        <v>124</v>
      </c>
      <c r="K196" t="s">
        <v>124</v>
      </c>
      <c r="L196" t="s">
        <v>124</v>
      </c>
      <c r="M196" t="s">
        <v>845</v>
      </c>
      <c r="N196" t="b">
        <v>0</v>
      </c>
    </row>
    <row r="197" spans="1:14">
      <c r="A197">
        <v>10</v>
      </c>
      <c r="B197">
        <v>16</v>
      </c>
      <c r="C197" t="s">
        <v>194</v>
      </c>
      <c r="D197" t="s">
        <v>739</v>
      </c>
      <c r="E197" t="s">
        <v>58</v>
      </c>
      <c r="F197">
        <v>60</v>
      </c>
      <c r="G197" t="s">
        <v>124</v>
      </c>
      <c r="H197" t="s">
        <v>124</v>
      </c>
      <c r="I197" t="s">
        <v>58</v>
      </c>
      <c r="J197" t="s">
        <v>124</v>
      </c>
      <c r="K197" t="s">
        <v>124</v>
      </c>
      <c r="L197" t="s">
        <v>124</v>
      </c>
      <c r="M197" t="s">
        <v>846</v>
      </c>
      <c r="N197" t="b">
        <v>0</v>
      </c>
    </row>
    <row r="198" spans="1:14">
      <c r="A198">
        <v>10</v>
      </c>
      <c r="B198">
        <v>17</v>
      </c>
      <c r="C198" t="s">
        <v>195</v>
      </c>
      <c r="D198" t="s">
        <v>739</v>
      </c>
      <c r="E198" t="s">
        <v>85</v>
      </c>
      <c r="F198">
        <v>50</v>
      </c>
      <c r="G198" t="s">
        <v>124</v>
      </c>
      <c r="H198" t="s">
        <v>124</v>
      </c>
      <c r="I198" t="s">
        <v>85</v>
      </c>
      <c r="J198" t="s">
        <v>124</v>
      </c>
      <c r="K198" t="s">
        <v>124</v>
      </c>
      <c r="L198" t="s">
        <v>124</v>
      </c>
      <c r="M198" t="s">
        <v>847</v>
      </c>
      <c r="N198" t="b">
        <v>0</v>
      </c>
    </row>
    <row r="199" spans="1:14">
      <c r="A199">
        <v>10</v>
      </c>
      <c r="B199">
        <v>18</v>
      </c>
      <c r="C199" t="s">
        <v>157</v>
      </c>
      <c r="D199" t="s">
        <v>739</v>
      </c>
      <c r="E199" t="s">
        <v>295</v>
      </c>
      <c r="F199">
        <v>50</v>
      </c>
      <c r="G199" t="s">
        <v>758</v>
      </c>
      <c r="H199" t="s">
        <v>124</v>
      </c>
      <c r="I199" t="s">
        <v>124</v>
      </c>
      <c r="J199" t="s">
        <v>759</v>
      </c>
      <c r="K199" t="s">
        <v>760</v>
      </c>
      <c r="L199" t="s">
        <v>761</v>
      </c>
      <c r="M199" t="s">
        <v>848</v>
      </c>
      <c r="N199" t="b">
        <v>0</v>
      </c>
    </row>
    <row r="200" spans="1:14">
      <c r="A200">
        <v>10</v>
      </c>
      <c r="B200">
        <v>19</v>
      </c>
      <c r="C200" t="s">
        <v>196</v>
      </c>
      <c r="D200" t="s">
        <v>739</v>
      </c>
      <c r="E200" t="s">
        <v>111</v>
      </c>
      <c r="F200">
        <v>50</v>
      </c>
      <c r="G200" t="s">
        <v>124</v>
      </c>
      <c r="H200" t="s">
        <v>124</v>
      </c>
      <c r="I200" t="s">
        <v>111</v>
      </c>
      <c r="J200" t="s">
        <v>124</v>
      </c>
      <c r="K200" t="s">
        <v>124</v>
      </c>
      <c r="L200" t="s">
        <v>124</v>
      </c>
      <c r="M200" t="s">
        <v>849</v>
      </c>
      <c r="N200" t="b">
        <v>0</v>
      </c>
    </row>
    <row r="201" spans="1:14">
      <c r="A201">
        <v>10</v>
      </c>
      <c r="B201">
        <v>20</v>
      </c>
      <c r="C201" t="s">
        <v>197</v>
      </c>
      <c r="D201" t="s">
        <v>739</v>
      </c>
      <c r="E201" t="s">
        <v>82</v>
      </c>
      <c r="F201">
        <v>50</v>
      </c>
      <c r="G201" t="s">
        <v>124</v>
      </c>
      <c r="H201" t="s">
        <v>124</v>
      </c>
      <c r="I201" t="s">
        <v>82</v>
      </c>
      <c r="J201" t="s">
        <v>124</v>
      </c>
      <c r="K201" t="s">
        <v>124</v>
      </c>
      <c r="L201" t="s">
        <v>124</v>
      </c>
      <c r="M201" t="s">
        <v>850</v>
      </c>
      <c r="N201" t="b">
        <v>0</v>
      </c>
    </row>
    <row r="202" spans="1:14">
      <c r="A202">
        <v>10</v>
      </c>
      <c r="B202">
        <v>21</v>
      </c>
      <c r="C202" t="s">
        <v>124</v>
      </c>
      <c r="D202" t="s">
        <v>739</v>
      </c>
      <c r="E202" t="s">
        <v>124</v>
      </c>
      <c r="F202">
        <v>0</v>
      </c>
      <c r="G202" t="s">
        <v>124</v>
      </c>
      <c r="H202" t="s">
        <v>124</v>
      </c>
      <c r="I202" t="s">
        <v>124</v>
      </c>
      <c r="J202" t="s">
        <v>124</v>
      </c>
      <c r="K202" t="s">
        <v>124</v>
      </c>
      <c r="L202" t="s">
        <v>124</v>
      </c>
      <c r="M202" t="s">
        <v>851</v>
      </c>
      <c r="N202" t="b">
        <v>0</v>
      </c>
    </row>
    <row r="203" spans="1:14">
      <c r="A203">
        <v>10</v>
      </c>
      <c r="B203">
        <v>22</v>
      </c>
      <c r="C203" t="s">
        <v>124</v>
      </c>
      <c r="D203" t="s">
        <v>739</v>
      </c>
      <c r="E203" t="s">
        <v>124</v>
      </c>
      <c r="F203">
        <v>0</v>
      </c>
      <c r="G203" t="s">
        <v>124</v>
      </c>
      <c r="H203" t="s">
        <v>124</v>
      </c>
      <c r="I203" t="s">
        <v>124</v>
      </c>
      <c r="J203" t="s">
        <v>124</v>
      </c>
      <c r="K203" t="s">
        <v>124</v>
      </c>
      <c r="L203" t="s">
        <v>124</v>
      </c>
      <c r="M203" t="s">
        <v>852</v>
      </c>
      <c r="N203" t="b">
        <v>0</v>
      </c>
    </row>
    <row r="204" spans="1:14">
      <c r="A204">
        <v>10</v>
      </c>
      <c r="B204">
        <v>23</v>
      </c>
      <c r="C204" t="s">
        <v>124</v>
      </c>
      <c r="D204" t="s">
        <v>739</v>
      </c>
      <c r="E204" t="s">
        <v>124</v>
      </c>
      <c r="F204">
        <v>0</v>
      </c>
      <c r="G204" t="s">
        <v>124</v>
      </c>
      <c r="H204" t="s">
        <v>124</v>
      </c>
      <c r="I204" t="s">
        <v>124</v>
      </c>
      <c r="J204" t="s">
        <v>124</v>
      </c>
      <c r="K204" t="s">
        <v>124</v>
      </c>
      <c r="L204" t="s">
        <v>124</v>
      </c>
      <c r="M204" t="s">
        <v>853</v>
      </c>
      <c r="N204" t="b">
        <v>0</v>
      </c>
    </row>
    <row r="205" spans="1:14">
      <c r="A205">
        <v>10</v>
      </c>
      <c r="B205">
        <v>24</v>
      </c>
      <c r="C205" t="s">
        <v>124</v>
      </c>
      <c r="D205" t="s">
        <v>739</v>
      </c>
      <c r="E205" t="s">
        <v>124</v>
      </c>
      <c r="F205">
        <v>0</v>
      </c>
      <c r="G205" t="s">
        <v>124</v>
      </c>
      <c r="H205" t="s">
        <v>124</v>
      </c>
      <c r="I205" t="s">
        <v>124</v>
      </c>
      <c r="J205" t="s">
        <v>124</v>
      </c>
      <c r="K205" t="s">
        <v>124</v>
      </c>
      <c r="L205" t="s">
        <v>124</v>
      </c>
      <c r="M205" t="s">
        <v>854</v>
      </c>
      <c r="N205" t="b">
        <v>0</v>
      </c>
    </row>
    <row r="206" spans="1:14">
      <c r="A206">
        <v>10</v>
      </c>
      <c r="B206">
        <v>25</v>
      </c>
      <c r="C206" t="s">
        <v>124</v>
      </c>
      <c r="D206" t="s">
        <v>739</v>
      </c>
      <c r="E206" t="s">
        <v>124</v>
      </c>
      <c r="F206">
        <v>0</v>
      </c>
      <c r="G206" t="s">
        <v>124</v>
      </c>
      <c r="H206" t="s">
        <v>124</v>
      </c>
      <c r="I206" t="s">
        <v>124</v>
      </c>
      <c r="J206" t="s">
        <v>124</v>
      </c>
      <c r="K206" t="s">
        <v>124</v>
      </c>
      <c r="L206" t="s">
        <v>124</v>
      </c>
      <c r="M206" t="s">
        <v>855</v>
      </c>
      <c r="N206" t="b">
        <v>0</v>
      </c>
    </row>
    <row r="207" spans="1:14">
      <c r="A207">
        <v>10</v>
      </c>
      <c r="B207">
        <v>26</v>
      </c>
      <c r="C207" t="s">
        <v>124</v>
      </c>
      <c r="D207" t="s">
        <v>739</v>
      </c>
      <c r="E207" t="s">
        <v>124</v>
      </c>
      <c r="F207">
        <v>0</v>
      </c>
      <c r="G207" t="s">
        <v>124</v>
      </c>
      <c r="H207" t="s">
        <v>124</v>
      </c>
      <c r="I207" t="s">
        <v>124</v>
      </c>
      <c r="J207" t="s">
        <v>124</v>
      </c>
      <c r="K207" t="s">
        <v>124</v>
      </c>
      <c r="L207" t="s">
        <v>124</v>
      </c>
      <c r="M207" t="s">
        <v>856</v>
      </c>
      <c r="N207" t="b">
        <v>0</v>
      </c>
    </row>
    <row r="208" spans="1:14">
      <c r="A208">
        <v>11</v>
      </c>
      <c r="B208">
        <v>0</v>
      </c>
      <c r="C208" t="s">
        <v>177</v>
      </c>
      <c r="D208" t="s">
        <v>722</v>
      </c>
      <c r="E208" t="s">
        <v>81</v>
      </c>
      <c r="F208">
        <v>50</v>
      </c>
      <c r="G208" t="s">
        <v>124</v>
      </c>
      <c r="H208" t="s">
        <v>124</v>
      </c>
      <c r="I208" t="s">
        <v>81</v>
      </c>
      <c r="J208" t="s">
        <v>124</v>
      </c>
      <c r="K208" t="s">
        <v>124</v>
      </c>
      <c r="L208" t="s">
        <v>124</v>
      </c>
      <c r="M208" t="s">
        <v>857</v>
      </c>
      <c r="N208" t="b">
        <v>0</v>
      </c>
    </row>
    <row r="209" spans="1:14">
      <c r="A209">
        <v>11</v>
      </c>
      <c r="B209">
        <v>1</v>
      </c>
      <c r="C209" t="s">
        <v>200</v>
      </c>
      <c r="D209" t="s">
        <v>722</v>
      </c>
      <c r="E209" t="s">
        <v>101</v>
      </c>
      <c r="F209">
        <v>60</v>
      </c>
      <c r="G209" t="s">
        <v>124</v>
      </c>
      <c r="H209" t="s">
        <v>124</v>
      </c>
      <c r="I209" t="s">
        <v>101</v>
      </c>
      <c r="J209" t="s">
        <v>124</v>
      </c>
      <c r="K209" t="s">
        <v>124</v>
      </c>
      <c r="L209" t="s">
        <v>124</v>
      </c>
      <c r="M209" t="s">
        <v>858</v>
      </c>
      <c r="N209" t="b">
        <v>0</v>
      </c>
    </row>
    <row r="210" spans="1:14">
      <c r="A210">
        <v>11</v>
      </c>
      <c r="B210">
        <v>2</v>
      </c>
      <c r="C210" t="s">
        <v>201</v>
      </c>
      <c r="D210" t="s">
        <v>722</v>
      </c>
      <c r="E210" t="s">
        <v>64</v>
      </c>
      <c r="F210">
        <v>60</v>
      </c>
      <c r="G210" t="s">
        <v>124</v>
      </c>
      <c r="H210" t="s">
        <v>124</v>
      </c>
      <c r="I210" t="s">
        <v>64</v>
      </c>
      <c r="J210" t="s">
        <v>124</v>
      </c>
      <c r="K210" t="s">
        <v>124</v>
      </c>
      <c r="L210" t="s">
        <v>124</v>
      </c>
      <c r="M210" t="s">
        <v>859</v>
      </c>
      <c r="N210" t="b">
        <v>0</v>
      </c>
    </row>
    <row r="211" spans="1:14">
      <c r="A211">
        <v>11</v>
      </c>
      <c r="B211">
        <v>3</v>
      </c>
      <c r="C211" t="s">
        <v>161</v>
      </c>
      <c r="D211" t="s">
        <v>722</v>
      </c>
      <c r="E211" t="s">
        <v>76</v>
      </c>
      <c r="F211">
        <v>40</v>
      </c>
      <c r="G211" t="s">
        <v>124</v>
      </c>
      <c r="H211" t="s">
        <v>124</v>
      </c>
      <c r="I211" t="s">
        <v>76</v>
      </c>
      <c r="J211" t="s">
        <v>124</v>
      </c>
      <c r="K211" t="s">
        <v>124</v>
      </c>
      <c r="L211" t="s">
        <v>124</v>
      </c>
      <c r="M211" t="s">
        <v>860</v>
      </c>
      <c r="N211" t="b">
        <v>0</v>
      </c>
    </row>
    <row r="212" spans="1:14">
      <c r="A212">
        <v>11</v>
      </c>
      <c r="B212">
        <v>4</v>
      </c>
      <c r="C212" t="s">
        <v>197</v>
      </c>
      <c r="D212" t="s">
        <v>722</v>
      </c>
      <c r="E212" t="s">
        <v>82</v>
      </c>
      <c r="F212">
        <v>50</v>
      </c>
      <c r="G212" t="s">
        <v>124</v>
      </c>
      <c r="H212" t="s">
        <v>124</v>
      </c>
      <c r="I212" t="s">
        <v>82</v>
      </c>
      <c r="J212" t="s">
        <v>124</v>
      </c>
      <c r="K212" t="s">
        <v>124</v>
      </c>
      <c r="L212" t="s">
        <v>124</v>
      </c>
      <c r="M212" t="s">
        <v>861</v>
      </c>
      <c r="N212" t="b">
        <v>0</v>
      </c>
    </row>
    <row r="213" spans="1:14">
      <c r="A213">
        <v>11</v>
      </c>
      <c r="B213">
        <v>5</v>
      </c>
      <c r="C213" t="s">
        <v>202</v>
      </c>
      <c r="D213" t="s">
        <v>722</v>
      </c>
      <c r="E213" t="s">
        <v>543</v>
      </c>
      <c r="F213">
        <v>60</v>
      </c>
      <c r="G213" t="s">
        <v>124</v>
      </c>
      <c r="H213" t="s">
        <v>553</v>
      </c>
      <c r="I213" t="s">
        <v>330</v>
      </c>
      <c r="J213" t="s">
        <v>124</v>
      </c>
      <c r="K213" t="s">
        <v>799</v>
      </c>
      <c r="L213" t="s">
        <v>800</v>
      </c>
      <c r="M213" t="s">
        <v>862</v>
      </c>
      <c r="N213" t="b">
        <v>0</v>
      </c>
    </row>
    <row r="214" spans="1:14">
      <c r="A214">
        <v>11</v>
      </c>
      <c r="B214">
        <v>6</v>
      </c>
      <c r="C214" t="s">
        <v>203</v>
      </c>
      <c r="D214" t="s">
        <v>722</v>
      </c>
      <c r="E214" t="s">
        <v>96</v>
      </c>
      <c r="F214">
        <v>40</v>
      </c>
      <c r="G214" t="s">
        <v>124</v>
      </c>
      <c r="H214" t="s">
        <v>124</v>
      </c>
      <c r="I214" t="s">
        <v>96</v>
      </c>
      <c r="J214" t="s">
        <v>124</v>
      </c>
      <c r="K214" t="s">
        <v>124</v>
      </c>
      <c r="L214" t="s">
        <v>124</v>
      </c>
      <c r="M214" t="s">
        <v>863</v>
      </c>
      <c r="N214" t="b">
        <v>0</v>
      </c>
    </row>
    <row r="215" spans="1:14">
      <c r="A215">
        <v>11</v>
      </c>
      <c r="B215">
        <v>7</v>
      </c>
      <c r="C215" t="s">
        <v>124</v>
      </c>
      <c r="D215" t="s">
        <v>722</v>
      </c>
      <c r="E215" t="s">
        <v>124</v>
      </c>
      <c r="F215">
        <v>0</v>
      </c>
      <c r="G215" t="s">
        <v>124</v>
      </c>
      <c r="H215" t="s">
        <v>124</v>
      </c>
      <c r="I215" t="s">
        <v>124</v>
      </c>
      <c r="J215" t="s">
        <v>124</v>
      </c>
      <c r="K215" t="s">
        <v>124</v>
      </c>
      <c r="L215" t="s">
        <v>124</v>
      </c>
      <c r="M215" t="s">
        <v>864</v>
      </c>
      <c r="N215" t="b">
        <v>0</v>
      </c>
    </row>
    <row r="216" spans="1:14">
      <c r="A216">
        <v>11</v>
      </c>
      <c r="B216">
        <v>8</v>
      </c>
      <c r="C216" t="s">
        <v>124</v>
      </c>
      <c r="D216" t="s">
        <v>722</v>
      </c>
      <c r="E216" t="s">
        <v>124</v>
      </c>
      <c r="F216">
        <v>0</v>
      </c>
      <c r="G216" t="s">
        <v>124</v>
      </c>
      <c r="H216" t="s">
        <v>124</v>
      </c>
      <c r="I216" t="s">
        <v>124</v>
      </c>
      <c r="J216" t="s">
        <v>124</v>
      </c>
      <c r="K216" t="s">
        <v>124</v>
      </c>
      <c r="L216" t="s">
        <v>124</v>
      </c>
      <c r="M216" t="s">
        <v>865</v>
      </c>
      <c r="N216" t="b">
        <v>0</v>
      </c>
    </row>
    <row r="217" spans="1:14">
      <c r="A217">
        <v>11</v>
      </c>
      <c r="B217">
        <v>9</v>
      </c>
      <c r="C217" t="s">
        <v>124</v>
      </c>
      <c r="D217" t="s">
        <v>722</v>
      </c>
      <c r="E217" t="s">
        <v>124</v>
      </c>
      <c r="F217">
        <v>0</v>
      </c>
      <c r="G217" t="s">
        <v>124</v>
      </c>
      <c r="H217" t="s">
        <v>124</v>
      </c>
      <c r="I217" t="s">
        <v>124</v>
      </c>
      <c r="J217" t="s">
        <v>124</v>
      </c>
      <c r="K217" t="s">
        <v>124</v>
      </c>
      <c r="L217" t="s">
        <v>124</v>
      </c>
      <c r="M217" t="s">
        <v>866</v>
      </c>
      <c r="N217" t="b">
        <v>0</v>
      </c>
    </row>
    <row r="218" spans="1:14">
      <c r="A218">
        <v>11</v>
      </c>
      <c r="B218">
        <v>10</v>
      </c>
      <c r="C218" t="s">
        <v>124</v>
      </c>
      <c r="D218" t="s">
        <v>722</v>
      </c>
      <c r="E218" t="s">
        <v>124</v>
      </c>
      <c r="F218">
        <v>0</v>
      </c>
      <c r="G218" t="s">
        <v>124</v>
      </c>
      <c r="H218" t="s">
        <v>124</v>
      </c>
      <c r="I218" t="s">
        <v>124</v>
      </c>
      <c r="J218" t="s">
        <v>124</v>
      </c>
      <c r="K218" t="s">
        <v>124</v>
      </c>
      <c r="L218" t="s">
        <v>124</v>
      </c>
      <c r="M218" t="s">
        <v>867</v>
      </c>
      <c r="N218" t="b">
        <v>0</v>
      </c>
    </row>
    <row r="219" spans="1:14">
      <c r="A219">
        <v>11</v>
      </c>
      <c r="B219">
        <v>11</v>
      </c>
      <c r="C219" t="s">
        <v>124</v>
      </c>
      <c r="D219" t="s">
        <v>722</v>
      </c>
      <c r="E219" t="s">
        <v>124</v>
      </c>
      <c r="F219">
        <v>0</v>
      </c>
      <c r="G219" t="s">
        <v>124</v>
      </c>
      <c r="H219" t="s">
        <v>124</v>
      </c>
      <c r="I219" t="s">
        <v>124</v>
      </c>
      <c r="J219" t="s">
        <v>124</v>
      </c>
      <c r="K219" t="s">
        <v>124</v>
      </c>
      <c r="L219" t="s">
        <v>124</v>
      </c>
      <c r="M219" t="s">
        <v>868</v>
      </c>
      <c r="N219" t="b">
        <v>0</v>
      </c>
    </row>
    <row r="220" spans="1:14">
      <c r="A220">
        <v>11</v>
      </c>
      <c r="B220">
        <v>12</v>
      </c>
      <c r="C220" t="s">
        <v>124</v>
      </c>
      <c r="D220" t="s">
        <v>722</v>
      </c>
      <c r="E220" t="s">
        <v>124</v>
      </c>
      <c r="F220">
        <v>0</v>
      </c>
      <c r="G220" t="s">
        <v>124</v>
      </c>
      <c r="H220" t="s">
        <v>124</v>
      </c>
      <c r="I220" t="s">
        <v>124</v>
      </c>
      <c r="J220" t="s">
        <v>124</v>
      </c>
      <c r="K220" t="s">
        <v>124</v>
      </c>
      <c r="L220" t="s">
        <v>124</v>
      </c>
      <c r="M220" t="s">
        <v>869</v>
      </c>
      <c r="N220" t="b">
        <v>0</v>
      </c>
    </row>
    <row r="221" spans="1:14">
      <c r="A221">
        <v>11</v>
      </c>
      <c r="B221">
        <v>13</v>
      </c>
      <c r="C221" t="s">
        <v>124</v>
      </c>
      <c r="D221" t="s">
        <v>722</v>
      </c>
      <c r="E221" t="s">
        <v>124</v>
      </c>
      <c r="F221">
        <v>0</v>
      </c>
      <c r="G221" t="s">
        <v>124</v>
      </c>
      <c r="H221" t="s">
        <v>124</v>
      </c>
      <c r="I221" t="s">
        <v>124</v>
      </c>
      <c r="J221" t="s">
        <v>124</v>
      </c>
      <c r="K221" t="s">
        <v>124</v>
      </c>
      <c r="L221" t="s">
        <v>124</v>
      </c>
      <c r="M221" t="s">
        <v>870</v>
      </c>
      <c r="N221" t="b">
        <v>0</v>
      </c>
    </row>
    <row r="222" spans="1:14">
      <c r="A222">
        <v>11</v>
      </c>
      <c r="B222">
        <v>14</v>
      </c>
      <c r="C222" t="s">
        <v>124</v>
      </c>
      <c r="D222" t="s">
        <v>722</v>
      </c>
      <c r="E222" t="s">
        <v>124</v>
      </c>
      <c r="F222">
        <v>0</v>
      </c>
      <c r="G222" t="s">
        <v>124</v>
      </c>
      <c r="H222" t="s">
        <v>124</v>
      </c>
      <c r="I222" t="s">
        <v>124</v>
      </c>
      <c r="J222" t="s">
        <v>124</v>
      </c>
      <c r="K222" t="s">
        <v>124</v>
      </c>
      <c r="L222" t="s">
        <v>124</v>
      </c>
      <c r="M222" t="s">
        <v>871</v>
      </c>
      <c r="N222" t="b">
        <v>0</v>
      </c>
    </row>
    <row r="223" spans="1:14">
      <c r="A223">
        <v>11</v>
      </c>
      <c r="B223">
        <v>15</v>
      </c>
      <c r="C223" t="s">
        <v>124</v>
      </c>
      <c r="D223" t="s">
        <v>722</v>
      </c>
      <c r="E223" t="s">
        <v>124</v>
      </c>
      <c r="F223">
        <v>0</v>
      </c>
      <c r="G223" t="s">
        <v>124</v>
      </c>
      <c r="H223" t="s">
        <v>124</v>
      </c>
      <c r="I223" t="s">
        <v>124</v>
      </c>
      <c r="J223" t="s">
        <v>124</v>
      </c>
      <c r="K223" t="s">
        <v>124</v>
      </c>
      <c r="L223" t="s">
        <v>124</v>
      </c>
      <c r="M223" t="s">
        <v>872</v>
      </c>
      <c r="N223" t="b">
        <v>0</v>
      </c>
    </row>
    <row r="224" spans="1:14">
      <c r="A224">
        <v>11</v>
      </c>
      <c r="B224">
        <v>16</v>
      </c>
      <c r="C224" t="s">
        <v>204</v>
      </c>
      <c r="D224" t="s">
        <v>739</v>
      </c>
      <c r="E224" t="s">
        <v>107</v>
      </c>
      <c r="F224">
        <v>50</v>
      </c>
      <c r="G224" t="s">
        <v>124</v>
      </c>
      <c r="H224" t="s">
        <v>124</v>
      </c>
      <c r="I224" t="s">
        <v>107</v>
      </c>
      <c r="J224" t="s">
        <v>124</v>
      </c>
      <c r="K224" t="s">
        <v>124</v>
      </c>
      <c r="L224" t="s">
        <v>124</v>
      </c>
      <c r="M224" t="s">
        <v>873</v>
      </c>
      <c r="N224" t="b">
        <v>0</v>
      </c>
    </row>
    <row r="225" spans="1:14">
      <c r="A225">
        <v>11</v>
      </c>
      <c r="B225">
        <v>17</v>
      </c>
      <c r="C225" t="s">
        <v>205</v>
      </c>
      <c r="D225" t="s">
        <v>739</v>
      </c>
      <c r="E225" t="s">
        <v>89</v>
      </c>
      <c r="F225">
        <v>60</v>
      </c>
      <c r="G225" t="s">
        <v>124</v>
      </c>
      <c r="H225" t="s">
        <v>124</v>
      </c>
      <c r="I225" t="s">
        <v>89</v>
      </c>
      <c r="J225" t="s">
        <v>124</v>
      </c>
      <c r="K225" t="s">
        <v>124</v>
      </c>
      <c r="L225" t="s">
        <v>124</v>
      </c>
      <c r="M225" t="s">
        <v>874</v>
      </c>
      <c r="N225" t="b">
        <v>0</v>
      </c>
    </row>
    <row r="226" spans="1:14">
      <c r="A226">
        <v>11</v>
      </c>
      <c r="B226">
        <v>18</v>
      </c>
      <c r="C226" t="s">
        <v>206</v>
      </c>
      <c r="D226" t="s">
        <v>739</v>
      </c>
      <c r="E226" t="s">
        <v>543</v>
      </c>
      <c r="F226">
        <v>50</v>
      </c>
      <c r="G226" t="s">
        <v>758</v>
      </c>
      <c r="H226" t="s">
        <v>124</v>
      </c>
      <c r="I226" t="s">
        <v>124</v>
      </c>
      <c r="J226" t="s">
        <v>822</v>
      </c>
      <c r="K226" t="s">
        <v>823</v>
      </c>
      <c r="L226" t="s">
        <v>824</v>
      </c>
      <c r="M226" t="s">
        <v>875</v>
      </c>
      <c r="N226" t="b">
        <v>0</v>
      </c>
    </row>
    <row r="227" spans="1:14">
      <c r="A227">
        <v>11</v>
      </c>
      <c r="B227">
        <v>19</v>
      </c>
      <c r="C227" t="s">
        <v>207</v>
      </c>
      <c r="D227" t="s">
        <v>739</v>
      </c>
      <c r="E227" t="s">
        <v>102</v>
      </c>
      <c r="F227">
        <v>50</v>
      </c>
      <c r="G227" t="s">
        <v>124</v>
      </c>
      <c r="H227" t="s">
        <v>124</v>
      </c>
      <c r="I227" t="s">
        <v>102</v>
      </c>
      <c r="J227" t="s">
        <v>124</v>
      </c>
      <c r="K227" t="s">
        <v>124</v>
      </c>
      <c r="L227" t="s">
        <v>124</v>
      </c>
      <c r="M227" t="s">
        <v>876</v>
      </c>
      <c r="N227" t="b">
        <v>0</v>
      </c>
    </row>
    <row r="228" spans="1:14">
      <c r="A228">
        <v>11</v>
      </c>
      <c r="B228">
        <v>20</v>
      </c>
      <c r="C228" t="s">
        <v>124</v>
      </c>
      <c r="D228" t="s">
        <v>739</v>
      </c>
      <c r="E228" t="s">
        <v>124</v>
      </c>
      <c r="F228">
        <v>0</v>
      </c>
      <c r="G228" t="s">
        <v>124</v>
      </c>
      <c r="H228" t="s">
        <v>124</v>
      </c>
      <c r="I228" t="s">
        <v>124</v>
      </c>
      <c r="J228" t="s">
        <v>124</v>
      </c>
      <c r="K228" t="s">
        <v>124</v>
      </c>
      <c r="L228" t="s">
        <v>124</v>
      </c>
      <c r="M228" t="s">
        <v>877</v>
      </c>
      <c r="N228" t="b">
        <v>0</v>
      </c>
    </row>
    <row r="229" spans="1:14">
      <c r="A229">
        <v>11</v>
      </c>
      <c r="B229">
        <v>21</v>
      </c>
      <c r="C229" t="s">
        <v>124</v>
      </c>
      <c r="D229" t="s">
        <v>739</v>
      </c>
      <c r="E229" t="s">
        <v>124</v>
      </c>
      <c r="F229">
        <v>0</v>
      </c>
      <c r="G229" t="s">
        <v>124</v>
      </c>
      <c r="H229" t="s">
        <v>124</v>
      </c>
      <c r="I229" t="s">
        <v>124</v>
      </c>
      <c r="J229" t="s">
        <v>124</v>
      </c>
      <c r="K229" t="s">
        <v>124</v>
      </c>
      <c r="L229" t="s">
        <v>124</v>
      </c>
      <c r="M229" t="s">
        <v>878</v>
      </c>
      <c r="N229" t="b">
        <v>0</v>
      </c>
    </row>
    <row r="230" spans="1:14">
      <c r="A230">
        <v>11</v>
      </c>
      <c r="B230">
        <v>22</v>
      </c>
      <c r="C230" t="s">
        <v>124</v>
      </c>
      <c r="D230" t="s">
        <v>739</v>
      </c>
      <c r="E230" t="s">
        <v>124</v>
      </c>
      <c r="F230">
        <v>0</v>
      </c>
      <c r="G230" t="s">
        <v>124</v>
      </c>
      <c r="H230" t="s">
        <v>124</v>
      </c>
      <c r="I230" t="s">
        <v>124</v>
      </c>
      <c r="J230" t="s">
        <v>124</v>
      </c>
      <c r="K230" t="s">
        <v>124</v>
      </c>
      <c r="L230" t="s">
        <v>124</v>
      </c>
      <c r="M230" t="s">
        <v>879</v>
      </c>
      <c r="N230" t="b">
        <v>0</v>
      </c>
    </row>
    <row r="231" spans="1:14">
      <c r="A231">
        <v>11</v>
      </c>
      <c r="B231">
        <v>23</v>
      </c>
      <c r="C231" t="s">
        <v>124</v>
      </c>
      <c r="D231" t="s">
        <v>739</v>
      </c>
      <c r="E231" t="s">
        <v>124</v>
      </c>
      <c r="F231">
        <v>0</v>
      </c>
      <c r="G231" t="s">
        <v>124</v>
      </c>
      <c r="H231" t="s">
        <v>124</v>
      </c>
      <c r="I231" t="s">
        <v>124</v>
      </c>
      <c r="J231" t="s">
        <v>124</v>
      </c>
      <c r="K231" t="s">
        <v>124</v>
      </c>
      <c r="L231" t="s">
        <v>124</v>
      </c>
      <c r="M231" t="s">
        <v>880</v>
      </c>
      <c r="N231" t="b">
        <v>0</v>
      </c>
    </row>
    <row r="232" spans="1:14">
      <c r="A232">
        <v>11</v>
      </c>
      <c r="B232">
        <v>24</v>
      </c>
      <c r="C232" t="s">
        <v>124</v>
      </c>
      <c r="D232" t="s">
        <v>739</v>
      </c>
      <c r="E232" t="s">
        <v>124</v>
      </c>
      <c r="F232">
        <v>0</v>
      </c>
      <c r="G232" t="s">
        <v>124</v>
      </c>
      <c r="H232" t="s">
        <v>124</v>
      </c>
      <c r="I232" t="s">
        <v>124</v>
      </c>
      <c r="J232" t="s">
        <v>124</v>
      </c>
      <c r="K232" t="s">
        <v>124</v>
      </c>
      <c r="L232" t="s">
        <v>124</v>
      </c>
      <c r="M232" t="s">
        <v>881</v>
      </c>
      <c r="N232" t="b">
        <v>0</v>
      </c>
    </row>
    <row r="233" spans="1:14">
      <c r="A233">
        <v>11</v>
      </c>
      <c r="B233">
        <v>25</v>
      </c>
      <c r="C233" t="s">
        <v>124</v>
      </c>
      <c r="D233" t="s">
        <v>739</v>
      </c>
      <c r="E233" t="s">
        <v>124</v>
      </c>
      <c r="F233">
        <v>0</v>
      </c>
      <c r="G233" t="s">
        <v>124</v>
      </c>
      <c r="H233" t="s">
        <v>124</v>
      </c>
      <c r="I233" t="s">
        <v>124</v>
      </c>
      <c r="J233" t="s">
        <v>124</v>
      </c>
      <c r="K233" t="s">
        <v>124</v>
      </c>
      <c r="L233" t="s">
        <v>124</v>
      </c>
      <c r="M233" t="s">
        <v>882</v>
      </c>
      <c r="N233" t="b">
        <v>0</v>
      </c>
    </row>
    <row r="234" spans="1:14">
      <c r="A234">
        <v>11</v>
      </c>
      <c r="B234">
        <v>26</v>
      </c>
      <c r="C234" t="s">
        <v>124</v>
      </c>
      <c r="D234" t="s">
        <v>739</v>
      </c>
      <c r="E234" t="s">
        <v>124</v>
      </c>
      <c r="F234">
        <v>0</v>
      </c>
      <c r="G234" t="s">
        <v>124</v>
      </c>
      <c r="H234" t="s">
        <v>124</v>
      </c>
      <c r="I234" t="s">
        <v>124</v>
      </c>
      <c r="J234" t="s">
        <v>124</v>
      </c>
      <c r="K234" t="s">
        <v>124</v>
      </c>
      <c r="L234" t="s">
        <v>124</v>
      </c>
      <c r="M234" t="s">
        <v>883</v>
      </c>
      <c r="N234" t="b">
        <v>0</v>
      </c>
    </row>
    <row r="235" spans="1:14">
      <c r="A235">
        <v>12</v>
      </c>
      <c r="B235">
        <v>0</v>
      </c>
      <c r="C235" t="s">
        <v>156</v>
      </c>
      <c r="D235" t="s">
        <v>722</v>
      </c>
      <c r="E235" t="s">
        <v>81</v>
      </c>
      <c r="F235">
        <v>40</v>
      </c>
      <c r="G235" t="s">
        <v>124</v>
      </c>
      <c r="H235" t="s">
        <v>124</v>
      </c>
      <c r="I235" t="s">
        <v>81</v>
      </c>
      <c r="J235" t="s">
        <v>124</v>
      </c>
      <c r="K235" t="s">
        <v>124</v>
      </c>
      <c r="L235" t="s">
        <v>124</v>
      </c>
      <c r="M235" t="s">
        <v>884</v>
      </c>
      <c r="N235" t="b">
        <v>0</v>
      </c>
    </row>
    <row r="236" spans="1:14">
      <c r="A236">
        <v>12</v>
      </c>
      <c r="B236">
        <v>1</v>
      </c>
      <c r="C236" t="s">
        <v>208</v>
      </c>
      <c r="D236" t="s">
        <v>722</v>
      </c>
      <c r="E236" t="s">
        <v>85</v>
      </c>
      <c r="F236">
        <v>40</v>
      </c>
      <c r="G236" t="s">
        <v>124</v>
      </c>
      <c r="H236" t="s">
        <v>124</v>
      </c>
      <c r="I236" t="s">
        <v>85</v>
      </c>
      <c r="J236" t="s">
        <v>124</v>
      </c>
      <c r="K236" t="s">
        <v>124</v>
      </c>
      <c r="L236" t="s">
        <v>124</v>
      </c>
      <c r="M236" t="s">
        <v>885</v>
      </c>
      <c r="N236" t="b">
        <v>0</v>
      </c>
    </row>
    <row r="237" spans="1:14">
      <c r="A237">
        <v>12</v>
      </c>
      <c r="B237">
        <v>2</v>
      </c>
      <c r="C237" t="s">
        <v>209</v>
      </c>
      <c r="D237" t="s">
        <v>751</v>
      </c>
      <c r="E237" t="s">
        <v>543</v>
      </c>
      <c r="F237">
        <v>60</v>
      </c>
      <c r="G237" t="s">
        <v>758</v>
      </c>
      <c r="H237" t="s">
        <v>124</v>
      </c>
      <c r="I237" t="s">
        <v>124</v>
      </c>
      <c r="J237" t="s">
        <v>822</v>
      </c>
      <c r="K237" t="s">
        <v>799</v>
      </c>
      <c r="L237" t="s">
        <v>800</v>
      </c>
      <c r="M237" t="s">
        <v>886</v>
      </c>
      <c r="N237" t="b">
        <v>0</v>
      </c>
    </row>
    <row r="238" spans="1:14">
      <c r="A238">
        <v>12</v>
      </c>
      <c r="B238">
        <v>3</v>
      </c>
      <c r="C238" t="s">
        <v>206</v>
      </c>
      <c r="D238" t="s">
        <v>751</v>
      </c>
      <c r="E238" t="s">
        <v>543</v>
      </c>
      <c r="F238">
        <v>50</v>
      </c>
      <c r="G238" t="s">
        <v>758</v>
      </c>
      <c r="H238" t="s">
        <v>124</v>
      </c>
      <c r="I238" t="s">
        <v>124</v>
      </c>
      <c r="J238" t="s">
        <v>822</v>
      </c>
      <c r="K238" t="s">
        <v>823</v>
      </c>
      <c r="L238" t="s">
        <v>824</v>
      </c>
      <c r="M238" t="s">
        <v>887</v>
      </c>
      <c r="N238" t="b">
        <v>0</v>
      </c>
    </row>
    <row r="239" spans="1:14">
      <c r="A239">
        <v>12</v>
      </c>
      <c r="B239">
        <v>4</v>
      </c>
      <c r="C239" t="s">
        <v>206</v>
      </c>
      <c r="D239" t="s">
        <v>751</v>
      </c>
      <c r="E239" t="s">
        <v>543</v>
      </c>
      <c r="F239">
        <v>50</v>
      </c>
      <c r="G239" t="s">
        <v>758</v>
      </c>
      <c r="H239" t="s">
        <v>124</v>
      </c>
      <c r="I239" t="s">
        <v>124</v>
      </c>
      <c r="J239" t="s">
        <v>822</v>
      </c>
      <c r="K239" t="s">
        <v>888</v>
      </c>
      <c r="L239" t="s">
        <v>889</v>
      </c>
      <c r="M239" t="s">
        <v>890</v>
      </c>
      <c r="N239" t="b">
        <v>0</v>
      </c>
    </row>
    <row r="240" spans="1:14">
      <c r="A240">
        <v>12</v>
      </c>
      <c r="B240">
        <v>5</v>
      </c>
      <c r="C240" t="s">
        <v>124</v>
      </c>
      <c r="D240" t="s">
        <v>722</v>
      </c>
      <c r="E240" t="s">
        <v>124</v>
      </c>
      <c r="F240">
        <v>0</v>
      </c>
      <c r="G240" t="s">
        <v>124</v>
      </c>
      <c r="H240" t="s">
        <v>124</v>
      </c>
      <c r="I240" t="s">
        <v>124</v>
      </c>
      <c r="J240" t="s">
        <v>124</v>
      </c>
      <c r="K240" t="s">
        <v>124</v>
      </c>
      <c r="L240" t="s">
        <v>124</v>
      </c>
      <c r="M240" t="s">
        <v>891</v>
      </c>
      <c r="N240" t="b">
        <v>0</v>
      </c>
    </row>
    <row r="241" spans="1:14">
      <c r="A241">
        <v>12</v>
      </c>
      <c r="B241">
        <v>6</v>
      </c>
      <c r="C241" t="s">
        <v>124</v>
      </c>
      <c r="D241" t="s">
        <v>722</v>
      </c>
      <c r="E241" t="s">
        <v>124</v>
      </c>
      <c r="F241">
        <v>0</v>
      </c>
      <c r="G241" t="s">
        <v>124</v>
      </c>
      <c r="H241" t="s">
        <v>124</v>
      </c>
      <c r="I241" t="s">
        <v>124</v>
      </c>
      <c r="J241" t="s">
        <v>124</v>
      </c>
      <c r="K241" t="s">
        <v>124</v>
      </c>
      <c r="L241" t="s">
        <v>124</v>
      </c>
      <c r="M241" t="s">
        <v>892</v>
      </c>
      <c r="N241" t="b">
        <v>0</v>
      </c>
    </row>
    <row r="242" spans="1:14">
      <c r="A242">
        <v>12</v>
      </c>
      <c r="B242">
        <v>7</v>
      </c>
      <c r="C242" t="s">
        <v>124</v>
      </c>
      <c r="D242" t="s">
        <v>722</v>
      </c>
      <c r="E242" t="s">
        <v>124</v>
      </c>
      <c r="F242">
        <v>0</v>
      </c>
      <c r="G242" t="s">
        <v>124</v>
      </c>
      <c r="H242" t="s">
        <v>124</v>
      </c>
      <c r="I242" t="s">
        <v>124</v>
      </c>
      <c r="J242" t="s">
        <v>124</v>
      </c>
      <c r="K242" t="s">
        <v>124</v>
      </c>
      <c r="L242" t="s">
        <v>124</v>
      </c>
      <c r="M242" t="s">
        <v>893</v>
      </c>
      <c r="N242" t="b">
        <v>0</v>
      </c>
    </row>
    <row r="243" spans="1:14">
      <c r="A243">
        <v>12</v>
      </c>
      <c r="B243">
        <v>8</v>
      </c>
      <c r="C243" t="s">
        <v>124</v>
      </c>
      <c r="D243" t="s">
        <v>722</v>
      </c>
      <c r="E243" t="s">
        <v>124</v>
      </c>
      <c r="F243">
        <v>0</v>
      </c>
      <c r="G243" t="s">
        <v>124</v>
      </c>
      <c r="H243" t="s">
        <v>124</v>
      </c>
      <c r="I243" t="s">
        <v>124</v>
      </c>
      <c r="J243" t="s">
        <v>124</v>
      </c>
      <c r="K243" t="s">
        <v>124</v>
      </c>
      <c r="L243" t="s">
        <v>124</v>
      </c>
      <c r="M243" t="s">
        <v>894</v>
      </c>
      <c r="N243" t="b">
        <v>0</v>
      </c>
    </row>
    <row r="244" spans="1:14">
      <c r="A244">
        <v>12</v>
      </c>
      <c r="B244">
        <v>9</v>
      </c>
      <c r="C244" t="s">
        <v>124</v>
      </c>
      <c r="D244" t="s">
        <v>722</v>
      </c>
      <c r="E244" t="s">
        <v>124</v>
      </c>
      <c r="F244">
        <v>0</v>
      </c>
      <c r="G244" t="s">
        <v>124</v>
      </c>
      <c r="H244" t="s">
        <v>124</v>
      </c>
      <c r="I244" t="s">
        <v>124</v>
      </c>
      <c r="J244" t="s">
        <v>124</v>
      </c>
      <c r="K244" t="s">
        <v>124</v>
      </c>
      <c r="L244" t="s">
        <v>124</v>
      </c>
      <c r="M244" t="s">
        <v>895</v>
      </c>
      <c r="N244" t="b">
        <v>0</v>
      </c>
    </row>
    <row r="245" spans="1:14">
      <c r="A245">
        <v>12</v>
      </c>
      <c r="B245">
        <v>10</v>
      </c>
      <c r="C245" t="s">
        <v>124</v>
      </c>
      <c r="D245" t="s">
        <v>722</v>
      </c>
      <c r="E245" t="s">
        <v>124</v>
      </c>
      <c r="F245">
        <v>0</v>
      </c>
      <c r="G245" t="s">
        <v>124</v>
      </c>
      <c r="H245" t="s">
        <v>124</v>
      </c>
      <c r="I245" t="s">
        <v>124</v>
      </c>
      <c r="J245" t="s">
        <v>124</v>
      </c>
      <c r="K245" t="s">
        <v>124</v>
      </c>
      <c r="L245" t="s">
        <v>124</v>
      </c>
      <c r="M245" t="s">
        <v>896</v>
      </c>
      <c r="N245" t="b">
        <v>0</v>
      </c>
    </row>
    <row r="246" spans="1:14">
      <c r="A246">
        <v>12</v>
      </c>
      <c r="B246">
        <v>11</v>
      </c>
      <c r="C246" t="s">
        <v>124</v>
      </c>
      <c r="D246" t="s">
        <v>722</v>
      </c>
      <c r="E246" t="s">
        <v>124</v>
      </c>
      <c r="F246">
        <v>0</v>
      </c>
      <c r="G246" t="s">
        <v>124</v>
      </c>
      <c r="H246" t="s">
        <v>124</v>
      </c>
      <c r="I246" t="s">
        <v>124</v>
      </c>
      <c r="J246" t="s">
        <v>124</v>
      </c>
      <c r="K246" t="s">
        <v>124</v>
      </c>
      <c r="L246" t="s">
        <v>124</v>
      </c>
      <c r="M246" t="s">
        <v>897</v>
      </c>
      <c r="N246" t="b">
        <v>0</v>
      </c>
    </row>
    <row r="247" spans="1:14">
      <c r="A247">
        <v>12</v>
      </c>
      <c r="B247">
        <v>12</v>
      </c>
      <c r="C247" t="s">
        <v>124</v>
      </c>
      <c r="D247" t="s">
        <v>722</v>
      </c>
      <c r="E247" t="s">
        <v>124</v>
      </c>
      <c r="F247">
        <v>0</v>
      </c>
      <c r="G247" t="s">
        <v>124</v>
      </c>
      <c r="H247" t="s">
        <v>124</v>
      </c>
      <c r="I247" t="s">
        <v>124</v>
      </c>
      <c r="J247" t="s">
        <v>124</v>
      </c>
      <c r="K247" t="s">
        <v>124</v>
      </c>
      <c r="L247" t="s">
        <v>124</v>
      </c>
      <c r="M247" t="s">
        <v>898</v>
      </c>
      <c r="N247" t="b">
        <v>0</v>
      </c>
    </row>
    <row r="248" spans="1:14">
      <c r="A248">
        <v>12</v>
      </c>
      <c r="B248">
        <v>13</v>
      </c>
      <c r="C248" t="s">
        <v>124</v>
      </c>
      <c r="D248" t="s">
        <v>722</v>
      </c>
      <c r="E248" t="s">
        <v>124</v>
      </c>
      <c r="F248">
        <v>0</v>
      </c>
      <c r="G248" t="s">
        <v>124</v>
      </c>
      <c r="H248" t="s">
        <v>124</v>
      </c>
      <c r="I248" t="s">
        <v>124</v>
      </c>
      <c r="J248" t="s">
        <v>124</v>
      </c>
      <c r="K248" t="s">
        <v>124</v>
      </c>
      <c r="L248" t="s">
        <v>124</v>
      </c>
      <c r="M248" t="s">
        <v>899</v>
      </c>
      <c r="N248" t="b">
        <v>0</v>
      </c>
    </row>
    <row r="249" spans="1:14">
      <c r="A249">
        <v>12</v>
      </c>
      <c r="B249">
        <v>14</v>
      </c>
      <c r="C249" t="s">
        <v>124</v>
      </c>
      <c r="D249" t="s">
        <v>722</v>
      </c>
      <c r="E249" t="s">
        <v>124</v>
      </c>
      <c r="F249">
        <v>0</v>
      </c>
      <c r="G249" t="s">
        <v>124</v>
      </c>
      <c r="H249" t="s">
        <v>124</v>
      </c>
      <c r="I249" t="s">
        <v>124</v>
      </c>
      <c r="J249" t="s">
        <v>124</v>
      </c>
      <c r="K249" t="s">
        <v>124</v>
      </c>
      <c r="L249" t="s">
        <v>124</v>
      </c>
      <c r="M249" t="s">
        <v>900</v>
      </c>
      <c r="N249" t="b">
        <v>0</v>
      </c>
    </row>
    <row r="250" spans="1:14">
      <c r="A250">
        <v>12</v>
      </c>
      <c r="B250">
        <v>15</v>
      </c>
      <c r="C250" t="s">
        <v>124</v>
      </c>
      <c r="D250" t="s">
        <v>722</v>
      </c>
      <c r="E250" t="s">
        <v>124</v>
      </c>
      <c r="F250">
        <v>0</v>
      </c>
      <c r="G250" t="s">
        <v>124</v>
      </c>
      <c r="H250" t="s">
        <v>124</v>
      </c>
      <c r="I250" t="s">
        <v>124</v>
      </c>
      <c r="J250" t="s">
        <v>124</v>
      </c>
      <c r="K250" t="s">
        <v>124</v>
      </c>
      <c r="L250" t="s">
        <v>124</v>
      </c>
      <c r="M250" t="s">
        <v>901</v>
      </c>
      <c r="N250" t="b">
        <v>0</v>
      </c>
    </row>
    <row r="251" spans="1:14">
      <c r="A251">
        <v>12</v>
      </c>
      <c r="B251">
        <v>16</v>
      </c>
      <c r="C251" t="s">
        <v>176</v>
      </c>
      <c r="D251" t="s">
        <v>739</v>
      </c>
      <c r="E251" t="s">
        <v>58</v>
      </c>
      <c r="F251">
        <v>50</v>
      </c>
      <c r="G251" t="s">
        <v>124</v>
      </c>
      <c r="H251" t="s">
        <v>124</v>
      </c>
      <c r="I251" t="s">
        <v>58</v>
      </c>
      <c r="J251" t="s">
        <v>124</v>
      </c>
      <c r="K251" t="s">
        <v>124</v>
      </c>
      <c r="L251" t="s">
        <v>124</v>
      </c>
      <c r="M251" t="s">
        <v>902</v>
      </c>
      <c r="N251" t="b">
        <v>0</v>
      </c>
    </row>
    <row r="252" spans="1:14">
      <c r="A252">
        <v>12</v>
      </c>
      <c r="B252">
        <v>17</v>
      </c>
      <c r="C252" t="s">
        <v>178</v>
      </c>
      <c r="D252" t="s">
        <v>739</v>
      </c>
      <c r="E252" t="s">
        <v>542</v>
      </c>
      <c r="F252">
        <v>40</v>
      </c>
      <c r="G252" t="s">
        <v>758</v>
      </c>
      <c r="H252" t="s">
        <v>124</v>
      </c>
      <c r="I252" t="s">
        <v>124</v>
      </c>
      <c r="J252" t="s">
        <v>815</v>
      </c>
      <c r="K252" t="s">
        <v>790</v>
      </c>
      <c r="L252" t="s">
        <v>791</v>
      </c>
      <c r="M252" t="s">
        <v>903</v>
      </c>
      <c r="N252" t="b">
        <v>0</v>
      </c>
    </row>
    <row r="253" spans="1:14">
      <c r="A253">
        <v>12</v>
      </c>
      <c r="B253">
        <v>18</v>
      </c>
      <c r="C253" t="s">
        <v>158</v>
      </c>
      <c r="D253" t="s">
        <v>739</v>
      </c>
      <c r="E253" t="s">
        <v>295</v>
      </c>
      <c r="F253">
        <v>40</v>
      </c>
      <c r="G253" t="s">
        <v>758</v>
      </c>
      <c r="H253" t="s">
        <v>124</v>
      </c>
      <c r="I253" t="s">
        <v>124</v>
      </c>
      <c r="J253" t="s">
        <v>759</v>
      </c>
      <c r="K253" t="s">
        <v>760</v>
      </c>
      <c r="L253" t="s">
        <v>761</v>
      </c>
      <c r="M253" t="s">
        <v>904</v>
      </c>
      <c r="N253" t="b">
        <v>0</v>
      </c>
    </row>
    <row r="254" spans="1:14">
      <c r="A254">
        <v>12</v>
      </c>
      <c r="B254">
        <v>19</v>
      </c>
      <c r="C254" t="s">
        <v>210</v>
      </c>
      <c r="D254" t="s">
        <v>739</v>
      </c>
      <c r="E254" t="s">
        <v>107</v>
      </c>
      <c r="F254">
        <v>40</v>
      </c>
      <c r="G254" t="s">
        <v>124</v>
      </c>
      <c r="H254" t="s">
        <v>124</v>
      </c>
      <c r="I254" t="s">
        <v>107</v>
      </c>
      <c r="J254" t="s">
        <v>124</v>
      </c>
      <c r="K254" t="s">
        <v>124</v>
      </c>
      <c r="L254" t="s">
        <v>124</v>
      </c>
      <c r="M254" t="s">
        <v>905</v>
      </c>
      <c r="N254" t="b">
        <v>0</v>
      </c>
    </row>
    <row r="255" spans="1:14">
      <c r="A255">
        <v>12</v>
      </c>
      <c r="B255">
        <v>20</v>
      </c>
      <c r="C255" t="s">
        <v>180</v>
      </c>
      <c r="D255" t="s">
        <v>739</v>
      </c>
      <c r="E255" t="s">
        <v>59</v>
      </c>
      <c r="F255">
        <v>40</v>
      </c>
      <c r="G255" t="s">
        <v>124</v>
      </c>
      <c r="H255" t="s">
        <v>124</v>
      </c>
      <c r="I255" t="s">
        <v>59</v>
      </c>
      <c r="J255" t="s">
        <v>124</v>
      </c>
      <c r="K255" t="s">
        <v>124</v>
      </c>
      <c r="L255" t="s">
        <v>124</v>
      </c>
      <c r="M255" t="s">
        <v>906</v>
      </c>
      <c r="N255" t="b">
        <v>0</v>
      </c>
    </row>
    <row r="256" spans="1:14">
      <c r="A256">
        <v>12</v>
      </c>
      <c r="B256">
        <v>21</v>
      </c>
      <c r="C256" t="s">
        <v>211</v>
      </c>
      <c r="D256" t="s">
        <v>739</v>
      </c>
      <c r="E256" t="s">
        <v>82</v>
      </c>
      <c r="F256">
        <v>40</v>
      </c>
      <c r="G256" t="s">
        <v>124</v>
      </c>
      <c r="H256" t="s">
        <v>124</v>
      </c>
      <c r="I256" t="s">
        <v>82</v>
      </c>
      <c r="J256" t="s">
        <v>124</v>
      </c>
      <c r="K256" t="s">
        <v>124</v>
      </c>
      <c r="L256" t="s">
        <v>124</v>
      </c>
      <c r="M256" t="s">
        <v>907</v>
      </c>
      <c r="N256" t="b">
        <v>0</v>
      </c>
    </row>
    <row r="257" spans="1:14">
      <c r="A257">
        <v>12</v>
      </c>
      <c r="B257">
        <v>22</v>
      </c>
      <c r="C257" t="s">
        <v>124</v>
      </c>
      <c r="D257" t="s">
        <v>739</v>
      </c>
      <c r="E257" t="s">
        <v>124</v>
      </c>
      <c r="F257">
        <v>0</v>
      </c>
      <c r="G257" t="s">
        <v>124</v>
      </c>
      <c r="H257" t="s">
        <v>124</v>
      </c>
      <c r="I257" t="s">
        <v>124</v>
      </c>
      <c r="J257" t="s">
        <v>124</v>
      </c>
      <c r="K257" t="s">
        <v>124</v>
      </c>
      <c r="L257" t="s">
        <v>124</v>
      </c>
      <c r="M257" t="s">
        <v>908</v>
      </c>
      <c r="N257" t="b">
        <v>0</v>
      </c>
    </row>
    <row r="258" spans="1:14">
      <c r="A258">
        <v>12</v>
      </c>
      <c r="B258">
        <v>23</v>
      </c>
      <c r="C258" t="s">
        <v>124</v>
      </c>
      <c r="D258" t="s">
        <v>739</v>
      </c>
      <c r="E258" t="s">
        <v>124</v>
      </c>
      <c r="F258">
        <v>0</v>
      </c>
      <c r="G258" t="s">
        <v>124</v>
      </c>
      <c r="H258" t="s">
        <v>124</v>
      </c>
      <c r="I258" t="s">
        <v>124</v>
      </c>
      <c r="J258" t="s">
        <v>124</v>
      </c>
      <c r="K258" t="s">
        <v>124</v>
      </c>
      <c r="L258" t="s">
        <v>124</v>
      </c>
      <c r="M258" t="s">
        <v>909</v>
      </c>
      <c r="N258" t="b">
        <v>0</v>
      </c>
    </row>
    <row r="259" spans="1:14">
      <c r="A259">
        <v>12</v>
      </c>
      <c r="B259">
        <v>24</v>
      </c>
      <c r="C259" t="s">
        <v>124</v>
      </c>
      <c r="D259" t="s">
        <v>739</v>
      </c>
      <c r="E259" t="s">
        <v>124</v>
      </c>
      <c r="F259">
        <v>0</v>
      </c>
      <c r="G259" t="s">
        <v>124</v>
      </c>
      <c r="H259" t="s">
        <v>124</v>
      </c>
      <c r="I259" t="s">
        <v>124</v>
      </c>
      <c r="J259" t="s">
        <v>124</v>
      </c>
      <c r="K259" t="s">
        <v>124</v>
      </c>
      <c r="L259" t="s">
        <v>124</v>
      </c>
      <c r="M259" t="s">
        <v>910</v>
      </c>
      <c r="N259" t="b">
        <v>0</v>
      </c>
    </row>
    <row r="260" spans="1:14">
      <c r="A260">
        <v>12</v>
      </c>
      <c r="B260">
        <v>25</v>
      </c>
      <c r="C260" t="s">
        <v>124</v>
      </c>
      <c r="D260" t="s">
        <v>739</v>
      </c>
      <c r="E260" t="s">
        <v>124</v>
      </c>
      <c r="F260">
        <v>0</v>
      </c>
      <c r="G260" t="s">
        <v>124</v>
      </c>
      <c r="H260" t="s">
        <v>124</v>
      </c>
      <c r="I260" t="s">
        <v>124</v>
      </c>
      <c r="J260" t="s">
        <v>124</v>
      </c>
      <c r="K260" t="s">
        <v>124</v>
      </c>
      <c r="L260" t="s">
        <v>124</v>
      </c>
      <c r="M260" t="s">
        <v>911</v>
      </c>
      <c r="N260" t="b">
        <v>0</v>
      </c>
    </row>
    <row r="261" spans="1:14">
      <c r="A261">
        <v>12</v>
      </c>
      <c r="B261">
        <v>26</v>
      </c>
      <c r="C261" t="s">
        <v>124</v>
      </c>
      <c r="D261" t="s">
        <v>739</v>
      </c>
      <c r="E261" t="s">
        <v>124</v>
      </c>
      <c r="F261">
        <v>0</v>
      </c>
      <c r="G261" t="s">
        <v>124</v>
      </c>
      <c r="H261" t="s">
        <v>124</v>
      </c>
      <c r="I261" t="s">
        <v>124</v>
      </c>
      <c r="J261" t="s">
        <v>124</v>
      </c>
      <c r="K261" t="s">
        <v>124</v>
      </c>
      <c r="L261" t="s">
        <v>124</v>
      </c>
      <c r="M261" t="s">
        <v>912</v>
      </c>
      <c r="N261" t="b">
        <v>0</v>
      </c>
    </row>
    <row r="262" spans="1:14">
      <c r="A262">
        <v>13</v>
      </c>
      <c r="B262">
        <v>0</v>
      </c>
      <c r="C262" t="s">
        <v>214</v>
      </c>
      <c r="D262" t="s">
        <v>722</v>
      </c>
      <c r="E262" t="s">
        <v>63</v>
      </c>
      <c r="F262">
        <v>60</v>
      </c>
      <c r="G262" t="s">
        <v>124</v>
      </c>
      <c r="H262" t="s">
        <v>124</v>
      </c>
      <c r="I262" t="s">
        <v>63</v>
      </c>
      <c r="J262" t="s">
        <v>124</v>
      </c>
      <c r="K262" t="s">
        <v>124</v>
      </c>
      <c r="L262" t="s">
        <v>124</v>
      </c>
      <c r="M262" t="s">
        <v>913</v>
      </c>
      <c r="N262" t="b">
        <v>0</v>
      </c>
    </row>
    <row r="263" spans="1:14">
      <c r="A263">
        <v>13</v>
      </c>
      <c r="B263">
        <v>1</v>
      </c>
      <c r="C263" t="s">
        <v>215</v>
      </c>
      <c r="D263" t="s">
        <v>722</v>
      </c>
      <c r="E263" t="s">
        <v>75</v>
      </c>
      <c r="F263">
        <v>60</v>
      </c>
      <c r="G263" t="s">
        <v>124</v>
      </c>
      <c r="H263" t="s">
        <v>124</v>
      </c>
      <c r="I263" t="s">
        <v>75</v>
      </c>
      <c r="J263" t="s">
        <v>124</v>
      </c>
      <c r="K263" t="s">
        <v>124</v>
      </c>
      <c r="L263" t="s">
        <v>124</v>
      </c>
      <c r="M263" t="s">
        <v>914</v>
      </c>
      <c r="N263" t="b">
        <v>0</v>
      </c>
    </row>
    <row r="264" spans="1:14">
      <c r="A264">
        <v>13</v>
      </c>
      <c r="B264">
        <v>2</v>
      </c>
      <c r="C264" t="s">
        <v>216</v>
      </c>
      <c r="D264" t="s">
        <v>722</v>
      </c>
      <c r="E264" t="s">
        <v>93</v>
      </c>
      <c r="F264">
        <v>40</v>
      </c>
      <c r="G264" t="s">
        <v>124</v>
      </c>
      <c r="H264" t="s">
        <v>124</v>
      </c>
      <c r="I264" t="s">
        <v>93</v>
      </c>
      <c r="J264" t="s">
        <v>124</v>
      </c>
      <c r="K264" t="s">
        <v>124</v>
      </c>
      <c r="L264" t="s">
        <v>124</v>
      </c>
      <c r="M264" t="s">
        <v>915</v>
      </c>
      <c r="N264" t="b">
        <v>0</v>
      </c>
    </row>
    <row r="265" spans="1:14">
      <c r="A265">
        <v>13</v>
      </c>
      <c r="B265">
        <v>3</v>
      </c>
      <c r="C265" t="s">
        <v>217</v>
      </c>
      <c r="D265" t="s">
        <v>722</v>
      </c>
      <c r="E265" t="s">
        <v>99</v>
      </c>
      <c r="F265">
        <v>60</v>
      </c>
      <c r="G265" t="s">
        <v>124</v>
      </c>
      <c r="H265" t="s">
        <v>124</v>
      </c>
      <c r="I265" t="s">
        <v>99</v>
      </c>
      <c r="J265" t="s">
        <v>124</v>
      </c>
      <c r="K265" t="s">
        <v>124</v>
      </c>
      <c r="L265" t="s">
        <v>124</v>
      </c>
      <c r="M265" t="s">
        <v>916</v>
      </c>
      <c r="N265" t="b">
        <v>0</v>
      </c>
    </row>
    <row r="266" spans="1:14">
      <c r="A266">
        <v>13</v>
      </c>
      <c r="B266">
        <v>4</v>
      </c>
      <c r="C266" t="s">
        <v>196</v>
      </c>
      <c r="D266" t="s">
        <v>722</v>
      </c>
      <c r="E266" t="s">
        <v>111</v>
      </c>
      <c r="F266">
        <v>50</v>
      </c>
      <c r="G266" t="s">
        <v>124</v>
      </c>
      <c r="H266" t="s">
        <v>124</v>
      </c>
      <c r="I266" t="s">
        <v>111</v>
      </c>
      <c r="J266" t="s">
        <v>124</v>
      </c>
      <c r="K266" t="s">
        <v>124</v>
      </c>
      <c r="L266" t="s">
        <v>124</v>
      </c>
      <c r="M266" t="s">
        <v>917</v>
      </c>
      <c r="N266" t="b">
        <v>0</v>
      </c>
    </row>
    <row r="267" spans="1:14">
      <c r="A267">
        <v>13</v>
      </c>
      <c r="B267">
        <v>5</v>
      </c>
      <c r="C267" t="s">
        <v>218</v>
      </c>
      <c r="D267" t="s">
        <v>722</v>
      </c>
      <c r="E267" t="s">
        <v>66</v>
      </c>
      <c r="F267">
        <v>50</v>
      </c>
      <c r="G267" t="s">
        <v>124</v>
      </c>
      <c r="H267" t="s">
        <v>124</v>
      </c>
      <c r="I267" t="s">
        <v>66</v>
      </c>
      <c r="J267" t="s">
        <v>124</v>
      </c>
      <c r="K267" t="s">
        <v>124</v>
      </c>
      <c r="L267" t="s">
        <v>124</v>
      </c>
      <c r="M267" t="s">
        <v>918</v>
      </c>
      <c r="N267" t="b">
        <v>0</v>
      </c>
    </row>
    <row r="268" spans="1:14">
      <c r="A268">
        <v>13</v>
      </c>
      <c r="B268">
        <v>6</v>
      </c>
      <c r="C268" t="s">
        <v>219</v>
      </c>
      <c r="D268" t="s">
        <v>722</v>
      </c>
      <c r="E268" t="s">
        <v>329</v>
      </c>
      <c r="F268">
        <v>60</v>
      </c>
      <c r="G268" t="s">
        <v>124</v>
      </c>
      <c r="H268" t="s">
        <v>546</v>
      </c>
      <c r="I268" t="s">
        <v>443</v>
      </c>
      <c r="J268" t="s">
        <v>124</v>
      </c>
      <c r="K268" t="s">
        <v>919</v>
      </c>
      <c r="L268" t="s">
        <v>920</v>
      </c>
      <c r="M268" t="s">
        <v>921</v>
      </c>
      <c r="N268" t="b">
        <v>0</v>
      </c>
    </row>
    <row r="269" spans="1:14">
      <c r="A269">
        <v>13</v>
      </c>
      <c r="B269">
        <v>7</v>
      </c>
      <c r="C269" t="s">
        <v>165</v>
      </c>
      <c r="D269" t="s">
        <v>722</v>
      </c>
      <c r="E269" t="s">
        <v>72</v>
      </c>
      <c r="F269">
        <v>50</v>
      </c>
      <c r="G269" t="s">
        <v>124</v>
      </c>
      <c r="H269" t="s">
        <v>124</v>
      </c>
      <c r="I269" t="s">
        <v>72</v>
      </c>
      <c r="J269" t="s">
        <v>124</v>
      </c>
      <c r="K269" t="s">
        <v>124</v>
      </c>
      <c r="L269" t="s">
        <v>124</v>
      </c>
      <c r="M269" t="s">
        <v>922</v>
      </c>
      <c r="N269" t="b">
        <v>0</v>
      </c>
    </row>
    <row r="270" spans="1:14">
      <c r="A270">
        <v>13</v>
      </c>
      <c r="B270">
        <v>8</v>
      </c>
      <c r="C270" t="s">
        <v>220</v>
      </c>
      <c r="D270" t="s">
        <v>722</v>
      </c>
      <c r="E270" t="s">
        <v>100</v>
      </c>
      <c r="F270">
        <v>50</v>
      </c>
      <c r="G270" t="s">
        <v>124</v>
      </c>
      <c r="H270" t="s">
        <v>124</v>
      </c>
      <c r="I270" t="s">
        <v>100</v>
      </c>
      <c r="J270" t="s">
        <v>124</v>
      </c>
      <c r="K270" t="s">
        <v>124</v>
      </c>
      <c r="L270" t="s">
        <v>124</v>
      </c>
      <c r="M270" t="s">
        <v>923</v>
      </c>
      <c r="N270" t="b">
        <v>0</v>
      </c>
    </row>
    <row r="271" spans="1:14">
      <c r="A271">
        <v>13</v>
      </c>
      <c r="B271">
        <v>9</v>
      </c>
      <c r="C271" t="s">
        <v>168</v>
      </c>
      <c r="D271" t="s">
        <v>722</v>
      </c>
      <c r="E271" t="s">
        <v>104</v>
      </c>
      <c r="F271">
        <v>50</v>
      </c>
      <c r="G271" t="s">
        <v>124</v>
      </c>
      <c r="H271" t="s">
        <v>124</v>
      </c>
      <c r="I271" t="s">
        <v>104</v>
      </c>
      <c r="J271" t="s">
        <v>124</v>
      </c>
      <c r="K271" t="s">
        <v>124</v>
      </c>
      <c r="L271" t="s">
        <v>124</v>
      </c>
      <c r="M271" t="s">
        <v>924</v>
      </c>
      <c r="N271" t="b">
        <v>0</v>
      </c>
    </row>
    <row r="272" spans="1:14">
      <c r="A272">
        <v>13</v>
      </c>
      <c r="B272">
        <v>10</v>
      </c>
      <c r="C272" t="s">
        <v>221</v>
      </c>
      <c r="D272" t="s">
        <v>722</v>
      </c>
      <c r="E272" t="s">
        <v>105</v>
      </c>
      <c r="F272">
        <v>50</v>
      </c>
      <c r="G272" t="s">
        <v>124</v>
      </c>
      <c r="H272" t="s">
        <v>124</v>
      </c>
      <c r="I272" t="s">
        <v>105</v>
      </c>
      <c r="J272" t="s">
        <v>124</v>
      </c>
      <c r="K272" t="s">
        <v>124</v>
      </c>
      <c r="L272" t="s">
        <v>124</v>
      </c>
      <c r="M272" t="s">
        <v>925</v>
      </c>
      <c r="N272" t="b">
        <v>0</v>
      </c>
    </row>
    <row r="273" spans="1:14">
      <c r="A273">
        <v>13</v>
      </c>
      <c r="B273">
        <v>11</v>
      </c>
      <c r="C273" t="s">
        <v>193</v>
      </c>
      <c r="D273" t="s">
        <v>722</v>
      </c>
      <c r="E273" t="s">
        <v>106</v>
      </c>
      <c r="F273">
        <v>60</v>
      </c>
      <c r="G273" t="s">
        <v>124</v>
      </c>
      <c r="H273" t="s">
        <v>124</v>
      </c>
      <c r="I273" t="s">
        <v>106</v>
      </c>
      <c r="J273" t="s">
        <v>124</v>
      </c>
      <c r="K273" t="s">
        <v>124</v>
      </c>
      <c r="L273" t="s">
        <v>124</v>
      </c>
      <c r="M273" t="s">
        <v>926</v>
      </c>
      <c r="N273" t="b">
        <v>0</v>
      </c>
    </row>
    <row r="274" spans="1:14">
      <c r="A274">
        <v>13</v>
      </c>
      <c r="B274">
        <v>12</v>
      </c>
      <c r="C274" t="s">
        <v>124</v>
      </c>
      <c r="D274" t="s">
        <v>722</v>
      </c>
      <c r="E274" t="s">
        <v>124</v>
      </c>
      <c r="F274">
        <v>0</v>
      </c>
      <c r="G274" t="s">
        <v>124</v>
      </c>
      <c r="H274" t="s">
        <v>124</v>
      </c>
      <c r="I274" t="s">
        <v>124</v>
      </c>
      <c r="J274" t="s">
        <v>124</v>
      </c>
      <c r="K274" t="s">
        <v>124</v>
      </c>
      <c r="L274" t="s">
        <v>124</v>
      </c>
      <c r="M274" t="s">
        <v>927</v>
      </c>
      <c r="N274" t="b">
        <v>0</v>
      </c>
    </row>
    <row r="275" spans="1:14">
      <c r="A275">
        <v>13</v>
      </c>
      <c r="B275">
        <v>13</v>
      </c>
      <c r="C275" t="s">
        <v>124</v>
      </c>
      <c r="D275" t="s">
        <v>722</v>
      </c>
      <c r="E275" t="s">
        <v>124</v>
      </c>
      <c r="F275">
        <v>0</v>
      </c>
      <c r="G275" t="s">
        <v>124</v>
      </c>
      <c r="H275" t="s">
        <v>124</v>
      </c>
      <c r="I275" t="s">
        <v>124</v>
      </c>
      <c r="J275" t="s">
        <v>124</v>
      </c>
      <c r="K275" t="s">
        <v>124</v>
      </c>
      <c r="L275" t="s">
        <v>124</v>
      </c>
      <c r="M275" t="s">
        <v>928</v>
      </c>
      <c r="N275" t="b">
        <v>0</v>
      </c>
    </row>
    <row r="276" spans="1:14">
      <c r="A276">
        <v>13</v>
      </c>
      <c r="B276">
        <v>14</v>
      </c>
      <c r="C276" t="s">
        <v>124</v>
      </c>
      <c r="D276" t="s">
        <v>722</v>
      </c>
      <c r="E276" t="s">
        <v>124</v>
      </c>
      <c r="F276">
        <v>0</v>
      </c>
      <c r="G276" t="s">
        <v>124</v>
      </c>
      <c r="H276" t="s">
        <v>124</v>
      </c>
      <c r="I276" t="s">
        <v>124</v>
      </c>
      <c r="J276" t="s">
        <v>124</v>
      </c>
      <c r="K276" t="s">
        <v>124</v>
      </c>
      <c r="L276" t="s">
        <v>124</v>
      </c>
      <c r="M276" t="s">
        <v>929</v>
      </c>
      <c r="N276" t="b">
        <v>0</v>
      </c>
    </row>
    <row r="277" spans="1:14">
      <c r="A277">
        <v>13</v>
      </c>
      <c r="B277">
        <v>15</v>
      </c>
      <c r="C277" t="s">
        <v>124</v>
      </c>
      <c r="D277" t="s">
        <v>722</v>
      </c>
      <c r="E277" t="s">
        <v>124</v>
      </c>
      <c r="F277">
        <v>0</v>
      </c>
      <c r="G277" t="s">
        <v>124</v>
      </c>
      <c r="H277" t="s">
        <v>124</v>
      </c>
      <c r="I277" t="s">
        <v>124</v>
      </c>
      <c r="J277" t="s">
        <v>124</v>
      </c>
      <c r="K277" t="s">
        <v>124</v>
      </c>
      <c r="L277" t="s">
        <v>124</v>
      </c>
      <c r="M277" t="s">
        <v>930</v>
      </c>
      <c r="N277" t="b">
        <v>0</v>
      </c>
    </row>
    <row r="278" spans="1:14">
      <c r="A278">
        <v>13</v>
      </c>
      <c r="B278">
        <v>16</v>
      </c>
      <c r="C278" t="s">
        <v>124</v>
      </c>
      <c r="D278" t="s">
        <v>739</v>
      </c>
      <c r="E278" t="s">
        <v>124</v>
      </c>
      <c r="F278">
        <v>0</v>
      </c>
      <c r="G278" t="s">
        <v>124</v>
      </c>
      <c r="H278" t="s">
        <v>124</v>
      </c>
      <c r="I278" t="s">
        <v>124</v>
      </c>
      <c r="J278" t="s">
        <v>124</v>
      </c>
      <c r="K278" t="s">
        <v>124</v>
      </c>
      <c r="L278" t="s">
        <v>124</v>
      </c>
      <c r="M278" t="s">
        <v>931</v>
      </c>
      <c r="N278" t="b">
        <v>0</v>
      </c>
    </row>
    <row r="279" spans="1:14">
      <c r="A279">
        <v>13</v>
      </c>
      <c r="B279">
        <v>17</v>
      </c>
      <c r="C279" t="s">
        <v>124</v>
      </c>
      <c r="D279" t="s">
        <v>739</v>
      </c>
      <c r="E279" t="s">
        <v>124</v>
      </c>
      <c r="F279">
        <v>0</v>
      </c>
      <c r="G279" t="s">
        <v>124</v>
      </c>
      <c r="H279" t="s">
        <v>124</v>
      </c>
      <c r="I279" t="s">
        <v>124</v>
      </c>
      <c r="J279" t="s">
        <v>124</v>
      </c>
      <c r="K279" t="s">
        <v>124</v>
      </c>
      <c r="L279" t="s">
        <v>124</v>
      </c>
      <c r="M279" t="s">
        <v>932</v>
      </c>
      <c r="N279" t="b">
        <v>0</v>
      </c>
    </row>
    <row r="280" spans="1:14">
      <c r="A280">
        <v>13</v>
      </c>
      <c r="B280">
        <v>18</v>
      </c>
      <c r="C280" t="s">
        <v>124</v>
      </c>
      <c r="D280" t="s">
        <v>739</v>
      </c>
      <c r="E280" t="s">
        <v>124</v>
      </c>
      <c r="F280">
        <v>0</v>
      </c>
      <c r="G280" t="s">
        <v>124</v>
      </c>
      <c r="H280" t="s">
        <v>124</v>
      </c>
      <c r="I280" t="s">
        <v>124</v>
      </c>
      <c r="J280" t="s">
        <v>124</v>
      </c>
      <c r="K280" t="s">
        <v>124</v>
      </c>
      <c r="L280" t="s">
        <v>124</v>
      </c>
      <c r="M280" t="s">
        <v>933</v>
      </c>
      <c r="N280" t="b">
        <v>0</v>
      </c>
    </row>
    <row r="281" spans="1:14">
      <c r="A281">
        <v>13</v>
      </c>
      <c r="B281">
        <v>19</v>
      </c>
      <c r="C281" t="s">
        <v>124</v>
      </c>
      <c r="D281" t="s">
        <v>739</v>
      </c>
      <c r="E281" t="s">
        <v>124</v>
      </c>
      <c r="F281">
        <v>0</v>
      </c>
      <c r="G281" t="s">
        <v>124</v>
      </c>
      <c r="H281" t="s">
        <v>124</v>
      </c>
      <c r="I281" t="s">
        <v>124</v>
      </c>
      <c r="J281" t="s">
        <v>124</v>
      </c>
      <c r="K281" t="s">
        <v>124</v>
      </c>
      <c r="L281" t="s">
        <v>124</v>
      </c>
      <c r="M281" t="s">
        <v>934</v>
      </c>
      <c r="N281" t="b">
        <v>0</v>
      </c>
    </row>
    <row r="282" spans="1:14">
      <c r="A282">
        <v>13</v>
      </c>
      <c r="B282">
        <v>20</v>
      </c>
      <c r="C282" t="s">
        <v>124</v>
      </c>
      <c r="D282" t="s">
        <v>739</v>
      </c>
      <c r="E282" t="s">
        <v>124</v>
      </c>
      <c r="F282">
        <v>0</v>
      </c>
      <c r="G282" t="s">
        <v>124</v>
      </c>
      <c r="H282" t="s">
        <v>124</v>
      </c>
      <c r="I282" t="s">
        <v>124</v>
      </c>
      <c r="J282" t="s">
        <v>124</v>
      </c>
      <c r="K282" t="s">
        <v>124</v>
      </c>
      <c r="L282" t="s">
        <v>124</v>
      </c>
      <c r="M282" t="s">
        <v>935</v>
      </c>
      <c r="N282" t="b">
        <v>0</v>
      </c>
    </row>
    <row r="283" spans="1:14">
      <c r="A283">
        <v>13</v>
      </c>
      <c r="B283">
        <v>21</v>
      </c>
      <c r="C283" t="s">
        <v>124</v>
      </c>
      <c r="D283" t="s">
        <v>739</v>
      </c>
      <c r="E283" t="s">
        <v>124</v>
      </c>
      <c r="F283">
        <v>0</v>
      </c>
      <c r="G283" t="s">
        <v>124</v>
      </c>
      <c r="H283" t="s">
        <v>124</v>
      </c>
      <c r="I283" t="s">
        <v>124</v>
      </c>
      <c r="J283" t="s">
        <v>124</v>
      </c>
      <c r="K283" t="s">
        <v>124</v>
      </c>
      <c r="L283" t="s">
        <v>124</v>
      </c>
      <c r="M283" t="s">
        <v>936</v>
      </c>
      <c r="N283" t="b">
        <v>0</v>
      </c>
    </row>
    <row r="284" spans="1:14">
      <c r="A284">
        <v>13</v>
      </c>
      <c r="B284">
        <v>22</v>
      </c>
      <c r="C284" t="s">
        <v>124</v>
      </c>
      <c r="D284" t="s">
        <v>739</v>
      </c>
      <c r="E284" t="s">
        <v>124</v>
      </c>
      <c r="F284">
        <v>0</v>
      </c>
      <c r="G284" t="s">
        <v>124</v>
      </c>
      <c r="H284" t="s">
        <v>124</v>
      </c>
      <c r="I284" t="s">
        <v>124</v>
      </c>
      <c r="J284" t="s">
        <v>124</v>
      </c>
      <c r="K284" t="s">
        <v>124</v>
      </c>
      <c r="L284" t="s">
        <v>124</v>
      </c>
      <c r="M284" t="s">
        <v>937</v>
      </c>
      <c r="N284" t="b">
        <v>0</v>
      </c>
    </row>
    <row r="285" spans="1:14">
      <c r="A285">
        <v>13</v>
      </c>
      <c r="B285">
        <v>23</v>
      </c>
      <c r="C285" t="s">
        <v>124</v>
      </c>
      <c r="D285" t="s">
        <v>739</v>
      </c>
      <c r="E285" t="s">
        <v>124</v>
      </c>
      <c r="F285">
        <v>0</v>
      </c>
      <c r="G285" t="s">
        <v>124</v>
      </c>
      <c r="H285" t="s">
        <v>124</v>
      </c>
      <c r="I285" t="s">
        <v>124</v>
      </c>
      <c r="J285" t="s">
        <v>124</v>
      </c>
      <c r="K285" t="s">
        <v>124</v>
      </c>
      <c r="L285" t="s">
        <v>124</v>
      </c>
      <c r="M285" t="s">
        <v>938</v>
      </c>
      <c r="N285" t="b">
        <v>0</v>
      </c>
    </row>
    <row r="286" spans="1:14">
      <c r="A286">
        <v>13</v>
      </c>
      <c r="B286">
        <v>24</v>
      </c>
      <c r="C286" t="s">
        <v>124</v>
      </c>
      <c r="D286" t="s">
        <v>739</v>
      </c>
      <c r="E286" t="s">
        <v>124</v>
      </c>
      <c r="F286">
        <v>0</v>
      </c>
      <c r="G286" t="s">
        <v>124</v>
      </c>
      <c r="H286" t="s">
        <v>124</v>
      </c>
      <c r="I286" t="s">
        <v>124</v>
      </c>
      <c r="J286" t="s">
        <v>124</v>
      </c>
      <c r="K286" t="s">
        <v>124</v>
      </c>
      <c r="L286" t="s">
        <v>124</v>
      </c>
      <c r="M286" t="s">
        <v>939</v>
      </c>
      <c r="N286" t="b">
        <v>0</v>
      </c>
    </row>
    <row r="287" spans="1:14">
      <c r="A287">
        <v>13</v>
      </c>
      <c r="B287">
        <v>25</v>
      </c>
      <c r="C287" t="s">
        <v>124</v>
      </c>
      <c r="D287" t="s">
        <v>739</v>
      </c>
      <c r="E287" t="s">
        <v>124</v>
      </c>
      <c r="F287">
        <v>0</v>
      </c>
      <c r="G287" t="s">
        <v>124</v>
      </c>
      <c r="H287" t="s">
        <v>124</v>
      </c>
      <c r="I287" t="s">
        <v>124</v>
      </c>
      <c r="J287" t="s">
        <v>124</v>
      </c>
      <c r="K287" t="s">
        <v>124</v>
      </c>
      <c r="L287" t="s">
        <v>124</v>
      </c>
      <c r="M287" t="s">
        <v>940</v>
      </c>
      <c r="N287" t="b">
        <v>0</v>
      </c>
    </row>
    <row r="288" spans="1:14">
      <c r="A288">
        <v>13</v>
      </c>
      <c r="B288">
        <v>26</v>
      </c>
      <c r="C288" t="s">
        <v>124</v>
      </c>
      <c r="D288" t="s">
        <v>739</v>
      </c>
      <c r="E288" t="s">
        <v>124</v>
      </c>
      <c r="F288">
        <v>0</v>
      </c>
      <c r="G288" t="s">
        <v>124</v>
      </c>
      <c r="H288" t="s">
        <v>124</v>
      </c>
      <c r="I288" t="s">
        <v>124</v>
      </c>
      <c r="J288" t="s">
        <v>124</v>
      </c>
      <c r="K288" t="s">
        <v>124</v>
      </c>
      <c r="L288" t="s">
        <v>124</v>
      </c>
      <c r="M288" t="s">
        <v>941</v>
      </c>
      <c r="N288" t="b">
        <v>0</v>
      </c>
    </row>
    <row r="289" spans="1:14">
      <c r="A289">
        <v>14</v>
      </c>
      <c r="B289">
        <v>0</v>
      </c>
      <c r="C289" t="s">
        <v>184</v>
      </c>
      <c r="D289" t="s">
        <v>722</v>
      </c>
      <c r="E289" t="s">
        <v>63</v>
      </c>
      <c r="F289">
        <v>50</v>
      </c>
      <c r="G289" t="s">
        <v>124</v>
      </c>
      <c r="H289" t="s">
        <v>124</v>
      </c>
      <c r="I289" t="s">
        <v>63</v>
      </c>
      <c r="J289" t="s">
        <v>124</v>
      </c>
      <c r="K289" t="s">
        <v>124</v>
      </c>
      <c r="L289" t="s">
        <v>124</v>
      </c>
      <c r="M289" t="s">
        <v>942</v>
      </c>
      <c r="N289" t="b">
        <v>0</v>
      </c>
    </row>
    <row r="290" spans="1:14">
      <c r="A290">
        <v>14</v>
      </c>
      <c r="B290">
        <v>1</v>
      </c>
      <c r="C290" t="s">
        <v>224</v>
      </c>
      <c r="D290" t="s">
        <v>722</v>
      </c>
      <c r="E290" t="s">
        <v>75</v>
      </c>
      <c r="F290">
        <v>50</v>
      </c>
      <c r="G290" t="s">
        <v>124</v>
      </c>
      <c r="H290" t="s">
        <v>124</v>
      </c>
      <c r="I290" t="s">
        <v>75</v>
      </c>
      <c r="J290" t="s">
        <v>124</v>
      </c>
      <c r="K290" t="s">
        <v>124</v>
      </c>
      <c r="L290" t="s">
        <v>124</v>
      </c>
      <c r="M290" t="s">
        <v>943</v>
      </c>
      <c r="N290" t="b">
        <v>0</v>
      </c>
    </row>
    <row r="291" spans="1:14">
      <c r="A291">
        <v>14</v>
      </c>
      <c r="B291">
        <v>2</v>
      </c>
      <c r="C291" t="s">
        <v>225</v>
      </c>
      <c r="D291" t="s">
        <v>722</v>
      </c>
      <c r="E291" t="s">
        <v>91</v>
      </c>
      <c r="F291">
        <v>60</v>
      </c>
      <c r="G291" t="s">
        <v>124</v>
      </c>
      <c r="H291" t="s">
        <v>124</v>
      </c>
      <c r="I291" t="s">
        <v>91</v>
      </c>
      <c r="J291" t="s">
        <v>124</v>
      </c>
      <c r="K291" t="s">
        <v>124</v>
      </c>
      <c r="L291" t="s">
        <v>124</v>
      </c>
      <c r="M291" t="s">
        <v>944</v>
      </c>
      <c r="N291" t="b">
        <v>0</v>
      </c>
    </row>
    <row r="292" spans="1:14">
      <c r="A292">
        <v>14</v>
      </c>
      <c r="B292">
        <v>3</v>
      </c>
      <c r="C292" t="s">
        <v>226</v>
      </c>
      <c r="D292" t="s">
        <v>722</v>
      </c>
      <c r="E292" t="s">
        <v>95</v>
      </c>
      <c r="F292">
        <v>40</v>
      </c>
      <c r="G292" t="s">
        <v>124</v>
      </c>
      <c r="H292" t="s">
        <v>124</v>
      </c>
      <c r="I292" t="s">
        <v>95</v>
      </c>
      <c r="J292" t="s">
        <v>124</v>
      </c>
      <c r="K292" t="s">
        <v>124</v>
      </c>
      <c r="L292" t="s">
        <v>124</v>
      </c>
      <c r="M292" t="s">
        <v>945</v>
      </c>
      <c r="N292" t="b">
        <v>0</v>
      </c>
    </row>
    <row r="293" spans="1:14">
      <c r="A293">
        <v>14</v>
      </c>
      <c r="B293">
        <v>4</v>
      </c>
      <c r="C293" t="s">
        <v>186</v>
      </c>
      <c r="D293" t="s">
        <v>722</v>
      </c>
      <c r="E293" t="s">
        <v>97</v>
      </c>
      <c r="F293">
        <v>50</v>
      </c>
      <c r="G293" t="s">
        <v>124</v>
      </c>
      <c r="H293" t="s">
        <v>124</v>
      </c>
      <c r="I293" t="s">
        <v>97</v>
      </c>
      <c r="J293" t="s">
        <v>124</v>
      </c>
      <c r="K293" t="s">
        <v>124</v>
      </c>
      <c r="L293" t="s">
        <v>124</v>
      </c>
      <c r="M293" t="s">
        <v>946</v>
      </c>
      <c r="N293" t="b">
        <v>0</v>
      </c>
    </row>
    <row r="294" spans="1:14">
      <c r="A294">
        <v>14</v>
      </c>
      <c r="B294">
        <v>5</v>
      </c>
      <c r="C294" t="s">
        <v>227</v>
      </c>
      <c r="D294" t="s">
        <v>722</v>
      </c>
      <c r="E294" t="s">
        <v>99</v>
      </c>
      <c r="F294">
        <v>40</v>
      </c>
      <c r="G294" t="s">
        <v>124</v>
      </c>
      <c r="H294" t="s">
        <v>124</v>
      </c>
      <c r="I294" t="s">
        <v>99</v>
      </c>
      <c r="J294" t="s">
        <v>124</v>
      </c>
      <c r="K294" t="s">
        <v>124</v>
      </c>
      <c r="L294" t="s">
        <v>124</v>
      </c>
      <c r="M294" t="s">
        <v>947</v>
      </c>
      <c r="N294" t="b">
        <v>0</v>
      </c>
    </row>
    <row r="295" spans="1:14">
      <c r="A295">
        <v>14</v>
      </c>
      <c r="B295">
        <v>6</v>
      </c>
      <c r="C295" t="s">
        <v>228</v>
      </c>
      <c r="D295" t="s">
        <v>722</v>
      </c>
      <c r="E295" t="s">
        <v>59</v>
      </c>
      <c r="F295">
        <v>20</v>
      </c>
      <c r="G295" t="s">
        <v>124</v>
      </c>
      <c r="H295" t="s">
        <v>124</v>
      </c>
      <c r="I295" t="s">
        <v>59</v>
      </c>
      <c r="J295" t="s">
        <v>124</v>
      </c>
      <c r="K295" t="s">
        <v>124</v>
      </c>
      <c r="L295" t="s">
        <v>124</v>
      </c>
      <c r="M295" t="s">
        <v>948</v>
      </c>
      <c r="N295" t="b">
        <v>0</v>
      </c>
    </row>
    <row r="296" spans="1:14">
      <c r="A296">
        <v>14</v>
      </c>
      <c r="B296">
        <v>7</v>
      </c>
      <c r="C296" t="s">
        <v>229</v>
      </c>
      <c r="D296" t="s">
        <v>722</v>
      </c>
      <c r="E296" t="s">
        <v>66</v>
      </c>
      <c r="F296">
        <v>40</v>
      </c>
      <c r="G296" t="s">
        <v>124</v>
      </c>
      <c r="H296" t="s">
        <v>124</v>
      </c>
      <c r="I296" t="s">
        <v>66</v>
      </c>
      <c r="J296" t="s">
        <v>124</v>
      </c>
      <c r="K296" t="s">
        <v>124</v>
      </c>
      <c r="L296" t="s">
        <v>124</v>
      </c>
      <c r="M296" t="s">
        <v>949</v>
      </c>
      <c r="N296" t="b">
        <v>0</v>
      </c>
    </row>
    <row r="297" spans="1:14">
      <c r="A297">
        <v>14</v>
      </c>
      <c r="B297">
        <v>8</v>
      </c>
      <c r="C297" t="s">
        <v>191</v>
      </c>
      <c r="D297" t="s">
        <v>722</v>
      </c>
      <c r="E297" t="s">
        <v>76</v>
      </c>
      <c r="F297">
        <v>50</v>
      </c>
      <c r="G297" t="s">
        <v>124</v>
      </c>
      <c r="H297" t="s">
        <v>124</v>
      </c>
      <c r="I297" t="s">
        <v>76</v>
      </c>
      <c r="J297" t="s">
        <v>124</v>
      </c>
      <c r="K297" t="s">
        <v>124</v>
      </c>
      <c r="L297" t="s">
        <v>124</v>
      </c>
      <c r="M297" t="s">
        <v>950</v>
      </c>
      <c r="N297" t="b">
        <v>0</v>
      </c>
    </row>
    <row r="298" spans="1:14">
      <c r="A298">
        <v>14</v>
      </c>
      <c r="B298">
        <v>9</v>
      </c>
      <c r="C298" t="s">
        <v>220</v>
      </c>
      <c r="D298" t="s">
        <v>722</v>
      </c>
      <c r="E298" t="s">
        <v>100</v>
      </c>
      <c r="F298">
        <v>50</v>
      </c>
      <c r="G298" t="s">
        <v>124</v>
      </c>
      <c r="H298" t="s">
        <v>124</v>
      </c>
      <c r="I298" t="s">
        <v>100</v>
      </c>
      <c r="J298" t="s">
        <v>124</v>
      </c>
      <c r="K298" t="s">
        <v>124</v>
      </c>
      <c r="L298" t="s">
        <v>124</v>
      </c>
      <c r="M298" t="s">
        <v>951</v>
      </c>
      <c r="N298" t="b">
        <v>0</v>
      </c>
    </row>
    <row r="299" spans="1:14">
      <c r="A299">
        <v>14</v>
      </c>
      <c r="B299">
        <v>10</v>
      </c>
      <c r="C299" t="s">
        <v>230</v>
      </c>
      <c r="D299" t="s">
        <v>722</v>
      </c>
      <c r="E299" t="s">
        <v>106</v>
      </c>
      <c r="F299">
        <v>50</v>
      </c>
      <c r="G299" t="s">
        <v>124</v>
      </c>
      <c r="H299" t="s">
        <v>124</v>
      </c>
      <c r="I299" t="s">
        <v>106</v>
      </c>
      <c r="J299" t="s">
        <v>124</v>
      </c>
      <c r="K299" t="s">
        <v>124</v>
      </c>
      <c r="L299" t="s">
        <v>124</v>
      </c>
      <c r="M299" t="s">
        <v>952</v>
      </c>
      <c r="N299" t="b">
        <v>0</v>
      </c>
    </row>
    <row r="300" spans="1:14">
      <c r="A300">
        <v>14</v>
      </c>
      <c r="B300">
        <v>11</v>
      </c>
      <c r="C300" t="s">
        <v>124</v>
      </c>
      <c r="D300" t="s">
        <v>722</v>
      </c>
      <c r="E300" t="s">
        <v>124</v>
      </c>
      <c r="F300">
        <v>0</v>
      </c>
      <c r="G300" t="s">
        <v>124</v>
      </c>
      <c r="H300" t="s">
        <v>124</v>
      </c>
      <c r="I300" t="s">
        <v>124</v>
      </c>
      <c r="J300" t="s">
        <v>124</v>
      </c>
      <c r="K300" t="s">
        <v>124</v>
      </c>
      <c r="L300" t="s">
        <v>124</v>
      </c>
      <c r="M300" t="s">
        <v>953</v>
      </c>
      <c r="N300" t="b">
        <v>0</v>
      </c>
    </row>
    <row r="301" spans="1:14">
      <c r="A301">
        <v>14</v>
      </c>
      <c r="B301">
        <v>12</v>
      </c>
      <c r="C301" t="s">
        <v>124</v>
      </c>
      <c r="D301" t="s">
        <v>722</v>
      </c>
      <c r="E301" t="s">
        <v>124</v>
      </c>
      <c r="F301">
        <v>0</v>
      </c>
      <c r="G301" t="s">
        <v>124</v>
      </c>
      <c r="H301" t="s">
        <v>124</v>
      </c>
      <c r="I301" t="s">
        <v>124</v>
      </c>
      <c r="J301" t="s">
        <v>124</v>
      </c>
      <c r="K301" t="s">
        <v>124</v>
      </c>
      <c r="L301" t="s">
        <v>124</v>
      </c>
      <c r="M301" t="s">
        <v>954</v>
      </c>
      <c r="N301" t="b">
        <v>0</v>
      </c>
    </row>
    <row r="302" spans="1:14">
      <c r="A302">
        <v>14</v>
      </c>
      <c r="B302">
        <v>13</v>
      </c>
      <c r="C302" t="s">
        <v>124</v>
      </c>
      <c r="D302" t="s">
        <v>722</v>
      </c>
      <c r="E302" t="s">
        <v>124</v>
      </c>
      <c r="F302">
        <v>0</v>
      </c>
      <c r="G302" t="s">
        <v>124</v>
      </c>
      <c r="H302" t="s">
        <v>124</v>
      </c>
      <c r="I302" t="s">
        <v>124</v>
      </c>
      <c r="J302" t="s">
        <v>124</v>
      </c>
      <c r="K302" t="s">
        <v>124</v>
      </c>
      <c r="L302" t="s">
        <v>124</v>
      </c>
      <c r="M302" t="s">
        <v>955</v>
      </c>
      <c r="N302" t="b">
        <v>0</v>
      </c>
    </row>
    <row r="303" spans="1:14">
      <c r="A303">
        <v>14</v>
      </c>
      <c r="B303">
        <v>14</v>
      </c>
      <c r="C303" t="s">
        <v>124</v>
      </c>
      <c r="D303" t="s">
        <v>722</v>
      </c>
      <c r="E303" t="s">
        <v>124</v>
      </c>
      <c r="F303">
        <v>0</v>
      </c>
      <c r="G303" t="s">
        <v>124</v>
      </c>
      <c r="H303" t="s">
        <v>124</v>
      </c>
      <c r="I303" t="s">
        <v>124</v>
      </c>
      <c r="J303" t="s">
        <v>124</v>
      </c>
      <c r="K303" t="s">
        <v>124</v>
      </c>
      <c r="L303" t="s">
        <v>124</v>
      </c>
      <c r="M303" t="s">
        <v>956</v>
      </c>
      <c r="N303" t="b">
        <v>0</v>
      </c>
    </row>
    <row r="304" spans="1:14">
      <c r="A304">
        <v>14</v>
      </c>
      <c r="B304">
        <v>15</v>
      </c>
      <c r="C304" t="s">
        <v>124</v>
      </c>
      <c r="D304" t="s">
        <v>722</v>
      </c>
      <c r="E304" t="s">
        <v>124</v>
      </c>
      <c r="F304">
        <v>0</v>
      </c>
      <c r="G304" t="s">
        <v>124</v>
      </c>
      <c r="H304" t="s">
        <v>124</v>
      </c>
      <c r="I304" t="s">
        <v>124</v>
      </c>
      <c r="J304" t="s">
        <v>124</v>
      </c>
      <c r="K304" t="s">
        <v>124</v>
      </c>
      <c r="L304" t="s">
        <v>124</v>
      </c>
      <c r="M304" t="s">
        <v>957</v>
      </c>
      <c r="N304" t="b">
        <v>0</v>
      </c>
    </row>
    <row r="305" spans="1:14">
      <c r="A305">
        <v>14</v>
      </c>
      <c r="B305">
        <v>16</v>
      </c>
      <c r="C305" t="s">
        <v>231</v>
      </c>
      <c r="D305" t="s">
        <v>739</v>
      </c>
      <c r="E305" t="s">
        <v>542</v>
      </c>
      <c r="F305">
        <v>40</v>
      </c>
      <c r="G305" t="s">
        <v>124</v>
      </c>
      <c r="H305" t="s">
        <v>560</v>
      </c>
      <c r="I305" t="s">
        <v>507</v>
      </c>
      <c r="J305" t="s">
        <v>124</v>
      </c>
      <c r="K305" t="s">
        <v>790</v>
      </c>
      <c r="L305" t="s">
        <v>791</v>
      </c>
      <c r="M305" t="s">
        <v>958</v>
      </c>
      <c r="N305" t="b">
        <v>0</v>
      </c>
    </row>
    <row r="306" spans="1:14">
      <c r="A306">
        <v>14</v>
      </c>
      <c r="B306">
        <v>17</v>
      </c>
      <c r="C306" t="s">
        <v>216</v>
      </c>
      <c r="D306" t="s">
        <v>739</v>
      </c>
      <c r="E306" t="s">
        <v>93</v>
      </c>
      <c r="F306">
        <v>40</v>
      </c>
      <c r="G306" t="s">
        <v>124</v>
      </c>
      <c r="H306" t="s">
        <v>124</v>
      </c>
      <c r="I306" t="s">
        <v>93</v>
      </c>
      <c r="J306" t="s">
        <v>124</v>
      </c>
      <c r="K306" t="s">
        <v>124</v>
      </c>
      <c r="L306" t="s">
        <v>124</v>
      </c>
      <c r="M306" t="s">
        <v>667</v>
      </c>
      <c r="N306" t="b">
        <v>0</v>
      </c>
    </row>
    <row r="307" spans="1:14">
      <c r="A307">
        <v>14</v>
      </c>
      <c r="B307">
        <v>18</v>
      </c>
      <c r="C307" t="s">
        <v>232</v>
      </c>
      <c r="D307" t="s">
        <v>739</v>
      </c>
      <c r="E307" t="s">
        <v>94</v>
      </c>
      <c r="F307">
        <v>50</v>
      </c>
      <c r="G307" t="s">
        <v>124</v>
      </c>
      <c r="H307" t="s">
        <v>124</v>
      </c>
      <c r="I307" t="s">
        <v>94</v>
      </c>
      <c r="J307" t="s">
        <v>124</v>
      </c>
      <c r="K307" t="s">
        <v>124</v>
      </c>
      <c r="L307" t="s">
        <v>124</v>
      </c>
      <c r="M307" t="s">
        <v>959</v>
      </c>
      <c r="N307" t="b">
        <v>0</v>
      </c>
    </row>
    <row r="308" spans="1:14">
      <c r="A308">
        <v>14</v>
      </c>
      <c r="B308">
        <v>19</v>
      </c>
      <c r="C308" t="s">
        <v>158</v>
      </c>
      <c r="D308" t="s">
        <v>739</v>
      </c>
      <c r="E308" t="s">
        <v>295</v>
      </c>
      <c r="F308">
        <v>40</v>
      </c>
      <c r="G308" t="s">
        <v>758</v>
      </c>
      <c r="H308" t="s">
        <v>124</v>
      </c>
      <c r="I308" t="s">
        <v>124</v>
      </c>
      <c r="J308" t="s">
        <v>759</v>
      </c>
      <c r="K308" t="s">
        <v>760</v>
      </c>
      <c r="L308" t="s">
        <v>761</v>
      </c>
      <c r="M308" t="s">
        <v>960</v>
      </c>
      <c r="N308" t="b">
        <v>0</v>
      </c>
    </row>
    <row r="309" spans="1:14">
      <c r="A309">
        <v>14</v>
      </c>
      <c r="B309">
        <v>20</v>
      </c>
      <c r="C309" t="s">
        <v>210</v>
      </c>
      <c r="D309" t="s">
        <v>739</v>
      </c>
      <c r="E309" t="s">
        <v>107</v>
      </c>
      <c r="F309">
        <v>40</v>
      </c>
      <c r="G309" t="s">
        <v>124</v>
      </c>
      <c r="H309" t="s">
        <v>124</v>
      </c>
      <c r="I309" t="s">
        <v>107</v>
      </c>
      <c r="J309" t="s">
        <v>124</v>
      </c>
      <c r="K309" t="s">
        <v>124</v>
      </c>
      <c r="L309" t="s">
        <v>124</v>
      </c>
      <c r="M309" t="s">
        <v>961</v>
      </c>
      <c r="N309" t="b">
        <v>0</v>
      </c>
    </row>
    <row r="310" spans="1:14">
      <c r="A310">
        <v>14</v>
      </c>
      <c r="B310">
        <v>21</v>
      </c>
      <c r="C310" t="s">
        <v>164</v>
      </c>
      <c r="D310" t="s">
        <v>739</v>
      </c>
      <c r="E310" t="s">
        <v>113</v>
      </c>
      <c r="F310">
        <v>50</v>
      </c>
      <c r="G310" t="s">
        <v>124</v>
      </c>
      <c r="H310" t="s">
        <v>124</v>
      </c>
      <c r="I310" t="s">
        <v>113</v>
      </c>
      <c r="J310" t="s">
        <v>124</v>
      </c>
      <c r="K310" t="s">
        <v>124</v>
      </c>
      <c r="L310" t="s">
        <v>124</v>
      </c>
      <c r="M310" t="s">
        <v>962</v>
      </c>
      <c r="N310" t="b">
        <v>0</v>
      </c>
    </row>
    <row r="311" spans="1:14">
      <c r="A311">
        <v>14</v>
      </c>
      <c r="B311">
        <v>22</v>
      </c>
      <c r="C311" t="s">
        <v>165</v>
      </c>
      <c r="D311" t="s">
        <v>739</v>
      </c>
      <c r="E311" t="s">
        <v>72</v>
      </c>
      <c r="F311">
        <v>50</v>
      </c>
      <c r="G311" t="s">
        <v>124</v>
      </c>
      <c r="H311" t="s">
        <v>124</v>
      </c>
      <c r="I311" t="s">
        <v>72</v>
      </c>
      <c r="J311" t="s">
        <v>124</v>
      </c>
      <c r="K311" t="s">
        <v>124</v>
      </c>
      <c r="L311" t="s">
        <v>124</v>
      </c>
      <c r="M311" t="s">
        <v>963</v>
      </c>
      <c r="N311" t="b">
        <v>0</v>
      </c>
    </row>
    <row r="312" spans="1:14">
      <c r="A312">
        <v>14</v>
      </c>
      <c r="B312">
        <v>23</v>
      </c>
      <c r="C312" t="s">
        <v>233</v>
      </c>
      <c r="D312" t="s">
        <v>739</v>
      </c>
      <c r="E312" t="s">
        <v>74</v>
      </c>
      <c r="F312">
        <v>50</v>
      </c>
      <c r="G312" t="s">
        <v>124</v>
      </c>
      <c r="H312" t="s">
        <v>124</v>
      </c>
      <c r="I312" t="s">
        <v>74</v>
      </c>
      <c r="J312" t="s">
        <v>124</v>
      </c>
      <c r="K312" t="s">
        <v>124</v>
      </c>
      <c r="L312" t="s">
        <v>124</v>
      </c>
      <c r="M312" t="s">
        <v>964</v>
      </c>
      <c r="N312" t="b">
        <v>0</v>
      </c>
    </row>
    <row r="313" spans="1:14">
      <c r="A313">
        <v>14</v>
      </c>
      <c r="B313">
        <v>24</v>
      </c>
      <c r="C313" t="s">
        <v>211</v>
      </c>
      <c r="D313" t="s">
        <v>739</v>
      </c>
      <c r="E313" t="s">
        <v>82</v>
      </c>
      <c r="F313">
        <v>40</v>
      </c>
      <c r="G313" t="s">
        <v>124</v>
      </c>
      <c r="H313" t="s">
        <v>124</v>
      </c>
      <c r="I313" t="s">
        <v>82</v>
      </c>
      <c r="J313" t="s">
        <v>124</v>
      </c>
      <c r="K313" t="s">
        <v>124</v>
      </c>
      <c r="L313" t="s">
        <v>124</v>
      </c>
      <c r="M313" t="s">
        <v>965</v>
      </c>
      <c r="N313" t="b">
        <v>0</v>
      </c>
    </row>
    <row r="314" spans="1:14">
      <c r="A314">
        <v>14</v>
      </c>
      <c r="B314">
        <v>25</v>
      </c>
      <c r="C314" t="s">
        <v>124</v>
      </c>
      <c r="D314" t="s">
        <v>739</v>
      </c>
      <c r="E314" t="s">
        <v>124</v>
      </c>
      <c r="F314">
        <v>0</v>
      </c>
      <c r="G314" t="s">
        <v>124</v>
      </c>
      <c r="H314" t="s">
        <v>124</v>
      </c>
      <c r="I314" t="s">
        <v>124</v>
      </c>
      <c r="J314" t="s">
        <v>124</v>
      </c>
      <c r="K314" t="s">
        <v>124</v>
      </c>
      <c r="L314" t="s">
        <v>124</v>
      </c>
      <c r="M314" t="s">
        <v>966</v>
      </c>
      <c r="N314" t="b">
        <v>0</v>
      </c>
    </row>
    <row r="315" spans="1:14">
      <c r="A315">
        <v>14</v>
      </c>
      <c r="B315">
        <v>26</v>
      </c>
      <c r="C315" t="s">
        <v>124</v>
      </c>
      <c r="D315" t="s">
        <v>739</v>
      </c>
      <c r="E315" t="s">
        <v>124</v>
      </c>
      <c r="F315">
        <v>0</v>
      </c>
      <c r="G315" t="s">
        <v>124</v>
      </c>
      <c r="H315" t="s">
        <v>124</v>
      </c>
      <c r="I315" t="s">
        <v>124</v>
      </c>
      <c r="J315" t="s">
        <v>124</v>
      </c>
      <c r="K315" t="s">
        <v>124</v>
      </c>
      <c r="L315" t="s">
        <v>124</v>
      </c>
      <c r="M315" t="s">
        <v>967</v>
      </c>
      <c r="N315" t="b">
        <v>0</v>
      </c>
    </row>
    <row r="316" spans="1:14">
      <c r="A316">
        <v>15</v>
      </c>
      <c r="B316">
        <v>0</v>
      </c>
      <c r="C316" t="s">
        <v>184</v>
      </c>
      <c r="D316" t="s">
        <v>722</v>
      </c>
      <c r="E316" t="s">
        <v>63</v>
      </c>
      <c r="F316">
        <v>50</v>
      </c>
      <c r="G316" t="s">
        <v>124</v>
      </c>
      <c r="H316" t="s">
        <v>124</v>
      </c>
      <c r="I316" t="s">
        <v>63</v>
      </c>
      <c r="J316" t="s">
        <v>124</v>
      </c>
      <c r="K316" t="s">
        <v>124</v>
      </c>
      <c r="L316" t="s">
        <v>124</v>
      </c>
      <c r="M316" t="s">
        <v>968</v>
      </c>
      <c r="N316" t="b">
        <v>0</v>
      </c>
    </row>
    <row r="317" spans="1:14">
      <c r="A317">
        <v>15</v>
      </c>
      <c r="B317">
        <v>1</v>
      </c>
      <c r="C317" t="s">
        <v>215</v>
      </c>
      <c r="D317" t="s">
        <v>722</v>
      </c>
      <c r="E317" t="s">
        <v>75</v>
      </c>
      <c r="F317">
        <v>60</v>
      </c>
      <c r="G317" t="s">
        <v>124</v>
      </c>
      <c r="H317" t="s">
        <v>124</v>
      </c>
      <c r="I317" t="s">
        <v>75</v>
      </c>
      <c r="J317" t="s">
        <v>124</v>
      </c>
      <c r="K317" t="s">
        <v>124</v>
      </c>
      <c r="L317" t="s">
        <v>124</v>
      </c>
      <c r="M317" t="s">
        <v>969</v>
      </c>
      <c r="N317" t="b">
        <v>0</v>
      </c>
    </row>
    <row r="318" spans="1:14">
      <c r="A318">
        <v>15</v>
      </c>
      <c r="B318">
        <v>2</v>
      </c>
      <c r="C318" t="s">
        <v>236</v>
      </c>
      <c r="D318" t="s">
        <v>722</v>
      </c>
      <c r="E318" t="s">
        <v>542</v>
      </c>
      <c r="F318">
        <v>40</v>
      </c>
      <c r="G318" t="s">
        <v>124</v>
      </c>
      <c r="H318" t="s">
        <v>545</v>
      </c>
      <c r="I318" t="s">
        <v>506</v>
      </c>
      <c r="J318" t="s">
        <v>124</v>
      </c>
      <c r="K318" t="s">
        <v>790</v>
      </c>
      <c r="L318" t="s">
        <v>791</v>
      </c>
      <c r="M318" t="s">
        <v>970</v>
      </c>
      <c r="N318" t="b">
        <v>0</v>
      </c>
    </row>
    <row r="319" spans="1:14">
      <c r="A319">
        <v>15</v>
      </c>
      <c r="B319">
        <v>3</v>
      </c>
      <c r="C319" t="s">
        <v>237</v>
      </c>
      <c r="D319" t="s">
        <v>722</v>
      </c>
      <c r="E319" t="s">
        <v>542</v>
      </c>
      <c r="F319">
        <v>40</v>
      </c>
      <c r="G319" t="s">
        <v>124</v>
      </c>
      <c r="H319" t="s">
        <v>555</v>
      </c>
      <c r="I319" t="s">
        <v>484</v>
      </c>
      <c r="J319" t="s">
        <v>124</v>
      </c>
      <c r="K319" t="s">
        <v>793</v>
      </c>
      <c r="L319" t="s">
        <v>794</v>
      </c>
      <c r="M319" t="s">
        <v>971</v>
      </c>
      <c r="N319" t="b">
        <v>0</v>
      </c>
    </row>
    <row r="320" spans="1:14">
      <c r="A320">
        <v>15</v>
      </c>
      <c r="B320">
        <v>4</v>
      </c>
      <c r="C320" t="s">
        <v>238</v>
      </c>
      <c r="D320" t="s">
        <v>722</v>
      </c>
      <c r="E320" t="s">
        <v>93</v>
      </c>
      <c r="F320">
        <v>50</v>
      </c>
      <c r="G320" t="s">
        <v>124</v>
      </c>
      <c r="H320" t="s">
        <v>124</v>
      </c>
      <c r="I320" t="s">
        <v>93</v>
      </c>
      <c r="J320" t="s">
        <v>124</v>
      </c>
      <c r="K320" t="s">
        <v>124</v>
      </c>
      <c r="L320" t="s">
        <v>124</v>
      </c>
      <c r="M320" t="s">
        <v>972</v>
      </c>
      <c r="N320" t="b">
        <v>0</v>
      </c>
    </row>
    <row r="321" spans="1:14">
      <c r="A321">
        <v>15</v>
      </c>
      <c r="B321">
        <v>5</v>
      </c>
      <c r="C321" t="s">
        <v>186</v>
      </c>
      <c r="D321" t="s">
        <v>722</v>
      </c>
      <c r="E321" t="s">
        <v>97</v>
      </c>
      <c r="F321">
        <v>50</v>
      </c>
      <c r="G321" t="s">
        <v>124</v>
      </c>
      <c r="H321" t="s">
        <v>124</v>
      </c>
      <c r="I321" t="s">
        <v>97</v>
      </c>
      <c r="J321" t="s">
        <v>124</v>
      </c>
      <c r="K321" t="s">
        <v>124</v>
      </c>
      <c r="L321" t="s">
        <v>124</v>
      </c>
      <c r="M321" t="s">
        <v>973</v>
      </c>
      <c r="N321" t="b">
        <v>0</v>
      </c>
    </row>
    <row r="322" spans="1:14">
      <c r="A322">
        <v>15</v>
      </c>
      <c r="B322">
        <v>6</v>
      </c>
      <c r="C322" t="s">
        <v>239</v>
      </c>
      <c r="D322" t="s">
        <v>722</v>
      </c>
      <c r="E322" t="s">
        <v>101</v>
      </c>
      <c r="F322">
        <v>50</v>
      </c>
      <c r="G322" t="s">
        <v>124</v>
      </c>
      <c r="H322" t="s">
        <v>124</v>
      </c>
      <c r="I322" t="s">
        <v>101</v>
      </c>
      <c r="J322" t="s">
        <v>124</v>
      </c>
      <c r="K322" t="s">
        <v>124</v>
      </c>
      <c r="L322" t="s">
        <v>124</v>
      </c>
      <c r="M322" t="s">
        <v>974</v>
      </c>
      <c r="N322" t="b">
        <v>0</v>
      </c>
    </row>
    <row r="323" spans="1:14">
      <c r="A323">
        <v>15</v>
      </c>
      <c r="B323">
        <v>7</v>
      </c>
      <c r="C323" t="s">
        <v>210</v>
      </c>
      <c r="D323" t="s">
        <v>722</v>
      </c>
      <c r="E323" t="s">
        <v>107</v>
      </c>
      <c r="F323">
        <v>40</v>
      </c>
      <c r="G323" t="s">
        <v>124</v>
      </c>
      <c r="H323" t="s">
        <v>124</v>
      </c>
      <c r="I323" t="s">
        <v>107</v>
      </c>
      <c r="J323" t="s">
        <v>124</v>
      </c>
      <c r="K323" t="s">
        <v>124</v>
      </c>
      <c r="L323" t="s">
        <v>124</v>
      </c>
      <c r="M323" t="s">
        <v>975</v>
      </c>
      <c r="N323" t="b">
        <v>0</v>
      </c>
    </row>
    <row r="324" spans="1:14">
      <c r="A324">
        <v>15</v>
      </c>
      <c r="B324">
        <v>8</v>
      </c>
      <c r="C324" t="s">
        <v>179</v>
      </c>
      <c r="D324" t="s">
        <v>722</v>
      </c>
      <c r="E324" t="s">
        <v>110</v>
      </c>
      <c r="F324">
        <v>50</v>
      </c>
      <c r="G324" t="s">
        <v>124</v>
      </c>
      <c r="H324" t="s">
        <v>124</v>
      </c>
      <c r="I324" t="s">
        <v>110</v>
      </c>
      <c r="J324" t="s">
        <v>124</v>
      </c>
      <c r="K324" t="s">
        <v>124</v>
      </c>
      <c r="L324" t="s">
        <v>124</v>
      </c>
      <c r="M324" t="s">
        <v>976</v>
      </c>
      <c r="N324" t="b">
        <v>0</v>
      </c>
    </row>
    <row r="325" spans="1:14">
      <c r="A325">
        <v>15</v>
      </c>
      <c r="B325">
        <v>9</v>
      </c>
      <c r="C325" t="s">
        <v>165</v>
      </c>
      <c r="D325" t="s">
        <v>722</v>
      </c>
      <c r="E325" t="s">
        <v>72</v>
      </c>
      <c r="F325">
        <v>50</v>
      </c>
      <c r="G325" t="s">
        <v>124</v>
      </c>
      <c r="H325" t="s">
        <v>124</v>
      </c>
      <c r="I325" t="s">
        <v>72</v>
      </c>
      <c r="J325" t="s">
        <v>124</v>
      </c>
      <c r="K325" t="s">
        <v>124</v>
      </c>
      <c r="L325" t="s">
        <v>124</v>
      </c>
      <c r="M325" t="s">
        <v>977</v>
      </c>
      <c r="N325" t="b">
        <v>0</v>
      </c>
    </row>
    <row r="326" spans="1:14">
      <c r="A326">
        <v>15</v>
      </c>
      <c r="B326">
        <v>10</v>
      </c>
      <c r="C326" t="s">
        <v>203</v>
      </c>
      <c r="D326" t="s">
        <v>722</v>
      </c>
      <c r="E326" t="s">
        <v>96</v>
      </c>
      <c r="F326">
        <v>40</v>
      </c>
      <c r="G326" t="s">
        <v>124</v>
      </c>
      <c r="H326" t="s">
        <v>124</v>
      </c>
      <c r="I326" t="s">
        <v>96</v>
      </c>
      <c r="J326" t="s">
        <v>124</v>
      </c>
      <c r="K326" t="s">
        <v>124</v>
      </c>
      <c r="L326" t="s">
        <v>124</v>
      </c>
      <c r="M326" t="s">
        <v>978</v>
      </c>
      <c r="N326" t="b">
        <v>0</v>
      </c>
    </row>
    <row r="327" spans="1:14">
      <c r="A327">
        <v>15</v>
      </c>
      <c r="B327">
        <v>11</v>
      </c>
      <c r="C327" t="s">
        <v>124</v>
      </c>
      <c r="D327" t="s">
        <v>722</v>
      </c>
      <c r="E327" t="s">
        <v>124</v>
      </c>
      <c r="F327">
        <v>0</v>
      </c>
      <c r="G327" t="s">
        <v>124</v>
      </c>
      <c r="H327" t="s">
        <v>124</v>
      </c>
      <c r="I327" t="s">
        <v>124</v>
      </c>
      <c r="J327" t="s">
        <v>124</v>
      </c>
      <c r="K327" t="s">
        <v>124</v>
      </c>
      <c r="L327" t="s">
        <v>124</v>
      </c>
      <c r="M327" t="s">
        <v>979</v>
      </c>
      <c r="N327" t="b">
        <v>0</v>
      </c>
    </row>
    <row r="328" spans="1:14">
      <c r="A328">
        <v>15</v>
      </c>
      <c r="B328">
        <v>12</v>
      </c>
      <c r="C328" t="s">
        <v>124</v>
      </c>
      <c r="D328" t="s">
        <v>722</v>
      </c>
      <c r="E328" t="s">
        <v>124</v>
      </c>
      <c r="F328">
        <v>0</v>
      </c>
      <c r="G328" t="s">
        <v>124</v>
      </c>
      <c r="H328" t="s">
        <v>124</v>
      </c>
      <c r="I328" t="s">
        <v>124</v>
      </c>
      <c r="J328" t="s">
        <v>124</v>
      </c>
      <c r="K328" t="s">
        <v>124</v>
      </c>
      <c r="L328" t="s">
        <v>124</v>
      </c>
      <c r="M328" t="s">
        <v>980</v>
      </c>
      <c r="N328" t="b">
        <v>0</v>
      </c>
    </row>
    <row r="329" spans="1:14">
      <c r="A329">
        <v>15</v>
      </c>
      <c r="B329">
        <v>13</v>
      </c>
      <c r="C329" t="s">
        <v>124</v>
      </c>
      <c r="D329" t="s">
        <v>722</v>
      </c>
      <c r="E329" t="s">
        <v>124</v>
      </c>
      <c r="F329">
        <v>0</v>
      </c>
      <c r="G329" t="s">
        <v>124</v>
      </c>
      <c r="H329" t="s">
        <v>124</v>
      </c>
      <c r="I329" t="s">
        <v>124</v>
      </c>
      <c r="J329" t="s">
        <v>124</v>
      </c>
      <c r="K329" t="s">
        <v>124</v>
      </c>
      <c r="L329" t="s">
        <v>124</v>
      </c>
      <c r="M329" t="s">
        <v>981</v>
      </c>
      <c r="N329" t="b">
        <v>0</v>
      </c>
    </row>
    <row r="330" spans="1:14">
      <c r="A330">
        <v>15</v>
      </c>
      <c r="B330">
        <v>14</v>
      </c>
      <c r="C330" t="s">
        <v>124</v>
      </c>
      <c r="D330" t="s">
        <v>722</v>
      </c>
      <c r="E330" t="s">
        <v>124</v>
      </c>
      <c r="F330">
        <v>0</v>
      </c>
      <c r="G330" t="s">
        <v>124</v>
      </c>
      <c r="H330" t="s">
        <v>124</v>
      </c>
      <c r="I330" t="s">
        <v>124</v>
      </c>
      <c r="J330" t="s">
        <v>124</v>
      </c>
      <c r="K330" t="s">
        <v>124</v>
      </c>
      <c r="L330" t="s">
        <v>124</v>
      </c>
      <c r="M330" t="s">
        <v>982</v>
      </c>
      <c r="N330" t="b">
        <v>0</v>
      </c>
    </row>
    <row r="331" spans="1:14">
      <c r="A331">
        <v>15</v>
      </c>
      <c r="B331">
        <v>15</v>
      </c>
      <c r="C331" t="s">
        <v>124</v>
      </c>
      <c r="D331" t="s">
        <v>722</v>
      </c>
      <c r="E331" t="s">
        <v>124</v>
      </c>
      <c r="F331">
        <v>0</v>
      </c>
      <c r="G331" t="s">
        <v>124</v>
      </c>
      <c r="H331" t="s">
        <v>124</v>
      </c>
      <c r="I331" t="s">
        <v>124</v>
      </c>
      <c r="J331" t="s">
        <v>124</v>
      </c>
      <c r="K331" t="s">
        <v>124</v>
      </c>
      <c r="L331" t="s">
        <v>124</v>
      </c>
      <c r="M331" t="s">
        <v>983</v>
      </c>
      <c r="N331" t="b">
        <v>0</v>
      </c>
    </row>
    <row r="332" spans="1:14">
      <c r="A332">
        <v>15</v>
      </c>
      <c r="B332">
        <v>16</v>
      </c>
      <c r="C332" t="s">
        <v>124</v>
      </c>
      <c r="D332" t="s">
        <v>739</v>
      </c>
      <c r="E332" t="s">
        <v>124</v>
      </c>
      <c r="F332">
        <v>0</v>
      </c>
      <c r="G332" t="s">
        <v>124</v>
      </c>
      <c r="H332" t="s">
        <v>124</v>
      </c>
      <c r="I332" t="s">
        <v>124</v>
      </c>
      <c r="J332" t="s">
        <v>124</v>
      </c>
      <c r="K332" t="s">
        <v>124</v>
      </c>
      <c r="L332" t="s">
        <v>124</v>
      </c>
      <c r="M332" t="s">
        <v>984</v>
      </c>
      <c r="N332" t="b">
        <v>0</v>
      </c>
    </row>
    <row r="333" spans="1:14">
      <c r="A333">
        <v>15</v>
      </c>
      <c r="B333">
        <v>17</v>
      </c>
      <c r="C333" t="s">
        <v>124</v>
      </c>
      <c r="D333" t="s">
        <v>739</v>
      </c>
      <c r="E333" t="s">
        <v>124</v>
      </c>
      <c r="F333">
        <v>0</v>
      </c>
      <c r="G333" t="s">
        <v>124</v>
      </c>
      <c r="H333" t="s">
        <v>124</v>
      </c>
      <c r="I333" t="s">
        <v>124</v>
      </c>
      <c r="J333" t="s">
        <v>124</v>
      </c>
      <c r="K333" t="s">
        <v>124</v>
      </c>
      <c r="L333" t="s">
        <v>124</v>
      </c>
      <c r="M333" t="s">
        <v>669</v>
      </c>
      <c r="N333" t="b">
        <v>0</v>
      </c>
    </row>
    <row r="334" spans="1:14">
      <c r="A334">
        <v>15</v>
      </c>
      <c r="B334">
        <v>18</v>
      </c>
      <c r="C334" t="s">
        <v>124</v>
      </c>
      <c r="D334" t="s">
        <v>739</v>
      </c>
      <c r="E334" t="s">
        <v>124</v>
      </c>
      <c r="F334">
        <v>0</v>
      </c>
      <c r="G334" t="s">
        <v>124</v>
      </c>
      <c r="H334" t="s">
        <v>124</v>
      </c>
      <c r="I334" t="s">
        <v>124</v>
      </c>
      <c r="J334" t="s">
        <v>124</v>
      </c>
      <c r="K334" t="s">
        <v>124</v>
      </c>
      <c r="L334" t="s">
        <v>124</v>
      </c>
      <c r="M334" t="s">
        <v>985</v>
      </c>
      <c r="N334" t="b">
        <v>0</v>
      </c>
    </row>
    <row r="335" spans="1:14">
      <c r="A335">
        <v>15</v>
      </c>
      <c r="B335">
        <v>19</v>
      </c>
      <c r="C335" t="s">
        <v>124</v>
      </c>
      <c r="D335" t="s">
        <v>739</v>
      </c>
      <c r="E335" t="s">
        <v>124</v>
      </c>
      <c r="F335">
        <v>0</v>
      </c>
      <c r="G335" t="s">
        <v>124</v>
      </c>
      <c r="H335" t="s">
        <v>124</v>
      </c>
      <c r="I335" t="s">
        <v>124</v>
      </c>
      <c r="J335" t="s">
        <v>124</v>
      </c>
      <c r="K335" t="s">
        <v>124</v>
      </c>
      <c r="L335" t="s">
        <v>124</v>
      </c>
      <c r="M335" t="s">
        <v>986</v>
      </c>
      <c r="N335" t="b">
        <v>0</v>
      </c>
    </row>
    <row r="336" spans="1:14">
      <c r="A336">
        <v>15</v>
      </c>
      <c r="B336">
        <v>20</v>
      </c>
      <c r="C336" t="s">
        <v>124</v>
      </c>
      <c r="D336" t="s">
        <v>739</v>
      </c>
      <c r="E336" t="s">
        <v>124</v>
      </c>
      <c r="F336">
        <v>0</v>
      </c>
      <c r="G336" t="s">
        <v>124</v>
      </c>
      <c r="H336" t="s">
        <v>124</v>
      </c>
      <c r="I336" t="s">
        <v>124</v>
      </c>
      <c r="J336" t="s">
        <v>124</v>
      </c>
      <c r="K336" t="s">
        <v>124</v>
      </c>
      <c r="L336" t="s">
        <v>124</v>
      </c>
      <c r="M336" t="s">
        <v>987</v>
      </c>
      <c r="N336" t="b">
        <v>0</v>
      </c>
    </row>
    <row r="337" spans="1:14">
      <c r="A337">
        <v>15</v>
      </c>
      <c r="B337">
        <v>21</v>
      </c>
      <c r="C337" t="s">
        <v>124</v>
      </c>
      <c r="D337" t="s">
        <v>739</v>
      </c>
      <c r="E337" t="s">
        <v>124</v>
      </c>
      <c r="F337">
        <v>0</v>
      </c>
      <c r="G337" t="s">
        <v>124</v>
      </c>
      <c r="H337" t="s">
        <v>124</v>
      </c>
      <c r="I337" t="s">
        <v>124</v>
      </c>
      <c r="J337" t="s">
        <v>124</v>
      </c>
      <c r="K337" t="s">
        <v>124</v>
      </c>
      <c r="L337" t="s">
        <v>124</v>
      </c>
      <c r="M337" t="s">
        <v>988</v>
      </c>
      <c r="N337" t="b">
        <v>0</v>
      </c>
    </row>
    <row r="338" spans="1:14">
      <c r="A338">
        <v>15</v>
      </c>
      <c r="B338">
        <v>22</v>
      </c>
      <c r="C338" t="s">
        <v>124</v>
      </c>
      <c r="D338" t="s">
        <v>739</v>
      </c>
      <c r="E338" t="s">
        <v>124</v>
      </c>
      <c r="F338">
        <v>0</v>
      </c>
      <c r="G338" t="s">
        <v>124</v>
      </c>
      <c r="H338" t="s">
        <v>124</v>
      </c>
      <c r="I338" t="s">
        <v>124</v>
      </c>
      <c r="J338" t="s">
        <v>124</v>
      </c>
      <c r="K338" t="s">
        <v>124</v>
      </c>
      <c r="L338" t="s">
        <v>124</v>
      </c>
      <c r="M338" t="s">
        <v>989</v>
      </c>
      <c r="N338" t="b">
        <v>0</v>
      </c>
    </row>
    <row r="339" spans="1:14">
      <c r="A339">
        <v>15</v>
      </c>
      <c r="B339">
        <v>23</v>
      </c>
      <c r="C339" t="s">
        <v>124</v>
      </c>
      <c r="D339" t="s">
        <v>739</v>
      </c>
      <c r="E339" t="s">
        <v>124</v>
      </c>
      <c r="F339">
        <v>0</v>
      </c>
      <c r="G339" t="s">
        <v>124</v>
      </c>
      <c r="H339" t="s">
        <v>124</v>
      </c>
      <c r="I339" t="s">
        <v>124</v>
      </c>
      <c r="J339" t="s">
        <v>124</v>
      </c>
      <c r="K339" t="s">
        <v>124</v>
      </c>
      <c r="L339" t="s">
        <v>124</v>
      </c>
      <c r="M339" t="s">
        <v>990</v>
      </c>
      <c r="N339" t="b">
        <v>0</v>
      </c>
    </row>
    <row r="340" spans="1:14">
      <c r="A340">
        <v>15</v>
      </c>
      <c r="B340">
        <v>24</v>
      </c>
      <c r="C340" t="s">
        <v>124</v>
      </c>
      <c r="D340" t="s">
        <v>739</v>
      </c>
      <c r="E340" t="s">
        <v>124</v>
      </c>
      <c r="F340">
        <v>0</v>
      </c>
      <c r="G340" t="s">
        <v>124</v>
      </c>
      <c r="H340" t="s">
        <v>124</v>
      </c>
      <c r="I340" t="s">
        <v>124</v>
      </c>
      <c r="J340" t="s">
        <v>124</v>
      </c>
      <c r="K340" t="s">
        <v>124</v>
      </c>
      <c r="L340" t="s">
        <v>124</v>
      </c>
      <c r="M340" t="s">
        <v>991</v>
      </c>
      <c r="N340" t="b">
        <v>0</v>
      </c>
    </row>
    <row r="341" spans="1:14">
      <c r="A341">
        <v>15</v>
      </c>
      <c r="B341">
        <v>25</v>
      </c>
      <c r="C341" t="s">
        <v>124</v>
      </c>
      <c r="D341" t="s">
        <v>739</v>
      </c>
      <c r="E341" t="s">
        <v>124</v>
      </c>
      <c r="F341">
        <v>0</v>
      </c>
      <c r="G341" t="s">
        <v>124</v>
      </c>
      <c r="H341" t="s">
        <v>124</v>
      </c>
      <c r="I341" t="s">
        <v>124</v>
      </c>
      <c r="J341" t="s">
        <v>124</v>
      </c>
      <c r="K341" t="s">
        <v>124</v>
      </c>
      <c r="L341" t="s">
        <v>124</v>
      </c>
      <c r="M341" t="s">
        <v>992</v>
      </c>
      <c r="N341" t="b">
        <v>0</v>
      </c>
    </row>
    <row r="342" spans="1:14">
      <c r="A342">
        <v>15</v>
      </c>
      <c r="B342">
        <v>26</v>
      </c>
      <c r="C342" t="s">
        <v>124</v>
      </c>
      <c r="D342" t="s">
        <v>739</v>
      </c>
      <c r="E342" t="s">
        <v>124</v>
      </c>
      <c r="F342">
        <v>0</v>
      </c>
      <c r="G342" t="s">
        <v>124</v>
      </c>
      <c r="H342" t="s">
        <v>124</v>
      </c>
      <c r="I342" t="s">
        <v>124</v>
      </c>
      <c r="J342" t="s">
        <v>124</v>
      </c>
      <c r="K342" t="s">
        <v>124</v>
      </c>
      <c r="L342" t="s">
        <v>124</v>
      </c>
      <c r="M342" t="s">
        <v>993</v>
      </c>
      <c r="N342" t="b">
        <v>0</v>
      </c>
    </row>
    <row r="343" spans="1:14">
      <c r="A343">
        <v>16</v>
      </c>
      <c r="B343">
        <v>0</v>
      </c>
      <c r="C343" t="s">
        <v>242</v>
      </c>
      <c r="D343" t="s">
        <v>722</v>
      </c>
      <c r="E343" t="s">
        <v>58</v>
      </c>
      <c r="F343">
        <v>40</v>
      </c>
      <c r="G343" t="s">
        <v>124</v>
      </c>
      <c r="H343" t="s">
        <v>124</v>
      </c>
      <c r="I343" t="s">
        <v>58</v>
      </c>
      <c r="J343" t="s">
        <v>124</v>
      </c>
      <c r="K343" t="s">
        <v>124</v>
      </c>
      <c r="L343" t="s">
        <v>124</v>
      </c>
      <c r="M343" t="s">
        <v>994</v>
      </c>
      <c r="N343" t="b">
        <v>0</v>
      </c>
    </row>
    <row r="344" spans="1:14">
      <c r="A344">
        <v>16</v>
      </c>
      <c r="B344">
        <v>1</v>
      </c>
      <c r="C344" t="s">
        <v>162</v>
      </c>
      <c r="D344" t="s">
        <v>722</v>
      </c>
      <c r="E344" t="s">
        <v>65</v>
      </c>
      <c r="F344">
        <v>40</v>
      </c>
      <c r="G344" t="s">
        <v>124</v>
      </c>
      <c r="H344" t="s">
        <v>124</v>
      </c>
      <c r="I344" t="s">
        <v>65</v>
      </c>
      <c r="J344" t="s">
        <v>124</v>
      </c>
      <c r="K344" t="s">
        <v>124</v>
      </c>
      <c r="L344" t="s">
        <v>124</v>
      </c>
      <c r="M344" t="s">
        <v>995</v>
      </c>
      <c r="N344" t="b">
        <v>0</v>
      </c>
    </row>
    <row r="345" spans="1:14">
      <c r="A345">
        <v>16</v>
      </c>
      <c r="B345">
        <v>2</v>
      </c>
      <c r="C345" t="s">
        <v>243</v>
      </c>
      <c r="D345" t="s">
        <v>722</v>
      </c>
      <c r="E345" t="s">
        <v>81</v>
      </c>
      <c r="F345">
        <v>60</v>
      </c>
      <c r="G345" t="s">
        <v>124</v>
      </c>
      <c r="H345" t="s">
        <v>124</v>
      </c>
      <c r="I345" t="s">
        <v>81</v>
      </c>
      <c r="J345" t="s">
        <v>124</v>
      </c>
      <c r="K345" t="s">
        <v>124</v>
      </c>
      <c r="L345" t="s">
        <v>124</v>
      </c>
      <c r="M345" t="s">
        <v>996</v>
      </c>
      <c r="N345" t="b">
        <v>0</v>
      </c>
    </row>
    <row r="346" spans="1:14">
      <c r="A346">
        <v>16</v>
      </c>
      <c r="B346">
        <v>3</v>
      </c>
      <c r="C346" t="s">
        <v>157</v>
      </c>
      <c r="D346" t="s">
        <v>751</v>
      </c>
      <c r="E346" t="s">
        <v>295</v>
      </c>
      <c r="F346">
        <v>50</v>
      </c>
      <c r="G346" t="s">
        <v>758</v>
      </c>
      <c r="H346" t="s">
        <v>124</v>
      </c>
      <c r="I346" t="s">
        <v>124</v>
      </c>
      <c r="J346" t="s">
        <v>759</v>
      </c>
      <c r="K346" t="s">
        <v>760</v>
      </c>
      <c r="L346" t="s">
        <v>761</v>
      </c>
      <c r="M346" t="s">
        <v>997</v>
      </c>
      <c r="N346" t="b">
        <v>0</v>
      </c>
    </row>
    <row r="347" spans="1:14">
      <c r="A347">
        <v>16</v>
      </c>
      <c r="B347">
        <v>4</v>
      </c>
      <c r="C347" t="s">
        <v>157</v>
      </c>
      <c r="D347" t="s">
        <v>751</v>
      </c>
      <c r="E347" t="s">
        <v>295</v>
      </c>
      <c r="F347">
        <v>50</v>
      </c>
      <c r="G347" t="s">
        <v>758</v>
      </c>
      <c r="H347" t="s">
        <v>124</v>
      </c>
      <c r="I347" t="s">
        <v>124</v>
      </c>
      <c r="J347" t="s">
        <v>759</v>
      </c>
      <c r="K347" t="s">
        <v>763</v>
      </c>
      <c r="L347" t="s">
        <v>764</v>
      </c>
      <c r="M347" t="s">
        <v>998</v>
      </c>
      <c r="N347" t="b">
        <v>0</v>
      </c>
    </row>
    <row r="348" spans="1:14">
      <c r="A348">
        <v>16</v>
      </c>
      <c r="B348">
        <v>5</v>
      </c>
      <c r="C348" t="s">
        <v>158</v>
      </c>
      <c r="D348" t="s">
        <v>751</v>
      </c>
      <c r="E348" t="s">
        <v>295</v>
      </c>
      <c r="F348">
        <v>40</v>
      </c>
      <c r="G348" t="s">
        <v>758</v>
      </c>
      <c r="H348" t="s">
        <v>124</v>
      </c>
      <c r="I348" t="s">
        <v>124</v>
      </c>
      <c r="J348" t="s">
        <v>759</v>
      </c>
      <c r="K348" t="s">
        <v>999</v>
      </c>
      <c r="L348" t="s">
        <v>1000</v>
      </c>
      <c r="M348" t="s">
        <v>1001</v>
      </c>
      <c r="N348" t="b">
        <v>0</v>
      </c>
    </row>
    <row r="349" spans="1:14">
      <c r="A349">
        <v>16</v>
      </c>
      <c r="B349">
        <v>6</v>
      </c>
      <c r="C349" t="s">
        <v>244</v>
      </c>
      <c r="D349" t="s">
        <v>722</v>
      </c>
      <c r="E349" t="s">
        <v>112</v>
      </c>
      <c r="F349">
        <v>40</v>
      </c>
      <c r="G349" t="s">
        <v>124</v>
      </c>
      <c r="H349" t="s">
        <v>124</v>
      </c>
      <c r="I349" t="s">
        <v>112</v>
      </c>
      <c r="J349" t="s">
        <v>124</v>
      </c>
      <c r="K349" t="s">
        <v>124</v>
      </c>
      <c r="L349" t="s">
        <v>124</v>
      </c>
      <c r="M349" t="s">
        <v>1002</v>
      </c>
      <c r="N349" t="b">
        <v>0</v>
      </c>
    </row>
    <row r="350" spans="1:14">
      <c r="A350">
        <v>16</v>
      </c>
      <c r="B350">
        <v>7</v>
      </c>
      <c r="C350" t="s">
        <v>164</v>
      </c>
      <c r="D350" t="s">
        <v>722</v>
      </c>
      <c r="E350" t="s">
        <v>113</v>
      </c>
      <c r="F350">
        <v>50</v>
      </c>
      <c r="G350" t="s">
        <v>124</v>
      </c>
      <c r="H350" t="s">
        <v>124</v>
      </c>
      <c r="I350" t="s">
        <v>113</v>
      </c>
      <c r="J350" t="s">
        <v>124</v>
      </c>
      <c r="K350" t="s">
        <v>124</v>
      </c>
      <c r="L350" t="s">
        <v>124</v>
      </c>
      <c r="M350" t="s">
        <v>1003</v>
      </c>
      <c r="N350" t="b">
        <v>0</v>
      </c>
    </row>
    <row r="351" spans="1:14">
      <c r="A351">
        <v>16</v>
      </c>
      <c r="B351">
        <v>8</v>
      </c>
      <c r="C351" t="s">
        <v>180</v>
      </c>
      <c r="D351" t="s">
        <v>722</v>
      </c>
      <c r="E351" t="s">
        <v>59</v>
      </c>
      <c r="F351">
        <v>40</v>
      </c>
      <c r="G351" t="s">
        <v>124</v>
      </c>
      <c r="H351" t="s">
        <v>124</v>
      </c>
      <c r="I351" t="s">
        <v>59</v>
      </c>
      <c r="J351" t="s">
        <v>124</v>
      </c>
      <c r="K351" t="s">
        <v>124</v>
      </c>
      <c r="L351" t="s">
        <v>124</v>
      </c>
      <c r="M351" t="s">
        <v>1004</v>
      </c>
      <c r="N351" t="b">
        <v>0</v>
      </c>
    </row>
    <row r="352" spans="1:14">
      <c r="A352">
        <v>16</v>
      </c>
      <c r="B352">
        <v>9</v>
      </c>
      <c r="C352" t="s">
        <v>191</v>
      </c>
      <c r="D352" t="s">
        <v>722</v>
      </c>
      <c r="E352" t="s">
        <v>76</v>
      </c>
      <c r="F352">
        <v>50</v>
      </c>
      <c r="G352" t="s">
        <v>124</v>
      </c>
      <c r="H352" t="s">
        <v>124</v>
      </c>
      <c r="I352" t="s">
        <v>76</v>
      </c>
      <c r="J352" t="s">
        <v>124</v>
      </c>
      <c r="K352" t="s">
        <v>124</v>
      </c>
      <c r="L352" t="s">
        <v>124</v>
      </c>
      <c r="M352" t="s">
        <v>1005</v>
      </c>
      <c r="N352" t="b">
        <v>0</v>
      </c>
    </row>
    <row r="353" spans="1:14">
      <c r="A353">
        <v>16</v>
      </c>
      <c r="B353">
        <v>10</v>
      </c>
      <c r="C353" t="s">
        <v>124</v>
      </c>
      <c r="D353" t="s">
        <v>722</v>
      </c>
      <c r="E353" t="s">
        <v>124</v>
      </c>
      <c r="F353">
        <v>0</v>
      </c>
      <c r="G353" t="s">
        <v>124</v>
      </c>
      <c r="H353" t="s">
        <v>124</v>
      </c>
      <c r="I353" t="s">
        <v>124</v>
      </c>
      <c r="J353" t="s">
        <v>124</v>
      </c>
      <c r="K353" t="s">
        <v>124</v>
      </c>
      <c r="L353" t="s">
        <v>124</v>
      </c>
      <c r="M353" t="s">
        <v>1006</v>
      </c>
      <c r="N353" t="b">
        <v>0</v>
      </c>
    </row>
    <row r="354" spans="1:14">
      <c r="A354">
        <v>16</v>
      </c>
      <c r="B354">
        <v>11</v>
      </c>
      <c r="C354" t="s">
        <v>124</v>
      </c>
      <c r="D354" t="s">
        <v>722</v>
      </c>
      <c r="E354" t="s">
        <v>124</v>
      </c>
      <c r="F354">
        <v>0</v>
      </c>
      <c r="G354" t="s">
        <v>124</v>
      </c>
      <c r="H354" t="s">
        <v>124</v>
      </c>
      <c r="I354" t="s">
        <v>124</v>
      </c>
      <c r="J354" t="s">
        <v>124</v>
      </c>
      <c r="K354" t="s">
        <v>124</v>
      </c>
      <c r="L354" t="s">
        <v>124</v>
      </c>
      <c r="M354" t="s">
        <v>1007</v>
      </c>
      <c r="N354" t="b">
        <v>0</v>
      </c>
    </row>
    <row r="355" spans="1:14">
      <c r="A355">
        <v>16</v>
      </c>
      <c r="B355">
        <v>12</v>
      </c>
      <c r="C355" t="s">
        <v>124</v>
      </c>
      <c r="D355" t="s">
        <v>722</v>
      </c>
      <c r="E355" t="s">
        <v>124</v>
      </c>
      <c r="F355">
        <v>0</v>
      </c>
      <c r="G355" t="s">
        <v>124</v>
      </c>
      <c r="H355" t="s">
        <v>124</v>
      </c>
      <c r="I355" t="s">
        <v>124</v>
      </c>
      <c r="J355" t="s">
        <v>124</v>
      </c>
      <c r="K355" t="s">
        <v>124</v>
      </c>
      <c r="L355" t="s">
        <v>124</v>
      </c>
      <c r="M355" t="s">
        <v>1008</v>
      </c>
      <c r="N355" t="b">
        <v>0</v>
      </c>
    </row>
    <row r="356" spans="1:14">
      <c r="A356">
        <v>16</v>
      </c>
      <c r="B356">
        <v>13</v>
      </c>
      <c r="C356" t="s">
        <v>124</v>
      </c>
      <c r="D356" t="s">
        <v>722</v>
      </c>
      <c r="E356" t="s">
        <v>124</v>
      </c>
      <c r="F356">
        <v>0</v>
      </c>
      <c r="G356" t="s">
        <v>124</v>
      </c>
      <c r="H356" t="s">
        <v>124</v>
      </c>
      <c r="I356" t="s">
        <v>124</v>
      </c>
      <c r="J356" t="s">
        <v>124</v>
      </c>
      <c r="K356" t="s">
        <v>124</v>
      </c>
      <c r="L356" t="s">
        <v>124</v>
      </c>
      <c r="M356" t="s">
        <v>1009</v>
      </c>
      <c r="N356" t="b">
        <v>0</v>
      </c>
    </row>
    <row r="357" spans="1:14">
      <c r="A357">
        <v>16</v>
      </c>
      <c r="B357">
        <v>14</v>
      </c>
      <c r="C357" t="s">
        <v>124</v>
      </c>
      <c r="D357" t="s">
        <v>722</v>
      </c>
      <c r="E357" t="s">
        <v>124</v>
      </c>
      <c r="F357">
        <v>0</v>
      </c>
      <c r="G357" t="s">
        <v>124</v>
      </c>
      <c r="H357" t="s">
        <v>124</v>
      </c>
      <c r="I357" t="s">
        <v>124</v>
      </c>
      <c r="J357" t="s">
        <v>124</v>
      </c>
      <c r="K357" t="s">
        <v>124</v>
      </c>
      <c r="L357" t="s">
        <v>124</v>
      </c>
      <c r="M357" t="s">
        <v>1010</v>
      </c>
      <c r="N357" t="b">
        <v>0</v>
      </c>
    </row>
    <row r="358" spans="1:14">
      <c r="A358">
        <v>16</v>
      </c>
      <c r="B358">
        <v>15</v>
      </c>
      <c r="C358" t="s">
        <v>124</v>
      </c>
      <c r="D358" t="s">
        <v>722</v>
      </c>
      <c r="E358" t="s">
        <v>124</v>
      </c>
      <c r="F358">
        <v>0</v>
      </c>
      <c r="G358" t="s">
        <v>124</v>
      </c>
      <c r="H358" t="s">
        <v>124</v>
      </c>
      <c r="I358" t="s">
        <v>124</v>
      </c>
      <c r="J358" t="s">
        <v>124</v>
      </c>
      <c r="K358" t="s">
        <v>124</v>
      </c>
      <c r="L358" t="s">
        <v>124</v>
      </c>
      <c r="M358" t="s">
        <v>1011</v>
      </c>
      <c r="N358" t="b">
        <v>0</v>
      </c>
    </row>
    <row r="359" spans="1:14">
      <c r="A359">
        <v>16</v>
      </c>
      <c r="B359">
        <v>16</v>
      </c>
      <c r="C359" t="s">
        <v>124</v>
      </c>
      <c r="D359" t="s">
        <v>739</v>
      </c>
      <c r="E359" t="s">
        <v>124</v>
      </c>
      <c r="F359">
        <v>0</v>
      </c>
      <c r="G359" t="s">
        <v>124</v>
      </c>
      <c r="H359" t="s">
        <v>124</v>
      </c>
      <c r="I359" t="s">
        <v>124</v>
      </c>
      <c r="J359" t="s">
        <v>124</v>
      </c>
      <c r="K359" t="s">
        <v>124</v>
      </c>
      <c r="L359" t="s">
        <v>124</v>
      </c>
      <c r="M359" t="s">
        <v>1012</v>
      </c>
      <c r="N359" t="b">
        <v>0</v>
      </c>
    </row>
    <row r="360" spans="1:14">
      <c r="A360">
        <v>16</v>
      </c>
      <c r="B360">
        <v>17</v>
      </c>
      <c r="C360" t="s">
        <v>124</v>
      </c>
      <c r="D360" t="s">
        <v>739</v>
      </c>
      <c r="E360" t="s">
        <v>124</v>
      </c>
      <c r="F360">
        <v>0</v>
      </c>
      <c r="G360" t="s">
        <v>124</v>
      </c>
      <c r="H360" t="s">
        <v>124</v>
      </c>
      <c r="I360" t="s">
        <v>124</v>
      </c>
      <c r="J360" t="s">
        <v>124</v>
      </c>
      <c r="K360" t="s">
        <v>124</v>
      </c>
      <c r="L360" t="s">
        <v>124</v>
      </c>
      <c r="M360" t="s">
        <v>671</v>
      </c>
      <c r="N360" t="b">
        <v>0</v>
      </c>
    </row>
    <row r="361" spans="1:14">
      <c r="A361">
        <v>16</v>
      </c>
      <c r="B361">
        <v>18</v>
      </c>
      <c r="C361" t="s">
        <v>124</v>
      </c>
      <c r="D361" t="s">
        <v>739</v>
      </c>
      <c r="E361" t="s">
        <v>124</v>
      </c>
      <c r="F361">
        <v>0</v>
      </c>
      <c r="G361" t="s">
        <v>124</v>
      </c>
      <c r="H361" t="s">
        <v>124</v>
      </c>
      <c r="I361" t="s">
        <v>124</v>
      </c>
      <c r="J361" t="s">
        <v>124</v>
      </c>
      <c r="K361" t="s">
        <v>124</v>
      </c>
      <c r="L361" t="s">
        <v>124</v>
      </c>
      <c r="M361" t="s">
        <v>1013</v>
      </c>
      <c r="N361" t="b">
        <v>0</v>
      </c>
    </row>
    <row r="362" spans="1:14">
      <c r="A362">
        <v>16</v>
      </c>
      <c r="B362">
        <v>19</v>
      </c>
      <c r="C362" t="s">
        <v>124</v>
      </c>
      <c r="D362" t="s">
        <v>739</v>
      </c>
      <c r="E362" t="s">
        <v>124</v>
      </c>
      <c r="F362">
        <v>0</v>
      </c>
      <c r="G362" t="s">
        <v>124</v>
      </c>
      <c r="H362" t="s">
        <v>124</v>
      </c>
      <c r="I362" t="s">
        <v>124</v>
      </c>
      <c r="J362" t="s">
        <v>124</v>
      </c>
      <c r="K362" t="s">
        <v>124</v>
      </c>
      <c r="L362" t="s">
        <v>124</v>
      </c>
      <c r="M362" t="s">
        <v>1014</v>
      </c>
      <c r="N362" t="b">
        <v>0</v>
      </c>
    </row>
    <row r="363" spans="1:14">
      <c r="A363">
        <v>16</v>
      </c>
      <c r="B363">
        <v>20</v>
      </c>
      <c r="C363" t="s">
        <v>124</v>
      </c>
      <c r="D363" t="s">
        <v>739</v>
      </c>
      <c r="E363" t="s">
        <v>124</v>
      </c>
      <c r="F363">
        <v>0</v>
      </c>
      <c r="G363" t="s">
        <v>124</v>
      </c>
      <c r="H363" t="s">
        <v>124</v>
      </c>
      <c r="I363" t="s">
        <v>124</v>
      </c>
      <c r="J363" t="s">
        <v>124</v>
      </c>
      <c r="K363" t="s">
        <v>124</v>
      </c>
      <c r="L363" t="s">
        <v>124</v>
      </c>
      <c r="M363" t="s">
        <v>1015</v>
      </c>
      <c r="N363" t="b">
        <v>0</v>
      </c>
    </row>
    <row r="364" spans="1:14">
      <c r="A364">
        <v>16</v>
      </c>
      <c r="B364">
        <v>21</v>
      </c>
      <c r="C364" t="s">
        <v>124</v>
      </c>
      <c r="D364" t="s">
        <v>739</v>
      </c>
      <c r="E364" t="s">
        <v>124</v>
      </c>
      <c r="F364">
        <v>0</v>
      </c>
      <c r="G364" t="s">
        <v>124</v>
      </c>
      <c r="H364" t="s">
        <v>124</v>
      </c>
      <c r="I364" t="s">
        <v>124</v>
      </c>
      <c r="J364" t="s">
        <v>124</v>
      </c>
      <c r="K364" t="s">
        <v>124</v>
      </c>
      <c r="L364" t="s">
        <v>124</v>
      </c>
      <c r="M364" t="s">
        <v>1016</v>
      </c>
      <c r="N364" t="b">
        <v>0</v>
      </c>
    </row>
    <row r="365" spans="1:14">
      <c r="A365">
        <v>16</v>
      </c>
      <c r="B365">
        <v>22</v>
      </c>
      <c r="C365" t="s">
        <v>124</v>
      </c>
      <c r="D365" t="s">
        <v>739</v>
      </c>
      <c r="E365" t="s">
        <v>124</v>
      </c>
      <c r="F365">
        <v>0</v>
      </c>
      <c r="G365" t="s">
        <v>124</v>
      </c>
      <c r="H365" t="s">
        <v>124</v>
      </c>
      <c r="I365" t="s">
        <v>124</v>
      </c>
      <c r="J365" t="s">
        <v>124</v>
      </c>
      <c r="K365" t="s">
        <v>124</v>
      </c>
      <c r="L365" t="s">
        <v>124</v>
      </c>
      <c r="M365" t="s">
        <v>1017</v>
      </c>
      <c r="N365" t="b">
        <v>0</v>
      </c>
    </row>
    <row r="366" spans="1:14">
      <c r="A366">
        <v>16</v>
      </c>
      <c r="B366">
        <v>23</v>
      </c>
      <c r="C366" t="s">
        <v>124</v>
      </c>
      <c r="D366" t="s">
        <v>739</v>
      </c>
      <c r="E366" t="s">
        <v>124</v>
      </c>
      <c r="F366">
        <v>0</v>
      </c>
      <c r="G366" t="s">
        <v>124</v>
      </c>
      <c r="H366" t="s">
        <v>124</v>
      </c>
      <c r="I366" t="s">
        <v>124</v>
      </c>
      <c r="J366" t="s">
        <v>124</v>
      </c>
      <c r="K366" t="s">
        <v>124</v>
      </c>
      <c r="L366" t="s">
        <v>124</v>
      </c>
      <c r="M366" t="s">
        <v>1018</v>
      </c>
      <c r="N366" t="b">
        <v>0</v>
      </c>
    </row>
    <row r="367" spans="1:14">
      <c r="A367">
        <v>16</v>
      </c>
      <c r="B367">
        <v>24</v>
      </c>
      <c r="C367" t="s">
        <v>124</v>
      </c>
      <c r="D367" t="s">
        <v>739</v>
      </c>
      <c r="E367" t="s">
        <v>124</v>
      </c>
      <c r="F367">
        <v>0</v>
      </c>
      <c r="G367" t="s">
        <v>124</v>
      </c>
      <c r="H367" t="s">
        <v>124</v>
      </c>
      <c r="I367" t="s">
        <v>124</v>
      </c>
      <c r="J367" t="s">
        <v>124</v>
      </c>
      <c r="K367" t="s">
        <v>124</v>
      </c>
      <c r="L367" t="s">
        <v>124</v>
      </c>
      <c r="M367" t="s">
        <v>1019</v>
      </c>
      <c r="N367" t="b">
        <v>0</v>
      </c>
    </row>
    <row r="368" spans="1:14">
      <c r="A368">
        <v>16</v>
      </c>
      <c r="B368">
        <v>25</v>
      </c>
      <c r="C368" t="s">
        <v>124</v>
      </c>
      <c r="D368" t="s">
        <v>739</v>
      </c>
      <c r="E368" t="s">
        <v>124</v>
      </c>
      <c r="F368">
        <v>0</v>
      </c>
      <c r="G368" t="s">
        <v>124</v>
      </c>
      <c r="H368" t="s">
        <v>124</v>
      </c>
      <c r="I368" t="s">
        <v>124</v>
      </c>
      <c r="J368" t="s">
        <v>124</v>
      </c>
      <c r="K368" t="s">
        <v>124</v>
      </c>
      <c r="L368" t="s">
        <v>124</v>
      </c>
      <c r="M368" t="s">
        <v>1020</v>
      </c>
      <c r="N368" t="b">
        <v>0</v>
      </c>
    </row>
    <row r="369" spans="1:14">
      <c r="A369">
        <v>16</v>
      </c>
      <c r="B369">
        <v>26</v>
      </c>
      <c r="C369" t="s">
        <v>124</v>
      </c>
      <c r="D369" t="s">
        <v>739</v>
      </c>
      <c r="E369" t="s">
        <v>124</v>
      </c>
      <c r="F369">
        <v>0</v>
      </c>
      <c r="G369" t="s">
        <v>124</v>
      </c>
      <c r="H369" t="s">
        <v>124</v>
      </c>
      <c r="I369" t="s">
        <v>124</v>
      </c>
      <c r="J369" t="s">
        <v>124</v>
      </c>
      <c r="K369" t="s">
        <v>124</v>
      </c>
      <c r="L369" t="s">
        <v>124</v>
      </c>
      <c r="M369" t="s">
        <v>1021</v>
      </c>
      <c r="N369" t="b">
        <v>0</v>
      </c>
    </row>
    <row r="370" spans="1:14">
      <c r="A370">
        <v>17</v>
      </c>
      <c r="B370">
        <v>0</v>
      </c>
      <c r="C370" t="s">
        <v>162</v>
      </c>
      <c r="D370" t="s">
        <v>722</v>
      </c>
      <c r="E370" t="s">
        <v>65</v>
      </c>
      <c r="F370">
        <v>40</v>
      </c>
      <c r="G370" t="s">
        <v>124</v>
      </c>
      <c r="H370" t="s">
        <v>124</v>
      </c>
      <c r="I370" t="s">
        <v>65</v>
      </c>
      <c r="J370" t="s">
        <v>124</v>
      </c>
      <c r="K370" t="s">
        <v>124</v>
      </c>
      <c r="L370" t="s">
        <v>124</v>
      </c>
      <c r="M370" t="s">
        <v>1022</v>
      </c>
      <c r="N370" t="b">
        <v>0</v>
      </c>
    </row>
    <row r="371" spans="1:14">
      <c r="A371">
        <v>17</v>
      </c>
      <c r="B371">
        <v>1</v>
      </c>
      <c r="C371" t="s">
        <v>177</v>
      </c>
      <c r="D371" t="s">
        <v>722</v>
      </c>
      <c r="E371" t="s">
        <v>81</v>
      </c>
      <c r="F371">
        <v>50</v>
      </c>
      <c r="G371" t="s">
        <v>124</v>
      </c>
      <c r="H371" t="s">
        <v>124</v>
      </c>
      <c r="I371" t="s">
        <v>81</v>
      </c>
      <c r="J371" t="s">
        <v>124</v>
      </c>
      <c r="K371" t="s">
        <v>124</v>
      </c>
      <c r="L371" t="s">
        <v>124</v>
      </c>
      <c r="M371" t="s">
        <v>1023</v>
      </c>
      <c r="N371" t="b">
        <v>0</v>
      </c>
    </row>
    <row r="372" spans="1:14">
      <c r="A372">
        <v>17</v>
      </c>
      <c r="B372">
        <v>2</v>
      </c>
      <c r="C372" t="s">
        <v>208</v>
      </c>
      <c r="D372" t="s">
        <v>722</v>
      </c>
      <c r="E372" t="s">
        <v>85</v>
      </c>
      <c r="F372">
        <v>40</v>
      </c>
      <c r="G372" t="s">
        <v>124</v>
      </c>
      <c r="H372" t="s">
        <v>124</v>
      </c>
      <c r="I372" t="s">
        <v>85</v>
      </c>
      <c r="J372" t="s">
        <v>124</v>
      </c>
      <c r="K372" t="s">
        <v>124</v>
      </c>
      <c r="L372" t="s">
        <v>124</v>
      </c>
      <c r="M372" t="s">
        <v>1024</v>
      </c>
      <c r="N372" t="b">
        <v>0</v>
      </c>
    </row>
    <row r="373" spans="1:14">
      <c r="A373">
        <v>17</v>
      </c>
      <c r="B373">
        <v>3</v>
      </c>
      <c r="C373" t="s">
        <v>246</v>
      </c>
      <c r="D373" t="s">
        <v>722</v>
      </c>
      <c r="E373" t="s">
        <v>91</v>
      </c>
      <c r="F373">
        <v>40</v>
      </c>
      <c r="G373" t="s">
        <v>124</v>
      </c>
      <c r="H373" t="s">
        <v>124</v>
      </c>
      <c r="I373" t="s">
        <v>91</v>
      </c>
      <c r="J373" t="s">
        <v>124</v>
      </c>
      <c r="K373" t="s">
        <v>124</v>
      </c>
      <c r="L373" t="s">
        <v>124</v>
      </c>
      <c r="M373" t="s">
        <v>1025</v>
      </c>
      <c r="N373" t="b">
        <v>0</v>
      </c>
    </row>
    <row r="374" spans="1:14">
      <c r="A374">
        <v>17</v>
      </c>
      <c r="B374">
        <v>4</v>
      </c>
      <c r="C374" t="s">
        <v>157</v>
      </c>
      <c r="D374" t="s">
        <v>751</v>
      </c>
      <c r="E374" t="s">
        <v>295</v>
      </c>
      <c r="F374">
        <v>50</v>
      </c>
      <c r="G374" t="s">
        <v>758</v>
      </c>
      <c r="H374" t="s">
        <v>124</v>
      </c>
      <c r="I374" t="s">
        <v>124</v>
      </c>
      <c r="J374" t="s">
        <v>759</v>
      </c>
      <c r="K374" t="s">
        <v>760</v>
      </c>
      <c r="L374" t="s">
        <v>761</v>
      </c>
      <c r="M374" t="s">
        <v>1026</v>
      </c>
      <c r="N374" t="b">
        <v>0</v>
      </c>
    </row>
    <row r="375" spans="1:14">
      <c r="A375">
        <v>17</v>
      </c>
      <c r="B375">
        <v>5</v>
      </c>
      <c r="C375" t="s">
        <v>157</v>
      </c>
      <c r="D375" t="s">
        <v>751</v>
      </c>
      <c r="E375" t="s">
        <v>295</v>
      </c>
      <c r="F375">
        <v>50</v>
      </c>
      <c r="G375" t="s">
        <v>758</v>
      </c>
      <c r="H375" t="s">
        <v>124</v>
      </c>
      <c r="I375" t="s">
        <v>124</v>
      </c>
      <c r="J375" t="s">
        <v>759</v>
      </c>
      <c r="K375" t="s">
        <v>763</v>
      </c>
      <c r="L375" t="s">
        <v>764</v>
      </c>
      <c r="M375" t="s">
        <v>1027</v>
      </c>
      <c r="N375" t="b">
        <v>0</v>
      </c>
    </row>
    <row r="376" spans="1:14">
      <c r="A376">
        <v>17</v>
      </c>
      <c r="B376">
        <v>6</v>
      </c>
      <c r="C376" t="s">
        <v>158</v>
      </c>
      <c r="D376" t="s">
        <v>751</v>
      </c>
      <c r="E376" t="s">
        <v>295</v>
      </c>
      <c r="F376">
        <v>40</v>
      </c>
      <c r="G376" t="s">
        <v>758</v>
      </c>
      <c r="H376" t="s">
        <v>124</v>
      </c>
      <c r="I376" t="s">
        <v>124</v>
      </c>
      <c r="J376" t="s">
        <v>759</v>
      </c>
      <c r="K376" t="s">
        <v>999</v>
      </c>
      <c r="L376" t="s">
        <v>1000</v>
      </c>
      <c r="M376" t="s">
        <v>1028</v>
      </c>
      <c r="N376" t="b">
        <v>0</v>
      </c>
    </row>
    <row r="377" spans="1:14">
      <c r="A377">
        <v>17</v>
      </c>
      <c r="B377">
        <v>7</v>
      </c>
      <c r="C377" t="s">
        <v>244</v>
      </c>
      <c r="D377" t="s">
        <v>722</v>
      </c>
      <c r="E377" t="s">
        <v>112</v>
      </c>
      <c r="F377">
        <v>40</v>
      </c>
      <c r="G377" t="s">
        <v>124</v>
      </c>
      <c r="H377" t="s">
        <v>124</v>
      </c>
      <c r="I377" t="s">
        <v>112</v>
      </c>
      <c r="J377" t="s">
        <v>124</v>
      </c>
      <c r="K377" t="s">
        <v>124</v>
      </c>
      <c r="L377" t="s">
        <v>124</v>
      </c>
      <c r="M377" t="s">
        <v>1029</v>
      </c>
      <c r="N377" t="b">
        <v>0</v>
      </c>
    </row>
    <row r="378" spans="1:14">
      <c r="A378">
        <v>17</v>
      </c>
      <c r="B378">
        <v>8</v>
      </c>
      <c r="C378" t="s">
        <v>164</v>
      </c>
      <c r="D378" t="s">
        <v>722</v>
      </c>
      <c r="E378" t="s">
        <v>113</v>
      </c>
      <c r="F378">
        <v>50</v>
      </c>
      <c r="G378" t="s">
        <v>124</v>
      </c>
      <c r="H378" t="s">
        <v>124</v>
      </c>
      <c r="I378" t="s">
        <v>113</v>
      </c>
      <c r="J378" t="s">
        <v>124</v>
      </c>
      <c r="K378" t="s">
        <v>124</v>
      </c>
      <c r="L378" t="s">
        <v>124</v>
      </c>
      <c r="M378" t="s">
        <v>1030</v>
      </c>
      <c r="N378" t="b">
        <v>0</v>
      </c>
    </row>
    <row r="379" spans="1:14">
      <c r="A379">
        <v>17</v>
      </c>
      <c r="B379">
        <v>9</v>
      </c>
      <c r="C379" t="s">
        <v>175</v>
      </c>
      <c r="D379" t="s">
        <v>722</v>
      </c>
      <c r="E379" t="s">
        <v>98</v>
      </c>
      <c r="F379">
        <v>40</v>
      </c>
      <c r="G379" t="s">
        <v>124</v>
      </c>
      <c r="H379" t="s">
        <v>124</v>
      </c>
      <c r="I379" t="s">
        <v>98</v>
      </c>
      <c r="J379" t="s">
        <v>124</v>
      </c>
      <c r="K379" t="s">
        <v>124</v>
      </c>
      <c r="L379" t="s">
        <v>124</v>
      </c>
      <c r="M379" t="s">
        <v>1031</v>
      </c>
      <c r="N379" t="b">
        <v>0</v>
      </c>
    </row>
    <row r="380" spans="1:14">
      <c r="A380">
        <v>17</v>
      </c>
      <c r="B380">
        <v>10</v>
      </c>
      <c r="C380" t="s">
        <v>124</v>
      </c>
      <c r="D380" t="s">
        <v>722</v>
      </c>
      <c r="E380" t="s">
        <v>124</v>
      </c>
      <c r="F380">
        <v>0</v>
      </c>
      <c r="G380" t="s">
        <v>124</v>
      </c>
      <c r="H380" t="s">
        <v>124</v>
      </c>
      <c r="I380" t="s">
        <v>124</v>
      </c>
      <c r="J380" t="s">
        <v>124</v>
      </c>
      <c r="K380" t="s">
        <v>124</v>
      </c>
      <c r="L380" t="s">
        <v>124</v>
      </c>
      <c r="M380" t="s">
        <v>1032</v>
      </c>
      <c r="N380" t="b">
        <v>0</v>
      </c>
    </row>
    <row r="381" spans="1:14">
      <c r="A381">
        <v>17</v>
      </c>
      <c r="B381">
        <v>11</v>
      </c>
      <c r="C381" t="s">
        <v>124</v>
      </c>
      <c r="D381" t="s">
        <v>722</v>
      </c>
      <c r="E381" t="s">
        <v>124</v>
      </c>
      <c r="F381">
        <v>0</v>
      </c>
      <c r="G381" t="s">
        <v>124</v>
      </c>
      <c r="H381" t="s">
        <v>124</v>
      </c>
      <c r="I381" t="s">
        <v>124</v>
      </c>
      <c r="J381" t="s">
        <v>124</v>
      </c>
      <c r="K381" t="s">
        <v>124</v>
      </c>
      <c r="L381" t="s">
        <v>124</v>
      </c>
      <c r="M381" t="s">
        <v>1033</v>
      </c>
      <c r="N381" t="b">
        <v>0</v>
      </c>
    </row>
    <row r="382" spans="1:14">
      <c r="A382">
        <v>17</v>
      </c>
      <c r="B382">
        <v>12</v>
      </c>
      <c r="C382" t="s">
        <v>124</v>
      </c>
      <c r="D382" t="s">
        <v>722</v>
      </c>
      <c r="E382" t="s">
        <v>124</v>
      </c>
      <c r="F382">
        <v>0</v>
      </c>
      <c r="G382" t="s">
        <v>124</v>
      </c>
      <c r="H382" t="s">
        <v>124</v>
      </c>
      <c r="I382" t="s">
        <v>124</v>
      </c>
      <c r="J382" t="s">
        <v>124</v>
      </c>
      <c r="K382" t="s">
        <v>124</v>
      </c>
      <c r="L382" t="s">
        <v>124</v>
      </c>
      <c r="M382" t="s">
        <v>1034</v>
      </c>
      <c r="N382" t="b">
        <v>0</v>
      </c>
    </row>
    <row r="383" spans="1:14">
      <c r="A383">
        <v>17</v>
      </c>
      <c r="B383">
        <v>13</v>
      </c>
      <c r="C383" t="s">
        <v>124</v>
      </c>
      <c r="D383" t="s">
        <v>722</v>
      </c>
      <c r="E383" t="s">
        <v>124</v>
      </c>
      <c r="F383">
        <v>0</v>
      </c>
      <c r="G383" t="s">
        <v>124</v>
      </c>
      <c r="H383" t="s">
        <v>124</v>
      </c>
      <c r="I383" t="s">
        <v>124</v>
      </c>
      <c r="J383" t="s">
        <v>124</v>
      </c>
      <c r="K383" t="s">
        <v>124</v>
      </c>
      <c r="L383" t="s">
        <v>124</v>
      </c>
      <c r="M383" t="s">
        <v>1035</v>
      </c>
      <c r="N383" t="b">
        <v>0</v>
      </c>
    </row>
    <row r="384" spans="1:14">
      <c r="A384">
        <v>17</v>
      </c>
      <c r="B384">
        <v>14</v>
      </c>
      <c r="C384" t="s">
        <v>124</v>
      </c>
      <c r="D384" t="s">
        <v>722</v>
      </c>
      <c r="E384" t="s">
        <v>124</v>
      </c>
      <c r="F384">
        <v>0</v>
      </c>
      <c r="G384" t="s">
        <v>124</v>
      </c>
      <c r="H384" t="s">
        <v>124</v>
      </c>
      <c r="I384" t="s">
        <v>124</v>
      </c>
      <c r="J384" t="s">
        <v>124</v>
      </c>
      <c r="K384" t="s">
        <v>124</v>
      </c>
      <c r="L384" t="s">
        <v>124</v>
      </c>
      <c r="M384" t="s">
        <v>1036</v>
      </c>
      <c r="N384" t="b">
        <v>0</v>
      </c>
    </row>
    <row r="385" spans="1:14">
      <c r="A385">
        <v>17</v>
      </c>
      <c r="B385">
        <v>15</v>
      </c>
      <c r="C385" t="s">
        <v>124</v>
      </c>
      <c r="D385" t="s">
        <v>722</v>
      </c>
      <c r="E385" t="s">
        <v>124</v>
      </c>
      <c r="F385">
        <v>0</v>
      </c>
      <c r="G385" t="s">
        <v>124</v>
      </c>
      <c r="H385" t="s">
        <v>124</v>
      </c>
      <c r="I385" t="s">
        <v>124</v>
      </c>
      <c r="J385" t="s">
        <v>124</v>
      </c>
      <c r="K385" t="s">
        <v>124</v>
      </c>
      <c r="L385" t="s">
        <v>124</v>
      </c>
      <c r="M385" t="s">
        <v>1037</v>
      </c>
      <c r="N385" t="b">
        <v>0</v>
      </c>
    </row>
    <row r="386" spans="1:14">
      <c r="A386">
        <v>17</v>
      </c>
      <c r="B386">
        <v>16</v>
      </c>
      <c r="C386" t="s">
        <v>124</v>
      </c>
      <c r="D386" t="s">
        <v>739</v>
      </c>
      <c r="E386" t="s">
        <v>124</v>
      </c>
      <c r="F386">
        <v>0</v>
      </c>
      <c r="G386" t="s">
        <v>124</v>
      </c>
      <c r="H386" t="s">
        <v>124</v>
      </c>
      <c r="I386" t="s">
        <v>124</v>
      </c>
      <c r="J386" t="s">
        <v>124</v>
      </c>
      <c r="K386" t="s">
        <v>124</v>
      </c>
      <c r="L386" t="s">
        <v>124</v>
      </c>
      <c r="M386" t="s">
        <v>1038</v>
      </c>
      <c r="N386" t="b">
        <v>0</v>
      </c>
    </row>
    <row r="387" spans="1:14">
      <c r="A387">
        <v>17</v>
      </c>
      <c r="B387">
        <v>17</v>
      </c>
      <c r="C387" t="s">
        <v>124</v>
      </c>
      <c r="D387" t="s">
        <v>739</v>
      </c>
      <c r="E387" t="s">
        <v>124</v>
      </c>
      <c r="F387">
        <v>0</v>
      </c>
      <c r="G387" t="s">
        <v>124</v>
      </c>
      <c r="H387" t="s">
        <v>124</v>
      </c>
      <c r="I387" t="s">
        <v>124</v>
      </c>
      <c r="J387" t="s">
        <v>124</v>
      </c>
      <c r="K387" t="s">
        <v>124</v>
      </c>
      <c r="L387" t="s">
        <v>124</v>
      </c>
      <c r="M387" t="s">
        <v>673</v>
      </c>
      <c r="N387" t="b">
        <v>0</v>
      </c>
    </row>
    <row r="388" spans="1:14">
      <c r="A388">
        <v>17</v>
      </c>
      <c r="B388">
        <v>18</v>
      </c>
      <c r="C388" t="s">
        <v>124</v>
      </c>
      <c r="D388" t="s">
        <v>739</v>
      </c>
      <c r="E388" t="s">
        <v>124</v>
      </c>
      <c r="F388">
        <v>0</v>
      </c>
      <c r="G388" t="s">
        <v>124</v>
      </c>
      <c r="H388" t="s">
        <v>124</v>
      </c>
      <c r="I388" t="s">
        <v>124</v>
      </c>
      <c r="J388" t="s">
        <v>124</v>
      </c>
      <c r="K388" t="s">
        <v>124</v>
      </c>
      <c r="L388" t="s">
        <v>124</v>
      </c>
      <c r="M388" t="s">
        <v>1039</v>
      </c>
      <c r="N388" t="b">
        <v>0</v>
      </c>
    </row>
    <row r="389" spans="1:14">
      <c r="A389">
        <v>17</v>
      </c>
      <c r="B389">
        <v>19</v>
      </c>
      <c r="C389" t="s">
        <v>124</v>
      </c>
      <c r="D389" t="s">
        <v>739</v>
      </c>
      <c r="E389" t="s">
        <v>124</v>
      </c>
      <c r="F389">
        <v>0</v>
      </c>
      <c r="G389" t="s">
        <v>124</v>
      </c>
      <c r="H389" t="s">
        <v>124</v>
      </c>
      <c r="I389" t="s">
        <v>124</v>
      </c>
      <c r="J389" t="s">
        <v>124</v>
      </c>
      <c r="K389" t="s">
        <v>124</v>
      </c>
      <c r="L389" t="s">
        <v>124</v>
      </c>
      <c r="M389" t="s">
        <v>1040</v>
      </c>
      <c r="N389" t="b">
        <v>0</v>
      </c>
    </row>
    <row r="390" spans="1:14">
      <c r="A390">
        <v>17</v>
      </c>
      <c r="B390">
        <v>20</v>
      </c>
      <c r="C390" t="s">
        <v>124</v>
      </c>
      <c r="D390" t="s">
        <v>739</v>
      </c>
      <c r="E390" t="s">
        <v>124</v>
      </c>
      <c r="F390">
        <v>0</v>
      </c>
      <c r="G390" t="s">
        <v>124</v>
      </c>
      <c r="H390" t="s">
        <v>124</v>
      </c>
      <c r="I390" t="s">
        <v>124</v>
      </c>
      <c r="J390" t="s">
        <v>124</v>
      </c>
      <c r="K390" t="s">
        <v>124</v>
      </c>
      <c r="L390" t="s">
        <v>124</v>
      </c>
      <c r="M390" t="s">
        <v>1041</v>
      </c>
      <c r="N390" t="b">
        <v>0</v>
      </c>
    </row>
    <row r="391" spans="1:14">
      <c r="A391">
        <v>17</v>
      </c>
      <c r="B391">
        <v>21</v>
      </c>
      <c r="C391" t="s">
        <v>124</v>
      </c>
      <c r="D391" t="s">
        <v>739</v>
      </c>
      <c r="E391" t="s">
        <v>124</v>
      </c>
      <c r="F391">
        <v>0</v>
      </c>
      <c r="G391" t="s">
        <v>124</v>
      </c>
      <c r="H391" t="s">
        <v>124</v>
      </c>
      <c r="I391" t="s">
        <v>124</v>
      </c>
      <c r="J391" t="s">
        <v>124</v>
      </c>
      <c r="K391" t="s">
        <v>124</v>
      </c>
      <c r="L391" t="s">
        <v>124</v>
      </c>
      <c r="M391" t="s">
        <v>1042</v>
      </c>
      <c r="N391" t="b">
        <v>0</v>
      </c>
    </row>
    <row r="392" spans="1:14">
      <c r="A392">
        <v>17</v>
      </c>
      <c r="B392">
        <v>22</v>
      </c>
      <c r="C392" t="s">
        <v>124</v>
      </c>
      <c r="D392" t="s">
        <v>739</v>
      </c>
      <c r="E392" t="s">
        <v>124</v>
      </c>
      <c r="F392">
        <v>0</v>
      </c>
      <c r="G392" t="s">
        <v>124</v>
      </c>
      <c r="H392" t="s">
        <v>124</v>
      </c>
      <c r="I392" t="s">
        <v>124</v>
      </c>
      <c r="J392" t="s">
        <v>124</v>
      </c>
      <c r="K392" t="s">
        <v>124</v>
      </c>
      <c r="L392" t="s">
        <v>124</v>
      </c>
      <c r="M392" t="s">
        <v>1043</v>
      </c>
      <c r="N392" t="b">
        <v>0</v>
      </c>
    </row>
    <row r="393" spans="1:14">
      <c r="A393">
        <v>17</v>
      </c>
      <c r="B393">
        <v>23</v>
      </c>
      <c r="C393" t="s">
        <v>124</v>
      </c>
      <c r="D393" t="s">
        <v>739</v>
      </c>
      <c r="E393" t="s">
        <v>124</v>
      </c>
      <c r="F393">
        <v>0</v>
      </c>
      <c r="G393" t="s">
        <v>124</v>
      </c>
      <c r="H393" t="s">
        <v>124</v>
      </c>
      <c r="I393" t="s">
        <v>124</v>
      </c>
      <c r="J393" t="s">
        <v>124</v>
      </c>
      <c r="K393" t="s">
        <v>124</v>
      </c>
      <c r="L393" t="s">
        <v>124</v>
      </c>
      <c r="M393" t="s">
        <v>1044</v>
      </c>
      <c r="N393" t="b">
        <v>0</v>
      </c>
    </row>
    <row r="394" spans="1:14">
      <c r="A394">
        <v>17</v>
      </c>
      <c r="B394">
        <v>24</v>
      </c>
      <c r="C394" t="s">
        <v>124</v>
      </c>
      <c r="D394" t="s">
        <v>739</v>
      </c>
      <c r="E394" t="s">
        <v>124</v>
      </c>
      <c r="F394">
        <v>0</v>
      </c>
      <c r="G394" t="s">
        <v>124</v>
      </c>
      <c r="H394" t="s">
        <v>124</v>
      </c>
      <c r="I394" t="s">
        <v>124</v>
      </c>
      <c r="J394" t="s">
        <v>124</v>
      </c>
      <c r="K394" t="s">
        <v>124</v>
      </c>
      <c r="L394" t="s">
        <v>124</v>
      </c>
      <c r="M394" t="s">
        <v>1045</v>
      </c>
      <c r="N394" t="b">
        <v>0</v>
      </c>
    </row>
    <row r="395" spans="1:14">
      <c r="A395">
        <v>17</v>
      </c>
      <c r="B395">
        <v>25</v>
      </c>
      <c r="C395" t="s">
        <v>124</v>
      </c>
      <c r="D395" t="s">
        <v>739</v>
      </c>
      <c r="E395" t="s">
        <v>124</v>
      </c>
      <c r="F395">
        <v>0</v>
      </c>
      <c r="G395" t="s">
        <v>124</v>
      </c>
      <c r="H395" t="s">
        <v>124</v>
      </c>
      <c r="I395" t="s">
        <v>124</v>
      </c>
      <c r="J395" t="s">
        <v>124</v>
      </c>
      <c r="K395" t="s">
        <v>124</v>
      </c>
      <c r="L395" t="s">
        <v>124</v>
      </c>
      <c r="M395" t="s">
        <v>1046</v>
      </c>
      <c r="N395" t="b">
        <v>0</v>
      </c>
    </row>
    <row r="396" spans="1:14">
      <c r="A396">
        <v>17</v>
      </c>
      <c r="B396">
        <v>26</v>
      </c>
      <c r="C396" t="s">
        <v>124</v>
      </c>
      <c r="D396" t="s">
        <v>739</v>
      </c>
      <c r="E396" t="s">
        <v>124</v>
      </c>
      <c r="F396">
        <v>0</v>
      </c>
      <c r="G396" t="s">
        <v>124</v>
      </c>
      <c r="H396" t="s">
        <v>124</v>
      </c>
      <c r="I396" t="s">
        <v>124</v>
      </c>
      <c r="J396" t="s">
        <v>124</v>
      </c>
      <c r="K396" t="s">
        <v>124</v>
      </c>
      <c r="L396" t="s">
        <v>124</v>
      </c>
      <c r="M396" t="s">
        <v>1047</v>
      </c>
      <c r="N396" t="b">
        <v>0</v>
      </c>
    </row>
    <row r="397" spans="1:14">
      <c r="A397">
        <v>18</v>
      </c>
      <c r="B397">
        <v>0</v>
      </c>
      <c r="C397" t="s">
        <v>184</v>
      </c>
      <c r="D397" t="s">
        <v>722</v>
      </c>
      <c r="E397" t="s">
        <v>63</v>
      </c>
      <c r="F397">
        <v>50</v>
      </c>
      <c r="G397" t="s">
        <v>124</v>
      </c>
      <c r="H397" t="s">
        <v>124</v>
      </c>
      <c r="I397" t="s">
        <v>63</v>
      </c>
      <c r="J397" t="s">
        <v>124</v>
      </c>
      <c r="K397" t="s">
        <v>124</v>
      </c>
      <c r="L397" t="s">
        <v>124</v>
      </c>
      <c r="M397" t="s">
        <v>1048</v>
      </c>
      <c r="N397" t="b">
        <v>0</v>
      </c>
    </row>
    <row r="398" spans="1:14">
      <c r="A398">
        <v>18</v>
      </c>
      <c r="B398">
        <v>1</v>
      </c>
      <c r="C398" t="s">
        <v>156</v>
      </c>
      <c r="D398" t="s">
        <v>722</v>
      </c>
      <c r="E398" t="s">
        <v>81</v>
      </c>
      <c r="F398">
        <v>40</v>
      </c>
      <c r="G398" t="s">
        <v>124</v>
      </c>
      <c r="H398" t="s">
        <v>124</v>
      </c>
      <c r="I398" t="s">
        <v>81</v>
      </c>
      <c r="J398" t="s">
        <v>124</v>
      </c>
      <c r="K398" t="s">
        <v>124</v>
      </c>
      <c r="L398" t="s">
        <v>124</v>
      </c>
      <c r="M398" t="s">
        <v>1049</v>
      </c>
      <c r="N398" t="b">
        <v>0</v>
      </c>
    </row>
    <row r="399" spans="1:14">
      <c r="A399">
        <v>18</v>
      </c>
      <c r="B399">
        <v>2</v>
      </c>
      <c r="C399" t="s">
        <v>185</v>
      </c>
      <c r="D399" t="s">
        <v>722</v>
      </c>
      <c r="E399" t="s">
        <v>91</v>
      </c>
      <c r="F399">
        <v>50</v>
      </c>
      <c r="G399" t="s">
        <v>124</v>
      </c>
      <c r="H399" t="s">
        <v>124</v>
      </c>
      <c r="I399" t="s">
        <v>91</v>
      </c>
      <c r="J399" t="s">
        <v>124</v>
      </c>
      <c r="K399" t="s">
        <v>124</v>
      </c>
      <c r="L399" t="s">
        <v>124</v>
      </c>
      <c r="M399" t="s">
        <v>1050</v>
      </c>
      <c r="N399" t="b">
        <v>0</v>
      </c>
    </row>
    <row r="400" spans="1:14">
      <c r="A400">
        <v>18</v>
      </c>
      <c r="B400">
        <v>3</v>
      </c>
      <c r="C400" t="s">
        <v>232</v>
      </c>
      <c r="D400" t="s">
        <v>722</v>
      </c>
      <c r="E400" t="s">
        <v>94</v>
      </c>
      <c r="F400">
        <v>50</v>
      </c>
      <c r="G400" t="s">
        <v>124</v>
      </c>
      <c r="H400" t="s">
        <v>124</v>
      </c>
      <c r="I400" t="s">
        <v>94</v>
      </c>
      <c r="J400" t="s">
        <v>124</v>
      </c>
      <c r="K400" t="s">
        <v>124</v>
      </c>
      <c r="L400" t="s">
        <v>124</v>
      </c>
      <c r="M400" t="s">
        <v>1051</v>
      </c>
      <c r="N400" t="b">
        <v>0</v>
      </c>
    </row>
    <row r="401" spans="1:14">
      <c r="A401">
        <v>18</v>
      </c>
      <c r="B401">
        <v>4</v>
      </c>
      <c r="C401" t="s">
        <v>249</v>
      </c>
      <c r="D401" t="s">
        <v>722</v>
      </c>
      <c r="E401" t="s">
        <v>97</v>
      </c>
      <c r="F401">
        <v>40</v>
      </c>
      <c r="G401" t="s">
        <v>124</v>
      </c>
      <c r="H401" t="s">
        <v>124</v>
      </c>
      <c r="I401" t="s">
        <v>97</v>
      </c>
      <c r="J401" t="s">
        <v>124</v>
      </c>
      <c r="K401" t="s">
        <v>124</v>
      </c>
      <c r="L401" t="s">
        <v>124</v>
      </c>
      <c r="M401" t="s">
        <v>1052</v>
      </c>
      <c r="N401" t="b">
        <v>0</v>
      </c>
    </row>
    <row r="402" spans="1:14">
      <c r="A402">
        <v>18</v>
      </c>
      <c r="B402">
        <v>5</v>
      </c>
      <c r="C402" t="s">
        <v>227</v>
      </c>
      <c r="D402" t="s">
        <v>722</v>
      </c>
      <c r="E402" t="s">
        <v>99</v>
      </c>
      <c r="F402">
        <v>40</v>
      </c>
      <c r="G402" t="s">
        <v>124</v>
      </c>
      <c r="H402" t="s">
        <v>124</v>
      </c>
      <c r="I402" t="s">
        <v>99</v>
      </c>
      <c r="J402" t="s">
        <v>124</v>
      </c>
      <c r="K402" t="s">
        <v>124</v>
      </c>
      <c r="L402" t="s">
        <v>124</v>
      </c>
      <c r="M402" t="s">
        <v>1053</v>
      </c>
      <c r="N402" t="b">
        <v>0</v>
      </c>
    </row>
    <row r="403" spans="1:14">
      <c r="A403">
        <v>18</v>
      </c>
      <c r="B403">
        <v>6</v>
      </c>
      <c r="C403" t="s">
        <v>157</v>
      </c>
      <c r="D403" t="s">
        <v>751</v>
      </c>
      <c r="E403" t="s">
        <v>295</v>
      </c>
      <c r="F403">
        <v>50</v>
      </c>
      <c r="G403" t="s">
        <v>758</v>
      </c>
      <c r="H403" t="s">
        <v>124</v>
      </c>
      <c r="I403" t="s">
        <v>124</v>
      </c>
      <c r="J403" t="s">
        <v>759</v>
      </c>
      <c r="K403" t="s">
        <v>760</v>
      </c>
      <c r="L403" t="s">
        <v>761</v>
      </c>
      <c r="M403" t="s">
        <v>1054</v>
      </c>
      <c r="N403" t="b">
        <v>0</v>
      </c>
    </row>
    <row r="404" spans="1:14">
      <c r="A404">
        <v>18</v>
      </c>
      <c r="B404">
        <v>7</v>
      </c>
      <c r="C404" t="s">
        <v>158</v>
      </c>
      <c r="D404" t="s">
        <v>751</v>
      </c>
      <c r="E404" t="s">
        <v>295</v>
      </c>
      <c r="F404">
        <v>40</v>
      </c>
      <c r="G404" t="s">
        <v>758</v>
      </c>
      <c r="H404" t="s">
        <v>124</v>
      </c>
      <c r="I404" t="s">
        <v>124</v>
      </c>
      <c r="J404" t="s">
        <v>759</v>
      </c>
      <c r="K404" t="s">
        <v>763</v>
      </c>
      <c r="L404" t="s">
        <v>764</v>
      </c>
      <c r="M404" t="s">
        <v>1055</v>
      </c>
      <c r="N404" t="b">
        <v>0</v>
      </c>
    </row>
    <row r="405" spans="1:14">
      <c r="A405">
        <v>18</v>
      </c>
      <c r="B405">
        <v>8</v>
      </c>
      <c r="C405" t="s">
        <v>189</v>
      </c>
      <c r="D405" t="s">
        <v>722</v>
      </c>
      <c r="E405" t="s">
        <v>113</v>
      </c>
      <c r="F405">
        <v>60</v>
      </c>
      <c r="G405" t="s">
        <v>124</v>
      </c>
      <c r="H405" t="s">
        <v>124</v>
      </c>
      <c r="I405" t="s">
        <v>113</v>
      </c>
      <c r="J405" t="s">
        <v>124</v>
      </c>
      <c r="K405" t="s">
        <v>124</v>
      </c>
      <c r="L405" t="s">
        <v>124</v>
      </c>
      <c r="M405" t="s">
        <v>1056</v>
      </c>
      <c r="N405" t="b">
        <v>0</v>
      </c>
    </row>
    <row r="406" spans="1:14">
      <c r="A406">
        <v>18</v>
      </c>
      <c r="B406">
        <v>9</v>
      </c>
      <c r="C406" t="s">
        <v>250</v>
      </c>
      <c r="D406" t="s">
        <v>722</v>
      </c>
      <c r="E406" t="s">
        <v>76</v>
      </c>
      <c r="F406">
        <v>60</v>
      </c>
      <c r="G406" t="s">
        <v>124</v>
      </c>
      <c r="H406" t="s">
        <v>124</v>
      </c>
      <c r="I406" t="s">
        <v>76</v>
      </c>
      <c r="J406" t="s">
        <v>124</v>
      </c>
      <c r="K406" t="s">
        <v>124</v>
      </c>
      <c r="L406" t="s">
        <v>124</v>
      </c>
      <c r="M406" t="s">
        <v>1057</v>
      </c>
      <c r="N406" t="b">
        <v>0</v>
      </c>
    </row>
    <row r="407" spans="1:14">
      <c r="A407">
        <v>18</v>
      </c>
      <c r="B407">
        <v>10</v>
      </c>
      <c r="C407" t="s">
        <v>175</v>
      </c>
      <c r="D407" t="s">
        <v>722</v>
      </c>
      <c r="E407" t="s">
        <v>98</v>
      </c>
      <c r="F407">
        <v>40</v>
      </c>
      <c r="G407" t="s">
        <v>124</v>
      </c>
      <c r="H407" t="s">
        <v>124</v>
      </c>
      <c r="I407" t="s">
        <v>98</v>
      </c>
      <c r="J407" t="s">
        <v>124</v>
      </c>
      <c r="K407" t="s">
        <v>124</v>
      </c>
      <c r="L407" t="s">
        <v>124</v>
      </c>
      <c r="M407" t="s">
        <v>1058</v>
      </c>
      <c r="N407" t="b">
        <v>0</v>
      </c>
    </row>
    <row r="408" spans="1:14">
      <c r="A408">
        <v>18</v>
      </c>
      <c r="B408">
        <v>11</v>
      </c>
      <c r="C408" t="s">
        <v>220</v>
      </c>
      <c r="D408" t="s">
        <v>722</v>
      </c>
      <c r="E408" t="s">
        <v>100</v>
      </c>
      <c r="F408">
        <v>50</v>
      </c>
      <c r="G408" t="s">
        <v>124</v>
      </c>
      <c r="H408" t="s">
        <v>124</v>
      </c>
      <c r="I408" t="s">
        <v>100</v>
      </c>
      <c r="J408" t="s">
        <v>124</v>
      </c>
      <c r="K408" t="s">
        <v>124</v>
      </c>
      <c r="L408" t="s">
        <v>124</v>
      </c>
      <c r="M408" t="s">
        <v>1059</v>
      </c>
      <c r="N408" t="b">
        <v>0</v>
      </c>
    </row>
    <row r="409" spans="1:14">
      <c r="A409">
        <v>18</v>
      </c>
      <c r="B409">
        <v>12</v>
      </c>
      <c r="C409" t="s">
        <v>230</v>
      </c>
      <c r="D409" t="s">
        <v>722</v>
      </c>
      <c r="E409" t="s">
        <v>106</v>
      </c>
      <c r="F409">
        <v>50</v>
      </c>
      <c r="G409" t="s">
        <v>124</v>
      </c>
      <c r="H409" t="s">
        <v>124</v>
      </c>
      <c r="I409" t="s">
        <v>106</v>
      </c>
      <c r="J409" t="s">
        <v>124</v>
      </c>
      <c r="K409" t="s">
        <v>124</v>
      </c>
      <c r="L409" t="s">
        <v>124</v>
      </c>
      <c r="M409" t="s">
        <v>1060</v>
      </c>
      <c r="N409" t="b">
        <v>0</v>
      </c>
    </row>
    <row r="410" spans="1:14">
      <c r="A410">
        <v>18</v>
      </c>
      <c r="B410">
        <v>13</v>
      </c>
      <c r="C410" t="s">
        <v>124</v>
      </c>
      <c r="D410" t="s">
        <v>722</v>
      </c>
      <c r="E410" t="s">
        <v>124</v>
      </c>
      <c r="F410">
        <v>0</v>
      </c>
      <c r="G410" t="s">
        <v>124</v>
      </c>
      <c r="H410" t="s">
        <v>124</v>
      </c>
      <c r="I410" t="s">
        <v>124</v>
      </c>
      <c r="J410" t="s">
        <v>124</v>
      </c>
      <c r="K410" t="s">
        <v>124</v>
      </c>
      <c r="L410" t="s">
        <v>124</v>
      </c>
      <c r="M410" t="s">
        <v>1061</v>
      </c>
      <c r="N410" t="b">
        <v>0</v>
      </c>
    </row>
    <row r="411" spans="1:14">
      <c r="A411">
        <v>18</v>
      </c>
      <c r="B411">
        <v>14</v>
      </c>
      <c r="C411" t="s">
        <v>124</v>
      </c>
      <c r="D411" t="s">
        <v>722</v>
      </c>
      <c r="E411" t="s">
        <v>124</v>
      </c>
      <c r="F411">
        <v>0</v>
      </c>
      <c r="G411" t="s">
        <v>124</v>
      </c>
      <c r="H411" t="s">
        <v>124</v>
      </c>
      <c r="I411" t="s">
        <v>124</v>
      </c>
      <c r="J411" t="s">
        <v>124</v>
      </c>
      <c r="K411" t="s">
        <v>124</v>
      </c>
      <c r="L411" t="s">
        <v>124</v>
      </c>
      <c r="M411" t="s">
        <v>1062</v>
      </c>
      <c r="N411" t="b">
        <v>0</v>
      </c>
    </row>
    <row r="412" spans="1:14">
      <c r="A412">
        <v>18</v>
      </c>
      <c r="B412">
        <v>15</v>
      </c>
      <c r="C412" t="s">
        <v>124</v>
      </c>
      <c r="D412" t="s">
        <v>722</v>
      </c>
      <c r="E412" t="s">
        <v>124</v>
      </c>
      <c r="F412">
        <v>0</v>
      </c>
      <c r="G412" t="s">
        <v>124</v>
      </c>
      <c r="H412" t="s">
        <v>124</v>
      </c>
      <c r="I412" t="s">
        <v>124</v>
      </c>
      <c r="J412" t="s">
        <v>124</v>
      </c>
      <c r="K412" t="s">
        <v>124</v>
      </c>
      <c r="L412" t="s">
        <v>124</v>
      </c>
      <c r="M412" t="s">
        <v>1063</v>
      </c>
      <c r="N412" t="b">
        <v>0</v>
      </c>
    </row>
    <row r="413" spans="1:14">
      <c r="A413">
        <v>18</v>
      </c>
      <c r="B413">
        <v>16</v>
      </c>
      <c r="C413" t="s">
        <v>124</v>
      </c>
      <c r="D413" t="s">
        <v>739</v>
      </c>
      <c r="E413" t="s">
        <v>124</v>
      </c>
      <c r="F413">
        <v>0</v>
      </c>
      <c r="G413" t="s">
        <v>124</v>
      </c>
      <c r="H413" t="s">
        <v>124</v>
      </c>
      <c r="I413" t="s">
        <v>124</v>
      </c>
      <c r="J413" t="s">
        <v>124</v>
      </c>
      <c r="K413" t="s">
        <v>124</v>
      </c>
      <c r="L413" t="s">
        <v>124</v>
      </c>
      <c r="M413" t="s">
        <v>1064</v>
      </c>
      <c r="N413" t="b">
        <v>0</v>
      </c>
    </row>
    <row r="414" spans="1:14">
      <c r="A414">
        <v>18</v>
      </c>
      <c r="B414">
        <v>17</v>
      </c>
      <c r="C414" t="s">
        <v>124</v>
      </c>
      <c r="D414" t="s">
        <v>739</v>
      </c>
      <c r="E414" t="s">
        <v>124</v>
      </c>
      <c r="F414">
        <v>0</v>
      </c>
      <c r="G414" t="s">
        <v>124</v>
      </c>
      <c r="H414" t="s">
        <v>124</v>
      </c>
      <c r="I414" t="s">
        <v>124</v>
      </c>
      <c r="J414" t="s">
        <v>124</v>
      </c>
      <c r="K414" t="s">
        <v>124</v>
      </c>
      <c r="L414" t="s">
        <v>124</v>
      </c>
      <c r="M414" t="s">
        <v>675</v>
      </c>
      <c r="N414" t="b">
        <v>0</v>
      </c>
    </row>
    <row r="415" spans="1:14">
      <c r="A415">
        <v>18</v>
      </c>
      <c r="B415">
        <v>18</v>
      </c>
      <c r="C415" t="s">
        <v>124</v>
      </c>
      <c r="D415" t="s">
        <v>739</v>
      </c>
      <c r="E415" t="s">
        <v>124</v>
      </c>
      <c r="F415">
        <v>0</v>
      </c>
      <c r="G415" t="s">
        <v>124</v>
      </c>
      <c r="H415" t="s">
        <v>124</v>
      </c>
      <c r="I415" t="s">
        <v>124</v>
      </c>
      <c r="J415" t="s">
        <v>124</v>
      </c>
      <c r="K415" t="s">
        <v>124</v>
      </c>
      <c r="L415" t="s">
        <v>124</v>
      </c>
      <c r="M415" t="s">
        <v>1065</v>
      </c>
      <c r="N415" t="b">
        <v>0</v>
      </c>
    </row>
    <row r="416" spans="1:14">
      <c r="A416">
        <v>18</v>
      </c>
      <c r="B416">
        <v>19</v>
      </c>
      <c r="C416" t="s">
        <v>124</v>
      </c>
      <c r="D416" t="s">
        <v>739</v>
      </c>
      <c r="E416" t="s">
        <v>124</v>
      </c>
      <c r="F416">
        <v>0</v>
      </c>
      <c r="G416" t="s">
        <v>124</v>
      </c>
      <c r="H416" t="s">
        <v>124</v>
      </c>
      <c r="I416" t="s">
        <v>124</v>
      </c>
      <c r="J416" t="s">
        <v>124</v>
      </c>
      <c r="K416" t="s">
        <v>124</v>
      </c>
      <c r="L416" t="s">
        <v>124</v>
      </c>
      <c r="M416" t="s">
        <v>1066</v>
      </c>
      <c r="N416" t="b">
        <v>0</v>
      </c>
    </row>
    <row r="417" spans="1:14">
      <c r="A417">
        <v>18</v>
      </c>
      <c r="B417">
        <v>20</v>
      </c>
      <c r="C417" t="s">
        <v>124</v>
      </c>
      <c r="D417" t="s">
        <v>739</v>
      </c>
      <c r="E417" t="s">
        <v>124</v>
      </c>
      <c r="F417">
        <v>0</v>
      </c>
      <c r="G417" t="s">
        <v>124</v>
      </c>
      <c r="H417" t="s">
        <v>124</v>
      </c>
      <c r="I417" t="s">
        <v>124</v>
      </c>
      <c r="J417" t="s">
        <v>124</v>
      </c>
      <c r="K417" t="s">
        <v>124</v>
      </c>
      <c r="L417" t="s">
        <v>124</v>
      </c>
      <c r="M417" t="s">
        <v>1067</v>
      </c>
      <c r="N417" t="b">
        <v>0</v>
      </c>
    </row>
    <row r="418" spans="1:14">
      <c r="A418">
        <v>18</v>
      </c>
      <c r="B418">
        <v>21</v>
      </c>
      <c r="C418" t="s">
        <v>124</v>
      </c>
      <c r="D418" t="s">
        <v>739</v>
      </c>
      <c r="E418" t="s">
        <v>124</v>
      </c>
      <c r="F418">
        <v>0</v>
      </c>
      <c r="G418" t="s">
        <v>124</v>
      </c>
      <c r="H418" t="s">
        <v>124</v>
      </c>
      <c r="I418" t="s">
        <v>124</v>
      </c>
      <c r="J418" t="s">
        <v>124</v>
      </c>
      <c r="K418" t="s">
        <v>124</v>
      </c>
      <c r="L418" t="s">
        <v>124</v>
      </c>
      <c r="M418" t="s">
        <v>1068</v>
      </c>
      <c r="N418" t="b">
        <v>0</v>
      </c>
    </row>
    <row r="419" spans="1:14">
      <c r="A419">
        <v>18</v>
      </c>
      <c r="B419">
        <v>22</v>
      </c>
      <c r="C419" t="s">
        <v>124</v>
      </c>
      <c r="D419" t="s">
        <v>739</v>
      </c>
      <c r="E419" t="s">
        <v>124</v>
      </c>
      <c r="F419">
        <v>0</v>
      </c>
      <c r="G419" t="s">
        <v>124</v>
      </c>
      <c r="H419" t="s">
        <v>124</v>
      </c>
      <c r="I419" t="s">
        <v>124</v>
      </c>
      <c r="J419" t="s">
        <v>124</v>
      </c>
      <c r="K419" t="s">
        <v>124</v>
      </c>
      <c r="L419" t="s">
        <v>124</v>
      </c>
      <c r="M419" t="s">
        <v>1069</v>
      </c>
      <c r="N419" t="b">
        <v>0</v>
      </c>
    </row>
    <row r="420" spans="1:14">
      <c r="A420">
        <v>18</v>
      </c>
      <c r="B420">
        <v>23</v>
      </c>
      <c r="C420" t="s">
        <v>124</v>
      </c>
      <c r="D420" t="s">
        <v>739</v>
      </c>
      <c r="E420" t="s">
        <v>124</v>
      </c>
      <c r="F420">
        <v>0</v>
      </c>
      <c r="G420" t="s">
        <v>124</v>
      </c>
      <c r="H420" t="s">
        <v>124</v>
      </c>
      <c r="I420" t="s">
        <v>124</v>
      </c>
      <c r="J420" t="s">
        <v>124</v>
      </c>
      <c r="K420" t="s">
        <v>124</v>
      </c>
      <c r="L420" t="s">
        <v>124</v>
      </c>
      <c r="M420" t="s">
        <v>1070</v>
      </c>
      <c r="N420" t="b">
        <v>0</v>
      </c>
    </row>
    <row r="421" spans="1:14">
      <c r="A421">
        <v>18</v>
      </c>
      <c r="B421">
        <v>24</v>
      </c>
      <c r="C421" t="s">
        <v>124</v>
      </c>
      <c r="D421" t="s">
        <v>739</v>
      </c>
      <c r="E421" t="s">
        <v>124</v>
      </c>
      <c r="F421">
        <v>0</v>
      </c>
      <c r="G421" t="s">
        <v>124</v>
      </c>
      <c r="H421" t="s">
        <v>124</v>
      </c>
      <c r="I421" t="s">
        <v>124</v>
      </c>
      <c r="J421" t="s">
        <v>124</v>
      </c>
      <c r="K421" t="s">
        <v>124</v>
      </c>
      <c r="L421" t="s">
        <v>124</v>
      </c>
      <c r="M421" t="s">
        <v>1071</v>
      </c>
      <c r="N421" t="b">
        <v>0</v>
      </c>
    </row>
    <row r="422" spans="1:14">
      <c r="A422">
        <v>18</v>
      </c>
      <c r="B422">
        <v>25</v>
      </c>
      <c r="C422" t="s">
        <v>124</v>
      </c>
      <c r="D422" t="s">
        <v>739</v>
      </c>
      <c r="E422" t="s">
        <v>124</v>
      </c>
      <c r="F422">
        <v>0</v>
      </c>
      <c r="G422" t="s">
        <v>124</v>
      </c>
      <c r="H422" t="s">
        <v>124</v>
      </c>
      <c r="I422" t="s">
        <v>124</v>
      </c>
      <c r="J422" t="s">
        <v>124</v>
      </c>
      <c r="K422" t="s">
        <v>124</v>
      </c>
      <c r="L422" t="s">
        <v>124</v>
      </c>
      <c r="M422" t="s">
        <v>1072</v>
      </c>
      <c r="N422" t="b">
        <v>0</v>
      </c>
    </row>
    <row r="423" spans="1:14">
      <c r="A423">
        <v>18</v>
      </c>
      <c r="B423">
        <v>26</v>
      </c>
      <c r="C423" t="s">
        <v>124</v>
      </c>
      <c r="D423" t="s">
        <v>739</v>
      </c>
      <c r="E423" t="s">
        <v>124</v>
      </c>
      <c r="F423">
        <v>0</v>
      </c>
      <c r="G423" t="s">
        <v>124</v>
      </c>
      <c r="H423" t="s">
        <v>124</v>
      </c>
      <c r="I423" t="s">
        <v>124</v>
      </c>
      <c r="J423" t="s">
        <v>124</v>
      </c>
      <c r="K423" t="s">
        <v>124</v>
      </c>
      <c r="L423" t="s">
        <v>124</v>
      </c>
      <c r="M423" t="s">
        <v>1073</v>
      </c>
      <c r="N423" t="b">
        <v>0</v>
      </c>
    </row>
    <row r="424" spans="1:14">
      <c r="A424">
        <v>19</v>
      </c>
      <c r="B424">
        <v>0</v>
      </c>
      <c r="C424" t="s">
        <v>176</v>
      </c>
      <c r="D424" t="s">
        <v>722</v>
      </c>
      <c r="E424" t="s">
        <v>58</v>
      </c>
      <c r="F424">
        <v>50</v>
      </c>
      <c r="G424" t="s">
        <v>124</v>
      </c>
      <c r="H424" t="s">
        <v>124</v>
      </c>
      <c r="I424" t="s">
        <v>58</v>
      </c>
      <c r="J424" t="s">
        <v>124</v>
      </c>
      <c r="K424" t="s">
        <v>124</v>
      </c>
      <c r="L424" t="s">
        <v>124</v>
      </c>
      <c r="M424" t="s">
        <v>1074</v>
      </c>
      <c r="N424" t="b">
        <v>0</v>
      </c>
    </row>
    <row r="425" spans="1:14">
      <c r="A425">
        <v>19</v>
      </c>
      <c r="B425">
        <v>1</v>
      </c>
      <c r="C425" t="s">
        <v>177</v>
      </c>
      <c r="D425" t="s">
        <v>722</v>
      </c>
      <c r="E425" t="s">
        <v>81</v>
      </c>
      <c r="F425">
        <v>50</v>
      </c>
      <c r="G425" t="s">
        <v>124</v>
      </c>
      <c r="H425" t="s">
        <v>124</v>
      </c>
      <c r="I425" t="s">
        <v>81</v>
      </c>
      <c r="J425" t="s">
        <v>124</v>
      </c>
      <c r="K425" t="s">
        <v>124</v>
      </c>
      <c r="L425" t="s">
        <v>124</v>
      </c>
      <c r="M425" t="s">
        <v>1075</v>
      </c>
      <c r="N425" t="b">
        <v>0</v>
      </c>
    </row>
    <row r="426" spans="1:14">
      <c r="A426">
        <v>19</v>
      </c>
      <c r="B426">
        <v>2</v>
      </c>
      <c r="C426" t="s">
        <v>252</v>
      </c>
      <c r="D426" t="s">
        <v>722</v>
      </c>
      <c r="E426" t="s">
        <v>113</v>
      </c>
      <c r="F426">
        <v>40</v>
      </c>
      <c r="G426" t="s">
        <v>124</v>
      </c>
      <c r="H426" t="s">
        <v>124</v>
      </c>
      <c r="I426" t="s">
        <v>113</v>
      </c>
      <c r="J426" t="s">
        <v>124</v>
      </c>
      <c r="K426" t="s">
        <v>124</v>
      </c>
      <c r="L426" t="s">
        <v>124</v>
      </c>
      <c r="M426" t="s">
        <v>1076</v>
      </c>
      <c r="N426" t="b">
        <v>0</v>
      </c>
    </row>
    <row r="427" spans="1:14">
      <c r="A427">
        <v>19</v>
      </c>
      <c r="B427">
        <v>3</v>
      </c>
      <c r="C427" t="s">
        <v>250</v>
      </c>
      <c r="D427" t="s">
        <v>722</v>
      </c>
      <c r="E427" t="s">
        <v>76</v>
      </c>
      <c r="F427">
        <v>60</v>
      </c>
      <c r="G427" t="s">
        <v>124</v>
      </c>
      <c r="H427" t="s">
        <v>124</v>
      </c>
      <c r="I427" t="s">
        <v>76</v>
      </c>
      <c r="J427" t="s">
        <v>124</v>
      </c>
      <c r="K427" t="s">
        <v>124</v>
      </c>
      <c r="L427" t="s">
        <v>124</v>
      </c>
      <c r="M427" t="s">
        <v>1077</v>
      </c>
      <c r="N427" t="b">
        <v>0</v>
      </c>
    </row>
    <row r="428" spans="1:14">
      <c r="A428">
        <v>19</v>
      </c>
      <c r="B428">
        <v>4</v>
      </c>
      <c r="C428" t="s">
        <v>124</v>
      </c>
      <c r="D428" t="s">
        <v>722</v>
      </c>
      <c r="E428" t="s">
        <v>124</v>
      </c>
      <c r="F428">
        <v>0</v>
      </c>
      <c r="G428" t="s">
        <v>124</v>
      </c>
      <c r="H428" t="s">
        <v>124</v>
      </c>
      <c r="I428" t="s">
        <v>124</v>
      </c>
      <c r="J428" t="s">
        <v>124</v>
      </c>
      <c r="K428" t="s">
        <v>124</v>
      </c>
      <c r="L428" t="s">
        <v>124</v>
      </c>
      <c r="M428" t="s">
        <v>1078</v>
      </c>
      <c r="N428" t="b">
        <v>0</v>
      </c>
    </row>
    <row r="429" spans="1:14">
      <c r="A429">
        <v>19</v>
      </c>
      <c r="B429">
        <v>5</v>
      </c>
      <c r="C429" t="s">
        <v>124</v>
      </c>
      <c r="D429" t="s">
        <v>722</v>
      </c>
      <c r="E429" t="s">
        <v>124</v>
      </c>
      <c r="F429">
        <v>0</v>
      </c>
      <c r="G429" t="s">
        <v>124</v>
      </c>
      <c r="H429" t="s">
        <v>124</v>
      </c>
      <c r="I429" t="s">
        <v>124</v>
      </c>
      <c r="J429" t="s">
        <v>124</v>
      </c>
      <c r="K429" t="s">
        <v>124</v>
      </c>
      <c r="L429" t="s">
        <v>124</v>
      </c>
      <c r="M429" t="s">
        <v>1079</v>
      </c>
      <c r="N429" t="b">
        <v>0</v>
      </c>
    </row>
    <row r="430" spans="1:14">
      <c r="A430">
        <v>19</v>
      </c>
      <c r="B430">
        <v>6</v>
      </c>
      <c r="C430" t="s">
        <v>124</v>
      </c>
      <c r="D430" t="s">
        <v>722</v>
      </c>
      <c r="E430" t="s">
        <v>124</v>
      </c>
      <c r="F430">
        <v>0</v>
      </c>
      <c r="G430" t="s">
        <v>124</v>
      </c>
      <c r="H430" t="s">
        <v>124</v>
      </c>
      <c r="I430" t="s">
        <v>124</v>
      </c>
      <c r="J430" t="s">
        <v>124</v>
      </c>
      <c r="K430" t="s">
        <v>124</v>
      </c>
      <c r="L430" t="s">
        <v>124</v>
      </c>
      <c r="M430" t="s">
        <v>1080</v>
      </c>
      <c r="N430" t="b">
        <v>0</v>
      </c>
    </row>
    <row r="431" spans="1:14">
      <c r="A431">
        <v>19</v>
      </c>
      <c r="B431">
        <v>7</v>
      </c>
      <c r="C431" t="s">
        <v>124</v>
      </c>
      <c r="D431" t="s">
        <v>722</v>
      </c>
      <c r="E431" t="s">
        <v>124</v>
      </c>
      <c r="F431">
        <v>0</v>
      </c>
      <c r="G431" t="s">
        <v>124</v>
      </c>
      <c r="H431" t="s">
        <v>124</v>
      </c>
      <c r="I431" t="s">
        <v>124</v>
      </c>
      <c r="J431" t="s">
        <v>124</v>
      </c>
      <c r="K431" t="s">
        <v>124</v>
      </c>
      <c r="L431" t="s">
        <v>124</v>
      </c>
      <c r="M431" t="s">
        <v>1081</v>
      </c>
      <c r="N431" t="b">
        <v>0</v>
      </c>
    </row>
    <row r="432" spans="1:14">
      <c r="A432">
        <v>19</v>
      </c>
      <c r="B432">
        <v>8</v>
      </c>
      <c r="C432" t="s">
        <v>124</v>
      </c>
      <c r="D432" t="s">
        <v>722</v>
      </c>
      <c r="E432" t="s">
        <v>124</v>
      </c>
      <c r="F432">
        <v>0</v>
      </c>
      <c r="G432" t="s">
        <v>124</v>
      </c>
      <c r="H432" t="s">
        <v>124</v>
      </c>
      <c r="I432" t="s">
        <v>124</v>
      </c>
      <c r="J432" t="s">
        <v>124</v>
      </c>
      <c r="K432" t="s">
        <v>124</v>
      </c>
      <c r="L432" t="s">
        <v>124</v>
      </c>
      <c r="M432" t="s">
        <v>1082</v>
      </c>
      <c r="N432" t="b">
        <v>0</v>
      </c>
    </row>
    <row r="433" spans="1:14">
      <c r="A433">
        <v>19</v>
      </c>
      <c r="B433">
        <v>9</v>
      </c>
      <c r="C433" t="s">
        <v>124</v>
      </c>
      <c r="D433" t="s">
        <v>722</v>
      </c>
      <c r="E433" t="s">
        <v>124</v>
      </c>
      <c r="F433">
        <v>0</v>
      </c>
      <c r="G433" t="s">
        <v>124</v>
      </c>
      <c r="H433" t="s">
        <v>124</v>
      </c>
      <c r="I433" t="s">
        <v>124</v>
      </c>
      <c r="J433" t="s">
        <v>124</v>
      </c>
      <c r="K433" t="s">
        <v>124</v>
      </c>
      <c r="L433" t="s">
        <v>124</v>
      </c>
      <c r="M433" t="s">
        <v>1083</v>
      </c>
      <c r="N433" t="b">
        <v>0</v>
      </c>
    </row>
    <row r="434" spans="1:14">
      <c r="A434">
        <v>19</v>
      </c>
      <c r="B434">
        <v>10</v>
      </c>
      <c r="C434" t="s">
        <v>124</v>
      </c>
      <c r="D434" t="s">
        <v>722</v>
      </c>
      <c r="E434" t="s">
        <v>124</v>
      </c>
      <c r="F434">
        <v>0</v>
      </c>
      <c r="G434" t="s">
        <v>124</v>
      </c>
      <c r="H434" t="s">
        <v>124</v>
      </c>
      <c r="I434" t="s">
        <v>124</v>
      </c>
      <c r="J434" t="s">
        <v>124</v>
      </c>
      <c r="K434" t="s">
        <v>124</v>
      </c>
      <c r="L434" t="s">
        <v>124</v>
      </c>
      <c r="M434" t="s">
        <v>1084</v>
      </c>
      <c r="N434" t="b">
        <v>0</v>
      </c>
    </row>
    <row r="435" spans="1:14">
      <c r="A435">
        <v>19</v>
      </c>
      <c r="B435">
        <v>11</v>
      </c>
      <c r="C435" t="s">
        <v>124</v>
      </c>
      <c r="D435" t="s">
        <v>722</v>
      </c>
      <c r="E435" t="s">
        <v>124</v>
      </c>
      <c r="F435">
        <v>0</v>
      </c>
      <c r="G435" t="s">
        <v>124</v>
      </c>
      <c r="H435" t="s">
        <v>124</v>
      </c>
      <c r="I435" t="s">
        <v>124</v>
      </c>
      <c r="J435" t="s">
        <v>124</v>
      </c>
      <c r="K435" t="s">
        <v>124</v>
      </c>
      <c r="L435" t="s">
        <v>124</v>
      </c>
      <c r="M435" t="s">
        <v>1085</v>
      </c>
      <c r="N435" t="b">
        <v>0</v>
      </c>
    </row>
    <row r="436" spans="1:14">
      <c r="A436">
        <v>19</v>
      </c>
      <c r="B436">
        <v>12</v>
      </c>
      <c r="C436" t="s">
        <v>124</v>
      </c>
      <c r="D436" t="s">
        <v>722</v>
      </c>
      <c r="E436" t="s">
        <v>124</v>
      </c>
      <c r="F436">
        <v>0</v>
      </c>
      <c r="G436" t="s">
        <v>124</v>
      </c>
      <c r="H436" t="s">
        <v>124</v>
      </c>
      <c r="I436" t="s">
        <v>124</v>
      </c>
      <c r="J436" t="s">
        <v>124</v>
      </c>
      <c r="K436" t="s">
        <v>124</v>
      </c>
      <c r="L436" t="s">
        <v>124</v>
      </c>
      <c r="M436" t="s">
        <v>1086</v>
      </c>
      <c r="N436" t="b">
        <v>0</v>
      </c>
    </row>
    <row r="437" spans="1:14">
      <c r="A437">
        <v>19</v>
      </c>
      <c r="B437">
        <v>13</v>
      </c>
      <c r="C437" t="s">
        <v>124</v>
      </c>
      <c r="D437" t="s">
        <v>722</v>
      </c>
      <c r="E437" t="s">
        <v>124</v>
      </c>
      <c r="F437">
        <v>0</v>
      </c>
      <c r="G437" t="s">
        <v>124</v>
      </c>
      <c r="H437" t="s">
        <v>124</v>
      </c>
      <c r="I437" t="s">
        <v>124</v>
      </c>
      <c r="J437" t="s">
        <v>124</v>
      </c>
      <c r="K437" t="s">
        <v>124</v>
      </c>
      <c r="L437" t="s">
        <v>124</v>
      </c>
      <c r="M437" t="s">
        <v>1087</v>
      </c>
      <c r="N437" t="b">
        <v>0</v>
      </c>
    </row>
    <row r="438" spans="1:14">
      <c r="A438">
        <v>19</v>
      </c>
      <c r="B438">
        <v>14</v>
      </c>
      <c r="C438" t="s">
        <v>124</v>
      </c>
      <c r="D438" t="s">
        <v>722</v>
      </c>
      <c r="E438" t="s">
        <v>124</v>
      </c>
      <c r="F438">
        <v>0</v>
      </c>
      <c r="G438" t="s">
        <v>124</v>
      </c>
      <c r="H438" t="s">
        <v>124</v>
      </c>
      <c r="I438" t="s">
        <v>124</v>
      </c>
      <c r="J438" t="s">
        <v>124</v>
      </c>
      <c r="K438" t="s">
        <v>124</v>
      </c>
      <c r="L438" t="s">
        <v>124</v>
      </c>
      <c r="M438" t="s">
        <v>1088</v>
      </c>
      <c r="N438" t="b">
        <v>0</v>
      </c>
    </row>
    <row r="439" spans="1:14">
      <c r="A439">
        <v>19</v>
      </c>
      <c r="B439">
        <v>15</v>
      </c>
      <c r="C439" t="s">
        <v>124</v>
      </c>
      <c r="D439" t="s">
        <v>722</v>
      </c>
      <c r="E439" t="s">
        <v>124</v>
      </c>
      <c r="F439">
        <v>0</v>
      </c>
      <c r="G439" t="s">
        <v>124</v>
      </c>
      <c r="H439" t="s">
        <v>124</v>
      </c>
      <c r="I439" t="s">
        <v>124</v>
      </c>
      <c r="J439" t="s">
        <v>124</v>
      </c>
      <c r="K439" t="s">
        <v>124</v>
      </c>
      <c r="L439" t="s">
        <v>124</v>
      </c>
      <c r="M439" t="s">
        <v>1089</v>
      </c>
      <c r="N439" t="b">
        <v>0</v>
      </c>
    </row>
    <row r="440" spans="1:14">
      <c r="A440">
        <v>19</v>
      </c>
      <c r="B440">
        <v>16</v>
      </c>
      <c r="C440" t="s">
        <v>195</v>
      </c>
      <c r="D440" t="s">
        <v>739</v>
      </c>
      <c r="E440" t="s">
        <v>85</v>
      </c>
      <c r="F440">
        <v>50</v>
      </c>
      <c r="G440" t="s">
        <v>124</v>
      </c>
      <c r="H440" t="s">
        <v>124</v>
      </c>
      <c r="I440" t="s">
        <v>85</v>
      </c>
      <c r="J440" t="s">
        <v>124</v>
      </c>
      <c r="K440" t="s">
        <v>124</v>
      </c>
      <c r="L440" t="s">
        <v>124</v>
      </c>
      <c r="M440" t="s">
        <v>1090</v>
      </c>
      <c r="N440" t="b">
        <v>0</v>
      </c>
    </row>
    <row r="441" spans="1:14">
      <c r="A441">
        <v>19</v>
      </c>
      <c r="B441">
        <v>17</v>
      </c>
      <c r="C441" t="s">
        <v>225</v>
      </c>
      <c r="D441" t="s">
        <v>739</v>
      </c>
      <c r="E441" t="s">
        <v>91</v>
      </c>
      <c r="F441">
        <v>60</v>
      </c>
      <c r="G441" t="s">
        <v>124</v>
      </c>
      <c r="H441" t="s">
        <v>124</v>
      </c>
      <c r="I441" t="s">
        <v>91</v>
      </c>
      <c r="J441" t="s">
        <v>124</v>
      </c>
      <c r="K441" t="s">
        <v>124</v>
      </c>
      <c r="L441" t="s">
        <v>124</v>
      </c>
      <c r="M441" t="s">
        <v>677</v>
      </c>
      <c r="N441" t="b">
        <v>0</v>
      </c>
    </row>
    <row r="442" spans="1:14">
      <c r="A442">
        <v>19</v>
      </c>
      <c r="B442">
        <v>18</v>
      </c>
      <c r="C442" t="s">
        <v>157</v>
      </c>
      <c r="D442" t="s">
        <v>739</v>
      </c>
      <c r="E442" t="s">
        <v>295</v>
      </c>
      <c r="F442">
        <v>50</v>
      </c>
      <c r="G442" t="s">
        <v>758</v>
      </c>
      <c r="H442" t="s">
        <v>124</v>
      </c>
      <c r="I442" t="s">
        <v>124</v>
      </c>
      <c r="J442" t="s">
        <v>759</v>
      </c>
      <c r="K442" t="s">
        <v>760</v>
      </c>
      <c r="L442" t="s">
        <v>761</v>
      </c>
      <c r="M442" t="s">
        <v>1091</v>
      </c>
      <c r="N442" t="b">
        <v>0</v>
      </c>
    </row>
    <row r="443" spans="1:14">
      <c r="A443">
        <v>19</v>
      </c>
      <c r="B443">
        <v>19</v>
      </c>
      <c r="C443" t="s">
        <v>253</v>
      </c>
      <c r="D443" t="s">
        <v>739</v>
      </c>
      <c r="E443" t="s">
        <v>59</v>
      </c>
      <c r="F443">
        <v>50</v>
      </c>
      <c r="G443" t="s">
        <v>124</v>
      </c>
      <c r="H443" t="s">
        <v>124</v>
      </c>
      <c r="I443" t="s">
        <v>59</v>
      </c>
      <c r="J443" t="s">
        <v>124</v>
      </c>
      <c r="K443" t="s">
        <v>124</v>
      </c>
      <c r="L443" t="s">
        <v>124</v>
      </c>
      <c r="M443" t="s">
        <v>1092</v>
      </c>
      <c r="N443" t="b">
        <v>0</v>
      </c>
    </row>
    <row r="444" spans="1:14">
      <c r="A444">
        <v>19</v>
      </c>
      <c r="B444">
        <v>20</v>
      </c>
      <c r="C444" t="s">
        <v>197</v>
      </c>
      <c r="D444" t="s">
        <v>739</v>
      </c>
      <c r="E444" t="s">
        <v>82</v>
      </c>
      <c r="F444">
        <v>50</v>
      </c>
      <c r="G444" t="s">
        <v>124</v>
      </c>
      <c r="H444" t="s">
        <v>124</v>
      </c>
      <c r="I444" t="s">
        <v>82</v>
      </c>
      <c r="J444" t="s">
        <v>124</v>
      </c>
      <c r="K444" t="s">
        <v>124</v>
      </c>
      <c r="L444" t="s">
        <v>124</v>
      </c>
      <c r="M444" t="s">
        <v>1093</v>
      </c>
      <c r="N444" t="b">
        <v>0</v>
      </c>
    </row>
    <row r="445" spans="1:14">
      <c r="A445">
        <v>19</v>
      </c>
      <c r="B445">
        <v>21</v>
      </c>
      <c r="C445" t="s">
        <v>124</v>
      </c>
      <c r="D445" t="s">
        <v>739</v>
      </c>
      <c r="E445" t="s">
        <v>124</v>
      </c>
      <c r="F445">
        <v>0</v>
      </c>
      <c r="G445" t="s">
        <v>124</v>
      </c>
      <c r="H445" t="s">
        <v>124</v>
      </c>
      <c r="I445" t="s">
        <v>124</v>
      </c>
      <c r="J445" t="s">
        <v>124</v>
      </c>
      <c r="K445" t="s">
        <v>124</v>
      </c>
      <c r="L445" t="s">
        <v>124</v>
      </c>
      <c r="M445" t="s">
        <v>1094</v>
      </c>
      <c r="N445" t="b">
        <v>0</v>
      </c>
    </row>
    <row r="446" spans="1:14">
      <c r="A446">
        <v>19</v>
      </c>
      <c r="B446">
        <v>22</v>
      </c>
      <c r="C446" t="s">
        <v>124</v>
      </c>
      <c r="D446" t="s">
        <v>739</v>
      </c>
      <c r="E446" t="s">
        <v>124</v>
      </c>
      <c r="F446">
        <v>0</v>
      </c>
      <c r="G446" t="s">
        <v>124</v>
      </c>
      <c r="H446" t="s">
        <v>124</v>
      </c>
      <c r="I446" t="s">
        <v>124</v>
      </c>
      <c r="J446" t="s">
        <v>124</v>
      </c>
      <c r="K446" t="s">
        <v>124</v>
      </c>
      <c r="L446" t="s">
        <v>124</v>
      </c>
      <c r="M446" t="s">
        <v>1095</v>
      </c>
      <c r="N446" t="b">
        <v>0</v>
      </c>
    </row>
    <row r="447" spans="1:14">
      <c r="A447">
        <v>19</v>
      </c>
      <c r="B447">
        <v>23</v>
      </c>
      <c r="C447" t="s">
        <v>124</v>
      </c>
      <c r="D447" t="s">
        <v>739</v>
      </c>
      <c r="E447" t="s">
        <v>124</v>
      </c>
      <c r="F447">
        <v>0</v>
      </c>
      <c r="G447" t="s">
        <v>124</v>
      </c>
      <c r="H447" t="s">
        <v>124</v>
      </c>
      <c r="I447" t="s">
        <v>124</v>
      </c>
      <c r="J447" t="s">
        <v>124</v>
      </c>
      <c r="K447" t="s">
        <v>124</v>
      </c>
      <c r="L447" t="s">
        <v>124</v>
      </c>
      <c r="M447" t="s">
        <v>1096</v>
      </c>
      <c r="N447" t="b">
        <v>0</v>
      </c>
    </row>
    <row r="448" spans="1:14">
      <c r="A448">
        <v>19</v>
      </c>
      <c r="B448">
        <v>24</v>
      </c>
      <c r="C448" t="s">
        <v>124</v>
      </c>
      <c r="D448" t="s">
        <v>739</v>
      </c>
      <c r="E448" t="s">
        <v>124</v>
      </c>
      <c r="F448">
        <v>0</v>
      </c>
      <c r="G448" t="s">
        <v>124</v>
      </c>
      <c r="H448" t="s">
        <v>124</v>
      </c>
      <c r="I448" t="s">
        <v>124</v>
      </c>
      <c r="J448" t="s">
        <v>124</v>
      </c>
      <c r="K448" t="s">
        <v>124</v>
      </c>
      <c r="L448" t="s">
        <v>124</v>
      </c>
      <c r="M448" t="s">
        <v>1097</v>
      </c>
      <c r="N448" t="b">
        <v>0</v>
      </c>
    </row>
    <row r="449" spans="1:14">
      <c r="A449">
        <v>19</v>
      </c>
      <c r="B449">
        <v>25</v>
      </c>
      <c r="C449" t="s">
        <v>124</v>
      </c>
      <c r="D449" t="s">
        <v>739</v>
      </c>
      <c r="E449" t="s">
        <v>124</v>
      </c>
      <c r="F449">
        <v>0</v>
      </c>
      <c r="G449" t="s">
        <v>124</v>
      </c>
      <c r="H449" t="s">
        <v>124</v>
      </c>
      <c r="I449" t="s">
        <v>124</v>
      </c>
      <c r="J449" t="s">
        <v>124</v>
      </c>
      <c r="K449" t="s">
        <v>124</v>
      </c>
      <c r="L449" t="s">
        <v>124</v>
      </c>
      <c r="M449" t="s">
        <v>1098</v>
      </c>
      <c r="N449" t="b">
        <v>0</v>
      </c>
    </row>
    <row r="450" spans="1:14">
      <c r="A450">
        <v>19</v>
      </c>
      <c r="B450">
        <v>26</v>
      </c>
      <c r="C450" t="s">
        <v>124</v>
      </c>
      <c r="D450" t="s">
        <v>739</v>
      </c>
      <c r="E450" t="s">
        <v>124</v>
      </c>
      <c r="F450">
        <v>0</v>
      </c>
      <c r="G450" t="s">
        <v>124</v>
      </c>
      <c r="H450" t="s">
        <v>124</v>
      </c>
      <c r="I450" t="s">
        <v>124</v>
      </c>
      <c r="J450" t="s">
        <v>124</v>
      </c>
      <c r="K450" t="s">
        <v>124</v>
      </c>
      <c r="L450" t="s">
        <v>124</v>
      </c>
      <c r="M450" t="s">
        <v>1099</v>
      </c>
      <c r="N450" t="b">
        <v>0</v>
      </c>
    </row>
    <row r="451" spans="1:14">
      <c r="A451">
        <v>20</v>
      </c>
      <c r="B451">
        <v>0</v>
      </c>
      <c r="C451" t="s">
        <v>255</v>
      </c>
      <c r="D451" t="s">
        <v>751</v>
      </c>
      <c r="E451" t="s">
        <v>541</v>
      </c>
      <c r="F451">
        <v>60</v>
      </c>
      <c r="G451" t="s">
        <v>758</v>
      </c>
      <c r="H451" t="s">
        <v>124</v>
      </c>
      <c r="I451" t="s">
        <v>124</v>
      </c>
      <c r="J451" t="s">
        <v>1100</v>
      </c>
      <c r="K451" t="s">
        <v>1101</v>
      </c>
      <c r="L451" t="s">
        <v>1054</v>
      </c>
      <c r="M451" t="s">
        <v>1102</v>
      </c>
      <c r="N451" t="b">
        <v>0</v>
      </c>
    </row>
    <row r="452" spans="1:14">
      <c r="A452">
        <v>20</v>
      </c>
      <c r="B452">
        <v>1</v>
      </c>
      <c r="C452" t="s">
        <v>244</v>
      </c>
      <c r="D452" t="s">
        <v>722</v>
      </c>
      <c r="E452" t="s">
        <v>112</v>
      </c>
      <c r="F452">
        <v>40</v>
      </c>
      <c r="G452" t="s">
        <v>124</v>
      </c>
      <c r="H452" t="s">
        <v>124</v>
      </c>
      <c r="I452" t="s">
        <v>112</v>
      </c>
      <c r="J452" t="s">
        <v>124</v>
      </c>
      <c r="K452" t="s">
        <v>124</v>
      </c>
      <c r="L452" t="s">
        <v>124</v>
      </c>
      <c r="M452" t="s">
        <v>1103</v>
      </c>
      <c r="N452" t="b">
        <v>0</v>
      </c>
    </row>
    <row r="453" spans="1:14">
      <c r="A453">
        <v>20</v>
      </c>
      <c r="B453">
        <v>2</v>
      </c>
      <c r="C453" t="s">
        <v>252</v>
      </c>
      <c r="D453" t="s">
        <v>722</v>
      </c>
      <c r="E453" t="s">
        <v>113</v>
      </c>
      <c r="F453">
        <v>40</v>
      </c>
      <c r="G453" t="s">
        <v>124</v>
      </c>
      <c r="H453" t="s">
        <v>124</v>
      </c>
      <c r="I453" t="s">
        <v>113</v>
      </c>
      <c r="J453" t="s">
        <v>124</v>
      </c>
      <c r="K453" t="s">
        <v>124</v>
      </c>
      <c r="L453" t="s">
        <v>124</v>
      </c>
      <c r="M453" t="s">
        <v>1104</v>
      </c>
      <c r="N453" t="b">
        <v>0</v>
      </c>
    </row>
    <row r="454" spans="1:14">
      <c r="A454">
        <v>20</v>
      </c>
      <c r="B454">
        <v>3</v>
      </c>
      <c r="C454" t="s">
        <v>191</v>
      </c>
      <c r="D454" t="s">
        <v>722</v>
      </c>
      <c r="E454" t="s">
        <v>76</v>
      </c>
      <c r="F454">
        <v>50</v>
      </c>
      <c r="G454" t="s">
        <v>124</v>
      </c>
      <c r="H454" t="s">
        <v>124</v>
      </c>
      <c r="I454" t="s">
        <v>76</v>
      </c>
      <c r="J454" t="s">
        <v>124</v>
      </c>
      <c r="K454" t="s">
        <v>124</v>
      </c>
      <c r="L454" t="s">
        <v>124</v>
      </c>
      <c r="M454" t="s">
        <v>1105</v>
      </c>
      <c r="N454" t="b">
        <v>0</v>
      </c>
    </row>
    <row r="455" spans="1:14">
      <c r="A455">
        <v>20</v>
      </c>
      <c r="B455">
        <v>4</v>
      </c>
      <c r="C455" t="s">
        <v>124</v>
      </c>
      <c r="D455" t="s">
        <v>722</v>
      </c>
      <c r="E455" t="s">
        <v>124</v>
      </c>
      <c r="F455">
        <v>0</v>
      </c>
      <c r="G455" t="s">
        <v>124</v>
      </c>
      <c r="H455" t="s">
        <v>124</v>
      </c>
      <c r="I455" t="s">
        <v>124</v>
      </c>
      <c r="J455" t="s">
        <v>124</v>
      </c>
      <c r="K455" t="s">
        <v>124</v>
      </c>
      <c r="L455" t="s">
        <v>124</v>
      </c>
      <c r="M455" t="s">
        <v>1106</v>
      </c>
      <c r="N455" t="b">
        <v>0</v>
      </c>
    </row>
    <row r="456" spans="1:14">
      <c r="A456">
        <v>20</v>
      </c>
      <c r="B456">
        <v>5</v>
      </c>
      <c r="C456" t="s">
        <v>124</v>
      </c>
      <c r="D456" t="s">
        <v>722</v>
      </c>
      <c r="E456" t="s">
        <v>124</v>
      </c>
      <c r="F456">
        <v>0</v>
      </c>
      <c r="G456" t="s">
        <v>124</v>
      </c>
      <c r="H456" t="s">
        <v>124</v>
      </c>
      <c r="I456" t="s">
        <v>124</v>
      </c>
      <c r="J456" t="s">
        <v>124</v>
      </c>
      <c r="K456" t="s">
        <v>124</v>
      </c>
      <c r="L456" t="s">
        <v>124</v>
      </c>
      <c r="M456" t="s">
        <v>1107</v>
      </c>
      <c r="N456" t="b">
        <v>0</v>
      </c>
    </row>
    <row r="457" spans="1:14">
      <c r="A457">
        <v>20</v>
      </c>
      <c r="B457">
        <v>6</v>
      </c>
      <c r="C457" t="s">
        <v>124</v>
      </c>
      <c r="D457" t="s">
        <v>722</v>
      </c>
      <c r="E457" t="s">
        <v>124</v>
      </c>
      <c r="F457">
        <v>0</v>
      </c>
      <c r="G457" t="s">
        <v>124</v>
      </c>
      <c r="H457" t="s">
        <v>124</v>
      </c>
      <c r="I457" t="s">
        <v>124</v>
      </c>
      <c r="J457" t="s">
        <v>124</v>
      </c>
      <c r="K457" t="s">
        <v>124</v>
      </c>
      <c r="L457" t="s">
        <v>124</v>
      </c>
      <c r="M457" t="s">
        <v>1108</v>
      </c>
      <c r="N457" t="b">
        <v>0</v>
      </c>
    </row>
    <row r="458" spans="1:14">
      <c r="A458">
        <v>20</v>
      </c>
      <c r="B458">
        <v>7</v>
      </c>
      <c r="C458" t="s">
        <v>124</v>
      </c>
      <c r="D458" t="s">
        <v>722</v>
      </c>
      <c r="E458" t="s">
        <v>124</v>
      </c>
      <c r="F458">
        <v>0</v>
      </c>
      <c r="G458" t="s">
        <v>124</v>
      </c>
      <c r="H458" t="s">
        <v>124</v>
      </c>
      <c r="I458" t="s">
        <v>124</v>
      </c>
      <c r="J458" t="s">
        <v>124</v>
      </c>
      <c r="K458" t="s">
        <v>124</v>
      </c>
      <c r="L458" t="s">
        <v>124</v>
      </c>
      <c r="M458" t="s">
        <v>1109</v>
      </c>
      <c r="N458" t="b">
        <v>0</v>
      </c>
    </row>
    <row r="459" spans="1:14">
      <c r="A459">
        <v>20</v>
      </c>
      <c r="B459">
        <v>8</v>
      </c>
      <c r="C459" t="s">
        <v>124</v>
      </c>
      <c r="D459" t="s">
        <v>722</v>
      </c>
      <c r="E459" t="s">
        <v>124</v>
      </c>
      <c r="F459">
        <v>0</v>
      </c>
      <c r="G459" t="s">
        <v>124</v>
      </c>
      <c r="H459" t="s">
        <v>124</v>
      </c>
      <c r="I459" t="s">
        <v>124</v>
      </c>
      <c r="J459" t="s">
        <v>124</v>
      </c>
      <c r="K459" t="s">
        <v>124</v>
      </c>
      <c r="L459" t="s">
        <v>124</v>
      </c>
      <c r="M459" t="s">
        <v>1110</v>
      </c>
      <c r="N459" t="b">
        <v>0</v>
      </c>
    </row>
    <row r="460" spans="1:14">
      <c r="A460">
        <v>20</v>
      </c>
      <c r="B460">
        <v>9</v>
      </c>
      <c r="C460" t="s">
        <v>124</v>
      </c>
      <c r="D460" t="s">
        <v>722</v>
      </c>
      <c r="E460" t="s">
        <v>124</v>
      </c>
      <c r="F460">
        <v>0</v>
      </c>
      <c r="G460" t="s">
        <v>124</v>
      </c>
      <c r="H460" t="s">
        <v>124</v>
      </c>
      <c r="I460" t="s">
        <v>124</v>
      </c>
      <c r="J460" t="s">
        <v>124</v>
      </c>
      <c r="K460" t="s">
        <v>124</v>
      </c>
      <c r="L460" t="s">
        <v>124</v>
      </c>
      <c r="M460" t="s">
        <v>1111</v>
      </c>
      <c r="N460" t="b">
        <v>0</v>
      </c>
    </row>
    <row r="461" spans="1:14">
      <c r="A461">
        <v>20</v>
      </c>
      <c r="B461">
        <v>10</v>
      </c>
      <c r="C461" t="s">
        <v>124</v>
      </c>
      <c r="D461" t="s">
        <v>722</v>
      </c>
      <c r="E461" t="s">
        <v>124</v>
      </c>
      <c r="F461">
        <v>0</v>
      </c>
      <c r="G461" t="s">
        <v>124</v>
      </c>
      <c r="H461" t="s">
        <v>124</v>
      </c>
      <c r="I461" t="s">
        <v>124</v>
      </c>
      <c r="J461" t="s">
        <v>124</v>
      </c>
      <c r="K461" t="s">
        <v>124</v>
      </c>
      <c r="L461" t="s">
        <v>124</v>
      </c>
      <c r="M461" t="s">
        <v>1112</v>
      </c>
      <c r="N461" t="b">
        <v>0</v>
      </c>
    </row>
    <row r="462" spans="1:14">
      <c r="A462">
        <v>20</v>
      </c>
      <c r="B462">
        <v>11</v>
      </c>
      <c r="C462" t="s">
        <v>124</v>
      </c>
      <c r="D462" t="s">
        <v>722</v>
      </c>
      <c r="E462" t="s">
        <v>124</v>
      </c>
      <c r="F462">
        <v>0</v>
      </c>
      <c r="G462" t="s">
        <v>124</v>
      </c>
      <c r="H462" t="s">
        <v>124</v>
      </c>
      <c r="I462" t="s">
        <v>124</v>
      </c>
      <c r="J462" t="s">
        <v>124</v>
      </c>
      <c r="K462" t="s">
        <v>124</v>
      </c>
      <c r="L462" t="s">
        <v>124</v>
      </c>
      <c r="M462" t="s">
        <v>1113</v>
      </c>
      <c r="N462" t="b">
        <v>0</v>
      </c>
    </row>
    <row r="463" spans="1:14">
      <c r="A463">
        <v>20</v>
      </c>
      <c r="B463">
        <v>12</v>
      </c>
      <c r="C463" t="s">
        <v>124</v>
      </c>
      <c r="D463" t="s">
        <v>722</v>
      </c>
      <c r="E463" t="s">
        <v>124</v>
      </c>
      <c r="F463">
        <v>0</v>
      </c>
      <c r="G463" t="s">
        <v>124</v>
      </c>
      <c r="H463" t="s">
        <v>124</v>
      </c>
      <c r="I463" t="s">
        <v>124</v>
      </c>
      <c r="J463" t="s">
        <v>124</v>
      </c>
      <c r="K463" t="s">
        <v>124</v>
      </c>
      <c r="L463" t="s">
        <v>124</v>
      </c>
      <c r="M463" t="s">
        <v>1114</v>
      </c>
      <c r="N463" t="b">
        <v>0</v>
      </c>
    </row>
    <row r="464" spans="1:14">
      <c r="A464">
        <v>20</v>
      </c>
      <c r="B464">
        <v>13</v>
      </c>
      <c r="C464" t="s">
        <v>124</v>
      </c>
      <c r="D464" t="s">
        <v>722</v>
      </c>
      <c r="E464" t="s">
        <v>124</v>
      </c>
      <c r="F464">
        <v>0</v>
      </c>
      <c r="G464" t="s">
        <v>124</v>
      </c>
      <c r="H464" t="s">
        <v>124</v>
      </c>
      <c r="I464" t="s">
        <v>124</v>
      </c>
      <c r="J464" t="s">
        <v>124</v>
      </c>
      <c r="K464" t="s">
        <v>124</v>
      </c>
      <c r="L464" t="s">
        <v>124</v>
      </c>
      <c r="M464" t="s">
        <v>1115</v>
      </c>
      <c r="N464" t="b">
        <v>0</v>
      </c>
    </row>
    <row r="465" spans="1:14">
      <c r="A465">
        <v>20</v>
      </c>
      <c r="B465">
        <v>14</v>
      </c>
      <c r="C465" t="s">
        <v>124</v>
      </c>
      <c r="D465" t="s">
        <v>722</v>
      </c>
      <c r="E465" t="s">
        <v>124</v>
      </c>
      <c r="F465">
        <v>0</v>
      </c>
      <c r="G465" t="s">
        <v>124</v>
      </c>
      <c r="H465" t="s">
        <v>124</v>
      </c>
      <c r="I465" t="s">
        <v>124</v>
      </c>
      <c r="J465" t="s">
        <v>124</v>
      </c>
      <c r="K465" t="s">
        <v>124</v>
      </c>
      <c r="L465" t="s">
        <v>124</v>
      </c>
      <c r="M465" t="s">
        <v>1116</v>
      </c>
      <c r="N465" t="b">
        <v>0</v>
      </c>
    </row>
    <row r="466" spans="1:14">
      <c r="A466">
        <v>20</v>
      </c>
      <c r="B466">
        <v>15</v>
      </c>
      <c r="C466" t="s">
        <v>124</v>
      </c>
      <c r="D466" t="s">
        <v>722</v>
      </c>
      <c r="E466" t="s">
        <v>124</v>
      </c>
      <c r="F466">
        <v>0</v>
      </c>
      <c r="G466" t="s">
        <v>124</v>
      </c>
      <c r="H466" t="s">
        <v>124</v>
      </c>
      <c r="I466" t="s">
        <v>124</v>
      </c>
      <c r="J466" t="s">
        <v>124</v>
      </c>
      <c r="K466" t="s">
        <v>124</v>
      </c>
      <c r="L466" t="s">
        <v>124</v>
      </c>
      <c r="M466" t="s">
        <v>1117</v>
      </c>
      <c r="N466" t="b">
        <v>0</v>
      </c>
    </row>
    <row r="467" spans="1:14">
      <c r="A467">
        <v>20</v>
      </c>
      <c r="B467">
        <v>16</v>
      </c>
      <c r="C467" t="s">
        <v>162</v>
      </c>
      <c r="D467" t="s">
        <v>739</v>
      </c>
      <c r="E467" t="s">
        <v>65</v>
      </c>
      <c r="F467">
        <v>40</v>
      </c>
      <c r="G467" t="s">
        <v>124</v>
      </c>
      <c r="H467" t="s">
        <v>124</v>
      </c>
      <c r="I467" t="s">
        <v>65</v>
      </c>
      <c r="J467" t="s">
        <v>124</v>
      </c>
      <c r="K467" t="s">
        <v>124</v>
      </c>
      <c r="L467" t="s">
        <v>124</v>
      </c>
      <c r="M467" t="s">
        <v>1118</v>
      </c>
      <c r="N467" t="b">
        <v>0</v>
      </c>
    </row>
    <row r="468" spans="1:14">
      <c r="A468">
        <v>20</v>
      </c>
      <c r="B468">
        <v>17</v>
      </c>
      <c r="C468" t="s">
        <v>163</v>
      </c>
      <c r="D468" t="s">
        <v>739</v>
      </c>
      <c r="E468" t="s">
        <v>68</v>
      </c>
      <c r="F468">
        <v>40</v>
      </c>
      <c r="G468" t="s">
        <v>124</v>
      </c>
      <c r="H468" t="s">
        <v>124</v>
      </c>
      <c r="I468" t="s">
        <v>68</v>
      </c>
      <c r="J468" t="s">
        <v>124</v>
      </c>
      <c r="K468" t="s">
        <v>124</v>
      </c>
      <c r="L468" t="s">
        <v>124</v>
      </c>
      <c r="M468" t="s">
        <v>679</v>
      </c>
      <c r="N468" t="b">
        <v>0</v>
      </c>
    </row>
    <row r="469" spans="1:14">
      <c r="A469">
        <v>20</v>
      </c>
      <c r="B469">
        <v>18</v>
      </c>
      <c r="C469" t="s">
        <v>256</v>
      </c>
      <c r="D469" t="s">
        <v>739</v>
      </c>
      <c r="E469" t="s">
        <v>541</v>
      </c>
      <c r="F469">
        <v>40</v>
      </c>
      <c r="G469" t="s">
        <v>758</v>
      </c>
      <c r="H469" t="s">
        <v>124</v>
      </c>
      <c r="I469" t="s">
        <v>124</v>
      </c>
      <c r="J469" t="s">
        <v>1100</v>
      </c>
      <c r="K469" t="s">
        <v>1119</v>
      </c>
      <c r="L469" t="s">
        <v>1080</v>
      </c>
      <c r="M469" t="s">
        <v>1120</v>
      </c>
      <c r="N469" t="b">
        <v>0</v>
      </c>
    </row>
    <row r="470" spans="1:14">
      <c r="A470">
        <v>20</v>
      </c>
      <c r="B470">
        <v>19</v>
      </c>
      <c r="C470" t="s">
        <v>177</v>
      </c>
      <c r="D470" t="s">
        <v>739</v>
      </c>
      <c r="E470" t="s">
        <v>81</v>
      </c>
      <c r="F470">
        <v>50</v>
      </c>
      <c r="G470" t="s">
        <v>124</v>
      </c>
      <c r="H470" t="s">
        <v>124</v>
      </c>
      <c r="I470" t="s">
        <v>81</v>
      </c>
      <c r="J470" t="s">
        <v>124</v>
      </c>
      <c r="K470" t="s">
        <v>124</v>
      </c>
      <c r="L470" t="s">
        <v>124</v>
      </c>
      <c r="M470" t="s">
        <v>1121</v>
      </c>
      <c r="N470" t="b">
        <v>0</v>
      </c>
    </row>
    <row r="471" spans="1:14">
      <c r="A471">
        <v>20</v>
      </c>
      <c r="B471">
        <v>20</v>
      </c>
      <c r="C471" t="s">
        <v>208</v>
      </c>
      <c r="D471" t="s">
        <v>739</v>
      </c>
      <c r="E471" t="s">
        <v>85</v>
      </c>
      <c r="F471">
        <v>40</v>
      </c>
      <c r="G471" t="s">
        <v>124</v>
      </c>
      <c r="H471" t="s">
        <v>124</v>
      </c>
      <c r="I471" t="s">
        <v>85</v>
      </c>
      <c r="J471" t="s">
        <v>124</v>
      </c>
      <c r="K471" t="s">
        <v>124</v>
      </c>
      <c r="L471" t="s">
        <v>124</v>
      </c>
      <c r="M471" t="s">
        <v>1122</v>
      </c>
      <c r="N471" t="b">
        <v>0</v>
      </c>
    </row>
    <row r="472" spans="1:14">
      <c r="A472">
        <v>20</v>
      </c>
      <c r="B472">
        <v>21</v>
      </c>
      <c r="C472" t="s">
        <v>185</v>
      </c>
      <c r="D472" t="s">
        <v>739</v>
      </c>
      <c r="E472" t="s">
        <v>91</v>
      </c>
      <c r="F472">
        <v>50</v>
      </c>
      <c r="G472" t="s">
        <v>124</v>
      </c>
      <c r="H472" t="s">
        <v>124</v>
      </c>
      <c r="I472" t="s">
        <v>91</v>
      </c>
      <c r="J472" t="s">
        <v>124</v>
      </c>
      <c r="K472" t="s">
        <v>124</v>
      </c>
      <c r="L472" t="s">
        <v>124</v>
      </c>
      <c r="M472" t="s">
        <v>1123</v>
      </c>
      <c r="N472" t="b">
        <v>0</v>
      </c>
    </row>
    <row r="473" spans="1:14">
      <c r="A473">
        <v>20</v>
      </c>
      <c r="B473">
        <v>22</v>
      </c>
      <c r="C473" t="s">
        <v>158</v>
      </c>
      <c r="D473" t="s">
        <v>739</v>
      </c>
      <c r="E473" t="s">
        <v>295</v>
      </c>
      <c r="F473">
        <v>40</v>
      </c>
      <c r="G473" t="s">
        <v>758</v>
      </c>
      <c r="H473" t="s">
        <v>124</v>
      </c>
      <c r="I473" t="s">
        <v>124</v>
      </c>
      <c r="J473" t="s">
        <v>759</v>
      </c>
      <c r="K473" t="s">
        <v>760</v>
      </c>
      <c r="L473" t="s">
        <v>761</v>
      </c>
      <c r="M473" t="s">
        <v>1124</v>
      </c>
      <c r="N473" t="b">
        <v>0</v>
      </c>
    </row>
    <row r="474" spans="1:14">
      <c r="A474">
        <v>20</v>
      </c>
      <c r="B474">
        <v>23</v>
      </c>
      <c r="C474" t="s">
        <v>180</v>
      </c>
      <c r="D474" t="s">
        <v>739</v>
      </c>
      <c r="E474" t="s">
        <v>59</v>
      </c>
      <c r="F474">
        <v>40</v>
      </c>
      <c r="G474" t="s">
        <v>124</v>
      </c>
      <c r="H474" t="s">
        <v>124</v>
      </c>
      <c r="I474" t="s">
        <v>59</v>
      </c>
      <c r="J474" t="s">
        <v>124</v>
      </c>
      <c r="K474" t="s">
        <v>124</v>
      </c>
      <c r="L474" t="s">
        <v>124</v>
      </c>
      <c r="M474" t="s">
        <v>1125</v>
      </c>
      <c r="N474" t="b">
        <v>0</v>
      </c>
    </row>
    <row r="475" spans="1:14">
      <c r="A475">
        <v>20</v>
      </c>
      <c r="B475">
        <v>24</v>
      </c>
      <c r="C475" t="s">
        <v>257</v>
      </c>
      <c r="D475" t="s">
        <v>739</v>
      </c>
      <c r="E475" t="s">
        <v>329</v>
      </c>
      <c r="F475">
        <v>40</v>
      </c>
      <c r="G475" t="s">
        <v>758</v>
      </c>
      <c r="H475" t="s">
        <v>124</v>
      </c>
      <c r="I475" t="s">
        <v>124</v>
      </c>
      <c r="J475" t="s">
        <v>1126</v>
      </c>
      <c r="K475" t="s">
        <v>919</v>
      </c>
      <c r="L475" t="s">
        <v>920</v>
      </c>
      <c r="M475" t="s">
        <v>1127</v>
      </c>
      <c r="N475" t="b">
        <v>0</v>
      </c>
    </row>
    <row r="476" spans="1:14">
      <c r="A476">
        <v>20</v>
      </c>
      <c r="B476">
        <v>25</v>
      </c>
      <c r="C476" t="s">
        <v>233</v>
      </c>
      <c r="D476" t="s">
        <v>739</v>
      </c>
      <c r="E476" t="s">
        <v>74</v>
      </c>
      <c r="F476">
        <v>50</v>
      </c>
      <c r="G476" t="s">
        <v>124</v>
      </c>
      <c r="H476" t="s">
        <v>124</v>
      </c>
      <c r="I476" t="s">
        <v>74</v>
      </c>
      <c r="J476" t="s">
        <v>124</v>
      </c>
      <c r="K476" t="s">
        <v>124</v>
      </c>
      <c r="L476" t="s">
        <v>124</v>
      </c>
      <c r="M476" t="s">
        <v>1128</v>
      </c>
      <c r="N476" t="b">
        <v>0</v>
      </c>
    </row>
    <row r="477" spans="1:14">
      <c r="A477">
        <v>20</v>
      </c>
      <c r="B477">
        <v>26</v>
      </c>
      <c r="C477" t="s">
        <v>181</v>
      </c>
      <c r="D477" t="s">
        <v>739</v>
      </c>
      <c r="E477" t="s">
        <v>543</v>
      </c>
      <c r="F477">
        <v>40</v>
      </c>
      <c r="G477" t="s">
        <v>758</v>
      </c>
      <c r="H477" t="s">
        <v>124</v>
      </c>
      <c r="I477" t="s">
        <v>124</v>
      </c>
      <c r="J477" t="s">
        <v>822</v>
      </c>
      <c r="K477" t="s">
        <v>799</v>
      </c>
      <c r="L477" t="s">
        <v>800</v>
      </c>
      <c r="M477" t="s">
        <v>1129</v>
      </c>
      <c r="N477" t="b">
        <v>0</v>
      </c>
    </row>
    <row r="478" spans="1:14">
      <c r="A478">
        <v>21</v>
      </c>
      <c r="B478">
        <v>0</v>
      </c>
      <c r="C478" t="s">
        <v>259</v>
      </c>
      <c r="D478" t="s">
        <v>722</v>
      </c>
      <c r="E478" t="s">
        <v>63</v>
      </c>
      <c r="F478">
        <v>40</v>
      </c>
      <c r="G478" t="s">
        <v>124</v>
      </c>
      <c r="H478" t="s">
        <v>124</v>
      </c>
      <c r="I478" t="s">
        <v>63</v>
      </c>
      <c r="J478" t="s">
        <v>124</v>
      </c>
      <c r="K478" t="s">
        <v>124</v>
      </c>
      <c r="L478" t="s">
        <v>124</v>
      </c>
      <c r="M478" t="s">
        <v>1130</v>
      </c>
      <c r="N478" t="b">
        <v>0</v>
      </c>
    </row>
    <row r="479" spans="1:14">
      <c r="A479">
        <v>21</v>
      </c>
      <c r="B479">
        <v>1</v>
      </c>
      <c r="C479" t="s">
        <v>156</v>
      </c>
      <c r="D479" t="s">
        <v>722</v>
      </c>
      <c r="E479" t="s">
        <v>81</v>
      </c>
      <c r="F479">
        <v>40</v>
      </c>
      <c r="G479" t="s">
        <v>124</v>
      </c>
      <c r="H479" t="s">
        <v>124</v>
      </c>
      <c r="I479" t="s">
        <v>81</v>
      </c>
      <c r="J479" t="s">
        <v>124</v>
      </c>
      <c r="K479" t="s">
        <v>124</v>
      </c>
      <c r="L479" t="s">
        <v>124</v>
      </c>
      <c r="M479" t="s">
        <v>1131</v>
      </c>
      <c r="N479" t="b">
        <v>0</v>
      </c>
    </row>
    <row r="480" spans="1:14">
      <c r="A480">
        <v>21</v>
      </c>
      <c r="B480">
        <v>2</v>
      </c>
      <c r="C480" t="s">
        <v>200</v>
      </c>
      <c r="D480" t="s">
        <v>722</v>
      </c>
      <c r="E480" t="s">
        <v>101</v>
      </c>
      <c r="F480">
        <v>60</v>
      </c>
      <c r="G480" t="s">
        <v>124</v>
      </c>
      <c r="H480" t="s">
        <v>124</v>
      </c>
      <c r="I480" t="s">
        <v>101</v>
      </c>
      <c r="J480" t="s">
        <v>124</v>
      </c>
      <c r="K480" t="s">
        <v>124</v>
      </c>
      <c r="L480" t="s">
        <v>124</v>
      </c>
      <c r="M480" t="s">
        <v>1132</v>
      </c>
      <c r="N480" t="b">
        <v>0</v>
      </c>
    </row>
    <row r="481" spans="1:14">
      <c r="A481">
        <v>21</v>
      </c>
      <c r="B481">
        <v>3</v>
      </c>
      <c r="C481" t="s">
        <v>252</v>
      </c>
      <c r="D481" t="s">
        <v>722</v>
      </c>
      <c r="E481" t="s">
        <v>113</v>
      </c>
      <c r="F481">
        <v>40</v>
      </c>
      <c r="G481" t="s">
        <v>124</v>
      </c>
      <c r="H481" t="s">
        <v>124</v>
      </c>
      <c r="I481" t="s">
        <v>113</v>
      </c>
      <c r="J481" t="s">
        <v>124</v>
      </c>
      <c r="K481" t="s">
        <v>124</v>
      </c>
      <c r="L481" t="s">
        <v>124</v>
      </c>
      <c r="M481" t="s">
        <v>1133</v>
      </c>
      <c r="N481" t="b">
        <v>0</v>
      </c>
    </row>
    <row r="482" spans="1:14">
      <c r="A482">
        <v>21</v>
      </c>
      <c r="B482">
        <v>4</v>
      </c>
      <c r="C482" t="s">
        <v>260</v>
      </c>
      <c r="D482" t="s">
        <v>722</v>
      </c>
      <c r="E482" t="s">
        <v>64</v>
      </c>
      <c r="F482">
        <v>40</v>
      </c>
      <c r="G482" t="s">
        <v>124</v>
      </c>
      <c r="H482" t="s">
        <v>124</v>
      </c>
      <c r="I482" t="s">
        <v>64</v>
      </c>
      <c r="J482" t="s">
        <v>124</v>
      </c>
      <c r="K482" t="s">
        <v>124</v>
      </c>
      <c r="L482" t="s">
        <v>124</v>
      </c>
      <c r="M482" t="s">
        <v>1134</v>
      </c>
      <c r="N482" t="b">
        <v>0</v>
      </c>
    </row>
    <row r="483" spans="1:14">
      <c r="A483">
        <v>21</v>
      </c>
      <c r="B483">
        <v>5</v>
      </c>
      <c r="C483" t="s">
        <v>161</v>
      </c>
      <c r="D483" t="s">
        <v>722</v>
      </c>
      <c r="E483" t="s">
        <v>76</v>
      </c>
      <c r="F483">
        <v>40</v>
      </c>
      <c r="G483" t="s">
        <v>124</v>
      </c>
      <c r="H483" t="s">
        <v>124</v>
      </c>
      <c r="I483" t="s">
        <v>76</v>
      </c>
      <c r="J483" t="s">
        <v>124</v>
      </c>
      <c r="K483" t="s">
        <v>124</v>
      </c>
      <c r="L483" t="s">
        <v>124</v>
      </c>
      <c r="M483" t="s">
        <v>1135</v>
      </c>
      <c r="N483" t="b">
        <v>0</v>
      </c>
    </row>
    <row r="484" spans="1:14">
      <c r="A484">
        <v>21</v>
      </c>
      <c r="B484">
        <v>6</v>
      </c>
      <c r="C484" t="s">
        <v>211</v>
      </c>
      <c r="D484" t="s">
        <v>722</v>
      </c>
      <c r="E484" t="s">
        <v>82</v>
      </c>
      <c r="F484">
        <v>40</v>
      </c>
      <c r="G484" t="s">
        <v>124</v>
      </c>
      <c r="H484" t="s">
        <v>124</v>
      </c>
      <c r="I484" t="s">
        <v>82</v>
      </c>
      <c r="J484" t="s">
        <v>124</v>
      </c>
      <c r="K484" t="s">
        <v>124</v>
      </c>
      <c r="L484" t="s">
        <v>124</v>
      </c>
      <c r="M484" t="s">
        <v>1136</v>
      </c>
      <c r="N484" t="b">
        <v>0</v>
      </c>
    </row>
    <row r="485" spans="1:14">
      <c r="A485">
        <v>21</v>
      </c>
      <c r="B485">
        <v>7</v>
      </c>
      <c r="C485" t="s">
        <v>261</v>
      </c>
      <c r="D485" t="s">
        <v>722</v>
      </c>
      <c r="E485" t="s">
        <v>543</v>
      </c>
      <c r="F485">
        <v>40</v>
      </c>
      <c r="G485" t="s">
        <v>124</v>
      </c>
      <c r="H485" t="s">
        <v>553</v>
      </c>
      <c r="I485" t="s">
        <v>330</v>
      </c>
      <c r="J485" t="s">
        <v>124</v>
      </c>
      <c r="K485" t="s">
        <v>799</v>
      </c>
      <c r="L485" t="s">
        <v>800</v>
      </c>
      <c r="M485" t="s">
        <v>1137</v>
      </c>
      <c r="N485" t="b">
        <v>0</v>
      </c>
    </row>
    <row r="486" spans="1:14">
      <c r="A486">
        <v>21</v>
      </c>
      <c r="B486">
        <v>8</v>
      </c>
      <c r="C486" t="s">
        <v>124</v>
      </c>
      <c r="D486" t="s">
        <v>722</v>
      </c>
      <c r="E486" t="s">
        <v>124</v>
      </c>
      <c r="F486">
        <v>0</v>
      </c>
      <c r="G486" t="s">
        <v>124</v>
      </c>
      <c r="H486" t="s">
        <v>124</v>
      </c>
      <c r="I486" t="s">
        <v>124</v>
      </c>
      <c r="J486" t="s">
        <v>124</v>
      </c>
      <c r="K486" t="s">
        <v>124</v>
      </c>
      <c r="L486" t="s">
        <v>124</v>
      </c>
      <c r="M486" t="s">
        <v>1138</v>
      </c>
      <c r="N486" t="b">
        <v>0</v>
      </c>
    </row>
    <row r="487" spans="1:14">
      <c r="A487">
        <v>21</v>
      </c>
      <c r="B487">
        <v>9</v>
      </c>
      <c r="C487" t="s">
        <v>124</v>
      </c>
      <c r="D487" t="s">
        <v>722</v>
      </c>
      <c r="E487" t="s">
        <v>124</v>
      </c>
      <c r="F487">
        <v>0</v>
      </c>
      <c r="G487" t="s">
        <v>124</v>
      </c>
      <c r="H487" t="s">
        <v>124</v>
      </c>
      <c r="I487" t="s">
        <v>124</v>
      </c>
      <c r="J487" t="s">
        <v>124</v>
      </c>
      <c r="K487" t="s">
        <v>124</v>
      </c>
      <c r="L487" t="s">
        <v>124</v>
      </c>
      <c r="M487" t="s">
        <v>1139</v>
      </c>
      <c r="N487" t="b">
        <v>0</v>
      </c>
    </row>
    <row r="488" spans="1:14">
      <c r="A488">
        <v>21</v>
      </c>
      <c r="B488">
        <v>10</v>
      </c>
      <c r="C488" t="s">
        <v>124</v>
      </c>
      <c r="D488" t="s">
        <v>722</v>
      </c>
      <c r="E488" t="s">
        <v>124</v>
      </c>
      <c r="F488">
        <v>0</v>
      </c>
      <c r="G488" t="s">
        <v>124</v>
      </c>
      <c r="H488" t="s">
        <v>124</v>
      </c>
      <c r="I488" t="s">
        <v>124</v>
      </c>
      <c r="J488" t="s">
        <v>124</v>
      </c>
      <c r="K488" t="s">
        <v>124</v>
      </c>
      <c r="L488" t="s">
        <v>124</v>
      </c>
      <c r="M488" t="s">
        <v>1140</v>
      </c>
      <c r="N488" t="b">
        <v>0</v>
      </c>
    </row>
    <row r="489" spans="1:14">
      <c r="A489">
        <v>21</v>
      </c>
      <c r="B489">
        <v>11</v>
      </c>
      <c r="C489" t="s">
        <v>124</v>
      </c>
      <c r="D489" t="s">
        <v>722</v>
      </c>
      <c r="E489" t="s">
        <v>124</v>
      </c>
      <c r="F489">
        <v>0</v>
      </c>
      <c r="G489" t="s">
        <v>124</v>
      </c>
      <c r="H489" t="s">
        <v>124</v>
      </c>
      <c r="I489" t="s">
        <v>124</v>
      </c>
      <c r="J489" t="s">
        <v>124</v>
      </c>
      <c r="K489" t="s">
        <v>124</v>
      </c>
      <c r="L489" t="s">
        <v>124</v>
      </c>
      <c r="M489" t="s">
        <v>1141</v>
      </c>
      <c r="N489" t="b">
        <v>0</v>
      </c>
    </row>
    <row r="490" spans="1:14">
      <c r="A490">
        <v>21</v>
      </c>
      <c r="B490">
        <v>12</v>
      </c>
      <c r="C490" t="s">
        <v>124</v>
      </c>
      <c r="D490" t="s">
        <v>722</v>
      </c>
      <c r="E490" t="s">
        <v>124</v>
      </c>
      <c r="F490">
        <v>0</v>
      </c>
      <c r="G490" t="s">
        <v>124</v>
      </c>
      <c r="H490" t="s">
        <v>124</v>
      </c>
      <c r="I490" t="s">
        <v>124</v>
      </c>
      <c r="J490" t="s">
        <v>124</v>
      </c>
      <c r="K490" t="s">
        <v>124</v>
      </c>
      <c r="L490" t="s">
        <v>124</v>
      </c>
      <c r="M490" t="s">
        <v>1142</v>
      </c>
      <c r="N490" t="b">
        <v>0</v>
      </c>
    </row>
    <row r="491" spans="1:14">
      <c r="A491">
        <v>21</v>
      </c>
      <c r="B491">
        <v>13</v>
      </c>
      <c r="C491" t="s">
        <v>124</v>
      </c>
      <c r="D491" t="s">
        <v>722</v>
      </c>
      <c r="E491" t="s">
        <v>124</v>
      </c>
      <c r="F491">
        <v>0</v>
      </c>
      <c r="G491" t="s">
        <v>124</v>
      </c>
      <c r="H491" t="s">
        <v>124</v>
      </c>
      <c r="I491" t="s">
        <v>124</v>
      </c>
      <c r="J491" t="s">
        <v>124</v>
      </c>
      <c r="K491" t="s">
        <v>124</v>
      </c>
      <c r="L491" t="s">
        <v>124</v>
      </c>
      <c r="M491" t="s">
        <v>1143</v>
      </c>
      <c r="N491" t="b">
        <v>0</v>
      </c>
    </row>
    <row r="492" spans="1:14">
      <c r="A492">
        <v>21</v>
      </c>
      <c r="B492">
        <v>14</v>
      </c>
      <c r="C492" t="s">
        <v>124</v>
      </c>
      <c r="D492" t="s">
        <v>722</v>
      </c>
      <c r="E492" t="s">
        <v>124</v>
      </c>
      <c r="F492">
        <v>0</v>
      </c>
      <c r="G492" t="s">
        <v>124</v>
      </c>
      <c r="H492" t="s">
        <v>124</v>
      </c>
      <c r="I492" t="s">
        <v>124</v>
      </c>
      <c r="J492" t="s">
        <v>124</v>
      </c>
      <c r="K492" t="s">
        <v>124</v>
      </c>
      <c r="L492" t="s">
        <v>124</v>
      </c>
      <c r="M492" t="s">
        <v>1144</v>
      </c>
      <c r="N492" t="b">
        <v>0</v>
      </c>
    </row>
    <row r="493" spans="1:14">
      <c r="A493">
        <v>21</v>
      </c>
      <c r="B493">
        <v>15</v>
      </c>
      <c r="C493" t="s">
        <v>124</v>
      </c>
      <c r="D493" t="s">
        <v>722</v>
      </c>
      <c r="E493" t="s">
        <v>124</v>
      </c>
      <c r="F493">
        <v>0</v>
      </c>
      <c r="G493" t="s">
        <v>124</v>
      </c>
      <c r="H493" t="s">
        <v>124</v>
      </c>
      <c r="I493" t="s">
        <v>124</v>
      </c>
      <c r="J493" t="s">
        <v>124</v>
      </c>
      <c r="K493" t="s">
        <v>124</v>
      </c>
      <c r="L493" t="s">
        <v>124</v>
      </c>
      <c r="M493" t="s">
        <v>1145</v>
      </c>
      <c r="N493" t="b">
        <v>0</v>
      </c>
    </row>
    <row r="494" spans="1:14">
      <c r="A494">
        <v>21</v>
      </c>
      <c r="B494">
        <v>16</v>
      </c>
      <c r="C494" t="s">
        <v>262</v>
      </c>
      <c r="D494" t="s">
        <v>739</v>
      </c>
      <c r="E494" t="s">
        <v>97</v>
      </c>
      <c r="F494">
        <v>60</v>
      </c>
      <c r="G494" t="s">
        <v>124</v>
      </c>
      <c r="H494" t="s">
        <v>124</v>
      </c>
      <c r="I494" t="s">
        <v>97</v>
      </c>
      <c r="J494" t="s">
        <v>124</v>
      </c>
      <c r="K494" t="s">
        <v>124</v>
      </c>
      <c r="L494" t="s">
        <v>124</v>
      </c>
      <c r="M494" t="s">
        <v>1146</v>
      </c>
      <c r="N494" t="b">
        <v>0</v>
      </c>
    </row>
    <row r="495" spans="1:14">
      <c r="A495">
        <v>21</v>
      </c>
      <c r="B495">
        <v>17</v>
      </c>
      <c r="C495" t="s">
        <v>210</v>
      </c>
      <c r="D495" t="s">
        <v>739</v>
      </c>
      <c r="E495" t="s">
        <v>107</v>
      </c>
      <c r="F495">
        <v>40</v>
      </c>
      <c r="G495" t="s">
        <v>124</v>
      </c>
      <c r="H495" t="s">
        <v>124</v>
      </c>
      <c r="I495" t="s">
        <v>107</v>
      </c>
      <c r="J495" t="s">
        <v>124</v>
      </c>
      <c r="K495" t="s">
        <v>124</v>
      </c>
      <c r="L495" t="s">
        <v>124</v>
      </c>
      <c r="M495" t="s">
        <v>681</v>
      </c>
      <c r="N495" t="b">
        <v>0</v>
      </c>
    </row>
    <row r="496" spans="1:14">
      <c r="A496">
        <v>21</v>
      </c>
      <c r="B496">
        <v>18</v>
      </c>
      <c r="C496" t="s">
        <v>165</v>
      </c>
      <c r="D496" t="s">
        <v>739</v>
      </c>
      <c r="E496" t="s">
        <v>72</v>
      </c>
      <c r="F496">
        <v>50</v>
      </c>
      <c r="G496" t="s">
        <v>124</v>
      </c>
      <c r="H496" t="s">
        <v>124</v>
      </c>
      <c r="I496" t="s">
        <v>72</v>
      </c>
      <c r="J496" t="s">
        <v>124</v>
      </c>
      <c r="K496" t="s">
        <v>124</v>
      </c>
      <c r="L496" t="s">
        <v>124</v>
      </c>
      <c r="M496" t="s">
        <v>1147</v>
      </c>
      <c r="N496" t="b">
        <v>0</v>
      </c>
    </row>
    <row r="497" spans="1:14">
      <c r="A497">
        <v>21</v>
      </c>
      <c r="B497">
        <v>19</v>
      </c>
      <c r="C497" t="s">
        <v>263</v>
      </c>
      <c r="D497" t="s">
        <v>739</v>
      </c>
      <c r="E497" t="s">
        <v>89</v>
      </c>
      <c r="F497">
        <v>50</v>
      </c>
      <c r="G497" t="s">
        <v>124</v>
      </c>
      <c r="H497" t="s">
        <v>124</v>
      </c>
      <c r="I497" t="s">
        <v>89</v>
      </c>
      <c r="J497" t="s">
        <v>124</v>
      </c>
      <c r="K497" t="s">
        <v>124</v>
      </c>
      <c r="L497" t="s">
        <v>124</v>
      </c>
      <c r="M497" t="s">
        <v>1148</v>
      </c>
      <c r="N497" t="b">
        <v>0</v>
      </c>
    </row>
    <row r="498" spans="1:14">
      <c r="A498">
        <v>21</v>
      </c>
      <c r="B498">
        <v>20</v>
      </c>
      <c r="C498" t="s">
        <v>167</v>
      </c>
      <c r="D498" t="s">
        <v>739</v>
      </c>
      <c r="E498" t="s">
        <v>96</v>
      </c>
      <c r="F498">
        <v>60</v>
      </c>
      <c r="G498" t="s">
        <v>124</v>
      </c>
      <c r="H498" t="s">
        <v>124</v>
      </c>
      <c r="I498" t="s">
        <v>96</v>
      </c>
      <c r="J498" t="s">
        <v>124</v>
      </c>
      <c r="K498" t="s">
        <v>124</v>
      </c>
      <c r="L498" t="s">
        <v>124</v>
      </c>
      <c r="M498" t="s">
        <v>1149</v>
      </c>
      <c r="N498" t="b">
        <v>0</v>
      </c>
    </row>
    <row r="499" spans="1:14">
      <c r="A499">
        <v>21</v>
      </c>
      <c r="B499">
        <v>21</v>
      </c>
      <c r="C499" t="s">
        <v>124</v>
      </c>
      <c r="D499" t="s">
        <v>739</v>
      </c>
      <c r="E499" t="s">
        <v>124</v>
      </c>
      <c r="F499">
        <v>0</v>
      </c>
      <c r="G499" t="s">
        <v>124</v>
      </c>
      <c r="H499" t="s">
        <v>124</v>
      </c>
      <c r="I499" t="s">
        <v>124</v>
      </c>
      <c r="J499" t="s">
        <v>124</v>
      </c>
      <c r="K499" t="s">
        <v>124</v>
      </c>
      <c r="L499" t="s">
        <v>124</v>
      </c>
      <c r="M499" t="s">
        <v>1150</v>
      </c>
      <c r="N499" t="b">
        <v>0</v>
      </c>
    </row>
    <row r="500" spans="1:14">
      <c r="A500">
        <v>21</v>
      </c>
      <c r="B500">
        <v>22</v>
      </c>
      <c r="C500" t="s">
        <v>124</v>
      </c>
      <c r="D500" t="s">
        <v>739</v>
      </c>
      <c r="E500" t="s">
        <v>124</v>
      </c>
      <c r="F500">
        <v>0</v>
      </c>
      <c r="G500" t="s">
        <v>124</v>
      </c>
      <c r="H500" t="s">
        <v>124</v>
      </c>
      <c r="I500" t="s">
        <v>124</v>
      </c>
      <c r="J500" t="s">
        <v>124</v>
      </c>
      <c r="K500" t="s">
        <v>124</v>
      </c>
      <c r="L500" t="s">
        <v>124</v>
      </c>
      <c r="M500" t="s">
        <v>1151</v>
      </c>
      <c r="N500" t="b">
        <v>0</v>
      </c>
    </row>
    <row r="501" spans="1:14">
      <c r="A501">
        <v>21</v>
      </c>
      <c r="B501">
        <v>23</v>
      </c>
      <c r="C501" t="s">
        <v>124</v>
      </c>
      <c r="D501" t="s">
        <v>739</v>
      </c>
      <c r="E501" t="s">
        <v>124</v>
      </c>
      <c r="F501">
        <v>0</v>
      </c>
      <c r="G501" t="s">
        <v>124</v>
      </c>
      <c r="H501" t="s">
        <v>124</v>
      </c>
      <c r="I501" t="s">
        <v>124</v>
      </c>
      <c r="J501" t="s">
        <v>124</v>
      </c>
      <c r="K501" t="s">
        <v>124</v>
      </c>
      <c r="L501" t="s">
        <v>124</v>
      </c>
      <c r="M501" t="s">
        <v>1152</v>
      </c>
      <c r="N501" t="b">
        <v>0</v>
      </c>
    </row>
    <row r="502" spans="1:14">
      <c r="A502">
        <v>21</v>
      </c>
      <c r="B502">
        <v>24</v>
      </c>
      <c r="C502" t="s">
        <v>124</v>
      </c>
      <c r="D502" t="s">
        <v>739</v>
      </c>
      <c r="E502" t="s">
        <v>124</v>
      </c>
      <c r="F502">
        <v>0</v>
      </c>
      <c r="G502" t="s">
        <v>124</v>
      </c>
      <c r="H502" t="s">
        <v>124</v>
      </c>
      <c r="I502" t="s">
        <v>124</v>
      </c>
      <c r="J502" t="s">
        <v>124</v>
      </c>
      <c r="K502" t="s">
        <v>124</v>
      </c>
      <c r="L502" t="s">
        <v>124</v>
      </c>
      <c r="M502" t="s">
        <v>1153</v>
      </c>
      <c r="N502" t="b">
        <v>0</v>
      </c>
    </row>
    <row r="503" spans="1:14">
      <c r="A503">
        <v>21</v>
      </c>
      <c r="B503">
        <v>25</v>
      </c>
      <c r="C503" t="s">
        <v>124</v>
      </c>
      <c r="D503" t="s">
        <v>739</v>
      </c>
      <c r="E503" t="s">
        <v>124</v>
      </c>
      <c r="F503">
        <v>0</v>
      </c>
      <c r="G503" t="s">
        <v>124</v>
      </c>
      <c r="H503" t="s">
        <v>124</v>
      </c>
      <c r="I503" t="s">
        <v>124</v>
      </c>
      <c r="J503" t="s">
        <v>124</v>
      </c>
      <c r="K503" t="s">
        <v>124</v>
      </c>
      <c r="L503" t="s">
        <v>124</v>
      </c>
      <c r="M503" t="s">
        <v>1154</v>
      </c>
      <c r="N503" t="b">
        <v>0</v>
      </c>
    </row>
    <row r="504" spans="1:14">
      <c r="A504">
        <v>21</v>
      </c>
      <c r="B504">
        <v>26</v>
      </c>
      <c r="C504" t="s">
        <v>124</v>
      </c>
      <c r="D504" t="s">
        <v>739</v>
      </c>
      <c r="E504" t="s">
        <v>124</v>
      </c>
      <c r="F504">
        <v>0</v>
      </c>
      <c r="G504" t="s">
        <v>124</v>
      </c>
      <c r="H504" t="s">
        <v>124</v>
      </c>
      <c r="I504" t="s">
        <v>124</v>
      </c>
      <c r="J504" t="s">
        <v>124</v>
      </c>
      <c r="K504" t="s">
        <v>124</v>
      </c>
      <c r="L504" t="s">
        <v>124</v>
      </c>
      <c r="M504" t="s">
        <v>1155</v>
      </c>
      <c r="N504" t="b">
        <v>0</v>
      </c>
    </row>
    <row r="505" spans="1:14">
      <c r="A505">
        <v>22</v>
      </c>
      <c r="B505">
        <v>0</v>
      </c>
      <c r="C505" t="s">
        <v>214</v>
      </c>
      <c r="D505" t="s">
        <v>722</v>
      </c>
      <c r="E505" t="s">
        <v>63</v>
      </c>
      <c r="F505">
        <v>60</v>
      </c>
      <c r="G505" t="s">
        <v>124</v>
      </c>
      <c r="H505" t="s">
        <v>124</v>
      </c>
      <c r="I505" t="s">
        <v>63</v>
      </c>
      <c r="J505" t="s">
        <v>124</v>
      </c>
      <c r="K505" t="s">
        <v>124</v>
      </c>
      <c r="L505" t="s">
        <v>124</v>
      </c>
      <c r="M505" t="s">
        <v>1156</v>
      </c>
      <c r="N505" t="b">
        <v>0</v>
      </c>
    </row>
    <row r="506" spans="1:14">
      <c r="A506">
        <v>22</v>
      </c>
      <c r="B506">
        <v>1</v>
      </c>
      <c r="C506" t="s">
        <v>266</v>
      </c>
      <c r="D506" t="s">
        <v>722</v>
      </c>
      <c r="E506" t="s">
        <v>81</v>
      </c>
      <c r="F506">
        <v>30</v>
      </c>
      <c r="G506" t="s">
        <v>124</v>
      </c>
      <c r="H506" t="s">
        <v>124</v>
      </c>
      <c r="I506" t="s">
        <v>81</v>
      </c>
      <c r="J506" t="s">
        <v>124</v>
      </c>
      <c r="K506" t="s">
        <v>124</v>
      </c>
      <c r="L506" t="s">
        <v>124</v>
      </c>
      <c r="M506" t="s">
        <v>1157</v>
      </c>
      <c r="N506" t="b">
        <v>0</v>
      </c>
    </row>
    <row r="507" spans="1:14">
      <c r="A507">
        <v>22</v>
      </c>
      <c r="B507">
        <v>2</v>
      </c>
      <c r="C507" t="s">
        <v>236</v>
      </c>
      <c r="D507" t="s">
        <v>722</v>
      </c>
      <c r="E507" t="s">
        <v>542</v>
      </c>
      <c r="F507">
        <v>40</v>
      </c>
      <c r="G507" t="s">
        <v>124</v>
      </c>
      <c r="H507" t="s">
        <v>545</v>
      </c>
      <c r="I507" t="s">
        <v>506</v>
      </c>
      <c r="J507" t="s">
        <v>124</v>
      </c>
      <c r="K507" t="s">
        <v>790</v>
      </c>
      <c r="L507" t="s">
        <v>791</v>
      </c>
      <c r="M507" t="s">
        <v>1158</v>
      </c>
      <c r="N507" t="b">
        <v>0</v>
      </c>
    </row>
    <row r="508" spans="1:14">
      <c r="A508">
        <v>22</v>
      </c>
      <c r="B508">
        <v>3</v>
      </c>
      <c r="C508" t="s">
        <v>237</v>
      </c>
      <c r="D508" t="s">
        <v>722</v>
      </c>
      <c r="E508" t="s">
        <v>542</v>
      </c>
      <c r="F508">
        <v>40</v>
      </c>
      <c r="G508" t="s">
        <v>124</v>
      </c>
      <c r="H508" t="s">
        <v>555</v>
      </c>
      <c r="I508" t="s">
        <v>484</v>
      </c>
      <c r="J508" t="s">
        <v>124</v>
      </c>
      <c r="K508" t="s">
        <v>793</v>
      </c>
      <c r="L508" t="s">
        <v>794</v>
      </c>
      <c r="M508" t="s">
        <v>1159</v>
      </c>
      <c r="N508" t="b">
        <v>0</v>
      </c>
    </row>
    <row r="509" spans="1:14">
      <c r="A509">
        <v>22</v>
      </c>
      <c r="B509">
        <v>4</v>
      </c>
      <c r="C509" t="s">
        <v>165</v>
      </c>
      <c r="D509" t="s">
        <v>722</v>
      </c>
      <c r="E509" t="s">
        <v>72</v>
      </c>
      <c r="F509">
        <v>50</v>
      </c>
      <c r="G509" t="s">
        <v>124</v>
      </c>
      <c r="H509" t="s">
        <v>124</v>
      </c>
      <c r="I509" t="s">
        <v>72</v>
      </c>
      <c r="J509" t="s">
        <v>124</v>
      </c>
      <c r="K509" t="s">
        <v>124</v>
      </c>
      <c r="L509" t="s">
        <v>124</v>
      </c>
      <c r="M509" t="s">
        <v>1160</v>
      </c>
      <c r="N509" t="b">
        <v>0</v>
      </c>
    </row>
    <row r="510" spans="1:14">
      <c r="A510">
        <v>22</v>
      </c>
      <c r="B510">
        <v>5</v>
      </c>
      <c r="C510" t="s">
        <v>267</v>
      </c>
      <c r="D510" t="s">
        <v>751</v>
      </c>
      <c r="E510" t="s">
        <v>356</v>
      </c>
      <c r="F510">
        <v>60</v>
      </c>
      <c r="G510" t="s">
        <v>758</v>
      </c>
      <c r="H510" t="s">
        <v>124</v>
      </c>
      <c r="I510" t="s">
        <v>124</v>
      </c>
      <c r="J510" t="s">
        <v>1161</v>
      </c>
      <c r="K510" t="s">
        <v>1162</v>
      </c>
      <c r="L510" t="s">
        <v>1163</v>
      </c>
      <c r="M510" t="s">
        <v>1164</v>
      </c>
      <c r="N510" t="b">
        <v>0</v>
      </c>
    </row>
    <row r="511" spans="1:14">
      <c r="A511">
        <v>22</v>
      </c>
      <c r="B511">
        <v>6</v>
      </c>
      <c r="C511" t="s">
        <v>268</v>
      </c>
      <c r="D511" t="s">
        <v>722</v>
      </c>
      <c r="E511" t="s">
        <v>543</v>
      </c>
      <c r="F511">
        <v>40</v>
      </c>
      <c r="G511" t="s">
        <v>124</v>
      </c>
      <c r="H511" t="s">
        <v>581</v>
      </c>
      <c r="I511" t="s">
        <v>494</v>
      </c>
      <c r="J511" t="s">
        <v>124</v>
      </c>
      <c r="K511" t="s">
        <v>799</v>
      </c>
      <c r="L511" t="s">
        <v>800</v>
      </c>
      <c r="M511" t="s">
        <v>1165</v>
      </c>
      <c r="N511" t="b">
        <v>0</v>
      </c>
    </row>
    <row r="512" spans="1:14">
      <c r="A512">
        <v>22</v>
      </c>
      <c r="B512">
        <v>7</v>
      </c>
      <c r="C512" t="s">
        <v>269</v>
      </c>
      <c r="D512" t="s">
        <v>722</v>
      </c>
      <c r="E512" t="s">
        <v>105</v>
      </c>
      <c r="F512">
        <v>40</v>
      </c>
      <c r="G512" t="s">
        <v>124</v>
      </c>
      <c r="H512" t="s">
        <v>124</v>
      </c>
      <c r="I512" t="s">
        <v>105</v>
      </c>
      <c r="J512" t="s">
        <v>124</v>
      </c>
      <c r="K512" t="s">
        <v>124</v>
      </c>
      <c r="L512" t="s">
        <v>124</v>
      </c>
      <c r="M512" t="s">
        <v>1166</v>
      </c>
      <c r="N512" t="b">
        <v>0</v>
      </c>
    </row>
    <row r="513" spans="1:14">
      <c r="A513">
        <v>22</v>
      </c>
      <c r="B513">
        <v>8</v>
      </c>
      <c r="C513" t="s">
        <v>124</v>
      </c>
      <c r="D513" t="s">
        <v>722</v>
      </c>
      <c r="E513" t="s">
        <v>124</v>
      </c>
      <c r="F513">
        <v>0</v>
      </c>
      <c r="G513" t="s">
        <v>124</v>
      </c>
      <c r="H513" t="s">
        <v>124</v>
      </c>
      <c r="I513" t="s">
        <v>124</v>
      </c>
      <c r="J513" t="s">
        <v>124</v>
      </c>
      <c r="K513" t="s">
        <v>124</v>
      </c>
      <c r="L513" t="s">
        <v>124</v>
      </c>
      <c r="M513" t="s">
        <v>1167</v>
      </c>
      <c r="N513" t="b">
        <v>0</v>
      </c>
    </row>
    <row r="514" spans="1:14">
      <c r="A514">
        <v>22</v>
      </c>
      <c r="B514">
        <v>9</v>
      </c>
      <c r="C514" t="s">
        <v>124</v>
      </c>
      <c r="D514" t="s">
        <v>722</v>
      </c>
      <c r="E514" t="s">
        <v>124</v>
      </c>
      <c r="F514">
        <v>0</v>
      </c>
      <c r="G514" t="s">
        <v>124</v>
      </c>
      <c r="H514" t="s">
        <v>124</v>
      </c>
      <c r="I514" t="s">
        <v>124</v>
      </c>
      <c r="J514" t="s">
        <v>124</v>
      </c>
      <c r="K514" t="s">
        <v>124</v>
      </c>
      <c r="L514" t="s">
        <v>124</v>
      </c>
      <c r="M514" t="s">
        <v>1168</v>
      </c>
      <c r="N514" t="b">
        <v>0</v>
      </c>
    </row>
    <row r="515" spans="1:14">
      <c r="A515">
        <v>22</v>
      </c>
      <c r="B515">
        <v>10</v>
      </c>
      <c r="C515" t="s">
        <v>124</v>
      </c>
      <c r="D515" t="s">
        <v>722</v>
      </c>
      <c r="E515" t="s">
        <v>124</v>
      </c>
      <c r="F515">
        <v>0</v>
      </c>
      <c r="G515" t="s">
        <v>124</v>
      </c>
      <c r="H515" t="s">
        <v>124</v>
      </c>
      <c r="I515" t="s">
        <v>124</v>
      </c>
      <c r="J515" t="s">
        <v>124</v>
      </c>
      <c r="K515" t="s">
        <v>124</v>
      </c>
      <c r="L515" t="s">
        <v>124</v>
      </c>
      <c r="M515" t="s">
        <v>1169</v>
      </c>
      <c r="N515" t="b">
        <v>0</v>
      </c>
    </row>
    <row r="516" spans="1:14">
      <c r="A516">
        <v>22</v>
      </c>
      <c r="B516">
        <v>11</v>
      </c>
      <c r="C516" t="s">
        <v>124</v>
      </c>
      <c r="D516" t="s">
        <v>722</v>
      </c>
      <c r="E516" t="s">
        <v>124</v>
      </c>
      <c r="F516">
        <v>0</v>
      </c>
      <c r="G516" t="s">
        <v>124</v>
      </c>
      <c r="H516" t="s">
        <v>124</v>
      </c>
      <c r="I516" t="s">
        <v>124</v>
      </c>
      <c r="J516" t="s">
        <v>124</v>
      </c>
      <c r="K516" t="s">
        <v>124</v>
      </c>
      <c r="L516" t="s">
        <v>124</v>
      </c>
      <c r="M516" t="s">
        <v>1170</v>
      </c>
      <c r="N516" t="b">
        <v>0</v>
      </c>
    </row>
    <row r="517" spans="1:14">
      <c r="A517">
        <v>22</v>
      </c>
      <c r="B517">
        <v>12</v>
      </c>
      <c r="C517" t="s">
        <v>124</v>
      </c>
      <c r="D517" t="s">
        <v>722</v>
      </c>
      <c r="E517" t="s">
        <v>124</v>
      </c>
      <c r="F517">
        <v>0</v>
      </c>
      <c r="G517" t="s">
        <v>124</v>
      </c>
      <c r="H517" t="s">
        <v>124</v>
      </c>
      <c r="I517" t="s">
        <v>124</v>
      </c>
      <c r="J517" t="s">
        <v>124</v>
      </c>
      <c r="K517" t="s">
        <v>124</v>
      </c>
      <c r="L517" t="s">
        <v>124</v>
      </c>
      <c r="M517" t="s">
        <v>1171</v>
      </c>
      <c r="N517" t="b">
        <v>0</v>
      </c>
    </row>
    <row r="518" spans="1:14">
      <c r="A518">
        <v>22</v>
      </c>
      <c r="B518">
        <v>13</v>
      </c>
      <c r="C518" t="s">
        <v>124</v>
      </c>
      <c r="D518" t="s">
        <v>722</v>
      </c>
      <c r="E518" t="s">
        <v>124</v>
      </c>
      <c r="F518">
        <v>0</v>
      </c>
      <c r="G518" t="s">
        <v>124</v>
      </c>
      <c r="H518" t="s">
        <v>124</v>
      </c>
      <c r="I518" t="s">
        <v>124</v>
      </c>
      <c r="J518" t="s">
        <v>124</v>
      </c>
      <c r="K518" t="s">
        <v>124</v>
      </c>
      <c r="L518" t="s">
        <v>124</v>
      </c>
      <c r="M518" t="s">
        <v>1172</v>
      </c>
      <c r="N518" t="b">
        <v>0</v>
      </c>
    </row>
    <row r="519" spans="1:14">
      <c r="A519">
        <v>22</v>
      </c>
      <c r="B519">
        <v>14</v>
      </c>
      <c r="C519" t="s">
        <v>124</v>
      </c>
      <c r="D519" t="s">
        <v>722</v>
      </c>
      <c r="E519" t="s">
        <v>124</v>
      </c>
      <c r="F519">
        <v>0</v>
      </c>
      <c r="G519" t="s">
        <v>124</v>
      </c>
      <c r="H519" t="s">
        <v>124</v>
      </c>
      <c r="I519" t="s">
        <v>124</v>
      </c>
      <c r="J519" t="s">
        <v>124</v>
      </c>
      <c r="K519" t="s">
        <v>124</v>
      </c>
      <c r="L519" t="s">
        <v>124</v>
      </c>
      <c r="M519" t="s">
        <v>1173</v>
      </c>
      <c r="N519" t="b">
        <v>0</v>
      </c>
    </row>
    <row r="520" spans="1:14">
      <c r="A520">
        <v>22</v>
      </c>
      <c r="B520">
        <v>15</v>
      </c>
      <c r="C520" t="s">
        <v>124</v>
      </c>
      <c r="D520" t="s">
        <v>722</v>
      </c>
      <c r="E520" t="s">
        <v>124</v>
      </c>
      <c r="F520">
        <v>0</v>
      </c>
      <c r="G520" t="s">
        <v>124</v>
      </c>
      <c r="H520" t="s">
        <v>124</v>
      </c>
      <c r="I520" t="s">
        <v>124</v>
      </c>
      <c r="J520" t="s">
        <v>124</v>
      </c>
      <c r="K520" t="s">
        <v>124</v>
      </c>
      <c r="L520" t="s">
        <v>124</v>
      </c>
      <c r="M520" t="s">
        <v>1174</v>
      </c>
      <c r="N520" t="b">
        <v>0</v>
      </c>
    </row>
    <row r="521" spans="1:14">
      <c r="A521">
        <v>22</v>
      </c>
      <c r="B521">
        <v>16</v>
      </c>
      <c r="C521" t="s">
        <v>157</v>
      </c>
      <c r="D521" t="s">
        <v>739</v>
      </c>
      <c r="E521" t="s">
        <v>295</v>
      </c>
      <c r="F521">
        <v>50</v>
      </c>
      <c r="G521" t="s">
        <v>758</v>
      </c>
      <c r="H521" t="s">
        <v>124</v>
      </c>
      <c r="I521" t="s">
        <v>124</v>
      </c>
      <c r="J521" t="s">
        <v>759</v>
      </c>
      <c r="K521" t="s">
        <v>760</v>
      </c>
      <c r="L521" t="s">
        <v>761</v>
      </c>
      <c r="M521" t="s">
        <v>1175</v>
      </c>
      <c r="N521" t="b">
        <v>0</v>
      </c>
    </row>
    <row r="522" spans="1:14">
      <c r="A522">
        <v>22</v>
      </c>
      <c r="B522">
        <v>17</v>
      </c>
      <c r="C522" t="s">
        <v>270</v>
      </c>
      <c r="D522" t="s">
        <v>739</v>
      </c>
      <c r="E522" t="s">
        <v>356</v>
      </c>
      <c r="F522">
        <v>50</v>
      </c>
      <c r="G522" t="s">
        <v>758</v>
      </c>
      <c r="H522" t="s">
        <v>124</v>
      </c>
      <c r="I522" t="s">
        <v>124</v>
      </c>
      <c r="J522" t="s">
        <v>1161</v>
      </c>
      <c r="K522" t="s">
        <v>1176</v>
      </c>
      <c r="L522" t="s">
        <v>1177</v>
      </c>
      <c r="M522" t="s">
        <v>683</v>
      </c>
      <c r="N522" t="b">
        <v>0</v>
      </c>
    </row>
    <row r="523" spans="1:14">
      <c r="A523">
        <v>22</v>
      </c>
      <c r="B523">
        <v>18</v>
      </c>
      <c r="C523" t="s">
        <v>196</v>
      </c>
      <c r="D523" t="s">
        <v>739</v>
      </c>
      <c r="E523" t="s">
        <v>111</v>
      </c>
      <c r="F523">
        <v>50</v>
      </c>
      <c r="G523" t="s">
        <v>124</v>
      </c>
      <c r="H523" t="s">
        <v>124</v>
      </c>
      <c r="I523" t="s">
        <v>111</v>
      </c>
      <c r="J523" t="s">
        <v>124</v>
      </c>
      <c r="K523" t="s">
        <v>124</v>
      </c>
      <c r="L523" t="s">
        <v>124</v>
      </c>
      <c r="M523" t="s">
        <v>1178</v>
      </c>
      <c r="N523" t="b">
        <v>0</v>
      </c>
    </row>
    <row r="524" spans="1:14">
      <c r="A524">
        <v>22</v>
      </c>
      <c r="B524">
        <v>19</v>
      </c>
      <c r="C524" t="s">
        <v>271</v>
      </c>
      <c r="D524" t="s">
        <v>739</v>
      </c>
      <c r="E524" t="s">
        <v>329</v>
      </c>
      <c r="F524">
        <v>50</v>
      </c>
      <c r="G524" t="s">
        <v>758</v>
      </c>
      <c r="H524" t="s">
        <v>124</v>
      </c>
      <c r="I524" t="s">
        <v>124</v>
      </c>
      <c r="J524" t="s">
        <v>1126</v>
      </c>
      <c r="K524" t="s">
        <v>919</v>
      </c>
      <c r="L524" t="s">
        <v>920</v>
      </c>
      <c r="M524" t="s">
        <v>1179</v>
      </c>
      <c r="N524" t="b">
        <v>0</v>
      </c>
    </row>
    <row r="525" spans="1:14">
      <c r="A525">
        <v>22</v>
      </c>
      <c r="B525">
        <v>20</v>
      </c>
      <c r="C525" t="s">
        <v>124</v>
      </c>
      <c r="D525" t="s">
        <v>739</v>
      </c>
      <c r="E525" t="s">
        <v>124</v>
      </c>
      <c r="F525">
        <v>0</v>
      </c>
      <c r="G525" t="s">
        <v>124</v>
      </c>
      <c r="H525" t="s">
        <v>124</v>
      </c>
      <c r="I525" t="s">
        <v>124</v>
      </c>
      <c r="J525" t="s">
        <v>124</v>
      </c>
      <c r="K525" t="s">
        <v>124</v>
      </c>
      <c r="L525" t="s">
        <v>124</v>
      </c>
      <c r="M525" t="s">
        <v>1180</v>
      </c>
      <c r="N525" t="b">
        <v>0</v>
      </c>
    </row>
    <row r="526" spans="1:14">
      <c r="A526">
        <v>22</v>
      </c>
      <c r="B526">
        <v>21</v>
      </c>
      <c r="C526" t="s">
        <v>124</v>
      </c>
      <c r="D526" t="s">
        <v>739</v>
      </c>
      <c r="E526" t="s">
        <v>124</v>
      </c>
      <c r="F526">
        <v>0</v>
      </c>
      <c r="G526" t="s">
        <v>124</v>
      </c>
      <c r="H526" t="s">
        <v>124</v>
      </c>
      <c r="I526" t="s">
        <v>124</v>
      </c>
      <c r="J526" t="s">
        <v>124</v>
      </c>
      <c r="K526" t="s">
        <v>124</v>
      </c>
      <c r="L526" t="s">
        <v>124</v>
      </c>
      <c r="M526" t="s">
        <v>1181</v>
      </c>
      <c r="N526" t="b">
        <v>0</v>
      </c>
    </row>
    <row r="527" spans="1:14">
      <c r="A527">
        <v>22</v>
      </c>
      <c r="B527">
        <v>22</v>
      </c>
      <c r="C527" t="s">
        <v>124</v>
      </c>
      <c r="D527" t="s">
        <v>739</v>
      </c>
      <c r="E527" t="s">
        <v>124</v>
      </c>
      <c r="F527">
        <v>0</v>
      </c>
      <c r="G527" t="s">
        <v>124</v>
      </c>
      <c r="H527" t="s">
        <v>124</v>
      </c>
      <c r="I527" t="s">
        <v>124</v>
      </c>
      <c r="J527" t="s">
        <v>124</v>
      </c>
      <c r="K527" t="s">
        <v>124</v>
      </c>
      <c r="L527" t="s">
        <v>124</v>
      </c>
      <c r="M527" t="s">
        <v>1182</v>
      </c>
      <c r="N527" t="b">
        <v>0</v>
      </c>
    </row>
    <row r="528" spans="1:14">
      <c r="A528">
        <v>22</v>
      </c>
      <c r="B528">
        <v>23</v>
      </c>
      <c r="C528" t="s">
        <v>124</v>
      </c>
      <c r="D528" t="s">
        <v>739</v>
      </c>
      <c r="E528" t="s">
        <v>124</v>
      </c>
      <c r="F528">
        <v>0</v>
      </c>
      <c r="G528" t="s">
        <v>124</v>
      </c>
      <c r="H528" t="s">
        <v>124</v>
      </c>
      <c r="I528" t="s">
        <v>124</v>
      </c>
      <c r="J528" t="s">
        <v>124</v>
      </c>
      <c r="K528" t="s">
        <v>124</v>
      </c>
      <c r="L528" t="s">
        <v>124</v>
      </c>
      <c r="M528" t="s">
        <v>1183</v>
      </c>
      <c r="N528" t="b">
        <v>0</v>
      </c>
    </row>
    <row r="529" spans="1:14">
      <c r="A529">
        <v>22</v>
      </c>
      <c r="B529">
        <v>24</v>
      </c>
      <c r="C529" t="s">
        <v>124</v>
      </c>
      <c r="D529" t="s">
        <v>739</v>
      </c>
      <c r="E529" t="s">
        <v>124</v>
      </c>
      <c r="F529">
        <v>0</v>
      </c>
      <c r="G529" t="s">
        <v>124</v>
      </c>
      <c r="H529" t="s">
        <v>124</v>
      </c>
      <c r="I529" t="s">
        <v>124</v>
      </c>
      <c r="J529" t="s">
        <v>124</v>
      </c>
      <c r="K529" t="s">
        <v>124</v>
      </c>
      <c r="L529" t="s">
        <v>124</v>
      </c>
      <c r="M529" t="s">
        <v>1184</v>
      </c>
      <c r="N529" t="b">
        <v>0</v>
      </c>
    </row>
    <row r="530" spans="1:14">
      <c r="A530">
        <v>22</v>
      </c>
      <c r="B530">
        <v>25</v>
      </c>
      <c r="C530" t="s">
        <v>124</v>
      </c>
      <c r="D530" t="s">
        <v>739</v>
      </c>
      <c r="E530" t="s">
        <v>124</v>
      </c>
      <c r="F530">
        <v>0</v>
      </c>
      <c r="G530" t="s">
        <v>124</v>
      </c>
      <c r="H530" t="s">
        <v>124</v>
      </c>
      <c r="I530" t="s">
        <v>124</v>
      </c>
      <c r="J530" t="s">
        <v>124</v>
      </c>
      <c r="K530" t="s">
        <v>124</v>
      </c>
      <c r="L530" t="s">
        <v>124</v>
      </c>
      <c r="M530" t="s">
        <v>1185</v>
      </c>
      <c r="N530" t="b">
        <v>0</v>
      </c>
    </row>
    <row r="531" spans="1:14">
      <c r="A531">
        <v>22</v>
      </c>
      <c r="B531">
        <v>26</v>
      </c>
      <c r="C531" t="s">
        <v>124</v>
      </c>
      <c r="D531" t="s">
        <v>739</v>
      </c>
      <c r="E531" t="s">
        <v>124</v>
      </c>
      <c r="F531">
        <v>0</v>
      </c>
      <c r="G531" t="s">
        <v>124</v>
      </c>
      <c r="H531" t="s">
        <v>124</v>
      </c>
      <c r="I531" t="s">
        <v>124</v>
      </c>
      <c r="J531" t="s">
        <v>124</v>
      </c>
      <c r="K531" t="s">
        <v>124</v>
      </c>
      <c r="L531" t="s">
        <v>124</v>
      </c>
      <c r="M531" t="s">
        <v>1186</v>
      </c>
      <c r="N531" t="b">
        <v>0</v>
      </c>
    </row>
    <row r="532" spans="1:14">
      <c r="A532">
        <v>23</v>
      </c>
      <c r="B532">
        <v>0</v>
      </c>
      <c r="C532" t="s">
        <v>214</v>
      </c>
      <c r="D532" t="s">
        <v>722</v>
      </c>
      <c r="E532" t="s">
        <v>63</v>
      </c>
      <c r="F532">
        <v>60</v>
      </c>
      <c r="G532" t="s">
        <v>124</v>
      </c>
      <c r="H532" t="s">
        <v>124</v>
      </c>
      <c r="I532" t="s">
        <v>63</v>
      </c>
      <c r="J532" t="s">
        <v>124</v>
      </c>
      <c r="K532" t="s">
        <v>124</v>
      </c>
      <c r="L532" t="s">
        <v>124</v>
      </c>
      <c r="M532" t="s">
        <v>1187</v>
      </c>
      <c r="N532" t="b">
        <v>0</v>
      </c>
    </row>
    <row r="533" spans="1:14">
      <c r="A533">
        <v>23</v>
      </c>
      <c r="B533">
        <v>1</v>
      </c>
      <c r="C533" t="s">
        <v>156</v>
      </c>
      <c r="D533" t="s">
        <v>722</v>
      </c>
      <c r="E533" t="s">
        <v>81</v>
      </c>
      <c r="F533">
        <v>40</v>
      </c>
      <c r="G533" t="s">
        <v>124</v>
      </c>
      <c r="H533" t="s">
        <v>124</v>
      </c>
      <c r="I533" t="s">
        <v>81</v>
      </c>
      <c r="J533" t="s">
        <v>124</v>
      </c>
      <c r="K533" t="s">
        <v>124</v>
      </c>
      <c r="L533" t="s">
        <v>124</v>
      </c>
      <c r="M533" t="s">
        <v>1188</v>
      </c>
      <c r="N533" t="b">
        <v>0</v>
      </c>
    </row>
    <row r="534" spans="1:14">
      <c r="A534">
        <v>23</v>
      </c>
      <c r="B534">
        <v>2</v>
      </c>
      <c r="C534" t="s">
        <v>246</v>
      </c>
      <c r="D534" t="s">
        <v>722</v>
      </c>
      <c r="E534" t="s">
        <v>91</v>
      </c>
      <c r="F534">
        <v>40</v>
      </c>
      <c r="G534" t="s">
        <v>124</v>
      </c>
      <c r="H534" t="s">
        <v>124</v>
      </c>
      <c r="I534" t="s">
        <v>91</v>
      </c>
      <c r="J534" t="s">
        <v>124</v>
      </c>
      <c r="K534" t="s">
        <v>124</v>
      </c>
      <c r="L534" t="s">
        <v>124</v>
      </c>
      <c r="M534" t="s">
        <v>1189</v>
      </c>
      <c r="N534" t="b">
        <v>0</v>
      </c>
    </row>
    <row r="535" spans="1:14">
      <c r="A535">
        <v>23</v>
      </c>
      <c r="B535">
        <v>3</v>
      </c>
      <c r="C535" t="s">
        <v>186</v>
      </c>
      <c r="D535" t="s">
        <v>722</v>
      </c>
      <c r="E535" t="s">
        <v>97</v>
      </c>
      <c r="F535">
        <v>50</v>
      </c>
      <c r="G535" t="s">
        <v>124</v>
      </c>
      <c r="H535" t="s">
        <v>124</v>
      </c>
      <c r="I535" t="s">
        <v>97</v>
      </c>
      <c r="J535" t="s">
        <v>124</v>
      </c>
      <c r="K535" t="s">
        <v>124</v>
      </c>
      <c r="L535" t="s">
        <v>124</v>
      </c>
      <c r="M535" t="s">
        <v>1190</v>
      </c>
      <c r="N535" t="b">
        <v>0</v>
      </c>
    </row>
    <row r="536" spans="1:14">
      <c r="A536">
        <v>23</v>
      </c>
      <c r="B536">
        <v>4</v>
      </c>
      <c r="C536" t="s">
        <v>227</v>
      </c>
      <c r="D536" t="s">
        <v>722</v>
      </c>
      <c r="E536" t="s">
        <v>99</v>
      </c>
      <c r="F536">
        <v>40</v>
      </c>
      <c r="G536" t="s">
        <v>124</v>
      </c>
      <c r="H536" t="s">
        <v>124</v>
      </c>
      <c r="I536" t="s">
        <v>99</v>
      </c>
      <c r="J536" t="s">
        <v>124</v>
      </c>
      <c r="K536" t="s">
        <v>124</v>
      </c>
      <c r="L536" t="s">
        <v>124</v>
      </c>
      <c r="M536" t="s">
        <v>1191</v>
      </c>
      <c r="N536" t="b">
        <v>0</v>
      </c>
    </row>
    <row r="537" spans="1:14">
      <c r="A537">
        <v>23</v>
      </c>
      <c r="B537">
        <v>5</v>
      </c>
      <c r="C537" t="s">
        <v>273</v>
      </c>
      <c r="D537" t="s">
        <v>722</v>
      </c>
      <c r="E537" t="s">
        <v>101</v>
      </c>
      <c r="F537">
        <v>30</v>
      </c>
      <c r="G537" t="s">
        <v>124</v>
      </c>
      <c r="H537" t="s">
        <v>124</v>
      </c>
      <c r="I537" t="s">
        <v>101</v>
      </c>
      <c r="J537" t="s">
        <v>124</v>
      </c>
      <c r="K537" t="s">
        <v>124</v>
      </c>
      <c r="L537" t="s">
        <v>124</v>
      </c>
      <c r="M537" t="s">
        <v>1192</v>
      </c>
      <c r="N537" t="b">
        <v>0</v>
      </c>
    </row>
    <row r="538" spans="1:14">
      <c r="A538">
        <v>23</v>
      </c>
      <c r="B538">
        <v>6</v>
      </c>
      <c r="C538" t="s">
        <v>164</v>
      </c>
      <c r="D538" t="s">
        <v>722</v>
      </c>
      <c r="E538" t="s">
        <v>113</v>
      </c>
      <c r="F538">
        <v>50</v>
      </c>
      <c r="G538" t="s">
        <v>124</v>
      </c>
      <c r="H538" t="s">
        <v>124</v>
      </c>
      <c r="I538" t="s">
        <v>113</v>
      </c>
      <c r="J538" t="s">
        <v>124</v>
      </c>
      <c r="K538" t="s">
        <v>124</v>
      </c>
      <c r="L538" t="s">
        <v>124</v>
      </c>
      <c r="M538" t="s">
        <v>1193</v>
      </c>
      <c r="N538" t="b">
        <v>0</v>
      </c>
    </row>
    <row r="539" spans="1:14">
      <c r="A539">
        <v>23</v>
      </c>
      <c r="B539">
        <v>7</v>
      </c>
      <c r="C539" t="s">
        <v>190</v>
      </c>
      <c r="D539" t="s">
        <v>722</v>
      </c>
      <c r="E539" t="s">
        <v>59</v>
      </c>
      <c r="F539">
        <v>30</v>
      </c>
      <c r="G539" t="s">
        <v>124</v>
      </c>
      <c r="H539" t="s">
        <v>124</v>
      </c>
      <c r="I539" t="s">
        <v>59</v>
      </c>
      <c r="J539" t="s">
        <v>124</v>
      </c>
      <c r="K539" t="s">
        <v>124</v>
      </c>
      <c r="L539" t="s">
        <v>124</v>
      </c>
      <c r="M539" t="s">
        <v>1194</v>
      </c>
      <c r="N539" t="b">
        <v>0</v>
      </c>
    </row>
    <row r="540" spans="1:14">
      <c r="A540">
        <v>23</v>
      </c>
      <c r="B540">
        <v>8</v>
      </c>
      <c r="C540" t="s">
        <v>218</v>
      </c>
      <c r="D540" t="s">
        <v>722</v>
      </c>
      <c r="E540" t="s">
        <v>66</v>
      </c>
      <c r="F540">
        <v>50</v>
      </c>
      <c r="G540" t="s">
        <v>124</v>
      </c>
      <c r="H540" t="s">
        <v>124</v>
      </c>
      <c r="I540" t="s">
        <v>66</v>
      </c>
      <c r="J540" t="s">
        <v>124</v>
      </c>
      <c r="K540" t="s">
        <v>124</v>
      </c>
      <c r="L540" t="s">
        <v>124</v>
      </c>
      <c r="M540" t="s">
        <v>1195</v>
      </c>
      <c r="N540" t="b">
        <v>0</v>
      </c>
    </row>
    <row r="541" spans="1:14">
      <c r="A541">
        <v>23</v>
      </c>
      <c r="B541">
        <v>9</v>
      </c>
      <c r="C541" t="s">
        <v>274</v>
      </c>
      <c r="D541" t="s">
        <v>722</v>
      </c>
      <c r="E541" t="s">
        <v>72</v>
      </c>
      <c r="F541">
        <v>40</v>
      </c>
      <c r="G541" t="s">
        <v>124</v>
      </c>
      <c r="H541" t="s">
        <v>124</v>
      </c>
      <c r="I541" t="s">
        <v>72</v>
      </c>
      <c r="J541" t="s">
        <v>124</v>
      </c>
      <c r="K541" t="s">
        <v>124</v>
      </c>
      <c r="L541" t="s">
        <v>124</v>
      </c>
      <c r="M541" t="s">
        <v>1196</v>
      </c>
      <c r="N541" t="b">
        <v>0</v>
      </c>
    </row>
    <row r="542" spans="1:14">
      <c r="A542">
        <v>23</v>
      </c>
      <c r="B542">
        <v>10</v>
      </c>
      <c r="C542" t="s">
        <v>161</v>
      </c>
      <c r="D542" t="s">
        <v>722</v>
      </c>
      <c r="E542" t="s">
        <v>76</v>
      </c>
      <c r="F542">
        <v>40</v>
      </c>
      <c r="G542" t="s">
        <v>124</v>
      </c>
      <c r="H542" t="s">
        <v>124</v>
      </c>
      <c r="I542" t="s">
        <v>76</v>
      </c>
      <c r="J542" t="s">
        <v>124</v>
      </c>
      <c r="K542" t="s">
        <v>124</v>
      </c>
      <c r="L542" t="s">
        <v>124</v>
      </c>
      <c r="M542" t="s">
        <v>1197</v>
      </c>
      <c r="N542" t="b">
        <v>0</v>
      </c>
    </row>
    <row r="543" spans="1:14">
      <c r="A543">
        <v>23</v>
      </c>
      <c r="B543">
        <v>11</v>
      </c>
      <c r="C543" t="s">
        <v>203</v>
      </c>
      <c r="D543" t="s">
        <v>722</v>
      </c>
      <c r="E543" t="s">
        <v>96</v>
      </c>
      <c r="F543">
        <v>40</v>
      </c>
      <c r="G543" t="s">
        <v>124</v>
      </c>
      <c r="H543" t="s">
        <v>124</v>
      </c>
      <c r="I543" t="s">
        <v>96</v>
      </c>
      <c r="J543" t="s">
        <v>124</v>
      </c>
      <c r="K543" t="s">
        <v>124</v>
      </c>
      <c r="L543" t="s">
        <v>124</v>
      </c>
      <c r="M543" t="s">
        <v>1198</v>
      </c>
      <c r="N543" t="b">
        <v>0</v>
      </c>
    </row>
    <row r="544" spans="1:14">
      <c r="A544">
        <v>23</v>
      </c>
      <c r="B544">
        <v>12</v>
      </c>
      <c r="C544" t="s">
        <v>193</v>
      </c>
      <c r="D544" t="s">
        <v>722</v>
      </c>
      <c r="E544" t="s">
        <v>106</v>
      </c>
      <c r="F544">
        <v>60</v>
      </c>
      <c r="G544" t="s">
        <v>124</v>
      </c>
      <c r="H544" t="s">
        <v>124</v>
      </c>
      <c r="I544" t="s">
        <v>106</v>
      </c>
      <c r="J544" t="s">
        <v>124</v>
      </c>
      <c r="K544" t="s">
        <v>124</v>
      </c>
      <c r="L544" t="s">
        <v>124</v>
      </c>
      <c r="M544" t="s">
        <v>1199</v>
      </c>
      <c r="N544" t="b">
        <v>0</v>
      </c>
    </row>
    <row r="545" spans="1:14">
      <c r="A545">
        <v>23</v>
      </c>
      <c r="B545">
        <v>13</v>
      </c>
      <c r="C545" t="s">
        <v>124</v>
      </c>
      <c r="D545" t="s">
        <v>722</v>
      </c>
      <c r="E545" t="s">
        <v>124</v>
      </c>
      <c r="F545">
        <v>0</v>
      </c>
      <c r="G545" t="s">
        <v>124</v>
      </c>
      <c r="H545" t="s">
        <v>124</v>
      </c>
      <c r="I545" t="s">
        <v>124</v>
      </c>
      <c r="J545" t="s">
        <v>124</v>
      </c>
      <c r="K545" t="s">
        <v>124</v>
      </c>
      <c r="L545" t="s">
        <v>124</v>
      </c>
      <c r="M545" t="s">
        <v>1200</v>
      </c>
      <c r="N545" t="b">
        <v>0</v>
      </c>
    </row>
    <row r="546" spans="1:14">
      <c r="A546">
        <v>23</v>
      </c>
      <c r="B546">
        <v>14</v>
      </c>
      <c r="C546" t="s">
        <v>124</v>
      </c>
      <c r="D546" t="s">
        <v>722</v>
      </c>
      <c r="E546" t="s">
        <v>124</v>
      </c>
      <c r="F546">
        <v>0</v>
      </c>
      <c r="G546" t="s">
        <v>124</v>
      </c>
      <c r="H546" t="s">
        <v>124</v>
      </c>
      <c r="I546" t="s">
        <v>124</v>
      </c>
      <c r="J546" t="s">
        <v>124</v>
      </c>
      <c r="K546" t="s">
        <v>124</v>
      </c>
      <c r="L546" t="s">
        <v>124</v>
      </c>
      <c r="M546" t="s">
        <v>1201</v>
      </c>
      <c r="N546" t="b">
        <v>0</v>
      </c>
    </row>
    <row r="547" spans="1:14">
      <c r="A547">
        <v>23</v>
      </c>
      <c r="B547">
        <v>15</v>
      </c>
      <c r="C547" t="s">
        <v>124</v>
      </c>
      <c r="D547" t="s">
        <v>722</v>
      </c>
      <c r="E547" t="s">
        <v>124</v>
      </c>
      <c r="F547">
        <v>0</v>
      </c>
      <c r="G547" t="s">
        <v>124</v>
      </c>
      <c r="H547" t="s">
        <v>124</v>
      </c>
      <c r="I547" t="s">
        <v>124</v>
      </c>
      <c r="J547" t="s">
        <v>124</v>
      </c>
      <c r="K547" t="s">
        <v>124</v>
      </c>
      <c r="L547" t="s">
        <v>124</v>
      </c>
      <c r="M547" t="s">
        <v>1202</v>
      </c>
      <c r="N547" t="b">
        <v>0</v>
      </c>
    </row>
    <row r="548" spans="1:14">
      <c r="A548">
        <v>23</v>
      </c>
      <c r="B548">
        <v>16</v>
      </c>
      <c r="C548" t="s">
        <v>204</v>
      </c>
      <c r="D548" t="s">
        <v>739</v>
      </c>
      <c r="E548" t="s">
        <v>107</v>
      </c>
      <c r="F548">
        <v>50</v>
      </c>
      <c r="G548" t="s">
        <v>124</v>
      </c>
      <c r="H548" t="s">
        <v>124</v>
      </c>
      <c r="I548" t="s">
        <v>107</v>
      </c>
      <c r="J548" t="s">
        <v>124</v>
      </c>
      <c r="K548" t="s">
        <v>124</v>
      </c>
      <c r="L548" t="s">
        <v>124</v>
      </c>
      <c r="M548" t="s">
        <v>1203</v>
      </c>
      <c r="N548" t="b">
        <v>0</v>
      </c>
    </row>
    <row r="549" spans="1:14">
      <c r="A549">
        <v>23</v>
      </c>
      <c r="B549">
        <v>17</v>
      </c>
      <c r="C549" t="s">
        <v>275</v>
      </c>
      <c r="D549" t="s">
        <v>739</v>
      </c>
      <c r="E549" t="s">
        <v>110</v>
      </c>
      <c r="F549">
        <v>60</v>
      </c>
      <c r="G549" t="s">
        <v>124</v>
      </c>
      <c r="H549" t="s">
        <v>124</v>
      </c>
      <c r="I549" t="s">
        <v>110</v>
      </c>
      <c r="J549" t="s">
        <v>124</v>
      </c>
      <c r="K549" t="s">
        <v>124</v>
      </c>
      <c r="L549" t="s">
        <v>124</v>
      </c>
      <c r="M549" t="s">
        <v>685</v>
      </c>
      <c r="N549" t="b">
        <v>0</v>
      </c>
    </row>
    <row r="550" spans="1:14">
      <c r="A550">
        <v>23</v>
      </c>
      <c r="B550">
        <v>18</v>
      </c>
      <c r="C550" t="s">
        <v>196</v>
      </c>
      <c r="D550" t="s">
        <v>739</v>
      </c>
      <c r="E550" t="s">
        <v>111</v>
      </c>
      <c r="F550">
        <v>50</v>
      </c>
      <c r="G550" t="s">
        <v>124</v>
      </c>
      <c r="H550" t="s">
        <v>124</v>
      </c>
      <c r="I550" t="s">
        <v>111</v>
      </c>
      <c r="J550" t="s">
        <v>124</v>
      </c>
      <c r="K550" t="s">
        <v>124</v>
      </c>
      <c r="L550" t="s">
        <v>124</v>
      </c>
      <c r="M550" t="s">
        <v>1204</v>
      </c>
      <c r="N550" t="b">
        <v>0</v>
      </c>
    </row>
    <row r="551" spans="1:14">
      <c r="A551">
        <v>23</v>
      </c>
      <c r="B551">
        <v>19</v>
      </c>
      <c r="C551" t="s">
        <v>276</v>
      </c>
      <c r="D551" t="s">
        <v>739</v>
      </c>
      <c r="E551" t="s">
        <v>90</v>
      </c>
      <c r="F551">
        <v>60</v>
      </c>
      <c r="G551" t="s">
        <v>124</v>
      </c>
      <c r="H551" t="s">
        <v>124</v>
      </c>
      <c r="I551" t="s">
        <v>90</v>
      </c>
      <c r="J551" t="s">
        <v>124</v>
      </c>
      <c r="K551" t="s">
        <v>124</v>
      </c>
      <c r="L551" t="s">
        <v>124</v>
      </c>
      <c r="M551" t="s">
        <v>1205</v>
      </c>
      <c r="N551" t="b">
        <v>0</v>
      </c>
    </row>
    <row r="552" spans="1:14">
      <c r="A552">
        <v>23</v>
      </c>
      <c r="B552">
        <v>20</v>
      </c>
      <c r="C552" t="s">
        <v>124</v>
      </c>
      <c r="D552" t="s">
        <v>739</v>
      </c>
      <c r="E552" t="s">
        <v>124</v>
      </c>
      <c r="F552">
        <v>0</v>
      </c>
      <c r="G552" t="s">
        <v>124</v>
      </c>
      <c r="H552" t="s">
        <v>124</v>
      </c>
      <c r="I552" t="s">
        <v>124</v>
      </c>
      <c r="J552" t="s">
        <v>124</v>
      </c>
      <c r="K552" t="s">
        <v>124</v>
      </c>
      <c r="L552" t="s">
        <v>124</v>
      </c>
      <c r="M552" t="s">
        <v>1206</v>
      </c>
      <c r="N552" t="b">
        <v>0</v>
      </c>
    </row>
    <row r="553" spans="1:14">
      <c r="A553">
        <v>23</v>
      </c>
      <c r="B553">
        <v>21</v>
      </c>
      <c r="C553" t="s">
        <v>124</v>
      </c>
      <c r="D553" t="s">
        <v>739</v>
      </c>
      <c r="E553" t="s">
        <v>124</v>
      </c>
      <c r="F553">
        <v>0</v>
      </c>
      <c r="G553" t="s">
        <v>124</v>
      </c>
      <c r="H553" t="s">
        <v>124</v>
      </c>
      <c r="I553" t="s">
        <v>124</v>
      </c>
      <c r="J553" t="s">
        <v>124</v>
      </c>
      <c r="K553" t="s">
        <v>124</v>
      </c>
      <c r="L553" t="s">
        <v>124</v>
      </c>
      <c r="M553" t="s">
        <v>1207</v>
      </c>
      <c r="N553" t="b">
        <v>0</v>
      </c>
    </row>
    <row r="554" spans="1:14">
      <c r="A554">
        <v>23</v>
      </c>
      <c r="B554">
        <v>22</v>
      </c>
      <c r="C554" t="s">
        <v>124</v>
      </c>
      <c r="D554" t="s">
        <v>739</v>
      </c>
      <c r="E554" t="s">
        <v>124</v>
      </c>
      <c r="F554">
        <v>0</v>
      </c>
      <c r="G554" t="s">
        <v>124</v>
      </c>
      <c r="H554" t="s">
        <v>124</v>
      </c>
      <c r="I554" t="s">
        <v>124</v>
      </c>
      <c r="J554" t="s">
        <v>124</v>
      </c>
      <c r="K554" t="s">
        <v>124</v>
      </c>
      <c r="L554" t="s">
        <v>124</v>
      </c>
      <c r="M554" t="s">
        <v>1208</v>
      </c>
      <c r="N554" t="b">
        <v>0</v>
      </c>
    </row>
    <row r="555" spans="1:14">
      <c r="A555">
        <v>23</v>
      </c>
      <c r="B555">
        <v>23</v>
      </c>
      <c r="C555" t="s">
        <v>124</v>
      </c>
      <c r="D555" t="s">
        <v>739</v>
      </c>
      <c r="E555" t="s">
        <v>124</v>
      </c>
      <c r="F555">
        <v>0</v>
      </c>
      <c r="G555" t="s">
        <v>124</v>
      </c>
      <c r="H555" t="s">
        <v>124</v>
      </c>
      <c r="I555" t="s">
        <v>124</v>
      </c>
      <c r="J555" t="s">
        <v>124</v>
      </c>
      <c r="K555" t="s">
        <v>124</v>
      </c>
      <c r="L555" t="s">
        <v>124</v>
      </c>
      <c r="M555" t="s">
        <v>1209</v>
      </c>
      <c r="N555" t="b">
        <v>0</v>
      </c>
    </row>
    <row r="556" spans="1:14">
      <c r="A556">
        <v>23</v>
      </c>
      <c r="B556">
        <v>24</v>
      </c>
      <c r="C556" t="s">
        <v>124</v>
      </c>
      <c r="D556" t="s">
        <v>739</v>
      </c>
      <c r="E556" t="s">
        <v>124</v>
      </c>
      <c r="F556">
        <v>0</v>
      </c>
      <c r="G556" t="s">
        <v>124</v>
      </c>
      <c r="H556" t="s">
        <v>124</v>
      </c>
      <c r="I556" t="s">
        <v>124</v>
      </c>
      <c r="J556" t="s">
        <v>124</v>
      </c>
      <c r="K556" t="s">
        <v>124</v>
      </c>
      <c r="L556" t="s">
        <v>124</v>
      </c>
      <c r="M556" t="s">
        <v>1210</v>
      </c>
      <c r="N556" t="b">
        <v>0</v>
      </c>
    </row>
    <row r="557" spans="1:14">
      <c r="A557">
        <v>23</v>
      </c>
      <c r="B557">
        <v>25</v>
      </c>
      <c r="C557" t="s">
        <v>124</v>
      </c>
      <c r="D557" t="s">
        <v>739</v>
      </c>
      <c r="E557" t="s">
        <v>124</v>
      </c>
      <c r="F557">
        <v>0</v>
      </c>
      <c r="G557" t="s">
        <v>124</v>
      </c>
      <c r="H557" t="s">
        <v>124</v>
      </c>
      <c r="I557" t="s">
        <v>124</v>
      </c>
      <c r="J557" t="s">
        <v>124</v>
      </c>
      <c r="K557" t="s">
        <v>124</v>
      </c>
      <c r="L557" t="s">
        <v>124</v>
      </c>
      <c r="M557" t="s">
        <v>1211</v>
      </c>
      <c r="N557" t="b">
        <v>0</v>
      </c>
    </row>
    <row r="558" spans="1:14">
      <c r="A558">
        <v>23</v>
      </c>
      <c r="B558">
        <v>26</v>
      </c>
      <c r="C558" t="s">
        <v>124</v>
      </c>
      <c r="D558" t="s">
        <v>739</v>
      </c>
      <c r="E558" t="s">
        <v>124</v>
      </c>
      <c r="F558">
        <v>0</v>
      </c>
      <c r="G558" t="s">
        <v>124</v>
      </c>
      <c r="H558" t="s">
        <v>124</v>
      </c>
      <c r="I558" t="s">
        <v>124</v>
      </c>
      <c r="J558" t="s">
        <v>124</v>
      </c>
      <c r="K558" t="s">
        <v>124</v>
      </c>
      <c r="L558" t="s">
        <v>124</v>
      </c>
      <c r="M558" t="s">
        <v>1212</v>
      </c>
      <c r="N558" t="b">
        <v>0</v>
      </c>
    </row>
    <row r="559" spans="1:14">
      <c r="A559">
        <v>24</v>
      </c>
      <c r="B559">
        <v>0</v>
      </c>
      <c r="C559" t="s">
        <v>194</v>
      </c>
      <c r="D559" t="s">
        <v>722</v>
      </c>
      <c r="E559" t="s">
        <v>58</v>
      </c>
      <c r="F559">
        <v>60</v>
      </c>
      <c r="G559" t="s">
        <v>124</v>
      </c>
      <c r="H559" t="s">
        <v>124</v>
      </c>
      <c r="I559" t="s">
        <v>58</v>
      </c>
      <c r="J559" t="s">
        <v>124</v>
      </c>
      <c r="K559" t="s">
        <v>124</v>
      </c>
      <c r="L559" t="s">
        <v>124</v>
      </c>
      <c r="M559" t="s">
        <v>1213</v>
      </c>
      <c r="N559" t="b">
        <v>0</v>
      </c>
    </row>
    <row r="560" spans="1:14">
      <c r="A560">
        <v>24</v>
      </c>
      <c r="B560">
        <v>1</v>
      </c>
      <c r="C560" t="s">
        <v>243</v>
      </c>
      <c r="D560" t="s">
        <v>722</v>
      </c>
      <c r="E560" t="s">
        <v>81</v>
      </c>
      <c r="F560">
        <v>60</v>
      </c>
      <c r="G560" t="s">
        <v>124</v>
      </c>
      <c r="H560" t="s">
        <v>124</v>
      </c>
      <c r="I560" t="s">
        <v>81</v>
      </c>
      <c r="J560" t="s">
        <v>124</v>
      </c>
      <c r="K560" t="s">
        <v>124</v>
      </c>
      <c r="L560" t="s">
        <v>124</v>
      </c>
      <c r="M560" t="s">
        <v>1214</v>
      </c>
      <c r="N560" t="b">
        <v>0</v>
      </c>
    </row>
    <row r="561" spans="1:14">
      <c r="A561">
        <v>24</v>
      </c>
      <c r="B561">
        <v>2</v>
      </c>
      <c r="C561" t="s">
        <v>195</v>
      </c>
      <c r="D561" t="s">
        <v>722</v>
      </c>
      <c r="E561" t="s">
        <v>85</v>
      </c>
      <c r="F561">
        <v>50</v>
      </c>
      <c r="G561" t="s">
        <v>124</v>
      </c>
      <c r="H561" t="s">
        <v>124</v>
      </c>
      <c r="I561" t="s">
        <v>85</v>
      </c>
      <c r="J561" t="s">
        <v>124</v>
      </c>
      <c r="K561" t="s">
        <v>124</v>
      </c>
      <c r="L561" t="s">
        <v>124</v>
      </c>
      <c r="M561" t="s">
        <v>1215</v>
      </c>
      <c r="N561" t="b">
        <v>0</v>
      </c>
    </row>
    <row r="562" spans="1:14">
      <c r="A562">
        <v>24</v>
      </c>
      <c r="B562">
        <v>3</v>
      </c>
      <c r="C562" t="s">
        <v>278</v>
      </c>
      <c r="D562" t="s">
        <v>722</v>
      </c>
      <c r="E562" t="s">
        <v>91</v>
      </c>
      <c r="F562">
        <v>30</v>
      </c>
      <c r="G562" t="s">
        <v>124</v>
      </c>
      <c r="H562" t="s">
        <v>124</v>
      </c>
      <c r="I562" t="s">
        <v>91</v>
      </c>
      <c r="J562" t="s">
        <v>124</v>
      </c>
      <c r="K562" t="s">
        <v>124</v>
      </c>
      <c r="L562" t="s">
        <v>124</v>
      </c>
      <c r="M562" t="s">
        <v>1216</v>
      </c>
      <c r="N562" t="b">
        <v>0</v>
      </c>
    </row>
    <row r="563" spans="1:14">
      <c r="A563">
        <v>24</v>
      </c>
      <c r="B563">
        <v>4</v>
      </c>
      <c r="C563" t="s">
        <v>157</v>
      </c>
      <c r="D563" t="s">
        <v>751</v>
      </c>
      <c r="E563" t="s">
        <v>295</v>
      </c>
      <c r="F563">
        <v>50</v>
      </c>
      <c r="G563" t="s">
        <v>758</v>
      </c>
      <c r="H563" t="s">
        <v>124</v>
      </c>
      <c r="I563" t="s">
        <v>124</v>
      </c>
      <c r="J563" t="s">
        <v>759</v>
      </c>
      <c r="K563" t="s">
        <v>760</v>
      </c>
      <c r="L563" t="s">
        <v>761</v>
      </c>
      <c r="M563" t="s">
        <v>1217</v>
      </c>
      <c r="N563" t="b">
        <v>0</v>
      </c>
    </row>
    <row r="564" spans="1:14">
      <c r="A564">
        <v>24</v>
      </c>
      <c r="B564">
        <v>5</v>
      </c>
      <c r="C564" t="s">
        <v>244</v>
      </c>
      <c r="D564" t="s">
        <v>722</v>
      </c>
      <c r="E564" t="s">
        <v>112</v>
      </c>
      <c r="F564">
        <v>40</v>
      </c>
      <c r="G564" t="s">
        <v>124</v>
      </c>
      <c r="H564" t="s">
        <v>124</v>
      </c>
      <c r="I564" t="s">
        <v>112</v>
      </c>
      <c r="J564" t="s">
        <v>124</v>
      </c>
      <c r="K564" t="s">
        <v>124</v>
      </c>
      <c r="L564" t="s">
        <v>124</v>
      </c>
      <c r="M564" t="s">
        <v>1218</v>
      </c>
      <c r="N564" t="b">
        <v>0</v>
      </c>
    </row>
    <row r="565" spans="1:14">
      <c r="A565">
        <v>24</v>
      </c>
      <c r="B565">
        <v>6</v>
      </c>
      <c r="C565" t="s">
        <v>180</v>
      </c>
      <c r="D565" t="s">
        <v>722</v>
      </c>
      <c r="E565" t="s">
        <v>59</v>
      </c>
      <c r="F565">
        <v>40</v>
      </c>
      <c r="G565" t="s">
        <v>124</v>
      </c>
      <c r="H565" t="s">
        <v>124</v>
      </c>
      <c r="I565" t="s">
        <v>59</v>
      </c>
      <c r="J565" t="s">
        <v>124</v>
      </c>
      <c r="K565" t="s">
        <v>124</v>
      </c>
      <c r="L565" t="s">
        <v>124</v>
      </c>
      <c r="M565" t="s">
        <v>1219</v>
      </c>
      <c r="N565" t="b">
        <v>0</v>
      </c>
    </row>
    <row r="566" spans="1:14">
      <c r="A566">
        <v>24</v>
      </c>
      <c r="B566">
        <v>7</v>
      </c>
      <c r="C566" t="s">
        <v>191</v>
      </c>
      <c r="D566" t="s">
        <v>722</v>
      </c>
      <c r="E566" t="s">
        <v>76</v>
      </c>
      <c r="F566">
        <v>50</v>
      </c>
      <c r="G566" t="s">
        <v>124</v>
      </c>
      <c r="H566" t="s">
        <v>124</v>
      </c>
      <c r="I566" t="s">
        <v>76</v>
      </c>
      <c r="J566" t="s">
        <v>124</v>
      </c>
      <c r="K566" t="s">
        <v>124</v>
      </c>
      <c r="L566" t="s">
        <v>124</v>
      </c>
      <c r="M566" t="s">
        <v>1220</v>
      </c>
      <c r="N566" t="b">
        <v>0</v>
      </c>
    </row>
    <row r="567" spans="1:14">
      <c r="A567">
        <v>24</v>
      </c>
      <c r="B567">
        <v>8</v>
      </c>
      <c r="C567" t="s">
        <v>124</v>
      </c>
      <c r="D567" t="s">
        <v>722</v>
      </c>
      <c r="E567" t="s">
        <v>124</v>
      </c>
      <c r="F567">
        <v>0</v>
      </c>
      <c r="G567" t="s">
        <v>124</v>
      </c>
      <c r="H567" t="s">
        <v>124</v>
      </c>
      <c r="I567" t="s">
        <v>124</v>
      </c>
      <c r="J567" t="s">
        <v>124</v>
      </c>
      <c r="K567" t="s">
        <v>124</v>
      </c>
      <c r="L567" t="s">
        <v>124</v>
      </c>
      <c r="M567" t="s">
        <v>1221</v>
      </c>
      <c r="N567" t="b">
        <v>0</v>
      </c>
    </row>
    <row r="568" spans="1:14">
      <c r="A568">
        <v>24</v>
      </c>
      <c r="B568">
        <v>9</v>
      </c>
      <c r="C568" t="s">
        <v>124</v>
      </c>
      <c r="D568" t="s">
        <v>722</v>
      </c>
      <c r="E568" t="s">
        <v>124</v>
      </c>
      <c r="F568">
        <v>0</v>
      </c>
      <c r="G568" t="s">
        <v>124</v>
      </c>
      <c r="H568" t="s">
        <v>124</v>
      </c>
      <c r="I568" t="s">
        <v>124</v>
      </c>
      <c r="J568" t="s">
        <v>124</v>
      </c>
      <c r="K568" t="s">
        <v>124</v>
      </c>
      <c r="L568" t="s">
        <v>124</v>
      </c>
      <c r="M568" t="s">
        <v>1222</v>
      </c>
      <c r="N568" t="b">
        <v>0</v>
      </c>
    </row>
    <row r="569" spans="1:14">
      <c r="A569">
        <v>24</v>
      </c>
      <c r="B569">
        <v>10</v>
      </c>
      <c r="C569" t="s">
        <v>124</v>
      </c>
      <c r="D569" t="s">
        <v>722</v>
      </c>
      <c r="E569" t="s">
        <v>124</v>
      </c>
      <c r="F569">
        <v>0</v>
      </c>
      <c r="G569" t="s">
        <v>124</v>
      </c>
      <c r="H569" t="s">
        <v>124</v>
      </c>
      <c r="I569" t="s">
        <v>124</v>
      </c>
      <c r="J569" t="s">
        <v>124</v>
      </c>
      <c r="K569" t="s">
        <v>124</v>
      </c>
      <c r="L569" t="s">
        <v>124</v>
      </c>
      <c r="M569" t="s">
        <v>1223</v>
      </c>
      <c r="N569" t="b">
        <v>0</v>
      </c>
    </row>
    <row r="570" spans="1:14">
      <c r="A570">
        <v>24</v>
      </c>
      <c r="B570">
        <v>11</v>
      </c>
      <c r="C570" t="s">
        <v>124</v>
      </c>
      <c r="D570" t="s">
        <v>722</v>
      </c>
      <c r="E570" t="s">
        <v>124</v>
      </c>
      <c r="F570">
        <v>0</v>
      </c>
      <c r="G570" t="s">
        <v>124</v>
      </c>
      <c r="H570" t="s">
        <v>124</v>
      </c>
      <c r="I570" t="s">
        <v>124</v>
      </c>
      <c r="J570" t="s">
        <v>124</v>
      </c>
      <c r="K570" t="s">
        <v>124</v>
      </c>
      <c r="L570" t="s">
        <v>124</v>
      </c>
      <c r="M570" t="s">
        <v>1224</v>
      </c>
      <c r="N570" t="b">
        <v>0</v>
      </c>
    </row>
    <row r="571" spans="1:14">
      <c r="A571">
        <v>24</v>
      </c>
      <c r="B571">
        <v>12</v>
      </c>
      <c r="C571" t="s">
        <v>124</v>
      </c>
      <c r="D571" t="s">
        <v>722</v>
      </c>
      <c r="E571" t="s">
        <v>124</v>
      </c>
      <c r="F571">
        <v>0</v>
      </c>
      <c r="G571" t="s">
        <v>124</v>
      </c>
      <c r="H571" t="s">
        <v>124</v>
      </c>
      <c r="I571" t="s">
        <v>124</v>
      </c>
      <c r="J571" t="s">
        <v>124</v>
      </c>
      <c r="K571" t="s">
        <v>124</v>
      </c>
      <c r="L571" t="s">
        <v>124</v>
      </c>
      <c r="M571" t="s">
        <v>1225</v>
      </c>
      <c r="N571" t="b">
        <v>0</v>
      </c>
    </row>
    <row r="572" spans="1:14">
      <c r="A572">
        <v>24</v>
      </c>
      <c r="B572">
        <v>13</v>
      </c>
      <c r="C572" t="s">
        <v>124</v>
      </c>
      <c r="D572" t="s">
        <v>722</v>
      </c>
      <c r="E572" t="s">
        <v>124</v>
      </c>
      <c r="F572">
        <v>0</v>
      </c>
      <c r="G572" t="s">
        <v>124</v>
      </c>
      <c r="H572" t="s">
        <v>124</v>
      </c>
      <c r="I572" t="s">
        <v>124</v>
      </c>
      <c r="J572" t="s">
        <v>124</v>
      </c>
      <c r="K572" t="s">
        <v>124</v>
      </c>
      <c r="L572" t="s">
        <v>124</v>
      </c>
      <c r="M572" t="s">
        <v>1226</v>
      </c>
      <c r="N572" t="b">
        <v>0</v>
      </c>
    </row>
    <row r="573" spans="1:14">
      <c r="A573">
        <v>24</v>
      </c>
      <c r="B573">
        <v>14</v>
      </c>
      <c r="C573" t="s">
        <v>124</v>
      </c>
      <c r="D573" t="s">
        <v>722</v>
      </c>
      <c r="E573" t="s">
        <v>124</v>
      </c>
      <c r="F573">
        <v>0</v>
      </c>
      <c r="G573" t="s">
        <v>124</v>
      </c>
      <c r="H573" t="s">
        <v>124</v>
      </c>
      <c r="I573" t="s">
        <v>124</v>
      </c>
      <c r="J573" t="s">
        <v>124</v>
      </c>
      <c r="K573" t="s">
        <v>124</v>
      </c>
      <c r="L573" t="s">
        <v>124</v>
      </c>
      <c r="M573" t="s">
        <v>1227</v>
      </c>
      <c r="N573" t="b">
        <v>0</v>
      </c>
    </row>
    <row r="574" spans="1:14">
      <c r="A574">
        <v>24</v>
      </c>
      <c r="B574">
        <v>15</v>
      </c>
      <c r="C574" t="s">
        <v>124</v>
      </c>
      <c r="D574" t="s">
        <v>722</v>
      </c>
      <c r="E574" t="s">
        <v>124</v>
      </c>
      <c r="F574">
        <v>0</v>
      </c>
      <c r="G574" t="s">
        <v>124</v>
      </c>
      <c r="H574" t="s">
        <v>124</v>
      </c>
      <c r="I574" t="s">
        <v>124</v>
      </c>
      <c r="J574" t="s">
        <v>124</v>
      </c>
      <c r="K574" t="s">
        <v>124</v>
      </c>
      <c r="L574" t="s">
        <v>124</v>
      </c>
      <c r="M574" t="s">
        <v>1228</v>
      </c>
      <c r="N574" t="b">
        <v>0</v>
      </c>
    </row>
    <row r="575" spans="1:14">
      <c r="A575">
        <v>24</v>
      </c>
      <c r="B575">
        <v>16</v>
      </c>
      <c r="C575" t="s">
        <v>279</v>
      </c>
      <c r="D575" t="s">
        <v>739</v>
      </c>
      <c r="E575" t="s">
        <v>65</v>
      </c>
      <c r="F575">
        <v>30</v>
      </c>
      <c r="G575" t="s">
        <v>124</v>
      </c>
      <c r="H575" t="s">
        <v>124</v>
      </c>
      <c r="I575" t="s">
        <v>65</v>
      </c>
      <c r="J575" t="s">
        <v>124</v>
      </c>
      <c r="K575" t="s">
        <v>124</v>
      </c>
      <c r="L575" t="s">
        <v>124</v>
      </c>
      <c r="M575" t="s">
        <v>1229</v>
      </c>
      <c r="N575" t="b">
        <v>0</v>
      </c>
    </row>
    <row r="576" spans="1:14">
      <c r="A576">
        <v>24</v>
      </c>
      <c r="B576">
        <v>17</v>
      </c>
      <c r="C576" t="s">
        <v>280</v>
      </c>
      <c r="D576" t="s">
        <v>739</v>
      </c>
      <c r="E576" t="s">
        <v>541</v>
      </c>
      <c r="F576">
        <v>30</v>
      </c>
      <c r="G576" t="s">
        <v>758</v>
      </c>
      <c r="H576" t="s">
        <v>124</v>
      </c>
      <c r="I576" t="s">
        <v>124</v>
      </c>
      <c r="J576" t="s">
        <v>1100</v>
      </c>
      <c r="K576" t="s">
        <v>1101</v>
      </c>
      <c r="L576" t="s">
        <v>1054</v>
      </c>
      <c r="M576" t="s">
        <v>687</v>
      </c>
      <c r="N576" t="b">
        <v>0</v>
      </c>
    </row>
    <row r="577" spans="1:14">
      <c r="A577">
        <v>24</v>
      </c>
      <c r="B577">
        <v>18</v>
      </c>
      <c r="C577" t="s">
        <v>281</v>
      </c>
      <c r="D577" t="s">
        <v>739</v>
      </c>
      <c r="E577" t="s">
        <v>542</v>
      </c>
      <c r="F577">
        <v>30</v>
      </c>
      <c r="G577" t="s">
        <v>758</v>
      </c>
      <c r="H577" t="s">
        <v>124</v>
      </c>
      <c r="I577" t="s">
        <v>124</v>
      </c>
      <c r="J577" t="s">
        <v>815</v>
      </c>
      <c r="K577" t="s">
        <v>790</v>
      </c>
      <c r="L577" t="s">
        <v>791</v>
      </c>
      <c r="M577" t="s">
        <v>1230</v>
      </c>
      <c r="N577" t="b">
        <v>0</v>
      </c>
    </row>
    <row r="578" spans="1:14">
      <c r="A578">
        <v>24</v>
      </c>
      <c r="B578">
        <v>19</v>
      </c>
      <c r="C578" t="s">
        <v>282</v>
      </c>
      <c r="D578" t="s">
        <v>739</v>
      </c>
      <c r="E578" t="s">
        <v>543</v>
      </c>
      <c r="F578">
        <v>30</v>
      </c>
      <c r="G578" t="s">
        <v>758</v>
      </c>
      <c r="H578" t="s">
        <v>124</v>
      </c>
      <c r="I578" t="s">
        <v>124</v>
      </c>
      <c r="J578" t="s">
        <v>822</v>
      </c>
      <c r="K578" t="s">
        <v>799</v>
      </c>
      <c r="L578" t="s">
        <v>800</v>
      </c>
      <c r="M578" t="s">
        <v>1231</v>
      </c>
      <c r="N578" t="b">
        <v>0</v>
      </c>
    </row>
    <row r="579" spans="1:14">
      <c r="A579">
        <v>24</v>
      </c>
      <c r="B579">
        <v>20</v>
      </c>
      <c r="C579" t="s">
        <v>124</v>
      </c>
      <c r="D579" t="s">
        <v>739</v>
      </c>
      <c r="E579" t="s">
        <v>124</v>
      </c>
      <c r="F579">
        <v>0</v>
      </c>
      <c r="G579" t="s">
        <v>124</v>
      </c>
      <c r="H579" t="s">
        <v>124</v>
      </c>
      <c r="I579" t="s">
        <v>124</v>
      </c>
      <c r="J579" t="s">
        <v>124</v>
      </c>
      <c r="K579" t="s">
        <v>124</v>
      </c>
      <c r="L579" t="s">
        <v>124</v>
      </c>
      <c r="M579" t="s">
        <v>1232</v>
      </c>
      <c r="N579" t="b">
        <v>0</v>
      </c>
    </row>
    <row r="580" spans="1:14">
      <c r="A580">
        <v>24</v>
      </c>
      <c r="B580">
        <v>21</v>
      </c>
      <c r="C580" t="s">
        <v>124</v>
      </c>
      <c r="D580" t="s">
        <v>739</v>
      </c>
      <c r="E580" t="s">
        <v>124</v>
      </c>
      <c r="F580">
        <v>0</v>
      </c>
      <c r="G580" t="s">
        <v>124</v>
      </c>
      <c r="H580" t="s">
        <v>124</v>
      </c>
      <c r="I580" t="s">
        <v>124</v>
      </c>
      <c r="J580" t="s">
        <v>124</v>
      </c>
      <c r="K580" t="s">
        <v>124</v>
      </c>
      <c r="L580" t="s">
        <v>124</v>
      </c>
      <c r="M580" t="s">
        <v>1233</v>
      </c>
      <c r="N580" t="b">
        <v>0</v>
      </c>
    </row>
    <row r="581" spans="1:14">
      <c r="A581">
        <v>24</v>
      </c>
      <c r="B581">
        <v>22</v>
      </c>
      <c r="C581" t="s">
        <v>124</v>
      </c>
      <c r="D581" t="s">
        <v>739</v>
      </c>
      <c r="E581" t="s">
        <v>124</v>
      </c>
      <c r="F581">
        <v>0</v>
      </c>
      <c r="G581" t="s">
        <v>124</v>
      </c>
      <c r="H581" t="s">
        <v>124</v>
      </c>
      <c r="I581" t="s">
        <v>124</v>
      </c>
      <c r="J581" t="s">
        <v>124</v>
      </c>
      <c r="K581" t="s">
        <v>124</v>
      </c>
      <c r="L581" t="s">
        <v>124</v>
      </c>
      <c r="M581" t="s">
        <v>1234</v>
      </c>
      <c r="N581" t="b">
        <v>0</v>
      </c>
    </row>
    <row r="582" spans="1:14">
      <c r="A582">
        <v>24</v>
      </c>
      <c r="B582">
        <v>23</v>
      </c>
      <c r="C582" t="s">
        <v>124</v>
      </c>
      <c r="D582" t="s">
        <v>739</v>
      </c>
      <c r="E582" t="s">
        <v>124</v>
      </c>
      <c r="F582">
        <v>0</v>
      </c>
      <c r="G582" t="s">
        <v>124</v>
      </c>
      <c r="H582" t="s">
        <v>124</v>
      </c>
      <c r="I582" t="s">
        <v>124</v>
      </c>
      <c r="J582" t="s">
        <v>124</v>
      </c>
      <c r="K582" t="s">
        <v>124</v>
      </c>
      <c r="L582" t="s">
        <v>124</v>
      </c>
      <c r="M582" t="s">
        <v>1235</v>
      </c>
      <c r="N582" t="b">
        <v>0</v>
      </c>
    </row>
    <row r="583" spans="1:14">
      <c r="A583">
        <v>24</v>
      </c>
      <c r="B583">
        <v>24</v>
      </c>
      <c r="C583" t="s">
        <v>124</v>
      </c>
      <c r="D583" t="s">
        <v>739</v>
      </c>
      <c r="E583" t="s">
        <v>124</v>
      </c>
      <c r="F583">
        <v>0</v>
      </c>
      <c r="G583" t="s">
        <v>124</v>
      </c>
      <c r="H583" t="s">
        <v>124</v>
      </c>
      <c r="I583" t="s">
        <v>124</v>
      </c>
      <c r="J583" t="s">
        <v>124</v>
      </c>
      <c r="K583" t="s">
        <v>124</v>
      </c>
      <c r="L583" t="s">
        <v>124</v>
      </c>
      <c r="M583" t="s">
        <v>1236</v>
      </c>
      <c r="N583" t="b">
        <v>0</v>
      </c>
    </row>
    <row r="584" spans="1:14">
      <c r="A584">
        <v>24</v>
      </c>
      <c r="B584">
        <v>25</v>
      </c>
      <c r="C584" t="s">
        <v>124</v>
      </c>
      <c r="D584" t="s">
        <v>739</v>
      </c>
      <c r="E584" t="s">
        <v>124</v>
      </c>
      <c r="F584">
        <v>0</v>
      </c>
      <c r="G584" t="s">
        <v>124</v>
      </c>
      <c r="H584" t="s">
        <v>124</v>
      </c>
      <c r="I584" t="s">
        <v>124</v>
      </c>
      <c r="J584" t="s">
        <v>124</v>
      </c>
      <c r="K584" t="s">
        <v>124</v>
      </c>
      <c r="L584" t="s">
        <v>124</v>
      </c>
      <c r="M584" t="s">
        <v>1237</v>
      </c>
      <c r="N584" t="b">
        <v>0</v>
      </c>
    </row>
    <row r="585" spans="1:14">
      <c r="A585">
        <v>24</v>
      </c>
      <c r="B585">
        <v>26</v>
      </c>
      <c r="C585" t="s">
        <v>124</v>
      </c>
      <c r="D585" t="s">
        <v>739</v>
      </c>
      <c r="E585" t="s">
        <v>124</v>
      </c>
      <c r="F585">
        <v>0</v>
      </c>
      <c r="G585" t="s">
        <v>124</v>
      </c>
      <c r="H585" t="s">
        <v>124</v>
      </c>
      <c r="I585" t="s">
        <v>124</v>
      </c>
      <c r="J585" t="s">
        <v>124</v>
      </c>
      <c r="K585" t="s">
        <v>124</v>
      </c>
      <c r="L585" t="s">
        <v>124</v>
      </c>
      <c r="M585" t="s">
        <v>1238</v>
      </c>
      <c r="N585" t="b">
        <v>0</v>
      </c>
    </row>
    <row r="586" spans="1:14">
      <c r="A586">
        <v>25</v>
      </c>
      <c r="B586">
        <v>0</v>
      </c>
      <c r="C586" t="s">
        <v>184</v>
      </c>
      <c r="D586" t="s">
        <v>722</v>
      </c>
      <c r="E586" t="s">
        <v>63</v>
      </c>
      <c r="F586">
        <v>50</v>
      </c>
      <c r="G586" t="s">
        <v>124</v>
      </c>
      <c r="H586" t="s">
        <v>124</v>
      </c>
      <c r="I586" t="s">
        <v>63</v>
      </c>
      <c r="J586" t="s">
        <v>124</v>
      </c>
      <c r="K586" t="s">
        <v>124</v>
      </c>
      <c r="L586" t="s">
        <v>124</v>
      </c>
      <c r="M586" t="s">
        <v>1239</v>
      </c>
      <c r="N586" t="b">
        <v>0</v>
      </c>
    </row>
    <row r="587" spans="1:14">
      <c r="A587">
        <v>25</v>
      </c>
      <c r="B587">
        <v>1</v>
      </c>
      <c r="C587" t="s">
        <v>224</v>
      </c>
      <c r="D587" t="s">
        <v>722</v>
      </c>
      <c r="E587" t="s">
        <v>75</v>
      </c>
      <c r="F587">
        <v>50</v>
      </c>
      <c r="G587" t="s">
        <v>124</v>
      </c>
      <c r="H587" t="s">
        <v>124</v>
      </c>
      <c r="I587" t="s">
        <v>75</v>
      </c>
      <c r="J587" t="s">
        <v>124</v>
      </c>
      <c r="K587" t="s">
        <v>124</v>
      </c>
      <c r="L587" t="s">
        <v>124</v>
      </c>
      <c r="M587" t="s">
        <v>1240</v>
      </c>
      <c r="N587" t="b">
        <v>0</v>
      </c>
    </row>
    <row r="588" spans="1:14">
      <c r="A588">
        <v>25</v>
      </c>
      <c r="B588">
        <v>2</v>
      </c>
      <c r="C588" t="s">
        <v>266</v>
      </c>
      <c r="D588" t="s">
        <v>722</v>
      </c>
      <c r="E588" t="s">
        <v>81</v>
      </c>
      <c r="F588">
        <v>30</v>
      </c>
      <c r="G588" t="s">
        <v>124</v>
      </c>
      <c r="H588" t="s">
        <v>124</v>
      </c>
      <c r="I588" t="s">
        <v>81</v>
      </c>
      <c r="J588" t="s">
        <v>124</v>
      </c>
      <c r="K588" t="s">
        <v>124</v>
      </c>
      <c r="L588" t="s">
        <v>124</v>
      </c>
      <c r="M588" t="s">
        <v>1241</v>
      </c>
      <c r="N588" t="b">
        <v>0</v>
      </c>
    </row>
    <row r="589" spans="1:14">
      <c r="A589">
        <v>25</v>
      </c>
      <c r="B589">
        <v>3</v>
      </c>
      <c r="C589" t="s">
        <v>249</v>
      </c>
      <c r="D589" t="s">
        <v>722</v>
      </c>
      <c r="E589" t="s">
        <v>97</v>
      </c>
      <c r="F589">
        <v>40</v>
      </c>
      <c r="G589" t="s">
        <v>124</v>
      </c>
      <c r="H589" t="s">
        <v>124</v>
      </c>
      <c r="I589" t="s">
        <v>97</v>
      </c>
      <c r="J589" t="s">
        <v>124</v>
      </c>
      <c r="K589" t="s">
        <v>124</v>
      </c>
      <c r="L589" t="s">
        <v>124</v>
      </c>
      <c r="M589" t="s">
        <v>1242</v>
      </c>
      <c r="N589" t="b">
        <v>0</v>
      </c>
    </row>
    <row r="590" spans="1:14">
      <c r="A590">
        <v>25</v>
      </c>
      <c r="B590">
        <v>4</v>
      </c>
      <c r="C590" t="s">
        <v>227</v>
      </c>
      <c r="D590" t="s">
        <v>722</v>
      </c>
      <c r="E590" t="s">
        <v>99</v>
      </c>
      <c r="F590">
        <v>40</v>
      </c>
      <c r="G590" t="s">
        <v>124</v>
      </c>
      <c r="H590" t="s">
        <v>124</v>
      </c>
      <c r="I590" t="s">
        <v>99</v>
      </c>
      <c r="J590" t="s">
        <v>124</v>
      </c>
      <c r="K590" t="s">
        <v>124</v>
      </c>
      <c r="L590" t="s">
        <v>124</v>
      </c>
      <c r="M590" t="s">
        <v>1243</v>
      </c>
      <c r="N590" t="b">
        <v>0</v>
      </c>
    </row>
    <row r="591" spans="1:14">
      <c r="A591">
        <v>25</v>
      </c>
      <c r="B591">
        <v>5</v>
      </c>
      <c r="C591" t="s">
        <v>285</v>
      </c>
      <c r="D591" t="s">
        <v>722</v>
      </c>
      <c r="E591" t="s">
        <v>101</v>
      </c>
      <c r="F591">
        <v>40</v>
      </c>
      <c r="G591" t="s">
        <v>124</v>
      </c>
      <c r="H591" t="s">
        <v>124</v>
      </c>
      <c r="I591" t="s">
        <v>101</v>
      </c>
      <c r="J591" t="s">
        <v>124</v>
      </c>
      <c r="K591" t="s">
        <v>124</v>
      </c>
      <c r="L591" t="s">
        <v>124</v>
      </c>
      <c r="M591" t="s">
        <v>1244</v>
      </c>
      <c r="N591" t="b">
        <v>0</v>
      </c>
    </row>
    <row r="592" spans="1:14">
      <c r="A592">
        <v>25</v>
      </c>
      <c r="B592">
        <v>6</v>
      </c>
      <c r="C592" t="s">
        <v>286</v>
      </c>
      <c r="D592" t="s">
        <v>722</v>
      </c>
      <c r="E592" t="s">
        <v>329</v>
      </c>
      <c r="F592">
        <v>40</v>
      </c>
      <c r="G592" t="s">
        <v>124</v>
      </c>
      <c r="H592" t="s">
        <v>546</v>
      </c>
      <c r="I592" t="s">
        <v>443</v>
      </c>
      <c r="J592" t="s">
        <v>124</v>
      </c>
      <c r="K592" t="s">
        <v>919</v>
      </c>
      <c r="L592" t="s">
        <v>920</v>
      </c>
      <c r="M592" t="s">
        <v>791</v>
      </c>
      <c r="N592" t="b">
        <v>0</v>
      </c>
    </row>
    <row r="593" spans="1:14">
      <c r="A593">
        <v>25</v>
      </c>
      <c r="B593">
        <v>7</v>
      </c>
      <c r="C593" t="s">
        <v>274</v>
      </c>
      <c r="D593" t="s">
        <v>722</v>
      </c>
      <c r="E593" t="s">
        <v>72</v>
      </c>
      <c r="F593">
        <v>40</v>
      </c>
      <c r="G593" t="s">
        <v>124</v>
      </c>
      <c r="H593" t="s">
        <v>124</v>
      </c>
      <c r="I593" t="s">
        <v>72</v>
      </c>
      <c r="J593" t="s">
        <v>124</v>
      </c>
      <c r="K593" t="s">
        <v>124</v>
      </c>
      <c r="L593" t="s">
        <v>124</v>
      </c>
      <c r="M593" t="s">
        <v>1245</v>
      </c>
      <c r="N593" t="b">
        <v>0</v>
      </c>
    </row>
    <row r="594" spans="1:14">
      <c r="A594">
        <v>25</v>
      </c>
      <c r="B594">
        <v>8</v>
      </c>
      <c r="C594" t="s">
        <v>287</v>
      </c>
      <c r="D594" t="s">
        <v>722</v>
      </c>
      <c r="E594" t="s">
        <v>76</v>
      </c>
      <c r="F594">
        <v>30</v>
      </c>
      <c r="G594" t="s">
        <v>124</v>
      </c>
      <c r="H594" t="s">
        <v>124</v>
      </c>
      <c r="I594" t="s">
        <v>76</v>
      </c>
      <c r="J594" t="s">
        <v>124</v>
      </c>
      <c r="K594" t="s">
        <v>124</v>
      </c>
      <c r="L594" t="s">
        <v>124</v>
      </c>
      <c r="M594" t="s">
        <v>1246</v>
      </c>
      <c r="N594" t="b">
        <v>0</v>
      </c>
    </row>
    <row r="595" spans="1:14">
      <c r="A595">
        <v>25</v>
      </c>
      <c r="B595">
        <v>9</v>
      </c>
      <c r="C595" t="s">
        <v>230</v>
      </c>
      <c r="D595" t="s">
        <v>722</v>
      </c>
      <c r="E595" t="s">
        <v>106</v>
      </c>
      <c r="F595">
        <v>50</v>
      </c>
      <c r="G595" t="s">
        <v>124</v>
      </c>
      <c r="H595" t="s">
        <v>124</v>
      </c>
      <c r="I595" t="s">
        <v>106</v>
      </c>
      <c r="J595" t="s">
        <v>124</v>
      </c>
      <c r="K595" t="s">
        <v>124</v>
      </c>
      <c r="L595" t="s">
        <v>124</v>
      </c>
      <c r="M595" t="s">
        <v>1247</v>
      </c>
      <c r="N595" t="b">
        <v>0</v>
      </c>
    </row>
    <row r="596" spans="1:14">
      <c r="A596">
        <v>25</v>
      </c>
      <c r="B596">
        <v>10</v>
      </c>
      <c r="C596" t="s">
        <v>124</v>
      </c>
      <c r="D596" t="s">
        <v>722</v>
      </c>
      <c r="E596" t="s">
        <v>124</v>
      </c>
      <c r="F596">
        <v>0</v>
      </c>
      <c r="G596" t="s">
        <v>124</v>
      </c>
      <c r="H596" t="s">
        <v>124</v>
      </c>
      <c r="I596" t="s">
        <v>124</v>
      </c>
      <c r="J596" t="s">
        <v>124</v>
      </c>
      <c r="K596" t="s">
        <v>124</v>
      </c>
      <c r="L596" t="s">
        <v>124</v>
      </c>
      <c r="M596" t="s">
        <v>1248</v>
      </c>
      <c r="N596" t="b">
        <v>0</v>
      </c>
    </row>
    <row r="597" spans="1:14">
      <c r="A597">
        <v>25</v>
      </c>
      <c r="B597">
        <v>11</v>
      </c>
      <c r="C597" t="s">
        <v>124</v>
      </c>
      <c r="D597" t="s">
        <v>722</v>
      </c>
      <c r="E597" t="s">
        <v>124</v>
      </c>
      <c r="F597">
        <v>0</v>
      </c>
      <c r="G597" t="s">
        <v>124</v>
      </c>
      <c r="H597" t="s">
        <v>124</v>
      </c>
      <c r="I597" t="s">
        <v>124</v>
      </c>
      <c r="J597" t="s">
        <v>124</v>
      </c>
      <c r="K597" t="s">
        <v>124</v>
      </c>
      <c r="L597" t="s">
        <v>124</v>
      </c>
      <c r="M597" t="s">
        <v>1249</v>
      </c>
      <c r="N597" t="b">
        <v>0</v>
      </c>
    </row>
    <row r="598" spans="1:14">
      <c r="A598">
        <v>25</v>
      </c>
      <c r="B598">
        <v>12</v>
      </c>
      <c r="C598" t="s">
        <v>124</v>
      </c>
      <c r="D598" t="s">
        <v>722</v>
      </c>
      <c r="E598" t="s">
        <v>124</v>
      </c>
      <c r="F598">
        <v>0</v>
      </c>
      <c r="G598" t="s">
        <v>124</v>
      </c>
      <c r="H598" t="s">
        <v>124</v>
      </c>
      <c r="I598" t="s">
        <v>124</v>
      </c>
      <c r="J598" t="s">
        <v>124</v>
      </c>
      <c r="K598" t="s">
        <v>124</v>
      </c>
      <c r="L598" t="s">
        <v>124</v>
      </c>
      <c r="M598" t="s">
        <v>1250</v>
      </c>
      <c r="N598" t="b">
        <v>0</v>
      </c>
    </row>
    <row r="599" spans="1:14">
      <c r="A599">
        <v>25</v>
      </c>
      <c r="B599">
        <v>13</v>
      </c>
      <c r="C599" t="s">
        <v>124</v>
      </c>
      <c r="D599" t="s">
        <v>722</v>
      </c>
      <c r="E599" t="s">
        <v>124</v>
      </c>
      <c r="F599">
        <v>0</v>
      </c>
      <c r="G599" t="s">
        <v>124</v>
      </c>
      <c r="H599" t="s">
        <v>124</v>
      </c>
      <c r="I599" t="s">
        <v>124</v>
      </c>
      <c r="J599" t="s">
        <v>124</v>
      </c>
      <c r="K599" t="s">
        <v>124</v>
      </c>
      <c r="L599" t="s">
        <v>124</v>
      </c>
      <c r="M599" t="s">
        <v>1251</v>
      </c>
      <c r="N599" t="b">
        <v>0</v>
      </c>
    </row>
    <row r="600" spans="1:14">
      <c r="A600">
        <v>25</v>
      </c>
      <c r="B600">
        <v>14</v>
      </c>
      <c r="C600" t="s">
        <v>124</v>
      </c>
      <c r="D600" t="s">
        <v>722</v>
      </c>
      <c r="E600" t="s">
        <v>124</v>
      </c>
      <c r="F600">
        <v>0</v>
      </c>
      <c r="G600" t="s">
        <v>124</v>
      </c>
      <c r="H600" t="s">
        <v>124</v>
      </c>
      <c r="I600" t="s">
        <v>124</v>
      </c>
      <c r="J600" t="s">
        <v>124</v>
      </c>
      <c r="K600" t="s">
        <v>124</v>
      </c>
      <c r="L600" t="s">
        <v>124</v>
      </c>
      <c r="M600" t="s">
        <v>1252</v>
      </c>
      <c r="N600" t="b">
        <v>0</v>
      </c>
    </row>
    <row r="601" spans="1:14">
      <c r="A601">
        <v>25</v>
      </c>
      <c r="B601">
        <v>15</v>
      </c>
      <c r="C601" t="s">
        <v>124</v>
      </c>
      <c r="D601" t="s">
        <v>722</v>
      </c>
      <c r="E601" t="s">
        <v>124</v>
      </c>
      <c r="F601">
        <v>0</v>
      </c>
      <c r="G601" t="s">
        <v>124</v>
      </c>
      <c r="H601" t="s">
        <v>124</v>
      </c>
      <c r="I601" t="s">
        <v>124</v>
      </c>
      <c r="J601" t="s">
        <v>124</v>
      </c>
      <c r="K601" t="s">
        <v>124</v>
      </c>
      <c r="L601" t="s">
        <v>124</v>
      </c>
      <c r="M601" t="s">
        <v>1253</v>
      </c>
      <c r="N601" t="b">
        <v>0</v>
      </c>
    </row>
    <row r="602" spans="1:14">
      <c r="A602">
        <v>25</v>
      </c>
      <c r="B602">
        <v>16</v>
      </c>
      <c r="C602" t="s">
        <v>288</v>
      </c>
      <c r="D602" t="s">
        <v>739</v>
      </c>
      <c r="E602" t="s">
        <v>73</v>
      </c>
      <c r="F602">
        <v>40</v>
      </c>
      <c r="G602" t="s">
        <v>124</v>
      </c>
      <c r="H602" t="s">
        <v>124</v>
      </c>
      <c r="I602" t="s">
        <v>73</v>
      </c>
      <c r="J602" t="s">
        <v>124</v>
      </c>
      <c r="K602" t="s">
        <v>124</v>
      </c>
      <c r="L602" t="s">
        <v>124</v>
      </c>
      <c r="M602" t="s">
        <v>1254</v>
      </c>
      <c r="N602" t="b">
        <v>0</v>
      </c>
    </row>
    <row r="603" spans="1:14">
      <c r="A603">
        <v>25</v>
      </c>
      <c r="B603">
        <v>17</v>
      </c>
      <c r="C603" t="s">
        <v>208</v>
      </c>
      <c r="D603" t="s">
        <v>739</v>
      </c>
      <c r="E603" t="s">
        <v>85</v>
      </c>
      <c r="F603">
        <v>40</v>
      </c>
      <c r="G603" t="s">
        <v>124</v>
      </c>
      <c r="H603" t="s">
        <v>124</v>
      </c>
      <c r="I603" t="s">
        <v>85</v>
      </c>
      <c r="J603" t="s">
        <v>124</v>
      </c>
      <c r="K603" t="s">
        <v>124</v>
      </c>
      <c r="L603" t="s">
        <v>124</v>
      </c>
      <c r="M603" t="s">
        <v>689</v>
      </c>
      <c r="N603" t="b">
        <v>0</v>
      </c>
    </row>
    <row r="604" spans="1:14">
      <c r="A604">
        <v>25</v>
      </c>
      <c r="B604">
        <v>18</v>
      </c>
      <c r="C604" t="s">
        <v>178</v>
      </c>
      <c r="D604" t="s">
        <v>739</v>
      </c>
      <c r="E604" t="s">
        <v>542</v>
      </c>
      <c r="F604">
        <v>40</v>
      </c>
      <c r="G604" t="s">
        <v>758</v>
      </c>
      <c r="H604" t="s">
        <v>124</v>
      </c>
      <c r="I604" t="s">
        <v>124</v>
      </c>
      <c r="J604" t="s">
        <v>815</v>
      </c>
      <c r="K604" t="s">
        <v>790</v>
      </c>
      <c r="L604" t="s">
        <v>791</v>
      </c>
      <c r="M604" t="s">
        <v>1255</v>
      </c>
      <c r="N604" t="b">
        <v>0</v>
      </c>
    </row>
    <row r="605" spans="1:14">
      <c r="A605">
        <v>25</v>
      </c>
      <c r="B605">
        <v>19</v>
      </c>
      <c r="C605" t="s">
        <v>216</v>
      </c>
      <c r="D605" t="s">
        <v>739</v>
      </c>
      <c r="E605" t="s">
        <v>93</v>
      </c>
      <c r="F605">
        <v>40</v>
      </c>
      <c r="G605" t="s">
        <v>124</v>
      </c>
      <c r="H605" t="s">
        <v>124</v>
      </c>
      <c r="I605" t="s">
        <v>93</v>
      </c>
      <c r="J605" t="s">
        <v>124</v>
      </c>
      <c r="K605" t="s">
        <v>124</v>
      </c>
      <c r="L605" t="s">
        <v>124</v>
      </c>
      <c r="M605" t="s">
        <v>1256</v>
      </c>
      <c r="N605" t="b">
        <v>0</v>
      </c>
    </row>
    <row r="606" spans="1:14">
      <c r="A606">
        <v>25</v>
      </c>
      <c r="B606">
        <v>20</v>
      </c>
      <c r="C606" t="s">
        <v>158</v>
      </c>
      <c r="D606" t="s">
        <v>739</v>
      </c>
      <c r="E606" t="s">
        <v>295</v>
      </c>
      <c r="F606">
        <v>40</v>
      </c>
      <c r="G606" t="s">
        <v>758</v>
      </c>
      <c r="H606" t="s">
        <v>124</v>
      </c>
      <c r="I606" t="s">
        <v>124</v>
      </c>
      <c r="J606" t="s">
        <v>759</v>
      </c>
      <c r="K606" t="s">
        <v>760</v>
      </c>
      <c r="L606" t="s">
        <v>761</v>
      </c>
      <c r="M606" t="s">
        <v>1257</v>
      </c>
      <c r="N606" t="b">
        <v>0</v>
      </c>
    </row>
    <row r="607" spans="1:14">
      <c r="A607">
        <v>25</v>
      </c>
      <c r="B607">
        <v>21</v>
      </c>
      <c r="C607" t="s">
        <v>179</v>
      </c>
      <c r="D607" t="s">
        <v>739</v>
      </c>
      <c r="E607" t="s">
        <v>110</v>
      </c>
      <c r="F607">
        <v>50</v>
      </c>
      <c r="G607" t="s">
        <v>124</v>
      </c>
      <c r="H607" t="s">
        <v>124</v>
      </c>
      <c r="I607" t="s">
        <v>110</v>
      </c>
      <c r="J607" t="s">
        <v>124</v>
      </c>
      <c r="K607" t="s">
        <v>124</v>
      </c>
      <c r="L607" t="s">
        <v>124</v>
      </c>
      <c r="M607" t="s">
        <v>1258</v>
      </c>
      <c r="N607" t="b">
        <v>0</v>
      </c>
    </row>
    <row r="608" spans="1:14">
      <c r="A608">
        <v>25</v>
      </c>
      <c r="B608">
        <v>22</v>
      </c>
      <c r="C608" t="s">
        <v>289</v>
      </c>
      <c r="D608" t="s">
        <v>739</v>
      </c>
      <c r="E608" t="s">
        <v>111</v>
      </c>
      <c r="F608">
        <v>40</v>
      </c>
      <c r="G608" t="s">
        <v>124</v>
      </c>
      <c r="H608" t="s">
        <v>124</v>
      </c>
      <c r="I608" t="s">
        <v>111</v>
      </c>
      <c r="J608" t="s">
        <v>124</v>
      </c>
      <c r="K608" t="s">
        <v>124</v>
      </c>
      <c r="L608" t="s">
        <v>124</v>
      </c>
      <c r="M608" t="s">
        <v>1259</v>
      </c>
      <c r="N608" t="b">
        <v>0</v>
      </c>
    </row>
    <row r="609" spans="1:14">
      <c r="A609">
        <v>25</v>
      </c>
      <c r="B609">
        <v>23</v>
      </c>
      <c r="C609" t="s">
        <v>167</v>
      </c>
      <c r="D609" t="s">
        <v>739</v>
      </c>
      <c r="E609" t="s">
        <v>96</v>
      </c>
      <c r="F609">
        <v>60</v>
      </c>
      <c r="G609" t="s">
        <v>124</v>
      </c>
      <c r="H609" t="s">
        <v>124</v>
      </c>
      <c r="I609" t="s">
        <v>96</v>
      </c>
      <c r="J609" t="s">
        <v>124</v>
      </c>
      <c r="K609" t="s">
        <v>124</v>
      </c>
      <c r="L609" t="s">
        <v>124</v>
      </c>
      <c r="M609" t="s">
        <v>1260</v>
      </c>
      <c r="N609" t="b">
        <v>0</v>
      </c>
    </row>
    <row r="610" spans="1:14">
      <c r="A610">
        <v>25</v>
      </c>
      <c r="B610">
        <v>24</v>
      </c>
      <c r="C610" t="s">
        <v>175</v>
      </c>
      <c r="D610" t="s">
        <v>739</v>
      </c>
      <c r="E610" t="s">
        <v>98</v>
      </c>
      <c r="F610">
        <v>40</v>
      </c>
      <c r="G610" t="s">
        <v>124</v>
      </c>
      <c r="H610" t="s">
        <v>124</v>
      </c>
      <c r="I610" t="s">
        <v>98</v>
      </c>
      <c r="J610" t="s">
        <v>124</v>
      </c>
      <c r="K610" t="s">
        <v>124</v>
      </c>
      <c r="L610" t="s">
        <v>124</v>
      </c>
      <c r="M610" t="s">
        <v>1261</v>
      </c>
      <c r="N610" t="b">
        <v>0</v>
      </c>
    </row>
    <row r="611" spans="1:14">
      <c r="A611">
        <v>25</v>
      </c>
      <c r="B611">
        <v>25</v>
      </c>
      <c r="C611" t="s">
        <v>290</v>
      </c>
      <c r="D611" t="s">
        <v>739</v>
      </c>
      <c r="E611" t="s">
        <v>105</v>
      </c>
      <c r="F611">
        <v>60</v>
      </c>
      <c r="G611" t="s">
        <v>124</v>
      </c>
      <c r="H611" t="s">
        <v>124</v>
      </c>
      <c r="I611" t="s">
        <v>105</v>
      </c>
      <c r="J611" t="s">
        <v>124</v>
      </c>
      <c r="K611" t="s">
        <v>124</v>
      </c>
      <c r="L611" t="s">
        <v>124</v>
      </c>
      <c r="M611" t="s">
        <v>1262</v>
      </c>
      <c r="N611" t="b">
        <v>0</v>
      </c>
    </row>
    <row r="612" spans="1:14">
      <c r="A612">
        <v>25</v>
      </c>
      <c r="B612">
        <v>26</v>
      </c>
      <c r="C612" t="s">
        <v>124</v>
      </c>
      <c r="D612" t="s">
        <v>739</v>
      </c>
      <c r="E612" t="s">
        <v>124</v>
      </c>
      <c r="F612">
        <v>0</v>
      </c>
      <c r="G612" t="s">
        <v>124</v>
      </c>
      <c r="H612" t="s">
        <v>124</v>
      </c>
      <c r="I612" t="s">
        <v>124</v>
      </c>
      <c r="J612" t="s">
        <v>124</v>
      </c>
      <c r="K612" t="s">
        <v>124</v>
      </c>
      <c r="L612" t="s">
        <v>124</v>
      </c>
      <c r="M612" t="s">
        <v>1263</v>
      </c>
      <c r="N612" t="b">
        <v>0</v>
      </c>
    </row>
    <row r="613" spans="1:14">
      <c r="A613">
        <v>30</v>
      </c>
      <c r="B613">
        <v>0</v>
      </c>
      <c r="C613" t="s">
        <v>214</v>
      </c>
      <c r="D613" t="s">
        <v>722</v>
      </c>
      <c r="E613" t="s">
        <v>63</v>
      </c>
      <c r="F613">
        <v>60</v>
      </c>
      <c r="G613" t="s">
        <v>124</v>
      </c>
      <c r="H613" t="s">
        <v>124</v>
      </c>
      <c r="I613" t="s">
        <v>63</v>
      </c>
      <c r="J613" t="s">
        <v>124</v>
      </c>
      <c r="K613" t="s">
        <v>124</v>
      </c>
      <c r="L613" t="s">
        <v>124</v>
      </c>
      <c r="M613" t="s">
        <v>1264</v>
      </c>
      <c r="N613" t="b">
        <v>0</v>
      </c>
    </row>
    <row r="614" spans="1:14">
      <c r="A614">
        <v>30</v>
      </c>
      <c r="B614">
        <v>1</v>
      </c>
      <c r="C614" t="s">
        <v>215</v>
      </c>
      <c r="D614" t="s">
        <v>722</v>
      </c>
      <c r="E614" t="s">
        <v>75</v>
      </c>
      <c r="F614">
        <v>60</v>
      </c>
      <c r="G614" t="s">
        <v>124</v>
      </c>
      <c r="H614" t="s">
        <v>124</v>
      </c>
      <c r="I614" t="s">
        <v>75</v>
      </c>
      <c r="J614" t="s">
        <v>124</v>
      </c>
      <c r="K614" t="s">
        <v>124</v>
      </c>
      <c r="L614" t="s">
        <v>124</v>
      </c>
      <c r="M614" t="s">
        <v>1265</v>
      </c>
      <c r="N614" t="b">
        <v>0</v>
      </c>
    </row>
    <row r="615" spans="1:14">
      <c r="A615">
        <v>30</v>
      </c>
      <c r="B615">
        <v>2</v>
      </c>
      <c r="C615" t="s">
        <v>216</v>
      </c>
      <c r="D615" t="s">
        <v>722</v>
      </c>
      <c r="E615" t="s">
        <v>93</v>
      </c>
      <c r="F615">
        <v>40</v>
      </c>
      <c r="G615" t="s">
        <v>124</v>
      </c>
      <c r="H615" t="s">
        <v>124</v>
      </c>
      <c r="I615" t="s">
        <v>93</v>
      </c>
      <c r="J615" t="s">
        <v>124</v>
      </c>
      <c r="K615" t="s">
        <v>124</v>
      </c>
      <c r="L615" t="s">
        <v>124</v>
      </c>
      <c r="M615" t="s">
        <v>1266</v>
      </c>
      <c r="N615" t="b">
        <v>0</v>
      </c>
    </row>
    <row r="616" spans="1:14">
      <c r="A616">
        <v>30</v>
      </c>
      <c r="B616">
        <v>3</v>
      </c>
      <c r="C616" t="s">
        <v>303</v>
      </c>
      <c r="D616" t="s">
        <v>722</v>
      </c>
      <c r="E616" t="s">
        <v>95</v>
      </c>
      <c r="F616">
        <v>50</v>
      </c>
      <c r="G616" t="s">
        <v>124</v>
      </c>
      <c r="H616" t="s">
        <v>124</v>
      </c>
      <c r="I616" t="s">
        <v>95</v>
      </c>
      <c r="J616" t="s">
        <v>124</v>
      </c>
      <c r="K616" t="s">
        <v>124</v>
      </c>
      <c r="L616" t="s">
        <v>124</v>
      </c>
      <c r="M616" t="s">
        <v>1267</v>
      </c>
      <c r="N616" t="b">
        <v>0</v>
      </c>
    </row>
    <row r="617" spans="1:14">
      <c r="A617">
        <v>30</v>
      </c>
      <c r="B617">
        <v>4</v>
      </c>
      <c r="C617" t="s">
        <v>217</v>
      </c>
      <c r="D617" t="s">
        <v>722</v>
      </c>
      <c r="E617" t="s">
        <v>99</v>
      </c>
      <c r="F617">
        <v>60</v>
      </c>
      <c r="G617" t="s">
        <v>124</v>
      </c>
      <c r="H617" t="s">
        <v>124</v>
      </c>
      <c r="I617" t="s">
        <v>99</v>
      </c>
      <c r="J617" t="s">
        <v>124</v>
      </c>
      <c r="K617" t="s">
        <v>124</v>
      </c>
      <c r="L617" t="s">
        <v>124</v>
      </c>
      <c r="M617" t="s">
        <v>1268</v>
      </c>
      <c r="N617" t="b">
        <v>0</v>
      </c>
    </row>
    <row r="618" spans="1:14">
      <c r="A618">
        <v>30</v>
      </c>
      <c r="B618">
        <v>5</v>
      </c>
      <c r="C618" t="s">
        <v>188</v>
      </c>
      <c r="D618" t="s">
        <v>722</v>
      </c>
      <c r="E618" t="s">
        <v>107</v>
      </c>
      <c r="F618">
        <v>30</v>
      </c>
      <c r="G618" t="s">
        <v>124</v>
      </c>
      <c r="H618" t="s">
        <v>124</v>
      </c>
      <c r="I618" t="s">
        <v>107</v>
      </c>
      <c r="J618" t="s">
        <v>124</v>
      </c>
      <c r="K618" t="s">
        <v>124</v>
      </c>
      <c r="L618" t="s">
        <v>124</v>
      </c>
      <c r="M618" t="s">
        <v>1269</v>
      </c>
      <c r="N618" t="b">
        <v>0</v>
      </c>
    </row>
    <row r="619" spans="1:14">
      <c r="A619">
        <v>30</v>
      </c>
      <c r="B619">
        <v>6</v>
      </c>
      <c r="C619" t="s">
        <v>196</v>
      </c>
      <c r="D619" t="s">
        <v>722</v>
      </c>
      <c r="E619" t="s">
        <v>111</v>
      </c>
      <c r="F619">
        <v>50</v>
      </c>
      <c r="G619" t="s">
        <v>124</v>
      </c>
      <c r="H619" t="s">
        <v>124</v>
      </c>
      <c r="I619" t="s">
        <v>111</v>
      </c>
      <c r="J619" t="s">
        <v>124</v>
      </c>
      <c r="K619" t="s">
        <v>124</v>
      </c>
      <c r="L619" t="s">
        <v>124</v>
      </c>
      <c r="M619" t="s">
        <v>1270</v>
      </c>
      <c r="N619" t="b">
        <v>0</v>
      </c>
    </row>
    <row r="620" spans="1:14">
      <c r="A620">
        <v>30</v>
      </c>
      <c r="B620">
        <v>7</v>
      </c>
      <c r="C620" t="s">
        <v>218</v>
      </c>
      <c r="D620" t="s">
        <v>722</v>
      </c>
      <c r="E620" t="s">
        <v>66</v>
      </c>
      <c r="F620">
        <v>50</v>
      </c>
      <c r="G620" t="s">
        <v>124</v>
      </c>
      <c r="H620" t="s">
        <v>124</v>
      </c>
      <c r="I620" t="s">
        <v>66</v>
      </c>
      <c r="J620" t="s">
        <v>124</v>
      </c>
      <c r="K620" t="s">
        <v>124</v>
      </c>
      <c r="L620" t="s">
        <v>124</v>
      </c>
      <c r="M620" t="s">
        <v>1271</v>
      </c>
      <c r="N620" t="b">
        <v>0</v>
      </c>
    </row>
    <row r="621" spans="1:14">
      <c r="A621">
        <v>30</v>
      </c>
      <c r="B621">
        <v>8</v>
      </c>
      <c r="C621" t="s">
        <v>219</v>
      </c>
      <c r="D621" t="s">
        <v>722</v>
      </c>
      <c r="E621" t="s">
        <v>329</v>
      </c>
      <c r="F621">
        <v>60</v>
      </c>
      <c r="G621" t="s">
        <v>124</v>
      </c>
      <c r="H621" t="s">
        <v>546</v>
      </c>
      <c r="I621" t="s">
        <v>443</v>
      </c>
      <c r="J621" t="s">
        <v>124</v>
      </c>
      <c r="K621" t="s">
        <v>919</v>
      </c>
      <c r="L621" t="s">
        <v>920</v>
      </c>
      <c r="M621" t="s">
        <v>1272</v>
      </c>
      <c r="N621" t="b">
        <v>0</v>
      </c>
    </row>
    <row r="622" spans="1:14">
      <c r="A622">
        <v>30</v>
      </c>
      <c r="B622">
        <v>9</v>
      </c>
      <c r="C622" t="s">
        <v>165</v>
      </c>
      <c r="D622" t="s">
        <v>722</v>
      </c>
      <c r="E622" t="s">
        <v>72</v>
      </c>
      <c r="F622">
        <v>50</v>
      </c>
      <c r="G622" t="s">
        <v>124</v>
      </c>
      <c r="H622" t="s">
        <v>124</v>
      </c>
      <c r="I622" t="s">
        <v>72</v>
      </c>
      <c r="J622" t="s">
        <v>124</v>
      </c>
      <c r="K622" t="s">
        <v>124</v>
      </c>
      <c r="L622" t="s">
        <v>124</v>
      </c>
      <c r="M622" t="s">
        <v>1273</v>
      </c>
      <c r="N622" t="b">
        <v>0</v>
      </c>
    </row>
    <row r="623" spans="1:14">
      <c r="A623">
        <v>30</v>
      </c>
      <c r="B623">
        <v>10</v>
      </c>
      <c r="C623" t="s">
        <v>220</v>
      </c>
      <c r="D623" t="s">
        <v>722</v>
      </c>
      <c r="E623" t="s">
        <v>100</v>
      </c>
      <c r="F623">
        <v>50</v>
      </c>
      <c r="G623" t="s">
        <v>124</v>
      </c>
      <c r="H623" t="s">
        <v>124</v>
      </c>
      <c r="I623" t="s">
        <v>100</v>
      </c>
      <c r="J623" t="s">
        <v>124</v>
      </c>
      <c r="K623" t="s">
        <v>124</v>
      </c>
      <c r="L623" t="s">
        <v>124</v>
      </c>
      <c r="M623" t="s">
        <v>1274</v>
      </c>
      <c r="N623" t="b">
        <v>0</v>
      </c>
    </row>
    <row r="624" spans="1:14">
      <c r="A624">
        <v>30</v>
      </c>
      <c r="B624">
        <v>11</v>
      </c>
      <c r="C624" t="s">
        <v>168</v>
      </c>
      <c r="D624" t="s">
        <v>722</v>
      </c>
      <c r="E624" t="s">
        <v>104</v>
      </c>
      <c r="F624">
        <v>50</v>
      </c>
      <c r="G624" t="s">
        <v>124</v>
      </c>
      <c r="H624" t="s">
        <v>124</v>
      </c>
      <c r="I624" t="s">
        <v>104</v>
      </c>
      <c r="J624" t="s">
        <v>124</v>
      </c>
      <c r="K624" t="s">
        <v>124</v>
      </c>
      <c r="L624" t="s">
        <v>124</v>
      </c>
      <c r="M624" t="s">
        <v>1275</v>
      </c>
      <c r="N624" t="b">
        <v>0</v>
      </c>
    </row>
    <row r="625" spans="1:14">
      <c r="A625">
        <v>30</v>
      </c>
      <c r="B625">
        <v>12</v>
      </c>
      <c r="C625" t="s">
        <v>221</v>
      </c>
      <c r="D625" t="s">
        <v>722</v>
      </c>
      <c r="E625" t="s">
        <v>105</v>
      </c>
      <c r="F625">
        <v>50</v>
      </c>
      <c r="G625" t="s">
        <v>124</v>
      </c>
      <c r="H625" t="s">
        <v>124</v>
      </c>
      <c r="I625" t="s">
        <v>105</v>
      </c>
      <c r="J625" t="s">
        <v>124</v>
      </c>
      <c r="K625" t="s">
        <v>124</v>
      </c>
      <c r="L625" t="s">
        <v>124</v>
      </c>
      <c r="M625" t="s">
        <v>1276</v>
      </c>
      <c r="N625" t="b">
        <v>0</v>
      </c>
    </row>
    <row r="626" spans="1:14">
      <c r="A626">
        <v>30</v>
      </c>
      <c r="B626">
        <v>13</v>
      </c>
      <c r="C626" t="s">
        <v>193</v>
      </c>
      <c r="D626" t="s">
        <v>722</v>
      </c>
      <c r="E626" t="s">
        <v>106</v>
      </c>
      <c r="F626">
        <v>60</v>
      </c>
      <c r="G626" t="s">
        <v>124</v>
      </c>
      <c r="H626" t="s">
        <v>124</v>
      </c>
      <c r="I626" t="s">
        <v>106</v>
      </c>
      <c r="J626" t="s">
        <v>124</v>
      </c>
      <c r="K626" t="s">
        <v>124</v>
      </c>
      <c r="L626" t="s">
        <v>124</v>
      </c>
      <c r="M626" t="s">
        <v>1277</v>
      </c>
      <c r="N626" t="b">
        <v>0</v>
      </c>
    </row>
    <row r="627" spans="1:14">
      <c r="A627">
        <v>30</v>
      </c>
      <c r="B627">
        <v>14</v>
      </c>
      <c r="C627" t="s">
        <v>124</v>
      </c>
      <c r="D627" t="s">
        <v>722</v>
      </c>
      <c r="E627" t="s">
        <v>124</v>
      </c>
      <c r="F627">
        <v>0</v>
      </c>
      <c r="G627" t="s">
        <v>124</v>
      </c>
      <c r="H627" t="s">
        <v>124</v>
      </c>
      <c r="I627" t="s">
        <v>124</v>
      </c>
      <c r="J627" t="s">
        <v>124</v>
      </c>
      <c r="K627" t="s">
        <v>124</v>
      </c>
      <c r="L627" t="s">
        <v>124</v>
      </c>
      <c r="M627" t="s">
        <v>1278</v>
      </c>
      <c r="N627" t="b">
        <v>0</v>
      </c>
    </row>
    <row r="628" spans="1:14">
      <c r="A628">
        <v>30</v>
      </c>
      <c r="B628">
        <v>15</v>
      </c>
      <c r="C628" t="s">
        <v>124</v>
      </c>
      <c r="D628" t="s">
        <v>722</v>
      </c>
      <c r="E628" t="s">
        <v>124</v>
      </c>
      <c r="F628">
        <v>0</v>
      </c>
      <c r="G628" t="s">
        <v>124</v>
      </c>
      <c r="H628" t="s">
        <v>124</v>
      </c>
      <c r="I628" t="s">
        <v>124</v>
      </c>
      <c r="J628" t="s">
        <v>124</v>
      </c>
      <c r="K628" t="s">
        <v>124</v>
      </c>
      <c r="L628" t="s">
        <v>124</v>
      </c>
      <c r="M628" t="s">
        <v>1279</v>
      </c>
      <c r="N628" t="b">
        <v>0</v>
      </c>
    </row>
    <row r="629" spans="1:14">
      <c r="A629">
        <v>30</v>
      </c>
      <c r="B629">
        <v>16</v>
      </c>
      <c r="C629" t="s">
        <v>124</v>
      </c>
      <c r="D629" t="s">
        <v>739</v>
      </c>
      <c r="E629" t="s">
        <v>124</v>
      </c>
      <c r="F629">
        <v>0</v>
      </c>
      <c r="G629" t="s">
        <v>124</v>
      </c>
      <c r="H629" t="s">
        <v>124</v>
      </c>
      <c r="I629" t="s">
        <v>124</v>
      </c>
      <c r="J629" t="s">
        <v>124</v>
      </c>
      <c r="K629" t="s">
        <v>124</v>
      </c>
      <c r="L629" t="s">
        <v>124</v>
      </c>
      <c r="M629" t="s">
        <v>1280</v>
      </c>
      <c r="N629" t="b">
        <v>0</v>
      </c>
    </row>
    <row r="630" spans="1:14">
      <c r="A630">
        <v>30</v>
      </c>
      <c r="B630">
        <v>17</v>
      </c>
      <c r="C630" t="s">
        <v>124</v>
      </c>
      <c r="D630" t="s">
        <v>739</v>
      </c>
      <c r="E630" t="s">
        <v>124</v>
      </c>
      <c r="F630">
        <v>0</v>
      </c>
      <c r="G630" t="s">
        <v>124</v>
      </c>
      <c r="H630" t="s">
        <v>124</v>
      </c>
      <c r="I630" t="s">
        <v>124</v>
      </c>
      <c r="J630" t="s">
        <v>124</v>
      </c>
      <c r="K630" t="s">
        <v>124</v>
      </c>
      <c r="L630" t="s">
        <v>124</v>
      </c>
      <c r="M630" t="s">
        <v>699</v>
      </c>
      <c r="N630" t="b">
        <v>0</v>
      </c>
    </row>
    <row r="631" spans="1:14">
      <c r="A631">
        <v>30</v>
      </c>
      <c r="B631">
        <v>18</v>
      </c>
      <c r="C631" t="s">
        <v>124</v>
      </c>
      <c r="D631" t="s">
        <v>739</v>
      </c>
      <c r="E631" t="s">
        <v>124</v>
      </c>
      <c r="F631">
        <v>0</v>
      </c>
      <c r="G631" t="s">
        <v>124</v>
      </c>
      <c r="H631" t="s">
        <v>124</v>
      </c>
      <c r="I631" t="s">
        <v>124</v>
      </c>
      <c r="J631" t="s">
        <v>124</v>
      </c>
      <c r="K631" t="s">
        <v>124</v>
      </c>
      <c r="L631" t="s">
        <v>124</v>
      </c>
      <c r="M631" t="s">
        <v>1281</v>
      </c>
      <c r="N631" t="b">
        <v>0</v>
      </c>
    </row>
    <row r="632" spans="1:14">
      <c r="A632">
        <v>30</v>
      </c>
      <c r="B632">
        <v>19</v>
      </c>
      <c r="C632" t="s">
        <v>124</v>
      </c>
      <c r="D632" t="s">
        <v>739</v>
      </c>
      <c r="E632" t="s">
        <v>124</v>
      </c>
      <c r="F632">
        <v>0</v>
      </c>
      <c r="G632" t="s">
        <v>124</v>
      </c>
      <c r="H632" t="s">
        <v>124</v>
      </c>
      <c r="I632" t="s">
        <v>124</v>
      </c>
      <c r="J632" t="s">
        <v>124</v>
      </c>
      <c r="K632" t="s">
        <v>124</v>
      </c>
      <c r="L632" t="s">
        <v>124</v>
      </c>
      <c r="M632" t="s">
        <v>1282</v>
      </c>
      <c r="N632" t="b">
        <v>0</v>
      </c>
    </row>
    <row r="633" spans="1:14">
      <c r="A633">
        <v>30</v>
      </c>
      <c r="B633">
        <v>20</v>
      </c>
      <c r="C633" t="s">
        <v>124</v>
      </c>
      <c r="D633" t="s">
        <v>739</v>
      </c>
      <c r="E633" t="s">
        <v>124</v>
      </c>
      <c r="F633">
        <v>0</v>
      </c>
      <c r="G633" t="s">
        <v>124</v>
      </c>
      <c r="H633" t="s">
        <v>124</v>
      </c>
      <c r="I633" t="s">
        <v>124</v>
      </c>
      <c r="J633" t="s">
        <v>124</v>
      </c>
      <c r="K633" t="s">
        <v>124</v>
      </c>
      <c r="L633" t="s">
        <v>124</v>
      </c>
      <c r="M633" t="s">
        <v>1283</v>
      </c>
      <c r="N633" t="b">
        <v>0</v>
      </c>
    </row>
    <row r="634" spans="1:14">
      <c r="A634">
        <v>30</v>
      </c>
      <c r="B634">
        <v>21</v>
      </c>
      <c r="C634" t="s">
        <v>124</v>
      </c>
      <c r="D634" t="s">
        <v>739</v>
      </c>
      <c r="E634" t="s">
        <v>124</v>
      </c>
      <c r="F634">
        <v>0</v>
      </c>
      <c r="G634" t="s">
        <v>124</v>
      </c>
      <c r="H634" t="s">
        <v>124</v>
      </c>
      <c r="I634" t="s">
        <v>124</v>
      </c>
      <c r="J634" t="s">
        <v>124</v>
      </c>
      <c r="K634" t="s">
        <v>124</v>
      </c>
      <c r="L634" t="s">
        <v>124</v>
      </c>
      <c r="M634" t="s">
        <v>1284</v>
      </c>
      <c r="N634" t="b">
        <v>0</v>
      </c>
    </row>
    <row r="635" spans="1:14">
      <c r="A635">
        <v>30</v>
      </c>
      <c r="B635">
        <v>22</v>
      </c>
      <c r="C635" t="s">
        <v>124</v>
      </c>
      <c r="D635" t="s">
        <v>739</v>
      </c>
      <c r="E635" t="s">
        <v>124</v>
      </c>
      <c r="F635">
        <v>0</v>
      </c>
      <c r="G635" t="s">
        <v>124</v>
      </c>
      <c r="H635" t="s">
        <v>124</v>
      </c>
      <c r="I635" t="s">
        <v>124</v>
      </c>
      <c r="J635" t="s">
        <v>124</v>
      </c>
      <c r="K635" t="s">
        <v>124</v>
      </c>
      <c r="L635" t="s">
        <v>124</v>
      </c>
      <c r="M635" t="s">
        <v>1285</v>
      </c>
      <c r="N635" t="b">
        <v>0</v>
      </c>
    </row>
    <row r="636" spans="1:14">
      <c r="A636">
        <v>30</v>
      </c>
      <c r="B636">
        <v>23</v>
      </c>
      <c r="C636" t="s">
        <v>124</v>
      </c>
      <c r="D636" t="s">
        <v>739</v>
      </c>
      <c r="E636" t="s">
        <v>124</v>
      </c>
      <c r="F636">
        <v>0</v>
      </c>
      <c r="G636" t="s">
        <v>124</v>
      </c>
      <c r="H636" t="s">
        <v>124</v>
      </c>
      <c r="I636" t="s">
        <v>124</v>
      </c>
      <c r="J636" t="s">
        <v>124</v>
      </c>
      <c r="K636" t="s">
        <v>124</v>
      </c>
      <c r="L636" t="s">
        <v>124</v>
      </c>
      <c r="M636" t="s">
        <v>1286</v>
      </c>
      <c r="N636" t="b">
        <v>0</v>
      </c>
    </row>
    <row r="637" spans="1:14">
      <c r="A637">
        <v>30</v>
      </c>
      <c r="B637">
        <v>24</v>
      </c>
      <c r="C637" t="s">
        <v>124</v>
      </c>
      <c r="D637" t="s">
        <v>739</v>
      </c>
      <c r="E637" t="s">
        <v>124</v>
      </c>
      <c r="F637">
        <v>0</v>
      </c>
      <c r="G637" t="s">
        <v>124</v>
      </c>
      <c r="H637" t="s">
        <v>124</v>
      </c>
      <c r="I637" t="s">
        <v>124</v>
      </c>
      <c r="J637" t="s">
        <v>124</v>
      </c>
      <c r="K637" t="s">
        <v>124</v>
      </c>
      <c r="L637" t="s">
        <v>124</v>
      </c>
      <c r="M637" t="s">
        <v>1287</v>
      </c>
      <c r="N637" t="b">
        <v>0</v>
      </c>
    </row>
    <row r="638" spans="1:14">
      <c r="A638">
        <v>30</v>
      </c>
      <c r="B638">
        <v>25</v>
      </c>
      <c r="C638" t="s">
        <v>124</v>
      </c>
      <c r="D638" t="s">
        <v>739</v>
      </c>
      <c r="E638" t="s">
        <v>124</v>
      </c>
      <c r="F638">
        <v>0</v>
      </c>
      <c r="G638" t="s">
        <v>124</v>
      </c>
      <c r="H638" t="s">
        <v>124</v>
      </c>
      <c r="I638" t="s">
        <v>124</v>
      </c>
      <c r="J638" t="s">
        <v>124</v>
      </c>
      <c r="K638" t="s">
        <v>124</v>
      </c>
      <c r="L638" t="s">
        <v>124</v>
      </c>
      <c r="M638" t="s">
        <v>1288</v>
      </c>
      <c r="N638" t="b">
        <v>0</v>
      </c>
    </row>
    <row r="639" spans="1:14">
      <c r="A639">
        <v>30</v>
      </c>
      <c r="B639">
        <v>26</v>
      </c>
      <c r="C639" t="s">
        <v>124</v>
      </c>
      <c r="D639" t="s">
        <v>739</v>
      </c>
      <c r="E639" t="s">
        <v>124</v>
      </c>
      <c r="F639">
        <v>0</v>
      </c>
      <c r="G639" t="s">
        <v>124</v>
      </c>
      <c r="H639" t="s">
        <v>124</v>
      </c>
      <c r="I639" t="s">
        <v>124</v>
      </c>
      <c r="J639" t="s">
        <v>124</v>
      </c>
      <c r="K639" t="s">
        <v>124</v>
      </c>
      <c r="L639" t="s">
        <v>124</v>
      </c>
      <c r="M639" t="s">
        <v>1289</v>
      </c>
      <c r="N639" t="b">
        <v>0</v>
      </c>
    </row>
    <row r="640" spans="1:14">
      <c r="A640">
        <v>34</v>
      </c>
      <c r="B640">
        <v>0</v>
      </c>
      <c r="C640" t="s">
        <v>184</v>
      </c>
      <c r="D640" t="s">
        <v>722</v>
      </c>
      <c r="E640" t="s">
        <v>63</v>
      </c>
      <c r="F640">
        <v>50</v>
      </c>
      <c r="G640" t="s">
        <v>124</v>
      </c>
      <c r="H640" t="s">
        <v>124</v>
      </c>
      <c r="I640" t="s">
        <v>63</v>
      </c>
      <c r="J640" t="s">
        <v>124</v>
      </c>
      <c r="K640" t="s">
        <v>124</v>
      </c>
      <c r="L640" t="s">
        <v>124</v>
      </c>
      <c r="M640" t="s">
        <v>1290</v>
      </c>
      <c r="N640" t="b">
        <v>0</v>
      </c>
    </row>
    <row r="641" spans="1:14">
      <c r="A641">
        <v>34</v>
      </c>
      <c r="B641">
        <v>1</v>
      </c>
      <c r="C641" t="s">
        <v>156</v>
      </c>
      <c r="D641" t="s">
        <v>722</v>
      </c>
      <c r="E641" t="s">
        <v>81</v>
      </c>
      <c r="F641">
        <v>40</v>
      </c>
      <c r="G641" t="s">
        <v>124</v>
      </c>
      <c r="H641" t="s">
        <v>124</v>
      </c>
      <c r="I641" t="s">
        <v>81</v>
      </c>
      <c r="J641" t="s">
        <v>124</v>
      </c>
      <c r="K641" t="s">
        <v>124</v>
      </c>
      <c r="L641" t="s">
        <v>124</v>
      </c>
      <c r="M641" t="s">
        <v>1291</v>
      </c>
      <c r="N641" t="b">
        <v>0</v>
      </c>
    </row>
    <row r="642" spans="1:14">
      <c r="A642">
        <v>34</v>
      </c>
      <c r="B642">
        <v>2</v>
      </c>
      <c r="C642" t="s">
        <v>185</v>
      </c>
      <c r="D642" t="s">
        <v>722</v>
      </c>
      <c r="E642" t="s">
        <v>91</v>
      </c>
      <c r="F642">
        <v>50</v>
      </c>
      <c r="G642" t="s">
        <v>124</v>
      </c>
      <c r="H642" t="s">
        <v>124</v>
      </c>
      <c r="I642" t="s">
        <v>91</v>
      </c>
      <c r="J642" t="s">
        <v>124</v>
      </c>
      <c r="K642" t="s">
        <v>124</v>
      </c>
      <c r="L642" t="s">
        <v>124</v>
      </c>
      <c r="M642" t="s">
        <v>1292</v>
      </c>
      <c r="N642" t="b">
        <v>0</v>
      </c>
    </row>
    <row r="643" spans="1:14">
      <c r="A643">
        <v>34</v>
      </c>
      <c r="B643">
        <v>3</v>
      </c>
      <c r="C643" t="s">
        <v>249</v>
      </c>
      <c r="D643" t="s">
        <v>722</v>
      </c>
      <c r="E643" t="s">
        <v>97</v>
      </c>
      <c r="F643">
        <v>40</v>
      </c>
      <c r="G643" t="s">
        <v>124</v>
      </c>
      <c r="H643" t="s">
        <v>124</v>
      </c>
      <c r="I643" t="s">
        <v>97</v>
      </c>
      <c r="J643" t="s">
        <v>124</v>
      </c>
      <c r="K643" t="s">
        <v>124</v>
      </c>
      <c r="L643" t="s">
        <v>124</v>
      </c>
      <c r="M643" t="s">
        <v>1293</v>
      </c>
      <c r="N643" t="b">
        <v>0</v>
      </c>
    </row>
    <row r="644" spans="1:14">
      <c r="A644">
        <v>34</v>
      </c>
      <c r="B644">
        <v>4</v>
      </c>
      <c r="C644" t="s">
        <v>187</v>
      </c>
      <c r="D644" t="s">
        <v>722</v>
      </c>
      <c r="E644" t="s">
        <v>99</v>
      </c>
      <c r="F644">
        <v>50</v>
      </c>
      <c r="G644" t="s">
        <v>124</v>
      </c>
      <c r="H644" t="s">
        <v>124</v>
      </c>
      <c r="I644" t="s">
        <v>99</v>
      </c>
      <c r="J644" t="s">
        <v>124</v>
      </c>
      <c r="K644" t="s">
        <v>124</v>
      </c>
      <c r="L644" t="s">
        <v>124</v>
      </c>
      <c r="M644" t="s">
        <v>1294</v>
      </c>
      <c r="N644" t="b">
        <v>0</v>
      </c>
    </row>
    <row r="645" spans="1:14">
      <c r="A645">
        <v>34</v>
      </c>
      <c r="B645">
        <v>5</v>
      </c>
      <c r="C645" t="s">
        <v>313</v>
      </c>
      <c r="D645" t="s">
        <v>751</v>
      </c>
      <c r="E645" t="s">
        <v>295</v>
      </c>
      <c r="F645">
        <v>30</v>
      </c>
      <c r="G645" t="s">
        <v>758</v>
      </c>
      <c r="H645" t="s">
        <v>124</v>
      </c>
      <c r="I645" t="s">
        <v>124</v>
      </c>
      <c r="J645" t="s">
        <v>759</v>
      </c>
      <c r="K645" t="s">
        <v>760</v>
      </c>
      <c r="L645" t="s">
        <v>761</v>
      </c>
      <c r="M645" t="s">
        <v>1295</v>
      </c>
      <c r="N645" t="b">
        <v>0</v>
      </c>
    </row>
    <row r="646" spans="1:14">
      <c r="A646">
        <v>34</v>
      </c>
      <c r="B646">
        <v>6</v>
      </c>
      <c r="C646" t="s">
        <v>188</v>
      </c>
      <c r="D646" t="s">
        <v>722</v>
      </c>
      <c r="E646" t="s">
        <v>107</v>
      </c>
      <c r="F646">
        <v>30</v>
      </c>
      <c r="G646" t="s">
        <v>124</v>
      </c>
      <c r="H646" t="s">
        <v>124</v>
      </c>
      <c r="I646" t="s">
        <v>107</v>
      </c>
      <c r="J646" t="s">
        <v>124</v>
      </c>
      <c r="K646" t="s">
        <v>124</v>
      </c>
      <c r="L646" t="s">
        <v>124</v>
      </c>
      <c r="M646" t="s">
        <v>1296</v>
      </c>
      <c r="N646" t="b">
        <v>0</v>
      </c>
    </row>
    <row r="647" spans="1:14">
      <c r="A647">
        <v>34</v>
      </c>
      <c r="B647">
        <v>7</v>
      </c>
      <c r="C647" t="s">
        <v>314</v>
      </c>
      <c r="D647" t="s">
        <v>722</v>
      </c>
      <c r="E647" t="s">
        <v>111</v>
      </c>
      <c r="F647">
        <v>30</v>
      </c>
      <c r="G647" t="s">
        <v>124</v>
      </c>
      <c r="H647" t="s">
        <v>124</v>
      </c>
      <c r="I647" t="s">
        <v>111</v>
      </c>
      <c r="J647" t="s">
        <v>124</v>
      </c>
      <c r="K647" t="s">
        <v>124</v>
      </c>
      <c r="L647" t="s">
        <v>124</v>
      </c>
      <c r="M647" t="s">
        <v>1297</v>
      </c>
      <c r="N647" t="b">
        <v>0</v>
      </c>
    </row>
    <row r="648" spans="1:14">
      <c r="A648">
        <v>34</v>
      </c>
      <c r="B648">
        <v>8</v>
      </c>
      <c r="C648" t="s">
        <v>315</v>
      </c>
      <c r="D648" t="s">
        <v>722</v>
      </c>
      <c r="E648" t="s">
        <v>113</v>
      </c>
      <c r="F648">
        <v>30</v>
      </c>
      <c r="G648" t="s">
        <v>124</v>
      </c>
      <c r="H648" t="s">
        <v>124</v>
      </c>
      <c r="I648" t="s">
        <v>113</v>
      </c>
      <c r="J648" t="s">
        <v>124</v>
      </c>
      <c r="K648" t="s">
        <v>124</v>
      </c>
      <c r="L648" t="s">
        <v>124</v>
      </c>
      <c r="M648" t="s">
        <v>1298</v>
      </c>
      <c r="N648" t="b">
        <v>0</v>
      </c>
    </row>
    <row r="649" spans="1:14">
      <c r="A649">
        <v>34</v>
      </c>
      <c r="B649">
        <v>9</v>
      </c>
      <c r="C649" t="s">
        <v>190</v>
      </c>
      <c r="D649" t="s">
        <v>722</v>
      </c>
      <c r="E649" t="s">
        <v>59</v>
      </c>
      <c r="F649">
        <v>30</v>
      </c>
      <c r="G649" t="s">
        <v>124</v>
      </c>
      <c r="H649" t="s">
        <v>124</v>
      </c>
      <c r="I649" t="s">
        <v>59</v>
      </c>
      <c r="J649" t="s">
        <v>124</v>
      </c>
      <c r="K649" t="s">
        <v>124</v>
      </c>
      <c r="L649" t="s">
        <v>124</v>
      </c>
      <c r="M649" t="s">
        <v>1299</v>
      </c>
      <c r="N649" t="b">
        <v>0</v>
      </c>
    </row>
    <row r="650" spans="1:14">
      <c r="A650">
        <v>34</v>
      </c>
      <c r="B650">
        <v>10</v>
      </c>
      <c r="C650" t="s">
        <v>316</v>
      </c>
      <c r="D650" t="s">
        <v>722</v>
      </c>
      <c r="E650" t="s">
        <v>329</v>
      </c>
      <c r="F650">
        <v>30</v>
      </c>
      <c r="G650" t="s">
        <v>124</v>
      </c>
      <c r="H650" t="s">
        <v>546</v>
      </c>
      <c r="I650" t="s">
        <v>443</v>
      </c>
      <c r="J650" t="s">
        <v>124</v>
      </c>
      <c r="K650" t="s">
        <v>919</v>
      </c>
      <c r="L650" t="s">
        <v>920</v>
      </c>
      <c r="M650" t="s">
        <v>1300</v>
      </c>
      <c r="N650" t="b">
        <v>0</v>
      </c>
    </row>
    <row r="651" spans="1:14">
      <c r="A651">
        <v>34</v>
      </c>
      <c r="B651">
        <v>11</v>
      </c>
      <c r="C651" t="s">
        <v>161</v>
      </c>
      <c r="D651" t="s">
        <v>722</v>
      </c>
      <c r="E651" t="s">
        <v>76</v>
      </c>
      <c r="F651">
        <v>40</v>
      </c>
      <c r="G651" t="s">
        <v>124</v>
      </c>
      <c r="H651" t="s">
        <v>124</v>
      </c>
      <c r="I651" t="s">
        <v>76</v>
      </c>
      <c r="J651" t="s">
        <v>124</v>
      </c>
      <c r="K651" t="s">
        <v>124</v>
      </c>
      <c r="L651" t="s">
        <v>124</v>
      </c>
      <c r="M651" t="s">
        <v>1301</v>
      </c>
      <c r="N651" t="b">
        <v>0</v>
      </c>
    </row>
    <row r="652" spans="1:14">
      <c r="A652">
        <v>34</v>
      </c>
      <c r="B652">
        <v>12</v>
      </c>
      <c r="C652" t="s">
        <v>317</v>
      </c>
      <c r="D652" t="s">
        <v>722</v>
      </c>
      <c r="E652" t="s">
        <v>82</v>
      </c>
      <c r="F652">
        <v>30</v>
      </c>
      <c r="G652" t="s">
        <v>124</v>
      </c>
      <c r="H652" t="s">
        <v>124</v>
      </c>
      <c r="I652" t="s">
        <v>82</v>
      </c>
      <c r="J652" t="s">
        <v>124</v>
      </c>
      <c r="K652" t="s">
        <v>124</v>
      </c>
      <c r="L652" t="s">
        <v>124</v>
      </c>
      <c r="M652" t="s">
        <v>1302</v>
      </c>
      <c r="N652" t="b">
        <v>0</v>
      </c>
    </row>
    <row r="653" spans="1:14">
      <c r="A653">
        <v>34</v>
      </c>
      <c r="B653">
        <v>13</v>
      </c>
      <c r="C653" t="s">
        <v>192</v>
      </c>
      <c r="D653" t="s">
        <v>722</v>
      </c>
      <c r="E653" t="s">
        <v>96</v>
      </c>
      <c r="F653">
        <v>50</v>
      </c>
      <c r="G653" t="s">
        <v>124</v>
      </c>
      <c r="H653" t="s">
        <v>124</v>
      </c>
      <c r="I653" t="s">
        <v>96</v>
      </c>
      <c r="J653" t="s">
        <v>124</v>
      </c>
      <c r="K653" t="s">
        <v>124</v>
      </c>
      <c r="L653" t="s">
        <v>124</v>
      </c>
      <c r="M653" t="s">
        <v>1303</v>
      </c>
      <c r="N653" t="b">
        <v>0</v>
      </c>
    </row>
    <row r="654" spans="1:14">
      <c r="A654">
        <v>34</v>
      </c>
      <c r="B654">
        <v>14</v>
      </c>
      <c r="C654" t="s">
        <v>318</v>
      </c>
      <c r="D654" t="s">
        <v>722</v>
      </c>
      <c r="E654" t="s">
        <v>104</v>
      </c>
      <c r="F654">
        <v>30</v>
      </c>
      <c r="G654" t="s">
        <v>124</v>
      </c>
      <c r="H654" t="s">
        <v>124</v>
      </c>
      <c r="I654" t="s">
        <v>104</v>
      </c>
      <c r="J654" t="s">
        <v>124</v>
      </c>
      <c r="K654" t="s">
        <v>124</v>
      </c>
      <c r="L654" t="s">
        <v>124</v>
      </c>
      <c r="M654" t="s">
        <v>1304</v>
      </c>
      <c r="N654" t="b">
        <v>0</v>
      </c>
    </row>
    <row r="655" spans="1:14">
      <c r="A655">
        <v>34</v>
      </c>
      <c r="B655">
        <v>15</v>
      </c>
      <c r="C655" t="s">
        <v>193</v>
      </c>
      <c r="D655" t="s">
        <v>722</v>
      </c>
      <c r="E655" t="s">
        <v>106</v>
      </c>
      <c r="F655">
        <v>60</v>
      </c>
      <c r="G655" t="s">
        <v>124</v>
      </c>
      <c r="H655" t="s">
        <v>124</v>
      </c>
      <c r="I655" t="s">
        <v>106</v>
      </c>
      <c r="J655" t="s">
        <v>124</v>
      </c>
      <c r="K655" t="s">
        <v>124</v>
      </c>
      <c r="L655" t="s">
        <v>124</v>
      </c>
      <c r="M655" t="s">
        <v>1305</v>
      </c>
      <c r="N655" t="b">
        <v>0</v>
      </c>
    </row>
    <row r="656" spans="1:14">
      <c r="A656">
        <v>34</v>
      </c>
      <c r="B656">
        <v>16</v>
      </c>
      <c r="C656" t="s">
        <v>124</v>
      </c>
      <c r="D656" t="s">
        <v>739</v>
      </c>
      <c r="E656" t="s">
        <v>124</v>
      </c>
      <c r="F656">
        <v>0</v>
      </c>
      <c r="G656" t="s">
        <v>124</v>
      </c>
      <c r="H656" t="s">
        <v>124</v>
      </c>
      <c r="I656" t="s">
        <v>124</v>
      </c>
      <c r="J656" t="s">
        <v>124</v>
      </c>
      <c r="K656" t="s">
        <v>124</v>
      </c>
      <c r="L656" t="s">
        <v>124</v>
      </c>
      <c r="M656" t="s">
        <v>1306</v>
      </c>
      <c r="N656" t="b">
        <v>0</v>
      </c>
    </row>
    <row r="657" spans="1:14">
      <c r="A657">
        <v>34</v>
      </c>
      <c r="B657">
        <v>17</v>
      </c>
      <c r="C657" t="s">
        <v>124</v>
      </c>
      <c r="D657" t="s">
        <v>739</v>
      </c>
      <c r="E657" t="s">
        <v>124</v>
      </c>
      <c r="F657">
        <v>0</v>
      </c>
      <c r="G657" t="s">
        <v>124</v>
      </c>
      <c r="H657" t="s">
        <v>124</v>
      </c>
      <c r="I657" t="s">
        <v>124</v>
      </c>
      <c r="J657" t="s">
        <v>124</v>
      </c>
      <c r="K657" t="s">
        <v>124</v>
      </c>
      <c r="L657" t="s">
        <v>124</v>
      </c>
      <c r="M657" t="s">
        <v>707</v>
      </c>
      <c r="N657" t="b">
        <v>0</v>
      </c>
    </row>
    <row r="658" spans="1:14">
      <c r="A658">
        <v>34</v>
      </c>
      <c r="B658">
        <v>18</v>
      </c>
      <c r="C658" t="s">
        <v>124</v>
      </c>
      <c r="D658" t="s">
        <v>739</v>
      </c>
      <c r="E658" t="s">
        <v>124</v>
      </c>
      <c r="F658">
        <v>0</v>
      </c>
      <c r="G658" t="s">
        <v>124</v>
      </c>
      <c r="H658" t="s">
        <v>124</v>
      </c>
      <c r="I658" t="s">
        <v>124</v>
      </c>
      <c r="J658" t="s">
        <v>124</v>
      </c>
      <c r="K658" t="s">
        <v>124</v>
      </c>
      <c r="L658" t="s">
        <v>124</v>
      </c>
      <c r="M658" t="s">
        <v>1307</v>
      </c>
      <c r="N658" t="b">
        <v>0</v>
      </c>
    </row>
    <row r="659" spans="1:14">
      <c r="A659">
        <v>34</v>
      </c>
      <c r="B659">
        <v>19</v>
      </c>
      <c r="C659" t="s">
        <v>124</v>
      </c>
      <c r="D659" t="s">
        <v>739</v>
      </c>
      <c r="E659" t="s">
        <v>124</v>
      </c>
      <c r="F659">
        <v>0</v>
      </c>
      <c r="G659" t="s">
        <v>124</v>
      </c>
      <c r="H659" t="s">
        <v>124</v>
      </c>
      <c r="I659" t="s">
        <v>124</v>
      </c>
      <c r="J659" t="s">
        <v>124</v>
      </c>
      <c r="K659" t="s">
        <v>124</v>
      </c>
      <c r="L659" t="s">
        <v>124</v>
      </c>
      <c r="M659" t="s">
        <v>1308</v>
      </c>
      <c r="N659" t="b">
        <v>0</v>
      </c>
    </row>
    <row r="660" spans="1:14">
      <c r="A660">
        <v>34</v>
      </c>
      <c r="B660">
        <v>20</v>
      </c>
      <c r="C660" t="s">
        <v>124</v>
      </c>
      <c r="D660" t="s">
        <v>739</v>
      </c>
      <c r="E660" t="s">
        <v>124</v>
      </c>
      <c r="F660">
        <v>0</v>
      </c>
      <c r="G660" t="s">
        <v>124</v>
      </c>
      <c r="H660" t="s">
        <v>124</v>
      </c>
      <c r="I660" t="s">
        <v>124</v>
      </c>
      <c r="J660" t="s">
        <v>124</v>
      </c>
      <c r="K660" t="s">
        <v>124</v>
      </c>
      <c r="L660" t="s">
        <v>124</v>
      </c>
      <c r="M660" t="s">
        <v>1309</v>
      </c>
      <c r="N660" t="b">
        <v>0</v>
      </c>
    </row>
    <row r="661" spans="1:14">
      <c r="A661">
        <v>34</v>
      </c>
      <c r="B661">
        <v>21</v>
      </c>
      <c r="C661" t="s">
        <v>124</v>
      </c>
      <c r="D661" t="s">
        <v>739</v>
      </c>
      <c r="E661" t="s">
        <v>124</v>
      </c>
      <c r="F661">
        <v>0</v>
      </c>
      <c r="G661" t="s">
        <v>124</v>
      </c>
      <c r="H661" t="s">
        <v>124</v>
      </c>
      <c r="I661" t="s">
        <v>124</v>
      </c>
      <c r="J661" t="s">
        <v>124</v>
      </c>
      <c r="K661" t="s">
        <v>124</v>
      </c>
      <c r="L661" t="s">
        <v>124</v>
      </c>
      <c r="M661" t="s">
        <v>1310</v>
      </c>
      <c r="N661" t="b">
        <v>0</v>
      </c>
    </row>
    <row r="662" spans="1:14">
      <c r="A662">
        <v>34</v>
      </c>
      <c r="B662">
        <v>22</v>
      </c>
      <c r="C662" t="s">
        <v>124</v>
      </c>
      <c r="D662" t="s">
        <v>739</v>
      </c>
      <c r="E662" t="s">
        <v>124</v>
      </c>
      <c r="F662">
        <v>0</v>
      </c>
      <c r="G662" t="s">
        <v>124</v>
      </c>
      <c r="H662" t="s">
        <v>124</v>
      </c>
      <c r="I662" t="s">
        <v>124</v>
      </c>
      <c r="J662" t="s">
        <v>124</v>
      </c>
      <c r="K662" t="s">
        <v>124</v>
      </c>
      <c r="L662" t="s">
        <v>124</v>
      </c>
      <c r="M662" t="s">
        <v>1311</v>
      </c>
      <c r="N662" t="b">
        <v>0</v>
      </c>
    </row>
    <row r="663" spans="1:14">
      <c r="A663">
        <v>34</v>
      </c>
      <c r="B663">
        <v>23</v>
      </c>
      <c r="C663" t="s">
        <v>124</v>
      </c>
      <c r="D663" t="s">
        <v>739</v>
      </c>
      <c r="E663" t="s">
        <v>124</v>
      </c>
      <c r="F663">
        <v>0</v>
      </c>
      <c r="G663" t="s">
        <v>124</v>
      </c>
      <c r="H663" t="s">
        <v>124</v>
      </c>
      <c r="I663" t="s">
        <v>124</v>
      </c>
      <c r="J663" t="s">
        <v>124</v>
      </c>
      <c r="K663" t="s">
        <v>124</v>
      </c>
      <c r="L663" t="s">
        <v>124</v>
      </c>
      <c r="M663" t="s">
        <v>1312</v>
      </c>
      <c r="N663" t="b">
        <v>0</v>
      </c>
    </row>
    <row r="664" spans="1:14">
      <c r="A664">
        <v>34</v>
      </c>
      <c r="B664">
        <v>24</v>
      </c>
      <c r="C664" t="s">
        <v>124</v>
      </c>
      <c r="D664" t="s">
        <v>739</v>
      </c>
      <c r="E664" t="s">
        <v>124</v>
      </c>
      <c r="F664">
        <v>0</v>
      </c>
      <c r="G664" t="s">
        <v>124</v>
      </c>
      <c r="H664" t="s">
        <v>124</v>
      </c>
      <c r="I664" t="s">
        <v>124</v>
      </c>
      <c r="J664" t="s">
        <v>124</v>
      </c>
      <c r="K664" t="s">
        <v>124</v>
      </c>
      <c r="L664" t="s">
        <v>124</v>
      </c>
      <c r="M664" t="s">
        <v>1313</v>
      </c>
      <c r="N664" t="b">
        <v>0</v>
      </c>
    </row>
    <row r="665" spans="1:14">
      <c r="A665">
        <v>34</v>
      </c>
      <c r="B665">
        <v>25</v>
      </c>
      <c r="C665" t="s">
        <v>124</v>
      </c>
      <c r="D665" t="s">
        <v>739</v>
      </c>
      <c r="E665" t="s">
        <v>124</v>
      </c>
      <c r="F665">
        <v>0</v>
      </c>
      <c r="G665" t="s">
        <v>124</v>
      </c>
      <c r="H665" t="s">
        <v>124</v>
      </c>
      <c r="I665" t="s">
        <v>124</v>
      </c>
      <c r="J665" t="s">
        <v>124</v>
      </c>
      <c r="K665" t="s">
        <v>124</v>
      </c>
      <c r="L665" t="s">
        <v>124</v>
      </c>
      <c r="M665" t="s">
        <v>1314</v>
      </c>
      <c r="N665" t="b">
        <v>0</v>
      </c>
    </row>
    <row r="666" spans="1:14">
      <c r="A666">
        <v>34</v>
      </c>
      <c r="B666">
        <v>26</v>
      </c>
      <c r="C666" t="s">
        <v>124</v>
      </c>
      <c r="D666" t="s">
        <v>739</v>
      </c>
      <c r="E666" t="s">
        <v>124</v>
      </c>
      <c r="F666">
        <v>0</v>
      </c>
      <c r="G666" t="s">
        <v>124</v>
      </c>
      <c r="H666" t="s">
        <v>124</v>
      </c>
      <c r="I666" t="s">
        <v>124</v>
      </c>
      <c r="J666" t="s">
        <v>124</v>
      </c>
      <c r="K666" t="s">
        <v>124</v>
      </c>
      <c r="L666" t="s">
        <v>124</v>
      </c>
      <c r="M666" t="s">
        <v>1315</v>
      </c>
      <c r="N666" t="b">
        <v>0</v>
      </c>
    </row>
    <row r="667" spans="1:14">
      <c r="A667">
        <v>37</v>
      </c>
      <c r="B667">
        <v>0</v>
      </c>
      <c r="C667" t="s">
        <v>184</v>
      </c>
      <c r="D667" t="s">
        <v>722</v>
      </c>
      <c r="E667" t="s">
        <v>63</v>
      </c>
      <c r="F667">
        <v>50</v>
      </c>
      <c r="G667" t="s">
        <v>124</v>
      </c>
      <c r="H667" t="s">
        <v>124</v>
      </c>
      <c r="I667" t="s">
        <v>63</v>
      </c>
      <c r="J667" t="s">
        <v>124</v>
      </c>
      <c r="K667" t="s">
        <v>124</v>
      </c>
      <c r="L667" t="s">
        <v>124</v>
      </c>
      <c r="M667" t="s">
        <v>1316</v>
      </c>
      <c r="N667" t="b">
        <v>0</v>
      </c>
    </row>
    <row r="668" spans="1:14">
      <c r="A668">
        <v>37</v>
      </c>
      <c r="B668">
        <v>1</v>
      </c>
      <c r="C668" t="s">
        <v>156</v>
      </c>
      <c r="D668" t="s">
        <v>722</v>
      </c>
      <c r="E668" t="s">
        <v>81</v>
      </c>
      <c r="F668">
        <v>40</v>
      </c>
      <c r="G668" t="s">
        <v>124</v>
      </c>
      <c r="H668" t="s">
        <v>124</v>
      </c>
      <c r="I668" t="s">
        <v>81</v>
      </c>
      <c r="J668" t="s">
        <v>124</v>
      </c>
      <c r="K668" t="s">
        <v>124</v>
      </c>
      <c r="L668" t="s">
        <v>124</v>
      </c>
      <c r="M668" t="s">
        <v>1317</v>
      </c>
      <c r="N668" t="b">
        <v>0</v>
      </c>
    </row>
    <row r="669" spans="1:14">
      <c r="A669">
        <v>37</v>
      </c>
      <c r="B669">
        <v>2</v>
      </c>
      <c r="C669" t="s">
        <v>185</v>
      </c>
      <c r="D669" t="s">
        <v>722</v>
      </c>
      <c r="E669" t="s">
        <v>91</v>
      </c>
      <c r="F669">
        <v>50</v>
      </c>
      <c r="G669" t="s">
        <v>124</v>
      </c>
      <c r="H669" t="s">
        <v>124</v>
      </c>
      <c r="I669" t="s">
        <v>91</v>
      </c>
      <c r="J669" t="s">
        <v>124</v>
      </c>
      <c r="K669" t="s">
        <v>124</v>
      </c>
      <c r="L669" t="s">
        <v>124</v>
      </c>
      <c r="M669" t="s">
        <v>1318</v>
      </c>
      <c r="N669" t="b">
        <v>0</v>
      </c>
    </row>
    <row r="670" spans="1:14">
      <c r="A670">
        <v>37</v>
      </c>
      <c r="B670">
        <v>3</v>
      </c>
      <c r="C670" t="s">
        <v>303</v>
      </c>
      <c r="D670" t="s">
        <v>722</v>
      </c>
      <c r="E670" t="s">
        <v>95</v>
      </c>
      <c r="F670">
        <v>50</v>
      </c>
      <c r="G670" t="s">
        <v>124</v>
      </c>
      <c r="H670" t="s">
        <v>124</v>
      </c>
      <c r="I670" t="s">
        <v>95</v>
      </c>
      <c r="J670" t="s">
        <v>124</v>
      </c>
      <c r="K670" t="s">
        <v>124</v>
      </c>
      <c r="L670" t="s">
        <v>124</v>
      </c>
      <c r="M670" t="s">
        <v>1319</v>
      </c>
      <c r="N670" t="b">
        <v>0</v>
      </c>
    </row>
    <row r="671" spans="1:14">
      <c r="A671">
        <v>37</v>
      </c>
      <c r="B671">
        <v>4</v>
      </c>
      <c r="C671" t="s">
        <v>186</v>
      </c>
      <c r="D671" t="s">
        <v>722</v>
      </c>
      <c r="E671" t="s">
        <v>97</v>
      </c>
      <c r="F671">
        <v>50</v>
      </c>
      <c r="G671" t="s">
        <v>124</v>
      </c>
      <c r="H671" t="s">
        <v>124</v>
      </c>
      <c r="I671" t="s">
        <v>97</v>
      </c>
      <c r="J671" t="s">
        <v>124</v>
      </c>
      <c r="K671" t="s">
        <v>124</v>
      </c>
      <c r="L671" t="s">
        <v>124</v>
      </c>
      <c r="M671" t="s">
        <v>1320</v>
      </c>
      <c r="N671" t="b">
        <v>0</v>
      </c>
    </row>
    <row r="672" spans="1:14">
      <c r="A672">
        <v>37</v>
      </c>
      <c r="B672">
        <v>5</v>
      </c>
      <c r="C672" t="s">
        <v>187</v>
      </c>
      <c r="D672" t="s">
        <v>722</v>
      </c>
      <c r="E672" t="s">
        <v>99</v>
      </c>
      <c r="F672">
        <v>50</v>
      </c>
      <c r="G672" t="s">
        <v>124</v>
      </c>
      <c r="H672" t="s">
        <v>124</v>
      </c>
      <c r="I672" t="s">
        <v>99</v>
      </c>
      <c r="J672" t="s">
        <v>124</v>
      </c>
      <c r="K672" t="s">
        <v>124</v>
      </c>
      <c r="L672" t="s">
        <v>124</v>
      </c>
      <c r="M672" t="s">
        <v>1321</v>
      </c>
      <c r="N672" t="b">
        <v>0</v>
      </c>
    </row>
    <row r="673" spans="1:14">
      <c r="A673">
        <v>37</v>
      </c>
      <c r="B673">
        <v>6</v>
      </c>
      <c r="C673" t="s">
        <v>188</v>
      </c>
      <c r="D673" t="s">
        <v>722</v>
      </c>
      <c r="E673" t="s">
        <v>107</v>
      </c>
      <c r="F673">
        <v>30</v>
      </c>
      <c r="G673" t="s">
        <v>124</v>
      </c>
      <c r="H673" t="s">
        <v>124</v>
      </c>
      <c r="I673" t="s">
        <v>107</v>
      </c>
      <c r="J673" t="s">
        <v>124</v>
      </c>
      <c r="K673" t="s">
        <v>124</v>
      </c>
      <c r="L673" t="s">
        <v>124</v>
      </c>
      <c r="M673" t="s">
        <v>764</v>
      </c>
      <c r="N673" t="b">
        <v>0</v>
      </c>
    </row>
    <row r="674" spans="1:14">
      <c r="A674">
        <v>37</v>
      </c>
      <c r="B674">
        <v>7</v>
      </c>
      <c r="C674" t="s">
        <v>196</v>
      </c>
      <c r="D674" t="s">
        <v>722</v>
      </c>
      <c r="E674" t="s">
        <v>111</v>
      </c>
      <c r="F674">
        <v>50</v>
      </c>
      <c r="G674" t="s">
        <v>124</v>
      </c>
      <c r="H674" t="s">
        <v>124</v>
      </c>
      <c r="I674" t="s">
        <v>111</v>
      </c>
      <c r="J674" t="s">
        <v>124</v>
      </c>
      <c r="K674" t="s">
        <v>124</v>
      </c>
      <c r="L674" t="s">
        <v>124</v>
      </c>
      <c r="M674" t="s">
        <v>1322</v>
      </c>
      <c r="N674" t="b">
        <v>0</v>
      </c>
    </row>
    <row r="675" spans="1:14">
      <c r="A675">
        <v>37</v>
      </c>
      <c r="B675">
        <v>8</v>
      </c>
      <c r="C675" t="s">
        <v>189</v>
      </c>
      <c r="D675" t="s">
        <v>722</v>
      </c>
      <c r="E675" t="s">
        <v>113</v>
      </c>
      <c r="F675">
        <v>60</v>
      </c>
      <c r="G675" t="s">
        <v>124</v>
      </c>
      <c r="H675" t="s">
        <v>124</v>
      </c>
      <c r="I675" t="s">
        <v>113</v>
      </c>
      <c r="J675" t="s">
        <v>124</v>
      </c>
      <c r="K675" t="s">
        <v>124</v>
      </c>
      <c r="L675" t="s">
        <v>124</v>
      </c>
      <c r="M675" t="s">
        <v>1323</v>
      </c>
      <c r="N675" t="b">
        <v>0</v>
      </c>
    </row>
    <row r="676" spans="1:14">
      <c r="A676">
        <v>37</v>
      </c>
      <c r="B676">
        <v>9</v>
      </c>
      <c r="C676" t="s">
        <v>190</v>
      </c>
      <c r="D676" t="s">
        <v>722</v>
      </c>
      <c r="E676" t="s">
        <v>59</v>
      </c>
      <c r="F676">
        <v>30</v>
      </c>
      <c r="G676" t="s">
        <v>124</v>
      </c>
      <c r="H676" t="s">
        <v>124</v>
      </c>
      <c r="I676" t="s">
        <v>59</v>
      </c>
      <c r="J676" t="s">
        <v>124</v>
      </c>
      <c r="K676" t="s">
        <v>124</v>
      </c>
      <c r="L676" t="s">
        <v>124</v>
      </c>
      <c r="M676" t="s">
        <v>1324</v>
      </c>
      <c r="N676" t="b">
        <v>0</v>
      </c>
    </row>
    <row r="677" spans="1:14">
      <c r="A677">
        <v>37</v>
      </c>
      <c r="B677">
        <v>10</v>
      </c>
      <c r="C677" t="s">
        <v>191</v>
      </c>
      <c r="D677" t="s">
        <v>722</v>
      </c>
      <c r="E677" t="s">
        <v>76</v>
      </c>
      <c r="F677">
        <v>50</v>
      </c>
      <c r="G677" t="s">
        <v>124</v>
      </c>
      <c r="H677" t="s">
        <v>124</v>
      </c>
      <c r="I677" t="s">
        <v>76</v>
      </c>
      <c r="J677" t="s">
        <v>124</v>
      </c>
      <c r="K677" t="s">
        <v>124</v>
      </c>
      <c r="L677" t="s">
        <v>124</v>
      </c>
      <c r="M677" t="s">
        <v>1325</v>
      </c>
      <c r="N677" t="b">
        <v>0</v>
      </c>
    </row>
    <row r="678" spans="1:14">
      <c r="A678">
        <v>37</v>
      </c>
      <c r="B678">
        <v>11</v>
      </c>
      <c r="C678" t="s">
        <v>192</v>
      </c>
      <c r="D678" t="s">
        <v>722</v>
      </c>
      <c r="E678" t="s">
        <v>96</v>
      </c>
      <c r="F678">
        <v>50</v>
      </c>
      <c r="G678" t="s">
        <v>124</v>
      </c>
      <c r="H678" t="s">
        <v>124</v>
      </c>
      <c r="I678" t="s">
        <v>96</v>
      </c>
      <c r="J678" t="s">
        <v>124</v>
      </c>
      <c r="K678" t="s">
        <v>124</v>
      </c>
      <c r="L678" t="s">
        <v>124</v>
      </c>
      <c r="M678" t="s">
        <v>1326</v>
      </c>
      <c r="N678" t="b">
        <v>0</v>
      </c>
    </row>
    <row r="679" spans="1:14">
      <c r="A679">
        <v>37</v>
      </c>
      <c r="B679">
        <v>12</v>
      </c>
      <c r="C679" t="s">
        <v>323</v>
      </c>
      <c r="D679" t="s">
        <v>722</v>
      </c>
      <c r="E679" t="s">
        <v>100</v>
      </c>
      <c r="F679">
        <v>40</v>
      </c>
      <c r="G679" t="s">
        <v>124</v>
      </c>
      <c r="H679" t="s">
        <v>124</v>
      </c>
      <c r="I679" t="s">
        <v>100</v>
      </c>
      <c r="J679" t="s">
        <v>124</v>
      </c>
      <c r="K679" t="s">
        <v>124</v>
      </c>
      <c r="L679" t="s">
        <v>124</v>
      </c>
      <c r="M679" t="s">
        <v>1327</v>
      </c>
      <c r="N679" t="b">
        <v>0</v>
      </c>
    </row>
    <row r="680" spans="1:14">
      <c r="A680">
        <v>37</v>
      </c>
      <c r="B680">
        <v>13</v>
      </c>
      <c r="C680" t="s">
        <v>193</v>
      </c>
      <c r="D680" t="s">
        <v>722</v>
      </c>
      <c r="E680" t="s">
        <v>106</v>
      </c>
      <c r="F680">
        <v>60</v>
      </c>
      <c r="G680" t="s">
        <v>124</v>
      </c>
      <c r="H680" t="s">
        <v>124</v>
      </c>
      <c r="I680" t="s">
        <v>106</v>
      </c>
      <c r="J680" t="s">
        <v>124</v>
      </c>
      <c r="K680" t="s">
        <v>124</v>
      </c>
      <c r="L680" t="s">
        <v>124</v>
      </c>
      <c r="M680" t="s">
        <v>1328</v>
      </c>
      <c r="N680" t="b">
        <v>0</v>
      </c>
    </row>
    <row r="681" spans="1:14">
      <c r="A681">
        <v>37</v>
      </c>
      <c r="B681">
        <v>14</v>
      </c>
      <c r="C681" t="s">
        <v>124</v>
      </c>
      <c r="D681" t="s">
        <v>722</v>
      </c>
      <c r="E681" t="s">
        <v>124</v>
      </c>
      <c r="F681">
        <v>0</v>
      </c>
      <c r="G681" t="s">
        <v>124</v>
      </c>
      <c r="H681" t="s">
        <v>124</v>
      </c>
      <c r="I681" t="s">
        <v>124</v>
      </c>
      <c r="J681" t="s">
        <v>124</v>
      </c>
      <c r="K681" t="s">
        <v>124</v>
      </c>
      <c r="L681" t="s">
        <v>124</v>
      </c>
      <c r="M681" t="s">
        <v>1329</v>
      </c>
      <c r="N681" t="b">
        <v>0</v>
      </c>
    </row>
    <row r="682" spans="1:14">
      <c r="A682">
        <v>37</v>
      </c>
      <c r="B682">
        <v>15</v>
      </c>
      <c r="C682" t="s">
        <v>124</v>
      </c>
      <c r="D682" t="s">
        <v>722</v>
      </c>
      <c r="E682" t="s">
        <v>124</v>
      </c>
      <c r="F682">
        <v>0</v>
      </c>
      <c r="G682" t="s">
        <v>124</v>
      </c>
      <c r="H682" t="s">
        <v>124</v>
      </c>
      <c r="I682" t="s">
        <v>124</v>
      </c>
      <c r="J682" t="s">
        <v>124</v>
      </c>
      <c r="K682" t="s">
        <v>124</v>
      </c>
      <c r="L682" t="s">
        <v>124</v>
      </c>
      <c r="M682" t="s">
        <v>1330</v>
      </c>
      <c r="N682" t="b">
        <v>0</v>
      </c>
    </row>
    <row r="683" spans="1:14">
      <c r="A683">
        <v>37</v>
      </c>
      <c r="B683">
        <v>16</v>
      </c>
      <c r="C683" t="s">
        <v>124</v>
      </c>
      <c r="D683" t="s">
        <v>739</v>
      </c>
      <c r="E683" t="s">
        <v>124</v>
      </c>
      <c r="F683">
        <v>0</v>
      </c>
      <c r="G683" t="s">
        <v>124</v>
      </c>
      <c r="H683" t="s">
        <v>124</v>
      </c>
      <c r="I683" t="s">
        <v>124</v>
      </c>
      <c r="J683" t="s">
        <v>124</v>
      </c>
      <c r="K683" t="s">
        <v>124</v>
      </c>
      <c r="L683" t="s">
        <v>124</v>
      </c>
      <c r="M683" t="s">
        <v>1331</v>
      </c>
      <c r="N683" t="b">
        <v>0</v>
      </c>
    </row>
    <row r="684" spans="1:14">
      <c r="A684">
        <v>37</v>
      </c>
      <c r="B684">
        <v>17</v>
      </c>
      <c r="C684" t="s">
        <v>124</v>
      </c>
      <c r="D684" t="s">
        <v>739</v>
      </c>
      <c r="E684" t="s">
        <v>124</v>
      </c>
      <c r="F684">
        <v>0</v>
      </c>
      <c r="G684" t="s">
        <v>124</v>
      </c>
      <c r="H684" t="s">
        <v>124</v>
      </c>
      <c r="I684" t="s">
        <v>124</v>
      </c>
      <c r="J684" t="s">
        <v>124</v>
      </c>
      <c r="K684" t="s">
        <v>124</v>
      </c>
      <c r="L684" t="s">
        <v>124</v>
      </c>
      <c r="M684" t="s">
        <v>713</v>
      </c>
      <c r="N684" t="b">
        <v>0</v>
      </c>
    </row>
    <row r="685" spans="1:14">
      <c r="A685">
        <v>37</v>
      </c>
      <c r="B685">
        <v>18</v>
      </c>
      <c r="C685" t="s">
        <v>124</v>
      </c>
      <c r="D685" t="s">
        <v>739</v>
      </c>
      <c r="E685" t="s">
        <v>124</v>
      </c>
      <c r="F685">
        <v>0</v>
      </c>
      <c r="G685" t="s">
        <v>124</v>
      </c>
      <c r="H685" t="s">
        <v>124</v>
      </c>
      <c r="I685" t="s">
        <v>124</v>
      </c>
      <c r="J685" t="s">
        <v>124</v>
      </c>
      <c r="K685" t="s">
        <v>124</v>
      </c>
      <c r="L685" t="s">
        <v>124</v>
      </c>
      <c r="M685" t="s">
        <v>1332</v>
      </c>
      <c r="N685" t="b">
        <v>0</v>
      </c>
    </row>
    <row r="686" spans="1:14">
      <c r="A686">
        <v>37</v>
      </c>
      <c r="B686">
        <v>19</v>
      </c>
      <c r="C686" t="s">
        <v>124</v>
      </c>
      <c r="D686" t="s">
        <v>739</v>
      </c>
      <c r="E686" t="s">
        <v>124</v>
      </c>
      <c r="F686">
        <v>0</v>
      </c>
      <c r="G686" t="s">
        <v>124</v>
      </c>
      <c r="H686" t="s">
        <v>124</v>
      </c>
      <c r="I686" t="s">
        <v>124</v>
      </c>
      <c r="J686" t="s">
        <v>124</v>
      </c>
      <c r="K686" t="s">
        <v>124</v>
      </c>
      <c r="L686" t="s">
        <v>124</v>
      </c>
      <c r="M686" t="s">
        <v>1333</v>
      </c>
      <c r="N686" t="b">
        <v>0</v>
      </c>
    </row>
    <row r="687" spans="1:14">
      <c r="A687">
        <v>37</v>
      </c>
      <c r="B687">
        <v>20</v>
      </c>
      <c r="C687" t="s">
        <v>124</v>
      </c>
      <c r="D687" t="s">
        <v>739</v>
      </c>
      <c r="E687" t="s">
        <v>124</v>
      </c>
      <c r="F687">
        <v>0</v>
      </c>
      <c r="G687" t="s">
        <v>124</v>
      </c>
      <c r="H687" t="s">
        <v>124</v>
      </c>
      <c r="I687" t="s">
        <v>124</v>
      </c>
      <c r="J687" t="s">
        <v>124</v>
      </c>
      <c r="K687" t="s">
        <v>124</v>
      </c>
      <c r="L687" t="s">
        <v>124</v>
      </c>
      <c r="M687" t="s">
        <v>1334</v>
      </c>
      <c r="N687" t="b">
        <v>0</v>
      </c>
    </row>
    <row r="688" spans="1:14">
      <c r="A688">
        <v>37</v>
      </c>
      <c r="B688">
        <v>21</v>
      </c>
      <c r="C688" t="s">
        <v>124</v>
      </c>
      <c r="D688" t="s">
        <v>739</v>
      </c>
      <c r="E688" t="s">
        <v>124</v>
      </c>
      <c r="F688">
        <v>0</v>
      </c>
      <c r="G688" t="s">
        <v>124</v>
      </c>
      <c r="H688" t="s">
        <v>124</v>
      </c>
      <c r="I688" t="s">
        <v>124</v>
      </c>
      <c r="J688" t="s">
        <v>124</v>
      </c>
      <c r="K688" t="s">
        <v>124</v>
      </c>
      <c r="L688" t="s">
        <v>124</v>
      </c>
      <c r="M688" t="s">
        <v>1335</v>
      </c>
      <c r="N688" t="b">
        <v>0</v>
      </c>
    </row>
    <row r="689" spans="1:14">
      <c r="A689">
        <v>37</v>
      </c>
      <c r="B689">
        <v>22</v>
      </c>
      <c r="C689" t="s">
        <v>124</v>
      </c>
      <c r="D689" t="s">
        <v>739</v>
      </c>
      <c r="E689" t="s">
        <v>124</v>
      </c>
      <c r="F689">
        <v>0</v>
      </c>
      <c r="G689" t="s">
        <v>124</v>
      </c>
      <c r="H689" t="s">
        <v>124</v>
      </c>
      <c r="I689" t="s">
        <v>124</v>
      </c>
      <c r="J689" t="s">
        <v>124</v>
      </c>
      <c r="K689" t="s">
        <v>124</v>
      </c>
      <c r="L689" t="s">
        <v>124</v>
      </c>
      <c r="M689" t="s">
        <v>1336</v>
      </c>
      <c r="N689" t="b">
        <v>0</v>
      </c>
    </row>
    <row r="690" spans="1:14">
      <c r="A690">
        <v>37</v>
      </c>
      <c r="B690">
        <v>23</v>
      </c>
      <c r="C690" t="s">
        <v>124</v>
      </c>
      <c r="D690" t="s">
        <v>739</v>
      </c>
      <c r="E690" t="s">
        <v>124</v>
      </c>
      <c r="F690">
        <v>0</v>
      </c>
      <c r="G690" t="s">
        <v>124</v>
      </c>
      <c r="H690" t="s">
        <v>124</v>
      </c>
      <c r="I690" t="s">
        <v>124</v>
      </c>
      <c r="J690" t="s">
        <v>124</v>
      </c>
      <c r="K690" t="s">
        <v>124</v>
      </c>
      <c r="L690" t="s">
        <v>124</v>
      </c>
      <c r="M690" t="s">
        <v>1337</v>
      </c>
      <c r="N690" t="b">
        <v>0</v>
      </c>
    </row>
    <row r="691" spans="1:14">
      <c r="A691">
        <v>37</v>
      </c>
      <c r="B691">
        <v>24</v>
      </c>
      <c r="C691" t="s">
        <v>124</v>
      </c>
      <c r="D691" t="s">
        <v>739</v>
      </c>
      <c r="E691" t="s">
        <v>124</v>
      </c>
      <c r="F691">
        <v>0</v>
      </c>
      <c r="G691" t="s">
        <v>124</v>
      </c>
      <c r="H691" t="s">
        <v>124</v>
      </c>
      <c r="I691" t="s">
        <v>124</v>
      </c>
      <c r="J691" t="s">
        <v>124</v>
      </c>
      <c r="K691" t="s">
        <v>124</v>
      </c>
      <c r="L691" t="s">
        <v>124</v>
      </c>
      <c r="M691" t="s">
        <v>1338</v>
      </c>
      <c r="N691" t="b">
        <v>0</v>
      </c>
    </row>
    <row r="692" spans="1:14">
      <c r="A692">
        <v>37</v>
      </c>
      <c r="B692">
        <v>25</v>
      </c>
      <c r="C692" t="s">
        <v>124</v>
      </c>
      <c r="D692" t="s">
        <v>739</v>
      </c>
      <c r="E692" t="s">
        <v>124</v>
      </c>
      <c r="F692">
        <v>0</v>
      </c>
      <c r="G692" t="s">
        <v>124</v>
      </c>
      <c r="H692" t="s">
        <v>124</v>
      </c>
      <c r="I692" t="s">
        <v>124</v>
      </c>
      <c r="J692" t="s">
        <v>124</v>
      </c>
      <c r="K692" t="s">
        <v>124</v>
      </c>
      <c r="L692" t="s">
        <v>124</v>
      </c>
      <c r="M692" t="s">
        <v>1339</v>
      </c>
      <c r="N692" t="b">
        <v>0</v>
      </c>
    </row>
    <row r="693" spans="1:14">
      <c r="A693">
        <v>37</v>
      </c>
      <c r="B693">
        <v>26</v>
      </c>
      <c r="C693" t="s">
        <v>124</v>
      </c>
      <c r="D693" t="s">
        <v>739</v>
      </c>
      <c r="E693" t="s">
        <v>124</v>
      </c>
      <c r="F693">
        <v>0</v>
      </c>
      <c r="G693" t="s">
        <v>124</v>
      </c>
      <c r="H693" t="s">
        <v>124</v>
      </c>
      <c r="I693" t="s">
        <v>124</v>
      </c>
      <c r="J693" t="s">
        <v>124</v>
      </c>
      <c r="K693" t="s">
        <v>124</v>
      </c>
      <c r="L693" t="s">
        <v>124</v>
      </c>
      <c r="M693" t="s">
        <v>1340</v>
      </c>
      <c r="N693" t="b">
        <v>0</v>
      </c>
    </row>
    <row r="694" spans="1:14">
      <c r="A694">
        <v>40</v>
      </c>
      <c r="B694">
        <v>0</v>
      </c>
      <c r="C694" t="s">
        <v>184</v>
      </c>
      <c r="D694" t="s">
        <v>722</v>
      </c>
      <c r="E694" t="s">
        <v>63</v>
      </c>
      <c r="F694">
        <v>50</v>
      </c>
      <c r="G694" t="s">
        <v>124</v>
      </c>
      <c r="H694" t="s">
        <v>124</v>
      </c>
      <c r="I694" t="s">
        <v>63</v>
      </c>
      <c r="J694" t="s">
        <v>124</v>
      </c>
      <c r="K694" t="s">
        <v>124</v>
      </c>
      <c r="L694" t="s">
        <v>124</v>
      </c>
      <c r="M694" t="s">
        <v>1341</v>
      </c>
      <c r="N694" t="b">
        <v>0</v>
      </c>
    </row>
    <row r="695" spans="1:14">
      <c r="A695">
        <v>40</v>
      </c>
      <c r="B695">
        <v>1</v>
      </c>
      <c r="C695" t="s">
        <v>327</v>
      </c>
      <c r="D695" t="s">
        <v>722</v>
      </c>
      <c r="E695" t="s">
        <v>75</v>
      </c>
      <c r="F695">
        <v>40</v>
      </c>
      <c r="G695" t="s">
        <v>124</v>
      </c>
      <c r="H695" t="s">
        <v>124</v>
      </c>
      <c r="I695" t="s">
        <v>75</v>
      </c>
      <c r="J695" t="s">
        <v>124</v>
      </c>
      <c r="K695" t="s">
        <v>124</v>
      </c>
      <c r="L695" t="s">
        <v>124</v>
      </c>
      <c r="M695" t="s">
        <v>1342</v>
      </c>
      <c r="N695" t="b">
        <v>0</v>
      </c>
    </row>
    <row r="696" spans="1:14">
      <c r="A696">
        <v>40</v>
      </c>
      <c r="B696">
        <v>2</v>
      </c>
      <c r="C696" t="s">
        <v>156</v>
      </c>
      <c r="D696" t="s">
        <v>722</v>
      </c>
      <c r="E696" t="s">
        <v>81</v>
      </c>
      <c r="F696">
        <v>40</v>
      </c>
      <c r="G696" t="s">
        <v>124</v>
      </c>
      <c r="H696" t="s">
        <v>124</v>
      </c>
      <c r="I696" t="s">
        <v>81</v>
      </c>
      <c r="J696" t="s">
        <v>124</v>
      </c>
      <c r="K696" t="s">
        <v>124</v>
      </c>
      <c r="L696" t="s">
        <v>124</v>
      </c>
      <c r="M696" t="s">
        <v>1343</v>
      </c>
      <c r="N696" t="b">
        <v>0</v>
      </c>
    </row>
    <row r="697" spans="1:14">
      <c r="A697">
        <v>40</v>
      </c>
      <c r="B697">
        <v>3</v>
      </c>
      <c r="C697" t="s">
        <v>185</v>
      </c>
      <c r="D697" t="s">
        <v>722</v>
      </c>
      <c r="E697" t="s">
        <v>91</v>
      </c>
      <c r="F697">
        <v>50</v>
      </c>
      <c r="G697" t="s">
        <v>124</v>
      </c>
      <c r="H697" t="s">
        <v>124</v>
      </c>
      <c r="I697" t="s">
        <v>91</v>
      </c>
      <c r="J697" t="s">
        <v>124</v>
      </c>
      <c r="K697" t="s">
        <v>124</v>
      </c>
      <c r="L697" t="s">
        <v>124</v>
      </c>
      <c r="M697" t="s">
        <v>1344</v>
      </c>
      <c r="N697" t="b">
        <v>0</v>
      </c>
    </row>
    <row r="698" spans="1:14">
      <c r="A698">
        <v>40</v>
      </c>
      <c r="B698">
        <v>4</v>
      </c>
      <c r="C698" t="s">
        <v>226</v>
      </c>
      <c r="D698" t="s">
        <v>722</v>
      </c>
      <c r="E698" t="s">
        <v>95</v>
      </c>
      <c r="F698">
        <v>40</v>
      </c>
      <c r="G698" t="s">
        <v>124</v>
      </c>
      <c r="H698" t="s">
        <v>124</v>
      </c>
      <c r="I698" t="s">
        <v>95</v>
      </c>
      <c r="J698" t="s">
        <v>124</v>
      </c>
      <c r="K698" t="s">
        <v>124</v>
      </c>
      <c r="L698" t="s">
        <v>124</v>
      </c>
      <c r="M698" t="s">
        <v>1345</v>
      </c>
      <c r="N698" t="b">
        <v>0</v>
      </c>
    </row>
    <row r="699" spans="1:14">
      <c r="A699">
        <v>40</v>
      </c>
      <c r="B699">
        <v>5</v>
      </c>
      <c r="C699" t="s">
        <v>186</v>
      </c>
      <c r="D699" t="s">
        <v>722</v>
      </c>
      <c r="E699" t="s">
        <v>97</v>
      </c>
      <c r="F699">
        <v>50</v>
      </c>
      <c r="G699" t="s">
        <v>124</v>
      </c>
      <c r="H699" t="s">
        <v>124</v>
      </c>
      <c r="I699" t="s">
        <v>97</v>
      </c>
      <c r="J699" t="s">
        <v>124</v>
      </c>
      <c r="K699" t="s">
        <v>124</v>
      </c>
      <c r="L699" t="s">
        <v>124</v>
      </c>
      <c r="M699" t="s">
        <v>1346</v>
      </c>
      <c r="N699" t="b">
        <v>0</v>
      </c>
    </row>
    <row r="700" spans="1:14">
      <c r="A700">
        <v>40</v>
      </c>
      <c r="B700">
        <v>6</v>
      </c>
      <c r="C700" t="s">
        <v>187</v>
      </c>
      <c r="D700" t="s">
        <v>722</v>
      </c>
      <c r="E700" t="s">
        <v>99</v>
      </c>
      <c r="F700">
        <v>50</v>
      </c>
      <c r="G700" t="s">
        <v>124</v>
      </c>
      <c r="H700" t="s">
        <v>124</v>
      </c>
      <c r="I700" t="s">
        <v>99</v>
      </c>
      <c r="J700" t="s">
        <v>124</v>
      </c>
      <c r="K700" t="s">
        <v>124</v>
      </c>
      <c r="L700" t="s">
        <v>124</v>
      </c>
      <c r="M700" t="s">
        <v>1347</v>
      </c>
      <c r="N700" t="b">
        <v>0</v>
      </c>
    </row>
    <row r="701" spans="1:14">
      <c r="A701">
        <v>40</v>
      </c>
      <c r="B701">
        <v>7</v>
      </c>
      <c r="C701" t="s">
        <v>188</v>
      </c>
      <c r="D701" t="s">
        <v>722</v>
      </c>
      <c r="E701" t="s">
        <v>107</v>
      </c>
      <c r="F701">
        <v>30</v>
      </c>
      <c r="G701" t="s">
        <v>124</v>
      </c>
      <c r="H701" t="s">
        <v>124</v>
      </c>
      <c r="I701" t="s">
        <v>107</v>
      </c>
      <c r="J701" t="s">
        <v>124</v>
      </c>
      <c r="K701" t="s">
        <v>124</v>
      </c>
      <c r="L701" t="s">
        <v>124</v>
      </c>
      <c r="M701" t="s">
        <v>1348</v>
      </c>
      <c r="N701" t="b">
        <v>0</v>
      </c>
    </row>
    <row r="702" spans="1:14">
      <c r="A702">
        <v>40</v>
      </c>
      <c r="B702">
        <v>8</v>
      </c>
      <c r="C702" t="s">
        <v>196</v>
      </c>
      <c r="D702" t="s">
        <v>722</v>
      </c>
      <c r="E702" t="s">
        <v>111</v>
      </c>
      <c r="F702">
        <v>50</v>
      </c>
      <c r="G702" t="s">
        <v>124</v>
      </c>
      <c r="H702" t="s">
        <v>124</v>
      </c>
      <c r="I702" t="s">
        <v>111</v>
      </c>
      <c r="J702" t="s">
        <v>124</v>
      </c>
      <c r="K702" t="s">
        <v>124</v>
      </c>
      <c r="L702" t="s">
        <v>124</v>
      </c>
      <c r="M702" t="s">
        <v>1349</v>
      </c>
      <c r="N702" t="b">
        <v>0</v>
      </c>
    </row>
    <row r="703" spans="1:14">
      <c r="A703">
        <v>40</v>
      </c>
      <c r="B703">
        <v>9</v>
      </c>
      <c r="C703" t="s">
        <v>189</v>
      </c>
      <c r="D703" t="s">
        <v>722</v>
      </c>
      <c r="E703" t="s">
        <v>113</v>
      </c>
      <c r="F703">
        <v>60</v>
      </c>
      <c r="G703" t="s">
        <v>124</v>
      </c>
      <c r="H703" t="s">
        <v>124</v>
      </c>
      <c r="I703" t="s">
        <v>113</v>
      </c>
      <c r="J703" t="s">
        <v>124</v>
      </c>
      <c r="K703" t="s">
        <v>124</v>
      </c>
      <c r="L703" t="s">
        <v>124</v>
      </c>
      <c r="M703" t="s">
        <v>1350</v>
      </c>
      <c r="N703" t="b">
        <v>0</v>
      </c>
    </row>
    <row r="704" spans="1:14">
      <c r="A704">
        <v>40</v>
      </c>
      <c r="B704">
        <v>10</v>
      </c>
      <c r="C704" t="s">
        <v>190</v>
      </c>
      <c r="D704" t="s">
        <v>722</v>
      </c>
      <c r="E704" t="s">
        <v>59</v>
      </c>
      <c r="F704">
        <v>30</v>
      </c>
      <c r="G704" t="s">
        <v>124</v>
      </c>
      <c r="H704" t="s">
        <v>124</v>
      </c>
      <c r="I704" t="s">
        <v>59</v>
      </c>
      <c r="J704" t="s">
        <v>124</v>
      </c>
      <c r="K704" t="s">
        <v>124</v>
      </c>
      <c r="L704" t="s">
        <v>124</v>
      </c>
      <c r="M704" t="s">
        <v>1351</v>
      </c>
      <c r="N704" t="b">
        <v>0</v>
      </c>
    </row>
    <row r="705" spans="1:14">
      <c r="A705">
        <v>40</v>
      </c>
      <c r="B705">
        <v>11</v>
      </c>
      <c r="C705" t="s">
        <v>191</v>
      </c>
      <c r="D705" t="s">
        <v>722</v>
      </c>
      <c r="E705" t="s">
        <v>76</v>
      </c>
      <c r="F705">
        <v>50</v>
      </c>
      <c r="G705" t="s">
        <v>124</v>
      </c>
      <c r="H705" t="s">
        <v>124</v>
      </c>
      <c r="I705" t="s">
        <v>76</v>
      </c>
      <c r="J705" t="s">
        <v>124</v>
      </c>
      <c r="K705" t="s">
        <v>124</v>
      </c>
      <c r="L705" t="s">
        <v>124</v>
      </c>
      <c r="M705" t="s">
        <v>1352</v>
      </c>
      <c r="N705" t="b">
        <v>0</v>
      </c>
    </row>
    <row r="706" spans="1:14">
      <c r="A706">
        <v>40</v>
      </c>
      <c r="B706">
        <v>12</v>
      </c>
      <c r="C706" t="s">
        <v>192</v>
      </c>
      <c r="D706" t="s">
        <v>722</v>
      </c>
      <c r="E706" t="s">
        <v>96</v>
      </c>
      <c r="F706">
        <v>50</v>
      </c>
      <c r="G706" t="s">
        <v>124</v>
      </c>
      <c r="H706" t="s">
        <v>124</v>
      </c>
      <c r="I706" t="s">
        <v>96</v>
      </c>
      <c r="J706" t="s">
        <v>124</v>
      </c>
      <c r="K706" t="s">
        <v>124</v>
      </c>
      <c r="L706" t="s">
        <v>124</v>
      </c>
      <c r="M706" t="s">
        <v>1353</v>
      </c>
      <c r="N706" t="b">
        <v>0</v>
      </c>
    </row>
    <row r="707" spans="1:14">
      <c r="A707">
        <v>40</v>
      </c>
      <c r="B707">
        <v>13</v>
      </c>
      <c r="C707" t="s">
        <v>323</v>
      </c>
      <c r="D707" t="s">
        <v>722</v>
      </c>
      <c r="E707" t="s">
        <v>100</v>
      </c>
      <c r="F707">
        <v>40</v>
      </c>
      <c r="G707" t="s">
        <v>124</v>
      </c>
      <c r="H707" t="s">
        <v>124</v>
      </c>
      <c r="I707" t="s">
        <v>100</v>
      </c>
      <c r="J707" t="s">
        <v>124</v>
      </c>
      <c r="K707" t="s">
        <v>124</v>
      </c>
      <c r="L707" t="s">
        <v>124</v>
      </c>
      <c r="M707" t="s">
        <v>1354</v>
      </c>
      <c r="N707" t="b">
        <v>0</v>
      </c>
    </row>
    <row r="708" spans="1:14">
      <c r="A708">
        <v>40</v>
      </c>
      <c r="B708">
        <v>14</v>
      </c>
      <c r="C708" t="s">
        <v>193</v>
      </c>
      <c r="D708" t="s">
        <v>722</v>
      </c>
      <c r="E708" t="s">
        <v>106</v>
      </c>
      <c r="F708">
        <v>60</v>
      </c>
      <c r="G708" t="s">
        <v>124</v>
      </c>
      <c r="H708" t="s">
        <v>124</v>
      </c>
      <c r="I708" t="s">
        <v>106</v>
      </c>
      <c r="J708" t="s">
        <v>124</v>
      </c>
      <c r="K708" t="s">
        <v>124</v>
      </c>
      <c r="L708" t="s">
        <v>124</v>
      </c>
      <c r="M708" t="s">
        <v>1355</v>
      </c>
      <c r="N708" t="b">
        <v>0</v>
      </c>
    </row>
    <row r="709" spans="1:14">
      <c r="A709">
        <v>40</v>
      </c>
      <c r="B709">
        <v>15</v>
      </c>
      <c r="C709" t="s">
        <v>124</v>
      </c>
      <c r="D709" t="s">
        <v>722</v>
      </c>
      <c r="E709" t="s">
        <v>124</v>
      </c>
      <c r="F709">
        <v>0</v>
      </c>
      <c r="G709" t="s">
        <v>124</v>
      </c>
      <c r="H709" t="s">
        <v>124</v>
      </c>
      <c r="I709" t="s">
        <v>124</v>
      </c>
      <c r="J709" t="s">
        <v>124</v>
      </c>
      <c r="K709" t="s">
        <v>124</v>
      </c>
      <c r="L709" t="s">
        <v>124</v>
      </c>
      <c r="M709" t="s">
        <v>1356</v>
      </c>
      <c r="N709" t="b">
        <v>0</v>
      </c>
    </row>
    <row r="710" spans="1:14">
      <c r="A710">
        <v>40</v>
      </c>
      <c r="B710">
        <v>16</v>
      </c>
      <c r="C710" t="s">
        <v>124</v>
      </c>
      <c r="D710" t="s">
        <v>739</v>
      </c>
      <c r="E710" t="s">
        <v>124</v>
      </c>
      <c r="F710">
        <v>0</v>
      </c>
      <c r="G710" t="s">
        <v>124</v>
      </c>
      <c r="H710" t="s">
        <v>124</v>
      </c>
      <c r="I710" t="s">
        <v>124</v>
      </c>
      <c r="J710" t="s">
        <v>124</v>
      </c>
      <c r="K710" t="s">
        <v>124</v>
      </c>
      <c r="L710" t="s">
        <v>124</v>
      </c>
      <c r="M710" t="s">
        <v>1357</v>
      </c>
      <c r="N710" t="b">
        <v>0</v>
      </c>
    </row>
    <row r="711" spans="1:14">
      <c r="A711">
        <v>40</v>
      </c>
      <c r="B711">
        <v>17</v>
      </c>
      <c r="C711" t="s">
        <v>124</v>
      </c>
      <c r="D711" t="s">
        <v>739</v>
      </c>
      <c r="E711" t="s">
        <v>124</v>
      </c>
      <c r="F711">
        <v>0</v>
      </c>
      <c r="G711" t="s">
        <v>124</v>
      </c>
      <c r="H711" t="s">
        <v>124</v>
      </c>
      <c r="I711" t="s">
        <v>124</v>
      </c>
      <c r="J711" t="s">
        <v>124</v>
      </c>
      <c r="K711" t="s">
        <v>124</v>
      </c>
      <c r="L711" t="s">
        <v>124</v>
      </c>
      <c r="M711" t="s">
        <v>718</v>
      </c>
      <c r="N711" t="b">
        <v>0</v>
      </c>
    </row>
    <row r="712" spans="1:14">
      <c r="A712">
        <v>40</v>
      </c>
      <c r="B712">
        <v>18</v>
      </c>
      <c r="C712" t="s">
        <v>124</v>
      </c>
      <c r="D712" t="s">
        <v>739</v>
      </c>
      <c r="E712" t="s">
        <v>124</v>
      </c>
      <c r="F712">
        <v>0</v>
      </c>
      <c r="G712" t="s">
        <v>124</v>
      </c>
      <c r="H712" t="s">
        <v>124</v>
      </c>
      <c r="I712" t="s">
        <v>124</v>
      </c>
      <c r="J712" t="s">
        <v>124</v>
      </c>
      <c r="K712" t="s">
        <v>124</v>
      </c>
      <c r="L712" t="s">
        <v>124</v>
      </c>
      <c r="M712" t="s">
        <v>1358</v>
      </c>
      <c r="N712" t="b">
        <v>0</v>
      </c>
    </row>
    <row r="713" spans="1:14">
      <c r="A713">
        <v>40</v>
      </c>
      <c r="B713">
        <v>19</v>
      </c>
      <c r="C713" t="s">
        <v>124</v>
      </c>
      <c r="D713" t="s">
        <v>739</v>
      </c>
      <c r="E713" t="s">
        <v>124</v>
      </c>
      <c r="F713">
        <v>0</v>
      </c>
      <c r="G713" t="s">
        <v>124</v>
      </c>
      <c r="H713" t="s">
        <v>124</v>
      </c>
      <c r="I713" t="s">
        <v>124</v>
      </c>
      <c r="J713" t="s">
        <v>124</v>
      </c>
      <c r="K713" t="s">
        <v>124</v>
      </c>
      <c r="L713" t="s">
        <v>124</v>
      </c>
      <c r="M713" t="s">
        <v>1359</v>
      </c>
      <c r="N713" t="b">
        <v>0</v>
      </c>
    </row>
    <row r="714" spans="1:14">
      <c r="A714">
        <v>40</v>
      </c>
      <c r="B714">
        <v>20</v>
      </c>
      <c r="C714" t="s">
        <v>124</v>
      </c>
      <c r="D714" t="s">
        <v>739</v>
      </c>
      <c r="E714" t="s">
        <v>124</v>
      </c>
      <c r="F714">
        <v>0</v>
      </c>
      <c r="G714" t="s">
        <v>124</v>
      </c>
      <c r="H714" t="s">
        <v>124</v>
      </c>
      <c r="I714" t="s">
        <v>124</v>
      </c>
      <c r="J714" t="s">
        <v>124</v>
      </c>
      <c r="K714" t="s">
        <v>124</v>
      </c>
      <c r="L714" t="s">
        <v>124</v>
      </c>
      <c r="M714" t="s">
        <v>1360</v>
      </c>
      <c r="N714" t="b">
        <v>0</v>
      </c>
    </row>
    <row r="715" spans="1:14">
      <c r="A715">
        <v>40</v>
      </c>
      <c r="B715">
        <v>21</v>
      </c>
      <c r="C715" t="s">
        <v>124</v>
      </c>
      <c r="D715" t="s">
        <v>739</v>
      </c>
      <c r="E715" t="s">
        <v>124</v>
      </c>
      <c r="F715">
        <v>0</v>
      </c>
      <c r="G715" t="s">
        <v>124</v>
      </c>
      <c r="H715" t="s">
        <v>124</v>
      </c>
      <c r="I715" t="s">
        <v>124</v>
      </c>
      <c r="J715" t="s">
        <v>124</v>
      </c>
      <c r="K715" t="s">
        <v>124</v>
      </c>
      <c r="L715" t="s">
        <v>124</v>
      </c>
      <c r="M715" t="s">
        <v>1361</v>
      </c>
      <c r="N715" t="b">
        <v>0</v>
      </c>
    </row>
    <row r="716" spans="1:14">
      <c r="A716">
        <v>40</v>
      </c>
      <c r="B716">
        <v>22</v>
      </c>
      <c r="C716" t="s">
        <v>124</v>
      </c>
      <c r="D716" t="s">
        <v>739</v>
      </c>
      <c r="E716" t="s">
        <v>124</v>
      </c>
      <c r="F716">
        <v>0</v>
      </c>
      <c r="G716" t="s">
        <v>124</v>
      </c>
      <c r="H716" t="s">
        <v>124</v>
      </c>
      <c r="I716" t="s">
        <v>124</v>
      </c>
      <c r="J716" t="s">
        <v>124</v>
      </c>
      <c r="K716" t="s">
        <v>124</v>
      </c>
      <c r="L716" t="s">
        <v>124</v>
      </c>
      <c r="M716" t="s">
        <v>1362</v>
      </c>
      <c r="N716" t="b">
        <v>0</v>
      </c>
    </row>
    <row r="717" spans="1:14">
      <c r="A717">
        <v>40</v>
      </c>
      <c r="B717">
        <v>23</v>
      </c>
      <c r="C717" t="s">
        <v>124</v>
      </c>
      <c r="D717" t="s">
        <v>739</v>
      </c>
      <c r="E717" t="s">
        <v>124</v>
      </c>
      <c r="F717">
        <v>0</v>
      </c>
      <c r="G717" t="s">
        <v>124</v>
      </c>
      <c r="H717" t="s">
        <v>124</v>
      </c>
      <c r="I717" t="s">
        <v>124</v>
      </c>
      <c r="J717" t="s">
        <v>124</v>
      </c>
      <c r="K717" t="s">
        <v>124</v>
      </c>
      <c r="L717" t="s">
        <v>124</v>
      </c>
      <c r="M717" t="s">
        <v>1363</v>
      </c>
      <c r="N717" t="b">
        <v>0</v>
      </c>
    </row>
    <row r="718" spans="1:14">
      <c r="A718">
        <v>40</v>
      </c>
      <c r="B718">
        <v>24</v>
      </c>
      <c r="C718" t="s">
        <v>124</v>
      </c>
      <c r="D718" t="s">
        <v>739</v>
      </c>
      <c r="E718" t="s">
        <v>124</v>
      </c>
      <c r="F718">
        <v>0</v>
      </c>
      <c r="G718" t="s">
        <v>124</v>
      </c>
      <c r="H718" t="s">
        <v>124</v>
      </c>
      <c r="I718" t="s">
        <v>124</v>
      </c>
      <c r="J718" t="s">
        <v>124</v>
      </c>
      <c r="K718" t="s">
        <v>124</v>
      </c>
      <c r="L718" t="s">
        <v>124</v>
      </c>
      <c r="M718" t="s">
        <v>1364</v>
      </c>
      <c r="N718" t="b">
        <v>0</v>
      </c>
    </row>
    <row r="719" spans="1:14">
      <c r="A719">
        <v>40</v>
      </c>
      <c r="B719">
        <v>25</v>
      </c>
      <c r="C719" t="s">
        <v>124</v>
      </c>
      <c r="D719" t="s">
        <v>739</v>
      </c>
      <c r="E719" t="s">
        <v>124</v>
      </c>
      <c r="F719">
        <v>0</v>
      </c>
      <c r="G719" t="s">
        <v>124</v>
      </c>
      <c r="H719" t="s">
        <v>124</v>
      </c>
      <c r="I719" t="s">
        <v>124</v>
      </c>
      <c r="J719" t="s">
        <v>124</v>
      </c>
      <c r="K719" t="s">
        <v>124</v>
      </c>
      <c r="L719" t="s">
        <v>124</v>
      </c>
      <c r="M719" t="s">
        <v>1365</v>
      </c>
      <c r="N719" t="b">
        <v>0</v>
      </c>
    </row>
    <row r="720" spans="1:14">
      <c r="A720">
        <v>40</v>
      </c>
      <c r="B720">
        <v>26</v>
      </c>
      <c r="C720" t="s">
        <v>124</v>
      </c>
      <c r="D720" t="s">
        <v>739</v>
      </c>
      <c r="E720" t="s">
        <v>124</v>
      </c>
      <c r="F720">
        <v>0</v>
      </c>
      <c r="G720" t="s">
        <v>124</v>
      </c>
      <c r="H720" t="s">
        <v>124</v>
      </c>
      <c r="I720" t="s">
        <v>124</v>
      </c>
      <c r="J720" t="s">
        <v>124</v>
      </c>
      <c r="K720" t="s">
        <v>124</v>
      </c>
      <c r="L720" t="s">
        <v>124</v>
      </c>
      <c r="M720" t="s">
        <v>1366</v>
      </c>
      <c r="N720" t="b">
        <v>0</v>
      </c>
    </row>
    <row r="721" spans="1:14">
      <c r="A721">
        <v>43</v>
      </c>
      <c r="B721">
        <v>0</v>
      </c>
      <c r="C721" t="s">
        <v>184</v>
      </c>
      <c r="D721" t="s">
        <v>722</v>
      </c>
      <c r="E721" t="s">
        <v>63</v>
      </c>
      <c r="F721">
        <v>50</v>
      </c>
      <c r="G721" t="s">
        <v>124</v>
      </c>
      <c r="H721" t="s">
        <v>124</v>
      </c>
      <c r="I721" t="s">
        <v>63</v>
      </c>
      <c r="J721" t="s">
        <v>124</v>
      </c>
      <c r="K721" t="s">
        <v>124</v>
      </c>
      <c r="L721" t="s">
        <v>124</v>
      </c>
      <c r="M721" t="s">
        <v>1367</v>
      </c>
      <c r="N721" t="b">
        <v>0</v>
      </c>
    </row>
    <row r="722" spans="1:14">
      <c r="A722">
        <v>43</v>
      </c>
      <c r="B722">
        <v>1</v>
      </c>
      <c r="C722" t="s">
        <v>215</v>
      </c>
      <c r="D722" t="s">
        <v>722</v>
      </c>
      <c r="E722" t="s">
        <v>75</v>
      </c>
      <c r="F722">
        <v>60</v>
      </c>
      <c r="G722" t="s">
        <v>124</v>
      </c>
      <c r="H722" t="s">
        <v>124</v>
      </c>
      <c r="I722" t="s">
        <v>75</v>
      </c>
      <c r="J722" t="s">
        <v>124</v>
      </c>
      <c r="K722" t="s">
        <v>124</v>
      </c>
      <c r="L722" t="s">
        <v>124</v>
      </c>
      <c r="M722" t="s">
        <v>1368</v>
      </c>
      <c r="N722" t="b">
        <v>0</v>
      </c>
    </row>
    <row r="723" spans="1:14">
      <c r="A723">
        <v>43</v>
      </c>
      <c r="B723">
        <v>2</v>
      </c>
      <c r="C723" t="s">
        <v>266</v>
      </c>
      <c r="D723" t="s">
        <v>722</v>
      </c>
      <c r="E723" t="s">
        <v>81</v>
      </c>
      <c r="F723">
        <v>30</v>
      </c>
      <c r="G723" t="s">
        <v>124</v>
      </c>
      <c r="H723" t="s">
        <v>124</v>
      </c>
      <c r="I723" t="s">
        <v>81</v>
      </c>
      <c r="J723" t="s">
        <v>124</v>
      </c>
      <c r="K723" t="s">
        <v>124</v>
      </c>
      <c r="L723" t="s">
        <v>124</v>
      </c>
      <c r="M723" t="s">
        <v>1369</v>
      </c>
      <c r="N723" t="b">
        <v>0</v>
      </c>
    </row>
    <row r="724" spans="1:14">
      <c r="A724">
        <v>43</v>
      </c>
      <c r="B724">
        <v>3</v>
      </c>
      <c r="C724" t="s">
        <v>249</v>
      </c>
      <c r="D724" t="s">
        <v>722</v>
      </c>
      <c r="E724" t="s">
        <v>97</v>
      </c>
      <c r="F724">
        <v>40</v>
      </c>
      <c r="G724" t="s">
        <v>124</v>
      </c>
      <c r="H724" t="s">
        <v>124</v>
      </c>
      <c r="I724" t="s">
        <v>97</v>
      </c>
      <c r="J724" t="s">
        <v>124</v>
      </c>
      <c r="K724" t="s">
        <v>124</v>
      </c>
      <c r="L724" t="s">
        <v>124</v>
      </c>
      <c r="M724" t="s">
        <v>1370</v>
      </c>
      <c r="N724" t="b">
        <v>0</v>
      </c>
    </row>
    <row r="725" spans="1:14">
      <c r="A725">
        <v>43</v>
      </c>
      <c r="B725">
        <v>4</v>
      </c>
      <c r="C725" t="s">
        <v>227</v>
      </c>
      <c r="D725" t="s">
        <v>722</v>
      </c>
      <c r="E725" t="s">
        <v>99</v>
      </c>
      <c r="F725">
        <v>40</v>
      </c>
      <c r="G725" t="s">
        <v>124</v>
      </c>
      <c r="H725" t="s">
        <v>124</v>
      </c>
      <c r="I725" t="s">
        <v>99</v>
      </c>
      <c r="J725" t="s">
        <v>124</v>
      </c>
      <c r="K725" t="s">
        <v>124</v>
      </c>
      <c r="L725" t="s">
        <v>124</v>
      </c>
      <c r="M725" t="s">
        <v>1371</v>
      </c>
      <c r="N725" t="b">
        <v>0</v>
      </c>
    </row>
    <row r="726" spans="1:14">
      <c r="A726">
        <v>43</v>
      </c>
      <c r="B726">
        <v>5</v>
      </c>
      <c r="C726" t="s">
        <v>273</v>
      </c>
      <c r="D726" t="s">
        <v>722</v>
      </c>
      <c r="E726" t="s">
        <v>101</v>
      </c>
      <c r="F726">
        <v>30</v>
      </c>
      <c r="G726" t="s">
        <v>124</v>
      </c>
      <c r="H726" t="s">
        <v>124</v>
      </c>
      <c r="I726" t="s">
        <v>101</v>
      </c>
      <c r="J726" t="s">
        <v>124</v>
      </c>
      <c r="K726" t="s">
        <v>124</v>
      </c>
      <c r="L726" t="s">
        <v>124</v>
      </c>
      <c r="M726" t="s">
        <v>1372</v>
      </c>
      <c r="N726" t="b">
        <v>0</v>
      </c>
    </row>
    <row r="727" spans="1:14">
      <c r="A727">
        <v>43</v>
      </c>
      <c r="B727">
        <v>6</v>
      </c>
      <c r="C727" t="s">
        <v>286</v>
      </c>
      <c r="D727" t="s">
        <v>722</v>
      </c>
      <c r="E727" t="s">
        <v>329</v>
      </c>
      <c r="F727">
        <v>40</v>
      </c>
      <c r="G727" t="s">
        <v>124</v>
      </c>
      <c r="H727" t="s">
        <v>546</v>
      </c>
      <c r="I727" t="s">
        <v>443</v>
      </c>
      <c r="J727" t="s">
        <v>124</v>
      </c>
      <c r="K727" t="s">
        <v>919</v>
      </c>
      <c r="L727" t="s">
        <v>920</v>
      </c>
      <c r="M727" t="s">
        <v>1373</v>
      </c>
      <c r="N727" t="b">
        <v>0</v>
      </c>
    </row>
    <row r="728" spans="1:14">
      <c r="A728">
        <v>43</v>
      </c>
      <c r="B728">
        <v>7</v>
      </c>
      <c r="C728" t="s">
        <v>165</v>
      </c>
      <c r="D728" t="s">
        <v>722</v>
      </c>
      <c r="E728" t="s">
        <v>72</v>
      </c>
      <c r="F728">
        <v>50</v>
      </c>
      <c r="G728" t="s">
        <v>124</v>
      </c>
      <c r="H728" t="s">
        <v>124</v>
      </c>
      <c r="I728" t="s">
        <v>72</v>
      </c>
      <c r="J728" t="s">
        <v>124</v>
      </c>
      <c r="K728" t="s">
        <v>124</v>
      </c>
      <c r="L728" t="s">
        <v>124</v>
      </c>
      <c r="M728" t="s">
        <v>1374</v>
      </c>
      <c r="N728" t="b">
        <v>0</v>
      </c>
    </row>
    <row r="729" spans="1:14">
      <c r="A729">
        <v>43</v>
      </c>
      <c r="B729">
        <v>8</v>
      </c>
      <c r="C729" t="s">
        <v>287</v>
      </c>
      <c r="D729" t="s">
        <v>722</v>
      </c>
      <c r="E729" t="s">
        <v>76</v>
      </c>
      <c r="F729">
        <v>30</v>
      </c>
      <c r="G729" t="s">
        <v>124</v>
      </c>
      <c r="H729" t="s">
        <v>124</v>
      </c>
      <c r="I729" t="s">
        <v>76</v>
      </c>
      <c r="J729" t="s">
        <v>124</v>
      </c>
      <c r="K729" t="s">
        <v>124</v>
      </c>
      <c r="L729" t="s">
        <v>124</v>
      </c>
      <c r="M729" t="s">
        <v>1375</v>
      </c>
      <c r="N729" t="b">
        <v>0</v>
      </c>
    </row>
    <row r="730" spans="1:14">
      <c r="A730">
        <v>43</v>
      </c>
      <c r="B730">
        <v>9</v>
      </c>
      <c r="C730" t="s">
        <v>168</v>
      </c>
      <c r="D730" t="s">
        <v>722</v>
      </c>
      <c r="E730" t="s">
        <v>104</v>
      </c>
      <c r="F730">
        <v>50</v>
      </c>
      <c r="G730" t="s">
        <v>124</v>
      </c>
      <c r="H730" t="s">
        <v>124</v>
      </c>
      <c r="I730" t="s">
        <v>104</v>
      </c>
      <c r="J730" t="s">
        <v>124</v>
      </c>
      <c r="K730" t="s">
        <v>124</v>
      </c>
      <c r="L730" t="s">
        <v>124</v>
      </c>
      <c r="M730" t="s">
        <v>1376</v>
      </c>
      <c r="N730" t="b">
        <v>0</v>
      </c>
    </row>
    <row r="731" spans="1:14">
      <c r="A731">
        <v>43</v>
      </c>
      <c r="B731">
        <v>10</v>
      </c>
      <c r="C731" t="s">
        <v>230</v>
      </c>
      <c r="D731" t="s">
        <v>722</v>
      </c>
      <c r="E731" t="s">
        <v>106</v>
      </c>
      <c r="F731">
        <v>50</v>
      </c>
      <c r="G731" t="s">
        <v>124</v>
      </c>
      <c r="H731" t="s">
        <v>124</v>
      </c>
      <c r="I731" t="s">
        <v>106</v>
      </c>
      <c r="J731" t="s">
        <v>124</v>
      </c>
      <c r="K731" t="s">
        <v>124</v>
      </c>
      <c r="L731" t="s">
        <v>124</v>
      </c>
      <c r="M731" t="s">
        <v>1377</v>
      </c>
      <c r="N731" t="b">
        <v>0</v>
      </c>
    </row>
    <row r="732" spans="1:14">
      <c r="A732">
        <v>43</v>
      </c>
      <c r="B732">
        <v>11</v>
      </c>
      <c r="C732" t="s">
        <v>124</v>
      </c>
      <c r="D732" t="s">
        <v>722</v>
      </c>
      <c r="E732" t="s">
        <v>124</v>
      </c>
      <c r="F732">
        <v>0</v>
      </c>
      <c r="G732" t="s">
        <v>124</v>
      </c>
      <c r="H732" t="s">
        <v>124</v>
      </c>
      <c r="I732" t="s">
        <v>124</v>
      </c>
      <c r="J732" t="s">
        <v>124</v>
      </c>
      <c r="K732" t="s">
        <v>124</v>
      </c>
      <c r="L732" t="s">
        <v>124</v>
      </c>
      <c r="M732" t="s">
        <v>1378</v>
      </c>
      <c r="N732" t="b">
        <v>0</v>
      </c>
    </row>
    <row r="733" spans="1:14">
      <c r="A733">
        <v>43</v>
      </c>
      <c r="B733">
        <v>12</v>
      </c>
      <c r="C733" t="s">
        <v>124</v>
      </c>
      <c r="D733" t="s">
        <v>722</v>
      </c>
      <c r="E733" t="s">
        <v>124</v>
      </c>
      <c r="F733">
        <v>0</v>
      </c>
      <c r="G733" t="s">
        <v>124</v>
      </c>
      <c r="H733" t="s">
        <v>124</v>
      </c>
      <c r="I733" t="s">
        <v>124</v>
      </c>
      <c r="J733" t="s">
        <v>124</v>
      </c>
      <c r="K733" t="s">
        <v>124</v>
      </c>
      <c r="L733" t="s">
        <v>124</v>
      </c>
      <c r="M733" t="s">
        <v>1379</v>
      </c>
      <c r="N733" t="b">
        <v>0</v>
      </c>
    </row>
    <row r="734" spans="1:14">
      <c r="A734">
        <v>43</v>
      </c>
      <c r="B734">
        <v>13</v>
      </c>
      <c r="C734" t="s">
        <v>124</v>
      </c>
      <c r="D734" t="s">
        <v>722</v>
      </c>
      <c r="E734" t="s">
        <v>124</v>
      </c>
      <c r="F734">
        <v>0</v>
      </c>
      <c r="G734" t="s">
        <v>124</v>
      </c>
      <c r="H734" t="s">
        <v>124</v>
      </c>
      <c r="I734" t="s">
        <v>124</v>
      </c>
      <c r="J734" t="s">
        <v>124</v>
      </c>
      <c r="K734" t="s">
        <v>124</v>
      </c>
      <c r="L734" t="s">
        <v>124</v>
      </c>
      <c r="M734" t="s">
        <v>1380</v>
      </c>
      <c r="N734" t="b">
        <v>0</v>
      </c>
    </row>
    <row r="735" spans="1:14">
      <c r="A735">
        <v>43</v>
      </c>
      <c r="B735">
        <v>14</v>
      </c>
      <c r="C735" t="s">
        <v>124</v>
      </c>
      <c r="D735" t="s">
        <v>722</v>
      </c>
      <c r="E735" t="s">
        <v>124</v>
      </c>
      <c r="F735">
        <v>0</v>
      </c>
      <c r="G735" t="s">
        <v>124</v>
      </c>
      <c r="H735" t="s">
        <v>124</v>
      </c>
      <c r="I735" t="s">
        <v>124</v>
      </c>
      <c r="J735" t="s">
        <v>124</v>
      </c>
      <c r="K735" t="s">
        <v>124</v>
      </c>
      <c r="L735" t="s">
        <v>124</v>
      </c>
      <c r="M735" t="s">
        <v>1381</v>
      </c>
      <c r="N735" t="b">
        <v>0</v>
      </c>
    </row>
    <row r="736" spans="1:14">
      <c r="A736">
        <v>43</v>
      </c>
      <c r="B736">
        <v>15</v>
      </c>
      <c r="C736" t="s">
        <v>124</v>
      </c>
      <c r="D736" t="s">
        <v>722</v>
      </c>
      <c r="E736" t="s">
        <v>124</v>
      </c>
      <c r="F736">
        <v>0</v>
      </c>
      <c r="G736" t="s">
        <v>124</v>
      </c>
      <c r="H736" t="s">
        <v>124</v>
      </c>
      <c r="I736" t="s">
        <v>124</v>
      </c>
      <c r="J736" t="s">
        <v>124</v>
      </c>
      <c r="K736" t="s">
        <v>124</v>
      </c>
      <c r="L736" t="s">
        <v>124</v>
      </c>
      <c r="M736" t="s">
        <v>1382</v>
      </c>
      <c r="N736" t="b">
        <v>0</v>
      </c>
    </row>
    <row r="737" spans="1:14">
      <c r="A737">
        <v>43</v>
      </c>
      <c r="B737">
        <v>16</v>
      </c>
      <c r="C737" t="s">
        <v>208</v>
      </c>
      <c r="D737" t="s">
        <v>739</v>
      </c>
      <c r="E737" t="s">
        <v>85</v>
      </c>
      <c r="F737">
        <v>40</v>
      </c>
      <c r="G737" t="s">
        <v>124</v>
      </c>
      <c r="H737" t="s">
        <v>124</v>
      </c>
      <c r="I737" t="s">
        <v>85</v>
      </c>
      <c r="J737" t="s">
        <v>124</v>
      </c>
      <c r="K737" t="s">
        <v>124</v>
      </c>
      <c r="L737" t="s">
        <v>124</v>
      </c>
      <c r="M737" t="s">
        <v>1383</v>
      </c>
      <c r="N737" t="b">
        <v>0</v>
      </c>
    </row>
    <row r="738" spans="1:14">
      <c r="A738">
        <v>43</v>
      </c>
      <c r="B738">
        <v>17</v>
      </c>
      <c r="C738" t="s">
        <v>178</v>
      </c>
      <c r="D738" t="s">
        <v>739</v>
      </c>
      <c r="E738" t="s">
        <v>542</v>
      </c>
      <c r="F738">
        <v>40</v>
      </c>
      <c r="G738" t="s">
        <v>758</v>
      </c>
      <c r="H738" t="s">
        <v>124</v>
      </c>
      <c r="I738" t="s">
        <v>124</v>
      </c>
      <c r="J738" t="s">
        <v>815</v>
      </c>
      <c r="K738" t="s">
        <v>790</v>
      </c>
      <c r="L738" t="s">
        <v>791</v>
      </c>
      <c r="M738" t="s">
        <v>721</v>
      </c>
      <c r="N738" t="b">
        <v>0</v>
      </c>
    </row>
    <row r="739" spans="1:14">
      <c r="A739">
        <v>43</v>
      </c>
      <c r="B739">
        <v>18</v>
      </c>
      <c r="C739" t="s">
        <v>216</v>
      </c>
      <c r="D739" t="s">
        <v>739</v>
      </c>
      <c r="E739" t="s">
        <v>93</v>
      </c>
      <c r="F739">
        <v>40</v>
      </c>
      <c r="G739" t="s">
        <v>124</v>
      </c>
      <c r="H739" t="s">
        <v>124</v>
      </c>
      <c r="I739" t="s">
        <v>93</v>
      </c>
      <c r="J739" t="s">
        <v>124</v>
      </c>
      <c r="K739" t="s">
        <v>124</v>
      </c>
      <c r="L739" t="s">
        <v>124</v>
      </c>
      <c r="M739" t="s">
        <v>1384</v>
      </c>
      <c r="N739" t="b">
        <v>0</v>
      </c>
    </row>
    <row r="740" spans="1:14">
      <c r="A740">
        <v>43</v>
      </c>
      <c r="B740">
        <v>19</v>
      </c>
      <c r="C740" t="s">
        <v>158</v>
      </c>
      <c r="D740" t="s">
        <v>739</v>
      </c>
      <c r="E740" t="s">
        <v>295</v>
      </c>
      <c r="F740">
        <v>40</v>
      </c>
      <c r="G740" t="s">
        <v>758</v>
      </c>
      <c r="H740" t="s">
        <v>124</v>
      </c>
      <c r="I740" t="s">
        <v>124</v>
      </c>
      <c r="J740" t="s">
        <v>759</v>
      </c>
      <c r="K740" t="s">
        <v>760</v>
      </c>
      <c r="L740" t="s">
        <v>761</v>
      </c>
      <c r="M740" t="s">
        <v>1385</v>
      </c>
      <c r="N740" t="b">
        <v>0</v>
      </c>
    </row>
    <row r="741" spans="1:14">
      <c r="A741">
        <v>43</v>
      </c>
      <c r="B741">
        <v>20</v>
      </c>
      <c r="C741" t="s">
        <v>179</v>
      </c>
      <c r="D741" t="s">
        <v>739</v>
      </c>
      <c r="E741" t="s">
        <v>110</v>
      </c>
      <c r="F741">
        <v>50</v>
      </c>
      <c r="G741" t="s">
        <v>124</v>
      </c>
      <c r="H741" t="s">
        <v>124</v>
      </c>
      <c r="I741" t="s">
        <v>110</v>
      </c>
      <c r="J741" t="s">
        <v>124</v>
      </c>
      <c r="K741" t="s">
        <v>124</v>
      </c>
      <c r="L741" t="s">
        <v>124</v>
      </c>
      <c r="M741" t="s">
        <v>1386</v>
      </c>
      <c r="N741" t="b">
        <v>0</v>
      </c>
    </row>
    <row r="742" spans="1:14">
      <c r="A742">
        <v>43</v>
      </c>
      <c r="B742">
        <v>21</v>
      </c>
      <c r="C742" t="s">
        <v>289</v>
      </c>
      <c r="D742" t="s">
        <v>739</v>
      </c>
      <c r="E742" t="s">
        <v>111</v>
      </c>
      <c r="F742">
        <v>40</v>
      </c>
      <c r="G742" t="s">
        <v>124</v>
      </c>
      <c r="H742" t="s">
        <v>124</v>
      </c>
      <c r="I742" t="s">
        <v>111</v>
      </c>
      <c r="J742" t="s">
        <v>124</v>
      </c>
      <c r="K742" t="s">
        <v>124</v>
      </c>
      <c r="L742" t="s">
        <v>124</v>
      </c>
      <c r="M742" t="s">
        <v>1387</v>
      </c>
      <c r="N742" t="b">
        <v>0</v>
      </c>
    </row>
    <row r="743" spans="1:14">
      <c r="A743">
        <v>43</v>
      </c>
      <c r="B743">
        <v>22</v>
      </c>
      <c r="C743" t="s">
        <v>167</v>
      </c>
      <c r="D743" t="s">
        <v>739</v>
      </c>
      <c r="E743" t="s">
        <v>96</v>
      </c>
      <c r="F743">
        <v>60</v>
      </c>
      <c r="G743" t="s">
        <v>124</v>
      </c>
      <c r="H743" t="s">
        <v>124</v>
      </c>
      <c r="I743" t="s">
        <v>96</v>
      </c>
      <c r="J743" t="s">
        <v>124</v>
      </c>
      <c r="K743" t="s">
        <v>124</v>
      </c>
      <c r="L743" t="s">
        <v>124</v>
      </c>
      <c r="M743" t="s">
        <v>1388</v>
      </c>
      <c r="N743" t="b">
        <v>0</v>
      </c>
    </row>
    <row r="744" spans="1:14">
      <c r="A744">
        <v>43</v>
      </c>
      <c r="B744">
        <v>23</v>
      </c>
      <c r="C744" t="s">
        <v>175</v>
      </c>
      <c r="D744" t="s">
        <v>739</v>
      </c>
      <c r="E744" t="s">
        <v>98</v>
      </c>
      <c r="F744">
        <v>40</v>
      </c>
      <c r="G744" t="s">
        <v>124</v>
      </c>
      <c r="H744" t="s">
        <v>124</v>
      </c>
      <c r="I744" t="s">
        <v>98</v>
      </c>
      <c r="J744" t="s">
        <v>124</v>
      </c>
      <c r="K744" t="s">
        <v>124</v>
      </c>
      <c r="L744" t="s">
        <v>124</v>
      </c>
      <c r="M744" t="s">
        <v>1389</v>
      </c>
      <c r="N744" t="b">
        <v>0</v>
      </c>
    </row>
    <row r="745" spans="1:14">
      <c r="A745">
        <v>43</v>
      </c>
      <c r="B745">
        <v>24</v>
      </c>
      <c r="C745" t="s">
        <v>290</v>
      </c>
      <c r="D745" t="s">
        <v>739</v>
      </c>
      <c r="E745" t="s">
        <v>105</v>
      </c>
      <c r="F745">
        <v>60</v>
      </c>
      <c r="G745" t="s">
        <v>124</v>
      </c>
      <c r="H745" t="s">
        <v>124</v>
      </c>
      <c r="I745" t="s">
        <v>105</v>
      </c>
      <c r="J745" t="s">
        <v>124</v>
      </c>
      <c r="K745" t="s">
        <v>124</v>
      </c>
      <c r="L745" t="s">
        <v>124</v>
      </c>
      <c r="M745" t="s">
        <v>1390</v>
      </c>
      <c r="N745" t="b">
        <v>0</v>
      </c>
    </row>
    <row r="746" spans="1:14">
      <c r="A746">
        <v>43</v>
      </c>
      <c r="B746">
        <v>25</v>
      </c>
      <c r="C746" t="s">
        <v>124</v>
      </c>
      <c r="D746" t="s">
        <v>739</v>
      </c>
      <c r="E746" t="s">
        <v>124</v>
      </c>
      <c r="F746">
        <v>0</v>
      </c>
      <c r="G746" t="s">
        <v>124</v>
      </c>
      <c r="H746" t="s">
        <v>124</v>
      </c>
      <c r="I746" t="s">
        <v>124</v>
      </c>
      <c r="J746" t="s">
        <v>124</v>
      </c>
      <c r="K746" t="s">
        <v>124</v>
      </c>
      <c r="L746" t="s">
        <v>124</v>
      </c>
      <c r="M746" t="s">
        <v>1391</v>
      </c>
      <c r="N746" t="b">
        <v>0</v>
      </c>
    </row>
    <row r="747" spans="1:14">
      <c r="A747">
        <v>43</v>
      </c>
      <c r="B747">
        <v>26</v>
      </c>
      <c r="C747" t="s">
        <v>124</v>
      </c>
      <c r="D747" t="s">
        <v>739</v>
      </c>
      <c r="E747" t="s">
        <v>124</v>
      </c>
      <c r="F747">
        <v>0</v>
      </c>
      <c r="G747" t="s">
        <v>124</v>
      </c>
      <c r="H747" t="s">
        <v>124</v>
      </c>
      <c r="I747" t="s">
        <v>124</v>
      </c>
      <c r="J747" t="s">
        <v>124</v>
      </c>
      <c r="K747" t="s">
        <v>124</v>
      </c>
      <c r="L747" t="s">
        <v>124</v>
      </c>
      <c r="M747" t="s">
        <v>1392</v>
      </c>
      <c r="N747" t="b">
        <v>0</v>
      </c>
    </row>
    <row r="748" spans="1:14">
      <c r="A748">
        <v>44</v>
      </c>
      <c r="B748">
        <v>0</v>
      </c>
      <c r="C748" t="s">
        <v>184</v>
      </c>
      <c r="D748" t="s">
        <v>722</v>
      </c>
      <c r="E748" t="s">
        <v>63</v>
      </c>
      <c r="F748">
        <v>50</v>
      </c>
      <c r="G748" t="s">
        <v>124</v>
      </c>
      <c r="H748" t="s">
        <v>124</v>
      </c>
      <c r="I748" t="s">
        <v>63</v>
      </c>
      <c r="J748" t="s">
        <v>124</v>
      </c>
      <c r="K748" t="s">
        <v>124</v>
      </c>
      <c r="L748" t="s">
        <v>124</v>
      </c>
      <c r="M748" t="s">
        <v>1393</v>
      </c>
      <c r="N748" t="b">
        <v>0</v>
      </c>
    </row>
    <row r="749" spans="1:14">
      <c r="A749">
        <v>44</v>
      </c>
      <c r="B749">
        <v>1</v>
      </c>
      <c r="C749" t="s">
        <v>224</v>
      </c>
      <c r="D749" t="s">
        <v>722</v>
      </c>
      <c r="E749" t="s">
        <v>75</v>
      </c>
      <c r="F749">
        <v>50</v>
      </c>
      <c r="G749" t="s">
        <v>124</v>
      </c>
      <c r="H749" t="s">
        <v>124</v>
      </c>
      <c r="I749" t="s">
        <v>75</v>
      </c>
      <c r="J749" t="s">
        <v>124</v>
      </c>
      <c r="K749" t="s">
        <v>124</v>
      </c>
      <c r="L749" t="s">
        <v>124</v>
      </c>
      <c r="M749" t="s">
        <v>1394</v>
      </c>
      <c r="N749" t="b">
        <v>0</v>
      </c>
    </row>
    <row r="750" spans="1:14">
      <c r="A750">
        <v>44</v>
      </c>
      <c r="B750">
        <v>2</v>
      </c>
      <c r="C750" t="s">
        <v>266</v>
      </c>
      <c r="D750" t="s">
        <v>722</v>
      </c>
      <c r="E750" t="s">
        <v>81</v>
      </c>
      <c r="F750">
        <v>30</v>
      </c>
      <c r="G750" t="s">
        <v>124</v>
      </c>
      <c r="H750" t="s">
        <v>124</v>
      </c>
      <c r="I750" t="s">
        <v>81</v>
      </c>
      <c r="J750" t="s">
        <v>124</v>
      </c>
      <c r="K750" t="s">
        <v>124</v>
      </c>
      <c r="L750" t="s">
        <v>124</v>
      </c>
      <c r="M750" t="s">
        <v>1395</v>
      </c>
      <c r="N750" t="b">
        <v>0</v>
      </c>
    </row>
    <row r="751" spans="1:14">
      <c r="A751">
        <v>44</v>
      </c>
      <c r="B751">
        <v>3</v>
      </c>
      <c r="C751" t="s">
        <v>186</v>
      </c>
      <c r="D751" t="s">
        <v>722</v>
      </c>
      <c r="E751" t="s">
        <v>97</v>
      </c>
      <c r="F751">
        <v>50</v>
      </c>
      <c r="G751" t="s">
        <v>124</v>
      </c>
      <c r="H751" t="s">
        <v>124</v>
      </c>
      <c r="I751" t="s">
        <v>97</v>
      </c>
      <c r="J751" t="s">
        <v>124</v>
      </c>
      <c r="K751" t="s">
        <v>124</v>
      </c>
      <c r="L751" t="s">
        <v>124</v>
      </c>
      <c r="M751" t="s">
        <v>1396</v>
      </c>
      <c r="N751" t="b">
        <v>0</v>
      </c>
    </row>
    <row r="752" spans="1:14">
      <c r="A752">
        <v>44</v>
      </c>
      <c r="B752">
        <v>4</v>
      </c>
      <c r="C752" t="s">
        <v>227</v>
      </c>
      <c r="D752" t="s">
        <v>722</v>
      </c>
      <c r="E752" t="s">
        <v>99</v>
      </c>
      <c r="F752">
        <v>40</v>
      </c>
      <c r="G752" t="s">
        <v>124</v>
      </c>
      <c r="H752" t="s">
        <v>124</v>
      </c>
      <c r="I752" t="s">
        <v>99</v>
      </c>
      <c r="J752" t="s">
        <v>124</v>
      </c>
      <c r="K752" t="s">
        <v>124</v>
      </c>
      <c r="L752" t="s">
        <v>124</v>
      </c>
      <c r="M752" t="s">
        <v>1397</v>
      </c>
      <c r="N752" t="b">
        <v>0</v>
      </c>
    </row>
    <row r="753" spans="1:14">
      <c r="A753">
        <v>44</v>
      </c>
      <c r="B753">
        <v>5</v>
      </c>
      <c r="C753" t="s">
        <v>273</v>
      </c>
      <c r="D753" t="s">
        <v>722</v>
      </c>
      <c r="E753" t="s">
        <v>101</v>
      </c>
      <c r="F753">
        <v>30</v>
      </c>
      <c r="G753" t="s">
        <v>124</v>
      </c>
      <c r="H753" t="s">
        <v>124</v>
      </c>
      <c r="I753" t="s">
        <v>101</v>
      </c>
      <c r="J753" t="s">
        <v>124</v>
      </c>
      <c r="K753" t="s">
        <v>124</v>
      </c>
      <c r="L753" t="s">
        <v>124</v>
      </c>
      <c r="M753" t="s">
        <v>1398</v>
      </c>
      <c r="N753" t="b">
        <v>0</v>
      </c>
    </row>
    <row r="754" spans="1:14">
      <c r="A754">
        <v>44</v>
      </c>
      <c r="B754">
        <v>6</v>
      </c>
      <c r="C754" t="s">
        <v>337</v>
      </c>
      <c r="D754" t="s">
        <v>722</v>
      </c>
      <c r="E754" t="s">
        <v>110</v>
      </c>
      <c r="F754">
        <v>40</v>
      </c>
      <c r="G754" t="s">
        <v>124</v>
      </c>
      <c r="H754" t="s">
        <v>124</v>
      </c>
      <c r="I754" t="s">
        <v>110</v>
      </c>
      <c r="J754" t="s">
        <v>124</v>
      </c>
      <c r="K754" t="s">
        <v>124</v>
      </c>
      <c r="L754" t="s">
        <v>124</v>
      </c>
      <c r="M754" t="s">
        <v>1399</v>
      </c>
      <c r="N754" t="b">
        <v>0</v>
      </c>
    </row>
    <row r="755" spans="1:14">
      <c r="A755">
        <v>44</v>
      </c>
      <c r="B755">
        <v>7</v>
      </c>
      <c r="C755" t="s">
        <v>289</v>
      </c>
      <c r="D755" t="s">
        <v>722</v>
      </c>
      <c r="E755" t="s">
        <v>111</v>
      </c>
      <c r="F755">
        <v>40</v>
      </c>
      <c r="G755" t="s">
        <v>124</v>
      </c>
      <c r="H755" t="s">
        <v>124</v>
      </c>
      <c r="I755" t="s">
        <v>111</v>
      </c>
      <c r="J755" t="s">
        <v>124</v>
      </c>
      <c r="K755" t="s">
        <v>124</v>
      </c>
      <c r="L755" t="s">
        <v>124</v>
      </c>
      <c r="M755" t="s">
        <v>1400</v>
      </c>
      <c r="N755" t="b">
        <v>0</v>
      </c>
    </row>
    <row r="756" spans="1:14">
      <c r="A756">
        <v>44</v>
      </c>
      <c r="B756">
        <v>8</v>
      </c>
      <c r="C756" t="s">
        <v>338</v>
      </c>
      <c r="D756" t="s">
        <v>722</v>
      </c>
      <c r="E756" t="s">
        <v>546</v>
      </c>
      <c r="F756">
        <v>40</v>
      </c>
      <c r="G756" t="s">
        <v>1401</v>
      </c>
      <c r="H756" t="s">
        <v>546</v>
      </c>
      <c r="I756" t="s">
        <v>124</v>
      </c>
      <c r="J756" t="s">
        <v>124</v>
      </c>
      <c r="K756" t="s">
        <v>124</v>
      </c>
      <c r="L756" t="s">
        <v>124</v>
      </c>
      <c r="M756" t="s">
        <v>1402</v>
      </c>
      <c r="N756" t="b">
        <v>0</v>
      </c>
    </row>
    <row r="757" spans="1:14">
      <c r="A757">
        <v>44</v>
      </c>
      <c r="B757">
        <v>9</v>
      </c>
      <c r="C757" t="s">
        <v>165</v>
      </c>
      <c r="D757" t="s">
        <v>722</v>
      </c>
      <c r="E757" t="s">
        <v>72</v>
      </c>
      <c r="F757">
        <v>50</v>
      </c>
      <c r="G757" t="s">
        <v>124</v>
      </c>
      <c r="H757" t="s">
        <v>124</v>
      </c>
      <c r="I757" t="s">
        <v>72</v>
      </c>
      <c r="J757" t="s">
        <v>124</v>
      </c>
      <c r="K757" t="s">
        <v>124</v>
      </c>
      <c r="L757" t="s">
        <v>124</v>
      </c>
      <c r="M757" t="s">
        <v>1403</v>
      </c>
      <c r="N757" t="b">
        <v>0</v>
      </c>
    </row>
    <row r="758" spans="1:14">
      <c r="A758">
        <v>44</v>
      </c>
      <c r="B758">
        <v>10</v>
      </c>
      <c r="C758" t="s">
        <v>339</v>
      </c>
      <c r="D758" t="s">
        <v>722</v>
      </c>
      <c r="E758" t="s">
        <v>100</v>
      </c>
      <c r="F758">
        <v>30</v>
      </c>
      <c r="G758" t="s">
        <v>124</v>
      </c>
      <c r="H758" t="s">
        <v>124</v>
      </c>
      <c r="I758" t="s">
        <v>100</v>
      </c>
      <c r="J758" t="s">
        <v>124</v>
      </c>
      <c r="K758" t="s">
        <v>124</v>
      </c>
      <c r="L758" t="s">
        <v>124</v>
      </c>
      <c r="M758" t="s">
        <v>1404</v>
      </c>
      <c r="N758" t="b">
        <v>0</v>
      </c>
    </row>
    <row r="759" spans="1:14">
      <c r="A759">
        <v>44</v>
      </c>
      <c r="B759">
        <v>11</v>
      </c>
      <c r="C759" t="s">
        <v>168</v>
      </c>
      <c r="D759" t="s">
        <v>722</v>
      </c>
      <c r="E759" t="s">
        <v>104</v>
      </c>
      <c r="F759">
        <v>50</v>
      </c>
      <c r="G759" t="s">
        <v>124</v>
      </c>
      <c r="H759" t="s">
        <v>124</v>
      </c>
      <c r="I759" t="s">
        <v>104</v>
      </c>
      <c r="J759" t="s">
        <v>124</v>
      </c>
      <c r="K759" t="s">
        <v>124</v>
      </c>
      <c r="L759" t="s">
        <v>124</v>
      </c>
      <c r="M759" t="s">
        <v>1405</v>
      </c>
      <c r="N759" t="b">
        <v>0</v>
      </c>
    </row>
    <row r="760" spans="1:14">
      <c r="A760">
        <v>44</v>
      </c>
      <c r="B760">
        <v>12</v>
      </c>
      <c r="C760" t="s">
        <v>230</v>
      </c>
      <c r="D760" t="s">
        <v>722</v>
      </c>
      <c r="E760" t="s">
        <v>106</v>
      </c>
      <c r="F760">
        <v>50</v>
      </c>
      <c r="G760" t="s">
        <v>124</v>
      </c>
      <c r="H760" t="s">
        <v>124</v>
      </c>
      <c r="I760" t="s">
        <v>106</v>
      </c>
      <c r="J760" t="s">
        <v>124</v>
      </c>
      <c r="K760" t="s">
        <v>124</v>
      </c>
      <c r="L760" t="s">
        <v>124</v>
      </c>
      <c r="M760" t="s">
        <v>1406</v>
      </c>
      <c r="N760" t="b">
        <v>0</v>
      </c>
    </row>
    <row r="761" spans="1:14">
      <c r="A761">
        <v>44</v>
      </c>
      <c r="B761">
        <v>13</v>
      </c>
      <c r="C761" t="s">
        <v>124</v>
      </c>
      <c r="D761" t="s">
        <v>722</v>
      </c>
      <c r="E761" t="s">
        <v>124</v>
      </c>
      <c r="F761">
        <v>0</v>
      </c>
      <c r="G761" t="s">
        <v>124</v>
      </c>
      <c r="H761" t="s">
        <v>124</v>
      </c>
      <c r="I761" t="s">
        <v>124</v>
      </c>
      <c r="J761" t="s">
        <v>124</v>
      </c>
      <c r="K761" t="s">
        <v>124</v>
      </c>
      <c r="L761" t="s">
        <v>124</v>
      </c>
      <c r="M761" t="s">
        <v>1407</v>
      </c>
      <c r="N761" t="b">
        <v>0</v>
      </c>
    </row>
    <row r="762" spans="1:14">
      <c r="A762">
        <v>44</v>
      </c>
      <c r="B762">
        <v>14</v>
      </c>
      <c r="C762" t="s">
        <v>124</v>
      </c>
      <c r="D762" t="s">
        <v>722</v>
      </c>
      <c r="E762" t="s">
        <v>124</v>
      </c>
      <c r="F762">
        <v>0</v>
      </c>
      <c r="G762" t="s">
        <v>124</v>
      </c>
      <c r="H762" t="s">
        <v>124</v>
      </c>
      <c r="I762" t="s">
        <v>124</v>
      </c>
      <c r="J762" t="s">
        <v>124</v>
      </c>
      <c r="K762" t="s">
        <v>124</v>
      </c>
      <c r="L762" t="s">
        <v>124</v>
      </c>
      <c r="M762" t="s">
        <v>1408</v>
      </c>
      <c r="N762" t="b">
        <v>0</v>
      </c>
    </row>
    <row r="763" spans="1:14">
      <c r="A763">
        <v>44</v>
      </c>
      <c r="B763">
        <v>15</v>
      </c>
      <c r="C763" t="s">
        <v>124</v>
      </c>
      <c r="D763" t="s">
        <v>722</v>
      </c>
      <c r="E763" t="s">
        <v>124</v>
      </c>
      <c r="F763">
        <v>0</v>
      </c>
      <c r="G763" t="s">
        <v>124</v>
      </c>
      <c r="H763" t="s">
        <v>124</v>
      </c>
      <c r="I763" t="s">
        <v>124</v>
      </c>
      <c r="J763" t="s">
        <v>124</v>
      </c>
      <c r="K763" t="s">
        <v>124</v>
      </c>
      <c r="L763" t="s">
        <v>124</v>
      </c>
      <c r="M763" t="s">
        <v>1409</v>
      </c>
      <c r="N763" t="b">
        <v>0</v>
      </c>
    </row>
    <row r="764" spans="1:14">
      <c r="A764">
        <v>44</v>
      </c>
      <c r="B764">
        <v>16</v>
      </c>
      <c r="C764" t="s">
        <v>288</v>
      </c>
      <c r="D764" t="s">
        <v>739</v>
      </c>
      <c r="E764" t="s">
        <v>73</v>
      </c>
      <c r="F764">
        <v>40</v>
      </c>
      <c r="G764" t="s">
        <v>124</v>
      </c>
      <c r="H764" t="s">
        <v>124</v>
      </c>
      <c r="I764" t="s">
        <v>73</v>
      </c>
      <c r="J764" t="s">
        <v>124</v>
      </c>
      <c r="K764" t="s">
        <v>124</v>
      </c>
      <c r="L764" t="s">
        <v>124</v>
      </c>
      <c r="M764" t="s">
        <v>1410</v>
      </c>
      <c r="N764" t="b">
        <v>0</v>
      </c>
    </row>
    <row r="765" spans="1:14">
      <c r="A765">
        <v>44</v>
      </c>
      <c r="B765">
        <v>17</v>
      </c>
      <c r="C765" t="s">
        <v>208</v>
      </c>
      <c r="D765" t="s">
        <v>739</v>
      </c>
      <c r="E765" t="s">
        <v>85</v>
      </c>
      <c r="F765">
        <v>40</v>
      </c>
      <c r="G765" t="s">
        <v>124</v>
      </c>
      <c r="H765" t="s">
        <v>124</v>
      </c>
      <c r="I765" t="s">
        <v>85</v>
      </c>
      <c r="J765" t="s">
        <v>124</v>
      </c>
      <c r="K765" t="s">
        <v>124</v>
      </c>
      <c r="L765" t="s">
        <v>124</v>
      </c>
      <c r="M765" t="s">
        <v>1411</v>
      </c>
      <c r="N765" t="b">
        <v>0</v>
      </c>
    </row>
    <row r="766" spans="1:14">
      <c r="A766">
        <v>44</v>
      </c>
      <c r="B766">
        <v>18</v>
      </c>
      <c r="C766" t="s">
        <v>178</v>
      </c>
      <c r="D766" t="s">
        <v>739</v>
      </c>
      <c r="E766" t="s">
        <v>542</v>
      </c>
      <c r="F766">
        <v>40</v>
      </c>
      <c r="G766" t="s">
        <v>758</v>
      </c>
      <c r="H766" t="s">
        <v>124</v>
      </c>
      <c r="I766" t="s">
        <v>124</v>
      </c>
      <c r="J766" t="s">
        <v>815</v>
      </c>
      <c r="K766" t="s">
        <v>790</v>
      </c>
      <c r="L766" t="s">
        <v>791</v>
      </c>
      <c r="M766" t="s">
        <v>1412</v>
      </c>
      <c r="N766" t="b">
        <v>0</v>
      </c>
    </row>
    <row r="767" spans="1:14">
      <c r="A767">
        <v>44</v>
      </c>
      <c r="B767">
        <v>19</v>
      </c>
      <c r="C767" t="s">
        <v>216</v>
      </c>
      <c r="D767" t="s">
        <v>739</v>
      </c>
      <c r="E767" t="s">
        <v>93</v>
      </c>
      <c r="F767">
        <v>40</v>
      </c>
      <c r="G767" t="s">
        <v>124</v>
      </c>
      <c r="H767" t="s">
        <v>124</v>
      </c>
      <c r="I767" t="s">
        <v>93</v>
      </c>
      <c r="J767" t="s">
        <v>124</v>
      </c>
      <c r="K767" t="s">
        <v>124</v>
      </c>
      <c r="L767" t="s">
        <v>124</v>
      </c>
      <c r="M767" t="s">
        <v>1413</v>
      </c>
      <c r="N767" t="b">
        <v>0</v>
      </c>
    </row>
    <row r="768" spans="1:14">
      <c r="A768">
        <v>44</v>
      </c>
      <c r="B768">
        <v>20</v>
      </c>
      <c r="C768" t="s">
        <v>158</v>
      </c>
      <c r="D768" t="s">
        <v>739</v>
      </c>
      <c r="E768" t="s">
        <v>295</v>
      </c>
      <c r="F768">
        <v>40</v>
      </c>
      <c r="G768" t="s">
        <v>758</v>
      </c>
      <c r="H768" t="s">
        <v>124</v>
      </c>
      <c r="I768" t="s">
        <v>124</v>
      </c>
      <c r="J768" t="s">
        <v>759</v>
      </c>
      <c r="K768" t="s">
        <v>760</v>
      </c>
      <c r="L768" t="s">
        <v>761</v>
      </c>
      <c r="M768" t="s">
        <v>1414</v>
      </c>
      <c r="N768" t="b">
        <v>0</v>
      </c>
    </row>
    <row r="769" spans="1:14">
      <c r="A769">
        <v>44</v>
      </c>
      <c r="B769">
        <v>21</v>
      </c>
      <c r="C769" t="s">
        <v>175</v>
      </c>
      <c r="D769" t="s">
        <v>739</v>
      </c>
      <c r="E769" t="s">
        <v>98</v>
      </c>
      <c r="F769">
        <v>40</v>
      </c>
      <c r="G769" t="s">
        <v>124</v>
      </c>
      <c r="H769" t="s">
        <v>124</v>
      </c>
      <c r="I769" t="s">
        <v>98</v>
      </c>
      <c r="J769" t="s">
        <v>124</v>
      </c>
      <c r="K769" t="s">
        <v>124</v>
      </c>
      <c r="L769" t="s">
        <v>124</v>
      </c>
      <c r="M769" t="s">
        <v>1415</v>
      </c>
      <c r="N769" t="b">
        <v>0</v>
      </c>
    </row>
    <row r="770" spans="1:14">
      <c r="A770">
        <v>44</v>
      </c>
      <c r="B770">
        <v>22</v>
      </c>
      <c r="C770" t="s">
        <v>124</v>
      </c>
      <c r="D770" t="s">
        <v>739</v>
      </c>
      <c r="E770" t="s">
        <v>124</v>
      </c>
      <c r="F770">
        <v>0</v>
      </c>
      <c r="G770" t="s">
        <v>124</v>
      </c>
      <c r="H770" t="s">
        <v>124</v>
      </c>
      <c r="I770" t="s">
        <v>124</v>
      </c>
      <c r="J770" t="s">
        <v>124</v>
      </c>
      <c r="K770" t="s">
        <v>124</v>
      </c>
      <c r="L770" t="s">
        <v>124</v>
      </c>
      <c r="M770" t="s">
        <v>1416</v>
      </c>
      <c r="N770" t="b">
        <v>0</v>
      </c>
    </row>
    <row r="771" spans="1:14">
      <c r="A771">
        <v>44</v>
      </c>
      <c r="B771">
        <v>23</v>
      </c>
      <c r="C771" t="s">
        <v>124</v>
      </c>
      <c r="D771" t="s">
        <v>739</v>
      </c>
      <c r="E771" t="s">
        <v>124</v>
      </c>
      <c r="F771">
        <v>0</v>
      </c>
      <c r="G771" t="s">
        <v>124</v>
      </c>
      <c r="H771" t="s">
        <v>124</v>
      </c>
      <c r="I771" t="s">
        <v>124</v>
      </c>
      <c r="J771" t="s">
        <v>124</v>
      </c>
      <c r="K771" t="s">
        <v>124</v>
      </c>
      <c r="L771" t="s">
        <v>124</v>
      </c>
      <c r="M771" t="s">
        <v>1417</v>
      </c>
      <c r="N771" t="b">
        <v>0</v>
      </c>
    </row>
    <row r="772" spans="1:14">
      <c r="A772">
        <v>44</v>
      </c>
      <c r="B772">
        <v>24</v>
      </c>
      <c r="C772" t="s">
        <v>124</v>
      </c>
      <c r="D772" t="s">
        <v>739</v>
      </c>
      <c r="E772" t="s">
        <v>124</v>
      </c>
      <c r="F772">
        <v>0</v>
      </c>
      <c r="G772" t="s">
        <v>124</v>
      </c>
      <c r="H772" t="s">
        <v>124</v>
      </c>
      <c r="I772" t="s">
        <v>124</v>
      </c>
      <c r="J772" t="s">
        <v>124</v>
      </c>
      <c r="K772" t="s">
        <v>124</v>
      </c>
      <c r="L772" t="s">
        <v>124</v>
      </c>
      <c r="M772" t="s">
        <v>1418</v>
      </c>
      <c r="N772" t="b">
        <v>0</v>
      </c>
    </row>
    <row r="773" spans="1:14">
      <c r="A773">
        <v>44</v>
      </c>
      <c r="B773">
        <v>25</v>
      </c>
      <c r="C773" t="s">
        <v>124</v>
      </c>
      <c r="D773" t="s">
        <v>739</v>
      </c>
      <c r="E773" t="s">
        <v>124</v>
      </c>
      <c r="F773">
        <v>0</v>
      </c>
      <c r="G773" t="s">
        <v>124</v>
      </c>
      <c r="H773" t="s">
        <v>124</v>
      </c>
      <c r="I773" t="s">
        <v>124</v>
      </c>
      <c r="J773" t="s">
        <v>124</v>
      </c>
      <c r="K773" t="s">
        <v>124</v>
      </c>
      <c r="L773" t="s">
        <v>124</v>
      </c>
      <c r="M773" t="s">
        <v>1419</v>
      </c>
      <c r="N773" t="b">
        <v>0</v>
      </c>
    </row>
    <row r="774" spans="1:14">
      <c r="A774">
        <v>44</v>
      </c>
      <c r="B774">
        <v>26</v>
      </c>
      <c r="C774" t="s">
        <v>124</v>
      </c>
      <c r="D774" t="s">
        <v>739</v>
      </c>
      <c r="E774" t="s">
        <v>124</v>
      </c>
      <c r="F774">
        <v>0</v>
      </c>
      <c r="G774" t="s">
        <v>124</v>
      </c>
      <c r="H774" t="s">
        <v>124</v>
      </c>
      <c r="I774" t="s">
        <v>124</v>
      </c>
      <c r="J774" t="s">
        <v>124</v>
      </c>
      <c r="K774" t="s">
        <v>124</v>
      </c>
      <c r="L774" t="s">
        <v>124</v>
      </c>
      <c r="M774" t="s">
        <v>1420</v>
      </c>
      <c r="N774" t="b">
        <v>0</v>
      </c>
    </row>
    <row r="775" spans="1:14">
      <c r="A775">
        <v>46</v>
      </c>
      <c r="B775">
        <v>0</v>
      </c>
      <c r="C775" t="s">
        <v>184</v>
      </c>
      <c r="D775" t="s">
        <v>722</v>
      </c>
      <c r="E775" t="s">
        <v>63</v>
      </c>
      <c r="F775">
        <v>50</v>
      </c>
      <c r="G775" t="s">
        <v>124</v>
      </c>
      <c r="H775" t="s">
        <v>124</v>
      </c>
      <c r="I775" t="s">
        <v>63</v>
      </c>
      <c r="J775" t="s">
        <v>124</v>
      </c>
      <c r="K775" t="s">
        <v>124</v>
      </c>
      <c r="L775" t="s">
        <v>124</v>
      </c>
      <c r="M775" t="s">
        <v>1421</v>
      </c>
      <c r="N775" t="b">
        <v>0</v>
      </c>
    </row>
    <row r="776" spans="1:14">
      <c r="A776">
        <v>46</v>
      </c>
      <c r="B776">
        <v>1</v>
      </c>
      <c r="C776" t="s">
        <v>215</v>
      </c>
      <c r="D776" t="s">
        <v>722</v>
      </c>
      <c r="E776" t="s">
        <v>75</v>
      </c>
      <c r="F776">
        <v>60</v>
      </c>
      <c r="G776" t="s">
        <v>124</v>
      </c>
      <c r="H776" t="s">
        <v>124</v>
      </c>
      <c r="I776" t="s">
        <v>75</v>
      </c>
      <c r="J776" t="s">
        <v>124</v>
      </c>
      <c r="K776" t="s">
        <v>124</v>
      </c>
      <c r="L776" t="s">
        <v>124</v>
      </c>
      <c r="M776" t="s">
        <v>1422</v>
      </c>
      <c r="N776" t="b">
        <v>0</v>
      </c>
    </row>
    <row r="777" spans="1:14">
      <c r="A777">
        <v>46</v>
      </c>
      <c r="B777">
        <v>2</v>
      </c>
      <c r="C777" t="s">
        <v>216</v>
      </c>
      <c r="D777" t="s">
        <v>722</v>
      </c>
      <c r="E777" t="s">
        <v>93</v>
      </c>
      <c r="F777">
        <v>40</v>
      </c>
      <c r="G777" t="s">
        <v>124</v>
      </c>
      <c r="H777" t="s">
        <v>124</v>
      </c>
      <c r="I777" t="s">
        <v>93</v>
      </c>
      <c r="J777" t="s">
        <v>124</v>
      </c>
      <c r="K777" t="s">
        <v>124</v>
      </c>
      <c r="L777" t="s">
        <v>124</v>
      </c>
      <c r="M777" t="s">
        <v>1423</v>
      </c>
      <c r="N777" t="b">
        <v>0</v>
      </c>
    </row>
    <row r="778" spans="1:14">
      <c r="A778">
        <v>46</v>
      </c>
      <c r="B778">
        <v>3</v>
      </c>
      <c r="C778" t="s">
        <v>217</v>
      </c>
      <c r="D778" t="s">
        <v>722</v>
      </c>
      <c r="E778" t="s">
        <v>99</v>
      </c>
      <c r="F778">
        <v>60</v>
      </c>
      <c r="G778" t="s">
        <v>124</v>
      </c>
      <c r="H778" t="s">
        <v>124</v>
      </c>
      <c r="I778" t="s">
        <v>99</v>
      </c>
      <c r="J778" t="s">
        <v>124</v>
      </c>
      <c r="K778" t="s">
        <v>124</v>
      </c>
      <c r="L778" t="s">
        <v>124</v>
      </c>
      <c r="M778" t="s">
        <v>1424</v>
      </c>
      <c r="N778" t="b">
        <v>0</v>
      </c>
    </row>
    <row r="779" spans="1:14">
      <c r="A779">
        <v>46</v>
      </c>
      <c r="B779">
        <v>4</v>
      </c>
      <c r="C779" t="s">
        <v>343</v>
      </c>
      <c r="D779" t="s">
        <v>751</v>
      </c>
      <c r="E779" t="s">
        <v>295</v>
      </c>
      <c r="F779">
        <v>20</v>
      </c>
      <c r="G779" t="s">
        <v>758</v>
      </c>
      <c r="H779" t="s">
        <v>124</v>
      </c>
      <c r="I779" t="s">
        <v>124</v>
      </c>
      <c r="J779" t="s">
        <v>759</v>
      </c>
      <c r="K779" t="s">
        <v>760</v>
      </c>
      <c r="L779" t="s">
        <v>761</v>
      </c>
      <c r="M779" t="s">
        <v>1425</v>
      </c>
      <c r="N779" t="b">
        <v>0</v>
      </c>
    </row>
    <row r="780" spans="1:14">
      <c r="A780">
        <v>46</v>
      </c>
      <c r="B780">
        <v>5</v>
      </c>
      <c r="C780" t="s">
        <v>196</v>
      </c>
      <c r="D780" t="s">
        <v>722</v>
      </c>
      <c r="E780" t="s">
        <v>111</v>
      </c>
      <c r="F780">
        <v>50</v>
      </c>
      <c r="G780" t="s">
        <v>124</v>
      </c>
      <c r="H780" t="s">
        <v>124</v>
      </c>
      <c r="I780" t="s">
        <v>111</v>
      </c>
      <c r="J780" t="s">
        <v>124</v>
      </c>
      <c r="K780" t="s">
        <v>124</v>
      </c>
      <c r="L780" t="s">
        <v>124</v>
      </c>
      <c r="M780" t="s">
        <v>1426</v>
      </c>
      <c r="N780" t="b">
        <v>0</v>
      </c>
    </row>
    <row r="781" spans="1:14">
      <c r="A781">
        <v>46</v>
      </c>
      <c r="B781">
        <v>6</v>
      </c>
      <c r="C781" t="s">
        <v>252</v>
      </c>
      <c r="D781" t="s">
        <v>722</v>
      </c>
      <c r="E781" t="s">
        <v>113</v>
      </c>
      <c r="F781">
        <v>40</v>
      </c>
      <c r="G781" t="s">
        <v>124</v>
      </c>
      <c r="H781" t="s">
        <v>124</v>
      </c>
      <c r="I781" t="s">
        <v>113</v>
      </c>
      <c r="J781" t="s">
        <v>124</v>
      </c>
      <c r="K781" t="s">
        <v>124</v>
      </c>
      <c r="L781" t="s">
        <v>124</v>
      </c>
      <c r="M781" t="s">
        <v>1427</v>
      </c>
      <c r="N781" t="b">
        <v>0</v>
      </c>
    </row>
    <row r="782" spans="1:14">
      <c r="A782">
        <v>46</v>
      </c>
      <c r="B782">
        <v>7</v>
      </c>
      <c r="C782" t="s">
        <v>218</v>
      </c>
      <c r="D782" t="s">
        <v>722</v>
      </c>
      <c r="E782" t="s">
        <v>66</v>
      </c>
      <c r="F782">
        <v>50</v>
      </c>
      <c r="G782" t="s">
        <v>124</v>
      </c>
      <c r="H782" t="s">
        <v>124</v>
      </c>
      <c r="I782" t="s">
        <v>66</v>
      </c>
      <c r="J782" t="s">
        <v>124</v>
      </c>
      <c r="K782" t="s">
        <v>124</v>
      </c>
      <c r="L782" t="s">
        <v>124</v>
      </c>
      <c r="M782" t="s">
        <v>1428</v>
      </c>
      <c r="N782" t="b">
        <v>0</v>
      </c>
    </row>
    <row r="783" spans="1:14">
      <c r="A783">
        <v>46</v>
      </c>
      <c r="B783">
        <v>8</v>
      </c>
      <c r="C783" t="s">
        <v>219</v>
      </c>
      <c r="D783" t="s">
        <v>722</v>
      </c>
      <c r="E783" t="s">
        <v>329</v>
      </c>
      <c r="F783">
        <v>60</v>
      </c>
      <c r="G783" t="s">
        <v>124</v>
      </c>
      <c r="H783" t="s">
        <v>546</v>
      </c>
      <c r="I783" t="s">
        <v>443</v>
      </c>
      <c r="J783" t="s">
        <v>124</v>
      </c>
      <c r="K783" t="s">
        <v>919</v>
      </c>
      <c r="L783" t="s">
        <v>920</v>
      </c>
      <c r="M783" t="s">
        <v>1429</v>
      </c>
      <c r="N783" t="b">
        <v>0</v>
      </c>
    </row>
    <row r="784" spans="1:14">
      <c r="A784">
        <v>46</v>
      </c>
      <c r="B784">
        <v>9</v>
      </c>
      <c r="C784" t="s">
        <v>165</v>
      </c>
      <c r="D784" t="s">
        <v>722</v>
      </c>
      <c r="E784" t="s">
        <v>72</v>
      </c>
      <c r="F784">
        <v>50</v>
      </c>
      <c r="G784" t="s">
        <v>124</v>
      </c>
      <c r="H784" t="s">
        <v>124</v>
      </c>
      <c r="I784" t="s">
        <v>72</v>
      </c>
      <c r="J784" t="s">
        <v>124</v>
      </c>
      <c r="K784" t="s">
        <v>124</v>
      </c>
      <c r="L784" t="s">
        <v>124</v>
      </c>
      <c r="M784" t="s">
        <v>1430</v>
      </c>
      <c r="N784" t="b">
        <v>0</v>
      </c>
    </row>
    <row r="785" spans="1:14">
      <c r="A785">
        <v>46</v>
      </c>
      <c r="B785">
        <v>10</v>
      </c>
      <c r="C785" t="s">
        <v>161</v>
      </c>
      <c r="D785" t="s">
        <v>722</v>
      </c>
      <c r="E785" t="s">
        <v>76</v>
      </c>
      <c r="F785">
        <v>40</v>
      </c>
      <c r="G785" t="s">
        <v>124</v>
      </c>
      <c r="H785" t="s">
        <v>124</v>
      </c>
      <c r="I785" t="s">
        <v>76</v>
      </c>
      <c r="J785" t="s">
        <v>124</v>
      </c>
      <c r="K785" t="s">
        <v>124</v>
      </c>
      <c r="L785" t="s">
        <v>124</v>
      </c>
      <c r="M785" t="s">
        <v>1431</v>
      </c>
      <c r="N785" t="b">
        <v>0</v>
      </c>
    </row>
    <row r="786" spans="1:14">
      <c r="A786">
        <v>46</v>
      </c>
      <c r="B786">
        <v>11</v>
      </c>
      <c r="C786" t="s">
        <v>220</v>
      </c>
      <c r="D786" t="s">
        <v>722</v>
      </c>
      <c r="E786" t="s">
        <v>100</v>
      </c>
      <c r="F786">
        <v>50</v>
      </c>
      <c r="G786" t="s">
        <v>124</v>
      </c>
      <c r="H786" t="s">
        <v>124</v>
      </c>
      <c r="I786" t="s">
        <v>100</v>
      </c>
      <c r="J786" t="s">
        <v>124</v>
      </c>
      <c r="K786" t="s">
        <v>124</v>
      </c>
      <c r="L786" t="s">
        <v>124</v>
      </c>
      <c r="M786" t="s">
        <v>1432</v>
      </c>
      <c r="N786" t="b">
        <v>0</v>
      </c>
    </row>
    <row r="787" spans="1:14">
      <c r="A787">
        <v>46</v>
      </c>
      <c r="B787">
        <v>12</v>
      </c>
      <c r="C787" t="s">
        <v>168</v>
      </c>
      <c r="D787" t="s">
        <v>722</v>
      </c>
      <c r="E787" t="s">
        <v>104</v>
      </c>
      <c r="F787">
        <v>50</v>
      </c>
      <c r="G787" t="s">
        <v>124</v>
      </c>
      <c r="H787" t="s">
        <v>124</v>
      </c>
      <c r="I787" t="s">
        <v>104</v>
      </c>
      <c r="J787" t="s">
        <v>124</v>
      </c>
      <c r="K787" t="s">
        <v>124</v>
      </c>
      <c r="L787" t="s">
        <v>124</v>
      </c>
      <c r="M787" t="s">
        <v>1433</v>
      </c>
      <c r="N787" t="b">
        <v>0</v>
      </c>
    </row>
    <row r="788" spans="1:14">
      <c r="A788">
        <v>46</v>
      </c>
      <c r="B788">
        <v>13</v>
      </c>
      <c r="C788" t="s">
        <v>221</v>
      </c>
      <c r="D788" t="s">
        <v>722</v>
      </c>
      <c r="E788" t="s">
        <v>105</v>
      </c>
      <c r="F788">
        <v>50</v>
      </c>
      <c r="G788" t="s">
        <v>124</v>
      </c>
      <c r="H788" t="s">
        <v>124</v>
      </c>
      <c r="I788" t="s">
        <v>105</v>
      </c>
      <c r="J788" t="s">
        <v>124</v>
      </c>
      <c r="K788" t="s">
        <v>124</v>
      </c>
      <c r="L788" t="s">
        <v>124</v>
      </c>
      <c r="M788" t="s">
        <v>1434</v>
      </c>
      <c r="N788" t="b">
        <v>0</v>
      </c>
    </row>
    <row r="789" spans="1:14">
      <c r="A789">
        <v>46</v>
      </c>
      <c r="B789">
        <v>14</v>
      </c>
      <c r="C789" t="s">
        <v>193</v>
      </c>
      <c r="D789" t="s">
        <v>722</v>
      </c>
      <c r="E789" t="s">
        <v>106</v>
      </c>
      <c r="F789">
        <v>60</v>
      </c>
      <c r="G789" t="s">
        <v>124</v>
      </c>
      <c r="H789" t="s">
        <v>124</v>
      </c>
      <c r="I789" t="s">
        <v>106</v>
      </c>
      <c r="J789" t="s">
        <v>124</v>
      </c>
      <c r="K789" t="s">
        <v>124</v>
      </c>
      <c r="L789" t="s">
        <v>124</v>
      </c>
      <c r="M789" t="s">
        <v>1435</v>
      </c>
      <c r="N789" t="b">
        <v>0</v>
      </c>
    </row>
    <row r="790" spans="1:14">
      <c r="A790">
        <v>46</v>
      </c>
      <c r="B790">
        <v>15</v>
      </c>
      <c r="C790" t="s">
        <v>124</v>
      </c>
      <c r="D790" t="s">
        <v>722</v>
      </c>
      <c r="E790" t="s">
        <v>124</v>
      </c>
      <c r="F790">
        <v>0</v>
      </c>
      <c r="G790" t="s">
        <v>124</v>
      </c>
      <c r="H790" t="s">
        <v>124</v>
      </c>
      <c r="I790" t="s">
        <v>124</v>
      </c>
      <c r="J790" t="s">
        <v>124</v>
      </c>
      <c r="K790" t="s">
        <v>124</v>
      </c>
      <c r="L790" t="s">
        <v>124</v>
      </c>
      <c r="M790" t="s">
        <v>1436</v>
      </c>
      <c r="N790" t="b">
        <v>0</v>
      </c>
    </row>
    <row r="791" spans="1:14">
      <c r="A791">
        <v>46</v>
      </c>
      <c r="B791">
        <v>16</v>
      </c>
      <c r="C791" t="s">
        <v>124</v>
      </c>
      <c r="D791" t="s">
        <v>739</v>
      </c>
      <c r="E791" t="s">
        <v>124</v>
      </c>
      <c r="F791">
        <v>0</v>
      </c>
      <c r="G791" t="s">
        <v>124</v>
      </c>
      <c r="H791" t="s">
        <v>124</v>
      </c>
      <c r="I791" t="s">
        <v>124</v>
      </c>
      <c r="J791" t="s">
        <v>124</v>
      </c>
      <c r="K791" t="s">
        <v>124</v>
      </c>
      <c r="L791" t="s">
        <v>124</v>
      </c>
      <c r="M791" t="s">
        <v>1437</v>
      </c>
      <c r="N791" t="b">
        <v>0</v>
      </c>
    </row>
    <row r="792" spans="1:14">
      <c r="A792">
        <v>46</v>
      </c>
      <c r="B792">
        <v>17</v>
      </c>
      <c r="C792" t="s">
        <v>124</v>
      </c>
      <c r="D792" t="s">
        <v>739</v>
      </c>
      <c r="E792" t="s">
        <v>124</v>
      </c>
      <c r="F792">
        <v>0</v>
      </c>
      <c r="G792" t="s">
        <v>124</v>
      </c>
      <c r="H792" t="s">
        <v>124</v>
      </c>
      <c r="I792" t="s">
        <v>124</v>
      </c>
      <c r="J792" t="s">
        <v>124</v>
      </c>
      <c r="K792" t="s">
        <v>124</v>
      </c>
      <c r="L792" t="s">
        <v>124</v>
      </c>
      <c r="M792" t="s">
        <v>1438</v>
      </c>
      <c r="N792" t="b">
        <v>0</v>
      </c>
    </row>
    <row r="793" spans="1:14">
      <c r="A793">
        <v>46</v>
      </c>
      <c r="B793">
        <v>18</v>
      </c>
      <c r="C793" t="s">
        <v>124</v>
      </c>
      <c r="D793" t="s">
        <v>739</v>
      </c>
      <c r="E793" t="s">
        <v>124</v>
      </c>
      <c r="F793">
        <v>0</v>
      </c>
      <c r="G793" t="s">
        <v>124</v>
      </c>
      <c r="H793" t="s">
        <v>124</v>
      </c>
      <c r="I793" t="s">
        <v>124</v>
      </c>
      <c r="J793" t="s">
        <v>124</v>
      </c>
      <c r="K793" t="s">
        <v>124</v>
      </c>
      <c r="L793" t="s">
        <v>124</v>
      </c>
      <c r="M793" t="s">
        <v>1439</v>
      </c>
      <c r="N793" t="b">
        <v>0</v>
      </c>
    </row>
    <row r="794" spans="1:14">
      <c r="A794">
        <v>46</v>
      </c>
      <c r="B794">
        <v>19</v>
      </c>
      <c r="C794" t="s">
        <v>124</v>
      </c>
      <c r="D794" t="s">
        <v>739</v>
      </c>
      <c r="E794" t="s">
        <v>124</v>
      </c>
      <c r="F794">
        <v>0</v>
      </c>
      <c r="G794" t="s">
        <v>124</v>
      </c>
      <c r="H794" t="s">
        <v>124</v>
      </c>
      <c r="I794" t="s">
        <v>124</v>
      </c>
      <c r="J794" t="s">
        <v>124</v>
      </c>
      <c r="K794" t="s">
        <v>124</v>
      </c>
      <c r="L794" t="s">
        <v>124</v>
      </c>
      <c r="M794" t="s">
        <v>1440</v>
      </c>
      <c r="N794" t="b">
        <v>0</v>
      </c>
    </row>
    <row r="795" spans="1:14">
      <c r="A795">
        <v>46</v>
      </c>
      <c r="B795">
        <v>20</v>
      </c>
      <c r="C795" t="s">
        <v>124</v>
      </c>
      <c r="D795" t="s">
        <v>739</v>
      </c>
      <c r="E795" t="s">
        <v>124</v>
      </c>
      <c r="F795">
        <v>0</v>
      </c>
      <c r="G795" t="s">
        <v>124</v>
      </c>
      <c r="H795" t="s">
        <v>124</v>
      </c>
      <c r="I795" t="s">
        <v>124</v>
      </c>
      <c r="J795" t="s">
        <v>124</v>
      </c>
      <c r="K795" t="s">
        <v>124</v>
      </c>
      <c r="L795" t="s">
        <v>124</v>
      </c>
      <c r="M795" t="s">
        <v>1441</v>
      </c>
      <c r="N795" t="b">
        <v>0</v>
      </c>
    </row>
    <row r="796" spans="1:14">
      <c r="A796">
        <v>46</v>
      </c>
      <c r="B796">
        <v>21</v>
      </c>
      <c r="C796" t="s">
        <v>124</v>
      </c>
      <c r="D796" t="s">
        <v>739</v>
      </c>
      <c r="E796" t="s">
        <v>124</v>
      </c>
      <c r="F796">
        <v>0</v>
      </c>
      <c r="G796" t="s">
        <v>124</v>
      </c>
      <c r="H796" t="s">
        <v>124</v>
      </c>
      <c r="I796" t="s">
        <v>124</v>
      </c>
      <c r="J796" t="s">
        <v>124</v>
      </c>
      <c r="K796" t="s">
        <v>124</v>
      </c>
      <c r="L796" t="s">
        <v>124</v>
      </c>
      <c r="M796" t="s">
        <v>1442</v>
      </c>
      <c r="N796" t="b">
        <v>0</v>
      </c>
    </row>
    <row r="797" spans="1:14">
      <c r="A797">
        <v>46</v>
      </c>
      <c r="B797">
        <v>22</v>
      </c>
      <c r="C797" t="s">
        <v>124</v>
      </c>
      <c r="D797" t="s">
        <v>739</v>
      </c>
      <c r="E797" t="s">
        <v>124</v>
      </c>
      <c r="F797">
        <v>0</v>
      </c>
      <c r="G797" t="s">
        <v>124</v>
      </c>
      <c r="H797" t="s">
        <v>124</v>
      </c>
      <c r="I797" t="s">
        <v>124</v>
      </c>
      <c r="J797" t="s">
        <v>124</v>
      </c>
      <c r="K797" t="s">
        <v>124</v>
      </c>
      <c r="L797" t="s">
        <v>124</v>
      </c>
      <c r="M797" t="s">
        <v>1443</v>
      </c>
      <c r="N797" t="b">
        <v>0</v>
      </c>
    </row>
    <row r="798" spans="1:14">
      <c r="A798">
        <v>46</v>
      </c>
      <c r="B798">
        <v>23</v>
      </c>
      <c r="C798" t="s">
        <v>124</v>
      </c>
      <c r="D798" t="s">
        <v>739</v>
      </c>
      <c r="E798" t="s">
        <v>124</v>
      </c>
      <c r="F798">
        <v>0</v>
      </c>
      <c r="G798" t="s">
        <v>124</v>
      </c>
      <c r="H798" t="s">
        <v>124</v>
      </c>
      <c r="I798" t="s">
        <v>124</v>
      </c>
      <c r="J798" t="s">
        <v>124</v>
      </c>
      <c r="K798" t="s">
        <v>124</v>
      </c>
      <c r="L798" t="s">
        <v>124</v>
      </c>
      <c r="M798" t="s">
        <v>1444</v>
      </c>
      <c r="N798" t="b">
        <v>0</v>
      </c>
    </row>
    <row r="799" spans="1:14">
      <c r="A799">
        <v>46</v>
      </c>
      <c r="B799">
        <v>24</v>
      </c>
      <c r="C799" t="s">
        <v>124</v>
      </c>
      <c r="D799" t="s">
        <v>739</v>
      </c>
      <c r="E799" t="s">
        <v>124</v>
      </c>
      <c r="F799">
        <v>0</v>
      </c>
      <c r="G799" t="s">
        <v>124</v>
      </c>
      <c r="H799" t="s">
        <v>124</v>
      </c>
      <c r="I799" t="s">
        <v>124</v>
      </c>
      <c r="J799" t="s">
        <v>124</v>
      </c>
      <c r="K799" t="s">
        <v>124</v>
      </c>
      <c r="L799" t="s">
        <v>124</v>
      </c>
      <c r="M799" t="s">
        <v>1445</v>
      </c>
      <c r="N799" t="b">
        <v>0</v>
      </c>
    </row>
    <row r="800" spans="1:14">
      <c r="A800">
        <v>46</v>
      </c>
      <c r="B800">
        <v>25</v>
      </c>
      <c r="C800" t="s">
        <v>124</v>
      </c>
      <c r="D800" t="s">
        <v>739</v>
      </c>
      <c r="E800" t="s">
        <v>124</v>
      </c>
      <c r="F800">
        <v>0</v>
      </c>
      <c r="G800" t="s">
        <v>124</v>
      </c>
      <c r="H800" t="s">
        <v>124</v>
      </c>
      <c r="I800" t="s">
        <v>124</v>
      </c>
      <c r="J800" t="s">
        <v>124</v>
      </c>
      <c r="K800" t="s">
        <v>124</v>
      </c>
      <c r="L800" t="s">
        <v>124</v>
      </c>
      <c r="M800" t="s">
        <v>1446</v>
      </c>
      <c r="N800" t="b">
        <v>0</v>
      </c>
    </row>
    <row r="801" spans="1:14">
      <c r="A801">
        <v>46</v>
      </c>
      <c r="B801">
        <v>26</v>
      </c>
      <c r="C801" t="s">
        <v>124</v>
      </c>
      <c r="D801" t="s">
        <v>739</v>
      </c>
      <c r="E801" t="s">
        <v>124</v>
      </c>
      <c r="F801">
        <v>0</v>
      </c>
      <c r="G801" t="s">
        <v>124</v>
      </c>
      <c r="H801" t="s">
        <v>124</v>
      </c>
      <c r="I801" t="s">
        <v>124</v>
      </c>
      <c r="J801" t="s">
        <v>124</v>
      </c>
      <c r="K801" t="s">
        <v>124</v>
      </c>
      <c r="L801" t="s">
        <v>124</v>
      </c>
      <c r="M801" t="s">
        <v>1447</v>
      </c>
      <c r="N801" t="b">
        <v>0</v>
      </c>
    </row>
    <row r="802" spans="1:14">
      <c r="A802">
        <v>48</v>
      </c>
      <c r="B802">
        <v>0</v>
      </c>
      <c r="C802" t="s">
        <v>184</v>
      </c>
      <c r="D802" t="s">
        <v>722</v>
      </c>
      <c r="E802" t="s">
        <v>63</v>
      </c>
      <c r="F802">
        <v>50</v>
      </c>
      <c r="G802" t="s">
        <v>124</v>
      </c>
      <c r="H802" t="s">
        <v>124</v>
      </c>
      <c r="I802" t="s">
        <v>63</v>
      </c>
      <c r="J802" t="s">
        <v>124</v>
      </c>
      <c r="K802" t="s">
        <v>124</v>
      </c>
      <c r="L802" t="s">
        <v>124</v>
      </c>
      <c r="M802" t="s">
        <v>1448</v>
      </c>
      <c r="N802" t="b">
        <v>0</v>
      </c>
    </row>
    <row r="803" spans="1:14">
      <c r="A803">
        <v>48</v>
      </c>
      <c r="B803">
        <v>1</v>
      </c>
      <c r="C803" t="s">
        <v>224</v>
      </c>
      <c r="D803" t="s">
        <v>722</v>
      </c>
      <c r="E803" t="s">
        <v>75</v>
      </c>
      <c r="F803">
        <v>50</v>
      </c>
      <c r="G803" t="s">
        <v>124</v>
      </c>
      <c r="H803" t="s">
        <v>124</v>
      </c>
      <c r="I803" t="s">
        <v>75</v>
      </c>
      <c r="J803" t="s">
        <v>124</v>
      </c>
      <c r="K803" t="s">
        <v>124</v>
      </c>
      <c r="L803" t="s">
        <v>124</v>
      </c>
      <c r="M803" t="s">
        <v>1449</v>
      </c>
      <c r="N803" t="b">
        <v>0</v>
      </c>
    </row>
    <row r="804" spans="1:14">
      <c r="A804">
        <v>48</v>
      </c>
      <c r="B804">
        <v>2</v>
      </c>
      <c r="C804" t="s">
        <v>266</v>
      </c>
      <c r="D804" t="s">
        <v>722</v>
      </c>
      <c r="E804" t="s">
        <v>81</v>
      </c>
      <c r="F804">
        <v>30</v>
      </c>
      <c r="G804" t="s">
        <v>124</v>
      </c>
      <c r="H804" t="s">
        <v>124</v>
      </c>
      <c r="I804" t="s">
        <v>81</v>
      </c>
      <c r="J804" t="s">
        <v>124</v>
      </c>
      <c r="K804" t="s">
        <v>124</v>
      </c>
      <c r="L804" t="s">
        <v>124</v>
      </c>
      <c r="M804" t="s">
        <v>1450</v>
      </c>
      <c r="N804" t="b">
        <v>0</v>
      </c>
    </row>
    <row r="805" spans="1:14">
      <c r="A805">
        <v>48</v>
      </c>
      <c r="B805">
        <v>3</v>
      </c>
      <c r="C805" t="s">
        <v>249</v>
      </c>
      <c r="D805" t="s">
        <v>722</v>
      </c>
      <c r="E805" t="s">
        <v>97</v>
      </c>
      <c r="F805">
        <v>40</v>
      </c>
      <c r="G805" t="s">
        <v>124</v>
      </c>
      <c r="H805" t="s">
        <v>124</v>
      </c>
      <c r="I805" t="s">
        <v>97</v>
      </c>
      <c r="J805" t="s">
        <v>124</v>
      </c>
      <c r="K805" t="s">
        <v>124</v>
      </c>
      <c r="L805" t="s">
        <v>124</v>
      </c>
      <c r="M805" t="s">
        <v>1451</v>
      </c>
      <c r="N805" t="b">
        <v>0</v>
      </c>
    </row>
    <row r="806" spans="1:14">
      <c r="A806">
        <v>48</v>
      </c>
      <c r="B806">
        <v>4</v>
      </c>
      <c r="C806" t="s">
        <v>227</v>
      </c>
      <c r="D806" t="s">
        <v>722</v>
      </c>
      <c r="E806" t="s">
        <v>99</v>
      </c>
      <c r="F806">
        <v>40</v>
      </c>
      <c r="G806" t="s">
        <v>124</v>
      </c>
      <c r="H806" t="s">
        <v>124</v>
      </c>
      <c r="I806" t="s">
        <v>99</v>
      </c>
      <c r="J806" t="s">
        <v>124</v>
      </c>
      <c r="K806" t="s">
        <v>124</v>
      </c>
      <c r="L806" t="s">
        <v>124</v>
      </c>
      <c r="M806" t="s">
        <v>1452</v>
      </c>
      <c r="N806" t="b">
        <v>0</v>
      </c>
    </row>
    <row r="807" spans="1:14">
      <c r="A807">
        <v>48</v>
      </c>
      <c r="B807">
        <v>5</v>
      </c>
      <c r="C807" t="s">
        <v>273</v>
      </c>
      <c r="D807" t="s">
        <v>722</v>
      </c>
      <c r="E807" t="s">
        <v>101</v>
      </c>
      <c r="F807">
        <v>30</v>
      </c>
      <c r="G807" t="s">
        <v>124</v>
      </c>
      <c r="H807" t="s">
        <v>124</v>
      </c>
      <c r="I807" t="s">
        <v>101</v>
      </c>
      <c r="J807" t="s">
        <v>124</v>
      </c>
      <c r="K807" t="s">
        <v>124</v>
      </c>
      <c r="L807" t="s">
        <v>124</v>
      </c>
      <c r="M807" t="s">
        <v>1453</v>
      </c>
      <c r="N807" t="b">
        <v>0</v>
      </c>
    </row>
    <row r="808" spans="1:14">
      <c r="A808">
        <v>48</v>
      </c>
      <c r="B808">
        <v>6</v>
      </c>
      <c r="C808" t="s">
        <v>158</v>
      </c>
      <c r="D808" t="s">
        <v>751</v>
      </c>
      <c r="E808" t="s">
        <v>295</v>
      </c>
      <c r="F808">
        <v>40</v>
      </c>
      <c r="G808" t="s">
        <v>758</v>
      </c>
      <c r="H808" t="s">
        <v>124</v>
      </c>
      <c r="I808" t="s">
        <v>124</v>
      </c>
      <c r="J808" t="s">
        <v>759</v>
      </c>
      <c r="K808" t="s">
        <v>760</v>
      </c>
      <c r="L808" t="s">
        <v>761</v>
      </c>
      <c r="M808" t="s">
        <v>1454</v>
      </c>
      <c r="N808" t="b">
        <v>0</v>
      </c>
    </row>
    <row r="809" spans="1:14">
      <c r="A809">
        <v>48</v>
      </c>
      <c r="B809">
        <v>7</v>
      </c>
      <c r="C809" t="s">
        <v>164</v>
      </c>
      <c r="D809" t="s">
        <v>722</v>
      </c>
      <c r="E809" t="s">
        <v>113</v>
      </c>
      <c r="F809">
        <v>50</v>
      </c>
      <c r="G809" t="s">
        <v>124</v>
      </c>
      <c r="H809" t="s">
        <v>124</v>
      </c>
      <c r="I809" t="s">
        <v>113</v>
      </c>
      <c r="J809" t="s">
        <v>124</v>
      </c>
      <c r="K809" t="s">
        <v>124</v>
      </c>
      <c r="L809" t="s">
        <v>124</v>
      </c>
      <c r="M809" t="s">
        <v>1455</v>
      </c>
      <c r="N809" t="b">
        <v>0</v>
      </c>
    </row>
    <row r="810" spans="1:14">
      <c r="A810">
        <v>48</v>
      </c>
      <c r="B810">
        <v>8</v>
      </c>
      <c r="C810" t="s">
        <v>286</v>
      </c>
      <c r="D810" t="s">
        <v>722</v>
      </c>
      <c r="E810" t="s">
        <v>329</v>
      </c>
      <c r="F810">
        <v>40</v>
      </c>
      <c r="G810" t="s">
        <v>124</v>
      </c>
      <c r="H810" t="s">
        <v>546</v>
      </c>
      <c r="I810" t="s">
        <v>443</v>
      </c>
      <c r="J810" t="s">
        <v>124</v>
      </c>
      <c r="K810" t="s">
        <v>919</v>
      </c>
      <c r="L810" t="s">
        <v>920</v>
      </c>
      <c r="M810" t="s">
        <v>1456</v>
      </c>
      <c r="N810" t="b">
        <v>0</v>
      </c>
    </row>
    <row r="811" spans="1:14">
      <c r="A811">
        <v>48</v>
      </c>
      <c r="B811">
        <v>9</v>
      </c>
      <c r="C811" t="s">
        <v>274</v>
      </c>
      <c r="D811" t="s">
        <v>722</v>
      </c>
      <c r="E811" t="s">
        <v>72</v>
      </c>
      <c r="F811">
        <v>40</v>
      </c>
      <c r="G811" t="s">
        <v>124</v>
      </c>
      <c r="H811" t="s">
        <v>124</v>
      </c>
      <c r="I811" t="s">
        <v>72</v>
      </c>
      <c r="J811" t="s">
        <v>124</v>
      </c>
      <c r="K811" t="s">
        <v>124</v>
      </c>
      <c r="L811" t="s">
        <v>124</v>
      </c>
      <c r="M811" t="s">
        <v>1457</v>
      </c>
      <c r="N811" t="b">
        <v>0</v>
      </c>
    </row>
    <row r="812" spans="1:14">
      <c r="A812">
        <v>48</v>
      </c>
      <c r="B812">
        <v>10</v>
      </c>
      <c r="C812" t="s">
        <v>191</v>
      </c>
      <c r="D812" t="s">
        <v>722</v>
      </c>
      <c r="E812" t="s">
        <v>76</v>
      </c>
      <c r="F812">
        <v>50</v>
      </c>
      <c r="G812" t="s">
        <v>124</v>
      </c>
      <c r="H812" t="s">
        <v>124</v>
      </c>
      <c r="I812" t="s">
        <v>76</v>
      </c>
      <c r="J812" t="s">
        <v>124</v>
      </c>
      <c r="K812" t="s">
        <v>124</v>
      </c>
      <c r="L812" t="s">
        <v>124</v>
      </c>
      <c r="M812" t="s">
        <v>1458</v>
      </c>
      <c r="N812" t="b">
        <v>0</v>
      </c>
    </row>
    <row r="813" spans="1:14">
      <c r="A813">
        <v>48</v>
      </c>
      <c r="B813">
        <v>11</v>
      </c>
      <c r="C813" t="s">
        <v>175</v>
      </c>
      <c r="D813" t="s">
        <v>722</v>
      </c>
      <c r="E813" t="s">
        <v>98</v>
      </c>
      <c r="F813">
        <v>40</v>
      </c>
      <c r="G813" t="s">
        <v>124</v>
      </c>
      <c r="H813" t="s">
        <v>124</v>
      </c>
      <c r="I813" t="s">
        <v>98</v>
      </c>
      <c r="J813" t="s">
        <v>124</v>
      </c>
      <c r="K813" t="s">
        <v>124</v>
      </c>
      <c r="L813" t="s">
        <v>124</v>
      </c>
      <c r="M813" t="s">
        <v>1459</v>
      </c>
      <c r="N813" t="b">
        <v>0</v>
      </c>
    </row>
    <row r="814" spans="1:14">
      <c r="A814">
        <v>48</v>
      </c>
      <c r="B814">
        <v>12</v>
      </c>
      <c r="C814" t="s">
        <v>230</v>
      </c>
      <c r="D814" t="s">
        <v>722</v>
      </c>
      <c r="E814" t="s">
        <v>106</v>
      </c>
      <c r="F814">
        <v>50</v>
      </c>
      <c r="G814" t="s">
        <v>124</v>
      </c>
      <c r="H814" t="s">
        <v>124</v>
      </c>
      <c r="I814" t="s">
        <v>106</v>
      </c>
      <c r="J814" t="s">
        <v>124</v>
      </c>
      <c r="K814" t="s">
        <v>124</v>
      </c>
      <c r="L814" t="s">
        <v>124</v>
      </c>
      <c r="M814" t="s">
        <v>1460</v>
      </c>
      <c r="N814" t="b">
        <v>0</v>
      </c>
    </row>
    <row r="815" spans="1:14">
      <c r="A815">
        <v>48</v>
      </c>
      <c r="B815">
        <v>13</v>
      </c>
      <c r="C815" t="s">
        <v>124</v>
      </c>
      <c r="D815" t="s">
        <v>722</v>
      </c>
      <c r="E815" t="s">
        <v>124</v>
      </c>
      <c r="F815">
        <v>0</v>
      </c>
      <c r="G815" t="s">
        <v>124</v>
      </c>
      <c r="H815" t="s">
        <v>124</v>
      </c>
      <c r="I815" t="s">
        <v>124</v>
      </c>
      <c r="J815" t="s">
        <v>124</v>
      </c>
      <c r="K815" t="s">
        <v>124</v>
      </c>
      <c r="L815" t="s">
        <v>124</v>
      </c>
      <c r="M815" t="s">
        <v>1461</v>
      </c>
      <c r="N815" t="b">
        <v>0</v>
      </c>
    </row>
    <row r="816" spans="1:14">
      <c r="A816">
        <v>48</v>
      </c>
      <c r="B816">
        <v>14</v>
      </c>
      <c r="C816" t="s">
        <v>124</v>
      </c>
      <c r="D816" t="s">
        <v>722</v>
      </c>
      <c r="E816" t="s">
        <v>124</v>
      </c>
      <c r="F816">
        <v>0</v>
      </c>
      <c r="G816" t="s">
        <v>124</v>
      </c>
      <c r="H816" t="s">
        <v>124</v>
      </c>
      <c r="I816" t="s">
        <v>124</v>
      </c>
      <c r="J816" t="s">
        <v>124</v>
      </c>
      <c r="K816" t="s">
        <v>124</v>
      </c>
      <c r="L816" t="s">
        <v>124</v>
      </c>
      <c r="M816" t="s">
        <v>1462</v>
      </c>
      <c r="N816" t="b">
        <v>0</v>
      </c>
    </row>
    <row r="817" spans="1:14">
      <c r="A817">
        <v>48</v>
      </c>
      <c r="B817">
        <v>15</v>
      </c>
      <c r="C817" t="s">
        <v>124</v>
      </c>
      <c r="D817" t="s">
        <v>722</v>
      </c>
      <c r="E817" t="s">
        <v>124</v>
      </c>
      <c r="F817">
        <v>0</v>
      </c>
      <c r="G817" t="s">
        <v>124</v>
      </c>
      <c r="H817" t="s">
        <v>124</v>
      </c>
      <c r="I817" t="s">
        <v>124</v>
      </c>
      <c r="J817" t="s">
        <v>124</v>
      </c>
      <c r="K817" t="s">
        <v>124</v>
      </c>
      <c r="L817" t="s">
        <v>124</v>
      </c>
      <c r="M817" t="s">
        <v>1463</v>
      </c>
      <c r="N817" t="b">
        <v>0</v>
      </c>
    </row>
    <row r="818" spans="1:14">
      <c r="A818">
        <v>48</v>
      </c>
      <c r="B818">
        <v>16</v>
      </c>
      <c r="C818" t="s">
        <v>346</v>
      </c>
      <c r="D818" t="s">
        <v>739</v>
      </c>
      <c r="E818" t="s">
        <v>541</v>
      </c>
      <c r="F818">
        <v>40</v>
      </c>
      <c r="G818" t="s">
        <v>758</v>
      </c>
      <c r="H818" t="s">
        <v>124</v>
      </c>
      <c r="I818" t="s">
        <v>124</v>
      </c>
      <c r="J818" t="s">
        <v>1100</v>
      </c>
      <c r="K818" t="s">
        <v>1101</v>
      </c>
      <c r="L818" t="s">
        <v>1054</v>
      </c>
      <c r="M818" t="s">
        <v>1464</v>
      </c>
      <c r="N818" t="b">
        <v>0</v>
      </c>
    </row>
    <row r="819" spans="1:14">
      <c r="A819">
        <v>48</v>
      </c>
      <c r="B819">
        <v>17</v>
      </c>
      <c r="C819" t="s">
        <v>347</v>
      </c>
      <c r="D819" t="s">
        <v>739</v>
      </c>
      <c r="E819" t="s">
        <v>85</v>
      </c>
      <c r="F819">
        <v>40</v>
      </c>
      <c r="G819" t="s">
        <v>124</v>
      </c>
      <c r="H819" t="s">
        <v>124</v>
      </c>
      <c r="I819" t="s">
        <v>85</v>
      </c>
      <c r="J819" t="s">
        <v>124</v>
      </c>
      <c r="K819" t="s">
        <v>124</v>
      </c>
      <c r="L819" t="s">
        <v>124</v>
      </c>
      <c r="M819" t="s">
        <v>1465</v>
      </c>
      <c r="N819" t="b">
        <v>0</v>
      </c>
    </row>
    <row r="820" spans="1:14">
      <c r="A820">
        <v>48</v>
      </c>
      <c r="B820">
        <v>18</v>
      </c>
      <c r="C820" t="s">
        <v>348</v>
      </c>
      <c r="D820" t="s">
        <v>739</v>
      </c>
      <c r="E820" t="s">
        <v>542</v>
      </c>
      <c r="F820">
        <v>40</v>
      </c>
      <c r="G820" t="s">
        <v>758</v>
      </c>
      <c r="H820" t="s">
        <v>124</v>
      </c>
      <c r="I820" t="s">
        <v>124</v>
      </c>
      <c r="J820" t="s">
        <v>815</v>
      </c>
      <c r="K820" t="s">
        <v>790</v>
      </c>
      <c r="L820" t="s">
        <v>791</v>
      </c>
      <c r="M820" t="s">
        <v>1466</v>
      </c>
      <c r="N820" t="b">
        <v>0</v>
      </c>
    </row>
    <row r="821" spans="1:14">
      <c r="A821">
        <v>48</v>
      </c>
      <c r="B821">
        <v>19</v>
      </c>
      <c r="C821" t="s">
        <v>349</v>
      </c>
      <c r="D821" t="s">
        <v>739</v>
      </c>
      <c r="E821" t="s">
        <v>295</v>
      </c>
      <c r="F821">
        <v>40</v>
      </c>
      <c r="G821" t="s">
        <v>758</v>
      </c>
      <c r="H821" t="s">
        <v>124</v>
      </c>
      <c r="I821" t="s">
        <v>124</v>
      </c>
      <c r="J821" t="s">
        <v>759</v>
      </c>
      <c r="K821" t="s">
        <v>763</v>
      </c>
      <c r="L821" t="s">
        <v>764</v>
      </c>
      <c r="M821" t="s">
        <v>1467</v>
      </c>
      <c r="N821" t="b">
        <v>0</v>
      </c>
    </row>
    <row r="822" spans="1:14">
      <c r="A822">
        <v>48</v>
      </c>
      <c r="B822">
        <v>20</v>
      </c>
      <c r="C822" t="s">
        <v>124</v>
      </c>
      <c r="D822" t="s">
        <v>739</v>
      </c>
      <c r="E822" t="s">
        <v>124</v>
      </c>
      <c r="F822">
        <v>0</v>
      </c>
      <c r="G822" t="s">
        <v>124</v>
      </c>
      <c r="H822" t="s">
        <v>124</v>
      </c>
      <c r="I822" t="s">
        <v>124</v>
      </c>
      <c r="J822" t="s">
        <v>124</v>
      </c>
      <c r="K822" t="s">
        <v>124</v>
      </c>
      <c r="L822" t="s">
        <v>124</v>
      </c>
      <c r="M822" t="s">
        <v>1468</v>
      </c>
      <c r="N822" t="b">
        <v>0</v>
      </c>
    </row>
    <row r="823" spans="1:14">
      <c r="A823">
        <v>48</v>
      </c>
      <c r="B823">
        <v>21</v>
      </c>
      <c r="C823" t="s">
        <v>124</v>
      </c>
      <c r="D823" t="s">
        <v>739</v>
      </c>
      <c r="E823" t="s">
        <v>124</v>
      </c>
      <c r="F823">
        <v>0</v>
      </c>
      <c r="G823" t="s">
        <v>124</v>
      </c>
      <c r="H823" t="s">
        <v>124</v>
      </c>
      <c r="I823" t="s">
        <v>124</v>
      </c>
      <c r="J823" t="s">
        <v>124</v>
      </c>
      <c r="K823" t="s">
        <v>124</v>
      </c>
      <c r="L823" t="s">
        <v>124</v>
      </c>
      <c r="M823" t="s">
        <v>1469</v>
      </c>
      <c r="N823" t="b">
        <v>0</v>
      </c>
    </row>
    <row r="824" spans="1:14">
      <c r="A824">
        <v>48</v>
      </c>
      <c r="B824">
        <v>22</v>
      </c>
      <c r="C824" t="s">
        <v>124</v>
      </c>
      <c r="D824" t="s">
        <v>739</v>
      </c>
      <c r="E824" t="s">
        <v>124</v>
      </c>
      <c r="F824">
        <v>0</v>
      </c>
      <c r="G824" t="s">
        <v>124</v>
      </c>
      <c r="H824" t="s">
        <v>124</v>
      </c>
      <c r="I824" t="s">
        <v>124</v>
      </c>
      <c r="J824" t="s">
        <v>124</v>
      </c>
      <c r="K824" t="s">
        <v>124</v>
      </c>
      <c r="L824" t="s">
        <v>124</v>
      </c>
      <c r="M824" t="s">
        <v>1470</v>
      </c>
      <c r="N824" t="b">
        <v>0</v>
      </c>
    </row>
    <row r="825" spans="1:14">
      <c r="A825">
        <v>48</v>
      </c>
      <c r="B825">
        <v>23</v>
      </c>
      <c r="C825" t="s">
        <v>124</v>
      </c>
      <c r="D825" t="s">
        <v>739</v>
      </c>
      <c r="E825" t="s">
        <v>124</v>
      </c>
      <c r="F825">
        <v>0</v>
      </c>
      <c r="G825" t="s">
        <v>124</v>
      </c>
      <c r="H825" t="s">
        <v>124</v>
      </c>
      <c r="I825" t="s">
        <v>124</v>
      </c>
      <c r="J825" t="s">
        <v>124</v>
      </c>
      <c r="K825" t="s">
        <v>124</v>
      </c>
      <c r="L825" t="s">
        <v>124</v>
      </c>
      <c r="M825" t="s">
        <v>1471</v>
      </c>
      <c r="N825" t="b">
        <v>0</v>
      </c>
    </row>
    <row r="826" spans="1:14">
      <c r="A826">
        <v>48</v>
      </c>
      <c r="B826">
        <v>24</v>
      </c>
      <c r="C826" t="s">
        <v>124</v>
      </c>
      <c r="D826" t="s">
        <v>739</v>
      </c>
      <c r="E826" t="s">
        <v>124</v>
      </c>
      <c r="F826">
        <v>0</v>
      </c>
      <c r="G826" t="s">
        <v>124</v>
      </c>
      <c r="H826" t="s">
        <v>124</v>
      </c>
      <c r="I826" t="s">
        <v>124</v>
      </c>
      <c r="J826" t="s">
        <v>124</v>
      </c>
      <c r="K826" t="s">
        <v>124</v>
      </c>
      <c r="L826" t="s">
        <v>124</v>
      </c>
      <c r="M826" t="s">
        <v>1472</v>
      </c>
      <c r="N826" t="b">
        <v>0</v>
      </c>
    </row>
    <row r="827" spans="1:14">
      <c r="A827">
        <v>48</v>
      </c>
      <c r="B827">
        <v>25</v>
      </c>
      <c r="C827" t="s">
        <v>124</v>
      </c>
      <c r="D827" t="s">
        <v>739</v>
      </c>
      <c r="E827" t="s">
        <v>124</v>
      </c>
      <c r="F827">
        <v>0</v>
      </c>
      <c r="G827" t="s">
        <v>124</v>
      </c>
      <c r="H827" t="s">
        <v>124</v>
      </c>
      <c r="I827" t="s">
        <v>124</v>
      </c>
      <c r="J827" t="s">
        <v>124</v>
      </c>
      <c r="K827" t="s">
        <v>124</v>
      </c>
      <c r="L827" t="s">
        <v>124</v>
      </c>
      <c r="M827" t="s">
        <v>1473</v>
      </c>
      <c r="N827" t="b">
        <v>0</v>
      </c>
    </row>
    <row r="828" spans="1:14">
      <c r="A828">
        <v>48</v>
      </c>
      <c r="B828">
        <v>26</v>
      </c>
      <c r="C828" t="s">
        <v>124</v>
      </c>
      <c r="D828" t="s">
        <v>739</v>
      </c>
      <c r="E828" t="s">
        <v>124</v>
      </c>
      <c r="F828">
        <v>0</v>
      </c>
      <c r="G828" t="s">
        <v>124</v>
      </c>
      <c r="H828" t="s">
        <v>124</v>
      </c>
      <c r="I828" t="s">
        <v>124</v>
      </c>
      <c r="J828" t="s">
        <v>124</v>
      </c>
      <c r="K828" t="s">
        <v>124</v>
      </c>
      <c r="L828" t="s">
        <v>124</v>
      </c>
      <c r="M828" t="s">
        <v>1474</v>
      </c>
      <c r="N828" t="b">
        <v>0</v>
      </c>
    </row>
    <row r="829" spans="1:14">
      <c r="A829">
        <v>49</v>
      </c>
      <c r="B829">
        <v>0</v>
      </c>
      <c r="C829" t="s">
        <v>214</v>
      </c>
      <c r="D829" t="s">
        <v>722</v>
      </c>
      <c r="E829" t="s">
        <v>63</v>
      </c>
      <c r="F829">
        <v>60</v>
      </c>
      <c r="G829" t="s">
        <v>124</v>
      </c>
      <c r="H829" t="s">
        <v>124</v>
      </c>
      <c r="I829" t="s">
        <v>63</v>
      </c>
      <c r="J829" t="s">
        <v>124</v>
      </c>
      <c r="K829" t="s">
        <v>124</v>
      </c>
      <c r="L829" t="s">
        <v>124</v>
      </c>
      <c r="M829" t="s">
        <v>1475</v>
      </c>
      <c r="N829" t="b">
        <v>0</v>
      </c>
    </row>
    <row r="830" spans="1:14">
      <c r="A830">
        <v>49</v>
      </c>
      <c r="B830">
        <v>1</v>
      </c>
      <c r="C830" t="s">
        <v>224</v>
      </c>
      <c r="D830" t="s">
        <v>722</v>
      </c>
      <c r="E830" t="s">
        <v>75</v>
      </c>
      <c r="F830">
        <v>50</v>
      </c>
      <c r="G830" t="s">
        <v>124</v>
      </c>
      <c r="H830" t="s">
        <v>124</v>
      </c>
      <c r="I830" t="s">
        <v>75</v>
      </c>
      <c r="J830" t="s">
        <v>124</v>
      </c>
      <c r="K830" t="s">
        <v>124</v>
      </c>
      <c r="L830" t="s">
        <v>124</v>
      </c>
      <c r="M830" t="s">
        <v>1476</v>
      </c>
      <c r="N830" t="b">
        <v>0</v>
      </c>
    </row>
    <row r="831" spans="1:14">
      <c r="A831">
        <v>49</v>
      </c>
      <c r="B831">
        <v>2</v>
      </c>
      <c r="C831" t="s">
        <v>266</v>
      </c>
      <c r="D831" t="s">
        <v>722</v>
      </c>
      <c r="E831" t="s">
        <v>81</v>
      </c>
      <c r="F831">
        <v>30</v>
      </c>
      <c r="G831" t="s">
        <v>124</v>
      </c>
      <c r="H831" t="s">
        <v>124</v>
      </c>
      <c r="I831" t="s">
        <v>81</v>
      </c>
      <c r="J831" t="s">
        <v>124</v>
      </c>
      <c r="K831" t="s">
        <v>124</v>
      </c>
      <c r="L831" t="s">
        <v>124</v>
      </c>
      <c r="M831" t="s">
        <v>1477</v>
      </c>
      <c r="N831" t="b">
        <v>0</v>
      </c>
    </row>
    <row r="832" spans="1:14">
      <c r="A832">
        <v>49</v>
      </c>
      <c r="B832">
        <v>3</v>
      </c>
      <c r="C832" t="s">
        <v>236</v>
      </c>
      <c r="D832" t="s">
        <v>722</v>
      </c>
      <c r="E832" t="s">
        <v>542</v>
      </c>
      <c r="F832">
        <v>40</v>
      </c>
      <c r="G832" t="s">
        <v>124</v>
      </c>
      <c r="H832" t="s">
        <v>545</v>
      </c>
      <c r="I832" t="s">
        <v>506</v>
      </c>
      <c r="J832" t="s">
        <v>124</v>
      </c>
      <c r="K832" t="s">
        <v>790</v>
      </c>
      <c r="L832" t="s">
        <v>791</v>
      </c>
      <c r="M832" t="s">
        <v>1478</v>
      </c>
      <c r="N832" t="b">
        <v>0</v>
      </c>
    </row>
    <row r="833" spans="1:14">
      <c r="A833">
        <v>49</v>
      </c>
      <c r="B833">
        <v>4</v>
      </c>
      <c r="C833" t="s">
        <v>237</v>
      </c>
      <c r="D833" t="s">
        <v>722</v>
      </c>
      <c r="E833" t="s">
        <v>542</v>
      </c>
      <c r="F833">
        <v>40</v>
      </c>
      <c r="G833" t="s">
        <v>124</v>
      </c>
      <c r="H833" t="s">
        <v>555</v>
      </c>
      <c r="I833" t="s">
        <v>484</v>
      </c>
      <c r="J833" t="s">
        <v>124</v>
      </c>
      <c r="K833" t="s">
        <v>793</v>
      </c>
      <c r="L833" t="s">
        <v>794</v>
      </c>
      <c r="M833" t="s">
        <v>1479</v>
      </c>
      <c r="N833" t="b">
        <v>0</v>
      </c>
    </row>
    <row r="834" spans="1:14">
      <c r="A834">
        <v>49</v>
      </c>
      <c r="B834">
        <v>5</v>
      </c>
      <c r="C834" t="s">
        <v>227</v>
      </c>
      <c r="D834" t="s">
        <v>722</v>
      </c>
      <c r="E834" t="s">
        <v>99</v>
      </c>
      <c r="F834">
        <v>40</v>
      </c>
      <c r="G834" t="s">
        <v>124</v>
      </c>
      <c r="H834" t="s">
        <v>124</v>
      </c>
      <c r="I834" t="s">
        <v>99</v>
      </c>
      <c r="J834" t="s">
        <v>124</v>
      </c>
      <c r="K834" t="s">
        <v>124</v>
      </c>
      <c r="L834" t="s">
        <v>124</v>
      </c>
      <c r="M834" t="s">
        <v>1480</v>
      </c>
      <c r="N834" t="b">
        <v>0</v>
      </c>
    </row>
    <row r="835" spans="1:14">
      <c r="A835">
        <v>49</v>
      </c>
      <c r="B835">
        <v>6</v>
      </c>
      <c r="C835" t="s">
        <v>196</v>
      </c>
      <c r="D835" t="s">
        <v>722</v>
      </c>
      <c r="E835" t="s">
        <v>111</v>
      </c>
      <c r="F835">
        <v>50</v>
      </c>
      <c r="G835" t="s">
        <v>124</v>
      </c>
      <c r="H835" t="s">
        <v>124</v>
      </c>
      <c r="I835" t="s">
        <v>111</v>
      </c>
      <c r="J835" t="s">
        <v>124</v>
      </c>
      <c r="K835" t="s">
        <v>124</v>
      </c>
      <c r="L835" t="s">
        <v>124</v>
      </c>
      <c r="M835" t="s">
        <v>1481</v>
      </c>
      <c r="N835" t="b">
        <v>0</v>
      </c>
    </row>
    <row r="836" spans="1:14">
      <c r="A836">
        <v>49</v>
      </c>
      <c r="B836">
        <v>7</v>
      </c>
      <c r="C836" t="s">
        <v>351</v>
      </c>
      <c r="D836" t="s">
        <v>722</v>
      </c>
      <c r="E836" t="s">
        <v>329</v>
      </c>
      <c r="F836">
        <v>60</v>
      </c>
      <c r="G836" t="s">
        <v>124</v>
      </c>
      <c r="H836" t="s">
        <v>551</v>
      </c>
      <c r="I836" t="s">
        <v>1482</v>
      </c>
      <c r="J836" t="s">
        <v>124</v>
      </c>
      <c r="K836" t="s">
        <v>919</v>
      </c>
      <c r="L836" t="s">
        <v>920</v>
      </c>
      <c r="M836" t="s">
        <v>1483</v>
      </c>
      <c r="N836" t="b">
        <v>0</v>
      </c>
    </row>
    <row r="837" spans="1:14">
      <c r="A837">
        <v>49</v>
      </c>
      <c r="B837">
        <v>8</v>
      </c>
      <c r="C837" t="s">
        <v>352</v>
      </c>
      <c r="D837" t="s">
        <v>722</v>
      </c>
      <c r="E837" t="s">
        <v>329</v>
      </c>
      <c r="F837">
        <v>20</v>
      </c>
      <c r="G837" t="s">
        <v>124</v>
      </c>
      <c r="H837" t="s">
        <v>546</v>
      </c>
      <c r="I837" t="s">
        <v>443</v>
      </c>
      <c r="J837" t="s">
        <v>124</v>
      </c>
      <c r="K837" t="s">
        <v>1484</v>
      </c>
      <c r="L837" t="s">
        <v>1485</v>
      </c>
      <c r="M837" t="s">
        <v>1486</v>
      </c>
      <c r="N837" t="b">
        <v>0</v>
      </c>
    </row>
    <row r="838" spans="1:14">
      <c r="A838">
        <v>49</v>
      </c>
      <c r="B838">
        <v>9</v>
      </c>
      <c r="C838" t="s">
        <v>353</v>
      </c>
      <c r="D838" t="s">
        <v>722</v>
      </c>
      <c r="E838" t="s">
        <v>72</v>
      </c>
      <c r="F838">
        <v>60</v>
      </c>
      <c r="G838" t="s">
        <v>124</v>
      </c>
      <c r="H838" t="s">
        <v>124</v>
      </c>
      <c r="I838" t="s">
        <v>72</v>
      </c>
      <c r="J838" t="s">
        <v>124</v>
      </c>
      <c r="K838" t="s">
        <v>124</v>
      </c>
      <c r="L838" t="s">
        <v>124</v>
      </c>
      <c r="M838" t="s">
        <v>1487</v>
      </c>
      <c r="N838" t="b">
        <v>0</v>
      </c>
    </row>
    <row r="839" spans="1:14">
      <c r="A839">
        <v>49</v>
      </c>
      <c r="B839">
        <v>10</v>
      </c>
      <c r="C839" t="s">
        <v>354</v>
      </c>
      <c r="D839" t="s">
        <v>722</v>
      </c>
      <c r="E839" t="s">
        <v>356</v>
      </c>
      <c r="F839">
        <v>60</v>
      </c>
      <c r="G839" t="s">
        <v>124</v>
      </c>
      <c r="H839" t="s">
        <v>557</v>
      </c>
      <c r="I839" t="s">
        <v>361</v>
      </c>
      <c r="J839" t="s">
        <v>124</v>
      </c>
      <c r="K839" t="s">
        <v>1162</v>
      </c>
      <c r="L839" t="s">
        <v>1163</v>
      </c>
      <c r="M839" t="s">
        <v>1488</v>
      </c>
      <c r="N839" t="b">
        <v>0</v>
      </c>
    </row>
    <row r="840" spans="1:14">
      <c r="A840">
        <v>49</v>
      </c>
      <c r="B840">
        <v>11</v>
      </c>
      <c r="C840" t="s">
        <v>355</v>
      </c>
      <c r="D840" t="s">
        <v>722</v>
      </c>
      <c r="E840" t="s">
        <v>543</v>
      </c>
      <c r="F840">
        <v>50</v>
      </c>
      <c r="G840" t="s">
        <v>124</v>
      </c>
      <c r="H840" t="s">
        <v>581</v>
      </c>
      <c r="I840" t="s">
        <v>494</v>
      </c>
      <c r="J840" t="s">
        <v>124</v>
      </c>
      <c r="K840" t="s">
        <v>799</v>
      </c>
      <c r="L840" t="s">
        <v>800</v>
      </c>
      <c r="M840" t="s">
        <v>1489</v>
      </c>
      <c r="N840" t="b">
        <v>0</v>
      </c>
    </row>
    <row r="841" spans="1:14">
      <c r="A841">
        <v>49</v>
      </c>
      <c r="B841">
        <v>12</v>
      </c>
      <c r="C841" t="s">
        <v>221</v>
      </c>
      <c r="D841" t="s">
        <v>722</v>
      </c>
      <c r="E841" t="s">
        <v>105</v>
      </c>
      <c r="F841">
        <v>50</v>
      </c>
      <c r="G841" t="s">
        <v>124</v>
      </c>
      <c r="H841" t="s">
        <v>124</v>
      </c>
      <c r="I841" t="s">
        <v>105</v>
      </c>
      <c r="J841" t="s">
        <v>124</v>
      </c>
      <c r="K841" t="s">
        <v>124</v>
      </c>
      <c r="L841" t="s">
        <v>124</v>
      </c>
      <c r="M841" t="s">
        <v>1490</v>
      </c>
      <c r="N841" t="b">
        <v>0</v>
      </c>
    </row>
    <row r="842" spans="1:14">
      <c r="A842">
        <v>49</v>
      </c>
      <c r="B842">
        <v>13</v>
      </c>
      <c r="C842" t="s">
        <v>124</v>
      </c>
      <c r="D842" t="s">
        <v>722</v>
      </c>
      <c r="E842" t="s">
        <v>124</v>
      </c>
      <c r="F842">
        <v>0</v>
      </c>
      <c r="G842" t="s">
        <v>124</v>
      </c>
      <c r="H842" t="s">
        <v>124</v>
      </c>
      <c r="I842" t="s">
        <v>124</v>
      </c>
      <c r="J842" t="s">
        <v>124</v>
      </c>
      <c r="K842" t="s">
        <v>124</v>
      </c>
      <c r="L842" t="s">
        <v>124</v>
      </c>
      <c r="M842" t="s">
        <v>1491</v>
      </c>
      <c r="N842" t="b">
        <v>0</v>
      </c>
    </row>
    <row r="843" spans="1:14">
      <c r="A843">
        <v>49</v>
      </c>
      <c r="B843">
        <v>14</v>
      </c>
      <c r="C843" t="s">
        <v>124</v>
      </c>
      <c r="D843" t="s">
        <v>722</v>
      </c>
      <c r="E843" t="s">
        <v>124</v>
      </c>
      <c r="F843">
        <v>0</v>
      </c>
      <c r="G843" t="s">
        <v>124</v>
      </c>
      <c r="H843" t="s">
        <v>124</v>
      </c>
      <c r="I843" t="s">
        <v>124</v>
      </c>
      <c r="J843" t="s">
        <v>124</v>
      </c>
      <c r="K843" t="s">
        <v>124</v>
      </c>
      <c r="L843" t="s">
        <v>124</v>
      </c>
      <c r="M843" t="s">
        <v>1492</v>
      </c>
      <c r="N843" t="b">
        <v>0</v>
      </c>
    </row>
    <row r="844" spans="1:14">
      <c r="A844">
        <v>49</v>
      </c>
      <c r="B844">
        <v>15</v>
      </c>
      <c r="C844" t="s">
        <v>124</v>
      </c>
      <c r="D844" t="s">
        <v>722</v>
      </c>
      <c r="E844" t="s">
        <v>124</v>
      </c>
      <c r="F844">
        <v>0</v>
      </c>
      <c r="G844" t="s">
        <v>124</v>
      </c>
      <c r="H844" t="s">
        <v>124</v>
      </c>
      <c r="I844" t="s">
        <v>124</v>
      </c>
      <c r="J844" t="s">
        <v>124</v>
      </c>
      <c r="K844" t="s">
        <v>124</v>
      </c>
      <c r="L844" t="s">
        <v>124</v>
      </c>
      <c r="M844" t="s">
        <v>1493</v>
      </c>
      <c r="N844" t="b">
        <v>0</v>
      </c>
    </row>
    <row r="845" spans="1:14">
      <c r="A845">
        <v>49</v>
      </c>
      <c r="B845">
        <v>16</v>
      </c>
      <c r="C845" t="s">
        <v>124</v>
      </c>
      <c r="D845" t="s">
        <v>739</v>
      </c>
      <c r="E845" t="s">
        <v>124</v>
      </c>
      <c r="F845">
        <v>0</v>
      </c>
      <c r="G845" t="s">
        <v>124</v>
      </c>
      <c r="H845" t="s">
        <v>124</v>
      </c>
      <c r="I845" t="s">
        <v>124</v>
      </c>
      <c r="J845" t="s">
        <v>124</v>
      </c>
      <c r="K845" t="s">
        <v>124</v>
      </c>
      <c r="L845" t="s">
        <v>124</v>
      </c>
      <c r="M845" t="s">
        <v>1494</v>
      </c>
      <c r="N845" t="b">
        <v>0</v>
      </c>
    </row>
    <row r="846" spans="1:14">
      <c r="A846">
        <v>49</v>
      </c>
      <c r="B846">
        <v>17</v>
      </c>
      <c r="C846" t="s">
        <v>124</v>
      </c>
      <c r="D846" t="s">
        <v>739</v>
      </c>
      <c r="E846" t="s">
        <v>124</v>
      </c>
      <c r="F846">
        <v>0</v>
      </c>
      <c r="G846" t="s">
        <v>124</v>
      </c>
      <c r="H846" t="s">
        <v>124</v>
      </c>
      <c r="I846" t="s">
        <v>124</v>
      </c>
      <c r="J846" t="s">
        <v>124</v>
      </c>
      <c r="K846" t="s">
        <v>124</v>
      </c>
      <c r="L846" t="s">
        <v>124</v>
      </c>
      <c r="M846" t="s">
        <v>1495</v>
      </c>
      <c r="N846" t="b">
        <v>0</v>
      </c>
    </row>
    <row r="847" spans="1:14">
      <c r="A847">
        <v>49</v>
      </c>
      <c r="B847">
        <v>18</v>
      </c>
      <c r="C847" t="s">
        <v>124</v>
      </c>
      <c r="D847" t="s">
        <v>739</v>
      </c>
      <c r="E847" t="s">
        <v>124</v>
      </c>
      <c r="F847">
        <v>0</v>
      </c>
      <c r="G847" t="s">
        <v>124</v>
      </c>
      <c r="H847" t="s">
        <v>124</v>
      </c>
      <c r="I847" t="s">
        <v>124</v>
      </c>
      <c r="J847" t="s">
        <v>124</v>
      </c>
      <c r="K847" t="s">
        <v>124</v>
      </c>
      <c r="L847" t="s">
        <v>124</v>
      </c>
      <c r="M847" t="s">
        <v>1496</v>
      </c>
      <c r="N847" t="b">
        <v>0</v>
      </c>
    </row>
    <row r="848" spans="1:14">
      <c r="A848">
        <v>49</v>
      </c>
      <c r="B848">
        <v>19</v>
      </c>
      <c r="C848" t="s">
        <v>124</v>
      </c>
      <c r="D848" t="s">
        <v>739</v>
      </c>
      <c r="E848" t="s">
        <v>124</v>
      </c>
      <c r="F848">
        <v>0</v>
      </c>
      <c r="G848" t="s">
        <v>124</v>
      </c>
      <c r="H848" t="s">
        <v>124</v>
      </c>
      <c r="I848" t="s">
        <v>124</v>
      </c>
      <c r="J848" t="s">
        <v>124</v>
      </c>
      <c r="K848" t="s">
        <v>124</v>
      </c>
      <c r="L848" t="s">
        <v>124</v>
      </c>
      <c r="M848" t="s">
        <v>1497</v>
      </c>
      <c r="N848" t="b">
        <v>0</v>
      </c>
    </row>
    <row r="849" spans="1:14">
      <c r="A849">
        <v>49</v>
      </c>
      <c r="B849">
        <v>20</v>
      </c>
      <c r="C849" t="s">
        <v>124</v>
      </c>
      <c r="D849" t="s">
        <v>739</v>
      </c>
      <c r="E849" t="s">
        <v>124</v>
      </c>
      <c r="F849">
        <v>0</v>
      </c>
      <c r="G849" t="s">
        <v>124</v>
      </c>
      <c r="H849" t="s">
        <v>124</v>
      </c>
      <c r="I849" t="s">
        <v>124</v>
      </c>
      <c r="J849" t="s">
        <v>124</v>
      </c>
      <c r="K849" t="s">
        <v>124</v>
      </c>
      <c r="L849" t="s">
        <v>124</v>
      </c>
      <c r="M849" t="s">
        <v>1498</v>
      </c>
      <c r="N849" t="b">
        <v>0</v>
      </c>
    </row>
    <row r="850" spans="1:14">
      <c r="A850">
        <v>49</v>
      </c>
      <c r="B850">
        <v>21</v>
      </c>
      <c r="C850" t="s">
        <v>124</v>
      </c>
      <c r="D850" t="s">
        <v>739</v>
      </c>
      <c r="E850" t="s">
        <v>124</v>
      </c>
      <c r="F850">
        <v>0</v>
      </c>
      <c r="G850" t="s">
        <v>124</v>
      </c>
      <c r="H850" t="s">
        <v>124</v>
      </c>
      <c r="I850" t="s">
        <v>124</v>
      </c>
      <c r="J850" t="s">
        <v>124</v>
      </c>
      <c r="K850" t="s">
        <v>124</v>
      </c>
      <c r="L850" t="s">
        <v>124</v>
      </c>
      <c r="M850" t="s">
        <v>1499</v>
      </c>
      <c r="N850" t="b">
        <v>0</v>
      </c>
    </row>
    <row r="851" spans="1:14">
      <c r="A851">
        <v>49</v>
      </c>
      <c r="B851">
        <v>22</v>
      </c>
      <c r="C851" t="s">
        <v>124</v>
      </c>
      <c r="D851" t="s">
        <v>739</v>
      </c>
      <c r="E851" t="s">
        <v>124</v>
      </c>
      <c r="F851">
        <v>0</v>
      </c>
      <c r="G851" t="s">
        <v>124</v>
      </c>
      <c r="H851" t="s">
        <v>124</v>
      </c>
      <c r="I851" t="s">
        <v>124</v>
      </c>
      <c r="J851" t="s">
        <v>124</v>
      </c>
      <c r="K851" t="s">
        <v>124</v>
      </c>
      <c r="L851" t="s">
        <v>124</v>
      </c>
      <c r="M851" t="s">
        <v>1500</v>
      </c>
      <c r="N851" t="b">
        <v>0</v>
      </c>
    </row>
    <row r="852" spans="1:14">
      <c r="A852">
        <v>49</v>
      </c>
      <c r="B852">
        <v>23</v>
      </c>
      <c r="C852" t="s">
        <v>124</v>
      </c>
      <c r="D852" t="s">
        <v>739</v>
      </c>
      <c r="E852" t="s">
        <v>124</v>
      </c>
      <c r="F852">
        <v>0</v>
      </c>
      <c r="G852" t="s">
        <v>124</v>
      </c>
      <c r="H852" t="s">
        <v>124</v>
      </c>
      <c r="I852" t="s">
        <v>124</v>
      </c>
      <c r="J852" t="s">
        <v>124</v>
      </c>
      <c r="K852" t="s">
        <v>124</v>
      </c>
      <c r="L852" t="s">
        <v>124</v>
      </c>
      <c r="M852" t="s">
        <v>1501</v>
      </c>
      <c r="N852" t="b">
        <v>0</v>
      </c>
    </row>
    <row r="853" spans="1:14">
      <c r="A853">
        <v>49</v>
      </c>
      <c r="B853">
        <v>24</v>
      </c>
      <c r="C853" t="s">
        <v>124</v>
      </c>
      <c r="D853" t="s">
        <v>739</v>
      </c>
      <c r="E853" t="s">
        <v>124</v>
      </c>
      <c r="F853">
        <v>0</v>
      </c>
      <c r="G853" t="s">
        <v>124</v>
      </c>
      <c r="H853" t="s">
        <v>124</v>
      </c>
      <c r="I853" t="s">
        <v>124</v>
      </c>
      <c r="J853" t="s">
        <v>124</v>
      </c>
      <c r="K853" t="s">
        <v>124</v>
      </c>
      <c r="L853" t="s">
        <v>124</v>
      </c>
      <c r="M853" t="s">
        <v>1502</v>
      </c>
      <c r="N853" t="b">
        <v>0</v>
      </c>
    </row>
    <row r="854" spans="1:14">
      <c r="A854">
        <v>49</v>
      </c>
      <c r="B854">
        <v>25</v>
      </c>
      <c r="C854" t="s">
        <v>124</v>
      </c>
      <c r="D854" t="s">
        <v>739</v>
      </c>
      <c r="E854" t="s">
        <v>124</v>
      </c>
      <c r="F854">
        <v>0</v>
      </c>
      <c r="G854" t="s">
        <v>124</v>
      </c>
      <c r="H854" t="s">
        <v>124</v>
      </c>
      <c r="I854" t="s">
        <v>124</v>
      </c>
      <c r="J854" t="s">
        <v>124</v>
      </c>
      <c r="K854" t="s">
        <v>124</v>
      </c>
      <c r="L854" t="s">
        <v>124</v>
      </c>
      <c r="M854" t="s">
        <v>1503</v>
      </c>
      <c r="N854" t="b">
        <v>0</v>
      </c>
    </row>
    <row r="855" spans="1:14">
      <c r="A855">
        <v>49</v>
      </c>
      <c r="B855">
        <v>26</v>
      </c>
      <c r="C855" t="s">
        <v>124</v>
      </c>
      <c r="D855" t="s">
        <v>739</v>
      </c>
      <c r="E855" t="s">
        <v>124</v>
      </c>
      <c r="F855">
        <v>0</v>
      </c>
      <c r="G855" t="s">
        <v>124</v>
      </c>
      <c r="H855" t="s">
        <v>124</v>
      </c>
      <c r="I855" t="s">
        <v>124</v>
      </c>
      <c r="J855" t="s">
        <v>124</v>
      </c>
      <c r="K855" t="s">
        <v>124</v>
      </c>
      <c r="L855" t="s">
        <v>124</v>
      </c>
      <c r="M855" t="s">
        <v>1504</v>
      </c>
      <c r="N855" t="b">
        <v>0</v>
      </c>
    </row>
    <row r="856" spans="1:14">
      <c r="A856">
        <v>50</v>
      </c>
      <c r="B856">
        <v>0</v>
      </c>
      <c r="C856" t="s">
        <v>214</v>
      </c>
      <c r="D856" t="s">
        <v>722</v>
      </c>
      <c r="E856" t="s">
        <v>63</v>
      </c>
      <c r="F856">
        <v>60</v>
      </c>
      <c r="G856" t="s">
        <v>124</v>
      </c>
      <c r="H856" t="s">
        <v>124</v>
      </c>
      <c r="I856" t="s">
        <v>63</v>
      </c>
      <c r="J856" t="s">
        <v>124</v>
      </c>
      <c r="K856" t="s">
        <v>124</v>
      </c>
      <c r="L856" t="s">
        <v>124</v>
      </c>
      <c r="M856" t="s">
        <v>1505</v>
      </c>
      <c r="N856" t="b">
        <v>0</v>
      </c>
    </row>
    <row r="857" spans="1:14">
      <c r="A857">
        <v>50</v>
      </c>
      <c r="B857">
        <v>1</v>
      </c>
      <c r="C857" t="s">
        <v>215</v>
      </c>
      <c r="D857" t="s">
        <v>722</v>
      </c>
      <c r="E857" t="s">
        <v>75</v>
      </c>
      <c r="F857">
        <v>60</v>
      </c>
      <c r="G857" t="s">
        <v>124</v>
      </c>
      <c r="H857" t="s">
        <v>124</v>
      </c>
      <c r="I857" t="s">
        <v>75</v>
      </c>
      <c r="J857" t="s">
        <v>124</v>
      </c>
      <c r="K857" t="s">
        <v>124</v>
      </c>
      <c r="L857" t="s">
        <v>124</v>
      </c>
      <c r="M857" t="s">
        <v>1506</v>
      </c>
      <c r="N857" t="b">
        <v>0</v>
      </c>
    </row>
    <row r="858" spans="1:14">
      <c r="A858">
        <v>50</v>
      </c>
      <c r="B858">
        <v>2</v>
      </c>
      <c r="C858" t="s">
        <v>217</v>
      </c>
      <c r="D858" t="s">
        <v>722</v>
      </c>
      <c r="E858" t="s">
        <v>99</v>
      </c>
      <c r="F858">
        <v>60</v>
      </c>
      <c r="G858" t="s">
        <v>124</v>
      </c>
      <c r="H858" t="s">
        <v>124</v>
      </c>
      <c r="I858" t="s">
        <v>99</v>
      </c>
      <c r="J858" t="s">
        <v>124</v>
      </c>
      <c r="K858" t="s">
        <v>124</v>
      </c>
      <c r="L858" t="s">
        <v>124</v>
      </c>
      <c r="M858" t="s">
        <v>1507</v>
      </c>
      <c r="N858" t="b">
        <v>0</v>
      </c>
    </row>
    <row r="859" spans="1:14">
      <c r="A859">
        <v>50</v>
      </c>
      <c r="B859">
        <v>3</v>
      </c>
      <c r="C859" t="s">
        <v>196</v>
      </c>
      <c r="D859" t="s">
        <v>722</v>
      </c>
      <c r="E859" t="s">
        <v>111</v>
      </c>
      <c r="F859">
        <v>50</v>
      </c>
      <c r="G859" t="s">
        <v>124</v>
      </c>
      <c r="H859" t="s">
        <v>124</v>
      </c>
      <c r="I859" t="s">
        <v>111</v>
      </c>
      <c r="J859" t="s">
        <v>124</v>
      </c>
      <c r="K859" t="s">
        <v>124</v>
      </c>
      <c r="L859" t="s">
        <v>124</v>
      </c>
      <c r="M859" t="s">
        <v>1508</v>
      </c>
      <c r="N859" t="b">
        <v>0</v>
      </c>
    </row>
    <row r="860" spans="1:14">
      <c r="A860">
        <v>50</v>
      </c>
      <c r="B860">
        <v>4</v>
      </c>
      <c r="C860" t="s">
        <v>164</v>
      </c>
      <c r="D860" t="s">
        <v>722</v>
      </c>
      <c r="E860" t="s">
        <v>113</v>
      </c>
      <c r="F860">
        <v>50</v>
      </c>
      <c r="G860" t="s">
        <v>124</v>
      </c>
      <c r="H860" t="s">
        <v>124</v>
      </c>
      <c r="I860" t="s">
        <v>113</v>
      </c>
      <c r="J860" t="s">
        <v>124</v>
      </c>
      <c r="K860" t="s">
        <v>124</v>
      </c>
      <c r="L860" t="s">
        <v>124</v>
      </c>
      <c r="M860" t="s">
        <v>1509</v>
      </c>
      <c r="N860" t="b">
        <v>0</v>
      </c>
    </row>
    <row r="861" spans="1:14">
      <c r="A861">
        <v>50</v>
      </c>
      <c r="B861">
        <v>5</v>
      </c>
      <c r="C861" t="s">
        <v>218</v>
      </c>
      <c r="D861" t="s">
        <v>722</v>
      </c>
      <c r="E861" t="s">
        <v>66</v>
      </c>
      <c r="F861">
        <v>50</v>
      </c>
      <c r="G861" t="s">
        <v>124</v>
      </c>
      <c r="H861" t="s">
        <v>124</v>
      </c>
      <c r="I861" t="s">
        <v>66</v>
      </c>
      <c r="J861" t="s">
        <v>124</v>
      </c>
      <c r="K861" t="s">
        <v>124</v>
      </c>
      <c r="L861" t="s">
        <v>124</v>
      </c>
      <c r="M861" t="s">
        <v>1510</v>
      </c>
      <c r="N861" t="b">
        <v>0</v>
      </c>
    </row>
    <row r="862" spans="1:14">
      <c r="A862">
        <v>50</v>
      </c>
      <c r="B862">
        <v>6</v>
      </c>
      <c r="C862" t="s">
        <v>219</v>
      </c>
      <c r="D862" t="s">
        <v>722</v>
      </c>
      <c r="E862" t="s">
        <v>329</v>
      </c>
      <c r="F862">
        <v>60</v>
      </c>
      <c r="G862" t="s">
        <v>124</v>
      </c>
      <c r="H862" t="s">
        <v>546</v>
      </c>
      <c r="I862" t="s">
        <v>443</v>
      </c>
      <c r="J862" t="s">
        <v>124</v>
      </c>
      <c r="K862" t="s">
        <v>919</v>
      </c>
      <c r="L862" t="s">
        <v>920</v>
      </c>
      <c r="M862" t="s">
        <v>1511</v>
      </c>
      <c r="N862" t="b">
        <v>0</v>
      </c>
    </row>
    <row r="863" spans="1:14">
      <c r="A863">
        <v>50</v>
      </c>
      <c r="B863">
        <v>7</v>
      </c>
      <c r="C863" t="s">
        <v>165</v>
      </c>
      <c r="D863" t="s">
        <v>722</v>
      </c>
      <c r="E863" t="s">
        <v>72</v>
      </c>
      <c r="F863">
        <v>50</v>
      </c>
      <c r="G863" t="s">
        <v>124</v>
      </c>
      <c r="H863" t="s">
        <v>124</v>
      </c>
      <c r="I863" t="s">
        <v>72</v>
      </c>
      <c r="J863" t="s">
        <v>124</v>
      </c>
      <c r="K863" t="s">
        <v>124</v>
      </c>
      <c r="L863" t="s">
        <v>124</v>
      </c>
      <c r="M863" t="s">
        <v>1512</v>
      </c>
      <c r="N863" t="b">
        <v>0</v>
      </c>
    </row>
    <row r="864" spans="1:14">
      <c r="A864">
        <v>50</v>
      </c>
      <c r="B864">
        <v>8</v>
      </c>
      <c r="C864" t="s">
        <v>358</v>
      </c>
      <c r="D864" t="s">
        <v>722</v>
      </c>
      <c r="E864" t="s">
        <v>98</v>
      </c>
      <c r="F864">
        <v>50</v>
      </c>
      <c r="G864" t="s">
        <v>124</v>
      </c>
      <c r="H864" t="s">
        <v>124</v>
      </c>
      <c r="I864" t="s">
        <v>98</v>
      </c>
      <c r="J864" t="s">
        <v>124</v>
      </c>
      <c r="K864" t="s">
        <v>124</v>
      </c>
      <c r="L864" t="s">
        <v>124</v>
      </c>
      <c r="M864" t="s">
        <v>1513</v>
      </c>
      <c r="N864" t="b">
        <v>0</v>
      </c>
    </row>
    <row r="865" spans="1:14">
      <c r="A865">
        <v>50</v>
      </c>
      <c r="B865">
        <v>9</v>
      </c>
      <c r="C865" t="s">
        <v>220</v>
      </c>
      <c r="D865" t="s">
        <v>722</v>
      </c>
      <c r="E865" t="s">
        <v>100</v>
      </c>
      <c r="F865">
        <v>50</v>
      </c>
      <c r="G865" t="s">
        <v>124</v>
      </c>
      <c r="H865" t="s">
        <v>124</v>
      </c>
      <c r="I865" t="s">
        <v>100</v>
      </c>
      <c r="J865" t="s">
        <v>124</v>
      </c>
      <c r="K865" t="s">
        <v>124</v>
      </c>
      <c r="L865" t="s">
        <v>124</v>
      </c>
      <c r="M865" t="s">
        <v>1514</v>
      </c>
      <c r="N865" t="b">
        <v>0</v>
      </c>
    </row>
    <row r="866" spans="1:14">
      <c r="A866">
        <v>50</v>
      </c>
      <c r="B866">
        <v>10</v>
      </c>
      <c r="C866" t="s">
        <v>168</v>
      </c>
      <c r="D866" t="s">
        <v>722</v>
      </c>
      <c r="E866" t="s">
        <v>104</v>
      </c>
      <c r="F866">
        <v>50</v>
      </c>
      <c r="G866" t="s">
        <v>124</v>
      </c>
      <c r="H866" t="s">
        <v>124</v>
      </c>
      <c r="I866" t="s">
        <v>104</v>
      </c>
      <c r="J866" t="s">
        <v>124</v>
      </c>
      <c r="K866" t="s">
        <v>124</v>
      </c>
      <c r="L866" t="s">
        <v>124</v>
      </c>
      <c r="M866" t="s">
        <v>1515</v>
      </c>
      <c r="N866" t="b">
        <v>0</v>
      </c>
    </row>
    <row r="867" spans="1:14">
      <c r="A867">
        <v>50</v>
      </c>
      <c r="B867">
        <v>11</v>
      </c>
      <c r="C867" t="s">
        <v>221</v>
      </c>
      <c r="D867" t="s">
        <v>722</v>
      </c>
      <c r="E867" t="s">
        <v>105</v>
      </c>
      <c r="F867">
        <v>50</v>
      </c>
      <c r="G867" t="s">
        <v>124</v>
      </c>
      <c r="H867" t="s">
        <v>124</v>
      </c>
      <c r="I867" t="s">
        <v>105</v>
      </c>
      <c r="J867" t="s">
        <v>124</v>
      </c>
      <c r="K867" t="s">
        <v>124</v>
      </c>
      <c r="L867" t="s">
        <v>124</v>
      </c>
      <c r="M867" t="s">
        <v>1516</v>
      </c>
      <c r="N867" t="b">
        <v>0</v>
      </c>
    </row>
    <row r="868" spans="1:14">
      <c r="A868">
        <v>50</v>
      </c>
      <c r="B868">
        <v>12</v>
      </c>
      <c r="C868" t="s">
        <v>193</v>
      </c>
      <c r="D868" t="s">
        <v>722</v>
      </c>
      <c r="E868" t="s">
        <v>106</v>
      </c>
      <c r="F868">
        <v>60</v>
      </c>
      <c r="G868" t="s">
        <v>124</v>
      </c>
      <c r="H868" t="s">
        <v>124</v>
      </c>
      <c r="I868" t="s">
        <v>106</v>
      </c>
      <c r="J868" t="s">
        <v>124</v>
      </c>
      <c r="K868" t="s">
        <v>124</v>
      </c>
      <c r="L868" t="s">
        <v>124</v>
      </c>
      <c r="M868" t="s">
        <v>1517</v>
      </c>
      <c r="N868" t="b">
        <v>0</v>
      </c>
    </row>
    <row r="869" spans="1:14">
      <c r="A869">
        <v>50</v>
      </c>
      <c r="B869">
        <v>13</v>
      </c>
      <c r="C869" t="s">
        <v>124</v>
      </c>
      <c r="D869" t="s">
        <v>722</v>
      </c>
      <c r="E869" t="s">
        <v>124</v>
      </c>
      <c r="F869">
        <v>0</v>
      </c>
      <c r="G869" t="s">
        <v>124</v>
      </c>
      <c r="H869" t="s">
        <v>124</v>
      </c>
      <c r="I869" t="s">
        <v>124</v>
      </c>
      <c r="J869" t="s">
        <v>124</v>
      </c>
      <c r="K869" t="s">
        <v>124</v>
      </c>
      <c r="L869" t="s">
        <v>124</v>
      </c>
      <c r="M869" t="s">
        <v>1518</v>
      </c>
      <c r="N869" t="b">
        <v>0</v>
      </c>
    </row>
    <row r="870" spans="1:14">
      <c r="A870">
        <v>50</v>
      </c>
      <c r="B870">
        <v>14</v>
      </c>
      <c r="C870" t="s">
        <v>124</v>
      </c>
      <c r="D870" t="s">
        <v>722</v>
      </c>
      <c r="E870" t="s">
        <v>124</v>
      </c>
      <c r="F870">
        <v>0</v>
      </c>
      <c r="G870" t="s">
        <v>124</v>
      </c>
      <c r="H870" t="s">
        <v>124</v>
      </c>
      <c r="I870" t="s">
        <v>124</v>
      </c>
      <c r="J870" t="s">
        <v>124</v>
      </c>
      <c r="K870" t="s">
        <v>124</v>
      </c>
      <c r="L870" t="s">
        <v>124</v>
      </c>
      <c r="M870" t="s">
        <v>1519</v>
      </c>
      <c r="N870" t="b">
        <v>0</v>
      </c>
    </row>
    <row r="871" spans="1:14">
      <c r="A871">
        <v>50</v>
      </c>
      <c r="B871">
        <v>15</v>
      </c>
      <c r="C871" t="s">
        <v>124</v>
      </c>
      <c r="D871" t="s">
        <v>722</v>
      </c>
      <c r="E871" t="s">
        <v>124</v>
      </c>
      <c r="F871">
        <v>0</v>
      </c>
      <c r="G871" t="s">
        <v>124</v>
      </c>
      <c r="H871" t="s">
        <v>124</v>
      </c>
      <c r="I871" t="s">
        <v>124</v>
      </c>
      <c r="J871" t="s">
        <v>124</v>
      </c>
      <c r="K871" t="s">
        <v>124</v>
      </c>
      <c r="L871" t="s">
        <v>124</v>
      </c>
      <c r="M871" t="s">
        <v>1520</v>
      </c>
      <c r="N871" t="b">
        <v>0</v>
      </c>
    </row>
    <row r="872" spans="1:14">
      <c r="A872">
        <v>50</v>
      </c>
      <c r="B872">
        <v>16</v>
      </c>
      <c r="C872" t="s">
        <v>124</v>
      </c>
      <c r="D872" t="s">
        <v>739</v>
      </c>
      <c r="E872" t="s">
        <v>124</v>
      </c>
      <c r="F872">
        <v>0</v>
      </c>
      <c r="G872" t="s">
        <v>124</v>
      </c>
      <c r="H872" t="s">
        <v>124</v>
      </c>
      <c r="I872" t="s">
        <v>124</v>
      </c>
      <c r="J872" t="s">
        <v>124</v>
      </c>
      <c r="K872" t="s">
        <v>124</v>
      </c>
      <c r="L872" t="s">
        <v>124</v>
      </c>
      <c r="M872" t="s">
        <v>1521</v>
      </c>
      <c r="N872" t="b">
        <v>0</v>
      </c>
    </row>
    <row r="873" spans="1:14">
      <c r="A873">
        <v>50</v>
      </c>
      <c r="B873">
        <v>17</v>
      </c>
      <c r="C873" t="s">
        <v>124</v>
      </c>
      <c r="D873" t="s">
        <v>739</v>
      </c>
      <c r="E873" t="s">
        <v>124</v>
      </c>
      <c r="F873">
        <v>0</v>
      </c>
      <c r="G873" t="s">
        <v>124</v>
      </c>
      <c r="H873" t="s">
        <v>124</v>
      </c>
      <c r="I873" t="s">
        <v>124</v>
      </c>
      <c r="J873" t="s">
        <v>124</v>
      </c>
      <c r="K873" t="s">
        <v>124</v>
      </c>
      <c r="L873" t="s">
        <v>124</v>
      </c>
      <c r="M873" t="s">
        <v>1522</v>
      </c>
      <c r="N873" t="b">
        <v>0</v>
      </c>
    </row>
    <row r="874" spans="1:14">
      <c r="A874">
        <v>50</v>
      </c>
      <c r="B874">
        <v>18</v>
      </c>
      <c r="C874" t="s">
        <v>124</v>
      </c>
      <c r="D874" t="s">
        <v>739</v>
      </c>
      <c r="E874" t="s">
        <v>124</v>
      </c>
      <c r="F874">
        <v>0</v>
      </c>
      <c r="G874" t="s">
        <v>124</v>
      </c>
      <c r="H874" t="s">
        <v>124</v>
      </c>
      <c r="I874" t="s">
        <v>124</v>
      </c>
      <c r="J874" t="s">
        <v>124</v>
      </c>
      <c r="K874" t="s">
        <v>124</v>
      </c>
      <c r="L874" t="s">
        <v>124</v>
      </c>
      <c r="M874" t="s">
        <v>1523</v>
      </c>
      <c r="N874" t="b">
        <v>0</v>
      </c>
    </row>
    <row r="875" spans="1:14">
      <c r="A875">
        <v>50</v>
      </c>
      <c r="B875">
        <v>19</v>
      </c>
      <c r="C875" t="s">
        <v>124</v>
      </c>
      <c r="D875" t="s">
        <v>739</v>
      </c>
      <c r="E875" t="s">
        <v>124</v>
      </c>
      <c r="F875">
        <v>0</v>
      </c>
      <c r="G875" t="s">
        <v>124</v>
      </c>
      <c r="H875" t="s">
        <v>124</v>
      </c>
      <c r="I875" t="s">
        <v>124</v>
      </c>
      <c r="J875" t="s">
        <v>124</v>
      </c>
      <c r="K875" t="s">
        <v>124</v>
      </c>
      <c r="L875" t="s">
        <v>124</v>
      </c>
      <c r="M875" t="s">
        <v>1524</v>
      </c>
      <c r="N875" t="b">
        <v>0</v>
      </c>
    </row>
    <row r="876" spans="1:14">
      <c r="A876">
        <v>50</v>
      </c>
      <c r="B876">
        <v>20</v>
      </c>
      <c r="C876" t="s">
        <v>124</v>
      </c>
      <c r="D876" t="s">
        <v>739</v>
      </c>
      <c r="E876" t="s">
        <v>124</v>
      </c>
      <c r="F876">
        <v>0</v>
      </c>
      <c r="G876" t="s">
        <v>124</v>
      </c>
      <c r="H876" t="s">
        <v>124</v>
      </c>
      <c r="I876" t="s">
        <v>124</v>
      </c>
      <c r="J876" t="s">
        <v>124</v>
      </c>
      <c r="K876" t="s">
        <v>124</v>
      </c>
      <c r="L876" t="s">
        <v>124</v>
      </c>
      <c r="M876" t="s">
        <v>1525</v>
      </c>
      <c r="N876" t="b">
        <v>0</v>
      </c>
    </row>
    <row r="877" spans="1:14">
      <c r="A877">
        <v>50</v>
      </c>
      <c r="B877">
        <v>21</v>
      </c>
      <c r="C877" t="s">
        <v>124</v>
      </c>
      <c r="D877" t="s">
        <v>739</v>
      </c>
      <c r="E877" t="s">
        <v>124</v>
      </c>
      <c r="F877">
        <v>0</v>
      </c>
      <c r="G877" t="s">
        <v>124</v>
      </c>
      <c r="H877" t="s">
        <v>124</v>
      </c>
      <c r="I877" t="s">
        <v>124</v>
      </c>
      <c r="J877" t="s">
        <v>124</v>
      </c>
      <c r="K877" t="s">
        <v>124</v>
      </c>
      <c r="L877" t="s">
        <v>124</v>
      </c>
      <c r="M877" t="s">
        <v>1526</v>
      </c>
      <c r="N877" t="b">
        <v>0</v>
      </c>
    </row>
    <row r="878" spans="1:14">
      <c r="A878">
        <v>50</v>
      </c>
      <c r="B878">
        <v>22</v>
      </c>
      <c r="C878" t="s">
        <v>124</v>
      </c>
      <c r="D878" t="s">
        <v>739</v>
      </c>
      <c r="E878" t="s">
        <v>124</v>
      </c>
      <c r="F878">
        <v>0</v>
      </c>
      <c r="G878" t="s">
        <v>124</v>
      </c>
      <c r="H878" t="s">
        <v>124</v>
      </c>
      <c r="I878" t="s">
        <v>124</v>
      </c>
      <c r="J878" t="s">
        <v>124</v>
      </c>
      <c r="K878" t="s">
        <v>124</v>
      </c>
      <c r="L878" t="s">
        <v>124</v>
      </c>
      <c r="M878" t="s">
        <v>1527</v>
      </c>
      <c r="N878" t="b">
        <v>0</v>
      </c>
    </row>
    <row r="879" spans="1:14">
      <c r="A879">
        <v>50</v>
      </c>
      <c r="B879">
        <v>23</v>
      </c>
      <c r="C879" t="s">
        <v>124</v>
      </c>
      <c r="D879" t="s">
        <v>739</v>
      </c>
      <c r="E879" t="s">
        <v>124</v>
      </c>
      <c r="F879">
        <v>0</v>
      </c>
      <c r="G879" t="s">
        <v>124</v>
      </c>
      <c r="H879" t="s">
        <v>124</v>
      </c>
      <c r="I879" t="s">
        <v>124</v>
      </c>
      <c r="J879" t="s">
        <v>124</v>
      </c>
      <c r="K879" t="s">
        <v>124</v>
      </c>
      <c r="L879" t="s">
        <v>124</v>
      </c>
      <c r="M879" t="s">
        <v>1528</v>
      </c>
      <c r="N879" t="b">
        <v>0</v>
      </c>
    </row>
    <row r="880" spans="1:14">
      <c r="A880">
        <v>50</v>
      </c>
      <c r="B880">
        <v>24</v>
      </c>
      <c r="C880" t="s">
        <v>124</v>
      </c>
      <c r="D880" t="s">
        <v>739</v>
      </c>
      <c r="E880" t="s">
        <v>124</v>
      </c>
      <c r="F880">
        <v>0</v>
      </c>
      <c r="G880" t="s">
        <v>124</v>
      </c>
      <c r="H880" t="s">
        <v>124</v>
      </c>
      <c r="I880" t="s">
        <v>124</v>
      </c>
      <c r="J880" t="s">
        <v>124</v>
      </c>
      <c r="K880" t="s">
        <v>124</v>
      </c>
      <c r="L880" t="s">
        <v>124</v>
      </c>
      <c r="M880" t="s">
        <v>1529</v>
      </c>
      <c r="N880" t="b">
        <v>0</v>
      </c>
    </row>
    <row r="881" spans="1:14">
      <c r="A881">
        <v>50</v>
      </c>
      <c r="B881">
        <v>25</v>
      </c>
      <c r="C881" t="s">
        <v>124</v>
      </c>
      <c r="D881" t="s">
        <v>739</v>
      </c>
      <c r="E881" t="s">
        <v>124</v>
      </c>
      <c r="F881">
        <v>0</v>
      </c>
      <c r="G881" t="s">
        <v>124</v>
      </c>
      <c r="H881" t="s">
        <v>124</v>
      </c>
      <c r="I881" t="s">
        <v>124</v>
      </c>
      <c r="J881" t="s">
        <v>124</v>
      </c>
      <c r="K881" t="s">
        <v>124</v>
      </c>
      <c r="L881" t="s">
        <v>124</v>
      </c>
      <c r="M881" t="s">
        <v>1530</v>
      </c>
      <c r="N881" t="b">
        <v>0</v>
      </c>
    </row>
    <row r="882" spans="1:14">
      <c r="A882">
        <v>50</v>
      </c>
      <c r="B882">
        <v>26</v>
      </c>
      <c r="C882" t="s">
        <v>124</v>
      </c>
      <c r="D882" t="s">
        <v>739</v>
      </c>
      <c r="E882" t="s">
        <v>124</v>
      </c>
      <c r="F882">
        <v>0</v>
      </c>
      <c r="G882" t="s">
        <v>124</v>
      </c>
      <c r="H882" t="s">
        <v>124</v>
      </c>
      <c r="I882" t="s">
        <v>124</v>
      </c>
      <c r="J882" t="s">
        <v>124</v>
      </c>
      <c r="K882" t="s">
        <v>124</v>
      </c>
      <c r="L882" t="s">
        <v>124</v>
      </c>
      <c r="M882" t="s">
        <v>1531</v>
      </c>
      <c r="N882" t="b">
        <v>0</v>
      </c>
    </row>
    <row r="883" spans="1:14">
      <c r="A883">
        <v>57</v>
      </c>
      <c r="B883">
        <v>0</v>
      </c>
      <c r="C883" t="s">
        <v>214</v>
      </c>
      <c r="D883" t="s">
        <v>722</v>
      </c>
      <c r="E883" t="s">
        <v>63</v>
      </c>
      <c r="F883">
        <v>60</v>
      </c>
      <c r="G883" t="s">
        <v>124</v>
      </c>
      <c r="H883" t="s">
        <v>124</v>
      </c>
      <c r="I883" t="s">
        <v>63</v>
      </c>
      <c r="J883" t="s">
        <v>124</v>
      </c>
      <c r="K883" t="s">
        <v>124</v>
      </c>
      <c r="L883" t="s">
        <v>124</v>
      </c>
      <c r="M883" t="s">
        <v>1532</v>
      </c>
      <c r="N883" t="b">
        <v>0</v>
      </c>
    </row>
    <row r="884" spans="1:14">
      <c r="A884">
        <v>57</v>
      </c>
      <c r="B884">
        <v>1</v>
      </c>
      <c r="C884" t="s">
        <v>215</v>
      </c>
      <c r="D884" t="s">
        <v>722</v>
      </c>
      <c r="E884" t="s">
        <v>75</v>
      </c>
      <c r="F884">
        <v>60</v>
      </c>
      <c r="G884" t="s">
        <v>124</v>
      </c>
      <c r="H884" t="s">
        <v>124</v>
      </c>
      <c r="I884" t="s">
        <v>75</v>
      </c>
      <c r="J884" t="s">
        <v>124</v>
      </c>
      <c r="K884" t="s">
        <v>124</v>
      </c>
      <c r="L884" t="s">
        <v>124</v>
      </c>
      <c r="M884" t="s">
        <v>1533</v>
      </c>
      <c r="N884" t="b">
        <v>0</v>
      </c>
    </row>
    <row r="885" spans="1:14">
      <c r="A885">
        <v>57</v>
      </c>
      <c r="B885">
        <v>2</v>
      </c>
      <c r="C885" t="s">
        <v>216</v>
      </c>
      <c r="D885" t="s">
        <v>722</v>
      </c>
      <c r="E885" t="s">
        <v>93</v>
      </c>
      <c r="F885">
        <v>40</v>
      </c>
      <c r="G885" t="s">
        <v>124</v>
      </c>
      <c r="H885" t="s">
        <v>124</v>
      </c>
      <c r="I885" t="s">
        <v>93</v>
      </c>
      <c r="J885" t="s">
        <v>124</v>
      </c>
      <c r="K885" t="s">
        <v>124</v>
      </c>
      <c r="L885" t="s">
        <v>124</v>
      </c>
      <c r="M885" t="s">
        <v>1534</v>
      </c>
      <c r="N885" t="b">
        <v>0</v>
      </c>
    </row>
    <row r="886" spans="1:14">
      <c r="A886">
        <v>57</v>
      </c>
      <c r="B886">
        <v>3</v>
      </c>
      <c r="C886" t="s">
        <v>217</v>
      </c>
      <c r="D886" t="s">
        <v>722</v>
      </c>
      <c r="E886" t="s">
        <v>99</v>
      </c>
      <c r="F886">
        <v>60</v>
      </c>
      <c r="G886" t="s">
        <v>124</v>
      </c>
      <c r="H886" t="s">
        <v>124</v>
      </c>
      <c r="I886" t="s">
        <v>99</v>
      </c>
      <c r="J886" t="s">
        <v>124</v>
      </c>
      <c r="K886" t="s">
        <v>124</v>
      </c>
      <c r="L886" t="s">
        <v>124</v>
      </c>
      <c r="M886" t="s">
        <v>1535</v>
      </c>
      <c r="N886" t="b">
        <v>0</v>
      </c>
    </row>
    <row r="887" spans="1:14">
      <c r="A887">
        <v>57</v>
      </c>
      <c r="B887">
        <v>4</v>
      </c>
      <c r="C887" t="s">
        <v>196</v>
      </c>
      <c r="D887" t="s">
        <v>722</v>
      </c>
      <c r="E887" t="s">
        <v>111</v>
      </c>
      <c r="F887">
        <v>50</v>
      </c>
      <c r="G887" t="s">
        <v>124</v>
      </c>
      <c r="H887" t="s">
        <v>124</v>
      </c>
      <c r="I887" t="s">
        <v>111</v>
      </c>
      <c r="J887" t="s">
        <v>124</v>
      </c>
      <c r="K887" t="s">
        <v>124</v>
      </c>
      <c r="L887" t="s">
        <v>124</v>
      </c>
      <c r="M887" t="s">
        <v>1536</v>
      </c>
      <c r="N887" t="b">
        <v>0</v>
      </c>
    </row>
    <row r="888" spans="1:14">
      <c r="A888">
        <v>57</v>
      </c>
      <c r="B888">
        <v>5</v>
      </c>
      <c r="C888" t="s">
        <v>218</v>
      </c>
      <c r="D888" t="s">
        <v>722</v>
      </c>
      <c r="E888" t="s">
        <v>66</v>
      </c>
      <c r="F888">
        <v>50</v>
      </c>
      <c r="G888" t="s">
        <v>124</v>
      </c>
      <c r="H888" t="s">
        <v>124</v>
      </c>
      <c r="I888" t="s">
        <v>66</v>
      </c>
      <c r="J888" t="s">
        <v>124</v>
      </c>
      <c r="K888" t="s">
        <v>124</v>
      </c>
      <c r="L888" t="s">
        <v>124</v>
      </c>
      <c r="M888" t="s">
        <v>1537</v>
      </c>
      <c r="N888" t="b">
        <v>0</v>
      </c>
    </row>
    <row r="889" spans="1:14">
      <c r="A889">
        <v>57</v>
      </c>
      <c r="B889">
        <v>6</v>
      </c>
      <c r="C889" t="s">
        <v>219</v>
      </c>
      <c r="D889" t="s">
        <v>722</v>
      </c>
      <c r="E889" t="s">
        <v>329</v>
      </c>
      <c r="F889">
        <v>60</v>
      </c>
      <c r="G889" t="s">
        <v>124</v>
      </c>
      <c r="H889" t="s">
        <v>546</v>
      </c>
      <c r="I889" t="s">
        <v>443</v>
      </c>
      <c r="J889" t="s">
        <v>124</v>
      </c>
      <c r="K889" t="s">
        <v>919</v>
      </c>
      <c r="L889" t="s">
        <v>920</v>
      </c>
      <c r="M889" t="s">
        <v>1538</v>
      </c>
      <c r="N889" t="b">
        <v>0</v>
      </c>
    </row>
    <row r="890" spans="1:14">
      <c r="A890">
        <v>57</v>
      </c>
      <c r="B890">
        <v>7</v>
      </c>
      <c r="C890" t="s">
        <v>165</v>
      </c>
      <c r="D890" t="s">
        <v>722</v>
      </c>
      <c r="E890" t="s">
        <v>72</v>
      </c>
      <c r="F890">
        <v>50</v>
      </c>
      <c r="G890" t="s">
        <v>124</v>
      </c>
      <c r="H890" t="s">
        <v>124</v>
      </c>
      <c r="I890" t="s">
        <v>72</v>
      </c>
      <c r="J890" t="s">
        <v>124</v>
      </c>
      <c r="K890" t="s">
        <v>124</v>
      </c>
      <c r="L890" t="s">
        <v>124</v>
      </c>
      <c r="M890" t="s">
        <v>1539</v>
      </c>
      <c r="N890" t="b">
        <v>0</v>
      </c>
    </row>
    <row r="891" spans="1:14">
      <c r="A891">
        <v>57</v>
      </c>
      <c r="B891">
        <v>8</v>
      </c>
      <c r="C891" t="s">
        <v>220</v>
      </c>
      <c r="D891" t="s">
        <v>722</v>
      </c>
      <c r="E891" t="s">
        <v>100</v>
      </c>
      <c r="F891">
        <v>50</v>
      </c>
      <c r="G891" t="s">
        <v>124</v>
      </c>
      <c r="H891" t="s">
        <v>124</v>
      </c>
      <c r="I891" t="s">
        <v>100</v>
      </c>
      <c r="J891" t="s">
        <v>124</v>
      </c>
      <c r="K891" t="s">
        <v>124</v>
      </c>
      <c r="L891" t="s">
        <v>124</v>
      </c>
      <c r="M891" t="s">
        <v>1540</v>
      </c>
      <c r="N891" t="b">
        <v>0</v>
      </c>
    </row>
    <row r="892" spans="1:14">
      <c r="A892">
        <v>57</v>
      </c>
      <c r="B892">
        <v>9</v>
      </c>
      <c r="C892" t="s">
        <v>168</v>
      </c>
      <c r="D892" t="s">
        <v>722</v>
      </c>
      <c r="E892" t="s">
        <v>104</v>
      </c>
      <c r="F892">
        <v>50</v>
      </c>
      <c r="G892" t="s">
        <v>124</v>
      </c>
      <c r="H892" t="s">
        <v>124</v>
      </c>
      <c r="I892" t="s">
        <v>104</v>
      </c>
      <c r="J892" t="s">
        <v>124</v>
      </c>
      <c r="K892" t="s">
        <v>124</v>
      </c>
      <c r="L892" t="s">
        <v>124</v>
      </c>
      <c r="M892" t="s">
        <v>1541</v>
      </c>
      <c r="N892" t="b">
        <v>0</v>
      </c>
    </row>
    <row r="893" spans="1:14">
      <c r="A893">
        <v>57</v>
      </c>
      <c r="B893">
        <v>10</v>
      </c>
      <c r="C893" t="s">
        <v>221</v>
      </c>
      <c r="D893" t="s">
        <v>722</v>
      </c>
      <c r="E893" t="s">
        <v>105</v>
      </c>
      <c r="F893">
        <v>50</v>
      </c>
      <c r="G893" t="s">
        <v>124</v>
      </c>
      <c r="H893" t="s">
        <v>124</v>
      </c>
      <c r="I893" t="s">
        <v>105</v>
      </c>
      <c r="J893" t="s">
        <v>124</v>
      </c>
      <c r="K893" t="s">
        <v>124</v>
      </c>
      <c r="L893" t="s">
        <v>124</v>
      </c>
      <c r="M893" t="s">
        <v>1542</v>
      </c>
      <c r="N893" t="b">
        <v>0</v>
      </c>
    </row>
    <row r="894" spans="1:14">
      <c r="A894">
        <v>57</v>
      </c>
      <c r="B894">
        <v>11</v>
      </c>
      <c r="C894" t="s">
        <v>193</v>
      </c>
      <c r="D894" t="s">
        <v>722</v>
      </c>
      <c r="E894" t="s">
        <v>106</v>
      </c>
      <c r="F894">
        <v>60</v>
      </c>
      <c r="G894" t="s">
        <v>124</v>
      </c>
      <c r="H894" t="s">
        <v>124</v>
      </c>
      <c r="I894" t="s">
        <v>106</v>
      </c>
      <c r="J894" t="s">
        <v>124</v>
      </c>
      <c r="K894" t="s">
        <v>124</v>
      </c>
      <c r="L894" t="s">
        <v>124</v>
      </c>
      <c r="M894" t="s">
        <v>1543</v>
      </c>
      <c r="N894" t="b">
        <v>0</v>
      </c>
    </row>
    <row r="895" spans="1:14">
      <c r="A895">
        <v>57</v>
      </c>
      <c r="B895">
        <v>12</v>
      </c>
      <c r="C895" t="s">
        <v>124</v>
      </c>
      <c r="D895" t="s">
        <v>722</v>
      </c>
      <c r="E895" t="s">
        <v>124</v>
      </c>
      <c r="F895">
        <v>0</v>
      </c>
      <c r="G895" t="s">
        <v>124</v>
      </c>
      <c r="H895" t="s">
        <v>124</v>
      </c>
      <c r="I895" t="s">
        <v>124</v>
      </c>
      <c r="J895" t="s">
        <v>124</v>
      </c>
      <c r="K895" t="s">
        <v>124</v>
      </c>
      <c r="L895" t="s">
        <v>124</v>
      </c>
      <c r="M895" t="s">
        <v>1544</v>
      </c>
      <c r="N895" t="b">
        <v>0</v>
      </c>
    </row>
    <row r="896" spans="1:14">
      <c r="A896">
        <v>57</v>
      </c>
      <c r="B896">
        <v>13</v>
      </c>
      <c r="C896" t="s">
        <v>124</v>
      </c>
      <c r="D896" t="s">
        <v>722</v>
      </c>
      <c r="E896" t="s">
        <v>124</v>
      </c>
      <c r="F896">
        <v>0</v>
      </c>
      <c r="G896" t="s">
        <v>124</v>
      </c>
      <c r="H896" t="s">
        <v>124</v>
      </c>
      <c r="I896" t="s">
        <v>124</v>
      </c>
      <c r="J896" t="s">
        <v>124</v>
      </c>
      <c r="K896" t="s">
        <v>124</v>
      </c>
      <c r="L896" t="s">
        <v>124</v>
      </c>
      <c r="M896" t="s">
        <v>1545</v>
      </c>
      <c r="N896" t="b">
        <v>0</v>
      </c>
    </row>
    <row r="897" spans="1:14">
      <c r="A897">
        <v>57</v>
      </c>
      <c r="B897">
        <v>14</v>
      </c>
      <c r="C897" t="s">
        <v>124</v>
      </c>
      <c r="D897" t="s">
        <v>722</v>
      </c>
      <c r="E897" t="s">
        <v>124</v>
      </c>
      <c r="F897">
        <v>0</v>
      </c>
      <c r="G897" t="s">
        <v>124</v>
      </c>
      <c r="H897" t="s">
        <v>124</v>
      </c>
      <c r="I897" t="s">
        <v>124</v>
      </c>
      <c r="J897" t="s">
        <v>124</v>
      </c>
      <c r="K897" t="s">
        <v>124</v>
      </c>
      <c r="L897" t="s">
        <v>124</v>
      </c>
      <c r="M897" t="s">
        <v>1546</v>
      </c>
      <c r="N897" t="b">
        <v>0</v>
      </c>
    </row>
    <row r="898" spans="1:14">
      <c r="A898">
        <v>57</v>
      </c>
      <c r="B898">
        <v>15</v>
      </c>
      <c r="C898" t="s">
        <v>124</v>
      </c>
      <c r="D898" t="s">
        <v>722</v>
      </c>
      <c r="E898" t="s">
        <v>124</v>
      </c>
      <c r="F898">
        <v>0</v>
      </c>
      <c r="G898" t="s">
        <v>124</v>
      </c>
      <c r="H898" t="s">
        <v>124</v>
      </c>
      <c r="I898" t="s">
        <v>124</v>
      </c>
      <c r="J898" t="s">
        <v>124</v>
      </c>
      <c r="K898" t="s">
        <v>124</v>
      </c>
      <c r="L898" t="s">
        <v>124</v>
      </c>
      <c r="M898" t="s">
        <v>1547</v>
      </c>
      <c r="N898" t="b">
        <v>0</v>
      </c>
    </row>
    <row r="899" spans="1:14">
      <c r="A899">
        <v>57</v>
      </c>
      <c r="B899">
        <v>16</v>
      </c>
      <c r="C899" t="s">
        <v>200</v>
      </c>
      <c r="D899" t="s">
        <v>739</v>
      </c>
      <c r="E899" t="s">
        <v>101</v>
      </c>
      <c r="F899">
        <v>60</v>
      </c>
      <c r="G899" t="s">
        <v>124</v>
      </c>
      <c r="H899" t="s">
        <v>124</v>
      </c>
      <c r="I899" t="s">
        <v>101</v>
      </c>
      <c r="J899" t="s">
        <v>124</v>
      </c>
      <c r="K899" t="s">
        <v>124</v>
      </c>
      <c r="L899" t="s">
        <v>124</v>
      </c>
      <c r="M899" t="s">
        <v>1548</v>
      </c>
      <c r="N899" t="b">
        <v>0</v>
      </c>
    </row>
    <row r="900" spans="1:14">
      <c r="A900">
        <v>57</v>
      </c>
      <c r="B900">
        <v>17</v>
      </c>
      <c r="C900" t="s">
        <v>358</v>
      </c>
      <c r="D900" t="s">
        <v>739</v>
      </c>
      <c r="E900" t="s">
        <v>98</v>
      </c>
      <c r="F900">
        <v>50</v>
      </c>
      <c r="G900" t="s">
        <v>124</v>
      </c>
      <c r="H900" t="s">
        <v>124</v>
      </c>
      <c r="I900" t="s">
        <v>98</v>
      </c>
      <c r="J900" t="s">
        <v>124</v>
      </c>
      <c r="K900" t="s">
        <v>124</v>
      </c>
      <c r="L900" t="s">
        <v>124</v>
      </c>
      <c r="M900" t="s">
        <v>1549</v>
      </c>
      <c r="N900" t="b">
        <v>0</v>
      </c>
    </row>
    <row r="901" spans="1:14">
      <c r="A901">
        <v>57</v>
      </c>
      <c r="B901">
        <v>18</v>
      </c>
      <c r="C901" t="s">
        <v>124</v>
      </c>
      <c r="D901" t="s">
        <v>739</v>
      </c>
      <c r="E901" t="s">
        <v>124</v>
      </c>
      <c r="F901">
        <v>0</v>
      </c>
      <c r="G901" t="s">
        <v>124</v>
      </c>
      <c r="H901" t="s">
        <v>124</v>
      </c>
      <c r="I901" t="s">
        <v>124</v>
      </c>
      <c r="J901" t="s">
        <v>124</v>
      </c>
      <c r="K901" t="s">
        <v>124</v>
      </c>
      <c r="L901" t="s">
        <v>124</v>
      </c>
      <c r="M901" t="s">
        <v>1550</v>
      </c>
      <c r="N901" t="b">
        <v>0</v>
      </c>
    </row>
    <row r="902" spans="1:14">
      <c r="A902">
        <v>57</v>
      </c>
      <c r="B902">
        <v>19</v>
      </c>
      <c r="C902" t="s">
        <v>124</v>
      </c>
      <c r="D902" t="s">
        <v>739</v>
      </c>
      <c r="E902" t="s">
        <v>124</v>
      </c>
      <c r="F902">
        <v>0</v>
      </c>
      <c r="G902" t="s">
        <v>124</v>
      </c>
      <c r="H902" t="s">
        <v>124</v>
      </c>
      <c r="I902" t="s">
        <v>124</v>
      </c>
      <c r="J902" t="s">
        <v>124</v>
      </c>
      <c r="K902" t="s">
        <v>124</v>
      </c>
      <c r="L902" t="s">
        <v>124</v>
      </c>
      <c r="M902" t="s">
        <v>1551</v>
      </c>
      <c r="N902" t="b">
        <v>0</v>
      </c>
    </row>
    <row r="903" spans="1:14">
      <c r="A903">
        <v>57</v>
      </c>
      <c r="B903">
        <v>20</v>
      </c>
      <c r="C903" t="s">
        <v>124</v>
      </c>
      <c r="D903" t="s">
        <v>739</v>
      </c>
      <c r="E903" t="s">
        <v>124</v>
      </c>
      <c r="F903">
        <v>0</v>
      </c>
      <c r="G903" t="s">
        <v>124</v>
      </c>
      <c r="H903" t="s">
        <v>124</v>
      </c>
      <c r="I903" t="s">
        <v>124</v>
      </c>
      <c r="J903" t="s">
        <v>124</v>
      </c>
      <c r="K903" t="s">
        <v>124</v>
      </c>
      <c r="L903" t="s">
        <v>124</v>
      </c>
      <c r="M903" t="s">
        <v>1552</v>
      </c>
      <c r="N903" t="b">
        <v>0</v>
      </c>
    </row>
    <row r="904" spans="1:14">
      <c r="A904">
        <v>57</v>
      </c>
      <c r="B904">
        <v>21</v>
      </c>
      <c r="C904" t="s">
        <v>124</v>
      </c>
      <c r="D904" t="s">
        <v>739</v>
      </c>
      <c r="E904" t="s">
        <v>124</v>
      </c>
      <c r="F904">
        <v>0</v>
      </c>
      <c r="G904" t="s">
        <v>124</v>
      </c>
      <c r="H904" t="s">
        <v>124</v>
      </c>
      <c r="I904" t="s">
        <v>124</v>
      </c>
      <c r="J904" t="s">
        <v>124</v>
      </c>
      <c r="K904" t="s">
        <v>124</v>
      </c>
      <c r="L904" t="s">
        <v>124</v>
      </c>
      <c r="M904" t="s">
        <v>1553</v>
      </c>
      <c r="N904" t="b">
        <v>0</v>
      </c>
    </row>
    <row r="905" spans="1:14">
      <c r="A905">
        <v>57</v>
      </c>
      <c r="B905">
        <v>22</v>
      </c>
      <c r="C905" t="s">
        <v>124</v>
      </c>
      <c r="D905" t="s">
        <v>739</v>
      </c>
      <c r="E905" t="s">
        <v>124</v>
      </c>
      <c r="F905">
        <v>0</v>
      </c>
      <c r="G905" t="s">
        <v>124</v>
      </c>
      <c r="H905" t="s">
        <v>124</v>
      </c>
      <c r="I905" t="s">
        <v>124</v>
      </c>
      <c r="J905" t="s">
        <v>124</v>
      </c>
      <c r="K905" t="s">
        <v>124</v>
      </c>
      <c r="L905" t="s">
        <v>124</v>
      </c>
      <c r="M905" t="s">
        <v>1554</v>
      </c>
      <c r="N905" t="b">
        <v>0</v>
      </c>
    </row>
    <row r="906" spans="1:14">
      <c r="A906">
        <v>57</v>
      </c>
      <c r="B906">
        <v>23</v>
      </c>
      <c r="C906" t="s">
        <v>124</v>
      </c>
      <c r="D906" t="s">
        <v>739</v>
      </c>
      <c r="E906" t="s">
        <v>124</v>
      </c>
      <c r="F906">
        <v>0</v>
      </c>
      <c r="G906" t="s">
        <v>124</v>
      </c>
      <c r="H906" t="s">
        <v>124</v>
      </c>
      <c r="I906" t="s">
        <v>124</v>
      </c>
      <c r="J906" t="s">
        <v>124</v>
      </c>
      <c r="K906" t="s">
        <v>124</v>
      </c>
      <c r="L906" t="s">
        <v>124</v>
      </c>
      <c r="M906" t="s">
        <v>1555</v>
      </c>
      <c r="N906" t="b">
        <v>0</v>
      </c>
    </row>
    <row r="907" spans="1:14">
      <c r="A907">
        <v>57</v>
      </c>
      <c r="B907">
        <v>24</v>
      </c>
      <c r="C907" t="s">
        <v>124</v>
      </c>
      <c r="D907" t="s">
        <v>739</v>
      </c>
      <c r="E907" t="s">
        <v>124</v>
      </c>
      <c r="F907">
        <v>0</v>
      </c>
      <c r="G907" t="s">
        <v>124</v>
      </c>
      <c r="H907" t="s">
        <v>124</v>
      </c>
      <c r="I907" t="s">
        <v>124</v>
      </c>
      <c r="J907" t="s">
        <v>124</v>
      </c>
      <c r="K907" t="s">
        <v>124</v>
      </c>
      <c r="L907" t="s">
        <v>124</v>
      </c>
      <c r="M907" t="s">
        <v>1556</v>
      </c>
      <c r="N907" t="b">
        <v>0</v>
      </c>
    </row>
    <row r="908" spans="1:14">
      <c r="A908">
        <v>57</v>
      </c>
      <c r="B908">
        <v>25</v>
      </c>
      <c r="C908" t="s">
        <v>124</v>
      </c>
      <c r="D908" t="s">
        <v>739</v>
      </c>
      <c r="E908" t="s">
        <v>124</v>
      </c>
      <c r="F908">
        <v>0</v>
      </c>
      <c r="G908" t="s">
        <v>124</v>
      </c>
      <c r="H908" t="s">
        <v>124</v>
      </c>
      <c r="I908" t="s">
        <v>124</v>
      </c>
      <c r="J908" t="s">
        <v>124</v>
      </c>
      <c r="K908" t="s">
        <v>124</v>
      </c>
      <c r="L908" t="s">
        <v>124</v>
      </c>
      <c r="M908" t="s">
        <v>1557</v>
      </c>
      <c r="N908" t="b">
        <v>0</v>
      </c>
    </row>
    <row r="909" spans="1:14">
      <c r="A909">
        <v>57</v>
      </c>
      <c r="B909">
        <v>26</v>
      </c>
      <c r="C909" t="s">
        <v>124</v>
      </c>
      <c r="D909" t="s">
        <v>739</v>
      </c>
      <c r="E909" t="s">
        <v>124</v>
      </c>
      <c r="F909">
        <v>0</v>
      </c>
      <c r="G909" t="s">
        <v>124</v>
      </c>
      <c r="H909" t="s">
        <v>124</v>
      </c>
      <c r="I909" t="s">
        <v>124</v>
      </c>
      <c r="J909" t="s">
        <v>124</v>
      </c>
      <c r="K909" t="s">
        <v>124</v>
      </c>
      <c r="L909" t="s">
        <v>124</v>
      </c>
      <c r="M909" t="s">
        <v>1558</v>
      </c>
      <c r="N909" t="b">
        <v>0</v>
      </c>
    </row>
    <row r="910" spans="1:14">
      <c r="A910">
        <v>59</v>
      </c>
      <c r="B910">
        <v>0</v>
      </c>
      <c r="C910" t="s">
        <v>214</v>
      </c>
      <c r="D910" t="s">
        <v>722</v>
      </c>
      <c r="E910" t="s">
        <v>63</v>
      </c>
      <c r="F910">
        <v>60</v>
      </c>
      <c r="G910" t="s">
        <v>124</v>
      </c>
      <c r="H910" t="s">
        <v>124</v>
      </c>
      <c r="I910" t="s">
        <v>63</v>
      </c>
      <c r="J910" t="s">
        <v>124</v>
      </c>
      <c r="K910" t="s">
        <v>124</v>
      </c>
      <c r="L910" t="s">
        <v>124</v>
      </c>
      <c r="M910" t="s">
        <v>1559</v>
      </c>
      <c r="N910" t="b">
        <v>0</v>
      </c>
    </row>
    <row r="911" spans="1:14">
      <c r="A911">
        <v>59</v>
      </c>
      <c r="B911">
        <v>1</v>
      </c>
      <c r="C911" t="s">
        <v>327</v>
      </c>
      <c r="D911" t="s">
        <v>722</v>
      </c>
      <c r="E911" t="s">
        <v>75</v>
      </c>
      <c r="F911">
        <v>40</v>
      </c>
      <c r="G911" t="s">
        <v>124</v>
      </c>
      <c r="H911" t="s">
        <v>124</v>
      </c>
      <c r="I911" t="s">
        <v>75</v>
      </c>
      <c r="J911" t="s">
        <v>124</v>
      </c>
      <c r="K911" t="s">
        <v>124</v>
      </c>
      <c r="L911" t="s">
        <v>124</v>
      </c>
      <c r="M911" t="s">
        <v>1560</v>
      </c>
      <c r="N911" t="b">
        <v>0</v>
      </c>
    </row>
    <row r="912" spans="1:14">
      <c r="A912">
        <v>59</v>
      </c>
      <c r="B912">
        <v>2</v>
      </c>
      <c r="C912" t="s">
        <v>266</v>
      </c>
      <c r="D912" t="s">
        <v>722</v>
      </c>
      <c r="E912" t="s">
        <v>81</v>
      </c>
      <c r="F912">
        <v>30</v>
      </c>
      <c r="G912" t="s">
        <v>124</v>
      </c>
      <c r="H912" t="s">
        <v>124</v>
      </c>
      <c r="I912" t="s">
        <v>81</v>
      </c>
      <c r="J912" t="s">
        <v>124</v>
      </c>
      <c r="K912" t="s">
        <v>124</v>
      </c>
      <c r="L912" t="s">
        <v>124</v>
      </c>
      <c r="M912" t="s">
        <v>1561</v>
      </c>
      <c r="N912" t="b">
        <v>0</v>
      </c>
    </row>
    <row r="913" spans="1:14">
      <c r="A913">
        <v>59</v>
      </c>
      <c r="B913">
        <v>3</v>
      </c>
      <c r="C913" t="s">
        <v>236</v>
      </c>
      <c r="D913" t="s">
        <v>722</v>
      </c>
      <c r="E913" t="s">
        <v>542</v>
      </c>
      <c r="F913">
        <v>40</v>
      </c>
      <c r="G913" t="s">
        <v>124</v>
      </c>
      <c r="H913" t="s">
        <v>545</v>
      </c>
      <c r="I913" t="s">
        <v>506</v>
      </c>
      <c r="J913" t="s">
        <v>124</v>
      </c>
      <c r="K913" t="s">
        <v>790</v>
      </c>
      <c r="L913" t="s">
        <v>791</v>
      </c>
      <c r="M913" t="s">
        <v>1562</v>
      </c>
      <c r="N913" t="b">
        <v>0</v>
      </c>
    </row>
    <row r="914" spans="1:14">
      <c r="A914">
        <v>59</v>
      </c>
      <c r="B914">
        <v>4</v>
      </c>
      <c r="C914" t="s">
        <v>237</v>
      </c>
      <c r="D914" t="s">
        <v>722</v>
      </c>
      <c r="E914" t="s">
        <v>542</v>
      </c>
      <c r="F914">
        <v>40</v>
      </c>
      <c r="G914" t="s">
        <v>124</v>
      </c>
      <c r="H914" t="s">
        <v>555</v>
      </c>
      <c r="I914" t="s">
        <v>484</v>
      </c>
      <c r="J914" t="s">
        <v>124</v>
      </c>
      <c r="K914" t="s">
        <v>793</v>
      </c>
      <c r="L914" t="s">
        <v>794</v>
      </c>
      <c r="M914" t="s">
        <v>1563</v>
      </c>
      <c r="N914" t="b">
        <v>0</v>
      </c>
    </row>
    <row r="915" spans="1:14">
      <c r="A915">
        <v>59</v>
      </c>
      <c r="B915">
        <v>5</v>
      </c>
      <c r="C915" t="s">
        <v>379</v>
      </c>
      <c r="D915" t="s">
        <v>722</v>
      </c>
      <c r="E915" t="s">
        <v>93</v>
      </c>
      <c r="F915">
        <v>60</v>
      </c>
      <c r="G915" t="s">
        <v>124</v>
      </c>
      <c r="H915" t="s">
        <v>124</v>
      </c>
      <c r="I915" t="s">
        <v>93</v>
      </c>
      <c r="J915" t="s">
        <v>124</v>
      </c>
      <c r="K915" t="s">
        <v>124</v>
      </c>
      <c r="L915" t="s">
        <v>124</v>
      </c>
      <c r="M915" t="s">
        <v>1564</v>
      </c>
      <c r="N915" t="b">
        <v>0</v>
      </c>
    </row>
    <row r="916" spans="1:14">
      <c r="A916">
        <v>59</v>
      </c>
      <c r="B916">
        <v>6</v>
      </c>
      <c r="C916" t="s">
        <v>380</v>
      </c>
      <c r="D916" t="s">
        <v>722</v>
      </c>
      <c r="E916" t="s">
        <v>329</v>
      </c>
      <c r="F916">
        <v>50</v>
      </c>
      <c r="G916" t="s">
        <v>124</v>
      </c>
      <c r="H916" t="s">
        <v>556</v>
      </c>
      <c r="I916" t="s">
        <v>475</v>
      </c>
      <c r="J916" t="s">
        <v>124</v>
      </c>
      <c r="K916" t="s">
        <v>919</v>
      </c>
      <c r="L916" t="s">
        <v>920</v>
      </c>
      <c r="M916" t="s">
        <v>1565</v>
      </c>
      <c r="N916" t="b">
        <v>0</v>
      </c>
    </row>
    <row r="917" spans="1:14">
      <c r="A917">
        <v>59</v>
      </c>
      <c r="B917">
        <v>7</v>
      </c>
      <c r="C917" t="s">
        <v>165</v>
      </c>
      <c r="D917" t="s">
        <v>722</v>
      </c>
      <c r="E917" t="s">
        <v>72</v>
      </c>
      <c r="F917">
        <v>50</v>
      </c>
      <c r="G917" t="s">
        <v>124</v>
      </c>
      <c r="H917" t="s">
        <v>124</v>
      </c>
      <c r="I917" t="s">
        <v>72</v>
      </c>
      <c r="J917" t="s">
        <v>124</v>
      </c>
      <c r="K917" t="s">
        <v>124</v>
      </c>
      <c r="L917" t="s">
        <v>124</v>
      </c>
      <c r="M917" t="s">
        <v>1566</v>
      </c>
      <c r="N917" t="b">
        <v>0</v>
      </c>
    </row>
    <row r="918" spans="1:14">
      <c r="A918">
        <v>59</v>
      </c>
      <c r="B918">
        <v>8</v>
      </c>
      <c r="C918" t="s">
        <v>381</v>
      </c>
      <c r="D918" t="s">
        <v>751</v>
      </c>
      <c r="E918" t="s">
        <v>356</v>
      </c>
      <c r="F918">
        <v>40</v>
      </c>
      <c r="G918" t="s">
        <v>758</v>
      </c>
      <c r="H918" t="s">
        <v>124</v>
      </c>
      <c r="I918" t="s">
        <v>124</v>
      </c>
      <c r="J918" t="s">
        <v>1161</v>
      </c>
      <c r="K918" t="s">
        <v>1162</v>
      </c>
      <c r="L918" t="s">
        <v>1163</v>
      </c>
      <c r="M918" t="s">
        <v>1567</v>
      </c>
      <c r="N918" t="b">
        <v>0</v>
      </c>
    </row>
    <row r="919" spans="1:14">
      <c r="A919">
        <v>59</v>
      </c>
      <c r="B919">
        <v>9</v>
      </c>
      <c r="C919" t="s">
        <v>268</v>
      </c>
      <c r="D919" t="s">
        <v>722</v>
      </c>
      <c r="E919" t="s">
        <v>543</v>
      </c>
      <c r="F919">
        <v>40</v>
      </c>
      <c r="G919" t="s">
        <v>124</v>
      </c>
      <c r="H919" t="s">
        <v>581</v>
      </c>
      <c r="I919" t="s">
        <v>494</v>
      </c>
      <c r="J919" t="s">
        <v>124</v>
      </c>
      <c r="K919" t="s">
        <v>799</v>
      </c>
      <c r="L919" t="s">
        <v>800</v>
      </c>
      <c r="M919" t="s">
        <v>1568</v>
      </c>
      <c r="N919" t="b">
        <v>0</v>
      </c>
    </row>
    <row r="920" spans="1:14">
      <c r="A920">
        <v>59</v>
      </c>
      <c r="B920">
        <v>10</v>
      </c>
      <c r="C920" t="s">
        <v>192</v>
      </c>
      <c r="D920" t="s">
        <v>722</v>
      </c>
      <c r="E920" t="s">
        <v>96</v>
      </c>
      <c r="F920">
        <v>50</v>
      </c>
      <c r="G920" t="s">
        <v>124</v>
      </c>
      <c r="H920" t="s">
        <v>124</v>
      </c>
      <c r="I920" t="s">
        <v>96</v>
      </c>
      <c r="J920" t="s">
        <v>124</v>
      </c>
      <c r="K920" t="s">
        <v>124</v>
      </c>
      <c r="L920" t="s">
        <v>124</v>
      </c>
      <c r="M920" t="s">
        <v>1569</v>
      </c>
      <c r="N920" t="b">
        <v>0</v>
      </c>
    </row>
    <row r="921" spans="1:14">
      <c r="A921">
        <v>59</v>
      </c>
      <c r="B921">
        <v>11</v>
      </c>
      <c r="C921" t="s">
        <v>290</v>
      </c>
      <c r="D921" t="s">
        <v>722</v>
      </c>
      <c r="E921" t="s">
        <v>105</v>
      </c>
      <c r="F921">
        <v>60</v>
      </c>
      <c r="G921" t="s">
        <v>124</v>
      </c>
      <c r="H921" t="s">
        <v>124</v>
      </c>
      <c r="I921" t="s">
        <v>105</v>
      </c>
      <c r="J921" t="s">
        <v>124</v>
      </c>
      <c r="K921" t="s">
        <v>124</v>
      </c>
      <c r="L921" t="s">
        <v>124</v>
      </c>
      <c r="M921" t="s">
        <v>1570</v>
      </c>
      <c r="N921" t="b">
        <v>0</v>
      </c>
    </row>
    <row r="922" spans="1:14">
      <c r="A922">
        <v>59</v>
      </c>
      <c r="B922">
        <v>12</v>
      </c>
      <c r="C922" t="s">
        <v>124</v>
      </c>
      <c r="D922" t="s">
        <v>722</v>
      </c>
      <c r="E922" t="s">
        <v>124</v>
      </c>
      <c r="F922">
        <v>0</v>
      </c>
      <c r="G922" t="s">
        <v>124</v>
      </c>
      <c r="H922" t="s">
        <v>124</v>
      </c>
      <c r="I922" t="s">
        <v>124</v>
      </c>
      <c r="J922" t="s">
        <v>124</v>
      </c>
      <c r="K922" t="s">
        <v>124</v>
      </c>
      <c r="L922" t="s">
        <v>124</v>
      </c>
      <c r="M922" t="s">
        <v>1571</v>
      </c>
      <c r="N922" t="b">
        <v>0</v>
      </c>
    </row>
    <row r="923" spans="1:14">
      <c r="A923">
        <v>59</v>
      </c>
      <c r="B923">
        <v>13</v>
      </c>
      <c r="C923" t="s">
        <v>124</v>
      </c>
      <c r="D923" t="s">
        <v>722</v>
      </c>
      <c r="E923" t="s">
        <v>124</v>
      </c>
      <c r="F923">
        <v>0</v>
      </c>
      <c r="G923" t="s">
        <v>124</v>
      </c>
      <c r="H923" t="s">
        <v>124</v>
      </c>
      <c r="I923" t="s">
        <v>124</v>
      </c>
      <c r="J923" t="s">
        <v>124</v>
      </c>
      <c r="K923" t="s">
        <v>124</v>
      </c>
      <c r="L923" t="s">
        <v>124</v>
      </c>
      <c r="M923" t="s">
        <v>1572</v>
      </c>
      <c r="N923" t="b">
        <v>0</v>
      </c>
    </row>
    <row r="924" spans="1:14">
      <c r="A924">
        <v>59</v>
      </c>
      <c r="B924">
        <v>14</v>
      </c>
      <c r="C924" t="s">
        <v>124</v>
      </c>
      <c r="D924" t="s">
        <v>722</v>
      </c>
      <c r="E924" t="s">
        <v>124</v>
      </c>
      <c r="F924">
        <v>0</v>
      </c>
      <c r="G924" t="s">
        <v>124</v>
      </c>
      <c r="H924" t="s">
        <v>124</v>
      </c>
      <c r="I924" t="s">
        <v>124</v>
      </c>
      <c r="J924" t="s">
        <v>124</v>
      </c>
      <c r="K924" t="s">
        <v>124</v>
      </c>
      <c r="L924" t="s">
        <v>124</v>
      </c>
      <c r="M924" t="s">
        <v>1573</v>
      </c>
      <c r="N924" t="b">
        <v>0</v>
      </c>
    </row>
    <row r="925" spans="1:14">
      <c r="A925">
        <v>59</v>
      </c>
      <c r="B925">
        <v>15</v>
      </c>
      <c r="C925" t="s">
        <v>124</v>
      </c>
      <c r="D925" t="s">
        <v>722</v>
      </c>
      <c r="E925" t="s">
        <v>124</v>
      </c>
      <c r="F925">
        <v>0</v>
      </c>
      <c r="G925" t="s">
        <v>124</v>
      </c>
      <c r="H925" t="s">
        <v>124</v>
      </c>
      <c r="I925" t="s">
        <v>124</v>
      </c>
      <c r="J925" t="s">
        <v>124</v>
      </c>
      <c r="K925" t="s">
        <v>124</v>
      </c>
      <c r="L925" t="s">
        <v>124</v>
      </c>
      <c r="M925" t="s">
        <v>1574</v>
      </c>
      <c r="N925" t="b">
        <v>0</v>
      </c>
    </row>
    <row r="926" spans="1:14">
      <c r="A926">
        <v>59</v>
      </c>
      <c r="B926">
        <v>16</v>
      </c>
      <c r="C926" t="s">
        <v>124</v>
      </c>
      <c r="D926" t="s">
        <v>739</v>
      </c>
      <c r="E926" t="s">
        <v>124</v>
      </c>
      <c r="F926">
        <v>0</v>
      </c>
      <c r="G926" t="s">
        <v>124</v>
      </c>
      <c r="H926" t="s">
        <v>124</v>
      </c>
      <c r="I926" t="s">
        <v>124</v>
      </c>
      <c r="J926" t="s">
        <v>124</v>
      </c>
      <c r="K926" t="s">
        <v>124</v>
      </c>
      <c r="L926" t="s">
        <v>124</v>
      </c>
      <c r="M926" t="s">
        <v>1575</v>
      </c>
      <c r="N926" t="b">
        <v>0</v>
      </c>
    </row>
    <row r="927" spans="1:14">
      <c r="A927">
        <v>59</v>
      </c>
      <c r="B927">
        <v>17</v>
      </c>
      <c r="C927" t="s">
        <v>124</v>
      </c>
      <c r="D927" t="s">
        <v>739</v>
      </c>
      <c r="E927" t="s">
        <v>124</v>
      </c>
      <c r="F927">
        <v>0</v>
      </c>
      <c r="G927" t="s">
        <v>124</v>
      </c>
      <c r="H927" t="s">
        <v>124</v>
      </c>
      <c r="I927" t="s">
        <v>124</v>
      </c>
      <c r="J927" t="s">
        <v>124</v>
      </c>
      <c r="K927" t="s">
        <v>124</v>
      </c>
      <c r="L927" t="s">
        <v>124</v>
      </c>
      <c r="M927" t="s">
        <v>1576</v>
      </c>
      <c r="N927" t="b">
        <v>0</v>
      </c>
    </row>
    <row r="928" spans="1:14">
      <c r="A928">
        <v>59</v>
      </c>
      <c r="B928">
        <v>18</v>
      </c>
      <c r="C928" t="s">
        <v>124</v>
      </c>
      <c r="D928" t="s">
        <v>739</v>
      </c>
      <c r="E928" t="s">
        <v>124</v>
      </c>
      <c r="F928">
        <v>0</v>
      </c>
      <c r="G928" t="s">
        <v>124</v>
      </c>
      <c r="H928" t="s">
        <v>124</v>
      </c>
      <c r="I928" t="s">
        <v>124</v>
      </c>
      <c r="J928" t="s">
        <v>124</v>
      </c>
      <c r="K928" t="s">
        <v>124</v>
      </c>
      <c r="L928" t="s">
        <v>124</v>
      </c>
      <c r="M928" t="s">
        <v>1577</v>
      </c>
      <c r="N928" t="b">
        <v>0</v>
      </c>
    </row>
    <row r="929" spans="1:14">
      <c r="A929">
        <v>59</v>
      </c>
      <c r="B929">
        <v>19</v>
      </c>
      <c r="C929" t="s">
        <v>124</v>
      </c>
      <c r="D929" t="s">
        <v>739</v>
      </c>
      <c r="E929" t="s">
        <v>124</v>
      </c>
      <c r="F929">
        <v>0</v>
      </c>
      <c r="G929" t="s">
        <v>124</v>
      </c>
      <c r="H929" t="s">
        <v>124</v>
      </c>
      <c r="I929" t="s">
        <v>124</v>
      </c>
      <c r="J929" t="s">
        <v>124</v>
      </c>
      <c r="K929" t="s">
        <v>124</v>
      </c>
      <c r="L929" t="s">
        <v>124</v>
      </c>
      <c r="M929" t="s">
        <v>1578</v>
      </c>
      <c r="N929" t="b">
        <v>0</v>
      </c>
    </row>
    <row r="930" spans="1:14">
      <c r="A930">
        <v>59</v>
      </c>
      <c r="B930">
        <v>20</v>
      </c>
      <c r="C930" t="s">
        <v>124</v>
      </c>
      <c r="D930" t="s">
        <v>739</v>
      </c>
      <c r="E930" t="s">
        <v>124</v>
      </c>
      <c r="F930">
        <v>0</v>
      </c>
      <c r="G930" t="s">
        <v>124</v>
      </c>
      <c r="H930" t="s">
        <v>124</v>
      </c>
      <c r="I930" t="s">
        <v>124</v>
      </c>
      <c r="J930" t="s">
        <v>124</v>
      </c>
      <c r="K930" t="s">
        <v>124</v>
      </c>
      <c r="L930" t="s">
        <v>124</v>
      </c>
      <c r="M930" t="s">
        <v>1579</v>
      </c>
      <c r="N930" t="b">
        <v>0</v>
      </c>
    </row>
    <row r="931" spans="1:14">
      <c r="A931">
        <v>59</v>
      </c>
      <c r="B931">
        <v>21</v>
      </c>
      <c r="C931" t="s">
        <v>124</v>
      </c>
      <c r="D931" t="s">
        <v>739</v>
      </c>
      <c r="E931" t="s">
        <v>124</v>
      </c>
      <c r="F931">
        <v>0</v>
      </c>
      <c r="G931" t="s">
        <v>124</v>
      </c>
      <c r="H931" t="s">
        <v>124</v>
      </c>
      <c r="I931" t="s">
        <v>124</v>
      </c>
      <c r="J931" t="s">
        <v>124</v>
      </c>
      <c r="K931" t="s">
        <v>124</v>
      </c>
      <c r="L931" t="s">
        <v>124</v>
      </c>
      <c r="M931" t="s">
        <v>1580</v>
      </c>
      <c r="N931" t="b">
        <v>0</v>
      </c>
    </row>
    <row r="932" spans="1:14">
      <c r="A932">
        <v>59</v>
      </c>
      <c r="B932">
        <v>22</v>
      </c>
      <c r="C932" t="s">
        <v>124</v>
      </c>
      <c r="D932" t="s">
        <v>739</v>
      </c>
      <c r="E932" t="s">
        <v>124</v>
      </c>
      <c r="F932">
        <v>0</v>
      </c>
      <c r="G932" t="s">
        <v>124</v>
      </c>
      <c r="H932" t="s">
        <v>124</v>
      </c>
      <c r="I932" t="s">
        <v>124</v>
      </c>
      <c r="J932" t="s">
        <v>124</v>
      </c>
      <c r="K932" t="s">
        <v>124</v>
      </c>
      <c r="L932" t="s">
        <v>124</v>
      </c>
      <c r="M932" t="s">
        <v>1581</v>
      </c>
      <c r="N932" t="b">
        <v>0</v>
      </c>
    </row>
    <row r="933" spans="1:14">
      <c r="A933">
        <v>59</v>
      </c>
      <c r="B933">
        <v>23</v>
      </c>
      <c r="C933" t="s">
        <v>124</v>
      </c>
      <c r="D933" t="s">
        <v>739</v>
      </c>
      <c r="E933" t="s">
        <v>124</v>
      </c>
      <c r="F933">
        <v>0</v>
      </c>
      <c r="G933" t="s">
        <v>124</v>
      </c>
      <c r="H933" t="s">
        <v>124</v>
      </c>
      <c r="I933" t="s">
        <v>124</v>
      </c>
      <c r="J933" t="s">
        <v>124</v>
      </c>
      <c r="K933" t="s">
        <v>124</v>
      </c>
      <c r="L933" t="s">
        <v>124</v>
      </c>
      <c r="M933" t="s">
        <v>1582</v>
      </c>
      <c r="N933" t="b">
        <v>0</v>
      </c>
    </row>
    <row r="934" spans="1:14">
      <c r="A934">
        <v>59</v>
      </c>
      <c r="B934">
        <v>24</v>
      </c>
      <c r="C934" t="s">
        <v>124</v>
      </c>
      <c r="D934" t="s">
        <v>739</v>
      </c>
      <c r="E934" t="s">
        <v>124</v>
      </c>
      <c r="F934">
        <v>0</v>
      </c>
      <c r="G934" t="s">
        <v>124</v>
      </c>
      <c r="H934" t="s">
        <v>124</v>
      </c>
      <c r="I934" t="s">
        <v>124</v>
      </c>
      <c r="J934" t="s">
        <v>124</v>
      </c>
      <c r="K934" t="s">
        <v>124</v>
      </c>
      <c r="L934" t="s">
        <v>124</v>
      </c>
      <c r="M934" t="s">
        <v>1583</v>
      </c>
      <c r="N934" t="b">
        <v>0</v>
      </c>
    </row>
    <row r="935" spans="1:14">
      <c r="A935">
        <v>59</v>
      </c>
      <c r="B935">
        <v>25</v>
      </c>
      <c r="C935" t="s">
        <v>124</v>
      </c>
      <c r="D935" t="s">
        <v>739</v>
      </c>
      <c r="E935" t="s">
        <v>124</v>
      </c>
      <c r="F935">
        <v>0</v>
      </c>
      <c r="G935" t="s">
        <v>124</v>
      </c>
      <c r="H935" t="s">
        <v>124</v>
      </c>
      <c r="I935" t="s">
        <v>124</v>
      </c>
      <c r="J935" t="s">
        <v>124</v>
      </c>
      <c r="K935" t="s">
        <v>124</v>
      </c>
      <c r="L935" t="s">
        <v>124</v>
      </c>
      <c r="M935" t="s">
        <v>1584</v>
      </c>
      <c r="N935" t="b">
        <v>0</v>
      </c>
    </row>
    <row r="936" spans="1:14">
      <c r="A936">
        <v>59</v>
      </c>
      <c r="B936">
        <v>26</v>
      </c>
      <c r="C936" t="s">
        <v>124</v>
      </c>
      <c r="D936" t="s">
        <v>739</v>
      </c>
      <c r="E936" t="s">
        <v>124</v>
      </c>
      <c r="F936">
        <v>0</v>
      </c>
      <c r="G936" t="s">
        <v>124</v>
      </c>
      <c r="H936" t="s">
        <v>124</v>
      </c>
      <c r="I936" t="s">
        <v>124</v>
      </c>
      <c r="J936" t="s">
        <v>124</v>
      </c>
      <c r="K936" t="s">
        <v>124</v>
      </c>
      <c r="L936" t="s">
        <v>124</v>
      </c>
      <c r="M936" t="s">
        <v>1585</v>
      </c>
      <c r="N936" t="b">
        <v>0</v>
      </c>
    </row>
    <row r="937" spans="1:14">
      <c r="A937">
        <v>60</v>
      </c>
      <c r="B937">
        <v>0</v>
      </c>
      <c r="C937" t="s">
        <v>184</v>
      </c>
      <c r="D937" t="s">
        <v>722</v>
      </c>
      <c r="E937" t="s">
        <v>63</v>
      </c>
      <c r="F937">
        <v>50</v>
      </c>
      <c r="G937" t="s">
        <v>124</v>
      </c>
      <c r="H937" t="s">
        <v>124</v>
      </c>
      <c r="I937" t="s">
        <v>63</v>
      </c>
      <c r="J937" t="s">
        <v>124</v>
      </c>
      <c r="K937" t="s">
        <v>124</v>
      </c>
      <c r="L937" t="s">
        <v>124</v>
      </c>
      <c r="M937" t="s">
        <v>1586</v>
      </c>
      <c r="N937" t="b">
        <v>0</v>
      </c>
    </row>
    <row r="938" spans="1:14">
      <c r="A938">
        <v>60</v>
      </c>
      <c r="B938">
        <v>1</v>
      </c>
      <c r="C938" t="s">
        <v>224</v>
      </c>
      <c r="D938" t="s">
        <v>722</v>
      </c>
      <c r="E938" t="s">
        <v>75</v>
      </c>
      <c r="F938">
        <v>50</v>
      </c>
      <c r="G938" t="s">
        <v>124</v>
      </c>
      <c r="H938" t="s">
        <v>124</v>
      </c>
      <c r="I938" t="s">
        <v>75</v>
      </c>
      <c r="J938" t="s">
        <v>124</v>
      </c>
      <c r="K938" t="s">
        <v>124</v>
      </c>
      <c r="L938" t="s">
        <v>124</v>
      </c>
      <c r="M938" t="s">
        <v>1587</v>
      </c>
      <c r="N938" t="b">
        <v>0</v>
      </c>
    </row>
    <row r="939" spans="1:14">
      <c r="A939">
        <v>60</v>
      </c>
      <c r="B939">
        <v>2</v>
      </c>
      <c r="C939" t="s">
        <v>156</v>
      </c>
      <c r="D939" t="s">
        <v>722</v>
      </c>
      <c r="E939" t="s">
        <v>81</v>
      </c>
      <c r="F939">
        <v>40</v>
      </c>
      <c r="G939" t="s">
        <v>124</v>
      </c>
      <c r="H939" t="s">
        <v>124</v>
      </c>
      <c r="I939" t="s">
        <v>81</v>
      </c>
      <c r="J939" t="s">
        <v>124</v>
      </c>
      <c r="K939" t="s">
        <v>124</v>
      </c>
      <c r="L939" t="s">
        <v>124</v>
      </c>
      <c r="M939" t="s">
        <v>1588</v>
      </c>
      <c r="N939" t="b">
        <v>0</v>
      </c>
    </row>
    <row r="940" spans="1:14">
      <c r="A940">
        <v>60</v>
      </c>
      <c r="B940">
        <v>3</v>
      </c>
      <c r="C940" t="s">
        <v>227</v>
      </c>
      <c r="D940" t="s">
        <v>722</v>
      </c>
      <c r="E940" t="s">
        <v>99</v>
      </c>
      <c r="F940">
        <v>40</v>
      </c>
      <c r="G940" t="s">
        <v>124</v>
      </c>
      <c r="H940" t="s">
        <v>124</v>
      </c>
      <c r="I940" t="s">
        <v>99</v>
      </c>
      <c r="J940" t="s">
        <v>124</v>
      </c>
      <c r="K940" t="s">
        <v>124</v>
      </c>
      <c r="L940" t="s">
        <v>124</v>
      </c>
      <c r="M940" t="s">
        <v>1589</v>
      </c>
      <c r="N940" t="b">
        <v>0</v>
      </c>
    </row>
    <row r="941" spans="1:14">
      <c r="A941">
        <v>60</v>
      </c>
      <c r="B941">
        <v>4</v>
      </c>
      <c r="C941" t="s">
        <v>200</v>
      </c>
      <c r="D941" t="s">
        <v>722</v>
      </c>
      <c r="E941" t="s">
        <v>101</v>
      </c>
      <c r="F941">
        <v>60</v>
      </c>
      <c r="G941" t="s">
        <v>124</v>
      </c>
      <c r="H941" t="s">
        <v>124</v>
      </c>
      <c r="I941" t="s">
        <v>101</v>
      </c>
      <c r="J941" t="s">
        <v>124</v>
      </c>
      <c r="K941" t="s">
        <v>124</v>
      </c>
      <c r="L941" t="s">
        <v>124</v>
      </c>
      <c r="M941" t="s">
        <v>1590</v>
      </c>
      <c r="N941" t="b">
        <v>0</v>
      </c>
    </row>
    <row r="942" spans="1:14">
      <c r="A942">
        <v>60</v>
      </c>
      <c r="B942">
        <v>5</v>
      </c>
      <c r="C942" t="s">
        <v>252</v>
      </c>
      <c r="D942" t="s">
        <v>722</v>
      </c>
      <c r="E942" t="s">
        <v>113</v>
      </c>
      <c r="F942">
        <v>40</v>
      </c>
      <c r="G942" t="s">
        <v>124</v>
      </c>
      <c r="H942" t="s">
        <v>124</v>
      </c>
      <c r="I942" t="s">
        <v>113</v>
      </c>
      <c r="J942" t="s">
        <v>124</v>
      </c>
      <c r="K942" t="s">
        <v>124</v>
      </c>
      <c r="L942" t="s">
        <v>124</v>
      </c>
      <c r="M942" t="s">
        <v>1591</v>
      </c>
      <c r="N942" t="b">
        <v>0</v>
      </c>
    </row>
    <row r="943" spans="1:14">
      <c r="A943">
        <v>60</v>
      </c>
      <c r="B943">
        <v>6</v>
      </c>
      <c r="C943" t="s">
        <v>260</v>
      </c>
      <c r="D943" t="s">
        <v>722</v>
      </c>
      <c r="E943" t="s">
        <v>64</v>
      </c>
      <c r="F943">
        <v>40</v>
      </c>
      <c r="G943" t="s">
        <v>124</v>
      </c>
      <c r="H943" t="s">
        <v>124</v>
      </c>
      <c r="I943" t="s">
        <v>64</v>
      </c>
      <c r="J943" t="s">
        <v>124</v>
      </c>
      <c r="K943" t="s">
        <v>124</v>
      </c>
      <c r="L943" t="s">
        <v>124</v>
      </c>
      <c r="M943" t="s">
        <v>1592</v>
      </c>
      <c r="N943" t="b">
        <v>0</v>
      </c>
    </row>
    <row r="944" spans="1:14">
      <c r="A944">
        <v>60</v>
      </c>
      <c r="B944">
        <v>7</v>
      </c>
      <c r="C944" t="s">
        <v>191</v>
      </c>
      <c r="D944" t="s">
        <v>722</v>
      </c>
      <c r="E944" t="s">
        <v>76</v>
      </c>
      <c r="F944">
        <v>50</v>
      </c>
      <c r="G944" t="s">
        <v>124</v>
      </c>
      <c r="H944" t="s">
        <v>124</v>
      </c>
      <c r="I944" t="s">
        <v>76</v>
      </c>
      <c r="J944" t="s">
        <v>124</v>
      </c>
      <c r="K944" t="s">
        <v>124</v>
      </c>
      <c r="L944" t="s">
        <v>124</v>
      </c>
      <c r="M944" t="s">
        <v>1593</v>
      </c>
      <c r="N944" t="b">
        <v>0</v>
      </c>
    </row>
    <row r="945" spans="1:14">
      <c r="A945">
        <v>60</v>
      </c>
      <c r="B945">
        <v>8</v>
      </c>
      <c r="C945" t="s">
        <v>211</v>
      </c>
      <c r="D945" t="s">
        <v>722</v>
      </c>
      <c r="E945" t="s">
        <v>82</v>
      </c>
      <c r="F945">
        <v>40</v>
      </c>
      <c r="G945" t="s">
        <v>124</v>
      </c>
      <c r="H945" t="s">
        <v>124</v>
      </c>
      <c r="I945" t="s">
        <v>82</v>
      </c>
      <c r="J945" t="s">
        <v>124</v>
      </c>
      <c r="K945" t="s">
        <v>124</v>
      </c>
      <c r="L945" t="s">
        <v>124</v>
      </c>
      <c r="M945" t="s">
        <v>1594</v>
      </c>
      <c r="N945" t="b">
        <v>0</v>
      </c>
    </row>
    <row r="946" spans="1:14">
      <c r="A946">
        <v>60</v>
      </c>
      <c r="B946">
        <v>9</v>
      </c>
      <c r="C946" t="s">
        <v>261</v>
      </c>
      <c r="D946" t="s">
        <v>722</v>
      </c>
      <c r="E946" t="s">
        <v>543</v>
      </c>
      <c r="F946">
        <v>40</v>
      </c>
      <c r="G946" t="s">
        <v>124</v>
      </c>
      <c r="H946" t="s">
        <v>553</v>
      </c>
      <c r="I946" t="s">
        <v>330</v>
      </c>
      <c r="J946" t="s">
        <v>124</v>
      </c>
      <c r="K946" t="s">
        <v>799</v>
      </c>
      <c r="L946" t="s">
        <v>800</v>
      </c>
      <c r="M946" t="s">
        <v>1595</v>
      </c>
      <c r="N946" t="b">
        <v>0</v>
      </c>
    </row>
    <row r="947" spans="1:14">
      <c r="A947">
        <v>60</v>
      </c>
      <c r="B947">
        <v>10</v>
      </c>
      <c r="C947" t="s">
        <v>168</v>
      </c>
      <c r="D947" t="s">
        <v>722</v>
      </c>
      <c r="E947" t="s">
        <v>104</v>
      </c>
      <c r="F947">
        <v>50</v>
      </c>
      <c r="G947" t="s">
        <v>124</v>
      </c>
      <c r="H947" t="s">
        <v>124</v>
      </c>
      <c r="I947" t="s">
        <v>104</v>
      </c>
      <c r="J947" t="s">
        <v>124</v>
      </c>
      <c r="K947" t="s">
        <v>124</v>
      </c>
      <c r="L947" t="s">
        <v>124</v>
      </c>
      <c r="M947" t="s">
        <v>1596</v>
      </c>
      <c r="N947" t="b">
        <v>0</v>
      </c>
    </row>
    <row r="948" spans="1:14">
      <c r="A948">
        <v>60</v>
      </c>
      <c r="B948">
        <v>11</v>
      </c>
      <c r="C948" t="s">
        <v>124</v>
      </c>
      <c r="D948" t="s">
        <v>722</v>
      </c>
      <c r="E948" t="s">
        <v>124</v>
      </c>
      <c r="F948">
        <v>0</v>
      </c>
      <c r="G948" t="s">
        <v>124</v>
      </c>
      <c r="H948" t="s">
        <v>124</v>
      </c>
      <c r="I948" t="s">
        <v>124</v>
      </c>
      <c r="J948" t="s">
        <v>124</v>
      </c>
      <c r="K948" t="s">
        <v>124</v>
      </c>
      <c r="L948" t="s">
        <v>124</v>
      </c>
      <c r="M948" t="s">
        <v>1597</v>
      </c>
      <c r="N948" t="b">
        <v>0</v>
      </c>
    </row>
    <row r="949" spans="1:14">
      <c r="A949">
        <v>60</v>
      </c>
      <c r="B949">
        <v>12</v>
      </c>
      <c r="C949" t="s">
        <v>124</v>
      </c>
      <c r="D949" t="s">
        <v>722</v>
      </c>
      <c r="E949" t="s">
        <v>124</v>
      </c>
      <c r="F949">
        <v>0</v>
      </c>
      <c r="G949" t="s">
        <v>124</v>
      </c>
      <c r="H949" t="s">
        <v>124</v>
      </c>
      <c r="I949" t="s">
        <v>124</v>
      </c>
      <c r="J949" t="s">
        <v>124</v>
      </c>
      <c r="K949" t="s">
        <v>124</v>
      </c>
      <c r="L949" t="s">
        <v>124</v>
      </c>
      <c r="M949" t="s">
        <v>1598</v>
      </c>
      <c r="N949" t="b">
        <v>0</v>
      </c>
    </row>
    <row r="950" spans="1:14">
      <c r="A950">
        <v>60</v>
      </c>
      <c r="B950">
        <v>13</v>
      </c>
      <c r="C950" t="s">
        <v>124</v>
      </c>
      <c r="D950" t="s">
        <v>722</v>
      </c>
      <c r="E950" t="s">
        <v>124</v>
      </c>
      <c r="F950">
        <v>0</v>
      </c>
      <c r="G950" t="s">
        <v>124</v>
      </c>
      <c r="H950" t="s">
        <v>124</v>
      </c>
      <c r="I950" t="s">
        <v>124</v>
      </c>
      <c r="J950" t="s">
        <v>124</v>
      </c>
      <c r="K950" t="s">
        <v>124</v>
      </c>
      <c r="L950" t="s">
        <v>124</v>
      </c>
      <c r="M950" t="s">
        <v>1599</v>
      </c>
      <c r="N950" t="b">
        <v>0</v>
      </c>
    </row>
    <row r="951" spans="1:14">
      <c r="A951">
        <v>60</v>
      </c>
      <c r="B951">
        <v>14</v>
      </c>
      <c r="C951" t="s">
        <v>124</v>
      </c>
      <c r="D951" t="s">
        <v>722</v>
      </c>
      <c r="E951" t="s">
        <v>124</v>
      </c>
      <c r="F951">
        <v>0</v>
      </c>
      <c r="G951" t="s">
        <v>124</v>
      </c>
      <c r="H951" t="s">
        <v>124</v>
      </c>
      <c r="I951" t="s">
        <v>124</v>
      </c>
      <c r="J951" t="s">
        <v>124</v>
      </c>
      <c r="K951" t="s">
        <v>124</v>
      </c>
      <c r="L951" t="s">
        <v>124</v>
      </c>
      <c r="M951" t="s">
        <v>1600</v>
      </c>
      <c r="N951" t="b">
        <v>0</v>
      </c>
    </row>
    <row r="952" spans="1:14">
      <c r="A952">
        <v>60</v>
      </c>
      <c r="B952">
        <v>15</v>
      </c>
      <c r="C952" t="s">
        <v>124</v>
      </c>
      <c r="D952" t="s">
        <v>722</v>
      </c>
      <c r="E952" t="s">
        <v>124</v>
      </c>
      <c r="F952">
        <v>0</v>
      </c>
      <c r="G952" t="s">
        <v>124</v>
      </c>
      <c r="H952" t="s">
        <v>124</v>
      </c>
      <c r="I952" t="s">
        <v>124</v>
      </c>
      <c r="J952" t="s">
        <v>124</v>
      </c>
      <c r="K952" t="s">
        <v>124</v>
      </c>
      <c r="L952" t="s">
        <v>124</v>
      </c>
      <c r="M952" t="s">
        <v>1601</v>
      </c>
      <c r="N952" t="b">
        <v>0</v>
      </c>
    </row>
    <row r="953" spans="1:14">
      <c r="A953">
        <v>60</v>
      </c>
      <c r="B953">
        <v>16</v>
      </c>
      <c r="C953" t="s">
        <v>262</v>
      </c>
      <c r="D953" t="s">
        <v>739</v>
      </c>
      <c r="E953" t="s">
        <v>97</v>
      </c>
      <c r="F953">
        <v>60</v>
      </c>
      <c r="G953" t="s">
        <v>124</v>
      </c>
      <c r="H953" t="s">
        <v>124</v>
      </c>
      <c r="I953" t="s">
        <v>97</v>
      </c>
      <c r="J953" t="s">
        <v>124</v>
      </c>
      <c r="K953" t="s">
        <v>124</v>
      </c>
      <c r="L953" t="s">
        <v>124</v>
      </c>
      <c r="M953" t="s">
        <v>1602</v>
      </c>
      <c r="N953" t="b">
        <v>0</v>
      </c>
    </row>
    <row r="954" spans="1:14">
      <c r="A954">
        <v>60</v>
      </c>
      <c r="B954">
        <v>17</v>
      </c>
      <c r="C954" t="s">
        <v>210</v>
      </c>
      <c r="D954" t="s">
        <v>739</v>
      </c>
      <c r="E954" t="s">
        <v>107</v>
      </c>
      <c r="F954">
        <v>40</v>
      </c>
      <c r="G954" t="s">
        <v>124</v>
      </c>
      <c r="H954" t="s">
        <v>124</v>
      </c>
      <c r="I954" t="s">
        <v>107</v>
      </c>
      <c r="J954" t="s">
        <v>124</v>
      </c>
      <c r="K954" t="s">
        <v>124</v>
      </c>
      <c r="L954" t="s">
        <v>124</v>
      </c>
      <c r="M954" t="s">
        <v>1603</v>
      </c>
      <c r="N954" t="b">
        <v>0</v>
      </c>
    </row>
    <row r="955" spans="1:14">
      <c r="A955">
        <v>60</v>
      </c>
      <c r="B955">
        <v>18</v>
      </c>
      <c r="C955" t="s">
        <v>165</v>
      </c>
      <c r="D955" t="s">
        <v>739</v>
      </c>
      <c r="E955" t="s">
        <v>72</v>
      </c>
      <c r="F955">
        <v>50</v>
      </c>
      <c r="G955" t="s">
        <v>124</v>
      </c>
      <c r="H955" t="s">
        <v>124</v>
      </c>
      <c r="I955" t="s">
        <v>72</v>
      </c>
      <c r="J955" t="s">
        <v>124</v>
      </c>
      <c r="K955" t="s">
        <v>124</v>
      </c>
      <c r="L955" t="s">
        <v>124</v>
      </c>
      <c r="M955" t="s">
        <v>1604</v>
      </c>
      <c r="N955" t="b">
        <v>0</v>
      </c>
    </row>
    <row r="956" spans="1:14">
      <c r="A956">
        <v>60</v>
      </c>
      <c r="B956">
        <v>19</v>
      </c>
      <c r="C956" t="s">
        <v>263</v>
      </c>
      <c r="D956" t="s">
        <v>739</v>
      </c>
      <c r="E956" t="s">
        <v>89</v>
      </c>
      <c r="F956">
        <v>50</v>
      </c>
      <c r="G956" t="s">
        <v>124</v>
      </c>
      <c r="H956" t="s">
        <v>124</v>
      </c>
      <c r="I956" t="s">
        <v>89</v>
      </c>
      <c r="J956" t="s">
        <v>124</v>
      </c>
      <c r="K956" t="s">
        <v>124</v>
      </c>
      <c r="L956" t="s">
        <v>124</v>
      </c>
      <c r="M956" t="s">
        <v>1605</v>
      </c>
      <c r="N956" t="b">
        <v>0</v>
      </c>
    </row>
    <row r="957" spans="1:14">
      <c r="A957">
        <v>60</v>
      </c>
      <c r="B957">
        <v>20</v>
      </c>
      <c r="C957" t="s">
        <v>167</v>
      </c>
      <c r="D957" t="s">
        <v>739</v>
      </c>
      <c r="E957" t="s">
        <v>96</v>
      </c>
      <c r="F957">
        <v>60</v>
      </c>
      <c r="G957" t="s">
        <v>124</v>
      </c>
      <c r="H957" t="s">
        <v>124</v>
      </c>
      <c r="I957" t="s">
        <v>96</v>
      </c>
      <c r="J957" t="s">
        <v>124</v>
      </c>
      <c r="K957" t="s">
        <v>124</v>
      </c>
      <c r="L957" t="s">
        <v>124</v>
      </c>
      <c r="M957" t="s">
        <v>1606</v>
      </c>
      <c r="N957" t="b">
        <v>0</v>
      </c>
    </row>
    <row r="958" spans="1:14">
      <c r="A958">
        <v>60</v>
      </c>
      <c r="B958">
        <v>21</v>
      </c>
      <c r="C958" t="s">
        <v>124</v>
      </c>
      <c r="D958" t="s">
        <v>739</v>
      </c>
      <c r="E958" t="s">
        <v>124</v>
      </c>
      <c r="F958">
        <v>0</v>
      </c>
      <c r="G958" t="s">
        <v>124</v>
      </c>
      <c r="H958" t="s">
        <v>124</v>
      </c>
      <c r="I958" t="s">
        <v>124</v>
      </c>
      <c r="J958" t="s">
        <v>124</v>
      </c>
      <c r="K958" t="s">
        <v>124</v>
      </c>
      <c r="L958" t="s">
        <v>124</v>
      </c>
      <c r="M958" t="s">
        <v>1607</v>
      </c>
      <c r="N958" t="b">
        <v>0</v>
      </c>
    </row>
    <row r="959" spans="1:14">
      <c r="A959">
        <v>60</v>
      </c>
      <c r="B959">
        <v>22</v>
      </c>
      <c r="C959" t="s">
        <v>124</v>
      </c>
      <c r="D959" t="s">
        <v>739</v>
      </c>
      <c r="E959" t="s">
        <v>124</v>
      </c>
      <c r="F959">
        <v>0</v>
      </c>
      <c r="G959" t="s">
        <v>124</v>
      </c>
      <c r="H959" t="s">
        <v>124</v>
      </c>
      <c r="I959" t="s">
        <v>124</v>
      </c>
      <c r="J959" t="s">
        <v>124</v>
      </c>
      <c r="K959" t="s">
        <v>124</v>
      </c>
      <c r="L959" t="s">
        <v>124</v>
      </c>
      <c r="M959" t="s">
        <v>1608</v>
      </c>
      <c r="N959" t="b">
        <v>0</v>
      </c>
    </row>
    <row r="960" spans="1:14">
      <c r="A960">
        <v>60</v>
      </c>
      <c r="B960">
        <v>23</v>
      </c>
      <c r="C960" t="s">
        <v>124</v>
      </c>
      <c r="D960" t="s">
        <v>739</v>
      </c>
      <c r="E960" t="s">
        <v>124</v>
      </c>
      <c r="F960">
        <v>0</v>
      </c>
      <c r="G960" t="s">
        <v>124</v>
      </c>
      <c r="H960" t="s">
        <v>124</v>
      </c>
      <c r="I960" t="s">
        <v>124</v>
      </c>
      <c r="J960" t="s">
        <v>124</v>
      </c>
      <c r="K960" t="s">
        <v>124</v>
      </c>
      <c r="L960" t="s">
        <v>124</v>
      </c>
      <c r="M960" t="s">
        <v>1609</v>
      </c>
      <c r="N960" t="b">
        <v>0</v>
      </c>
    </row>
    <row r="961" spans="1:14">
      <c r="A961">
        <v>60</v>
      </c>
      <c r="B961">
        <v>24</v>
      </c>
      <c r="C961" t="s">
        <v>124</v>
      </c>
      <c r="D961" t="s">
        <v>739</v>
      </c>
      <c r="E961" t="s">
        <v>124</v>
      </c>
      <c r="F961">
        <v>0</v>
      </c>
      <c r="G961" t="s">
        <v>124</v>
      </c>
      <c r="H961" t="s">
        <v>124</v>
      </c>
      <c r="I961" t="s">
        <v>124</v>
      </c>
      <c r="J961" t="s">
        <v>124</v>
      </c>
      <c r="K961" t="s">
        <v>124</v>
      </c>
      <c r="L961" t="s">
        <v>124</v>
      </c>
      <c r="M961" t="s">
        <v>1610</v>
      </c>
      <c r="N961" t="b">
        <v>0</v>
      </c>
    </row>
    <row r="962" spans="1:14">
      <c r="A962">
        <v>60</v>
      </c>
      <c r="B962">
        <v>25</v>
      </c>
      <c r="C962" t="s">
        <v>124</v>
      </c>
      <c r="D962" t="s">
        <v>739</v>
      </c>
      <c r="E962" t="s">
        <v>124</v>
      </c>
      <c r="F962">
        <v>0</v>
      </c>
      <c r="G962" t="s">
        <v>124</v>
      </c>
      <c r="H962" t="s">
        <v>124</v>
      </c>
      <c r="I962" t="s">
        <v>124</v>
      </c>
      <c r="J962" t="s">
        <v>124</v>
      </c>
      <c r="K962" t="s">
        <v>124</v>
      </c>
      <c r="L962" t="s">
        <v>124</v>
      </c>
      <c r="M962" t="s">
        <v>1611</v>
      </c>
      <c r="N962" t="b">
        <v>0</v>
      </c>
    </row>
    <row r="963" spans="1:14">
      <c r="A963">
        <v>60</v>
      </c>
      <c r="B963">
        <v>26</v>
      </c>
      <c r="C963" t="s">
        <v>124</v>
      </c>
      <c r="D963" t="s">
        <v>739</v>
      </c>
      <c r="E963" t="s">
        <v>124</v>
      </c>
      <c r="F963">
        <v>0</v>
      </c>
      <c r="G963" t="s">
        <v>124</v>
      </c>
      <c r="H963" t="s">
        <v>124</v>
      </c>
      <c r="I963" t="s">
        <v>124</v>
      </c>
      <c r="J963" t="s">
        <v>124</v>
      </c>
      <c r="K963" t="s">
        <v>124</v>
      </c>
      <c r="L963" t="s">
        <v>124</v>
      </c>
      <c r="M963" t="s">
        <v>1612</v>
      </c>
      <c r="N963" t="b">
        <v>0</v>
      </c>
    </row>
    <row r="964" spans="1:14">
      <c r="A964">
        <v>61</v>
      </c>
      <c r="B964">
        <v>0</v>
      </c>
      <c r="C964" t="s">
        <v>184</v>
      </c>
      <c r="D964" t="s">
        <v>722</v>
      </c>
      <c r="E964" t="s">
        <v>63</v>
      </c>
      <c r="F964">
        <v>50</v>
      </c>
      <c r="G964" t="s">
        <v>124</v>
      </c>
      <c r="H964" t="s">
        <v>124</v>
      </c>
      <c r="I964" t="s">
        <v>63</v>
      </c>
      <c r="J964" t="s">
        <v>124</v>
      </c>
      <c r="K964" t="s">
        <v>124</v>
      </c>
      <c r="L964" t="s">
        <v>124</v>
      </c>
      <c r="M964" t="s">
        <v>1613</v>
      </c>
      <c r="N964" t="b">
        <v>0</v>
      </c>
    </row>
    <row r="965" spans="1:14">
      <c r="A965">
        <v>61</v>
      </c>
      <c r="B965">
        <v>1</v>
      </c>
      <c r="C965" t="s">
        <v>215</v>
      </c>
      <c r="D965" t="s">
        <v>722</v>
      </c>
      <c r="E965" t="s">
        <v>75</v>
      </c>
      <c r="F965">
        <v>60</v>
      </c>
      <c r="G965" t="s">
        <v>124</v>
      </c>
      <c r="H965" t="s">
        <v>124</v>
      </c>
      <c r="I965" t="s">
        <v>75</v>
      </c>
      <c r="J965" t="s">
        <v>124</v>
      </c>
      <c r="K965" t="s">
        <v>124</v>
      </c>
      <c r="L965" t="s">
        <v>124</v>
      </c>
      <c r="M965" t="s">
        <v>1614</v>
      </c>
      <c r="N965" t="b">
        <v>0</v>
      </c>
    </row>
    <row r="966" spans="1:14">
      <c r="A966">
        <v>61</v>
      </c>
      <c r="B966">
        <v>2</v>
      </c>
      <c r="C966" t="s">
        <v>216</v>
      </c>
      <c r="D966" t="s">
        <v>722</v>
      </c>
      <c r="E966" t="s">
        <v>93</v>
      </c>
      <c r="F966">
        <v>40</v>
      </c>
      <c r="G966" t="s">
        <v>124</v>
      </c>
      <c r="H966" t="s">
        <v>124</v>
      </c>
      <c r="I966" t="s">
        <v>93</v>
      </c>
      <c r="J966" t="s">
        <v>124</v>
      </c>
      <c r="K966" t="s">
        <v>124</v>
      </c>
      <c r="L966" t="s">
        <v>124</v>
      </c>
      <c r="M966" t="s">
        <v>1615</v>
      </c>
      <c r="N966" t="b">
        <v>0</v>
      </c>
    </row>
    <row r="967" spans="1:14">
      <c r="A967">
        <v>61</v>
      </c>
      <c r="B967">
        <v>3</v>
      </c>
      <c r="C967" t="s">
        <v>217</v>
      </c>
      <c r="D967" t="s">
        <v>722</v>
      </c>
      <c r="E967" t="s">
        <v>99</v>
      </c>
      <c r="F967">
        <v>60</v>
      </c>
      <c r="G967" t="s">
        <v>124</v>
      </c>
      <c r="H967" t="s">
        <v>124</v>
      </c>
      <c r="I967" t="s">
        <v>99</v>
      </c>
      <c r="J967" t="s">
        <v>124</v>
      </c>
      <c r="K967" t="s">
        <v>124</v>
      </c>
      <c r="L967" t="s">
        <v>124</v>
      </c>
      <c r="M967" t="s">
        <v>1616</v>
      </c>
      <c r="N967" t="b">
        <v>0</v>
      </c>
    </row>
    <row r="968" spans="1:14">
      <c r="A968">
        <v>61</v>
      </c>
      <c r="B968">
        <v>4</v>
      </c>
      <c r="C968" t="s">
        <v>196</v>
      </c>
      <c r="D968" t="s">
        <v>722</v>
      </c>
      <c r="E968" t="s">
        <v>111</v>
      </c>
      <c r="F968">
        <v>50</v>
      </c>
      <c r="G968" t="s">
        <v>124</v>
      </c>
      <c r="H968" t="s">
        <v>124</v>
      </c>
      <c r="I968" t="s">
        <v>111</v>
      </c>
      <c r="J968" t="s">
        <v>124</v>
      </c>
      <c r="K968" t="s">
        <v>124</v>
      </c>
      <c r="L968" t="s">
        <v>124</v>
      </c>
      <c r="M968" t="s">
        <v>1617</v>
      </c>
      <c r="N968" t="b">
        <v>0</v>
      </c>
    </row>
    <row r="969" spans="1:14">
      <c r="A969">
        <v>61</v>
      </c>
      <c r="B969">
        <v>5</v>
      </c>
      <c r="C969" t="s">
        <v>218</v>
      </c>
      <c r="D969" t="s">
        <v>722</v>
      </c>
      <c r="E969" t="s">
        <v>66</v>
      </c>
      <c r="F969">
        <v>50</v>
      </c>
      <c r="G969" t="s">
        <v>124</v>
      </c>
      <c r="H969" t="s">
        <v>124</v>
      </c>
      <c r="I969" t="s">
        <v>66</v>
      </c>
      <c r="J969" t="s">
        <v>124</v>
      </c>
      <c r="K969" t="s">
        <v>124</v>
      </c>
      <c r="L969" t="s">
        <v>124</v>
      </c>
      <c r="M969" t="s">
        <v>1618</v>
      </c>
      <c r="N969" t="b">
        <v>0</v>
      </c>
    </row>
    <row r="970" spans="1:14">
      <c r="A970">
        <v>61</v>
      </c>
      <c r="B970">
        <v>6</v>
      </c>
      <c r="C970" t="s">
        <v>219</v>
      </c>
      <c r="D970" t="s">
        <v>722</v>
      </c>
      <c r="E970" t="s">
        <v>329</v>
      </c>
      <c r="F970">
        <v>60</v>
      </c>
      <c r="G970" t="s">
        <v>124</v>
      </c>
      <c r="H970" t="s">
        <v>546</v>
      </c>
      <c r="I970" t="s">
        <v>443</v>
      </c>
      <c r="J970" t="s">
        <v>124</v>
      </c>
      <c r="K970" t="s">
        <v>919</v>
      </c>
      <c r="L970" t="s">
        <v>920</v>
      </c>
      <c r="M970" t="s">
        <v>1619</v>
      </c>
      <c r="N970" t="b">
        <v>0</v>
      </c>
    </row>
    <row r="971" spans="1:14">
      <c r="A971">
        <v>61</v>
      </c>
      <c r="B971">
        <v>7</v>
      </c>
      <c r="C971" t="s">
        <v>165</v>
      </c>
      <c r="D971" t="s">
        <v>722</v>
      </c>
      <c r="E971" t="s">
        <v>72</v>
      </c>
      <c r="F971">
        <v>50</v>
      </c>
      <c r="G971" t="s">
        <v>124</v>
      </c>
      <c r="H971" t="s">
        <v>124</v>
      </c>
      <c r="I971" t="s">
        <v>72</v>
      </c>
      <c r="J971" t="s">
        <v>124</v>
      </c>
      <c r="K971" t="s">
        <v>124</v>
      </c>
      <c r="L971" t="s">
        <v>124</v>
      </c>
      <c r="M971" t="s">
        <v>1620</v>
      </c>
      <c r="N971" t="b">
        <v>0</v>
      </c>
    </row>
    <row r="972" spans="1:14">
      <c r="A972">
        <v>61</v>
      </c>
      <c r="B972">
        <v>8</v>
      </c>
      <c r="C972" t="s">
        <v>386</v>
      </c>
      <c r="D972" t="s">
        <v>722</v>
      </c>
      <c r="E972" t="s">
        <v>356</v>
      </c>
      <c r="F972">
        <v>40</v>
      </c>
      <c r="G972" t="s">
        <v>124</v>
      </c>
      <c r="H972" t="s">
        <v>561</v>
      </c>
      <c r="I972" t="s">
        <v>1621</v>
      </c>
      <c r="J972" t="s">
        <v>124</v>
      </c>
      <c r="K972" t="s">
        <v>1162</v>
      </c>
      <c r="L972" t="s">
        <v>1163</v>
      </c>
      <c r="M972" t="s">
        <v>1622</v>
      </c>
      <c r="N972" t="b">
        <v>0</v>
      </c>
    </row>
    <row r="973" spans="1:14">
      <c r="A973">
        <v>61</v>
      </c>
      <c r="B973">
        <v>9</v>
      </c>
      <c r="C973" t="s">
        <v>220</v>
      </c>
      <c r="D973" t="s">
        <v>722</v>
      </c>
      <c r="E973" t="s">
        <v>100</v>
      </c>
      <c r="F973">
        <v>50</v>
      </c>
      <c r="G973" t="s">
        <v>124</v>
      </c>
      <c r="H973" t="s">
        <v>124</v>
      </c>
      <c r="I973" t="s">
        <v>100</v>
      </c>
      <c r="J973" t="s">
        <v>124</v>
      </c>
      <c r="K973" t="s">
        <v>124</v>
      </c>
      <c r="L973" t="s">
        <v>124</v>
      </c>
      <c r="M973" t="s">
        <v>1623</v>
      </c>
      <c r="N973" t="b">
        <v>0</v>
      </c>
    </row>
    <row r="974" spans="1:14">
      <c r="A974">
        <v>61</v>
      </c>
      <c r="B974">
        <v>10</v>
      </c>
      <c r="C974" t="s">
        <v>387</v>
      </c>
      <c r="D974" t="s">
        <v>722</v>
      </c>
      <c r="E974" t="s">
        <v>104</v>
      </c>
      <c r="F974">
        <v>60</v>
      </c>
      <c r="G974" t="s">
        <v>124</v>
      </c>
      <c r="H974" t="s">
        <v>124</v>
      </c>
      <c r="I974" t="s">
        <v>104</v>
      </c>
      <c r="J974" t="s">
        <v>124</v>
      </c>
      <c r="K974" t="s">
        <v>124</v>
      </c>
      <c r="L974" t="s">
        <v>124</v>
      </c>
      <c r="M974" t="s">
        <v>1624</v>
      </c>
      <c r="N974" t="b">
        <v>0</v>
      </c>
    </row>
    <row r="975" spans="1:14">
      <c r="A975">
        <v>61</v>
      </c>
      <c r="B975">
        <v>11</v>
      </c>
      <c r="C975" t="s">
        <v>290</v>
      </c>
      <c r="D975" t="s">
        <v>722</v>
      </c>
      <c r="E975" t="s">
        <v>105</v>
      </c>
      <c r="F975">
        <v>60</v>
      </c>
      <c r="G975" t="s">
        <v>124</v>
      </c>
      <c r="H975" t="s">
        <v>124</v>
      </c>
      <c r="I975" t="s">
        <v>105</v>
      </c>
      <c r="J975" t="s">
        <v>124</v>
      </c>
      <c r="K975" t="s">
        <v>124</v>
      </c>
      <c r="L975" t="s">
        <v>124</v>
      </c>
      <c r="M975" t="s">
        <v>1625</v>
      </c>
      <c r="N975" t="b">
        <v>0</v>
      </c>
    </row>
    <row r="976" spans="1:14">
      <c r="A976">
        <v>61</v>
      </c>
      <c r="B976">
        <v>12</v>
      </c>
      <c r="C976" t="s">
        <v>193</v>
      </c>
      <c r="D976" t="s">
        <v>722</v>
      </c>
      <c r="E976" t="s">
        <v>106</v>
      </c>
      <c r="F976">
        <v>60</v>
      </c>
      <c r="G976" t="s">
        <v>124</v>
      </c>
      <c r="H976" t="s">
        <v>124</v>
      </c>
      <c r="I976" t="s">
        <v>106</v>
      </c>
      <c r="J976" t="s">
        <v>124</v>
      </c>
      <c r="K976" t="s">
        <v>124</v>
      </c>
      <c r="L976" t="s">
        <v>124</v>
      </c>
      <c r="M976" t="s">
        <v>1626</v>
      </c>
      <c r="N976" t="b">
        <v>0</v>
      </c>
    </row>
    <row r="977" spans="1:14">
      <c r="A977">
        <v>61</v>
      </c>
      <c r="B977">
        <v>13</v>
      </c>
      <c r="C977" t="s">
        <v>124</v>
      </c>
      <c r="D977" t="s">
        <v>722</v>
      </c>
      <c r="E977" t="s">
        <v>124</v>
      </c>
      <c r="F977">
        <v>0</v>
      </c>
      <c r="G977" t="s">
        <v>124</v>
      </c>
      <c r="H977" t="s">
        <v>124</v>
      </c>
      <c r="I977" t="s">
        <v>124</v>
      </c>
      <c r="J977" t="s">
        <v>124</v>
      </c>
      <c r="K977" t="s">
        <v>124</v>
      </c>
      <c r="L977" t="s">
        <v>124</v>
      </c>
      <c r="M977" t="s">
        <v>1627</v>
      </c>
      <c r="N977" t="b">
        <v>0</v>
      </c>
    </row>
    <row r="978" spans="1:14">
      <c r="A978">
        <v>61</v>
      </c>
      <c r="B978">
        <v>14</v>
      </c>
      <c r="C978" t="s">
        <v>124</v>
      </c>
      <c r="D978" t="s">
        <v>722</v>
      </c>
      <c r="E978" t="s">
        <v>124</v>
      </c>
      <c r="F978">
        <v>0</v>
      </c>
      <c r="G978" t="s">
        <v>124</v>
      </c>
      <c r="H978" t="s">
        <v>124</v>
      </c>
      <c r="I978" t="s">
        <v>124</v>
      </c>
      <c r="J978" t="s">
        <v>124</v>
      </c>
      <c r="K978" t="s">
        <v>124</v>
      </c>
      <c r="L978" t="s">
        <v>124</v>
      </c>
      <c r="M978" t="s">
        <v>1628</v>
      </c>
      <c r="N978" t="b">
        <v>0</v>
      </c>
    </row>
    <row r="979" spans="1:14">
      <c r="A979">
        <v>61</v>
      </c>
      <c r="B979">
        <v>15</v>
      </c>
      <c r="C979" t="s">
        <v>124</v>
      </c>
      <c r="D979" t="s">
        <v>722</v>
      </c>
      <c r="E979" t="s">
        <v>124</v>
      </c>
      <c r="F979">
        <v>0</v>
      </c>
      <c r="G979" t="s">
        <v>124</v>
      </c>
      <c r="H979" t="s">
        <v>124</v>
      </c>
      <c r="I979" t="s">
        <v>124</v>
      </c>
      <c r="J979" t="s">
        <v>124</v>
      </c>
      <c r="K979" t="s">
        <v>124</v>
      </c>
      <c r="L979" t="s">
        <v>124</v>
      </c>
      <c r="M979" t="s">
        <v>1629</v>
      </c>
      <c r="N979" t="b">
        <v>0</v>
      </c>
    </row>
    <row r="980" spans="1:14">
      <c r="A980">
        <v>61</v>
      </c>
      <c r="B980">
        <v>16</v>
      </c>
      <c r="C980" t="s">
        <v>124</v>
      </c>
      <c r="D980" t="s">
        <v>739</v>
      </c>
      <c r="E980" t="s">
        <v>124</v>
      </c>
      <c r="F980">
        <v>0</v>
      </c>
      <c r="G980" t="s">
        <v>124</v>
      </c>
      <c r="H980" t="s">
        <v>124</v>
      </c>
      <c r="I980" t="s">
        <v>124</v>
      </c>
      <c r="J980" t="s">
        <v>124</v>
      </c>
      <c r="K980" t="s">
        <v>124</v>
      </c>
      <c r="L980" t="s">
        <v>124</v>
      </c>
      <c r="M980" t="s">
        <v>1630</v>
      </c>
      <c r="N980" t="b">
        <v>0</v>
      </c>
    </row>
    <row r="981" spans="1:14">
      <c r="A981">
        <v>61</v>
      </c>
      <c r="B981">
        <v>17</v>
      </c>
      <c r="C981" t="s">
        <v>124</v>
      </c>
      <c r="D981" t="s">
        <v>739</v>
      </c>
      <c r="E981" t="s">
        <v>124</v>
      </c>
      <c r="F981">
        <v>0</v>
      </c>
      <c r="G981" t="s">
        <v>124</v>
      </c>
      <c r="H981" t="s">
        <v>124</v>
      </c>
      <c r="I981" t="s">
        <v>124</v>
      </c>
      <c r="J981" t="s">
        <v>124</v>
      </c>
      <c r="K981" t="s">
        <v>124</v>
      </c>
      <c r="L981" t="s">
        <v>124</v>
      </c>
      <c r="M981" t="s">
        <v>1631</v>
      </c>
      <c r="N981" t="b">
        <v>0</v>
      </c>
    </row>
    <row r="982" spans="1:14">
      <c r="A982">
        <v>61</v>
      </c>
      <c r="B982">
        <v>18</v>
      </c>
      <c r="C982" t="s">
        <v>124</v>
      </c>
      <c r="D982" t="s">
        <v>739</v>
      </c>
      <c r="E982" t="s">
        <v>124</v>
      </c>
      <c r="F982">
        <v>0</v>
      </c>
      <c r="G982" t="s">
        <v>124</v>
      </c>
      <c r="H982" t="s">
        <v>124</v>
      </c>
      <c r="I982" t="s">
        <v>124</v>
      </c>
      <c r="J982" t="s">
        <v>124</v>
      </c>
      <c r="K982" t="s">
        <v>124</v>
      </c>
      <c r="L982" t="s">
        <v>124</v>
      </c>
      <c r="M982" t="s">
        <v>1632</v>
      </c>
      <c r="N982" t="b">
        <v>0</v>
      </c>
    </row>
    <row r="983" spans="1:14">
      <c r="A983">
        <v>61</v>
      </c>
      <c r="B983">
        <v>19</v>
      </c>
      <c r="C983" t="s">
        <v>124</v>
      </c>
      <c r="D983" t="s">
        <v>739</v>
      </c>
      <c r="E983" t="s">
        <v>124</v>
      </c>
      <c r="F983">
        <v>0</v>
      </c>
      <c r="G983" t="s">
        <v>124</v>
      </c>
      <c r="H983" t="s">
        <v>124</v>
      </c>
      <c r="I983" t="s">
        <v>124</v>
      </c>
      <c r="J983" t="s">
        <v>124</v>
      </c>
      <c r="K983" t="s">
        <v>124</v>
      </c>
      <c r="L983" t="s">
        <v>124</v>
      </c>
      <c r="M983" t="s">
        <v>1633</v>
      </c>
      <c r="N983" t="b">
        <v>0</v>
      </c>
    </row>
    <row r="984" spans="1:14">
      <c r="A984">
        <v>61</v>
      </c>
      <c r="B984">
        <v>20</v>
      </c>
      <c r="C984" t="s">
        <v>124</v>
      </c>
      <c r="D984" t="s">
        <v>739</v>
      </c>
      <c r="E984" t="s">
        <v>124</v>
      </c>
      <c r="F984">
        <v>0</v>
      </c>
      <c r="G984" t="s">
        <v>124</v>
      </c>
      <c r="H984" t="s">
        <v>124</v>
      </c>
      <c r="I984" t="s">
        <v>124</v>
      </c>
      <c r="J984" t="s">
        <v>124</v>
      </c>
      <c r="K984" t="s">
        <v>124</v>
      </c>
      <c r="L984" t="s">
        <v>124</v>
      </c>
      <c r="M984" t="s">
        <v>1634</v>
      </c>
      <c r="N984" t="b">
        <v>0</v>
      </c>
    </row>
    <row r="985" spans="1:14">
      <c r="A985">
        <v>61</v>
      </c>
      <c r="B985">
        <v>21</v>
      </c>
      <c r="C985" t="s">
        <v>124</v>
      </c>
      <c r="D985" t="s">
        <v>739</v>
      </c>
      <c r="E985" t="s">
        <v>124</v>
      </c>
      <c r="F985">
        <v>0</v>
      </c>
      <c r="G985" t="s">
        <v>124</v>
      </c>
      <c r="H985" t="s">
        <v>124</v>
      </c>
      <c r="I985" t="s">
        <v>124</v>
      </c>
      <c r="J985" t="s">
        <v>124</v>
      </c>
      <c r="K985" t="s">
        <v>124</v>
      </c>
      <c r="L985" t="s">
        <v>124</v>
      </c>
      <c r="M985" t="s">
        <v>1635</v>
      </c>
      <c r="N985" t="b">
        <v>0</v>
      </c>
    </row>
    <row r="986" spans="1:14">
      <c r="A986">
        <v>61</v>
      </c>
      <c r="B986">
        <v>22</v>
      </c>
      <c r="C986" t="s">
        <v>124</v>
      </c>
      <c r="D986" t="s">
        <v>739</v>
      </c>
      <c r="E986" t="s">
        <v>124</v>
      </c>
      <c r="F986">
        <v>0</v>
      </c>
      <c r="G986" t="s">
        <v>124</v>
      </c>
      <c r="H986" t="s">
        <v>124</v>
      </c>
      <c r="I986" t="s">
        <v>124</v>
      </c>
      <c r="J986" t="s">
        <v>124</v>
      </c>
      <c r="K986" t="s">
        <v>124</v>
      </c>
      <c r="L986" t="s">
        <v>124</v>
      </c>
      <c r="M986" t="s">
        <v>1636</v>
      </c>
      <c r="N986" t="b">
        <v>0</v>
      </c>
    </row>
    <row r="987" spans="1:14">
      <c r="A987">
        <v>61</v>
      </c>
      <c r="B987">
        <v>23</v>
      </c>
      <c r="C987" t="s">
        <v>124</v>
      </c>
      <c r="D987" t="s">
        <v>739</v>
      </c>
      <c r="E987" t="s">
        <v>124</v>
      </c>
      <c r="F987">
        <v>0</v>
      </c>
      <c r="G987" t="s">
        <v>124</v>
      </c>
      <c r="H987" t="s">
        <v>124</v>
      </c>
      <c r="I987" t="s">
        <v>124</v>
      </c>
      <c r="J987" t="s">
        <v>124</v>
      </c>
      <c r="K987" t="s">
        <v>124</v>
      </c>
      <c r="L987" t="s">
        <v>124</v>
      </c>
      <c r="M987" t="s">
        <v>1637</v>
      </c>
      <c r="N987" t="b">
        <v>0</v>
      </c>
    </row>
    <row r="988" spans="1:14">
      <c r="A988">
        <v>61</v>
      </c>
      <c r="B988">
        <v>24</v>
      </c>
      <c r="C988" t="s">
        <v>124</v>
      </c>
      <c r="D988" t="s">
        <v>739</v>
      </c>
      <c r="E988" t="s">
        <v>124</v>
      </c>
      <c r="F988">
        <v>0</v>
      </c>
      <c r="G988" t="s">
        <v>124</v>
      </c>
      <c r="H988" t="s">
        <v>124</v>
      </c>
      <c r="I988" t="s">
        <v>124</v>
      </c>
      <c r="J988" t="s">
        <v>124</v>
      </c>
      <c r="K988" t="s">
        <v>124</v>
      </c>
      <c r="L988" t="s">
        <v>124</v>
      </c>
      <c r="M988" t="s">
        <v>1638</v>
      </c>
      <c r="N988" t="b">
        <v>0</v>
      </c>
    </row>
    <row r="989" spans="1:14">
      <c r="A989">
        <v>61</v>
      </c>
      <c r="B989">
        <v>25</v>
      </c>
      <c r="C989" t="s">
        <v>124</v>
      </c>
      <c r="D989" t="s">
        <v>739</v>
      </c>
      <c r="E989" t="s">
        <v>124</v>
      </c>
      <c r="F989">
        <v>0</v>
      </c>
      <c r="G989" t="s">
        <v>124</v>
      </c>
      <c r="H989" t="s">
        <v>124</v>
      </c>
      <c r="I989" t="s">
        <v>124</v>
      </c>
      <c r="J989" t="s">
        <v>124</v>
      </c>
      <c r="K989" t="s">
        <v>124</v>
      </c>
      <c r="L989" t="s">
        <v>124</v>
      </c>
      <c r="M989" t="s">
        <v>1639</v>
      </c>
      <c r="N989" t="b">
        <v>0</v>
      </c>
    </row>
    <row r="990" spans="1:14">
      <c r="A990">
        <v>61</v>
      </c>
      <c r="B990">
        <v>26</v>
      </c>
      <c r="C990" t="s">
        <v>124</v>
      </c>
      <c r="D990" t="s">
        <v>739</v>
      </c>
      <c r="E990" t="s">
        <v>124</v>
      </c>
      <c r="F990">
        <v>0</v>
      </c>
      <c r="G990" t="s">
        <v>124</v>
      </c>
      <c r="H990" t="s">
        <v>124</v>
      </c>
      <c r="I990" t="s">
        <v>124</v>
      </c>
      <c r="J990" t="s">
        <v>124</v>
      </c>
      <c r="K990" t="s">
        <v>124</v>
      </c>
      <c r="L990" t="s">
        <v>124</v>
      </c>
      <c r="M990" t="s">
        <v>1640</v>
      </c>
      <c r="N990" t="b">
        <v>0</v>
      </c>
    </row>
    <row r="991" spans="1:14">
      <c r="A991">
        <v>62</v>
      </c>
      <c r="B991">
        <v>0</v>
      </c>
      <c r="C991" t="s">
        <v>214</v>
      </c>
      <c r="D991" t="s">
        <v>722</v>
      </c>
      <c r="E991" t="s">
        <v>63</v>
      </c>
      <c r="F991">
        <v>60</v>
      </c>
      <c r="G991" t="s">
        <v>124</v>
      </c>
      <c r="H991" t="s">
        <v>124</v>
      </c>
      <c r="I991" t="s">
        <v>63</v>
      </c>
      <c r="J991" t="s">
        <v>124</v>
      </c>
      <c r="K991" t="s">
        <v>124</v>
      </c>
      <c r="L991" t="s">
        <v>124</v>
      </c>
      <c r="M991" t="s">
        <v>1641</v>
      </c>
      <c r="N991" t="b">
        <v>0</v>
      </c>
    </row>
    <row r="992" spans="1:14">
      <c r="A992">
        <v>62</v>
      </c>
      <c r="B992">
        <v>1</v>
      </c>
      <c r="C992" t="s">
        <v>215</v>
      </c>
      <c r="D992" t="s">
        <v>722</v>
      </c>
      <c r="E992" t="s">
        <v>75</v>
      </c>
      <c r="F992">
        <v>60</v>
      </c>
      <c r="G992" t="s">
        <v>124</v>
      </c>
      <c r="H992" t="s">
        <v>124</v>
      </c>
      <c r="I992" t="s">
        <v>75</v>
      </c>
      <c r="J992" t="s">
        <v>124</v>
      </c>
      <c r="K992" t="s">
        <v>124</v>
      </c>
      <c r="L992" t="s">
        <v>124</v>
      </c>
      <c r="M992" t="s">
        <v>1642</v>
      </c>
      <c r="N992" t="b">
        <v>0</v>
      </c>
    </row>
    <row r="993" spans="1:14">
      <c r="A993">
        <v>62</v>
      </c>
      <c r="B993">
        <v>2</v>
      </c>
      <c r="C993" t="s">
        <v>216</v>
      </c>
      <c r="D993" t="s">
        <v>722</v>
      </c>
      <c r="E993" t="s">
        <v>93</v>
      </c>
      <c r="F993">
        <v>40</v>
      </c>
      <c r="G993" t="s">
        <v>124</v>
      </c>
      <c r="H993" t="s">
        <v>124</v>
      </c>
      <c r="I993" t="s">
        <v>93</v>
      </c>
      <c r="J993" t="s">
        <v>124</v>
      </c>
      <c r="K993" t="s">
        <v>124</v>
      </c>
      <c r="L993" t="s">
        <v>124</v>
      </c>
      <c r="M993" t="s">
        <v>1643</v>
      </c>
      <c r="N993" t="b">
        <v>0</v>
      </c>
    </row>
    <row r="994" spans="1:14">
      <c r="A994">
        <v>62</v>
      </c>
      <c r="B994">
        <v>3</v>
      </c>
      <c r="C994" t="s">
        <v>303</v>
      </c>
      <c r="D994" t="s">
        <v>722</v>
      </c>
      <c r="E994" t="s">
        <v>95</v>
      </c>
      <c r="F994">
        <v>50</v>
      </c>
      <c r="G994" t="s">
        <v>124</v>
      </c>
      <c r="H994" t="s">
        <v>124</v>
      </c>
      <c r="I994" t="s">
        <v>95</v>
      </c>
      <c r="J994" t="s">
        <v>124</v>
      </c>
      <c r="K994" t="s">
        <v>124</v>
      </c>
      <c r="L994" t="s">
        <v>124</v>
      </c>
      <c r="M994" t="s">
        <v>1644</v>
      </c>
      <c r="N994" t="b">
        <v>0</v>
      </c>
    </row>
    <row r="995" spans="1:14">
      <c r="A995">
        <v>62</v>
      </c>
      <c r="B995">
        <v>4</v>
      </c>
      <c r="C995" t="s">
        <v>217</v>
      </c>
      <c r="D995" t="s">
        <v>722</v>
      </c>
      <c r="E995" t="s">
        <v>99</v>
      </c>
      <c r="F995">
        <v>60</v>
      </c>
      <c r="G995" t="s">
        <v>124</v>
      </c>
      <c r="H995" t="s">
        <v>124</v>
      </c>
      <c r="I995" t="s">
        <v>99</v>
      </c>
      <c r="J995" t="s">
        <v>124</v>
      </c>
      <c r="K995" t="s">
        <v>124</v>
      </c>
      <c r="L995" t="s">
        <v>124</v>
      </c>
      <c r="M995" t="s">
        <v>1645</v>
      </c>
      <c r="N995" t="b">
        <v>0</v>
      </c>
    </row>
    <row r="996" spans="1:14">
      <c r="A996">
        <v>62</v>
      </c>
      <c r="B996">
        <v>5</v>
      </c>
      <c r="C996" t="s">
        <v>196</v>
      </c>
      <c r="D996" t="s">
        <v>722</v>
      </c>
      <c r="E996" t="s">
        <v>111</v>
      </c>
      <c r="F996">
        <v>50</v>
      </c>
      <c r="G996" t="s">
        <v>124</v>
      </c>
      <c r="H996" t="s">
        <v>124</v>
      </c>
      <c r="I996" t="s">
        <v>111</v>
      </c>
      <c r="J996" t="s">
        <v>124</v>
      </c>
      <c r="K996" t="s">
        <v>124</v>
      </c>
      <c r="L996" t="s">
        <v>124</v>
      </c>
      <c r="M996" t="s">
        <v>1646</v>
      </c>
      <c r="N996" t="b">
        <v>0</v>
      </c>
    </row>
    <row r="997" spans="1:14">
      <c r="A997">
        <v>62</v>
      </c>
      <c r="B997">
        <v>6</v>
      </c>
      <c r="C997" t="s">
        <v>218</v>
      </c>
      <c r="D997" t="s">
        <v>722</v>
      </c>
      <c r="E997" t="s">
        <v>66</v>
      </c>
      <c r="F997">
        <v>50</v>
      </c>
      <c r="G997" t="s">
        <v>124</v>
      </c>
      <c r="H997" t="s">
        <v>124</v>
      </c>
      <c r="I997" t="s">
        <v>66</v>
      </c>
      <c r="J997" t="s">
        <v>124</v>
      </c>
      <c r="K997" t="s">
        <v>124</v>
      </c>
      <c r="L997" t="s">
        <v>124</v>
      </c>
      <c r="M997" t="s">
        <v>1647</v>
      </c>
      <c r="N997" t="b">
        <v>0</v>
      </c>
    </row>
    <row r="998" spans="1:14">
      <c r="A998">
        <v>62</v>
      </c>
      <c r="B998">
        <v>7</v>
      </c>
      <c r="C998" t="s">
        <v>219</v>
      </c>
      <c r="D998" t="s">
        <v>722</v>
      </c>
      <c r="E998" t="s">
        <v>329</v>
      </c>
      <c r="F998">
        <v>60</v>
      </c>
      <c r="G998" t="s">
        <v>124</v>
      </c>
      <c r="H998" t="s">
        <v>546</v>
      </c>
      <c r="I998" t="s">
        <v>443</v>
      </c>
      <c r="J998" t="s">
        <v>124</v>
      </c>
      <c r="K998" t="s">
        <v>919</v>
      </c>
      <c r="L998" t="s">
        <v>920</v>
      </c>
      <c r="M998" t="s">
        <v>1648</v>
      </c>
      <c r="N998" t="b">
        <v>0</v>
      </c>
    </row>
    <row r="999" spans="1:14">
      <c r="A999">
        <v>62</v>
      </c>
      <c r="B999">
        <v>8</v>
      </c>
      <c r="C999" t="s">
        <v>353</v>
      </c>
      <c r="D999" t="s">
        <v>722</v>
      </c>
      <c r="E999" t="s">
        <v>72</v>
      </c>
      <c r="F999">
        <v>60</v>
      </c>
      <c r="G999" t="s">
        <v>124</v>
      </c>
      <c r="H999" t="s">
        <v>124</v>
      </c>
      <c r="I999" t="s">
        <v>72</v>
      </c>
      <c r="J999" t="s">
        <v>124</v>
      </c>
      <c r="K999" t="s">
        <v>124</v>
      </c>
      <c r="L999" t="s">
        <v>124</v>
      </c>
      <c r="M999" t="s">
        <v>1649</v>
      </c>
      <c r="N999" t="b">
        <v>0</v>
      </c>
    </row>
    <row r="1000" spans="1:14">
      <c r="A1000">
        <v>62</v>
      </c>
      <c r="B1000">
        <v>9</v>
      </c>
      <c r="C1000" t="s">
        <v>389</v>
      </c>
      <c r="D1000" t="s">
        <v>722</v>
      </c>
      <c r="E1000" t="s">
        <v>100</v>
      </c>
      <c r="F1000">
        <v>60</v>
      </c>
      <c r="G1000" t="s">
        <v>124</v>
      </c>
      <c r="H1000" t="s">
        <v>124</v>
      </c>
      <c r="I1000" t="s">
        <v>100</v>
      </c>
      <c r="J1000" t="s">
        <v>124</v>
      </c>
      <c r="K1000" t="s">
        <v>124</v>
      </c>
      <c r="L1000" t="s">
        <v>124</v>
      </c>
      <c r="M1000" t="s">
        <v>1650</v>
      </c>
      <c r="N1000" t="b">
        <v>0</v>
      </c>
    </row>
    <row r="1001" spans="1:14">
      <c r="A1001">
        <v>62</v>
      </c>
      <c r="B1001">
        <v>10</v>
      </c>
      <c r="C1001" t="s">
        <v>387</v>
      </c>
      <c r="D1001" t="s">
        <v>722</v>
      </c>
      <c r="E1001" t="s">
        <v>104</v>
      </c>
      <c r="F1001">
        <v>60</v>
      </c>
      <c r="G1001" t="s">
        <v>124</v>
      </c>
      <c r="H1001" t="s">
        <v>124</v>
      </c>
      <c r="I1001" t="s">
        <v>104</v>
      </c>
      <c r="J1001" t="s">
        <v>124</v>
      </c>
      <c r="K1001" t="s">
        <v>124</v>
      </c>
      <c r="L1001" t="s">
        <v>124</v>
      </c>
      <c r="M1001" t="s">
        <v>1651</v>
      </c>
      <c r="N1001" t="b">
        <v>0</v>
      </c>
    </row>
    <row r="1002" spans="1:14">
      <c r="A1002">
        <v>62</v>
      </c>
      <c r="B1002">
        <v>11</v>
      </c>
      <c r="C1002" t="s">
        <v>221</v>
      </c>
      <c r="D1002" t="s">
        <v>722</v>
      </c>
      <c r="E1002" t="s">
        <v>105</v>
      </c>
      <c r="F1002">
        <v>50</v>
      </c>
      <c r="G1002" t="s">
        <v>124</v>
      </c>
      <c r="H1002" t="s">
        <v>124</v>
      </c>
      <c r="I1002" t="s">
        <v>105</v>
      </c>
      <c r="J1002" t="s">
        <v>124</v>
      </c>
      <c r="K1002" t="s">
        <v>124</v>
      </c>
      <c r="L1002" t="s">
        <v>124</v>
      </c>
      <c r="M1002" t="s">
        <v>1652</v>
      </c>
      <c r="N1002" t="b">
        <v>0</v>
      </c>
    </row>
    <row r="1003" spans="1:14">
      <c r="A1003">
        <v>62</v>
      </c>
      <c r="B1003">
        <v>12</v>
      </c>
      <c r="C1003" t="s">
        <v>193</v>
      </c>
      <c r="D1003" t="s">
        <v>722</v>
      </c>
      <c r="E1003" t="s">
        <v>106</v>
      </c>
      <c r="F1003">
        <v>60</v>
      </c>
      <c r="G1003" t="s">
        <v>124</v>
      </c>
      <c r="H1003" t="s">
        <v>124</v>
      </c>
      <c r="I1003" t="s">
        <v>106</v>
      </c>
      <c r="J1003" t="s">
        <v>124</v>
      </c>
      <c r="K1003" t="s">
        <v>124</v>
      </c>
      <c r="L1003" t="s">
        <v>124</v>
      </c>
      <c r="M1003" t="s">
        <v>755</v>
      </c>
      <c r="N1003" t="b">
        <v>0</v>
      </c>
    </row>
    <row r="1004" spans="1:14">
      <c r="A1004">
        <v>62</v>
      </c>
      <c r="B1004">
        <v>13</v>
      </c>
      <c r="C1004" t="s">
        <v>124</v>
      </c>
      <c r="D1004" t="s">
        <v>722</v>
      </c>
      <c r="E1004" t="s">
        <v>124</v>
      </c>
      <c r="F1004">
        <v>0</v>
      </c>
      <c r="G1004" t="s">
        <v>124</v>
      </c>
      <c r="H1004" t="s">
        <v>124</v>
      </c>
      <c r="I1004" t="s">
        <v>124</v>
      </c>
      <c r="J1004" t="s">
        <v>124</v>
      </c>
      <c r="K1004" t="s">
        <v>124</v>
      </c>
      <c r="L1004" t="s">
        <v>124</v>
      </c>
      <c r="M1004" t="s">
        <v>1653</v>
      </c>
      <c r="N1004" t="b">
        <v>0</v>
      </c>
    </row>
    <row r="1005" spans="1:14">
      <c r="A1005">
        <v>62</v>
      </c>
      <c r="B1005">
        <v>14</v>
      </c>
      <c r="C1005" t="s">
        <v>124</v>
      </c>
      <c r="D1005" t="s">
        <v>722</v>
      </c>
      <c r="E1005" t="s">
        <v>124</v>
      </c>
      <c r="F1005">
        <v>0</v>
      </c>
      <c r="G1005" t="s">
        <v>124</v>
      </c>
      <c r="H1005" t="s">
        <v>124</v>
      </c>
      <c r="I1005" t="s">
        <v>124</v>
      </c>
      <c r="J1005" t="s">
        <v>124</v>
      </c>
      <c r="K1005" t="s">
        <v>124</v>
      </c>
      <c r="L1005" t="s">
        <v>124</v>
      </c>
      <c r="M1005" t="s">
        <v>1654</v>
      </c>
      <c r="N1005" t="b">
        <v>0</v>
      </c>
    </row>
    <row r="1006" spans="1:14">
      <c r="A1006">
        <v>62</v>
      </c>
      <c r="B1006">
        <v>15</v>
      </c>
      <c r="C1006" t="s">
        <v>124</v>
      </c>
      <c r="D1006" t="s">
        <v>722</v>
      </c>
      <c r="E1006" t="s">
        <v>124</v>
      </c>
      <c r="F1006">
        <v>0</v>
      </c>
      <c r="G1006" t="s">
        <v>124</v>
      </c>
      <c r="H1006" t="s">
        <v>124</v>
      </c>
      <c r="I1006" t="s">
        <v>124</v>
      </c>
      <c r="J1006" t="s">
        <v>124</v>
      </c>
      <c r="K1006" t="s">
        <v>124</v>
      </c>
      <c r="L1006" t="s">
        <v>124</v>
      </c>
      <c r="M1006" t="s">
        <v>1655</v>
      </c>
      <c r="N1006" t="b">
        <v>0</v>
      </c>
    </row>
    <row r="1007" spans="1:14">
      <c r="A1007">
        <v>62</v>
      </c>
      <c r="B1007">
        <v>16</v>
      </c>
      <c r="C1007" t="s">
        <v>124</v>
      </c>
      <c r="D1007" t="s">
        <v>739</v>
      </c>
      <c r="E1007" t="s">
        <v>124</v>
      </c>
      <c r="F1007">
        <v>0</v>
      </c>
      <c r="G1007" t="s">
        <v>124</v>
      </c>
      <c r="H1007" t="s">
        <v>124</v>
      </c>
      <c r="I1007" t="s">
        <v>124</v>
      </c>
      <c r="J1007" t="s">
        <v>124</v>
      </c>
      <c r="K1007" t="s">
        <v>124</v>
      </c>
      <c r="L1007" t="s">
        <v>124</v>
      </c>
      <c r="M1007" t="s">
        <v>1656</v>
      </c>
      <c r="N1007" t="b">
        <v>0</v>
      </c>
    </row>
    <row r="1008" spans="1:14">
      <c r="A1008">
        <v>62</v>
      </c>
      <c r="B1008">
        <v>17</v>
      </c>
      <c r="C1008" t="s">
        <v>124</v>
      </c>
      <c r="D1008" t="s">
        <v>739</v>
      </c>
      <c r="E1008" t="s">
        <v>124</v>
      </c>
      <c r="F1008">
        <v>0</v>
      </c>
      <c r="G1008" t="s">
        <v>124</v>
      </c>
      <c r="H1008" t="s">
        <v>124</v>
      </c>
      <c r="I1008" t="s">
        <v>124</v>
      </c>
      <c r="J1008" t="s">
        <v>124</v>
      </c>
      <c r="K1008" t="s">
        <v>124</v>
      </c>
      <c r="L1008" t="s">
        <v>124</v>
      </c>
      <c r="M1008" t="s">
        <v>1657</v>
      </c>
      <c r="N1008" t="b">
        <v>0</v>
      </c>
    </row>
    <row r="1009" spans="1:14">
      <c r="A1009">
        <v>62</v>
      </c>
      <c r="B1009">
        <v>18</v>
      </c>
      <c r="C1009" t="s">
        <v>124</v>
      </c>
      <c r="D1009" t="s">
        <v>739</v>
      </c>
      <c r="E1009" t="s">
        <v>124</v>
      </c>
      <c r="F1009">
        <v>0</v>
      </c>
      <c r="G1009" t="s">
        <v>124</v>
      </c>
      <c r="H1009" t="s">
        <v>124</v>
      </c>
      <c r="I1009" t="s">
        <v>124</v>
      </c>
      <c r="J1009" t="s">
        <v>124</v>
      </c>
      <c r="K1009" t="s">
        <v>124</v>
      </c>
      <c r="L1009" t="s">
        <v>124</v>
      </c>
      <c r="M1009" t="s">
        <v>1658</v>
      </c>
      <c r="N1009" t="b">
        <v>0</v>
      </c>
    </row>
    <row r="1010" spans="1:14">
      <c r="A1010">
        <v>62</v>
      </c>
      <c r="B1010">
        <v>19</v>
      </c>
      <c r="C1010" t="s">
        <v>124</v>
      </c>
      <c r="D1010" t="s">
        <v>739</v>
      </c>
      <c r="E1010" t="s">
        <v>124</v>
      </c>
      <c r="F1010">
        <v>0</v>
      </c>
      <c r="G1010" t="s">
        <v>124</v>
      </c>
      <c r="H1010" t="s">
        <v>124</v>
      </c>
      <c r="I1010" t="s">
        <v>124</v>
      </c>
      <c r="J1010" t="s">
        <v>124</v>
      </c>
      <c r="K1010" t="s">
        <v>124</v>
      </c>
      <c r="L1010" t="s">
        <v>124</v>
      </c>
      <c r="M1010" t="s">
        <v>1659</v>
      </c>
      <c r="N1010" t="b">
        <v>0</v>
      </c>
    </row>
    <row r="1011" spans="1:14">
      <c r="A1011">
        <v>62</v>
      </c>
      <c r="B1011">
        <v>20</v>
      </c>
      <c r="C1011" t="s">
        <v>124</v>
      </c>
      <c r="D1011" t="s">
        <v>739</v>
      </c>
      <c r="E1011" t="s">
        <v>124</v>
      </c>
      <c r="F1011">
        <v>0</v>
      </c>
      <c r="G1011" t="s">
        <v>124</v>
      </c>
      <c r="H1011" t="s">
        <v>124</v>
      </c>
      <c r="I1011" t="s">
        <v>124</v>
      </c>
      <c r="J1011" t="s">
        <v>124</v>
      </c>
      <c r="K1011" t="s">
        <v>124</v>
      </c>
      <c r="L1011" t="s">
        <v>124</v>
      </c>
      <c r="M1011" t="s">
        <v>1660</v>
      </c>
      <c r="N1011" t="b">
        <v>0</v>
      </c>
    </row>
    <row r="1012" spans="1:14">
      <c r="A1012">
        <v>62</v>
      </c>
      <c r="B1012">
        <v>21</v>
      </c>
      <c r="C1012" t="s">
        <v>124</v>
      </c>
      <c r="D1012" t="s">
        <v>739</v>
      </c>
      <c r="E1012" t="s">
        <v>124</v>
      </c>
      <c r="F1012">
        <v>0</v>
      </c>
      <c r="G1012" t="s">
        <v>124</v>
      </c>
      <c r="H1012" t="s">
        <v>124</v>
      </c>
      <c r="I1012" t="s">
        <v>124</v>
      </c>
      <c r="J1012" t="s">
        <v>124</v>
      </c>
      <c r="K1012" t="s">
        <v>124</v>
      </c>
      <c r="L1012" t="s">
        <v>124</v>
      </c>
      <c r="M1012" t="s">
        <v>1661</v>
      </c>
      <c r="N1012" t="b">
        <v>0</v>
      </c>
    </row>
    <row r="1013" spans="1:14">
      <c r="A1013">
        <v>62</v>
      </c>
      <c r="B1013">
        <v>22</v>
      </c>
      <c r="C1013" t="s">
        <v>124</v>
      </c>
      <c r="D1013" t="s">
        <v>739</v>
      </c>
      <c r="E1013" t="s">
        <v>124</v>
      </c>
      <c r="F1013">
        <v>0</v>
      </c>
      <c r="G1013" t="s">
        <v>124</v>
      </c>
      <c r="H1013" t="s">
        <v>124</v>
      </c>
      <c r="I1013" t="s">
        <v>124</v>
      </c>
      <c r="J1013" t="s">
        <v>124</v>
      </c>
      <c r="K1013" t="s">
        <v>124</v>
      </c>
      <c r="L1013" t="s">
        <v>124</v>
      </c>
      <c r="M1013" t="s">
        <v>1662</v>
      </c>
      <c r="N1013" t="b">
        <v>0</v>
      </c>
    </row>
    <row r="1014" spans="1:14">
      <c r="A1014">
        <v>62</v>
      </c>
      <c r="B1014">
        <v>23</v>
      </c>
      <c r="C1014" t="s">
        <v>124</v>
      </c>
      <c r="D1014" t="s">
        <v>739</v>
      </c>
      <c r="E1014" t="s">
        <v>124</v>
      </c>
      <c r="F1014">
        <v>0</v>
      </c>
      <c r="G1014" t="s">
        <v>124</v>
      </c>
      <c r="H1014" t="s">
        <v>124</v>
      </c>
      <c r="I1014" t="s">
        <v>124</v>
      </c>
      <c r="J1014" t="s">
        <v>124</v>
      </c>
      <c r="K1014" t="s">
        <v>124</v>
      </c>
      <c r="L1014" t="s">
        <v>124</v>
      </c>
      <c r="M1014" t="s">
        <v>1663</v>
      </c>
      <c r="N1014" t="b">
        <v>0</v>
      </c>
    </row>
    <row r="1015" spans="1:14">
      <c r="A1015">
        <v>62</v>
      </c>
      <c r="B1015">
        <v>24</v>
      </c>
      <c r="C1015" t="s">
        <v>124</v>
      </c>
      <c r="D1015" t="s">
        <v>739</v>
      </c>
      <c r="E1015" t="s">
        <v>124</v>
      </c>
      <c r="F1015">
        <v>0</v>
      </c>
      <c r="G1015" t="s">
        <v>124</v>
      </c>
      <c r="H1015" t="s">
        <v>124</v>
      </c>
      <c r="I1015" t="s">
        <v>124</v>
      </c>
      <c r="J1015" t="s">
        <v>124</v>
      </c>
      <c r="K1015" t="s">
        <v>124</v>
      </c>
      <c r="L1015" t="s">
        <v>124</v>
      </c>
      <c r="M1015" t="s">
        <v>1664</v>
      </c>
      <c r="N1015" t="b">
        <v>0</v>
      </c>
    </row>
    <row r="1016" spans="1:14">
      <c r="A1016">
        <v>62</v>
      </c>
      <c r="B1016">
        <v>25</v>
      </c>
      <c r="C1016" t="s">
        <v>124</v>
      </c>
      <c r="D1016" t="s">
        <v>739</v>
      </c>
      <c r="E1016" t="s">
        <v>124</v>
      </c>
      <c r="F1016">
        <v>0</v>
      </c>
      <c r="G1016" t="s">
        <v>124</v>
      </c>
      <c r="H1016" t="s">
        <v>124</v>
      </c>
      <c r="I1016" t="s">
        <v>124</v>
      </c>
      <c r="J1016" t="s">
        <v>124</v>
      </c>
      <c r="K1016" t="s">
        <v>124</v>
      </c>
      <c r="L1016" t="s">
        <v>124</v>
      </c>
      <c r="M1016" t="s">
        <v>1665</v>
      </c>
      <c r="N1016" t="b">
        <v>0</v>
      </c>
    </row>
    <row r="1017" spans="1:14">
      <c r="A1017">
        <v>62</v>
      </c>
      <c r="B1017">
        <v>26</v>
      </c>
      <c r="C1017" t="s">
        <v>124</v>
      </c>
      <c r="D1017" t="s">
        <v>739</v>
      </c>
      <c r="E1017" t="s">
        <v>124</v>
      </c>
      <c r="F1017">
        <v>0</v>
      </c>
      <c r="G1017" t="s">
        <v>124</v>
      </c>
      <c r="H1017" t="s">
        <v>124</v>
      </c>
      <c r="I1017" t="s">
        <v>124</v>
      </c>
      <c r="J1017" t="s">
        <v>124</v>
      </c>
      <c r="K1017" t="s">
        <v>124</v>
      </c>
      <c r="L1017" t="s">
        <v>124</v>
      </c>
      <c r="M1017" t="s">
        <v>1666</v>
      </c>
      <c r="N1017" t="b">
        <v>0</v>
      </c>
    </row>
    <row r="1018" spans="1:14">
      <c r="A1018">
        <v>63</v>
      </c>
      <c r="B1018">
        <v>0</v>
      </c>
      <c r="C1018" t="s">
        <v>391</v>
      </c>
      <c r="D1018" t="s">
        <v>751</v>
      </c>
      <c r="E1018" t="s">
        <v>541</v>
      </c>
      <c r="F1018">
        <v>50</v>
      </c>
      <c r="G1018" t="s">
        <v>1667</v>
      </c>
      <c r="H1018" t="s">
        <v>124</v>
      </c>
      <c r="I1018" t="s">
        <v>124</v>
      </c>
      <c r="J1018" t="s">
        <v>1668</v>
      </c>
      <c r="K1018" t="s">
        <v>1101</v>
      </c>
      <c r="L1018" t="s">
        <v>1054</v>
      </c>
      <c r="M1018" t="s">
        <v>1669</v>
      </c>
      <c r="N1018" t="b">
        <v>0</v>
      </c>
    </row>
    <row r="1019" spans="1:14">
      <c r="A1019">
        <v>63</v>
      </c>
      <c r="B1019">
        <v>1</v>
      </c>
      <c r="C1019" t="s">
        <v>215</v>
      </c>
      <c r="D1019" t="s">
        <v>722</v>
      </c>
      <c r="E1019" t="s">
        <v>75</v>
      </c>
      <c r="F1019">
        <v>60</v>
      </c>
      <c r="G1019" t="s">
        <v>124</v>
      </c>
      <c r="H1019" t="s">
        <v>124</v>
      </c>
      <c r="I1019" t="s">
        <v>75</v>
      </c>
      <c r="J1019" t="s">
        <v>124</v>
      </c>
      <c r="K1019" t="s">
        <v>124</v>
      </c>
      <c r="L1019" t="s">
        <v>124</v>
      </c>
      <c r="M1019" t="s">
        <v>1670</v>
      </c>
      <c r="N1019" t="b">
        <v>0</v>
      </c>
    </row>
    <row r="1020" spans="1:14">
      <c r="A1020">
        <v>63</v>
      </c>
      <c r="B1020">
        <v>2</v>
      </c>
      <c r="C1020" t="s">
        <v>177</v>
      </c>
      <c r="D1020" t="s">
        <v>722</v>
      </c>
      <c r="E1020" t="s">
        <v>81</v>
      </c>
      <c r="F1020">
        <v>50</v>
      </c>
      <c r="G1020" t="s">
        <v>124</v>
      </c>
      <c r="H1020" t="s">
        <v>124</v>
      </c>
      <c r="I1020" t="s">
        <v>81</v>
      </c>
      <c r="J1020" t="s">
        <v>124</v>
      </c>
      <c r="K1020" t="s">
        <v>124</v>
      </c>
      <c r="L1020" t="s">
        <v>124</v>
      </c>
      <c r="M1020" t="s">
        <v>1671</v>
      </c>
      <c r="N1020" t="b">
        <v>0</v>
      </c>
    </row>
    <row r="1021" spans="1:14">
      <c r="A1021">
        <v>63</v>
      </c>
      <c r="B1021">
        <v>3</v>
      </c>
      <c r="C1021" t="s">
        <v>392</v>
      </c>
      <c r="D1021" t="s">
        <v>722</v>
      </c>
      <c r="E1021" t="s">
        <v>85</v>
      </c>
      <c r="F1021">
        <v>30</v>
      </c>
      <c r="G1021" t="s">
        <v>124</v>
      </c>
      <c r="H1021" t="s">
        <v>124</v>
      </c>
      <c r="I1021" t="s">
        <v>85</v>
      </c>
      <c r="J1021" t="s">
        <v>124</v>
      </c>
      <c r="K1021" t="s">
        <v>124</v>
      </c>
      <c r="L1021" t="s">
        <v>124</v>
      </c>
      <c r="M1021" t="s">
        <v>1672</v>
      </c>
      <c r="N1021" t="b">
        <v>0</v>
      </c>
    </row>
    <row r="1022" spans="1:14">
      <c r="A1022">
        <v>63</v>
      </c>
      <c r="B1022">
        <v>4</v>
      </c>
      <c r="C1022" t="s">
        <v>393</v>
      </c>
      <c r="D1022" t="s">
        <v>722</v>
      </c>
      <c r="E1022" t="s">
        <v>542</v>
      </c>
      <c r="F1022">
        <v>30</v>
      </c>
      <c r="G1022" t="s">
        <v>124</v>
      </c>
      <c r="H1022" t="s">
        <v>1673</v>
      </c>
      <c r="I1022" t="s">
        <v>368</v>
      </c>
      <c r="J1022" t="s">
        <v>124</v>
      </c>
      <c r="K1022" t="s">
        <v>790</v>
      </c>
      <c r="L1022" t="s">
        <v>791</v>
      </c>
      <c r="M1022" t="s">
        <v>1674</v>
      </c>
      <c r="N1022" t="b">
        <v>0</v>
      </c>
    </row>
    <row r="1023" spans="1:14">
      <c r="A1023">
        <v>63</v>
      </c>
      <c r="B1023">
        <v>5</v>
      </c>
      <c r="C1023" t="s">
        <v>227</v>
      </c>
      <c r="D1023" t="s">
        <v>722</v>
      </c>
      <c r="E1023" t="s">
        <v>99</v>
      </c>
      <c r="F1023">
        <v>40</v>
      </c>
      <c r="G1023" t="s">
        <v>124</v>
      </c>
      <c r="H1023" t="s">
        <v>124</v>
      </c>
      <c r="I1023" t="s">
        <v>99</v>
      </c>
      <c r="J1023" t="s">
        <v>124</v>
      </c>
      <c r="K1023" t="s">
        <v>124</v>
      </c>
      <c r="L1023" t="s">
        <v>124</v>
      </c>
      <c r="M1023" t="s">
        <v>1675</v>
      </c>
      <c r="N1023" t="b">
        <v>0</v>
      </c>
    </row>
    <row r="1024" spans="1:14">
      <c r="A1024">
        <v>63</v>
      </c>
      <c r="B1024">
        <v>6</v>
      </c>
      <c r="C1024" t="s">
        <v>244</v>
      </c>
      <c r="D1024" t="s">
        <v>722</v>
      </c>
      <c r="E1024" t="s">
        <v>112</v>
      </c>
      <c r="F1024">
        <v>40</v>
      </c>
      <c r="G1024" t="s">
        <v>124</v>
      </c>
      <c r="H1024" t="s">
        <v>124</v>
      </c>
      <c r="I1024" t="s">
        <v>112</v>
      </c>
      <c r="J1024" t="s">
        <v>124</v>
      </c>
      <c r="K1024" t="s">
        <v>124</v>
      </c>
      <c r="L1024" t="s">
        <v>124</v>
      </c>
      <c r="M1024" t="s">
        <v>1676</v>
      </c>
      <c r="N1024" t="b">
        <v>0</v>
      </c>
    </row>
    <row r="1025" spans="1:14">
      <c r="A1025">
        <v>63</v>
      </c>
      <c r="B1025">
        <v>7</v>
      </c>
      <c r="C1025" t="s">
        <v>164</v>
      </c>
      <c r="D1025" t="s">
        <v>722</v>
      </c>
      <c r="E1025" t="s">
        <v>113</v>
      </c>
      <c r="F1025">
        <v>50</v>
      </c>
      <c r="G1025" t="s">
        <v>124</v>
      </c>
      <c r="H1025" t="s">
        <v>124</v>
      </c>
      <c r="I1025" t="s">
        <v>113</v>
      </c>
      <c r="J1025" t="s">
        <v>124</v>
      </c>
      <c r="K1025" t="s">
        <v>124</v>
      </c>
      <c r="L1025" t="s">
        <v>124</v>
      </c>
      <c r="M1025" t="s">
        <v>1677</v>
      </c>
      <c r="N1025" t="b">
        <v>0</v>
      </c>
    </row>
    <row r="1026" spans="1:14">
      <c r="A1026">
        <v>63</v>
      </c>
      <c r="B1026">
        <v>8</v>
      </c>
      <c r="C1026" t="s">
        <v>229</v>
      </c>
      <c r="D1026" t="s">
        <v>722</v>
      </c>
      <c r="E1026" t="s">
        <v>66</v>
      </c>
      <c r="F1026">
        <v>40</v>
      </c>
      <c r="G1026" t="s">
        <v>124</v>
      </c>
      <c r="H1026" t="s">
        <v>124</v>
      </c>
      <c r="I1026" t="s">
        <v>66</v>
      </c>
      <c r="J1026" t="s">
        <v>124</v>
      </c>
      <c r="K1026" t="s">
        <v>124</v>
      </c>
      <c r="L1026" t="s">
        <v>124</v>
      </c>
      <c r="M1026" t="s">
        <v>1678</v>
      </c>
      <c r="N1026" t="b">
        <v>0</v>
      </c>
    </row>
    <row r="1027" spans="1:14">
      <c r="A1027">
        <v>63</v>
      </c>
      <c r="B1027">
        <v>9</v>
      </c>
      <c r="C1027" t="s">
        <v>191</v>
      </c>
      <c r="D1027" t="s">
        <v>722</v>
      </c>
      <c r="E1027" t="s">
        <v>76</v>
      </c>
      <c r="F1027">
        <v>50</v>
      </c>
      <c r="G1027" t="s">
        <v>124</v>
      </c>
      <c r="H1027" t="s">
        <v>124</v>
      </c>
      <c r="I1027" t="s">
        <v>76</v>
      </c>
      <c r="J1027" t="s">
        <v>124</v>
      </c>
      <c r="K1027" t="s">
        <v>124</v>
      </c>
      <c r="L1027" t="s">
        <v>124</v>
      </c>
      <c r="M1027" t="s">
        <v>1679</v>
      </c>
      <c r="N1027" t="b">
        <v>0</v>
      </c>
    </row>
    <row r="1028" spans="1:14">
      <c r="A1028">
        <v>63</v>
      </c>
      <c r="B1028">
        <v>10</v>
      </c>
      <c r="C1028" t="s">
        <v>394</v>
      </c>
      <c r="D1028" t="s">
        <v>722</v>
      </c>
      <c r="E1028" t="s">
        <v>104</v>
      </c>
      <c r="F1028">
        <v>40</v>
      </c>
      <c r="G1028" t="s">
        <v>124</v>
      </c>
      <c r="H1028" t="s">
        <v>124</v>
      </c>
      <c r="I1028" t="s">
        <v>104</v>
      </c>
      <c r="J1028" t="s">
        <v>124</v>
      </c>
      <c r="K1028" t="s">
        <v>124</v>
      </c>
      <c r="L1028" t="s">
        <v>124</v>
      </c>
      <c r="M1028" t="s">
        <v>1680</v>
      </c>
      <c r="N1028" t="b">
        <v>0</v>
      </c>
    </row>
    <row r="1029" spans="1:14">
      <c r="A1029">
        <v>63</v>
      </c>
      <c r="B1029">
        <v>11</v>
      </c>
      <c r="C1029" t="s">
        <v>230</v>
      </c>
      <c r="D1029" t="s">
        <v>722</v>
      </c>
      <c r="E1029" t="s">
        <v>106</v>
      </c>
      <c r="F1029">
        <v>50</v>
      </c>
      <c r="G1029" t="s">
        <v>124</v>
      </c>
      <c r="H1029" t="s">
        <v>124</v>
      </c>
      <c r="I1029" t="s">
        <v>106</v>
      </c>
      <c r="J1029" t="s">
        <v>124</v>
      </c>
      <c r="K1029" t="s">
        <v>124</v>
      </c>
      <c r="L1029" t="s">
        <v>124</v>
      </c>
      <c r="M1029" t="s">
        <v>1681</v>
      </c>
      <c r="N1029" t="b">
        <v>0</v>
      </c>
    </row>
    <row r="1030" spans="1:14">
      <c r="A1030">
        <v>63</v>
      </c>
      <c r="B1030">
        <v>12</v>
      </c>
      <c r="C1030" t="s">
        <v>124</v>
      </c>
      <c r="D1030" t="s">
        <v>722</v>
      </c>
      <c r="E1030" t="s">
        <v>124</v>
      </c>
      <c r="F1030">
        <v>0</v>
      </c>
      <c r="G1030" t="s">
        <v>124</v>
      </c>
      <c r="H1030" t="s">
        <v>124</v>
      </c>
      <c r="I1030" t="s">
        <v>124</v>
      </c>
      <c r="J1030" t="s">
        <v>124</v>
      </c>
      <c r="K1030" t="s">
        <v>124</v>
      </c>
      <c r="L1030" t="s">
        <v>124</v>
      </c>
      <c r="M1030" t="s">
        <v>1682</v>
      </c>
      <c r="N1030" t="b">
        <v>0</v>
      </c>
    </row>
    <row r="1031" spans="1:14">
      <c r="A1031">
        <v>63</v>
      </c>
      <c r="B1031">
        <v>13</v>
      </c>
      <c r="C1031" t="s">
        <v>124</v>
      </c>
      <c r="D1031" t="s">
        <v>722</v>
      </c>
      <c r="E1031" t="s">
        <v>124</v>
      </c>
      <c r="F1031">
        <v>0</v>
      </c>
      <c r="G1031" t="s">
        <v>124</v>
      </c>
      <c r="H1031" t="s">
        <v>124</v>
      </c>
      <c r="I1031" t="s">
        <v>124</v>
      </c>
      <c r="J1031" t="s">
        <v>124</v>
      </c>
      <c r="K1031" t="s">
        <v>124</v>
      </c>
      <c r="L1031" t="s">
        <v>124</v>
      </c>
      <c r="M1031" t="s">
        <v>1683</v>
      </c>
      <c r="N1031" t="b">
        <v>0</v>
      </c>
    </row>
    <row r="1032" spans="1:14">
      <c r="A1032">
        <v>63</v>
      </c>
      <c r="B1032">
        <v>14</v>
      </c>
      <c r="C1032" t="s">
        <v>124</v>
      </c>
      <c r="D1032" t="s">
        <v>722</v>
      </c>
      <c r="E1032" t="s">
        <v>124</v>
      </c>
      <c r="F1032">
        <v>0</v>
      </c>
      <c r="G1032" t="s">
        <v>124</v>
      </c>
      <c r="H1032" t="s">
        <v>124</v>
      </c>
      <c r="I1032" t="s">
        <v>124</v>
      </c>
      <c r="J1032" t="s">
        <v>124</v>
      </c>
      <c r="K1032" t="s">
        <v>124</v>
      </c>
      <c r="L1032" t="s">
        <v>124</v>
      </c>
      <c r="M1032" t="s">
        <v>1684</v>
      </c>
      <c r="N1032" t="b">
        <v>0</v>
      </c>
    </row>
    <row r="1033" spans="1:14">
      <c r="A1033">
        <v>63</v>
      </c>
      <c r="B1033">
        <v>15</v>
      </c>
      <c r="C1033" t="s">
        <v>124</v>
      </c>
      <c r="D1033" t="s">
        <v>722</v>
      </c>
      <c r="E1033" t="s">
        <v>124</v>
      </c>
      <c r="F1033">
        <v>0</v>
      </c>
      <c r="G1033" t="s">
        <v>124</v>
      </c>
      <c r="H1033" t="s">
        <v>124</v>
      </c>
      <c r="I1033" t="s">
        <v>124</v>
      </c>
      <c r="J1033" t="s">
        <v>124</v>
      </c>
      <c r="K1033" t="s">
        <v>124</v>
      </c>
      <c r="L1033" t="s">
        <v>124</v>
      </c>
      <c r="M1033" t="s">
        <v>1685</v>
      </c>
      <c r="N1033" t="b">
        <v>0</v>
      </c>
    </row>
    <row r="1034" spans="1:14">
      <c r="A1034">
        <v>63</v>
      </c>
      <c r="B1034">
        <v>16</v>
      </c>
      <c r="C1034" t="s">
        <v>395</v>
      </c>
      <c r="D1034" t="s">
        <v>739</v>
      </c>
      <c r="E1034" t="s">
        <v>541</v>
      </c>
      <c r="F1034">
        <v>50</v>
      </c>
      <c r="G1034" t="s">
        <v>758</v>
      </c>
      <c r="H1034" t="s">
        <v>124</v>
      </c>
      <c r="I1034" t="s">
        <v>124</v>
      </c>
      <c r="J1034" t="s">
        <v>1100</v>
      </c>
      <c r="K1034" t="s">
        <v>1119</v>
      </c>
      <c r="L1034" t="s">
        <v>1080</v>
      </c>
      <c r="M1034" t="s">
        <v>1686</v>
      </c>
      <c r="N1034" t="b">
        <v>0</v>
      </c>
    </row>
    <row r="1035" spans="1:14">
      <c r="A1035">
        <v>63</v>
      </c>
      <c r="B1035">
        <v>17</v>
      </c>
      <c r="C1035" t="s">
        <v>157</v>
      </c>
      <c r="D1035" t="s">
        <v>739</v>
      </c>
      <c r="E1035" t="s">
        <v>295</v>
      </c>
      <c r="F1035">
        <v>50</v>
      </c>
      <c r="G1035" t="s">
        <v>758</v>
      </c>
      <c r="H1035" t="s">
        <v>124</v>
      </c>
      <c r="I1035" t="s">
        <v>124</v>
      </c>
      <c r="J1035" t="s">
        <v>759</v>
      </c>
      <c r="K1035" t="s">
        <v>760</v>
      </c>
      <c r="L1035" t="s">
        <v>761</v>
      </c>
      <c r="M1035" t="s">
        <v>1687</v>
      </c>
      <c r="N1035" t="b">
        <v>0</v>
      </c>
    </row>
    <row r="1036" spans="1:14">
      <c r="A1036">
        <v>63</v>
      </c>
      <c r="B1036">
        <v>18</v>
      </c>
      <c r="C1036" t="s">
        <v>271</v>
      </c>
      <c r="D1036" t="s">
        <v>739</v>
      </c>
      <c r="E1036" t="s">
        <v>329</v>
      </c>
      <c r="F1036">
        <v>50</v>
      </c>
      <c r="G1036" t="s">
        <v>758</v>
      </c>
      <c r="H1036" t="s">
        <v>124</v>
      </c>
      <c r="I1036" t="s">
        <v>124</v>
      </c>
      <c r="J1036" t="s">
        <v>1126</v>
      </c>
      <c r="K1036" t="s">
        <v>919</v>
      </c>
      <c r="L1036" t="s">
        <v>920</v>
      </c>
      <c r="M1036" t="s">
        <v>1688</v>
      </c>
      <c r="N1036" t="b">
        <v>0</v>
      </c>
    </row>
    <row r="1037" spans="1:14">
      <c r="A1037">
        <v>63</v>
      </c>
      <c r="B1037">
        <v>19</v>
      </c>
      <c r="C1037" t="s">
        <v>124</v>
      </c>
      <c r="D1037" t="s">
        <v>739</v>
      </c>
      <c r="E1037" t="s">
        <v>124</v>
      </c>
      <c r="F1037">
        <v>0</v>
      </c>
      <c r="G1037" t="s">
        <v>124</v>
      </c>
      <c r="H1037" t="s">
        <v>124</v>
      </c>
      <c r="I1037" t="s">
        <v>124</v>
      </c>
      <c r="J1037" t="s">
        <v>124</v>
      </c>
      <c r="K1037" t="s">
        <v>124</v>
      </c>
      <c r="L1037" t="s">
        <v>124</v>
      </c>
      <c r="M1037" t="s">
        <v>1689</v>
      </c>
      <c r="N1037" t="b">
        <v>0</v>
      </c>
    </row>
    <row r="1038" spans="1:14">
      <c r="A1038">
        <v>63</v>
      </c>
      <c r="B1038">
        <v>20</v>
      </c>
      <c r="C1038" t="s">
        <v>124</v>
      </c>
      <c r="D1038" t="s">
        <v>739</v>
      </c>
      <c r="E1038" t="s">
        <v>124</v>
      </c>
      <c r="F1038">
        <v>0</v>
      </c>
      <c r="G1038" t="s">
        <v>124</v>
      </c>
      <c r="H1038" t="s">
        <v>124</v>
      </c>
      <c r="I1038" t="s">
        <v>124</v>
      </c>
      <c r="J1038" t="s">
        <v>124</v>
      </c>
      <c r="K1038" t="s">
        <v>124</v>
      </c>
      <c r="L1038" t="s">
        <v>124</v>
      </c>
      <c r="M1038" t="s">
        <v>1690</v>
      </c>
      <c r="N1038" t="b">
        <v>0</v>
      </c>
    </row>
    <row r="1039" spans="1:14">
      <c r="A1039">
        <v>63</v>
      </c>
      <c r="B1039">
        <v>21</v>
      </c>
      <c r="C1039" t="s">
        <v>124</v>
      </c>
      <c r="D1039" t="s">
        <v>739</v>
      </c>
      <c r="E1039" t="s">
        <v>124</v>
      </c>
      <c r="F1039">
        <v>0</v>
      </c>
      <c r="G1039" t="s">
        <v>124</v>
      </c>
      <c r="H1039" t="s">
        <v>124</v>
      </c>
      <c r="I1039" t="s">
        <v>124</v>
      </c>
      <c r="J1039" t="s">
        <v>124</v>
      </c>
      <c r="K1039" t="s">
        <v>124</v>
      </c>
      <c r="L1039" t="s">
        <v>124</v>
      </c>
      <c r="M1039" t="s">
        <v>1691</v>
      </c>
      <c r="N1039" t="b">
        <v>0</v>
      </c>
    </row>
    <row r="1040" spans="1:14">
      <c r="A1040">
        <v>63</v>
      </c>
      <c r="B1040">
        <v>22</v>
      </c>
      <c r="C1040" t="s">
        <v>124</v>
      </c>
      <c r="D1040" t="s">
        <v>739</v>
      </c>
      <c r="E1040" t="s">
        <v>124</v>
      </c>
      <c r="F1040">
        <v>0</v>
      </c>
      <c r="G1040" t="s">
        <v>124</v>
      </c>
      <c r="H1040" t="s">
        <v>124</v>
      </c>
      <c r="I1040" t="s">
        <v>124</v>
      </c>
      <c r="J1040" t="s">
        <v>124</v>
      </c>
      <c r="K1040" t="s">
        <v>124</v>
      </c>
      <c r="L1040" t="s">
        <v>124</v>
      </c>
      <c r="M1040" t="s">
        <v>1692</v>
      </c>
      <c r="N1040" t="b">
        <v>0</v>
      </c>
    </row>
    <row r="1041" spans="1:14">
      <c r="A1041">
        <v>63</v>
      </c>
      <c r="B1041">
        <v>23</v>
      </c>
      <c r="C1041" t="s">
        <v>124</v>
      </c>
      <c r="D1041" t="s">
        <v>739</v>
      </c>
      <c r="E1041" t="s">
        <v>124</v>
      </c>
      <c r="F1041">
        <v>0</v>
      </c>
      <c r="G1041" t="s">
        <v>124</v>
      </c>
      <c r="H1041" t="s">
        <v>124</v>
      </c>
      <c r="I1041" t="s">
        <v>124</v>
      </c>
      <c r="J1041" t="s">
        <v>124</v>
      </c>
      <c r="K1041" t="s">
        <v>124</v>
      </c>
      <c r="L1041" t="s">
        <v>124</v>
      </c>
      <c r="M1041" t="s">
        <v>1693</v>
      </c>
      <c r="N1041" t="b">
        <v>0</v>
      </c>
    </row>
    <row r="1042" spans="1:14">
      <c r="A1042">
        <v>63</v>
      </c>
      <c r="B1042">
        <v>24</v>
      </c>
      <c r="C1042" t="s">
        <v>124</v>
      </c>
      <c r="D1042" t="s">
        <v>739</v>
      </c>
      <c r="E1042" t="s">
        <v>124</v>
      </c>
      <c r="F1042">
        <v>0</v>
      </c>
      <c r="G1042" t="s">
        <v>124</v>
      </c>
      <c r="H1042" t="s">
        <v>124</v>
      </c>
      <c r="I1042" t="s">
        <v>124</v>
      </c>
      <c r="J1042" t="s">
        <v>124</v>
      </c>
      <c r="K1042" t="s">
        <v>124</v>
      </c>
      <c r="L1042" t="s">
        <v>124</v>
      </c>
      <c r="M1042" t="s">
        <v>1694</v>
      </c>
      <c r="N1042" t="b">
        <v>0</v>
      </c>
    </row>
    <row r="1043" spans="1:14">
      <c r="A1043">
        <v>63</v>
      </c>
      <c r="B1043">
        <v>25</v>
      </c>
      <c r="C1043" t="s">
        <v>124</v>
      </c>
      <c r="D1043" t="s">
        <v>739</v>
      </c>
      <c r="E1043" t="s">
        <v>124</v>
      </c>
      <c r="F1043">
        <v>0</v>
      </c>
      <c r="G1043" t="s">
        <v>124</v>
      </c>
      <c r="H1043" t="s">
        <v>124</v>
      </c>
      <c r="I1043" t="s">
        <v>124</v>
      </c>
      <c r="J1043" t="s">
        <v>124</v>
      </c>
      <c r="K1043" t="s">
        <v>124</v>
      </c>
      <c r="L1043" t="s">
        <v>124</v>
      </c>
      <c r="M1043" t="s">
        <v>1695</v>
      </c>
      <c r="N1043" t="b">
        <v>0</v>
      </c>
    </row>
    <row r="1044" spans="1:14">
      <c r="A1044">
        <v>63</v>
      </c>
      <c r="B1044">
        <v>26</v>
      </c>
      <c r="C1044" t="s">
        <v>124</v>
      </c>
      <c r="D1044" t="s">
        <v>739</v>
      </c>
      <c r="E1044" t="s">
        <v>124</v>
      </c>
      <c r="F1044">
        <v>0</v>
      </c>
      <c r="G1044" t="s">
        <v>124</v>
      </c>
      <c r="H1044" t="s">
        <v>124</v>
      </c>
      <c r="I1044" t="s">
        <v>124</v>
      </c>
      <c r="J1044" t="s">
        <v>124</v>
      </c>
      <c r="K1044" t="s">
        <v>124</v>
      </c>
      <c r="L1044" t="s">
        <v>124</v>
      </c>
      <c r="M1044" t="s">
        <v>1696</v>
      </c>
      <c r="N1044" t="b">
        <v>0</v>
      </c>
    </row>
    <row r="1045" spans="1:14">
      <c r="A1045">
        <v>64</v>
      </c>
      <c r="B1045">
        <v>0</v>
      </c>
      <c r="C1045" t="s">
        <v>214</v>
      </c>
      <c r="D1045" t="s">
        <v>722</v>
      </c>
      <c r="E1045" t="s">
        <v>63</v>
      </c>
      <c r="F1045">
        <v>60</v>
      </c>
      <c r="G1045" t="s">
        <v>124</v>
      </c>
      <c r="H1045" t="s">
        <v>124</v>
      </c>
      <c r="I1045" t="s">
        <v>63</v>
      </c>
      <c r="J1045" t="s">
        <v>124</v>
      </c>
      <c r="K1045" t="s">
        <v>124</v>
      </c>
      <c r="L1045" t="s">
        <v>124</v>
      </c>
      <c r="M1045" t="s">
        <v>1697</v>
      </c>
      <c r="N1045" t="b">
        <v>0</v>
      </c>
    </row>
    <row r="1046" spans="1:14">
      <c r="A1046">
        <v>64</v>
      </c>
      <c r="B1046">
        <v>1</v>
      </c>
      <c r="C1046" t="s">
        <v>215</v>
      </c>
      <c r="D1046" t="s">
        <v>722</v>
      </c>
      <c r="E1046" t="s">
        <v>75</v>
      </c>
      <c r="F1046">
        <v>60</v>
      </c>
      <c r="G1046" t="s">
        <v>124</v>
      </c>
      <c r="H1046" t="s">
        <v>124</v>
      </c>
      <c r="I1046" t="s">
        <v>75</v>
      </c>
      <c r="J1046" t="s">
        <v>124</v>
      </c>
      <c r="K1046" t="s">
        <v>124</v>
      </c>
      <c r="L1046" t="s">
        <v>124</v>
      </c>
      <c r="M1046" t="s">
        <v>1698</v>
      </c>
      <c r="N1046" t="b">
        <v>0</v>
      </c>
    </row>
    <row r="1047" spans="1:14">
      <c r="A1047">
        <v>64</v>
      </c>
      <c r="B1047">
        <v>2</v>
      </c>
      <c r="C1047" t="s">
        <v>266</v>
      </c>
      <c r="D1047" t="s">
        <v>722</v>
      </c>
      <c r="E1047" t="s">
        <v>81</v>
      </c>
      <c r="F1047">
        <v>30</v>
      </c>
      <c r="G1047" t="s">
        <v>124</v>
      </c>
      <c r="H1047" t="s">
        <v>124</v>
      </c>
      <c r="I1047" t="s">
        <v>81</v>
      </c>
      <c r="J1047" t="s">
        <v>124</v>
      </c>
      <c r="K1047" t="s">
        <v>124</v>
      </c>
      <c r="L1047" t="s">
        <v>124</v>
      </c>
      <c r="M1047" t="s">
        <v>1699</v>
      </c>
      <c r="N1047" t="b">
        <v>0</v>
      </c>
    </row>
    <row r="1048" spans="1:14">
      <c r="A1048">
        <v>64</v>
      </c>
      <c r="B1048">
        <v>3</v>
      </c>
      <c r="C1048" t="s">
        <v>216</v>
      </c>
      <c r="D1048" t="s">
        <v>722</v>
      </c>
      <c r="E1048" t="s">
        <v>93</v>
      </c>
      <c r="F1048">
        <v>40</v>
      </c>
      <c r="G1048" t="s">
        <v>124</v>
      </c>
      <c r="H1048" t="s">
        <v>124</v>
      </c>
      <c r="I1048" t="s">
        <v>93</v>
      </c>
      <c r="J1048" t="s">
        <v>124</v>
      </c>
      <c r="K1048" t="s">
        <v>124</v>
      </c>
      <c r="L1048" t="s">
        <v>124</v>
      </c>
      <c r="M1048" t="s">
        <v>1700</v>
      </c>
      <c r="N1048" t="b">
        <v>0</v>
      </c>
    </row>
    <row r="1049" spans="1:14">
      <c r="A1049">
        <v>64</v>
      </c>
      <c r="B1049">
        <v>4</v>
      </c>
      <c r="C1049" t="s">
        <v>303</v>
      </c>
      <c r="D1049" t="s">
        <v>722</v>
      </c>
      <c r="E1049" t="s">
        <v>95</v>
      </c>
      <c r="F1049">
        <v>50</v>
      </c>
      <c r="G1049" t="s">
        <v>124</v>
      </c>
      <c r="H1049" t="s">
        <v>124</v>
      </c>
      <c r="I1049" t="s">
        <v>95</v>
      </c>
      <c r="J1049" t="s">
        <v>124</v>
      </c>
      <c r="K1049" t="s">
        <v>124</v>
      </c>
      <c r="L1049" t="s">
        <v>124</v>
      </c>
      <c r="M1049" t="s">
        <v>1701</v>
      </c>
      <c r="N1049" t="b">
        <v>0</v>
      </c>
    </row>
    <row r="1050" spans="1:14">
      <c r="A1050">
        <v>64</v>
      </c>
      <c r="B1050">
        <v>5</v>
      </c>
      <c r="C1050" t="s">
        <v>249</v>
      </c>
      <c r="D1050" t="s">
        <v>722</v>
      </c>
      <c r="E1050" t="s">
        <v>97</v>
      </c>
      <c r="F1050">
        <v>40</v>
      </c>
      <c r="G1050" t="s">
        <v>124</v>
      </c>
      <c r="H1050" t="s">
        <v>124</v>
      </c>
      <c r="I1050" t="s">
        <v>97</v>
      </c>
      <c r="J1050" t="s">
        <v>124</v>
      </c>
      <c r="K1050" t="s">
        <v>124</v>
      </c>
      <c r="L1050" t="s">
        <v>124</v>
      </c>
      <c r="M1050" t="s">
        <v>1702</v>
      </c>
      <c r="N1050" t="b">
        <v>0</v>
      </c>
    </row>
    <row r="1051" spans="1:14">
      <c r="A1051">
        <v>64</v>
      </c>
      <c r="B1051">
        <v>6</v>
      </c>
      <c r="C1051" t="s">
        <v>217</v>
      </c>
      <c r="D1051" t="s">
        <v>722</v>
      </c>
      <c r="E1051" t="s">
        <v>99</v>
      </c>
      <c r="F1051">
        <v>60</v>
      </c>
      <c r="G1051" t="s">
        <v>124</v>
      </c>
      <c r="H1051" t="s">
        <v>124</v>
      </c>
      <c r="I1051" t="s">
        <v>99</v>
      </c>
      <c r="J1051" t="s">
        <v>124</v>
      </c>
      <c r="K1051" t="s">
        <v>124</v>
      </c>
      <c r="L1051" t="s">
        <v>124</v>
      </c>
      <c r="M1051" t="s">
        <v>1703</v>
      </c>
      <c r="N1051" t="b">
        <v>0</v>
      </c>
    </row>
    <row r="1052" spans="1:14">
      <c r="A1052">
        <v>64</v>
      </c>
      <c r="B1052">
        <v>7</v>
      </c>
      <c r="C1052" t="s">
        <v>273</v>
      </c>
      <c r="D1052" t="s">
        <v>722</v>
      </c>
      <c r="E1052" t="s">
        <v>101</v>
      </c>
      <c r="F1052">
        <v>30</v>
      </c>
      <c r="G1052" t="s">
        <v>124</v>
      </c>
      <c r="H1052" t="s">
        <v>124</v>
      </c>
      <c r="I1052" t="s">
        <v>101</v>
      </c>
      <c r="J1052" t="s">
        <v>124</v>
      </c>
      <c r="K1052" t="s">
        <v>124</v>
      </c>
      <c r="L1052" t="s">
        <v>124</v>
      </c>
      <c r="M1052" t="s">
        <v>1704</v>
      </c>
      <c r="N1052" t="b">
        <v>0</v>
      </c>
    </row>
    <row r="1053" spans="1:14">
      <c r="A1053">
        <v>64</v>
      </c>
      <c r="B1053">
        <v>8</v>
      </c>
      <c r="C1053" t="s">
        <v>158</v>
      </c>
      <c r="D1053" t="s">
        <v>751</v>
      </c>
      <c r="E1053" t="s">
        <v>295</v>
      </c>
      <c r="F1053">
        <v>40</v>
      </c>
      <c r="G1053" t="s">
        <v>758</v>
      </c>
      <c r="H1053" t="s">
        <v>124</v>
      </c>
      <c r="I1053" t="s">
        <v>124</v>
      </c>
      <c r="J1053" t="s">
        <v>759</v>
      </c>
      <c r="K1053" t="s">
        <v>760</v>
      </c>
      <c r="L1053" t="s">
        <v>761</v>
      </c>
      <c r="M1053" t="s">
        <v>1705</v>
      </c>
      <c r="N1053" t="b">
        <v>0</v>
      </c>
    </row>
    <row r="1054" spans="1:14">
      <c r="A1054">
        <v>64</v>
      </c>
      <c r="B1054">
        <v>9</v>
      </c>
      <c r="C1054" t="s">
        <v>179</v>
      </c>
      <c r="D1054" t="s">
        <v>722</v>
      </c>
      <c r="E1054" t="s">
        <v>110</v>
      </c>
      <c r="F1054">
        <v>50</v>
      </c>
      <c r="G1054" t="s">
        <v>124</v>
      </c>
      <c r="H1054" t="s">
        <v>124</v>
      </c>
      <c r="I1054" t="s">
        <v>110</v>
      </c>
      <c r="J1054" t="s">
        <v>124</v>
      </c>
      <c r="K1054" t="s">
        <v>124</v>
      </c>
      <c r="L1054" t="s">
        <v>124</v>
      </c>
      <c r="M1054" t="s">
        <v>1706</v>
      </c>
      <c r="N1054" t="b">
        <v>0</v>
      </c>
    </row>
    <row r="1055" spans="1:14">
      <c r="A1055">
        <v>64</v>
      </c>
      <c r="B1055">
        <v>10</v>
      </c>
      <c r="C1055" t="s">
        <v>196</v>
      </c>
      <c r="D1055" t="s">
        <v>722</v>
      </c>
      <c r="E1055" t="s">
        <v>111</v>
      </c>
      <c r="F1055">
        <v>50</v>
      </c>
      <c r="G1055" t="s">
        <v>124</v>
      </c>
      <c r="H1055" t="s">
        <v>124</v>
      </c>
      <c r="I1055" t="s">
        <v>111</v>
      </c>
      <c r="J1055" t="s">
        <v>124</v>
      </c>
      <c r="K1055" t="s">
        <v>124</v>
      </c>
      <c r="L1055" t="s">
        <v>124</v>
      </c>
      <c r="M1055" t="s">
        <v>1707</v>
      </c>
      <c r="N1055" t="b">
        <v>0</v>
      </c>
    </row>
    <row r="1056" spans="1:14">
      <c r="A1056">
        <v>64</v>
      </c>
      <c r="B1056">
        <v>11</v>
      </c>
      <c r="C1056" t="s">
        <v>286</v>
      </c>
      <c r="D1056" t="s">
        <v>722</v>
      </c>
      <c r="E1056" t="s">
        <v>329</v>
      </c>
      <c r="F1056">
        <v>40</v>
      </c>
      <c r="G1056" t="s">
        <v>124</v>
      </c>
      <c r="H1056" t="s">
        <v>546</v>
      </c>
      <c r="I1056" t="s">
        <v>443</v>
      </c>
      <c r="J1056" t="s">
        <v>124</v>
      </c>
      <c r="K1056" t="s">
        <v>919</v>
      </c>
      <c r="L1056" t="s">
        <v>920</v>
      </c>
      <c r="M1056" t="s">
        <v>1708</v>
      </c>
      <c r="N1056" t="b">
        <v>0</v>
      </c>
    </row>
    <row r="1057" spans="1:14">
      <c r="A1057">
        <v>64</v>
      </c>
      <c r="B1057">
        <v>12</v>
      </c>
      <c r="C1057" t="s">
        <v>274</v>
      </c>
      <c r="D1057" t="s">
        <v>722</v>
      </c>
      <c r="E1057" t="s">
        <v>72</v>
      </c>
      <c r="F1057">
        <v>40</v>
      </c>
      <c r="G1057" t="s">
        <v>124</v>
      </c>
      <c r="H1057" t="s">
        <v>124</v>
      </c>
      <c r="I1057" t="s">
        <v>72</v>
      </c>
      <c r="J1057" t="s">
        <v>124</v>
      </c>
      <c r="K1057" t="s">
        <v>124</v>
      </c>
      <c r="L1057" t="s">
        <v>124</v>
      </c>
      <c r="M1057" t="s">
        <v>1709</v>
      </c>
      <c r="N1057" t="b">
        <v>0</v>
      </c>
    </row>
    <row r="1058" spans="1:14">
      <c r="A1058">
        <v>64</v>
      </c>
      <c r="B1058">
        <v>13</v>
      </c>
      <c r="C1058" t="s">
        <v>287</v>
      </c>
      <c r="D1058" t="s">
        <v>722</v>
      </c>
      <c r="E1058" t="s">
        <v>76</v>
      </c>
      <c r="F1058">
        <v>30</v>
      </c>
      <c r="G1058" t="s">
        <v>124</v>
      </c>
      <c r="H1058" t="s">
        <v>124</v>
      </c>
      <c r="I1058" t="s">
        <v>76</v>
      </c>
      <c r="J1058" t="s">
        <v>124</v>
      </c>
      <c r="K1058" t="s">
        <v>124</v>
      </c>
      <c r="L1058" t="s">
        <v>124</v>
      </c>
      <c r="M1058" t="s">
        <v>1710</v>
      </c>
      <c r="N1058" t="b">
        <v>0</v>
      </c>
    </row>
    <row r="1059" spans="1:14">
      <c r="A1059">
        <v>64</v>
      </c>
      <c r="B1059">
        <v>14</v>
      </c>
      <c r="C1059" t="s">
        <v>290</v>
      </c>
      <c r="D1059" t="s">
        <v>722</v>
      </c>
      <c r="E1059" t="s">
        <v>105</v>
      </c>
      <c r="F1059">
        <v>60</v>
      </c>
      <c r="G1059" t="s">
        <v>124</v>
      </c>
      <c r="H1059" t="s">
        <v>124</v>
      </c>
      <c r="I1059" t="s">
        <v>105</v>
      </c>
      <c r="J1059" t="s">
        <v>124</v>
      </c>
      <c r="K1059" t="s">
        <v>124</v>
      </c>
      <c r="L1059" t="s">
        <v>124</v>
      </c>
      <c r="M1059" t="s">
        <v>1711</v>
      </c>
      <c r="N1059" t="b">
        <v>0</v>
      </c>
    </row>
    <row r="1060" spans="1:14">
      <c r="A1060">
        <v>64</v>
      </c>
      <c r="B1060">
        <v>15</v>
      </c>
      <c r="C1060" t="s">
        <v>230</v>
      </c>
      <c r="D1060" t="s">
        <v>722</v>
      </c>
      <c r="E1060" t="s">
        <v>106</v>
      </c>
      <c r="F1060">
        <v>50</v>
      </c>
      <c r="G1060" t="s">
        <v>124</v>
      </c>
      <c r="H1060" t="s">
        <v>124</v>
      </c>
      <c r="I1060" t="s">
        <v>106</v>
      </c>
      <c r="J1060" t="s">
        <v>124</v>
      </c>
      <c r="K1060" t="s">
        <v>124</v>
      </c>
      <c r="L1060" t="s">
        <v>124</v>
      </c>
      <c r="M1060" t="s">
        <v>1712</v>
      </c>
      <c r="N1060" t="b">
        <v>0</v>
      </c>
    </row>
    <row r="1061" spans="1:14">
      <c r="A1061">
        <v>64</v>
      </c>
      <c r="B1061">
        <v>16</v>
      </c>
      <c r="C1061" t="s">
        <v>124</v>
      </c>
      <c r="D1061" t="s">
        <v>739</v>
      </c>
      <c r="E1061" t="s">
        <v>124</v>
      </c>
      <c r="F1061">
        <v>0</v>
      </c>
      <c r="G1061" t="s">
        <v>124</v>
      </c>
      <c r="H1061" t="s">
        <v>124</v>
      </c>
      <c r="I1061" t="s">
        <v>124</v>
      </c>
      <c r="J1061" t="s">
        <v>124</v>
      </c>
      <c r="K1061" t="s">
        <v>124</v>
      </c>
      <c r="L1061" t="s">
        <v>124</v>
      </c>
      <c r="M1061" t="s">
        <v>1713</v>
      </c>
      <c r="N1061" t="b">
        <v>0</v>
      </c>
    </row>
    <row r="1062" spans="1:14">
      <c r="A1062">
        <v>64</v>
      </c>
      <c r="B1062">
        <v>17</v>
      </c>
      <c r="C1062" t="s">
        <v>124</v>
      </c>
      <c r="D1062" t="s">
        <v>739</v>
      </c>
      <c r="E1062" t="s">
        <v>124</v>
      </c>
      <c r="F1062">
        <v>0</v>
      </c>
      <c r="G1062" t="s">
        <v>124</v>
      </c>
      <c r="H1062" t="s">
        <v>124</v>
      </c>
      <c r="I1062" t="s">
        <v>124</v>
      </c>
      <c r="J1062" t="s">
        <v>124</v>
      </c>
      <c r="K1062" t="s">
        <v>124</v>
      </c>
      <c r="L1062" t="s">
        <v>124</v>
      </c>
      <c r="M1062" t="s">
        <v>1714</v>
      </c>
      <c r="N1062" t="b">
        <v>0</v>
      </c>
    </row>
    <row r="1063" spans="1:14">
      <c r="A1063">
        <v>64</v>
      </c>
      <c r="B1063">
        <v>18</v>
      </c>
      <c r="C1063" t="s">
        <v>124</v>
      </c>
      <c r="D1063" t="s">
        <v>739</v>
      </c>
      <c r="E1063" t="s">
        <v>124</v>
      </c>
      <c r="F1063">
        <v>0</v>
      </c>
      <c r="G1063" t="s">
        <v>124</v>
      </c>
      <c r="H1063" t="s">
        <v>124</v>
      </c>
      <c r="I1063" t="s">
        <v>124</v>
      </c>
      <c r="J1063" t="s">
        <v>124</v>
      </c>
      <c r="K1063" t="s">
        <v>124</v>
      </c>
      <c r="L1063" t="s">
        <v>124</v>
      </c>
      <c r="M1063" t="s">
        <v>1715</v>
      </c>
      <c r="N1063" t="b">
        <v>0</v>
      </c>
    </row>
    <row r="1064" spans="1:14">
      <c r="A1064">
        <v>64</v>
      </c>
      <c r="B1064">
        <v>19</v>
      </c>
      <c r="C1064" t="s">
        <v>124</v>
      </c>
      <c r="D1064" t="s">
        <v>739</v>
      </c>
      <c r="E1064" t="s">
        <v>124</v>
      </c>
      <c r="F1064">
        <v>0</v>
      </c>
      <c r="G1064" t="s">
        <v>124</v>
      </c>
      <c r="H1064" t="s">
        <v>124</v>
      </c>
      <c r="I1064" t="s">
        <v>124</v>
      </c>
      <c r="J1064" t="s">
        <v>124</v>
      </c>
      <c r="K1064" t="s">
        <v>124</v>
      </c>
      <c r="L1064" t="s">
        <v>124</v>
      </c>
      <c r="M1064" t="s">
        <v>1716</v>
      </c>
      <c r="N1064" t="b">
        <v>0</v>
      </c>
    </row>
    <row r="1065" spans="1:14">
      <c r="A1065">
        <v>64</v>
      </c>
      <c r="B1065">
        <v>20</v>
      </c>
      <c r="C1065" t="s">
        <v>124</v>
      </c>
      <c r="D1065" t="s">
        <v>739</v>
      </c>
      <c r="E1065" t="s">
        <v>124</v>
      </c>
      <c r="F1065">
        <v>0</v>
      </c>
      <c r="G1065" t="s">
        <v>124</v>
      </c>
      <c r="H1065" t="s">
        <v>124</v>
      </c>
      <c r="I1065" t="s">
        <v>124</v>
      </c>
      <c r="J1065" t="s">
        <v>124</v>
      </c>
      <c r="K1065" t="s">
        <v>124</v>
      </c>
      <c r="L1065" t="s">
        <v>124</v>
      </c>
      <c r="M1065" t="s">
        <v>1717</v>
      </c>
      <c r="N1065" t="b">
        <v>0</v>
      </c>
    </row>
    <row r="1066" spans="1:14">
      <c r="A1066">
        <v>64</v>
      </c>
      <c r="B1066">
        <v>21</v>
      </c>
      <c r="C1066" t="s">
        <v>124</v>
      </c>
      <c r="D1066" t="s">
        <v>739</v>
      </c>
      <c r="E1066" t="s">
        <v>124</v>
      </c>
      <c r="F1066">
        <v>0</v>
      </c>
      <c r="G1066" t="s">
        <v>124</v>
      </c>
      <c r="H1066" t="s">
        <v>124</v>
      </c>
      <c r="I1066" t="s">
        <v>124</v>
      </c>
      <c r="J1066" t="s">
        <v>124</v>
      </c>
      <c r="K1066" t="s">
        <v>124</v>
      </c>
      <c r="L1066" t="s">
        <v>124</v>
      </c>
      <c r="M1066" t="s">
        <v>1718</v>
      </c>
      <c r="N1066" t="b">
        <v>0</v>
      </c>
    </row>
    <row r="1067" spans="1:14">
      <c r="A1067">
        <v>64</v>
      </c>
      <c r="B1067">
        <v>22</v>
      </c>
      <c r="C1067" t="s">
        <v>124</v>
      </c>
      <c r="D1067" t="s">
        <v>739</v>
      </c>
      <c r="E1067" t="s">
        <v>124</v>
      </c>
      <c r="F1067">
        <v>0</v>
      </c>
      <c r="G1067" t="s">
        <v>124</v>
      </c>
      <c r="H1067" t="s">
        <v>124</v>
      </c>
      <c r="I1067" t="s">
        <v>124</v>
      </c>
      <c r="J1067" t="s">
        <v>124</v>
      </c>
      <c r="K1067" t="s">
        <v>124</v>
      </c>
      <c r="L1067" t="s">
        <v>124</v>
      </c>
      <c r="M1067" t="s">
        <v>1719</v>
      </c>
      <c r="N1067" t="b">
        <v>0</v>
      </c>
    </row>
    <row r="1068" spans="1:14">
      <c r="A1068">
        <v>64</v>
      </c>
      <c r="B1068">
        <v>23</v>
      </c>
      <c r="C1068" t="s">
        <v>124</v>
      </c>
      <c r="D1068" t="s">
        <v>739</v>
      </c>
      <c r="E1068" t="s">
        <v>124</v>
      </c>
      <c r="F1068">
        <v>0</v>
      </c>
      <c r="G1068" t="s">
        <v>124</v>
      </c>
      <c r="H1068" t="s">
        <v>124</v>
      </c>
      <c r="I1068" t="s">
        <v>124</v>
      </c>
      <c r="J1068" t="s">
        <v>124</v>
      </c>
      <c r="K1068" t="s">
        <v>124</v>
      </c>
      <c r="L1068" t="s">
        <v>124</v>
      </c>
      <c r="M1068" t="s">
        <v>1720</v>
      </c>
      <c r="N1068" t="b">
        <v>0</v>
      </c>
    </row>
    <row r="1069" spans="1:14">
      <c r="A1069">
        <v>64</v>
      </c>
      <c r="B1069">
        <v>24</v>
      </c>
      <c r="C1069" t="s">
        <v>124</v>
      </c>
      <c r="D1069" t="s">
        <v>739</v>
      </c>
      <c r="E1069" t="s">
        <v>124</v>
      </c>
      <c r="F1069">
        <v>0</v>
      </c>
      <c r="G1069" t="s">
        <v>124</v>
      </c>
      <c r="H1069" t="s">
        <v>124</v>
      </c>
      <c r="I1069" t="s">
        <v>124</v>
      </c>
      <c r="J1069" t="s">
        <v>124</v>
      </c>
      <c r="K1069" t="s">
        <v>124</v>
      </c>
      <c r="L1069" t="s">
        <v>124</v>
      </c>
      <c r="M1069" t="s">
        <v>1721</v>
      </c>
      <c r="N1069" t="b">
        <v>0</v>
      </c>
    </row>
    <row r="1070" spans="1:14">
      <c r="A1070">
        <v>64</v>
      </c>
      <c r="B1070">
        <v>25</v>
      </c>
      <c r="C1070" t="s">
        <v>124</v>
      </c>
      <c r="D1070" t="s">
        <v>739</v>
      </c>
      <c r="E1070" t="s">
        <v>124</v>
      </c>
      <c r="F1070">
        <v>0</v>
      </c>
      <c r="G1070" t="s">
        <v>124</v>
      </c>
      <c r="H1070" t="s">
        <v>124</v>
      </c>
      <c r="I1070" t="s">
        <v>124</v>
      </c>
      <c r="J1070" t="s">
        <v>124</v>
      </c>
      <c r="K1070" t="s">
        <v>124</v>
      </c>
      <c r="L1070" t="s">
        <v>124</v>
      </c>
      <c r="M1070" t="s">
        <v>1722</v>
      </c>
      <c r="N1070" t="b">
        <v>0</v>
      </c>
    </row>
    <row r="1071" spans="1:14">
      <c r="A1071">
        <v>64</v>
      </c>
      <c r="B1071">
        <v>26</v>
      </c>
      <c r="C1071" t="s">
        <v>124</v>
      </c>
      <c r="D1071" t="s">
        <v>739</v>
      </c>
      <c r="E1071" t="s">
        <v>124</v>
      </c>
      <c r="F1071">
        <v>0</v>
      </c>
      <c r="G1071" t="s">
        <v>124</v>
      </c>
      <c r="H1071" t="s">
        <v>124</v>
      </c>
      <c r="I1071" t="s">
        <v>124</v>
      </c>
      <c r="J1071" t="s">
        <v>124</v>
      </c>
      <c r="K1071" t="s">
        <v>124</v>
      </c>
      <c r="L1071" t="s">
        <v>124</v>
      </c>
      <c r="M1071" t="s">
        <v>1723</v>
      </c>
      <c r="N1071" t="b">
        <v>0</v>
      </c>
    </row>
    <row r="1072" spans="1:14">
      <c r="A1072">
        <v>65</v>
      </c>
      <c r="B1072">
        <v>0</v>
      </c>
      <c r="C1072" t="s">
        <v>214</v>
      </c>
      <c r="D1072" t="s">
        <v>722</v>
      </c>
      <c r="E1072" t="s">
        <v>63</v>
      </c>
      <c r="F1072">
        <v>60</v>
      </c>
      <c r="G1072" t="s">
        <v>124</v>
      </c>
      <c r="H1072" t="s">
        <v>124</v>
      </c>
      <c r="I1072" t="s">
        <v>63</v>
      </c>
      <c r="J1072" t="s">
        <v>124</v>
      </c>
      <c r="K1072" t="s">
        <v>124</v>
      </c>
      <c r="L1072" t="s">
        <v>124</v>
      </c>
      <c r="M1072" t="s">
        <v>1724</v>
      </c>
      <c r="N1072" t="b">
        <v>0</v>
      </c>
    </row>
    <row r="1073" spans="1:14">
      <c r="A1073">
        <v>65</v>
      </c>
      <c r="B1073">
        <v>1</v>
      </c>
      <c r="C1073" t="s">
        <v>215</v>
      </c>
      <c r="D1073" t="s">
        <v>722</v>
      </c>
      <c r="E1073" t="s">
        <v>75</v>
      </c>
      <c r="F1073">
        <v>60</v>
      </c>
      <c r="G1073" t="s">
        <v>124</v>
      </c>
      <c r="H1073" t="s">
        <v>124</v>
      </c>
      <c r="I1073" t="s">
        <v>75</v>
      </c>
      <c r="J1073" t="s">
        <v>124</v>
      </c>
      <c r="K1073" t="s">
        <v>124</v>
      </c>
      <c r="L1073" t="s">
        <v>124</v>
      </c>
      <c r="M1073" t="s">
        <v>1725</v>
      </c>
      <c r="N1073" t="b">
        <v>0</v>
      </c>
    </row>
    <row r="1074" spans="1:14">
      <c r="A1074">
        <v>65</v>
      </c>
      <c r="B1074">
        <v>2</v>
      </c>
      <c r="C1074" t="s">
        <v>266</v>
      </c>
      <c r="D1074" t="s">
        <v>722</v>
      </c>
      <c r="E1074" t="s">
        <v>81</v>
      </c>
      <c r="F1074">
        <v>30</v>
      </c>
      <c r="G1074" t="s">
        <v>124</v>
      </c>
      <c r="H1074" t="s">
        <v>124</v>
      </c>
      <c r="I1074" t="s">
        <v>81</v>
      </c>
      <c r="J1074" t="s">
        <v>124</v>
      </c>
      <c r="K1074" t="s">
        <v>124</v>
      </c>
      <c r="L1074" t="s">
        <v>124</v>
      </c>
      <c r="M1074" t="s">
        <v>1726</v>
      </c>
      <c r="N1074" t="b">
        <v>0</v>
      </c>
    </row>
    <row r="1075" spans="1:14">
      <c r="A1075">
        <v>65</v>
      </c>
      <c r="B1075">
        <v>3</v>
      </c>
      <c r="C1075" t="s">
        <v>249</v>
      </c>
      <c r="D1075" t="s">
        <v>722</v>
      </c>
      <c r="E1075" t="s">
        <v>97</v>
      </c>
      <c r="F1075">
        <v>40</v>
      </c>
      <c r="G1075" t="s">
        <v>124</v>
      </c>
      <c r="H1075" t="s">
        <v>124</v>
      </c>
      <c r="I1075" t="s">
        <v>97</v>
      </c>
      <c r="J1075" t="s">
        <v>124</v>
      </c>
      <c r="K1075" t="s">
        <v>124</v>
      </c>
      <c r="L1075" t="s">
        <v>124</v>
      </c>
      <c r="M1075" t="s">
        <v>1727</v>
      </c>
      <c r="N1075" t="b">
        <v>0</v>
      </c>
    </row>
    <row r="1076" spans="1:14">
      <c r="A1076">
        <v>65</v>
      </c>
      <c r="B1076">
        <v>4</v>
      </c>
      <c r="C1076" t="s">
        <v>217</v>
      </c>
      <c r="D1076" t="s">
        <v>722</v>
      </c>
      <c r="E1076" t="s">
        <v>99</v>
      </c>
      <c r="F1076">
        <v>60</v>
      </c>
      <c r="G1076" t="s">
        <v>124</v>
      </c>
      <c r="H1076" t="s">
        <v>124</v>
      </c>
      <c r="I1076" t="s">
        <v>99</v>
      </c>
      <c r="J1076" t="s">
        <v>124</v>
      </c>
      <c r="K1076" t="s">
        <v>124</v>
      </c>
      <c r="L1076" t="s">
        <v>124</v>
      </c>
      <c r="M1076" t="s">
        <v>1728</v>
      </c>
      <c r="N1076" t="b">
        <v>0</v>
      </c>
    </row>
    <row r="1077" spans="1:14">
      <c r="A1077">
        <v>65</v>
      </c>
      <c r="B1077">
        <v>5</v>
      </c>
      <c r="C1077" t="s">
        <v>273</v>
      </c>
      <c r="D1077" t="s">
        <v>722</v>
      </c>
      <c r="E1077" t="s">
        <v>101</v>
      </c>
      <c r="F1077">
        <v>30</v>
      </c>
      <c r="G1077" t="s">
        <v>124</v>
      </c>
      <c r="H1077" t="s">
        <v>124</v>
      </c>
      <c r="I1077" t="s">
        <v>101</v>
      </c>
      <c r="J1077" t="s">
        <v>124</v>
      </c>
      <c r="K1077" t="s">
        <v>124</v>
      </c>
      <c r="L1077" t="s">
        <v>124</v>
      </c>
      <c r="M1077" t="s">
        <v>1729</v>
      </c>
      <c r="N1077" t="b">
        <v>0</v>
      </c>
    </row>
    <row r="1078" spans="1:14">
      <c r="A1078">
        <v>65</v>
      </c>
      <c r="B1078">
        <v>6</v>
      </c>
      <c r="C1078" t="s">
        <v>289</v>
      </c>
      <c r="D1078" t="s">
        <v>722</v>
      </c>
      <c r="E1078" t="s">
        <v>111</v>
      </c>
      <c r="F1078">
        <v>40</v>
      </c>
      <c r="G1078" t="s">
        <v>124</v>
      </c>
      <c r="H1078" t="s">
        <v>124</v>
      </c>
      <c r="I1078" t="s">
        <v>111</v>
      </c>
      <c r="J1078" t="s">
        <v>124</v>
      </c>
      <c r="K1078" t="s">
        <v>124</v>
      </c>
      <c r="L1078" t="s">
        <v>124</v>
      </c>
      <c r="M1078" t="s">
        <v>1730</v>
      </c>
      <c r="N1078" t="b">
        <v>0</v>
      </c>
    </row>
    <row r="1079" spans="1:14">
      <c r="A1079">
        <v>65</v>
      </c>
      <c r="B1079">
        <v>7</v>
      </c>
      <c r="C1079" t="s">
        <v>286</v>
      </c>
      <c r="D1079" t="s">
        <v>722</v>
      </c>
      <c r="E1079" t="s">
        <v>329</v>
      </c>
      <c r="F1079">
        <v>40</v>
      </c>
      <c r="G1079" t="s">
        <v>124</v>
      </c>
      <c r="H1079" t="s">
        <v>546</v>
      </c>
      <c r="I1079" t="s">
        <v>443</v>
      </c>
      <c r="J1079" t="s">
        <v>124</v>
      </c>
      <c r="K1079" t="s">
        <v>919</v>
      </c>
      <c r="L1079" t="s">
        <v>920</v>
      </c>
      <c r="M1079" t="s">
        <v>1731</v>
      </c>
      <c r="N1079" t="b">
        <v>0</v>
      </c>
    </row>
    <row r="1080" spans="1:14">
      <c r="A1080">
        <v>65</v>
      </c>
      <c r="B1080">
        <v>8</v>
      </c>
      <c r="C1080" t="s">
        <v>274</v>
      </c>
      <c r="D1080" t="s">
        <v>722</v>
      </c>
      <c r="E1080" t="s">
        <v>72</v>
      </c>
      <c r="F1080">
        <v>40</v>
      </c>
      <c r="G1080" t="s">
        <v>124</v>
      </c>
      <c r="H1080" t="s">
        <v>124</v>
      </c>
      <c r="I1080" t="s">
        <v>72</v>
      </c>
      <c r="J1080" t="s">
        <v>124</v>
      </c>
      <c r="K1080" t="s">
        <v>124</v>
      </c>
      <c r="L1080" t="s">
        <v>124</v>
      </c>
      <c r="M1080" t="s">
        <v>1732</v>
      </c>
      <c r="N1080" t="b">
        <v>0</v>
      </c>
    </row>
    <row r="1081" spans="1:14">
      <c r="A1081">
        <v>65</v>
      </c>
      <c r="B1081">
        <v>9</v>
      </c>
      <c r="C1081" t="s">
        <v>287</v>
      </c>
      <c r="D1081" t="s">
        <v>722</v>
      </c>
      <c r="E1081" t="s">
        <v>76</v>
      </c>
      <c r="F1081">
        <v>30</v>
      </c>
      <c r="G1081" t="s">
        <v>124</v>
      </c>
      <c r="H1081" t="s">
        <v>124</v>
      </c>
      <c r="I1081" t="s">
        <v>76</v>
      </c>
      <c r="J1081" t="s">
        <v>124</v>
      </c>
      <c r="K1081" t="s">
        <v>124</v>
      </c>
      <c r="L1081" t="s">
        <v>124</v>
      </c>
      <c r="M1081" t="s">
        <v>1733</v>
      </c>
      <c r="N1081" t="b">
        <v>0</v>
      </c>
    </row>
    <row r="1082" spans="1:14">
      <c r="A1082">
        <v>65</v>
      </c>
      <c r="B1082">
        <v>10</v>
      </c>
      <c r="C1082" t="s">
        <v>318</v>
      </c>
      <c r="D1082" t="s">
        <v>722</v>
      </c>
      <c r="E1082" t="s">
        <v>104</v>
      </c>
      <c r="F1082">
        <v>30</v>
      </c>
      <c r="G1082" t="s">
        <v>124</v>
      </c>
      <c r="H1082" t="s">
        <v>124</v>
      </c>
      <c r="I1082" t="s">
        <v>104</v>
      </c>
      <c r="J1082" t="s">
        <v>124</v>
      </c>
      <c r="K1082" t="s">
        <v>124</v>
      </c>
      <c r="L1082" t="s">
        <v>124</v>
      </c>
      <c r="M1082" t="s">
        <v>1734</v>
      </c>
      <c r="N1082" t="b">
        <v>0</v>
      </c>
    </row>
    <row r="1083" spans="1:14">
      <c r="A1083">
        <v>65</v>
      </c>
      <c r="B1083">
        <v>11</v>
      </c>
      <c r="C1083" t="s">
        <v>230</v>
      </c>
      <c r="D1083" t="s">
        <v>722</v>
      </c>
      <c r="E1083" t="s">
        <v>106</v>
      </c>
      <c r="F1083">
        <v>50</v>
      </c>
      <c r="G1083" t="s">
        <v>124</v>
      </c>
      <c r="H1083" t="s">
        <v>124</v>
      </c>
      <c r="I1083" t="s">
        <v>106</v>
      </c>
      <c r="J1083" t="s">
        <v>124</v>
      </c>
      <c r="K1083" t="s">
        <v>124</v>
      </c>
      <c r="L1083" t="s">
        <v>124</v>
      </c>
      <c r="M1083" t="s">
        <v>1735</v>
      </c>
      <c r="N1083" t="b">
        <v>0</v>
      </c>
    </row>
    <row r="1084" spans="1:14">
      <c r="A1084">
        <v>65</v>
      </c>
      <c r="B1084">
        <v>12</v>
      </c>
      <c r="C1084" t="s">
        <v>124</v>
      </c>
      <c r="D1084" t="s">
        <v>722</v>
      </c>
      <c r="E1084" t="s">
        <v>124</v>
      </c>
      <c r="F1084">
        <v>0</v>
      </c>
      <c r="G1084" t="s">
        <v>124</v>
      </c>
      <c r="H1084" t="s">
        <v>124</v>
      </c>
      <c r="I1084" t="s">
        <v>124</v>
      </c>
      <c r="J1084" t="s">
        <v>124</v>
      </c>
      <c r="K1084" t="s">
        <v>124</v>
      </c>
      <c r="L1084" t="s">
        <v>124</v>
      </c>
      <c r="M1084" t="s">
        <v>1736</v>
      </c>
      <c r="N1084" t="b">
        <v>0</v>
      </c>
    </row>
    <row r="1085" spans="1:14">
      <c r="A1085">
        <v>65</v>
      </c>
      <c r="B1085">
        <v>13</v>
      </c>
      <c r="C1085" t="s">
        <v>124</v>
      </c>
      <c r="D1085" t="s">
        <v>722</v>
      </c>
      <c r="E1085" t="s">
        <v>124</v>
      </c>
      <c r="F1085">
        <v>0</v>
      </c>
      <c r="G1085" t="s">
        <v>124</v>
      </c>
      <c r="H1085" t="s">
        <v>124</v>
      </c>
      <c r="I1085" t="s">
        <v>124</v>
      </c>
      <c r="J1085" t="s">
        <v>124</v>
      </c>
      <c r="K1085" t="s">
        <v>124</v>
      </c>
      <c r="L1085" t="s">
        <v>124</v>
      </c>
      <c r="M1085" t="s">
        <v>1737</v>
      </c>
      <c r="N1085" t="b">
        <v>0</v>
      </c>
    </row>
    <row r="1086" spans="1:14">
      <c r="A1086">
        <v>65</v>
      </c>
      <c r="B1086">
        <v>14</v>
      </c>
      <c r="C1086" t="s">
        <v>124</v>
      </c>
      <c r="D1086" t="s">
        <v>722</v>
      </c>
      <c r="E1086" t="s">
        <v>124</v>
      </c>
      <c r="F1086">
        <v>0</v>
      </c>
      <c r="G1086" t="s">
        <v>124</v>
      </c>
      <c r="H1086" t="s">
        <v>124</v>
      </c>
      <c r="I1086" t="s">
        <v>124</v>
      </c>
      <c r="J1086" t="s">
        <v>124</v>
      </c>
      <c r="K1086" t="s">
        <v>124</v>
      </c>
      <c r="L1086" t="s">
        <v>124</v>
      </c>
      <c r="M1086" t="s">
        <v>1738</v>
      </c>
      <c r="N1086" t="b">
        <v>0</v>
      </c>
    </row>
    <row r="1087" spans="1:14">
      <c r="A1087">
        <v>65</v>
      </c>
      <c r="B1087">
        <v>15</v>
      </c>
      <c r="C1087" t="s">
        <v>124</v>
      </c>
      <c r="D1087" t="s">
        <v>722</v>
      </c>
      <c r="E1087" t="s">
        <v>124</v>
      </c>
      <c r="F1087">
        <v>0</v>
      </c>
      <c r="G1087" t="s">
        <v>124</v>
      </c>
      <c r="H1087" t="s">
        <v>124</v>
      </c>
      <c r="I1087" t="s">
        <v>124</v>
      </c>
      <c r="J1087" t="s">
        <v>124</v>
      </c>
      <c r="K1087" t="s">
        <v>124</v>
      </c>
      <c r="L1087" t="s">
        <v>124</v>
      </c>
      <c r="M1087" t="s">
        <v>1739</v>
      </c>
      <c r="N1087" t="b">
        <v>0</v>
      </c>
    </row>
    <row r="1088" spans="1:14">
      <c r="A1088">
        <v>65</v>
      </c>
      <c r="B1088">
        <v>16</v>
      </c>
      <c r="C1088" t="s">
        <v>216</v>
      </c>
      <c r="D1088" t="s">
        <v>739</v>
      </c>
      <c r="E1088" t="s">
        <v>93</v>
      </c>
      <c r="F1088">
        <v>40</v>
      </c>
      <c r="G1088" t="s">
        <v>124</v>
      </c>
      <c r="H1088" t="s">
        <v>124</v>
      </c>
      <c r="I1088" t="s">
        <v>93</v>
      </c>
      <c r="J1088" t="s">
        <v>124</v>
      </c>
      <c r="K1088" t="s">
        <v>124</v>
      </c>
      <c r="L1088" t="s">
        <v>124</v>
      </c>
      <c r="M1088" t="s">
        <v>1740</v>
      </c>
      <c r="N1088" t="b">
        <v>0</v>
      </c>
    </row>
    <row r="1089" spans="1:14">
      <c r="A1089">
        <v>65</v>
      </c>
      <c r="B1089">
        <v>17</v>
      </c>
      <c r="C1089" t="s">
        <v>158</v>
      </c>
      <c r="D1089" t="s">
        <v>739</v>
      </c>
      <c r="E1089" t="s">
        <v>295</v>
      </c>
      <c r="F1089">
        <v>40</v>
      </c>
      <c r="G1089" t="s">
        <v>758</v>
      </c>
      <c r="H1089" t="s">
        <v>124</v>
      </c>
      <c r="I1089" t="s">
        <v>124</v>
      </c>
      <c r="J1089" t="s">
        <v>759</v>
      </c>
      <c r="K1089" t="s">
        <v>760</v>
      </c>
      <c r="L1089" t="s">
        <v>761</v>
      </c>
      <c r="M1089" t="s">
        <v>1741</v>
      </c>
      <c r="N1089" t="b">
        <v>0</v>
      </c>
    </row>
    <row r="1090" spans="1:14">
      <c r="A1090">
        <v>65</v>
      </c>
      <c r="B1090">
        <v>18</v>
      </c>
      <c r="C1090" t="s">
        <v>196</v>
      </c>
      <c r="D1090" t="s">
        <v>739</v>
      </c>
      <c r="E1090" t="s">
        <v>111</v>
      </c>
      <c r="F1090">
        <v>50</v>
      </c>
      <c r="G1090" t="s">
        <v>124</v>
      </c>
      <c r="H1090" t="s">
        <v>124</v>
      </c>
      <c r="I1090" t="s">
        <v>111</v>
      </c>
      <c r="J1090" t="s">
        <v>124</v>
      </c>
      <c r="K1090" t="s">
        <v>124</v>
      </c>
      <c r="L1090" t="s">
        <v>124</v>
      </c>
      <c r="M1090" t="s">
        <v>1742</v>
      </c>
      <c r="N1090" t="b">
        <v>1</v>
      </c>
    </row>
    <row r="1091" spans="1:14">
      <c r="A1091">
        <v>65</v>
      </c>
      <c r="B1091">
        <v>19</v>
      </c>
      <c r="C1091" t="s">
        <v>167</v>
      </c>
      <c r="D1091" t="s">
        <v>739</v>
      </c>
      <c r="E1091" t="s">
        <v>96</v>
      </c>
      <c r="F1091">
        <v>60</v>
      </c>
      <c r="G1091" t="s">
        <v>124</v>
      </c>
      <c r="H1091" t="s">
        <v>124</v>
      </c>
      <c r="I1091" t="s">
        <v>96</v>
      </c>
      <c r="J1091" t="s">
        <v>124</v>
      </c>
      <c r="K1091" t="s">
        <v>124</v>
      </c>
      <c r="L1091" t="s">
        <v>124</v>
      </c>
      <c r="M1091" t="s">
        <v>1743</v>
      </c>
      <c r="N1091" t="b">
        <v>0</v>
      </c>
    </row>
    <row r="1092" spans="1:14">
      <c r="A1092">
        <v>65</v>
      </c>
      <c r="B1092">
        <v>20</v>
      </c>
      <c r="C1092" t="s">
        <v>175</v>
      </c>
      <c r="D1092" t="s">
        <v>739</v>
      </c>
      <c r="E1092" t="s">
        <v>98</v>
      </c>
      <c r="F1092">
        <v>40</v>
      </c>
      <c r="G1092" t="s">
        <v>124</v>
      </c>
      <c r="H1092" t="s">
        <v>124</v>
      </c>
      <c r="I1092" t="s">
        <v>98</v>
      </c>
      <c r="J1092" t="s">
        <v>124</v>
      </c>
      <c r="K1092" t="s">
        <v>124</v>
      </c>
      <c r="L1092" t="s">
        <v>124</v>
      </c>
      <c r="M1092" t="s">
        <v>1744</v>
      </c>
      <c r="N1092" t="b">
        <v>0</v>
      </c>
    </row>
    <row r="1093" spans="1:14">
      <c r="A1093">
        <v>65</v>
      </c>
      <c r="B1093">
        <v>21</v>
      </c>
      <c r="C1093" t="s">
        <v>290</v>
      </c>
      <c r="D1093" t="s">
        <v>739</v>
      </c>
      <c r="E1093" t="s">
        <v>105</v>
      </c>
      <c r="F1093">
        <v>60</v>
      </c>
      <c r="G1093" t="s">
        <v>124</v>
      </c>
      <c r="H1093" t="s">
        <v>124</v>
      </c>
      <c r="I1093" t="s">
        <v>105</v>
      </c>
      <c r="J1093" t="s">
        <v>124</v>
      </c>
      <c r="K1093" t="s">
        <v>124</v>
      </c>
      <c r="L1093" t="s">
        <v>124</v>
      </c>
      <c r="M1093" t="s">
        <v>1745</v>
      </c>
      <c r="N1093" t="b">
        <v>0</v>
      </c>
    </row>
    <row r="1094" spans="1:14">
      <c r="A1094">
        <v>65</v>
      </c>
      <c r="B1094">
        <v>22</v>
      </c>
      <c r="C1094" t="s">
        <v>124</v>
      </c>
      <c r="D1094" t="s">
        <v>739</v>
      </c>
      <c r="E1094" t="s">
        <v>124</v>
      </c>
      <c r="F1094">
        <v>0</v>
      </c>
      <c r="G1094" t="s">
        <v>124</v>
      </c>
      <c r="H1094" t="s">
        <v>124</v>
      </c>
      <c r="I1094" t="s">
        <v>124</v>
      </c>
      <c r="J1094" t="s">
        <v>124</v>
      </c>
      <c r="K1094" t="s">
        <v>124</v>
      </c>
      <c r="L1094" t="s">
        <v>124</v>
      </c>
      <c r="M1094" t="s">
        <v>1746</v>
      </c>
      <c r="N1094" t="b">
        <v>0</v>
      </c>
    </row>
    <row r="1095" spans="1:14">
      <c r="A1095">
        <v>65</v>
      </c>
      <c r="B1095">
        <v>23</v>
      </c>
      <c r="C1095" t="s">
        <v>124</v>
      </c>
      <c r="D1095" t="s">
        <v>739</v>
      </c>
      <c r="E1095" t="s">
        <v>124</v>
      </c>
      <c r="F1095">
        <v>0</v>
      </c>
      <c r="G1095" t="s">
        <v>124</v>
      </c>
      <c r="H1095" t="s">
        <v>124</v>
      </c>
      <c r="I1095" t="s">
        <v>124</v>
      </c>
      <c r="J1095" t="s">
        <v>124</v>
      </c>
      <c r="K1095" t="s">
        <v>124</v>
      </c>
      <c r="L1095" t="s">
        <v>124</v>
      </c>
      <c r="M1095" t="s">
        <v>1747</v>
      </c>
      <c r="N1095" t="b">
        <v>0</v>
      </c>
    </row>
    <row r="1096" spans="1:14">
      <c r="A1096">
        <v>65</v>
      </c>
      <c r="B1096">
        <v>24</v>
      </c>
      <c r="C1096" t="s">
        <v>124</v>
      </c>
      <c r="D1096" t="s">
        <v>739</v>
      </c>
      <c r="E1096" t="s">
        <v>124</v>
      </c>
      <c r="F1096">
        <v>0</v>
      </c>
      <c r="G1096" t="s">
        <v>124</v>
      </c>
      <c r="H1096" t="s">
        <v>124</v>
      </c>
      <c r="I1096" t="s">
        <v>124</v>
      </c>
      <c r="J1096" t="s">
        <v>124</v>
      </c>
      <c r="K1096" t="s">
        <v>124</v>
      </c>
      <c r="L1096" t="s">
        <v>124</v>
      </c>
      <c r="M1096" t="s">
        <v>1748</v>
      </c>
      <c r="N1096" t="b">
        <v>0</v>
      </c>
    </row>
    <row r="1097" spans="1:14">
      <c r="A1097">
        <v>65</v>
      </c>
      <c r="B1097">
        <v>25</v>
      </c>
      <c r="C1097" t="s">
        <v>124</v>
      </c>
      <c r="D1097" t="s">
        <v>739</v>
      </c>
      <c r="E1097" t="s">
        <v>124</v>
      </c>
      <c r="F1097">
        <v>0</v>
      </c>
      <c r="G1097" t="s">
        <v>124</v>
      </c>
      <c r="H1097" t="s">
        <v>124</v>
      </c>
      <c r="I1097" t="s">
        <v>124</v>
      </c>
      <c r="J1097" t="s">
        <v>124</v>
      </c>
      <c r="K1097" t="s">
        <v>124</v>
      </c>
      <c r="L1097" t="s">
        <v>124</v>
      </c>
      <c r="M1097" t="s">
        <v>1749</v>
      </c>
      <c r="N1097" t="b">
        <v>0</v>
      </c>
    </row>
    <row r="1098" spans="1:14">
      <c r="A1098">
        <v>65</v>
      </c>
      <c r="B1098">
        <v>26</v>
      </c>
      <c r="C1098" t="s">
        <v>124</v>
      </c>
      <c r="D1098" t="s">
        <v>739</v>
      </c>
      <c r="E1098" t="s">
        <v>124</v>
      </c>
      <c r="F1098">
        <v>0</v>
      </c>
      <c r="G1098" t="s">
        <v>124</v>
      </c>
      <c r="H1098" t="s">
        <v>124</v>
      </c>
      <c r="I1098" t="s">
        <v>124</v>
      </c>
      <c r="J1098" t="s">
        <v>124</v>
      </c>
      <c r="K1098" t="s">
        <v>124</v>
      </c>
      <c r="L1098" t="s">
        <v>124</v>
      </c>
      <c r="M1098" t="s">
        <v>1750</v>
      </c>
      <c r="N1098" t="b">
        <v>0</v>
      </c>
    </row>
    <row r="1099" spans="1:14">
      <c r="A1099">
        <v>66</v>
      </c>
      <c r="B1099">
        <v>0</v>
      </c>
      <c r="C1099" t="s">
        <v>184</v>
      </c>
      <c r="D1099" t="s">
        <v>722</v>
      </c>
      <c r="E1099" t="s">
        <v>63</v>
      </c>
      <c r="F1099">
        <v>50</v>
      </c>
      <c r="G1099" t="s">
        <v>124</v>
      </c>
      <c r="H1099" t="s">
        <v>124</v>
      </c>
      <c r="I1099" t="s">
        <v>63</v>
      </c>
      <c r="J1099" t="s">
        <v>124</v>
      </c>
      <c r="K1099" t="s">
        <v>124</v>
      </c>
      <c r="L1099" t="s">
        <v>124</v>
      </c>
      <c r="M1099" t="s">
        <v>1751</v>
      </c>
      <c r="N1099" t="b">
        <v>0</v>
      </c>
    </row>
    <row r="1100" spans="1:14">
      <c r="A1100">
        <v>66</v>
      </c>
      <c r="B1100">
        <v>1</v>
      </c>
      <c r="C1100" t="s">
        <v>215</v>
      </c>
      <c r="D1100" t="s">
        <v>722</v>
      </c>
      <c r="E1100" t="s">
        <v>75</v>
      </c>
      <c r="F1100">
        <v>60</v>
      </c>
      <c r="G1100" t="s">
        <v>124</v>
      </c>
      <c r="H1100" t="s">
        <v>124</v>
      </c>
      <c r="I1100" t="s">
        <v>75</v>
      </c>
      <c r="J1100" t="s">
        <v>124</v>
      </c>
      <c r="K1100" t="s">
        <v>124</v>
      </c>
      <c r="L1100" t="s">
        <v>124</v>
      </c>
      <c r="M1100" t="s">
        <v>1752</v>
      </c>
      <c r="N1100" t="b">
        <v>0</v>
      </c>
    </row>
    <row r="1101" spans="1:14">
      <c r="A1101">
        <v>66</v>
      </c>
      <c r="B1101">
        <v>2</v>
      </c>
      <c r="C1101" t="s">
        <v>216</v>
      </c>
      <c r="D1101" t="s">
        <v>722</v>
      </c>
      <c r="E1101" t="s">
        <v>93</v>
      </c>
      <c r="F1101">
        <v>40</v>
      </c>
      <c r="G1101" t="s">
        <v>124</v>
      </c>
      <c r="H1101" t="s">
        <v>124</v>
      </c>
      <c r="I1101" t="s">
        <v>93</v>
      </c>
      <c r="J1101" t="s">
        <v>124</v>
      </c>
      <c r="K1101" t="s">
        <v>124</v>
      </c>
      <c r="L1101" t="s">
        <v>124</v>
      </c>
      <c r="M1101" t="s">
        <v>1753</v>
      </c>
      <c r="N1101" t="b">
        <v>0</v>
      </c>
    </row>
    <row r="1102" spans="1:14">
      <c r="A1102">
        <v>66</v>
      </c>
      <c r="B1102">
        <v>3</v>
      </c>
      <c r="C1102" t="s">
        <v>217</v>
      </c>
      <c r="D1102" t="s">
        <v>722</v>
      </c>
      <c r="E1102" t="s">
        <v>99</v>
      </c>
      <c r="F1102">
        <v>60</v>
      </c>
      <c r="G1102" t="s">
        <v>124</v>
      </c>
      <c r="H1102" t="s">
        <v>124</v>
      </c>
      <c r="I1102" t="s">
        <v>99</v>
      </c>
      <c r="J1102" t="s">
        <v>124</v>
      </c>
      <c r="K1102" t="s">
        <v>124</v>
      </c>
      <c r="L1102" t="s">
        <v>124</v>
      </c>
      <c r="M1102" t="s">
        <v>1754</v>
      </c>
      <c r="N1102" t="b">
        <v>0</v>
      </c>
    </row>
    <row r="1103" spans="1:14">
      <c r="A1103">
        <v>66</v>
      </c>
      <c r="B1103">
        <v>4</v>
      </c>
      <c r="C1103" t="s">
        <v>196</v>
      </c>
      <c r="D1103" t="s">
        <v>722</v>
      </c>
      <c r="E1103" t="s">
        <v>111</v>
      </c>
      <c r="F1103">
        <v>50</v>
      </c>
      <c r="G1103" t="s">
        <v>124</v>
      </c>
      <c r="H1103" t="s">
        <v>124</v>
      </c>
      <c r="I1103" t="s">
        <v>111</v>
      </c>
      <c r="J1103" t="s">
        <v>124</v>
      </c>
      <c r="K1103" t="s">
        <v>124</v>
      </c>
      <c r="L1103" t="s">
        <v>124</v>
      </c>
      <c r="M1103" t="s">
        <v>1755</v>
      </c>
      <c r="N1103" t="b">
        <v>0</v>
      </c>
    </row>
    <row r="1104" spans="1:14">
      <c r="A1104">
        <v>66</v>
      </c>
      <c r="B1104">
        <v>5</v>
      </c>
      <c r="C1104" t="s">
        <v>218</v>
      </c>
      <c r="D1104" t="s">
        <v>722</v>
      </c>
      <c r="E1104" t="s">
        <v>66</v>
      </c>
      <c r="F1104">
        <v>50</v>
      </c>
      <c r="G1104" t="s">
        <v>124</v>
      </c>
      <c r="H1104" t="s">
        <v>124</v>
      </c>
      <c r="I1104" t="s">
        <v>66</v>
      </c>
      <c r="J1104" t="s">
        <v>124</v>
      </c>
      <c r="K1104" t="s">
        <v>124</v>
      </c>
      <c r="L1104" t="s">
        <v>124</v>
      </c>
      <c r="M1104" t="s">
        <v>1756</v>
      </c>
      <c r="N1104" t="b">
        <v>0</v>
      </c>
    </row>
    <row r="1105" spans="1:14">
      <c r="A1105">
        <v>66</v>
      </c>
      <c r="B1105">
        <v>6</v>
      </c>
      <c r="C1105" t="s">
        <v>219</v>
      </c>
      <c r="D1105" t="s">
        <v>722</v>
      </c>
      <c r="E1105" t="s">
        <v>329</v>
      </c>
      <c r="F1105">
        <v>60</v>
      </c>
      <c r="G1105" t="s">
        <v>124</v>
      </c>
      <c r="H1105" t="s">
        <v>546</v>
      </c>
      <c r="I1105" t="s">
        <v>443</v>
      </c>
      <c r="J1105" t="s">
        <v>124</v>
      </c>
      <c r="K1105" t="s">
        <v>919</v>
      </c>
      <c r="L1105" t="s">
        <v>920</v>
      </c>
      <c r="M1105" t="s">
        <v>1757</v>
      </c>
      <c r="N1105" t="b">
        <v>0</v>
      </c>
    </row>
    <row r="1106" spans="1:14">
      <c r="A1106">
        <v>66</v>
      </c>
      <c r="B1106">
        <v>7</v>
      </c>
      <c r="C1106" t="s">
        <v>165</v>
      </c>
      <c r="D1106" t="s">
        <v>722</v>
      </c>
      <c r="E1106" t="s">
        <v>72</v>
      </c>
      <c r="F1106">
        <v>50</v>
      </c>
      <c r="G1106" t="s">
        <v>124</v>
      </c>
      <c r="H1106" t="s">
        <v>124</v>
      </c>
      <c r="I1106" t="s">
        <v>72</v>
      </c>
      <c r="J1106" t="s">
        <v>124</v>
      </c>
      <c r="K1106" t="s">
        <v>124</v>
      </c>
      <c r="L1106" t="s">
        <v>124</v>
      </c>
      <c r="M1106" t="s">
        <v>1758</v>
      </c>
      <c r="N1106" t="b">
        <v>0</v>
      </c>
    </row>
    <row r="1107" spans="1:14">
      <c r="A1107">
        <v>66</v>
      </c>
      <c r="B1107">
        <v>8</v>
      </c>
      <c r="C1107" t="s">
        <v>161</v>
      </c>
      <c r="D1107" t="s">
        <v>722</v>
      </c>
      <c r="E1107" t="s">
        <v>76</v>
      </c>
      <c r="F1107">
        <v>40</v>
      </c>
      <c r="G1107" t="s">
        <v>124</v>
      </c>
      <c r="H1107" t="s">
        <v>124</v>
      </c>
      <c r="I1107" t="s">
        <v>76</v>
      </c>
      <c r="J1107" t="s">
        <v>124</v>
      </c>
      <c r="K1107" t="s">
        <v>124</v>
      </c>
      <c r="L1107" t="s">
        <v>124</v>
      </c>
      <c r="M1107" t="s">
        <v>1759</v>
      </c>
      <c r="N1107" t="b">
        <v>0</v>
      </c>
    </row>
    <row r="1108" spans="1:14">
      <c r="A1108">
        <v>66</v>
      </c>
      <c r="B1108">
        <v>9</v>
      </c>
      <c r="C1108" t="s">
        <v>386</v>
      </c>
      <c r="D1108" t="s">
        <v>722</v>
      </c>
      <c r="E1108" t="s">
        <v>356</v>
      </c>
      <c r="F1108">
        <v>40</v>
      </c>
      <c r="G1108" t="s">
        <v>124</v>
      </c>
      <c r="H1108" t="s">
        <v>561</v>
      </c>
      <c r="I1108" t="s">
        <v>1621</v>
      </c>
      <c r="J1108" t="s">
        <v>124</v>
      </c>
      <c r="K1108" t="s">
        <v>1162</v>
      </c>
      <c r="L1108" t="s">
        <v>1163</v>
      </c>
      <c r="M1108" t="s">
        <v>1760</v>
      </c>
      <c r="N1108" t="b">
        <v>0</v>
      </c>
    </row>
    <row r="1109" spans="1:14">
      <c r="A1109">
        <v>66</v>
      </c>
      <c r="B1109">
        <v>10</v>
      </c>
      <c r="C1109" t="s">
        <v>220</v>
      </c>
      <c r="D1109" t="s">
        <v>722</v>
      </c>
      <c r="E1109" t="s">
        <v>100</v>
      </c>
      <c r="F1109">
        <v>50</v>
      </c>
      <c r="G1109" t="s">
        <v>124</v>
      </c>
      <c r="H1109" t="s">
        <v>124</v>
      </c>
      <c r="I1109" t="s">
        <v>100</v>
      </c>
      <c r="J1109" t="s">
        <v>124</v>
      </c>
      <c r="K1109" t="s">
        <v>124</v>
      </c>
      <c r="L1109" t="s">
        <v>124</v>
      </c>
      <c r="M1109" t="s">
        <v>1761</v>
      </c>
      <c r="N1109" t="b">
        <v>0</v>
      </c>
    </row>
    <row r="1110" spans="1:14">
      <c r="A1110">
        <v>66</v>
      </c>
      <c r="B1110">
        <v>11</v>
      </c>
      <c r="C1110" t="s">
        <v>168</v>
      </c>
      <c r="D1110" t="s">
        <v>722</v>
      </c>
      <c r="E1110" t="s">
        <v>104</v>
      </c>
      <c r="F1110">
        <v>50</v>
      </c>
      <c r="G1110" t="s">
        <v>124</v>
      </c>
      <c r="H1110" t="s">
        <v>124</v>
      </c>
      <c r="I1110" t="s">
        <v>104</v>
      </c>
      <c r="J1110" t="s">
        <v>124</v>
      </c>
      <c r="K1110" t="s">
        <v>124</v>
      </c>
      <c r="L1110" t="s">
        <v>124</v>
      </c>
      <c r="M1110" t="s">
        <v>1762</v>
      </c>
      <c r="N1110" t="b">
        <v>0</v>
      </c>
    </row>
    <row r="1111" spans="1:14">
      <c r="A1111">
        <v>66</v>
      </c>
      <c r="B1111">
        <v>12</v>
      </c>
      <c r="C1111" t="s">
        <v>221</v>
      </c>
      <c r="D1111" t="s">
        <v>722</v>
      </c>
      <c r="E1111" t="s">
        <v>105</v>
      </c>
      <c r="F1111">
        <v>50</v>
      </c>
      <c r="G1111" t="s">
        <v>124</v>
      </c>
      <c r="H1111" t="s">
        <v>124</v>
      </c>
      <c r="I1111" t="s">
        <v>105</v>
      </c>
      <c r="J1111" t="s">
        <v>124</v>
      </c>
      <c r="K1111" t="s">
        <v>124</v>
      </c>
      <c r="L1111" t="s">
        <v>124</v>
      </c>
      <c r="M1111" t="s">
        <v>1763</v>
      </c>
      <c r="N1111" t="b">
        <v>0</v>
      </c>
    </row>
    <row r="1112" spans="1:14">
      <c r="A1112">
        <v>66</v>
      </c>
      <c r="B1112">
        <v>13</v>
      </c>
      <c r="C1112" t="s">
        <v>193</v>
      </c>
      <c r="D1112" t="s">
        <v>722</v>
      </c>
      <c r="E1112" t="s">
        <v>106</v>
      </c>
      <c r="F1112">
        <v>60</v>
      </c>
      <c r="G1112" t="s">
        <v>124</v>
      </c>
      <c r="H1112" t="s">
        <v>124</v>
      </c>
      <c r="I1112" t="s">
        <v>106</v>
      </c>
      <c r="J1112" t="s">
        <v>124</v>
      </c>
      <c r="K1112" t="s">
        <v>124</v>
      </c>
      <c r="L1112" t="s">
        <v>124</v>
      </c>
      <c r="M1112" t="s">
        <v>1764</v>
      </c>
      <c r="N1112" t="b">
        <v>0</v>
      </c>
    </row>
    <row r="1113" spans="1:14">
      <c r="A1113">
        <v>66</v>
      </c>
      <c r="B1113">
        <v>14</v>
      </c>
      <c r="C1113" t="s">
        <v>124</v>
      </c>
      <c r="D1113" t="s">
        <v>722</v>
      </c>
      <c r="E1113" t="s">
        <v>124</v>
      </c>
      <c r="F1113">
        <v>0</v>
      </c>
      <c r="G1113" t="s">
        <v>124</v>
      </c>
      <c r="H1113" t="s">
        <v>124</v>
      </c>
      <c r="I1113" t="s">
        <v>124</v>
      </c>
      <c r="J1113" t="s">
        <v>124</v>
      </c>
      <c r="K1113" t="s">
        <v>124</v>
      </c>
      <c r="L1113" t="s">
        <v>124</v>
      </c>
      <c r="M1113" t="s">
        <v>1765</v>
      </c>
      <c r="N1113" t="b">
        <v>0</v>
      </c>
    </row>
    <row r="1114" spans="1:14">
      <c r="A1114">
        <v>66</v>
      </c>
      <c r="B1114">
        <v>15</v>
      </c>
      <c r="C1114" t="s">
        <v>124</v>
      </c>
      <c r="D1114" t="s">
        <v>722</v>
      </c>
      <c r="E1114" t="s">
        <v>124</v>
      </c>
      <c r="F1114">
        <v>0</v>
      </c>
      <c r="G1114" t="s">
        <v>124</v>
      </c>
      <c r="H1114" t="s">
        <v>124</v>
      </c>
      <c r="I1114" t="s">
        <v>124</v>
      </c>
      <c r="J1114" t="s">
        <v>124</v>
      </c>
      <c r="K1114" t="s">
        <v>124</v>
      </c>
      <c r="L1114" t="s">
        <v>124</v>
      </c>
      <c r="M1114" t="s">
        <v>1766</v>
      </c>
      <c r="N1114" t="b">
        <v>0</v>
      </c>
    </row>
    <row r="1115" spans="1:14">
      <c r="A1115">
        <v>66</v>
      </c>
      <c r="B1115">
        <v>16</v>
      </c>
      <c r="C1115" t="s">
        <v>124</v>
      </c>
      <c r="D1115" t="s">
        <v>739</v>
      </c>
      <c r="E1115" t="s">
        <v>124</v>
      </c>
      <c r="F1115">
        <v>0</v>
      </c>
      <c r="G1115" t="s">
        <v>124</v>
      </c>
      <c r="H1115" t="s">
        <v>124</v>
      </c>
      <c r="I1115" t="s">
        <v>124</v>
      </c>
      <c r="J1115" t="s">
        <v>124</v>
      </c>
      <c r="K1115" t="s">
        <v>124</v>
      </c>
      <c r="L1115" t="s">
        <v>124</v>
      </c>
      <c r="M1115" t="s">
        <v>1767</v>
      </c>
      <c r="N1115" t="b">
        <v>0</v>
      </c>
    </row>
    <row r="1116" spans="1:14">
      <c r="A1116">
        <v>66</v>
      </c>
      <c r="B1116">
        <v>17</v>
      </c>
      <c r="C1116" t="s">
        <v>124</v>
      </c>
      <c r="D1116" t="s">
        <v>739</v>
      </c>
      <c r="E1116" t="s">
        <v>124</v>
      </c>
      <c r="F1116">
        <v>0</v>
      </c>
      <c r="G1116" t="s">
        <v>124</v>
      </c>
      <c r="H1116" t="s">
        <v>124</v>
      </c>
      <c r="I1116" t="s">
        <v>124</v>
      </c>
      <c r="J1116" t="s">
        <v>124</v>
      </c>
      <c r="K1116" t="s">
        <v>124</v>
      </c>
      <c r="L1116" t="s">
        <v>124</v>
      </c>
      <c r="M1116" t="s">
        <v>1768</v>
      </c>
      <c r="N1116" t="b">
        <v>0</v>
      </c>
    </row>
    <row r="1117" spans="1:14">
      <c r="A1117">
        <v>66</v>
      </c>
      <c r="B1117">
        <v>18</v>
      </c>
      <c r="C1117" t="s">
        <v>124</v>
      </c>
      <c r="D1117" t="s">
        <v>739</v>
      </c>
      <c r="E1117" t="s">
        <v>124</v>
      </c>
      <c r="F1117">
        <v>0</v>
      </c>
      <c r="G1117" t="s">
        <v>124</v>
      </c>
      <c r="H1117" t="s">
        <v>124</v>
      </c>
      <c r="I1117" t="s">
        <v>124</v>
      </c>
      <c r="J1117" t="s">
        <v>124</v>
      </c>
      <c r="K1117" t="s">
        <v>124</v>
      </c>
      <c r="L1117" t="s">
        <v>124</v>
      </c>
      <c r="M1117" t="s">
        <v>1769</v>
      </c>
      <c r="N1117" t="b">
        <v>0</v>
      </c>
    </row>
    <row r="1118" spans="1:14">
      <c r="A1118">
        <v>66</v>
      </c>
      <c r="B1118">
        <v>19</v>
      </c>
      <c r="C1118" t="s">
        <v>124</v>
      </c>
      <c r="D1118" t="s">
        <v>739</v>
      </c>
      <c r="E1118" t="s">
        <v>124</v>
      </c>
      <c r="F1118">
        <v>0</v>
      </c>
      <c r="G1118" t="s">
        <v>124</v>
      </c>
      <c r="H1118" t="s">
        <v>124</v>
      </c>
      <c r="I1118" t="s">
        <v>124</v>
      </c>
      <c r="J1118" t="s">
        <v>124</v>
      </c>
      <c r="K1118" t="s">
        <v>124</v>
      </c>
      <c r="L1118" t="s">
        <v>124</v>
      </c>
      <c r="M1118" t="s">
        <v>1770</v>
      </c>
      <c r="N1118" t="b">
        <v>0</v>
      </c>
    </row>
    <row r="1119" spans="1:14">
      <c r="A1119">
        <v>66</v>
      </c>
      <c r="B1119">
        <v>20</v>
      </c>
      <c r="C1119" t="s">
        <v>124</v>
      </c>
      <c r="D1119" t="s">
        <v>739</v>
      </c>
      <c r="E1119" t="s">
        <v>124</v>
      </c>
      <c r="F1119">
        <v>0</v>
      </c>
      <c r="G1119" t="s">
        <v>124</v>
      </c>
      <c r="H1119" t="s">
        <v>124</v>
      </c>
      <c r="I1119" t="s">
        <v>124</v>
      </c>
      <c r="J1119" t="s">
        <v>124</v>
      </c>
      <c r="K1119" t="s">
        <v>124</v>
      </c>
      <c r="L1119" t="s">
        <v>124</v>
      </c>
      <c r="M1119" t="s">
        <v>1771</v>
      </c>
      <c r="N1119" t="b">
        <v>0</v>
      </c>
    </row>
    <row r="1120" spans="1:14">
      <c r="A1120">
        <v>66</v>
      </c>
      <c r="B1120">
        <v>21</v>
      </c>
      <c r="C1120" t="s">
        <v>124</v>
      </c>
      <c r="D1120" t="s">
        <v>739</v>
      </c>
      <c r="E1120" t="s">
        <v>124</v>
      </c>
      <c r="F1120">
        <v>0</v>
      </c>
      <c r="G1120" t="s">
        <v>124</v>
      </c>
      <c r="H1120" t="s">
        <v>124</v>
      </c>
      <c r="I1120" t="s">
        <v>124</v>
      </c>
      <c r="J1120" t="s">
        <v>124</v>
      </c>
      <c r="K1120" t="s">
        <v>124</v>
      </c>
      <c r="L1120" t="s">
        <v>124</v>
      </c>
      <c r="M1120" t="s">
        <v>1772</v>
      </c>
      <c r="N1120" t="b">
        <v>0</v>
      </c>
    </row>
    <row r="1121" spans="1:14">
      <c r="A1121">
        <v>66</v>
      </c>
      <c r="B1121">
        <v>22</v>
      </c>
      <c r="C1121" t="s">
        <v>124</v>
      </c>
      <c r="D1121" t="s">
        <v>739</v>
      </c>
      <c r="E1121" t="s">
        <v>124</v>
      </c>
      <c r="F1121">
        <v>0</v>
      </c>
      <c r="G1121" t="s">
        <v>124</v>
      </c>
      <c r="H1121" t="s">
        <v>124</v>
      </c>
      <c r="I1121" t="s">
        <v>124</v>
      </c>
      <c r="J1121" t="s">
        <v>124</v>
      </c>
      <c r="K1121" t="s">
        <v>124</v>
      </c>
      <c r="L1121" t="s">
        <v>124</v>
      </c>
      <c r="M1121" t="s">
        <v>1773</v>
      </c>
      <c r="N1121" t="b">
        <v>0</v>
      </c>
    </row>
    <row r="1122" spans="1:14">
      <c r="A1122">
        <v>66</v>
      </c>
      <c r="B1122">
        <v>23</v>
      </c>
      <c r="C1122" t="s">
        <v>124</v>
      </c>
      <c r="D1122" t="s">
        <v>739</v>
      </c>
      <c r="E1122" t="s">
        <v>124</v>
      </c>
      <c r="F1122">
        <v>0</v>
      </c>
      <c r="G1122" t="s">
        <v>124</v>
      </c>
      <c r="H1122" t="s">
        <v>124</v>
      </c>
      <c r="I1122" t="s">
        <v>124</v>
      </c>
      <c r="J1122" t="s">
        <v>124</v>
      </c>
      <c r="K1122" t="s">
        <v>124</v>
      </c>
      <c r="L1122" t="s">
        <v>124</v>
      </c>
      <c r="M1122" t="s">
        <v>1774</v>
      </c>
      <c r="N1122" t="b">
        <v>0</v>
      </c>
    </row>
    <row r="1123" spans="1:14">
      <c r="A1123">
        <v>66</v>
      </c>
      <c r="B1123">
        <v>24</v>
      </c>
      <c r="C1123" t="s">
        <v>124</v>
      </c>
      <c r="D1123" t="s">
        <v>739</v>
      </c>
      <c r="E1123" t="s">
        <v>124</v>
      </c>
      <c r="F1123">
        <v>0</v>
      </c>
      <c r="G1123" t="s">
        <v>124</v>
      </c>
      <c r="H1123" t="s">
        <v>124</v>
      </c>
      <c r="I1123" t="s">
        <v>124</v>
      </c>
      <c r="J1123" t="s">
        <v>124</v>
      </c>
      <c r="K1123" t="s">
        <v>124</v>
      </c>
      <c r="L1123" t="s">
        <v>124</v>
      </c>
      <c r="M1123" t="s">
        <v>1775</v>
      </c>
      <c r="N1123" t="b">
        <v>0</v>
      </c>
    </row>
    <row r="1124" spans="1:14">
      <c r="A1124">
        <v>66</v>
      </c>
      <c r="B1124">
        <v>25</v>
      </c>
      <c r="C1124" t="s">
        <v>124</v>
      </c>
      <c r="D1124" t="s">
        <v>739</v>
      </c>
      <c r="E1124" t="s">
        <v>124</v>
      </c>
      <c r="F1124">
        <v>0</v>
      </c>
      <c r="G1124" t="s">
        <v>124</v>
      </c>
      <c r="H1124" t="s">
        <v>124</v>
      </c>
      <c r="I1124" t="s">
        <v>124</v>
      </c>
      <c r="J1124" t="s">
        <v>124</v>
      </c>
      <c r="K1124" t="s">
        <v>124</v>
      </c>
      <c r="L1124" t="s">
        <v>124</v>
      </c>
      <c r="M1124" t="s">
        <v>1776</v>
      </c>
      <c r="N1124" t="b">
        <v>0</v>
      </c>
    </row>
    <row r="1125" spans="1:14">
      <c r="A1125">
        <v>66</v>
      </c>
      <c r="B1125">
        <v>26</v>
      </c>
      <c r="C1125" t="s">
        <v>124</v>
      </c>
      <c r="D1125" t="s">
        <v>739</v>
      </c>
      <c r="E1125" t="s">
        <v>124</v>
      </c>
      <c r="F1125">
        <v>0</v>
      </c>
      <c r="G1125" t="s">
        <v>124</v>
      </c>
      <c r="H1125" t="s">
        <v>124</v>
      </c>
      <c r="I1125" t="s">
        <v>124</v>
      </c>
      <c r="J1125" t="s">
        <v>124</v>
      </c>
      <c r="K1125" t="s">
        <v>124</v>
      </c>
      <c r="L1125" t="s">
        <v>124</v>
      </c>
      <c r="M1125" t="s">
        <v>1777</v>
      </c>
      <c r="N1125" t="b">
        <v>0</v>
      </c>
    </row>
    <row r="1126" spans="1:14">
      <c r="A1126">
        <v>68</v>
      </c>
      <c r="B1126">
        <v>0</v>
      </c>
      <c r="C1126" t="s">
        <v>214</v>
      </c>
      <c r="D1126" t="s">
        <v>722</v>
      </c>
      <c r="E1126" t="s">
        <v>63</v>
      </c>
      <c r="F1126">
        <v>60</v>
      </c>
      <c r="G1126" t="s">
        <v>124</v>
      </c>
      <c r="H1126" t="s">
        <v>124</v>
      </c>
      <c r="I1126" t="s">
        <v>63</v>
      </c>
      <c r="J1126" t="s">
        <v>124</v>
      </c>
      <c r="K1126" t="s">
        <v>124</v>
      </c>
      <c r="L1126" t="s">
        <v>124</v>
      </c>
      <c r="M1126" t="s">
        <v>1778</v>
      </c>
      <c r="N1126" t="b">
        <v>0</v>
      </c>
    </row>
    <row r="1127" spans="1:14">
      <c r="A1127">
        <v>68</v>
      </c>
      <c r="B1127">
        <v>1</v>
      </c>
      <c r="C1127" t="s">
        <v>224</v>
      </c>
      <c r="D1127" t="s">
        <v>722</v>
      </c>
      <c r="E1127" t="s">
        <v>75</v>
      </c>
      <c r="F1127">
        <v>50</v>
      </c>
      <c r="G1127" t="s">
        <v>124</v>
      </c>
      <c r="H1127" t="s">
        <v>124</v>
      </c>
      <c r="I1127" t="s">
        <v>75</v>
      </c>
      <c r="J1127" t="s">
        <v>124</v>
      </c>
      <c r="K1127" t="s">
        <v>124</v>
      </c>
      <c r="L1127" t="s">
        <v>124</v>
      </c>
      <c r="M1127" t="s">
        <v>1779</v>
      </c>
      <c r="N1127" t="b">
        <v>0</v>
      </c>
    </row>
    <row r="1128" spans="1:14">
      <c r="A1128">
        <v>68</v>
      </c>
      <c r="B1128">
        <v>2</v>
      </c>
      <c r="C1128" t="s">
        <v>216</v>
      </c>
      <c r="D1128" t="s">
        <v>722</v>
      </c>
      <c r="E1128" t="s">
        <v>93</v>
      </c>
      <c r="F1128">
        <v>40</v>
      </c>
      <c r="G1128" t="s">
        <v>124</v>
      </c>
      <c r="H1128" t="s">
        <v>124</v>
      </c>
      <c r="I1128" t="s">
        <v>93</v>
      </c>
      <c r="J1128" t="s">
        <v>124</v>
      </c>
      <c r="K1128" t="s">
        <v>124</v>
      </c>
      <c r="L1128" t="s">
        <v>124</v>
      </c>
      <c r="M1128" t="s">
        <v>1780</v>
      </c>
      <c r="N1128" t="b">
        <v>0</v>
      </c>
    </row>
    <row r="1129" spans="1:14">
      <c r="A1129">
        <v>68</v>
      </c>
      <c r="B1129">
        <v>3</v>
      </c>
      <c r="C1129" t="s">
        <v>217</v>
      </c>
      <c r="D1129" t="s">
        <v>722</v>
      </c>
      <c r="E1129" t="s">
        <v>99</v>
      </c>
      <c r="F1129">
        <v>60</v>
      </c>
      <c r="G1129" t="s">
        <v>124</v>
      </c>
      <c r="H1129" t="s">
        <v>124</v>
      </c>
      <c r="I1129" t="s">
        <v>99</v>
      </c>
      <c r="J1129" t="s">
        <v>124</v>
      </c>
      <c r="K1129" t="s">
        <v>124</v>
      </c>
      <c r="L1129" t="s">
        <v>124</v>
      </c>
      <c r="M1129" t="s">
        <v>1781</v>
      </c>
      <c r="N1129" t="b">
        <v>0</v>
      </c>
    </row>
    <row r="1130" spans="1:14">
      <c r="A1130">
        <v>68</v>
      </c>
      <c r="B1130">
        <v>4</v>
      </c>
      <c r="C1130" t="s">
        <v>158</v>
      </c>
      <c r="D1130" t="s">
        <v>751</v>
      </c>
      <c r="E1130" t="s">
        <v>295</v>
      </c>
      <c r="F1130">
        <v>40</v>
      </c>
      <c r="G1130" t="s">
        <v>758</v>
      </c>
      <c r="H1130" t="s">
        <v>124</v>
      </c>
      <c r="I1130" t="s">
        <v>124</v>
      </c>
      <c r="J1130" t="s">
        <v>759</v>
      </c>
      <c r="K1130" t="s">
        <v>760</v>
      </c>
      <c r="L1130" t="s">
        <v>761</v>
      </c>
      <c r="M1130" t="s">
        <v>1782</v>
      </c>
      <c r="N1130" t="b">
        <v>0</v>
      </c>
    </row>
    <row r="1131" spans="1:14">
      <c r="A1131">
        <v>68</v>
      </c>
      <c r="B1131">
        <v>5</v>
      </c>
      <c r="C1131" t="s">
        <v>196</v>
      </c>
      <c r="D1131" t="s">
        <v>722</v>
      </c>
      <c r="E1131" t="s">
        <v>111</v>
      </c>
      <c r="F1131">
        <v>50</v>
      </c>
      <c r="G1131" t="s">
        <v>124</v>
      </c>
      <c r="H1131" t="s">
        <v>124</v>
      </c>
      <c r="I1131" t="s">
        <v>111</v>
      </c>
      <c r="J1131" t="s">
        <v>124</v>
      </c>
      <c r="K1131" t="s">
        <v>124</v>
      </c>
      <c r="L1131" t="s">
        <v>124</v>
      </c>
      <c r="M1131" t="s">
        <v>1783</v>
      </c>
      <c r="N1131" t="b">
        <v>0</v>
      </c>
    </row>
    <row r="1132" spans="1:14">
      <c r="A1132">
        <v>68</v>
      </c>
      <c r="B1132">
        <v>6</v>
      </c>
      <c r="C1132" t="s">
        <v>315</v>
      </c>
      <c r="D1132" t="s">
        <v>722</v>
      </c>
      <c r="E1132" t="s">
        <v>113</v>
      </c>
      <c r="F1132">
        <v>30</v>
      </c>
      <c r="G1132" t="s">
        <v>124</v>
      </c>
      <c r="H1132" t="s">
        <v>124</v>
      </c>
      <c r="I1132" t="s">
        <v>113</v>
      </c>
      <c r="J1132" t="s">
        <v>124</v>
      </c>
      <c r="K1132" t="s">
        <v>124</v>
      </c>
      <c r="L1132" t="s">
        <v>124</v>
      </c>
      <c r="M1132" t="s">
        <v>1784</v>
      </c>
      <c r="N1132" t="b">
        <v>0</v>
      </c>
    </row>
    <row r="1133" spans="1:14">
      <c r="A1133">
        <v>68</v>
      </c>
      <c r="B1133">
        <v>7</v>
      </c>
      <c r="C1133" t="s">
        <v>218</v>
      </c>
      <c r="D1133" t="s">
        <v>722</v>
      </c>
      <c r="E1133" t="s">
        <v>66</v>
      </c>
      <c r="F1133">
        <v>50</v>
      </c>
      <c r="G1133" t="s">
        <v>124</v>
      </c>
      <c r="H1133" t="s">
        <v>124</v>
      </c>
      <c r="I1133" t="s">
        <v>66</v>
      </c>
      <c r="J1133" t="s">
        <v>124</v>
      </c>
      <c r="K1133" t="s">
        <v>124</v>
      </c>
      <c r="L1133" t="s">
        <v>124</v>
      </c>
      <c r="M1133" t="s">
        <v>1785</v>
      </c>
      <c r="N1133" t="b">
        <v>0</v>
      </c>
    </row>
    <row r="1134" spans="1:14">
      <c r="A1134">
        <v>68</v>
      </c>
      <c r="B1134">
        <v>8</v>
      </c>
      <c r="C1134" t="s">
        <v>404</v>
      </c>
      <c r="D1134" t="s">
        <v>722</v>
      </c>
      <c r="E1134" t="s">
        <v>329</v>
      </c>
      <c r="F1134">
        <v>50</v>
      </c>
      <c r="G1134" t="s">
        <v>124</v>
      </c>
      <c r="H1134" t="s">
        <v>546</v>
      </c>
      <c r="I1134" t="s">
        <v>443</v>
      </c>
      <c r="J1134" t="s">
        <v>124</v>
      </c>
      <c r="K1134" t="s">
        <v>919</v>
      </c>
      <c r="L1134" t="s">
        <v>920</v>
      </c>
      <c r="M1134" t="s">
        <v>1786</v>
      </c>
      <c r="N1134" t="b">
        <v>0</v>
      </c>
    </row>
    <row r="1135" spans="1:14">
      <c r="A1135">
        <v>68</v>
      </c>
      <c r="B1135">
        <v>9</v>
      </c>
      <c r="C1135" t="s">
        <v>165</v>
      </c>
      <c r="D1135" t="s">
        <v>722</v>
      </c>
      <c r="E1135" t="s">
        <v>72</v>
      </c>
      <c r="F1135">
        <v>50</v>
      </c>
      <c r="G1135" t="s">
        <v>124</v>
      </c>
      <c r="H1135" t="s">
        <v>124</v>
      </c>
      <c r="I1135" t="s">
        <v>72</v>
      </c>
      <c r="J1135" t="s">
        <v>124</v>
      </c>
      <c r="K1135" t="s">
        <v>124</v>
      </c>
      <c r="L1135" t="s">
        <v>124</v>
      </c>
      <c r="M1135" t="s">
        <v>1787</v>
      </c>
      <c r="N1135" t="b">
        <v>0</v>
      </c>
    </row>
    <row r="1136" spans="1:14">
      <c r="A1136">
        <v>68</v>
      </c>
      <c r="B1136">
        <v>10</v>
      </c>
      <c r="C1136" t="s">
        <v>161</v>
      </c>
      <c r="D1136" t="s">
        <v>722</v>
      </c>
      <c r="E1136" t="s">
        <v>76</v>
      </c>
      <c r="F1136">
        <v>40</v>
      </c>
      <c r="G1136" t="s">
        <v>124</v>
      </c>
      <c r="H1136" t="s">
        <v>124</v>
      </c>
      <c r="I1136" t="s">
        <v>76</v>
      </c>
      <c r="J1136" t="s">
        <v>124</v>
      </c>
      <c r="K1136" t="s">
        <v>124</v>
      </c>
      <c r="L1136" t="s">
        <v>124</v>
      </c>
      <c r="M1136" t="s">
        <v>1788</v>
      </c>
      <c r="N1136" t="b">
        <v>0</v>
      </c>
    </row>
    <row r="1137" spans="1:14">
      <c r="A1137">
        <v>68</v>
      </c>
      <c r="B1137">
        <v>11</v>
      </c>
      <c r="C1137" t="s">
        <v>220</v>
      </c>
      <c r="D1137" t="s">
        <v>722</v>
      </c>
      <c r="E1137" t="s">
        <v>100</v>
      </c>
      <c r="F1137">
        <v>50</v>
      </c>
      <c r="G1137" t="s">
        <v>124</v>
      </c>
      <c r="H1137" t="s">
        <v>124</v>
      </c>
      <c r="I1137" t="s">
        <v>100</v>
      </c>
      <c r="J1137" t="s">
        <v>124</v>
      </c>
      <c r="K1137" t="s">
        <v>124</v>
      </c>
      <c r="L1137" t="s">
        <v>124</v>
      </c>
      <c r="M1137" t="s">
        <v>1789</v>
      </c>
      <c r="N1137" t="b">
        <v>0</v>
      </c>
    </row>
    <row r="1138" spans="1:14">
      <c r="A1138">
        <v>68</v>
      </c>
      <c r="B1138">
        <v>12</v>
      </c>
      <c r="C1138" t="s">
        <v>168</v>
      </c>
      <c r="D1138" t="s">
        <v>722</v>
      </c>
      <c r="E1138" t="s">
        <v>104</v>
      </c>
      <c r="F1138">
        <v>50</v>
      </c>
      <c r="G1138" t="s">
        <v>124</v>
      </c>
      <c r="H1138" t="s">
        <v>124</v>
      </c>
      <c r="I1138" t="s">
        <v>104</v>
      </c>
      <c r="J1138" t="s">
        <v>124</v>
      </c>
      <c r="K1138" t="s">
        <v>124</v>
      </c>
      <c r="L1138" t="s">
        <v>124</v>
      </c>
      <c r="M1138" t="s">
        <v>1790</v>
      </c>
      <c r="N1138" t="b">
        <v>0</v>
      </c>
    </row>
    <row r="1139" spans="1:14">
      <c r="A1139">
        <v>68</v>
      </c>
      <c r="B1139">
        <v>13</v>
      </c>
      <c r="C1139" t="s">
        <v>269</v>
      </c>
      <c r="D1139" t="s">
        <v>722</v>
      </c>
      <c r="E1139" t="s">
        <v>105</v>
      </c>
      <c r="F1139">
        <v>40</v>
      </c>
      <c r="G1139" t="s">
        <v>124</v>
      </c>
      <c r="H1139" t="s">
        <v>124</v>
      </c>
      <c r="I1139" t="s">
        <v>105</v>
      </c>
      <c r="J1139" t="s">
        <v>124</v>
      </c>
      <c r="K1139" t="s">
        <v>124</v>
      </c>
      <c r="L1139" t="s">
        <v>124</v>
      </c>
      <c r="M1139" t="s">
        <v>1791</v>
      </c>
      <c r="N1139" t="b">
        <v>0</v>
      </c>
    </row>
    <row r="1140" spans="1:14">
      <c r="A1140">
        <v>68</v>
      </c>
      <c r="B1140">
        <v>14</v>
      </c>
      <c r="C1140" t="s">
        <v>193</v>
      </c>
      <c r="D1140" t="s">
        <v>722</v>
      </c>
      <c r="E1140" t="s">
        <v>106</v>
      </c>
      <c r="F1140">
        <v>60</v>
      </c>
      <c r="G1140" t="s">
        <v>124</v>
      </c>
      <c r="H1140" t="s">
        <v>124</v>
      </c>
      <c r="I1140" t="s">
        <v>106</v>
      </c>
      <c r="J1140" t="s">
        <v>124</v>
      </c>
      <c r="K1140" t="s">
        <v>124</v>
      </c>
      <c r="L1140" t="s">
        <v>124</v>
      </c>
      <c r="M1140" t="s">
        <v>1792</v>
      </c>
      <c r="N1140" t="b">
        <v>0</v>
      </c>
    </row>
    <row r="1141" spans="1:14">
      <c r="A1141">
        <v>68</v>
      </c>
      <c r="B1141">
        <v>15</v>
      </c>
      <c r="C1141" t="s">
        <v>124</v>
      </c>
      <c r="D1141" t="s">
        <v>722</v>
      </c>
      <c r="E1141" t="s">
        <v>124</v>
      </c>
      <c r="F1141">
        <v>0</v>
      </c>
      <c r="G1141" t="s">
        <v>124</v>
      </c>
      <c r="H1141" t="s">
        <v>124</v>
      </c>
      <c r="I1141" t="s">
        <v>124</v>
      </c>
      <c r="J1141" t="s">
        <v>124</v>
      </c>
      <c r="K1141" t="s">
        <v>124</v>
      </c>
      <c r="L1141" t="s">
        <v>124</v>
      </c>
      <c r="M1141" t="s">
        <v>1793</v>
      </c>
      <c r="N1141" t="b">
        <v>0</v>
      </c>
    </row>
    <row r="1142" spans="1:14">
      <c r="A1142">
        <v>68</v>
      </c>
      <c r="B1142">
        <v>16</v>
      </c>
      <c r="C1142" t="s">
        <v>124</v>
      </c>
      <c r="D1142" t="s">
        <v>739</v>
      </c>
      <c r="E1142" t="s">
        <v>124</v>
      </c>
      <c r="F1142">
        <v>0</v>
      </c>
      <c r="G1142" t="s">
        <v>124</v>
      </c>
      <c r="H1142" t="s">
        <v>124</v>
      </c>
      <c r="I1142" t="s">
        <v>124</v>
      </c>
      <c r="J1142" t="s">
        <v>124</v>
      </c>
      <c r="K1142" t="s">
        <v>124</v>
      </c>
      <c r="L1142" t="s">
        <v>124</v>
      </c>
      <c r="M1142" t="s">
        <v>1794</v>
      </c>
      <c r="N1142" t="b">
        <v>0</v>
      </c>
    </row>
    <row r="1143" spans="1:14">
      <c r="A1143">
        <v>68</v>
      </c>
      <c r="B1143">
        <v>17</v>
      </c>
      <c r="C1143" t="s">
        <v>124</v>
      </c>
      <c r="D1143" t="s">
        <v>739</v>
      </c>
      <c r="E1143" t="s">
        <v>124</v>
      </c>
      <c r="F1143">
        <v>0</v>
      </c>
      <c r="G1143" t="s">
        <v>124</v>
      </c>
      <c r="H1143" t="s">
        <v>124</v>
      </c>
      <c r="I1143" t="s">
        <v>124</v>
      </c>
      <c r="J1143" t="s">
        <v>124</v>
      </c>
      <c r="K1143" t="s">
        <v>124</v>
      </c>
      <c r="L1143" t="s">
        <v>124</v>
      </c>
      <c r="M1143" t="s">
        <v>1795</v>
      </c>
      <c r="N1143" t="b">
        <v>0</v>
      </c>
    </row>
    <row r="1144" spans="1:14">
      <c r="A1144">
        <v>68</v>
      </c>
      <c r="B1144">
        <v>18</v>
      </c>
      <c r="C1144" t="s">
        <v>124</v>
      </c>
      <c r="D1144" t="s">
        <v>739</v>
      </c>
      <c r="E1144" t="s">
        <v>124</v>
      </c>
      <c r="F1144">
        <v>0</v>
      </c>
      <c r="G1144" t="s">
        <v>124</v>
      </c>
      <c r="H1144" t="s">
        <v>124</v>
      </c>
      <c r="I1144" t="s">
        <v>124</v>
      </c>
      <c r="J1144" t="s">
        <v>124</v>
      </c>
      <c r="K1144" t="s">
        <v>124</v>
      </c>
      <c r="L1144" t="s">
        <v>124</v>
      </c>
      <c r="M1144" t="s">
        <v>1796</v>
      </c>
      <c r="N1144" t="b">
        <v>0</v>
      </c>
    </row>
    <row r="1145" spans="1:14">
      <c r="A1145">
        <v>68</v>
      </c>
      <c r="B1145">
        <v>19</v>
      </c>
      <c r="C1145" t="s">
        <v>124</v>
      </c>
      <c r="D1145" t="s">
        <v>739</v>
      </c>
      <c r="E1145" t="s">
        <v>124</v>
      </c>
      <c r="F1145">
        <v>0</v>
      </c>
      <c r="G1145" t="s">
        <v>124</v>
      </c>
      <c r="H1145" t="s">
        <v>124</v>
      </c>
      <c r="I1145" t="s">
        <v>124</v>
      </c>
      <c r="J1145" t="s">
        <v>124</v>
      </c>
      <c r="K1145" t="s">
        <v>124</v>
      </c>
      <c r="L1145" t="s">
        <v>124</v>
      </c>
      <c r="M1145" t="s">
        <v>1797</v>
      </c>
      <c r="N1145" t="b">
        <v>0</v>
      </c>
    </row>
    <row r="1146" spans="1:14">
      <c r="A1146">
        <v>68</v>
      </c>
      <c r="B1146">
        <v>20</v>
      </c>
      <c r="C1146" t="s">
        <v>124</v>
      </c>
      <c r="D1146" t="s">
        <v>739</v>
      </c>
      <c r="E1146" t="s">
        <v>124</v>
      </c>
      <c r="F1146">
        <v>0</v>
      </c>
      <c r="G1146" t="s">
        <v>124</v>
      </c>
      <c r="H1146" t="s">
        <v>124</v>
      </c>
      <c r="I1146" t="s">
        <v>124</v>
      </c>
      <c r="J1146" t="s">
        <v>124</v>
      </c>
      <c r="K1146" t="s">
        <v>124</v>
      </c>
      <c r="L1146" t="s">
        <v>124</v>
      </c>
      <c r="M1146" t="s">
        <v>1798</v>
      </c>
      <c r="N1146" t="b">
        <v>0</v>
      </c>
    </row>
    <row r="1147" spans="1:14">
      <c r="A1147">
        <v>68</v>
      </c>
      <c r="B1147">
        <v>21</v>
      </c>
      <c r="C1147" t="s">
        <v>124</v>
      </c>
      <c r="D1147" t="s">
        <v>739</v>
      </c>
      <c r="E1147" t="s">
        <v>124</v>
      </c>
      <c r="F1147">
        <v>0</v>
      </c>
      <c r="G1147" t="s">
        <v>124</v>
      </c>
      <c r="H1147" t="s">
        <v>124</v>
      </c>
      <c r="I1147" t="s">
        <v>124</v>
      </c>
      <c r="J1147" t="s">
        <v>124</v>
      </c>
      <c r="K1147" t="s">
        <v>124</v>
      </c>
      <c r="L1147" t="s">
        <v>124</v>
      </c>
      <c r="M1147" t="s">
        <v>1799</v>
      </c>
      <c r="N1147" t="b">
        <v>0</v>
      </c>
    </row>
    <row r="1148" spans="1:14">
      <c r="A1148">
        <v>68</v>
      </c>
      <c r="B1148">
        <v>22</v>
      </c>
      <c r="C1148" t="s">
        <v>124</v>
      </c>
      <c r="D1148" t="s">
        <v>739</v>
      </c>
      <c r="E1148" t="s">
        <v>124</v>
      </c>
      <c r="F1148">
        <v>0</v>
      </c>
      <c r="G1148" t="s">
        <v>124</v>
      </c>
      <c r="H1148" t="s">
        <v>124</v>
      </c>
      <c r="I1148" t="s">
        <v>124</v>
      </c>
      <c r="J1148" t="s">
        <v>124</v>
      </c>
      <c r="K1148" t="s">
        <v>124</v>
      </c>
      <c r="L1148" t="s">
        <v>124</v>
      </c>
      <c r="M1148" t="s">
        <v>1800</v>
      </c>
      <c r="N1148" t="b">
        <v>0</v>
      </c>
    </row>
    <row r="1149" spans="1:14">
      <c r="A1149">
        <v>68</v>
      </c>
      <c r="B1149">
        <v>23</v>
      </c>
      <c r="C1149" t="s">
        <v>124</v>
      </c>
      <c r="D1149" t="s">
        <v>739</v>
      </c>
      <c r="E1149" t="s">
        <v>124</v>
      </c>
      <c r="F1149">
        <v>0</v>
      </c>
      <c r="G1149" t="s">
        <v>124</v>
      </c>
      <c r="H1149" t="s">
        <v>124</v>
      </c>
      <c r="I1149" t="s">
        <v>124</v>
      </c>
      <c r="J1149" t="s">
        <v>124</v>
      </c>
      <c r="K1149" t="s">
        <v>124</v>
      </c>
      <c r="L1149" t="s">
        <v>124</v>
      </c>
      <c r="M1149" t="s">
        <v>1801</v>
      </c>
      <c r="N1149" t="b">
        <v>0</v>
      </c>
    </row>
    <row r="1150" spans="1:14">
      <c r="A1150">
        <v>68</v>
      </c>
      <c r="B1150">
        <v>24</v>
      </c>
      <c r="C1150" t="s">
        <v>124</v>
      </c>
      <c r="D1150" t="s">
        <v>739</v>
      </c>
      <c r="E1150" t="s">
        <v>124</v>
      </c>
      <c r="F1150">
        <v>0</v>
      </c>
      <c r="G1150" t="s">
        <v>124</v>
      </c>
      <c r="H1150" t="s">
        <v>124</v>
      </c>
      <c r="I1150" t="s">
        <v>124</v>
      </c>
      <c r="J1150" t="s">
        <v>124</v>
      </c>
      <c r="K1150" t="s">
        <v>124</v>
      </c>
      <c r="L1150" t="s">
        <v>124</v>
      </c>
      <c r="M1150" t="s">
        <v>1802</v>
      </c>
      <c r="N1150" t="b">
        <v>0</v>
      </c>
    </row>
    <row r="1151" spans="1:14">
      <c r="A1151">
        <v>68</v>
      </c>
      <c r="B1151">
        <v>25</v>
      </c>
      <c r="C1151" t="s">
        <v>124</v>
      </c>
      <c r="D1151" t="s">
        <v>739</v>
      </c>
      <c r="E1151" t="s">
        <v>124</v>
      </c>
      <c r="F1151">
        <v>0</v>
      </c>
      <c r="G1151" t="s">
        <v>124</v>
      </c>
      <c r="H1151" t="s">
        <v>124</v>
      </c>
      <c r="I1151" t="s">
        <v>124</v>
      </c>
      <c r="J1151" t="s">
        <v>124</v>
      </c>
      <c r="K1151" t="s">
        <v>124</v>
      </c>
      <c r="L1151" t="s">
        <v>124</v>
      </c>
      <c r="M1151" t="s">
        <v>1803</v>
      </c>
      <c r="N1151" t="b">
        <v>0</v>
      </c>
    </row>
    <row r="1152" spans="1:14">
      <c r="A1152">
        <v>68</v>
      </c>
      <c r="B1152">
        <v>26</v>
      </c>
      <c r="C1152" t="s">
        <v>124</v>
      </c>
      <c r="D1152" t="s">
        <v>739</v>
      </c>
      <c r="E1152" t="s">
        <v>124</v>
      </c>
      <c r="F1152">
        <v>0</v>
      </c>
      <c r="G1152" t="s">
        <v>124</v>
      </c>
      <c r="H1152" t="s">
        <v>124</v>
      </c>
      <c r="I1152" t="s">
        <v>124</v>
      </c>
      <c r="J1152" t="s">
        <v>124</v>
      </c>
      <c r="K1152" t="s">
        <v>124</v>
      </c>
      <c r="L1152" t="s">
        <v>124</v>
      </c>
      <c r="M1152" t="s">
        <v>1804</v>
      </c>
      <c r="N1152" t="b">
        <v>0</v>
      </c>
    </row>
    <row r="1153" spans="1:14">
      <c r="A1153">
        <v>69</v>
      </c>
      <c r="B1153">
        <v>0</v>
      </c>
      <c r="C1153" t="s">
        <v>242</v>
      </c>
      <c r="D1153" t="s">
        <v>722</v>
      </c>
      <c r="E1153" t="s">
        <v>58</v>
      </c>
      <c r="F1153">
        <v>40</v>
      </c>
      <c r="G1153" t="s">
        <v>124</v>
      </c>
      <c r="H1153" t="s">
        <v>124</v>
      </c>
      <c r="I1153" t="s">
        <v>58</v>
      </c>
      <c r="J1153" t="s">
        <v>124</v>
      </c>
      <c r="K1153" t="s">
        <v>124</v>
      </c>
      <c r="L1153" t="s">
        <v>124</v>
      </c>
      <c r="M1153" t="s">
        <v>1805</v>
      </c>
      <c r="N1153" t="b">
        <v>0</v>
      </c>
    </row>
    <row r="1154" spans="1:14">
      <c r="A1154">
        <v>69</v>
      </c>
      <c r="B1154">
        <v>1</v>
      </c>
      <c r="C1154" t="s">
        <v>162</v>
      </c>
      <c r="D1154" t="s">
        <v>722</v>
      </c>
      <c r="E1154" t="s">
        <v>65</v>
      </c>
      <c r="F1154">
        <v>40</v>
      </c>
      <c r="G1154" t="s">
        <v>124</v>
      </c>
      <c r="H1154" t="s">
        <v>124</v>
      </c>
      <c r="I1154" t="s">
        <v>65</v>
      </c>
      <c r="J1154" t="s">
        <v>124</v>
      </c>
      <c r="K1154" t="s">
        <v>124</v>
      </c>
      <c r="L1154" t="s">
        <v>124</v>
      </c>
      <c r="M1154" t="s">
        <v>1806</v>
      </c>
      <c r="N1154" t="b">
        <v>0</v>
      </c>
    </row>
    <row r="1155" spans="1:14">
      <c r="A1155">
        <v>69</v>
      </c>
      <c r="B1155">
        <v>2</v>
      </c>
      <c r="C1155" t="s">
        <v>327</v>
      </c>
      <c r="D1155" t="s">
        <v>722</v>
      </c>
      <c r="E1155" t="s">
        <v>75</v>
      </c>
      <c r="F1155">
        <v>40</v>
      </c>
      <c r="G1155" t="s">
        <v>124</v>
      </c>
      <c r="H1155" t="s">
        <v>124</v>
      </c>
      <c r="I1155" t="s">
        <v>75</v>
      </c>
      <c r="J1155" t="s">
        <v>124</v>
      </c>
      <c r="K1155" t="s">
        <v>124</v>
      </c>
      <c r="L1155" t="s">
        <v>124</v>
      </c>
      <c r="M1155" t="s">
        <v>1807</v>
      </c>
      <c r="N1155" t="b">
        <v>0</v>
      </c>
    </row>
    <row r="1156" spans="1:14">
      <c r="A1156">
        <v>69</v>
      </c>
      <c r="B1156">
        <v>3</v>
      </c>
      <c r="C1156" t="s">
        <v>243</v>
      </c>
      <c r="D1156" t="s">
        <v>722</v>
      </c>
      <c r="E1156" t="s">
        <v>81</v>
      </c>
      <c r="F1156">
        <v>60</v>
      </c>
      <c r="G1156" t="s">
        <v>124</v>
      </c>
      <c r="H1156" t="s">
        <v>124</v>
      </c>
      <c r="I1156" t="s">
        <v>81</v>
      </c>
      <c r="J1156" t="s">
        <v>124</v>
      </c>
      <c r="K1156" t="s">
        <v>124</v>
      </c>
      <c r="L1156" t="s">
        <v>124</v>
      </c>
      <c r="M1156" t="s">
        <v>1808</v>
      </c>
      <c r="N1156" t="b">
        <v>0</v>
      </c>
    </row>
    <row r="1157" spans="1:14">
      <c r="A1157">
        <v>69</v>
      </c>
      <c r="B1157">
        <v>4</v>
      </c>
      <c r="C1157" t="s">
        <v>406</v>
      </c>
      <c r="D1157" t="s">
        <v>722</v>
      </c>
      <c r="E1157" t="s">
        <v>94</v>
      </c>
      <c r="F1157">
        <v>40</v>
      </c>
      <c r="G1157" t="s">
        <v>124</v>
      </c>
      <c r="H1157" t="s">
        <v>124</v>
      </c>
      <c r="I1157" t="s">
        <v>94</v>
      </c>
      <c r="J1157" t="s">
        <v>124</v>
      </c>
      <c r="K1157" t="s">
        <v>124</v>
      </c>
      <c r="L1157" t="s">
        <v>124</v>
      </c>
      <c r="M1157" t="s">
        <v>1809</v>
      </c>
      <c r="N1157" t="b">
        <v>0</v>
      </c>
    </row>
    <row r="1158" spans="1:14">
      <c r="A1158">
        <v>69</v>
      </c>
      <c r="B1158">
        <v>5</v>
      </c>
      <c r="C1158" t="s">
        <v>227</v>
      </c>
      <c r="D1158" t="s">
        <v>722</v>
      </c>
      <c r="E1158" t="s">
        <v>99</v>
      </c>
      <c r="F1158">
        <v>40</v>
      </c>
      <c r="G1158" t="s">
        <v>124</v>
      </c>
      <c r="H1158" t="s">
        <v>124</v>
      </c>
      <c r="I1158" t="s">
        <v>99</v>
      </c>
      <c r="J1158" t="s">
        <v>124</v>
      </c>
      <c r="K1158" t="s">
        <v>124</v>
      </c>
      <c r="L1158" t="s">
        <v>124</v>
      </c>
      <c r="M1158" t="s">
        <v>1810</v>
      </c>
      <c r="N1158" t="b">
        <v>0</v>
      </c>
    </row>
    <row r="1159" spans="1:14">
      <c r="A1159">
        <v>69</v>
      </c>
      <c r="B1159">
        <v>6</v>
      </c>
      <c r="C1159" t="s">
        <v>157</v>
      </c>
      <c r="D1159" t="s">
        <v>751</v>
      </c>
      <c r="E1159" t="s">
        <v>295</v>
      </c>
      <c r="F1159">
        <v>50</v>
      </c>
      <c r="G1159" t="s">
        <v>758</v>
      </c>
      <c r="H1159" t="s">
        <v>124</v>
      </c>
      <c r="I1159" t="s">
        <v>124</v>
      </c>
      <c r="J1159" t="s">
        <v>759</v>
      </c>
      <c r="K1159" t="s">
        <v>760</v>
      </c>
      <c r="L1159" t="s">
        <v>761</v>
      </c>
      <c r="M1159" t="s">
        <v>1811</v>
      </c>
      <c r="N1159" t="b">
        <v>0</v>
      </c>
    </row>
    <row r="1160" spans="1:14">
      <c r="A1160">
        <v>69</v>
      </c>
      <c r="B1160">
        <v>7</v>
      </c>
      <c r="C1160" t="s">
        <v>157</v>
      </c>
      <c r="D1160" t="s">
        <v>751</v>
      </c>
      <c r="E1160" t="s">
        <v>295</v>
      </c>
      <c r="F1160">
        <v>50</v>
      </c>
      <c r="G1160" t="s">
        <v>758</v>
      </c>
      <c r="H1160" t="s">
        <v>124</v>
      </c>
      <c r="I1160" t="s">
        <v>124</v>
      </c>
      <c r="J1160" t="s">
        <v>759</v>
      </c>
      <c r="K1160" t="s">
        <v>763</v>
      </c>
      <c r="L1160" t="s">
        <v>764</v>
      </c>
      <c r="M1160" t="s">
        <v>1812</v>
      </c>
      <c r="N1160" t="b">
        <v>0</v>
      </c>
    </row>
    <row r="1161" spans="1:14">
      <c r="A1161">
        <v>69</v>
      </c>
      <c r="B1161">
        <v>8</v>
      </c>
      <c r="C1161" t="s">
        <v>158</v>
      </c>
      <c r="D1161" t="s">
        <v>751</v>
      </c>
      <c r="E1161" t="s">
        <v>295</v>
      </c>
      <c r="F1161">
        <v>40</v>
      </c>
      <c r="G1161" t="s">
        <v>758</v>
      </c>
      <c r="H1161" t="s">
        <v>124</v>
      </c>
      <c r="I1161" t="s">
        <v>124</v>
      </c>
      <c r="J1161" t="s">
        <v>759</v>
      </c>
      <c r="K1161" t="s">
        <v>999</v>
      </c>
      <c r="L1161" t="s">
        <v>1000</v>
      </c>
      <c r="M1161" t="s">
        <v>1813</v>
      </c>
      <c r="N1161" t="b">
        <v>0</v>
      </c>
    </row>
    <row r="1162" spans="1:14">
      <c r="A1162">
        <v>69</v>
      </c>
      <c r="B1162">
        <v>9</v>
      </c>
      <c r="C1162" t="s">
        <v>244</v>
      </c>
      <c r="D1162" t="s">
        <v>722</v>
      </c>
      <c r="E1162" t="s">
        <v>112</v>
      </c>
      <c r="F1162">
        <v>40</v>
      </c>
      <c r="G1162" t="s">
        <v>124</v>
      </c>
      <c r="H1162" t="s">
        <v>124</v>
      </c>
      <c r="I1162" t="s">
        <v>112</v>
      </c>
      <c r="J1162" t="s">
        <v>124</v>
      </c>
      <c r="K1162" t="s">
        <v>124</v>
      </c>
      <c r="L1162" t="s">
        <v>124</v>
      </c>
      <c r="M1162" t="s">
        <v>1814</v>
      </c>
      <c r="N1162" t="b">
        <v>0</v>
      </c>
    </row>
    <row r="1163" spans="1:14">
      <c r="A1163">
        <v>69</v>
      </c>
      <c r="B1163">
        <v>10</v>
      </c>
      <c r="C1163" t="s">
        <v>164</v>
      </c>
      <c r="D1163" t="s">
        <v>722</v>
      </c>
      <c r="E1163" t="s">
        <v>113</v>
      </c>
      <c r="F1163">
        <v>50</v>
      </c>
      <c r="G1163" t="s">
        <v>124</v>
      </c>
      <c r="H1163" t="s">
        <v>124</v>
      </c>
      <c r="I1163" t="s">
        <v>113</v>
      </c>
      <c r="J1163" t="s">
        <v>124</v>
      </c>
      <c r="K1163" t="s">
        <v>124</v>
      </c>
      <c r="L1163" t="s">
        <v>124</v>
      </c>
      <c r="M1163" t="s">
        <v>1815</v>
      </c>
      <c r="N1163" t="b">
        <v>0</v>
      </c>
    </row>
    <row r="1164" spans="1:14">
      <c r="A1164">
        <v>69</v>
      </c>
      <c r="B1164">
        <v>11</v>
      </c>
      <c r="C1164" t="s">
        <v>180</v>
      </c>
      <c r="D1164" t="s">
        <v>722</v>
      </c>
      <c r="E1164" t="s">
        <v>59</v>
      </c>
      <c r="F1164">
        <v>40</v>
      </c>
      <c r="G1164" t="s">
        <v>124</v>
      </c>
      <c r="H1164" t="s">
        <v>124</v>
      </c>
      <c r="I1164" t="s">
        <v>59</v>
      </c>
      <c r="J1164" t="s">
        <v>124</v>
      </c>
      <c r="K1164" t="s">
        <v>124</v>
      </c>
      <c r="L1164" t="s">
        <v>124</v>
      </c>
      <c r="M1164" t="s">
        <v>1816</v>
      </c>
      <c r="N1164" t="b">
        <v>0</v>
      </c>
    </row>
    <row r="1165" spans="1:14">
      <c r="A1165">
        <v>69</v>
      </c>
      <c r="B1165">
        <v>12</v>
      </c>
      <c r="C1165" t="s">
        <v>191</v>
      </c>
      <c r="D1165" t="s">
        <v>722</v>
      </c>
      <c r="E1165" t="s">
        <v>76</v>
      </c>
      <c r="F1165">
        <v>50</v>
      </c>
      <c r="G1165" t="s">
        <v>124</v>
      </c>
      <c r="H1165" t="s">
        <v>124</v>
      </c>
      <c r="I1165" t="s">
        <v>76</v>
      </c>
      <c r="J1165" t="s">
        <v>124</v>
      </c>
      <c r="K1165" t="s">
        <v>124</v>
      </c>
      <c r="L1165" t="s">
        <v>124</v>
      </c>
      <c r="M1165" t="s">
        <v>1817</v>
      </c>
      <c r="N1165" t="b">
        <v>0</v>
      </c>
    </row>
    <row r="1166" spans="1:14">
      <c r="A1166">
        <v>69</v>
      </c>
      <c r="B1166">
        <v>13</v>
      </c>
      <c r="C1166" t="s">
        <v>220</v>
      </c>
      <c r="D1166" t="s">
        <v>722</v>
      </c>
      <c r="E1166" t="s">
        <v>100</v>
      </c>
      <c r="F1166">
        <v>50</v>
      </c>
      <c r="G1166" t="s">
        <v>124</v>
      </c>
      <c r="H1166" t="s">
        <v>124</v>
      </c>
      <c r="I1166" t="s">
        <v>100</v>
      </c>
      <c r="J1166" t="s">
        <v>124</v>
      </c>
      <c r="K1166" t="s">
        <v>124</v>
      </c>
      <c r="L1166" t="s">
        <v>124</v>
      </c>
      <c r="M1166" t="s">
        <v>1818</v>
      </c>
      <c r="N1166" t="b">
        <v>0</v>
      </c>
    </row>
    <row r="1167" spans="1:14">
      <c r="A1167">
        <v>69</v>
      </c>
      <c r="B1167">
        <v>14</v>
      </c>
      <c r="C1167" t="s">
        <v>193</v>
      </c>
      <c r="D1167" t="s">
        <v>722</v>
      </c>
      <c r="E1167" t="s">
        <v>106</v>
      </c>
      <c r="F1167">
        <v>60</v>
      </c>
      <c r="G1167" t="s">
        <v>124</v>
      </c>
      <c r="H1167" t="s">
        <v>124</v>
      </c>
      <c r="I1167" t="s">
        <v>106</v>
      </c>
      <c r="J1167" t="s">
        <v>124</v>
      </c>
      <c r="K1167" t="s">
        <v>124</v>
      </c>
      <c r="L1167" t="s">
        <v>124</v>
      </c>
      <c r="M1167" t="s">
        <v>1819</v>
      </c>
      <c r="N1167" t="b">
        <v>0</v>
      </c>
    </row>
    <row r="1168" spans="1:14">
      <c r="A1168">
        <v>69</v>
      </c>
      <c r="B1168">
        <v>15</v>
      </c>
      <c r="C1168" t="s">
        <v>124</v>
      </c>
      <c r="D1168" t="s">
        <v>722</v>
      </c>
      <c r="E1168" t="s">
        <v>124</v>
      </c>
      <c r="F1168">
        <v>0</v>
      </c>
      <c r="G1168" t="s">
        <v>124</v>
      </c>
      <c r="H1168" t="s">
        <v>124</v>
      </c>
      <c r="I1168" t="s">
        <v>124</v>
      </c>
      <c r="J1168" t="s">
        <v>124</v>
      </c>
      <c r="K1168" t="s">
        <v>124</v>
      </c>
      <c r="L1168" t="s">
        <v>124</v>
      </c>
      <c r="M1168" t="s">
        <v>1820</v>
      </c>
      <c r="N1168" t="b">
        <v>0</v>
      </c>
    </row>
    <row r="1169" spans="1:14">
      <c r="A1169">
        <v>69</v>
      </c>
      <c r="B1169">
        <v>16</v>
      </c>
      <c r="C1169" t="s">
        <v>124</v>
      </c>
      <c r="D1169" t="s">
        <v>739</v>
      </c>
      <c r="E1169" t="s">
        <v>124</v>
      </c>
      <c r="F1169">
        <v>0</v>
      </c>
      <c r="G1169" t="s">
        <v>124</v>
      </c>
      <c r="H1169" t="s">
        <v>124</v>
      </c>
      <c r="I1169" t="s">
        <v>124</v>
      </c>
      <c r="J1169" t="s">
        <v>124</v>
      </c>
      <c r="K1169" t="s">
        <v>124</v>
      </c>
      <c r="L1169" t="s">
        <v>124</v>
      </c>
      <c r="M1169" t="s">
        <v>1821</v>
      </c>
      <c r="N1169" t="b">
        <v>0</v>
      </c>
    </row>
    <row r="1170" spans="1:14">
      <c r="A1170">
        <v>69</v>
      </c>
      <c r="B1170">
        <v>17</v>
      </c>
      <c r="C1170" t="s">
        <v>124</v>
      </c>
      <c r="D1170" t="s">
        <v>739</v>
      </c>
      <c r="E1170" t="s">
        <v>124</v>
      </c>
      <c r="F1170">
        <v>0</v>
      </c>
      <c r="G1170" t="s">
        <v>124</v>
      </c>
      <c r="H1170" t="s">
        <v>124</v>
      </c>
      <c r="I1170" t="s">
        <v>124</v>
      </c>
      <c r="J1170" t="s">
        <v>124</v>
      </c>
      <c r="K1170" t="s">
        <v>124</v>
      </c>
      <c r="L1170" t="s">
        <v>124</v>
      </c>
      <c r="M1170" t="s">
        <v>1822</v>
      </c>
      <c r="N1170" t="b">
        <v>0</v>
      </c>
    </row>
    <row r="1171" spans="1:14">
      <c r="A1171">
        <v>69</v>
      </c>
      <c r="B1171">
        <v>18</v>
      </c>
      <c r="C1171" t="s">
        <v>124</v>
      </c>
      <c r="D1171" t="s">
        <v>739</v>
      </c>
      <c r="E1171" t="s">
        <v>124</v>
      </c>
      <c r="F1171">
        <v>0</v>
      </c>
      <c r="G1171" t="s">
        <v>124</v>
      </c>
      <c r="H1171" t="s">
        <v>124</v>
      </c>
      <c r="I1171" t="s">
        <v>124</v>
      </c>
      <c r="J1171" t="s">
        <v>124</v>
      </c>
      <c r="K1171" t="s">
        <v>124</v>
      </c>
      <c r="L1171" t="s">
        <v>124</v>
      </c>
      <c r="M1171" t="s">
        <v>1823</v>
      </c>
      <c r="N1171" t="b">
        <v>0</v>
      </c>
    </row>
    <row r="1172" spans="1:14">
      <c r="A1172">
        <v>69</v>
      </c>
      <c r="B1172">
        <v>19</v>
      </c>
      <c r="C1172" t="s">
        <v>124</v>
      </c>
      <c r="D1172" t="s">
        <v>739</v>
      </c>
      <c r="E1172" t="s">
        <v>124</v>
      </c>
      <c r="F1172">
        <v>0</v>
      </c>
      <c r="G1172" t="s">
        <v>124</v>
      </c>
      <c r="H1172" t="s">
        <v>124</v>
      </c>
      <c r="I1172" t="s">
        <v>124</v>
      </c>
      <c r="J1172" t="s">
        <v>124</v>
      </c>
      <c r="K1172" t="s">
        <v>124</v>
      </c>
      <c r="L1172" t="s">
        <v>124</v>
      </c>
      <c r="M1172" t="s">
        <v>1824</v>
      </c>
      <c r="N1172" t="b">
        <v>0</v>
      </c>
    </row>
    <row r="1173" spans="1:14">
      <c r="A1173">
        <v>69</v>
      </c>
      <c r="B1173">
        <v>20</v>
      </c>
      <c r="C1173" t="s">
        <v>124</v>
      </c>
      <c r="D1173" t="s">
        <v>739</v>
      </c>
      <c r="E1173" t="s">
        <v>124</v>
      </c>
      <c r="F1173">
        <v>0</v>
      </c>
      <c r="G1173" t="s">
        <v>124</v>
      </c>
      <c r="H1173" t="s">
        <v>124</v>
      </c>
      <c r="I1173" t="s">
        <v>124</v>
      </c>
      <c r="J1173" t="s">
        <v>124</v>
      </c>
      <c r="K1173" t="s">
        <v>124</v>
      </c>
      <c r="L1173" t="s">
        <v>124</v>
      </c>
      <c r="M1173" t="s">
        <v>1825</v>
      </c>
      <c r="N1173" t="b">
        <v>0</v>
      </c>
    </row>
    <row r="1174" spans="1:14">
      <c r="A1174">
        <v>69</v>
      </c>
      <c r="B1174">
        <v>21</v>
      </c>
      <c r="C1174" t="s">
        <v>124</v>
      </c>
      <c r="D1174" t="s">
        <v>739</v>
      </c>
      <c r="E1174" t="s">
        <v>124</v>
      </c>
      <c r="F1174">
        <v>0</v>
      </c>
      <c r="G1174" t="s">
        <v>124</v>
      </c>
      <c r="H1174" t="s">
        <v>124</v>
      </c>
      <c r="I1174" t="s">
        <v>124</v>
      </c>
      <c r="J1174" t="s">
        <v>124</v>
      </c>
      <c r="K1174" t="s">
        <v>124</v>
      </c>
      <c r="L1174" t="s">
        <v>124</v>
      </c>
      <c r="M1174" t="s">
        <v>1826</v>
      </c>
      <c r="N1174" t="b">
        <v>0</v>
      </c>
    </row>
    <row r="1175" spans="1:14">
      <c r="A1175">
        <v>69</v>
      </c>
      <c r="B1175">
        <v>22</v>
      </c>
      <c r="C1175" t="s">
        <v>124</v>
      </c>
      <c r="D1175" t="s">
        <v>739</v>
      </c>
      <c r="E1175" t="s">
        <v>124</v>
      </c>
      <c r="F1175">
        <v>0</v>
      </c>
      <c r="G1175" t="s">
        <v>124</v>
      </c>
      <c r="H1175" t="s">
        <v>124</v>
      </c>
      <c r="I1175" t="s">
        <v>124</v>
      </c>
      <c r="J1175" t="s">
        <v>124</v>
      </c>
      <c r="K1175" t="s">
        <v>124</v>
      </c>
      <c r="L1175" t="s">
        <v>124</v>
      </c>
      <c r="M1175" t="s">
        <v>1827</v>
      </c>
      <c r="N1175" t="b">
        <v>0</v>
      </c>
    </row>
    <row r="1176" spans="1:14">
      <c r="A1176">
        <v>69</v>
      </c>
      <c r="B1176">
        <v>23</v>
      </c>
      <c r="C1176" t="s">
        <v>124</v>
      </c>
      <c r="D1176" t="s">
        <v>739</v>
      </c>
      <c r="E1176" t="s">
        <v>124</v>
      </c>
      <c r="F1176">
        <v>0</v>
      </c>
      <c r="G1176" t="s">
        <v>124</v>
      </c>
      <c r="H1176" t="s">
        <v>124</v>
      </c>
      <c r="I1176" t="s">
        <v>124</v>
      </c>
      <c r="J1176" t="s">
        <v>124</v>
      </c>
      <c r="K1176" t="s">
        <v>124</v>
      </c>
      <c r="L1176" t="s">
        <v>124</v>
      </c>
      <c r="M1176" t="s">
        <v>1828</v>
      </c>
      <c r="N1176" t="b">
        <v>0</v>
      </c>
    </row>
    <row r="1177" spans="1:14">
      <c r="A1177">
        <v>69</v>
      </c>
      <c r="B1177">
        <v>24</v>
      </c>
      <c r="C1177" t="s">
        <v>124</v>
      </c>
      <c r="D1177" t="s">
        <v>739</v>
      </c>
      <c r="E1177" t="s">
        <v>124</v>
      </c>
      <c r="F1177">
        <v>0</v>
      </c>
      <c r="G1177" t="s">
        <v>124</v>
      </c>
      <c r="H1177" t="s">
        <v>124</v>
      </c>
      <c r="I1177" t="s">
        <v>124</v>
      </c>
      <c r="J1177" t="s">
        <v>124</v>
      </c>
      <c r="K1177" t="s">
        <v>124</v>
      </c>
      <c r="L1177" t="s">
        <v>124</v>
      </c>
      <c r="M1177" t="s">
        <v>1829</v>
      </c>
      <c r="N1177" t="b">
        <v>0</v>
      </c>
    </row>
    <row r="1178" spans="1:14">
      <c r="A1178">
        <v>69</v>
      </c>
      <c r="B1178">
        <v>25</v>
      </c>
      <c r="C1178" t="s">
        <v>124</v>
      </c>
      <c r="D1178" t="s">
        <v>739</v>
      </c>
      <c r="E1178" t="s">
        <v>124</v>
      </c>
      <c r="F1178">
        <v>0</v>
      </c>
      <c r="G1178" t="s">
        <v>124</v>
      </c>
      <c r="H1178" t="s">
        <v>124</v>
      </c>
      <c r="I1178" t="s">
        <v>124</v>
      </c>
      <c r="J1178" t="s">
        <v>124</v>
      </c>
      <c r="K1178" t="s">
        <v>124</v>
      </c>
      <c r="L1178" t="s">
        <v>124</v>
      </c>
      <c r="M1178" t="s">
        <v>1830</v>
      </c>
      <c r="N1178" t="b">
        <v>0</v>
      </c>
    </row>
    <row r="1179" spans="1:14">
      <c r="A1179">
        <v>69</v>
      </c>
      <c r="B1179">
        <v>26</v>
      </c>
      <c r="C1179" t="s">
        <v>124</v>
      </c>
      <c r="D1179" t="s">
        <v>739</v>
      </c>
      <c r="E1179" t="s">
        <v>124</v>
      </c>
      <c r="F1179">
        <v>0</v>
      </c>
      <c r="G1179" t="s">
        <v>124</v>
      </c>
      <c r="H1179" t="s">
        <v>124</v>
      </c>
      <c r="I1179" t="s">
        <v>124</v>
      </c>
      <c r="J1179" t="s">
        <v>124</v>
      </c>
      <c r="K1179" t="s">
        <v>124</v>
      </c>
      <c r="L1179" t="s">
        <v>124</v>
      </c>
      <c r="M1179" t="s">
        <v>1831</v>
      </c>
      <c r="N1179" t="b">
        <v>0</v>
      </c>
    </row>
    <row r="1180" spans="1:14">
      <c r="A1180">
        <v>80</v>
      </c>
      <c r="B1180">
        <v>0</v>
      </c>
      <c r="C1180" t="s">
        <v>184</v>
      </c>
      <c r="D1180" t="s">
        <v>722</v>
      </c>
      <c r="E1180" t="s">
        <v>63</v>
      </c>
      <c r="F1180">
        <v>50</v>
      </c>
      <c r="G1180" t="s">
        <v>124</v>
      </c>
      <c r="H1180" t="s">
        <v>124</v>
      </c>
      <c r="I1180" t="s">
        <v>63</v>
      </c>
      <c r="J1180" t="s">
        <v>124</v>
      </c>
      <c r="K1180" t="s">
        <v>124</v>
      </c>
      <c r="L1180" t="s">
        <v>124</v>
      </c>
      <c r="M1180" t="s">
        <v>1832</v>
      </c>
      <c r="N1180" t="b">
        <v>0</v>
      </c>
    </row>
    <row r="1181" spans="1:14">
      <c r="A1181">
        <v>80</v>
      </c>
      <c r="B1181">
        <v>1</v>
      </c>
      <c r="C1181" t="s">
        <v>156</v>
      </c>
      <c r="D1181" t="s">
        <v>722</v>
      </c>
      <c r="E1181" t="s">
        <v>81</v>
      </c>
      <c r="F1181">
        <v>40</v>
      </c>
      <c r="G1181" t="s">
        <v>124</v>
      </c>
      <c r="H1181" t="s">
        <v>124</v>
      </c>
      <c r="I1181" t="s">
        <v>81</v>
      </c>
      <c r="J1181" t="s">
        <v>124</v>
      </c>
      <c r="K1181" t="s">
        <v>124</v>
      </c>
      <c r="L1181" t="s">
        <v>124</v>
      </c>
      <c r="M1181" t="s">
        <v>1833</v>
      </c>
      <c r="N1181" t="b">
        <v>0</v>
      </c>
    </row>
    <row r="1182" spans="1:14">
      <c r="A1182">
        <v>80</v>
      </c>
      <c r="B1182">
        <v>2</v>
      </c>
      <c r="C1182" t="s">
        <v>185</v>
      </c>
      <c r="D1182" t="s">
        <v>722</v>
      </c>
      <c r="E1182" t="s">
        <v>91</v>
      </c>
      <c r="F1182">
        <v>50</v>
      </c>
      <c r="G1182" t="s">
        <v>124</v>
      </c>
      <c r="H1182" t="s">
        <v>124</v>
      </c>
      <c r="I1182" t="s">
        <v>91</v>
      </c>
      <c r="J1182" t="s">
        <v>124</v>
      </c>
      <c r="K1182" t="s">
        <v>124</v>
      </c>
      <c r="L1182" t="s">
        <v>124</v>
      </c>
      <c r="M1182" t="s">
        <v>1834</v>
      </c>
      <c r="N1182" t="b">
        <v>0</v>
      </c>
    </row>
    <row r="1183" spans="1:14">
      <c r="A1183">
        <v>80</v>
      </c>
      <c r="B1183">
        <v>3</v>
      </c>
      <c r="C1183" t="s">
        <v>249</v>
      </c>
      <c r="D1183" t="s">
        <v>722</v>
      </c>
      <c r="E1183" t="s">
        <v>97</v>
      </c>
      <c r="F1183">
        <v>40</v>
      </c>
      <c r="G1183" t="s">
        <v>124</v>
      </c>
      <c r="H1183" t="s">
        <v>124</v>
      </c>
      <c r="I1183" t="s">
        <v>97</v>
      </c>
      <c r="J1183" t="s">
        <v>124</v>
      </c>
      <c r="K1183" t="s">
        <v>124</v>
      </c>
      <c r="L1183" t="s">
        <v>124</v>
      </c>
      <c r="M1183" t="s">
        <v>1835</v>
      </c>
      <c r="N1183" t="b">
        <v>0</v>
      </c>
    </row>
    <row r="1184" spans="1:14">
      <c r="A1184">
        <v>80</v>
      </c>
      <c r="B1184">
        <v>4</v>
      </c>
      <c r="C1184" t="s">
        <v>227</v>
      </c>
      <c r="D1184" t="s">
        <v>722</v>
      </c>
      <c r="E1184" t="s">
        <v>99</v>
      </c>
      <c r="F1184">
        <v>40</v>
      </c>
      <c r="G1184" t="s">
        <v>124</v>
      </c>
      <c r="H1184" t="s">
        <v>124</v>
      </c>
      <c r="I1184" t="s">
        <v>99</v>
      </c>
      <c r="J1184" t="s">
        <v>124</v>
      </c>
      <c r="K1184" t="s">
        <v>124</v>
      </c>
      <c r="L1184" t="s">
        <v>124</v>
      </c>
      <c r="M1184" t="s">
        <v>1836</v>
      </c>
      <c r="N1184" t="b">
        <v>0</v>
      </c>
    </row>
    <row r="1185" spans="1:14">
      <c r="A1185">
        <v>80</v>
      </c>
      <c r="B1185">
        <v>5</v>
      </c>
      <c r="C1185" t="s">
        <v>210</v>
      </c>
      <c r="D1185" t="s">
        <v>722</v>
      </c>
      <c r="E1185" t="s">
        <v>107</v>
      </c>
      <c r="F1185">
        <v>40</v>
      </c>
      <c r="G1185" t="s">
        <v>124</v>
      </c>
      <c r="H1185" t="s">
        <v>124</v>
      </c>
      <c r="I1185" t="s">
        <v>107</v>
      </c>
      <c r="J1185" t="s">
        <v>124</v>
      </c>
      <c r="K1185" t="s">
        <v>124</v>
      </c>
      <c r="L1185" t="s">
        <v>124</v>
      </c>
      <c r="M1185" t="s">
        <v>1837</v>
      </c>
      <c r="N1185" t="b">
        <v>0</v>
      </c>
    </row>
    <row r="1186" spans="1:14">
      <c r="A1186">
        <v>80</v>
      </c>
      <c r="B1186">
        <v>6</v>
      </c>
      <c r="C1186" t="s">
        <v>164</v>
      </c>
      <c r="D1186" t="s">
        <v>722</v>
      </c>
      <c r="E1186" t="s">
        <v>113</v>
      </c>
      <c r="F1186">
        <v>50</v>
      </c>
      <c r="G1186" t="s">
        <v>124</v>
      </c>
      <c r="H1186" t="s">
        <v>124</v>
      </c>
      <c r="I1186" t="s">
        <v>113</v>
      </c>
      <c r="J1186" t="s">
        <v>124</v>
      </c>
      <c r="K1186" t="s">
        <v>124</v>
      </c>
      <c r="L1186" t="s">
        <v>124</v>
      </c>
      <c r="M1186" t="s">
        <v>1838</v>
      </c>
      <c r="N1186" t="b">
        <v>0</v>
      </c>
    </row>
    <row r="1187" spans="1:14">
      <c r="A1187">
        <v>80</v>
      </c>
      <c r="B1187">
        <v>7</v>
      </c>
      <c r="C1187" t="s">
        <v>190</v>
      </c>
      <c r="D1187" t="s">
        <v>722</v>
      </c>
      <c r="E1187" t="s">
        <v>59</v>
      </c>
      <c r="F1187">
        <v>30</v>
      </c>
      <c r="G1187" t="s">
        <v>124</v>
      </c>
      <c r="H1187" t="s">
        <v>124</v>
      </c>
      <c r="I1187" t="s">
        <v>59</v>
      </c>
      <c r="J1187" t="s">
        <v>124</v>
      </c>
      <c r="K1187" t="s">
        <v>124</v>
      </c>
      <c r="L1187" t="s">
        <v>124</v>
      </c>
      <c r="M1187" t="s">
        <v>1839</v>
      </c>
      <c r="N1187" t="b">
        <v>0</v>
      </c>
    </row>
    <row r="1188" spans="1:14">
      <c r="A1188">
        <v>80</v>
      </c>
      <c r="B1188">
        <v>8</v>
      </c>
      <c r="C1188" t="s">
        <v>191</v>
      </c>
      <c r="D1188" t="s">
        <v>722</v>
      </c>
      <c r="E1188" t="s">
        <v>76</v>
      </c>
      <c r="F1188">
        <v>50</v>
      </c>
      <c r="G1188" t="s">
        <v>124</v>
      </c>
      <c r="H1188" t="s">
        <v>124</v>
      </c>
      <c r="I1188" t="s">
        <v>76</v>
      </c>
      <c r="J1188" t="s">
        <v>124</v>
      </c>
      <c r="K1188" t="s">
        <v>124</v>
      </c>
      <c r="L1188" t="s">
        <v>124</v>
      </c>
      <c r="M1188" t="s">
        <v>1840</v>
      </c>
      <c r="N1188" t="b">
        <v>0</v>
      </c>
    </row>
    <row r="1189" spans="1:14">
      <c r="A1189">
        <v>80</v>
      </c>
      <c r="B1189">
        <v>9</v>
      </c>
      <c r="C1189" t="s">
        <v>426</v>
      </c>
      <c r="D1189" t="s">
        <v>751</v>
      </c>
      <c r="E1189" t="s">
        <v>543</v>
      </c>
      <c r="F1189">
        <v>40</v>
      </c>
      <c r="G1189" t="s">
        <v>1667</v>
      </c>
      <c r="H1189" t="s">
        <v>124</v>
      </c>
      <c r="I1189" t="s">
        <v>124</v>
      </c>
      <c r="J1189" t="s">
        <v>1841</v>
      </c>
      <c r="K1189" t="s">
        <v>799</v>
      </c>
      <c r="L1189" t="s">
        <v>800</v>
      </c>
      <c r="M1189" t="s">
        <v>1842</v>
      </c>
      <c r="N1189" t="b">
        <v>0</v>
      </c>
    </row>
    <row r="1190" spans="1:14">
      <c r="A1190">
        <v>80</v>
      </c>
      <c r="B1190">
        <v>10</v>
      </c>
      <c r="C1190" t="s">
        <v>192</v>
      </c>
      <c r="D1190" t="s">
        <v>722</v>
      </c>
      <c r="E1190" t="s">
        <v>96</v>
      </c>
      <c r="F1190">
        <v>50</v>
      </c>
      <c r="G1190" t="s">
        <v>124</v>
      </c>
      <c r="H1190" t="s">
        <v>124</v>
      </c>
      <c r="I1190" t="s">
        <v>96</v>
      </c>
      <c r="J1190" t="s">
        <v>124</v>
      </c>
      <c r="K1190" t="s">
        <v>124</v>
      </c>
      <c r="L1190" t="s">
        <v>124</v>
      </c>
      <c r="M1190" t="s">
        <v>1843</v>
      </c>
      <c r="N1190" t="b">
        <v>0</v>
      </c>
    </row>
    <row r="1191" spans="1:14">
      <c r="A1191">
        <v>80</v>
      </c>
      <c r="B1191">
        <v>11</v>
      </c>
      <c r="C1191" t="s">
        <v>124</v>
      </c>
      <c r="D1191" t="s">
        <v>722</v>
      </c>
      <c r="E1191" t="s">
        <v>124</v>
      </c>
      <c r="F1191">
        <v>0</v>
      </c>
      <c r="G1191" t="s">
        <v>124</v>
      </c>
      <c r="H1191" t="s">
        <v>124</v>
      </c>
      <c r="I1191" t="s">
        <v>124</v>
      </c>
      <c r="J1191" t="s">
        <v>124</v>
      </c>
      <c r="K1191" t="s">
        <v>124</v>
      </c>
      <c r="L1191" t="s">
        <v>124</v>
      </c>
      <c r="M1191" t="s">
        <v>1844</v>
      </c>
      <c r="N1191" t="b">
        <v>0</v>
      </c>
    </row>
    <row r="1192" spans="1:14">
      <c r="A1192">
        <v>80</v>
      </c>
      <c r="B1192">
        <v>12</v>
      </c>
      <c r="C1192" t="s">
        <v>124</v>
      </c>
      <c r="D1192" t="s">
        <v>722</v>
      </c>
      <c r="E1192" t="s">
        <v>124</v>
      </c>
      <c r="F1192">
        <v>0</v>
      </c>
      <c r="G1192" t="s">
        <v>124</v>
      </c>
      <c r="H1192" t="s">
        <v>124</v>
      </c>
      <c r="I1192" t="s">
        <v>124</v>
      </c>
      <c r="J1192" t="s">
        <v>124</v>
      </c>
      <c r="K1192" t="s">
        <v>124</v>
      </c>
      <c r="L1192" t="s">
        <v>124</v>
      </c>
      <c r="M1192" t="s">
        <v>1845</v>
      </c>
      <c r="N1192" t="b">
        <v>0</v>
      </c>
    </row>
    <row r="1193" spans="1:14">
      <c r="A1193">
        <v>80</v>
      </c>
      <c r="B1193">
        <v>13</v>
      </c>
      <c r="C1193" t="s">
        <v>124</v>
      </c>
      <c r="D1193" t="s">
        <v>722</v>
      </c>
      <c r="E1193" t="s">
        <v>124</v>
      </c>
      <c r="F1193">
        <v>0</v>
      </c>
      <c r="G1193" t="s">
        <v>124</v>
      </c>
      <c r="H1193" t="s">
        <v>124</v>
      </c>
      <c r="I1193" t="s">
        <v>124</v>
      </c>
      <c r="J1193" t="s">
        <v>124</v>
      </c>
      <c r="K1193" t="s">
        <v>124</v>
      </c>
      <c r="L1193" t="s">
        <v>124</v>
      </c>
      <c r="M1193" t="s">
        <v>1846</v>
      </c>
      <c r="N1193" t="b">
        <v>0</v>
      </c>
    </row>
    <row r="1194" spans="1:14">
      <c r="A1194">
        <v>80</v>
      </c>
      <c r="B1194">
        <v>14</v>
      </c>
      <c r="C1194" t="s">
        <v>124</v>
      </c>
      <c r="D1194" t="s">
        <v>722</v>
      </c>
      <c r="E1194" t="s">
        <v>124</v>
      </c>
      <c r="F1194">
        <v>0</v>
      </c>
      <c r="G1194" t="s">
        <v>124</v>
      </c>
      <c r="H1194" t="s">
        <v>124</v>
      </c>
      <c r="I1194" t="s">
        <v>124</v>
      </c>
      <c r="J1194" t="s">
        <v>124</v>
      </c>
      <c r="K1194" t="s">
        <v>124</v>
      </c>
      <c r="L1194" t="s">
        <v>124</v>
      </c>
      <c r="M1194" t="s">
        <v>1847</v>
      </c>
      <c r="N1194" t="b">
        <v>0</v>
      </c>
    </row>
    <row r="1195" spans="1:14">
      <c r="A1195">
        <v>80</v>
      </c>
      <c r="B1195">
        <v>15</v>
      </c>
      <c r="C1195" t="s">
        <v>124</v>
      </c>
      <c r="D1195" t="s">
        <v>722</v>
      </c>
      <c r="E1195" t="s">
        <v>124</v>
      </c>
      <c r="F1195">
        <v>0</v>
      </c>
      <c r="G1195" t="s">
        <v>124</v>
      </c>
      <c r="H1195" t="s">
        <v>124</v>
      </c>
      <c r="I1195" t="s">
        <v>124</v>
      </c>
      <c r="J1195" t="s">
        <v>124</v>
      </c>
      <c r="K1195" t="s">
        <v>124</v>
      </c>
      <c r="L1195" t="s">
        <v>124</v>
      </c>
      <c r="M1195" t="s">
        <v>1848</v>
      </c>
      <c r="N1195" t="b">
        <v>0</v>
      </c>
    </row>
    <row r="1196" spans="1:14">
      <c r="A1196">
        <v>80</v>
      </c>
      <c r="B1196">
        <v>16</v>
      </c>
      <c r="C1196" t="s">
        <v>124</v>
      </c>
      <c r="D1196" t="s">
        <v>739</v>
      </c>
      <c r="E1196" t="s">
        <v>124</v>
      </c>
      <c r="F1196">
        <v>0</v>
      </c>
      <c r="G1196" t="s">
        <v>124</v>
      </c>
      <c r="H1196" t="s">
        <v>124</v>
      </c>
      <c r="I1196" t="s">
        <v>124</v>
      </c>
      <c r="J1196" t="s">
        <v>124</v>
      </c>
      <c r="K1196" t="s">
        <v>124</v>
      </c>
      <c r="L1196" t="s">
        <v>124</v>
      </c>
      <c r="M1196" t="s">
        <v>1849</v>
      </c>
      <c r="N1196" t="b">
        <v>0</v>
      </c>
    </row>
    <row r="1197" spans="1:14">
      <c r="A1197">
        <v>80</v>
      </c>
      <c r="B1197">
        <v>17</v>
      </c>
      <c r="C1197" t="s">
        <v>124</v>
      </c>
      <c r="D1197" t="s">
        <v>739</v>
      </c>
      <c r="E1197" t="s">
        <v>124</v>
      </c>
      <c r="F1197">
        <v>0</v>
      </c>
      <c r="G1197" t="s">
        <v>124</v>
      </c>
      <c r="H1197" t="s">
        <v>124</v>
      </c>
      <c r="I1197" t="s">
        <v>124</v>
      </c>
      <c r="J1197" t="s">
        <v>124</v>
      </c>
      <c r="K1197" t="s">
        <v>124</v>
      </c>
      <c r="L1197" t="s">
        <v>124</v>
      </c>
      <c r="M1197" t="s">
        <v>1850</v>
      </c>
      <c r="N1197" t="b">
        <v>0</v>
      </c>
    </row>
    <row r="1198" spans="1:14">
      <c r="A1198">
        <v>80</v>
      </c>
      <c r="B1198">
        <v>18</v>
      </c>
      <c r="C1198" t="s">
        <v>124</v>
      </c>
      <c r="D1198" t="s">
        <v>739</v>
      </c>
      <c r="E1198" t="s">
        <v>124</v>
      </c>
      <c r="F1198">
        <v>0</v>
      </c>
      <c r="G1198" t="s">
        <v>124</v>
      </c>
      <c r="H1198" t="s">
        <v>124</v>
      </c>
      <c r="I1198" t="s">
        <v>124</v>
      </c>
      <c r="J1198" t="s">
        <v>124</v>
      </c>
      <c r="K1198" t="s">
        <v>124</v>
      </c>
      <c r="L1198" t="s">
        <v>124</v>
      </c>
      <c r="M1198" t="s">
        <v>1851</v>
      </c>
      <c r="N1198" t="b">
        <v>0</v>
      </c>
    </row>
    <row r="1199" spans="1:14">
      <c r="A1199">
        <v>80</v>
      </c>
      <c r="B1199">
        <v>19</v>
      </c>
      <c r="C1199" t="s">
        <v>124</v>
      </c>
      <c r="D1199" t="s">
        <v>739</v>
      </c>
      <c r="E1199" t="s">
        <v>124</v>
      </c>
      <c r="F1199">
        <v>0</v>
      </c>
      <c r="G1199" t="s">
        <v>124</v>
      </c>
      <c r="H1199" t="s">
        <v>124</v>
      </c>
      <c r="I1199" t="s">
        <v>124</v>
      </c>
      <c r="J1199" t="s">
        <v>124</v>
      </c>
      <c r="K1199" t="s">
        <v>124</v>
      </c>
      <c r="L1199" t="s">
        <v>124</v>
      </c>
      <c r="M1199" t="s">
        <v>1852</v>
      </c>
      <c r="N1199" t="b">
        <v>0</v>
      </c>
    </row>
    <row r="1200" spans="1:14">
      <c r="A1200">
        <v>80</v>
      </c>
      <c r="B1200">
        <v>20</v>
      </c>
      <c r="C1200" t="s">
        <v>124</v>
      </c>
      <c r="D1200" t="s">
        <v>739</v>
      </c>
      <c r="E1200" t="s">
        <v>124</v>
      </c>
      <c r="F1200">
        <v>0</v>
      </c>
      <c r="G1200" t="s">
        <v>124</v>
      </c>
      <c r="H1200" t="s">
        <v>124</v>
      </c>
      <c r="I1200" t="s">
        <v>124</v>
      </c>
      <c r="J1200" t="s">
        <v>124</v>
      </c>
      <c r="K1200" t="s">
        <v>124</v>
      </c>
      <c r="L1200" t="s">
        <v>124</v>
      </c>
      <c r="M1200" t="s">
        <v>1853</v>
      </c>
      <c r="N1200" t="b">
        <v>0</v>
      </c>
    </row>
    <row r="1201" spans="1:14">
      <c r="A1201">
        <v>80</v>
      </c>
      <c r="B1201">
        <v>21</v>
      </c>
      <c r="C1201" t="s">
        <v>124</v>
      </c>
      <c r="D1201" t="s">
        <v>739</v>
      </c>
      <c r="E1201" t="s">
        <v>124</v>
      </c>
      <c r="F1201">
        <v>0</v>
      </c>
      <c r="G1201" t="s">
        <v>124</v>
      </c>
      <c r="H1201" t="s">
        <v>124</v>
      </c>
      <c r="I1201" t="s">
        <v>124</v>
      </c>
      <c r="J1201" t="s">
        <v>124</v>
      </c>
      <c r="K1201" t="s">
        <v>124</v>
      </c>
      <c r="L1201" t="s">
        <v>124</v>
      </c>
      <c r="M1201" t="s">
        <v>1854</v>
      </c>
      <c r="N1201" t="b">
        <v>0</v>
      </c>
    </row>
    <row r="1202" spans="1:14">
      <c r="A1202">
        <v>80</v>
      </c>
      <c r="B1202">
        <v>22</v>
      </c>
      <c r="C1202" t="s">
        <v>124</v>
      </c>
      <c r="D1202" t="s">
        <v>739</v>
      </c>
      <c r="E1202" t="s">
        <v>124</v>
      </c>
      <c r="F1202">
        <v>0</v>
      </c>
      <c r="G1202" t="s">
        <v>124</v>
      </c>
      <c r="H1202" t="s">
        <v>124</v>
      </c>
      <c r="I1202" t="s">
        <v>124</v>
      </c>
      <c r="J1202" t="s">
        <v>124</v>
      </c>
      <c r="K1202" t="s">
        <v>124</v>
      </c>
      <c r="L1202" t="s">
        <v>124</v>
      </c>
      <c r="M1202" t="s">
        <v>1855</v>
      </c>
      <c r="N1202" t="b">
        <v>0</v>
      </c>
    </row>
    <row r="1203" spans="1:14">
      <c r="A1203">
        <v>80</v>
      </c>
      <c r="B1203">
        <v>23</v>
      </c>
      <c r="C1203" t="s">
        <v>124</v>
      </c>
      <c r="D1203" t="s">
        <v>739</v>
      </c>
      <c r="E1203" t="s">
        <v>124</v>
      </c>
      <c r="F1203">
        <v>0</v>
      </c>
      <c r="G1203" t="s">
        <v>124</v>
      </c>
      <c r="H1203" t="s">
        <v>124</v>
      </c>
      <c r="I1203" t="s">
        <v>124</v>
      </c>
      <c r="J1203" t="s">
        <v>124</v>
      </c>
      <c r="K1203" t="s">
        <v>124</v>
      </c>
      <c r="L1203" t="s">
        <v>124</v>
      </c>
      <c r="M1203" t="s">
        <v>1856</v>
      </c>
      <c r="N1203" t="b">
        <v>0</v>
      </c>
    </row>
    <row r="1204" spans="1:14">
      <c r="A1204">
        <v>80</v>
      </c>
      <c r="B1204">
        <v>24</v>
      </c>
      <c r="C1204" t="s">
        <v>124</v>
      </c>
      <c r="D1204" t="s">
        <v>739</v>
      </c>
      <c r="E1204" t="s">
        <v>124</v>
      </c>
      <c r="F1204">
        <v>0</v>
      </c>
      <c r="G1204" t="s">
        <v>124</v>
      </c>
      <c r="H1204" t="s">
        <v>124</v>
      </c>
      <c r="I1204" t="s">
        <v>124</v>
      </c>
      <c r="J1204" t="s">
        <v>124</v>
      </c>
      <c r="K1204" t="s">
        <v>124</v>
      </c>
      <c r="L1204" t="s">
        <v>124</v>
      </c>
      <c r="M1204" t="s">
        <v>1857</v>
      </c>
      <c r="N1204" t="b">
        <v>0</v>
      </c>
    </row>
    <row r="1205" spans="1:14">
      <c r="A1205">
        <v>80</v>
      </c>
      <c r="B1205">
        <v>25</v>
      </c>
      <c r="C1205" t="s">
        <v>124</v>
      </c>
      <c r="D1205" t="s">
        <v>739</v>
      </c>
      <c r="E1205" t="s">
        <v>124</v>
      </c>
      <c r="F1205">
        <v>0</v>
      </c>
      <c r="G1205" t="s">
        <v>124</v>
      </c>
      <c r="H1205" t="s">
        <v>124</v>
      </c>
      <c r="I1205" t="s">
        <v>124</v>
      </c>
      <c r="J1205" t="s">
        <v>124</v>
      </c>
      <c r="K1205" t="s">
        <v>124</v>
      </c>
      <c r="L1205" t="s">
        <v>124</v>
      </c>
      <c r="M1205" t="s">
        <v>1858</v>
      </c>
      <c r="N1205" t="b">
        <v>0</v>
      </c>
    </row>
    <row r="1206" spans="1:14">
      <c r="A1206">
        <v>80</v>
      </c>
      <c r="B1206">
        <v>26</v>
      </c>
      <c r="C1206" t="s">
        <v>124</v>
      </c>
      <c r="D1206" t="s">
        <v>739</v>
      </c>
      <c r="E1206" t="s">
        <v>124</v>
      </c>
      <c r="F1206">
        <v>0</v>
      </c>
      <c r="G1206" t="s">
        <v>124</v>
      </c>
      <c r="H1206" t="s">
        <v>124</v>
      </c>
      <c r="I1206" t="s">
        <v>124</v>
      </c>
      <c r="J1206" t="s">
        <v>124</v>
      </c>
      <c r="K1206" t="s">
        <v>124</v>
      </c>
      <c r="L1206" t="s">
        <v>124</v>
      </c>
      <c r="M1206" t="s">
        <v>1859</v>
      </c>
      <c r="N1206" t="b">
        <v>0</v>
      </c>
    </row>
    <row r="1207" spans="1:14">
      <c r="A1207">
        <v>81</v>
      </c>
      <c r="B1207">
        <v>0</v>
      </c>
      <c r="C1207" t="s">
        <v>214</v>
      </c>
      <c r="D1207" t="s">
        <v>722</v>
      </c>
      <c r="E1207" t="s">
        <v>63</v>
      </c>
      <c r="F1207">
        <v>60</v>
      </c>
      <c r="G1207" t="s">
        <v>124</v>
      </c>
      <c r="H1207" t="s">
        <v>124</v>
      </c>
      <c r="I1207" t="s">
        <v>63</v>
      </c>
      <c r="J1207" t="s">
        <v>124</v>
      </c>
      <c r="K1207" t="s">
        <v>124</v>
      </c>
      <c r="L1207" t="s">
        <v>124</v>
      </c>
      <c r="M1207" t="s">
        <v>1860</v>
      </c>
      <c r="N1207" t="b">
        <v>0</v>
      </c>
    </row>
    <row r="1208" spans="1:14">
      <c r="A1208">
        <v>81</v>
      </c>
      <c r="B1208">
        <v>1</v>
      </c>
      <c r="C1208" t="s">
        <v>156</v>
      </c>
      <c r="D1208" t="s">
        <v>722</v>
      </c>
      <c r="E1208" t="s">
        <v>81</v>
      </c>
      <c r="F1208">
        <v>40</v>
      </c>
      <c r="G1208" t="s">
        <v>124</v>
      </c>
      <c r="H1208" t="s">
        <v>124</v>
      </c>
      <c r="I1208" t="s">
        <v>81</v>
      </c>
      <c r="J1208" t="s">
        <v>124</v>
      </c>
      <c r="K1208" t="s">
        <v>124</v>
      </c>
      <c r="L1208" t="s">
        <v>124</v>
      </c>
      <c r="M1208" t="s">
        <v>1861</v>
      </c>
      <c r="N1208" t="b">
        <v>0</v>
      </c>
    </row>
    <row r="1209" spans="1:14">
      <c r="A1209">
        <v>81</v>
      </c>
      <c r="B1209">
        <v>2</v>
      </c>
      <c r="C1209" t="s">
        <v>210</v>
      </c>
      <c r="D1209" t="s">
        <v>722</v>
      </c>
      <c r="E1209" t="s">
        <v>107</v>
      </c>
      <c r="F1209">
        <v>40</v>
      </c>
      <c r="G1209" t="s">
        <v>124</v>
      </c>
      <c r="H1209" t="s">
        <v>124</v>
      </c>
      <c r="I1209" t="s">
        <v>107</v>
      </c>
      <c r="J1209" t="s">
        <v>124</v>
      </c>
      <c r="K1209" t="s">
        <v>124</v>
      </c>
      <c r="L1209" t="s">
        <v>124</v>
      </c>
      <c r="M1209" t="s">
        <v>1862</v>
      </c>
      <c r="N1209" t="b">
        <v>0</v>
      </c>
    </row>
    <row r="1210" spans="1:14">
      <c r="A1210">
        <v>81</v>
      </c>
      <c r="B1210">
        <v>3</v>
      </c>
      <c r="C1210" t="s">
        <v>180</v>
      </c>
      <c r="D1210" t="s">
        <v>722</v>
      </c>
      <c r="E1210" t="s">
        <v>59</v>
      </c>
      <c r="F1210">
        <v>40</v>
      </c>
      <c r="G1210" t="s">
        <v>124</v>
      </c>
      <c r="H1210" t="s">
        <v>124</v>
      </c>
      <c r="I1210" t="s">
        <v>59</v>
      </c>
      <c r="J1210" t="s">
        <v>124</v>
      </c>
      <c r="K1210" t="s">
        <v>124</v>
      </c>
      <c r="L1210" t="s">
        <v>124</v>
      </c>
      <c r="M1210" t="s">
        <v>1863</v>
      </c>
      <c r="N1210" t="b">
        <v>0</v>
      </c>
    </row>
    <row r="1211" spans="1:14">
      <c r="A1211">
        <v>81</v>
      </c>
      <c r="B1211">
        <v>4</v>
      </c>
      <c r="C1211" t="s">
        <v>429</v>
      </c>
      <c r="D1211" t="s">
        <v>751</v>
      </c>
      <c r="E1211" t="s">
        <v>543</v>
      </c>
      <c r="F1211">
        <v>60</v>
      </c>
      <c r="G1211" t="s">
        <v>1667</v>
      </c>
      <c r="H1211" t="s">
        <v>124</v>
      </c>
      <c r="I1211" t="s">
        <v>124</v>
      </c>
      <c r="J1211" t="s">
        <v>1864</v>
      </c>
      <c r="K1211" t="s">
        <v>799</v>
      </c>
      <c r="L1211" t="s">
        <v>800</v>
      </c>
      <c r="M1211" t="s">
        <v>1865</v>
      </c>
      <c r="N1211" t="b">
        <v>0</v>
      </c>
    </row>
    <row r="1212" spans="1:14">
      <c r="A1212">
        <v>81</v>
      </c>
      <c r="B1212">
        <v>5</v>
      </c>
      <c r="C1212" t="s">
        <v>430</v>
      </c>
      <c r="D1212" t="s">
        <v>751</v>
      </c>
      <c r="E1212" t="s">
        <v>543</v>
      </c>
      <c r="F1212">
        <v>50</v>
      </c>
      <c r="G1212" t="s">
        <v>1667</v>
      </c>
      <c r="H1212" t="s">
        <v>124</v>
      </c>
      <c r="I1212" t="s">
        <v>124</v>
      </c>
      <c r="J1212" t="s">
        <v>1866</v>
      </c>
      <c r="K1212" t="s">
        <v>823</v>
      </c>
      <c r="L1212" t="s">
        <v>824</v>
      </c>
      <c r="M1212" t="s">
        <v>1867</v>
      </c>
      <c r="N1212" t="b">
        <v>0</v>
      </c>
    </row>
    <row r="1213" spans="1:14">
      <c r="A1213">
        <v>81</v>
      </c>
      <c r="B1213">
        <v>6</v>
      </c>
      <c r="C1213" t="s">
        <v>206</v>
      </c>
      <c r="D1213" t="s">
        <v>751</v>
      </c>
      <c r="E1213" t="s">
        <v>543</v>
      </c>
      <c r="F1213">
        <v>50</v>
      </c>
      <c r="G1213" t="s">
        <v>758</v>
      </c>
      <c r="H1213" t="s">
        <v>124</v>
      </c>
      <c r="I1213" t="s">
        <v>124</v>
      </c>
      <c r="J1213" t="s">
        <v>822</v>
      </c>
      <c r="K1213" t="s">
        <v>888</v>
      </c>
      <c r="L1213" t="s">
        <v>889</v>
      </c>
      <c r="M1213" t="s">
        <v>1868</v>
      </c>
      <c r="N1213" t="b">
        <v>0</v>
      </c>
    </row>
    <row r="1214" spans="1:14">
      <c r="A1214">
        <v>81</v>
      </c>
      <c r="B1214">
        <v>7</v>
      </c>
      <c r="C1214" t="s">
        <v>167</v>
      </c>
      <c r="D1214" t="s">
        <v>722</v>
      </c>
      <c r="E1214" t="s">
        <v>96</v>
      </c>
      <c r="F1214">
        <v>60</v>
      </c>
      <c r="G1214" t="s">
        <v>124</v>
      </c>
      <c r="H1214" t="s">
        <v>124</v>
      </c>
      <c r="I1214" t="s">
        <v>96</v>
      </c>
      <c r="J1214" t="s">
        <v>124</v>
      </c>
      <c r="K1214" t="s">
        <v>124</v>
      </c>
      <c r="L1214" t="s">
        <v>124</v>
      </c>
      <c r="M1214" t="s">
        <v>1869</v>
      </c>
      <c r="N1214" t="b">
        <v>0</v>
      </c>
    </row>
    <row r="1215" spans="1:14">
      <c r="A1215">
        <v>81</v>
      </c>
      <c r="B1215">
        <v>8</v>
      </c>
      <c r="C1215" t="s">
        <v>124</v>
      </c>
      <c r="D1215" t="s">
        <v>722</v>
      </c>
      <c r="E1215" t="s">
        <v>124</v>
      </c>
      <c r="F1215">
        <v>0</v>
      </c>
      <c r="G1215" t="s">
        <v>124</v>
      </c>
      <c r="H1215" t="s">
        <v>124</v>
      </c>
      <c r="I1215" t="s">
        <v>124</v>
      </c>
      <c r="J1215" t="s">
        <v>124</v>
      </c>
      <c r="K1215" t="s">
        <v>124</v>
      </c>
      <c r="L1215" t="s">
        <v>124</v>
      </c>
      <c r="M1215" t="s">
        <v>1870</v>
      </c>
      <c r="N1215" t="b">
        <v>0</v>
      </c>
    </row>
    <row r="1216" spans="1:14">
      <c r="A1216">
        <v>81</v>
      </c>
      <c r="B1216">
        <v>9</v>
      </c>
      <c r="C1216" t="s">
        <v>124</v>
      </c>
      <c r="D1216" t="s">
        <v>722</v>
      </c>
      <c r="E1216" t="s">
        <v>124</v>
      </c>
      <c r="F1216">
        <v>0</v>
      </c>
      <c r="G1216" t="s">
        <v>124</v>
      </c>
      <c r="H1216" t="s">
        <v>124</v>
      </c>
      <c r="I1216" t="s">
        <v>124</v>
      </c>
      <c r="J1216" t="s">
        <v>124</v>
      </c>
      <c r="K1216" t="s">
        <v>124</v>
      </c>
      <c r="L1216" t="s">
        <v>124</v>
      </c>
      <c r="M1216" t="s">
        <v>1871</v>
      </c>
      <c r="N1216" t="b">
        <v>0</v>
      </c>
    </row>
    <row r="1217" spans="1:14">
      <c r="A1217">
        <v>81</v>
      </c>
      <c r="B1217">
        <v>10</v>
      </c>
      <c r="C1217" t="s">
        <v>124</v>
      </c>
      <c r="D1217" t="s">
        <v>722</v>
      </c>
      <c r="E1217" t="s">
        <v>124</v>
      </c>
      <c r="F1217">
        <v>0</v>
      </c>
      <c r="G1217" t="s">
        <v>124</v>
      </c>
      <c r="H1217" t="s">
        <v>124</v>
      </c>
      <c r="I1217" t="s">
        <v>124</v>
      </c>
      <c r="J1217" t="s">
        <v>124</v>
      </c>
      <c r="K1217" t="s">
        <v>124</v>
      </c>
      <c r="L1217" t="s">
        <v>124</v>
      </c>
      <c r="M1217" t="s">
        <v>1872</v>
      </c>
      <c r="N1217" t="b">
        <v>0</v>
      </c>
    </row>
    <row r="1218" spans="1:14">
      <c r="A1218">
        <v>81</v>
      </c>
      <c r="B1218">
        <v>11</v>
      </c>
      <c r="C1218" t="s">
        <v>124</v>
      </c>
      <c r="D1218" t="s">
        <v>722</v>
      </c>
      <c r="E1218" t="s">
        <v>124</v>
      </c>
      <c r="F1218">
        <v>0</v>
      </c>
      <c r="G1218" t="s">
        <v>124</v>
      </c>
      <c r="H1218" t="s">
        <v>124</v>
      </c>
      <c r="I1218" t="s">
        <v>124</v>
      </c>
      <c r="J1218" t="s">
        <v>124</v>
      </c>
      <c r="K1218" t="s">
        <v>124</v>
      </c>
      <c r="L1218" t="s">
        <v>124</v>
      </c>
      <c r="M1218" t="s">
        <v>1873</v>
      </c>
      <c r="N1218" t="b">
        <v>0</v>
      </c>
    </row>
    <row r="1219" spans="1:14">
      <c r="A1219">
        <v>81</v>
      </c>
      <c r="B1219">
        <v>12</v>
      </c>
      <c r="C1219" t="s">
        <v>124</v>
      </c>
      <c r="D1219" t="s">
        <v>722</v>
      </c>
      <c r="E1219" t="s">
        <v>124</v>
      </c>
      <c r="F1219">
        <v>0</v>
      </c>
      <c r="G1219" t="s">
        <v>124</v>
      </c>
      <c r="H1219" t="s">
        <v>124</v>
      </c>
      <c r="I1219" t="s">
        <v>124</v>
      </c>
      <c r="J1219" t="s">
        <v>124</v>
      </c>
      <c r="K1219" t="s">
        <v>124</v>
      </c>
      <c r="L1219" t="s">
        <v>124</v>
      </c>
      <c r="M1219" t="s">
        <v>1874</v>
      </c>
      <c r="N1219" t="b">
        <v>0</v>
      </c>
    </row>
    <row r="1220" spans="1:14">
      <c r="A1220">
        <v>81</v>
      </c>
      <c r="B1220">
        <v>13</v>
      </c>
      <c r="C1220" t="s">
        <v>124</v>
      </c>
      <c r="D1220" t="s">
        <v>722</v>
      </c>
      <c r="E1220" t="s">
        <v>124</v>
      </c>
      <c r="F1220">
        <v>0</v>
      </c>
      <c r="G1220" t="s">
        <v>124</v>
      </c>
      <c r="H1220" t="s">
        <v>124</v>
      </c>
      <c r="I1220" t="s">
        <v>124</v>
      </c>
      <c r="J1220" t="s">
        <v>124</v>
      </c>
      <c r="K1220" t="s">
        <v>124</v>
      </c>
      <c r="L1220" t="s">
        <v>124</v>
      </c>
      <c r="M1220" t="s">
        <v>1875</v>
      </c>
      <c r="N1220" t="b">
        <v>0</v>
      </c>
    </row>
    <row r="1221" spans="1:14">
      <c r="A1221">
        <v>81</v>
      </c>
      <c r="B1221">
        <v>14</v>
      </c>
      <c r="C1221" t="s">
        <v>124</v>
      </c>
      <c r="D1221" t="s">
        <v>722</v>
      </c>
      <c r="E1221" t="s">
        <v>124</v>
      </c>
      <c r="F1221">
        <v>0</v>
      </c>
      <c r="G1221" t="s">
        <v>124</v>
      </c>
      <c r="H1221" t="s">
        <v>124</v>
      </c>
      <c r="I1221" t="s">
        <v>124</v>
      </c>
      <c r="J1221" t="s">
        <v>124</v>
      </c>
      <c r="K1221" t="s">
        <v>124</v>
      </c>
      <c r="L1221" t="s">
        <v>124</v>
      </c>
      <c r="M1221" t="s">
        <v>1876</v>
      </c>
      <c r="N1221" t="b">
        <v>0</v>
      </c>
    </row>
    <row r="1222" spans="1:14">
      <c r="A1222">
        <v>81</v>
      </c>
      <c r="B1222">
        <v>15</v>
      </c>
      <c r="C1222" t="s">
        <v>124</v>
      </c>
      <c r="D1222" t="s">
        <v>722</v>
      </c>
      <c r="E1222" t="s">
        <v>124</v>
      </c>
      <c r="F1222">
        <v>0</v>
      </c>
      <c r="G1222" t="s">
        <v>124</v>
      </c>
      <c r="H1222" t="s">
        <v>124</v>
      </c>
      <c r="I1222" t="s">
        <v>124</v>
      </c>
      <c r="J1222" t="s">
        <v>124</v>
      </c>
      <c r="K1222" t="s">
        <v>124</v>
      </c>
      <c r="L1222" t="s">
        <v>124</v>
      </c>
      <c r="M1222" t="s">
        <v>1877</v>
      </c>
      <c r="N1222" t="b">
        <v>0</v>
      </c>
    </row>
    <row r="1223" spans="1:14">
      <c r="A1223">
        <v>81</v>
      </c>
      <c r="B1223">
        <v>16</v>
      </c>
      <c r="C1223" t="s">
        <v>124</v>
      </c>
      <c r="D1223" t="s">
        <v>739</v>
      </c>
      <c r="E1223" t="s">
        <v>124</v>
      </c>
      <c r="F1223">
        <v>0</v>
      </c>
      <c r="G1223" t="s">
        <v>124</v>
      </c>
      <c r="H1223" t="s">
        <v>124</v>
      </c>
      <c r="I1223" t="s">
        <v>124</v>
      </c>
      <c r="J1223" t="s">
        <v>124</v>
      </c>
      <c r="K1223" t="s">
        <v>124</v>
      </c>
      <c r="L1223" t="s">
        <v>124</v>
      </c>
      <c r="M1223" t="s">
        <v>1878</v>
      </c>
      <c r="N1223" t="b">
        <v>0</v>
      </c>
    </row>
    <row r="1224" spans="1:14">
      <c r="A1224">
        <v>81</v>
      </c>
      <c r="B1224">
        <v>17</v>
      </c>
      <c r="C1224" t="s">
        <v>124</v>
      </c>
      <c r="D1224" t="s">
        <v>739</v>
      </c>
      <c r="E1224" t="s">
        <v>124</v>
      </c>
      <c r="F1224">
        <v>0</v>
      </c>
      <c r="G1224" t="s">
        <v>124</v>
      </c>
      <c r="H1224" t="s">
        <v>124</v>
      </c>
      <c r="I1224" t="s">
        <v>124</v>
      </c>
      <c r="J1224" t="s">
        <v>124</v>
      </c>
      <c r="K1224" t="s">
        <v>124</v>
      </c>
      <c r="L1224" t="s">
        <v>124</v>
      </c>
      <c r="M1224" t="s">
        <v>1879</v>
      </c>
      <c r="N1224" t="b">
        <v>0</v>
      </c>
    </row>
    <row r="1225" spans="1:14">
      <c r="A1225">
        <v>81</v>
      </c>
      <c r="B1225">
        <v>18</v>
      </c>
      <c r="C1225" t="s">
        <v>124</v>
      </c>
      <c r="D1225" t="s">
        <v>739</v>
      </c>
      <c r="E1225" t="s">
        <v>124</v>
      </c>
      <c r="F1225">
        <v>0</v>
      </c>
      <c r="G1225" t="s">
        <v>124</v>
      </c>
      <c r="H1225" t="s">
        <v>124</v>
      </c>
      <c r="I1225" t="s">
        <v>124</v>
      </c>
      <c r="J1225" t="s">
        <v>124</v>
      </c>
      <c r="K1225" t="s">
        <v>124</v>
      </c>
      <c r="L1225" t="s">
        <v>124</v>
      </c>
      <c r="M1225" t="s">
        <v>1880</v>
      </c>
      <c r="N1225" t="b">
        <v>0</v>
      </c>
    </row>
    <row r="1226" spans="1:14">
      <c r="A1226">
        <v>81</v>
      </c>
      <c r="B1226">
        <v>19</v>
      </c>
      <c r="C1226" t="s">
        <v>124</v>
      </c>
      <c r="D1226" t="s">
        <v>739</v>
      </c>
      <c r="E1226" t="s">
        <v>124</v>
      </c>
      <c r="F1226">
        <v>0</v>
      </c>
      <c r="G1226" t="s">
        <v>124</v>
      </c>
      <c r="H1226" t="s">
        <v>124</v>
      </c>
      <c r="I1226" t="s">
        <v>124</v>
      </c>
      <c r="J1226" t="s">
        <v>124</v>
      </c>
      <c r="K1226" t="s">
        <v>124</v>
      </c>
      <c r="L1226" t="s">
        <v>124</v>
      </c>
      <c r="M1226" t="s">
        <v>1881</v>
      </c>
      <c r="N1226" t="b">
        <v>0</v>
      </c>
    </row>
    <row r="1227" spans="1:14">
      <c r="A1227">
        <v>81</v>
      </c>
      <c r="B1227">
        <v>20</v>
      </c>
      <c r="C1227" t="s">
        <v>124</v>
      </c>
      <c r="D1227" t="s">
        <v>739</v>
      </c>
      <c r="E1227" t="s">
        <v>124</v>
      </c>
      <c r="F1227">
        <v>0</v>
      </c>
      <c r="G1227" t="s">
        <v>124</v>
      </c>
      <c r="H1227" t="s">
        <v>124</v>
      </c>
      <c r="I1227" t="s">
        <v>124</v>
      </c>
      <c r="J1227" t="s">
        <v>124</v>
      </c>
      <c r="K1227" t="s">
        <v>124</v>
      </c>
      <c r="L1227" t="s">
        <v>124</v>
      </c>
      <c r="M1227" t="s">
        <v>1882</v>
      </c>
      <c r="N1227" t="b">
        <v>0</v>
      </c>
    </row>
    <row r="1228" spans="1:14">
      <c r="A1228">
        <v>81</v>
      </c>
      <c r="B1228">
        <v>21</v>
      </c>
      <c r="C1228" t="s">
        <v>124</v>
      </c>
      <c r="D1228" t="s">
        <v>739</v>
      </c>
      <c r="E1228" t="s">
        <v>124</v>
      </c>
      <c r="F1228">
        <v>0</v>
      </c>
      <c r="G1228" t="s">
        <v>124</v>
      </c>
      <c r="H1228" t="s">
        <v>124</v>
      </c>
      <c r="I1228" t="s">
        <v>124</v>
      </c>
      <c r="J1228" t="s">
        <v>124</v>
      </c>
      <c r="K1228" t="s">
        <v>124</v>
      </c>
      <c r="L1228" t="s">
        <v>124</v>
      </c>
      <c r="M1228" t="s">
        <v>1883</v>
      </c>
      <c r="N1228" t="b">
        <v>0</v>
      </c>
    </row>
    <row r="1229" spans="1:14">
      <c r="A1229">
        <v>81</v>
      </c>
      <c r="B1229">
        <v>22</v>
      </c>
      <c r="C1229" t="s">
        <v>124</v>
      </c>
      <c r="D1229" t="s">
        <v>739</v>
      </c>
      <c r="E1229" t="s">
        <v>124</v>
      </c>
      <c r="F1229">
        <v>0</v>
      </c>
      <c r="G1229" t="s">
        <v>124</v>
      </c>
      <c r="H1229" t="s">
        <v>124</v>
      </c>
      <c r="I1229" t="s">
        <v>124</v>
      </c>
      <c r="J1229" t="s">
        <v>124</v>
      </c>
      <c r="K1229" t="s">
        <v>124</v>
      </c>
      <c r="L1229" t="s">
        <v>124</v>
      </c>
      <c r="M1229" t="s">
        <v>1884</v>
      </c>
      <c r="N1229" t="b">
        <v>0</v>
      </c>
    </row>
    <row r="1230" spans="1:14">
      <c r="A1230">
        <v>81</v>
      </c>
      <c r="B1230">
        <v>23</v>
      </c>
      <c r="C1230" t="s">
        <v>124</v>
      </c>
      <c r="D1230" t="s">
        <v>739</v>
      </c>
      <c r="E1230" t="s">
        <v>124</v>
      </c>
      <c r="F1230">
        <v>0</v>
      </c>
      <c r="G1230" t="s">
        <v>124</v>
      </c>
      <c r="H1230" t="s">
        <v>124</v>
      </c>
      <c r="I1230" t="s">
        <v>124</v>
      </c>
      <c r="J1230" t="s">
        <v>124</v>
      </c>
      <c r="K1230" t="s">
        <v>124</v>
      </c>
      <c r="L1230" t="s">
        <v>124</v>
      </c>
      <c r="M1230" t="s">
        <v>1885</v>
      </c>
      <c r="N1230" t="b">
        <v>0</v>
      </c>
    </row>
    <row r="1231" spans="1:14">
      <c r="A1231">
        <v>81</v>
      </c>
      <c r="B1231">
        <v>24</v>
      </c>
      <c r="C1231" t="s">
        <v>124</v>
      </c>
      <c r="D1231" t="s">
        <v>739</v>
      </c>
      <c r="E1231" t="s">
        <v>124</v>
      </c>
      <c r="F1231">
        <v>0</v>
      </c>
      <c r="G1231" t="s">
        <v>124</v>
      </c>
      <c r="H1231" t="s">
        <v>124</v>
      </c>
      <c r="I1231" t="s">
        <v>124</v>
      </c>
      <c r="J1231" t="s">
        <v>124</v>
      </c>
      <c r="K1231" t="s">
        <v>124</v>
      </c>
      <c r="L1231" t="s">
        <v>124</v>
      </c>
      <c r="M1231" t="s">
        <v>1886</v>
      </c>
      <c r="N1231" t="b">
        <v>0</v>
      </c>
    </row>
    <row r="1232" spans="1:14">
      <c r="A1232">
        <v>81</v>
      </c>
      <c r="B1232">
        <v>25</v>
      </c>
      <c r="C1232" t="s">
        <v>124</v>
      </c>
      <c r="D1232" t="s">
        <v>739</v>
      </c>
      <c r="E1232" t="s">
        <v>124</v>
      </c>
      <c r="F1232">
        <v>0</v>
      </c>
      <c r="G1232" t="s">
        <v>124</v>
      </c>
      <c r="H1232" t="s">
        <v>124</v>
      </c>
      <c r="I1232" t="s">
        <v>124</v>
      </c>
      <c r="J1232" t="s">
        <v>124</v>
      </c>
      <c r="K1232" t="s">
        <v>124</v>
      </c>
      <c r="L1232" t="s">
        <v>124</v>
      </c>
      <c r="M1232" t="s">
        <v>1887</v>
      </c>
      <c r="N1232" t="b">
        <v>0</v>
      </c>
    </row>
    <row r="1233" spans="1:14">
      <c r="A1233">
        <v>81</v>
      </c>
      <c r="B1233">
        <v>26</v>
      </c>
      <c r="C1233" t="s">
        <v>124</v>
      </c>
      <c r="D1233" t="s">
        <v>739</v>
      </c>
      <c r="E1233" t="s">
        <v>124</v>
      </c>
      <c r="F1233">
        <v>0</v>
      </c>
      <c r="G1233" t="s">
        <v>124</v>
      </c>
      <c r="H1233" t="s">
        <v>124</v>
      </c>
      <c r="I1233" t="s">
        <v>124</v>
      </c>
      <c r="J1233" t="s">
        <v>124</v>
      </c>
      <c r="K1233" t="s">
        <v>124</v>
      </c>
      <c r="L1233" t="s">
        <v>124</v>
      </c>
      <c r="M1233" t="s">
        <v>1888</v>
      </c>
      <c r="N1233" t="b">
        <v>0</v>
      </c>
    </row>
    <row r="1234" spans="1:14">
      <c r="A1234">
        <v>83</v>
      </c>
      <c r="B1234">
        <v>0</v>
      </c>
      <c r="C1234" t="s">
        <v>184</v>
      </c>
      <c r="D1234" t="s">
        <v>722</v>
      </c>
      <c r="E1234" t="s">
        <v>63</v>
      </c>
      <c r="F1234">
        <v>50</v>
      </c>
      <c r="G1234" t="s">
        <v>124</v>
      </c>
      <c r="H1234" t="s">
        <v>124</v>
      </c>
      <c r="I1234" t="s">
        <v>63</v>
      </c>
      <c r="J1234" t="s">
        <v>124</v>
      </c>
      <c r="K1234" t="s">
        <v>124</v>
      </c>
      <c r="L1234" t="s">
        <v>124</v>
      </c>
      <c r="M1234" t="s">
        <v>1889</v>
      </c>
      <c r="N1234" t="b">
        <v>0</v>
      </c>
    </row>
    <row r="1235" spans="1:14">
      <c r="A1235">
        <v>83</v>
      </c>
      <c r="B1235">
        <v>1</v>
      </c>
      <c r="C1235" t="s">
        <v>266</v>
      </c>
      <c r="D1235" t="s">
        <v>722</v>
      </c>
      <c r="E1235" t="s">
        <v>81</v>
      </c>
      <c r="F1235">
        <v>30</v>
      </c>
      <c r="G1235" t="s">
        <v>124</v>
      </c>
      <c r="H1235" t="s">
        <v>124</v>
      </c>
      <c r="I1235" t="s">
        <v>81</v>
      </c>
      <c r="J1235" t="s">
        <v>124</v>
      </c>
      <c r="K1235" t="s">
        <v>124</v>
      </c>
      <c r="L1235" t="s">
        <v>124</v>
      </c>
      <c r="M1235" t="s">
        <v>1890</v>
      </c>
      <c r="N1235" t="b">
        <v>0</v>
      </c>
    </row>
    <row r="1236" spans="1:14">
      <c r="A1236">
        <v>83</v>
      </c>
      <c r="B1236">
        <v>2</v>
      </c>
      <c r="C1236" t="s">
        <v>185</v>
      </c>
      <c r="D1236" t="s">
        <v>722</v>
      </c>
      <c r="E1236" t="s">
        <v>91</v>
      </c>
      <c r="F1236">
        <v>50</v>
      </c>
      <c r="G1236" t="s">
        <v>124</v>
      </c>
      <c r="H1236" t="s">
        <v>124</v>
      </c>
      <c r="I1236" t="s">
        <v>91</v>
      </c>
      <c r="J1236" t="s">
        <v>124</v>
      </c>
      <c r="K1236" t="s">
        <v>124</v>
      </c>
      <c r="L1236" t="s">
        <v>124</v>
      </c>
      <c r="M1236" t="s">
        <v>1891</v>
      </c>
      <c r="N1236" t="b">
        <v>0</v>
      </c>
    </row>
    <row r="1237" spans="1:14">
      <c r="A1237">
        <v>83</v>
      </c>
      <c r="B1237">
        <v>3</v>
      </c>
      <c r="C1237" t="s">
        <v>186</v>
      </c>
      <c r="D1237" t="s">
        <v>722</v>
      </c>
      <c r="E1237" t="s">
        <v>97</v>
      </c>
      <c r="F1237">
        <v>50</v>
      </c>
      <c r="G1237" t="s">
        <v>124</v>
      </c>
      <c r="H1237" t="s">
        <v>124</v>
      </c>
      <c r="I1237" t="s">
        <v>97</v>
      </c>
      <c r="J1237" t="s">
        <v>124</v>
      </c>
      <c r="K1237" t="s">
        <v>124</v>
      </c>
      <c r="L1237" t="s">
        <v>124</v>
      </c>
      <c r="M1237" t="s">
        <v>1892</v>
      </c>
      <c r="N1237" t="b">
        <v>0</v>
      </c>
    </row>
    <row r="1238" spans="1:14">
      <c r="A1238">
        <v>83</v>
      </c>
      <c r="B1238">
        <v>4</v>
      </c>
      <c r="C1238" t="s">
        <v>187</v>
      </c>
      <c r="D1238" t="s">
        <v>722</v>
      </c>
      <c r="E1238" t="s">
        <v>99</v>
      </c>
      <c r="F1238">
        <v>50</v>
      </c>
      <c r="G1238" t="s">
        <v>124</v>
      </c>
      <c r="H1238" t="s">
        <v>124</v>
      </c>
      <c r="I1238" t="s">
        <v>99</v>
      </c>
      <c r="J1238" t="s">
        <v>124</v>
      </c>
      <c r="K1238" t="s">
        <v>124</v>
      </c>
      <c r="L1238" t="s">
        <v>124</v>
      </c>
      <c r="M1238" t="s">
        <v>1893</v>
      </c>
      <c r="N1238" t="b">
        <v>0</v>
      </c>
    </row>
    <row r="1239" spans="1:14">
      <c r="A1239">
        <v>83</v>
      </c>
      <c r="B1239">
        <v>5</v>
      </c>
      <c r="C1239" t="s">
        <v>188</v>
      </c>
      <c r="D1239" t="s">
        <v>722</v>
      </c>
      <c r="E1239" t="s">
        <v>107</v>
      </c>
      <c r="F1239">
        <v>30</v>
      </c>
      <c r="G1239" t="s">
        <v>124</v>
      </c>
      <c r="H1239" t="s">
        <v>124</v>
      </c>
      <c r="I1239" t="s">
        <v>107</v>
      </c>
      <c r="J1239" t="s">
        <v>124</v>
      </c>
      <c r="K1239" t="s">
        <v>124</v>
      </c>
      <c r="L1239" t="s">
        <v>124</v>
      </c>
      <c r="M1239" t="s">
        <v>1894</v>
      </c>
      <c r="N1239" t="b">
        <v>0</v>
      </c>
    </row>
    <row r="1240" spans="1:14">
      <c r="A1240">
        <v>83</v>
      </c>
      <c r="B1240">
        <v>6</v>
      </c>
      <c r="C1240" t="s">
        <v>434</v>
      </c>
      <c r="D1240" t="s">
        <v>722</v>
      </c>
      <c r="E1240" t="s">
        <v>295</v>
      </c>
      <c r="F1240">
        <v>50</v>
      </c>
      <c r="G1240" t="s">
        <v>124</v>
      </c>
      <c r="H1240" t="s">
        <v>1895</v>
      </c>
      <c r="I1240" t="s">
        <v>1896</v>
      </c>
      <c r="J1240" t="s">
        <v>124</v>
      </c>
      <c r="K1240" t="s">
        <v>760</v>
      </c>
      <c r="L1240" t="s">
        <v>761</v>
      </c>
      <c r="M1240" t="s">
        <v>1897</v>
      </c>
      <c r="N1240" t="b">
        <v>0</v>
      </c>
    </row>
    <row r="1241" spans="1:14">
      <c r="A1241">
        <v>83</v>
      </c>
      <c r="B1241">
        <v>7</v>
      </c>
      <c r="C1241" t="s">
        <v>314</v>
      </c>
      <c r="D1241" t="s">
        <v>722</v>
      </c>
      <c r="E1241" t="s">
        <v>111</v>
      </c>
      <c r="F1241">
        <v>30</v>
      </c>
      <c r="G1241" t="s">
        <v>124</v>
      </c>
      <c r="H1241" t="s">
        <v>124</v>
      </c>
      <c r="I1241" t="s">
        <v>111</v>
      </c>
      <c r="J1241" t="s">
        <v>124</v>
      </c>
      <c r="K1241" t="s">
        <v>124</v>
      </c>
      <c r="L1241" t="s">
        <v>124</v>
      </c>
      <c r="M1241" t="s">
        <v>1898</v>
      </c>
      <c r="N1241" t="b">
        <v>0</v>
      </c>
    </row>
    <row r="1242" spans="1:14">
      <c r="A1242">
        <v>83</v>
      </c>
      <c r="B1242">
        <v>8</v>
      </c>
      <c r="C1242" t="s">
        <v>189</v>
      </c>
      <c r="D1242" t="s">
        <v>722</v>
      </c>
      <c r="E1242" t="s">
        <v>113</v>
      </c>
      <c r="F1242">
        <v>60</v>
      </c>
      <c r="G1242" t="s">
        <v>124</v>
      </c>
      <c r="H1242" t="s">
        <v>124</v>
      </c>
      <c r="I1242" t="s">
        <v>113</v>
      </c>
      <c r="J1242" t="s">
        <v>124</v>
      </c>
      <c r="K1242" t="s">
        <v>124</v>
      </c>
      <c r="L1242" t="s">
        <v>124</v>
      </c>
      <c r="M1242" t="s">
        <v>1899</v>
      </c>
      <c r="N1242" t="b">
        <v>0</v>
      </c>
    </row>
    <row r="1243" spans="1:14">
      <c r="A1243">
        <v>83</v>
      </c>
      <c r="B1243">
        <v>9</v>
      </c>
      <c r="C1243" t="s">
        <v>190</v>
      </c>
      <c r="D1243" t="s">
        <v>722</v>
      </c>
      <c r="E1243" t="s">
        <v>59</v>
      </c>
      <c r="F1243">
        <v>30</v>
      </c>
      <c r="G1243" t="s">
        <v>124</v>
      </c>
      <c r="H1243" t="s">
        <v>124</v>
      </c>
      <c r="I1243" t="s">
        <v>59</v>
      </c>
      <c r="J1243" t="s">
        <v>124</v>
      </c>
      <c r="K1243" t="s">
        <v>124</v>
      </c>
      <c r="L1243" t="s">
        <v>124</v>
      </c>
      <c r="M1243" t="s">
        <v>1900</v>
      </c>
      <c r="N1243" t="b">
        <v>0</v>
      </c>
    </row>
    <row r="1244" spans="1:14">
      <c r="A1244">
        <v>83</v>
      </c>
      <c r="B1244">
        <v>10</v>
      </c>
      <c r="C1244" t="s">
        <v>161</v>
      </c>
      <c r="D1244" t="s">
        <v>722</v>
      </c>
      <c r="E1244" t="s">
        <v>76</v>
      </c>
      <c r="F1244">
        <v>40</v>
      </c>
      <c r="G1244" t="s">
        <v>124</v>
      </c>
      <c r="H1244" t="s">
        <v>124</v>
      </c>
      <c r="I1244" t="s">
        <v>76</v>
      </c>
      <c r="J1244" t="s">
        <v>124</v>
      </c>
      <c r="K1244" t="s">
        <v>124</v>
      </c>
      <c r="L1244" t="s">
        <v>124</v>
      </c>
      <c r="M1244" t="s">
        <v>1901</v>
      </c>
      <c r="N1244" t="b">
        <v>0</v>
      </c>
    </row>
    <row r="1245" spans="1:14">
      <c r="A1245">
        <v>83</v>
      </c>
      <c r="B1245">
        <v>11</v>
      </c>
      <c r="C1245" t="s">
        <v>435</v>
      </c>
      <c r="D1245" t="s">
        <v>722</v>
      </c>
      <c r="E1245" t="s">
        <v>356</v>
      </c>
      <c r="F1245">
        <v>60</v>
      </c>
      <c r="G1245" t="s">
        <v>124</v>
      </c>
      <c r="H1245" t="s">
        <v>1902</v>
      </c>
      <c r="I1245" t="s">
        <v>1903</v>
      </c>
      <c r="J1245" t="s">
        <v>124</v>
      </c>
      <c r="K1245" t="s">
        <v>1162</v>
      </c>
      <c r="L1245" t="s">
        <v>1163</v>
      </c>
      <c r="M1245" t="s">
        <v>1904</v>
      </c>
      <c r="N1245" t="b">
        <v>0</v>
      </c>
    </row>
    <row r="1246" spans="1:14">
      <c r="A1246">
        <v>83</v>
      </c>
      <c r="B1246">
        <v>12</v>
      </c>
      <c r="C1246" t="s">
        <v>192</v>
      </c>
      <c r="D1246" t="s">
        <v>722</v>
      </c>
      <c r="E1246" t="s">
        <v>96</v>
      </c>
      <c r="F1246">
        <v>50</v>
      </c>
      <c r="G1246" t="s">
        <v>124</v>
      </c>
      <c r="H1246" t="s">
        <v>124</v>
      </c>
      <c r="I1246" t="s">
        <v>96</v>
      </c>
      <c r="J1246" t="s">
        <v>124</v>
      </c>
      <c r="K1246" t="s">
        <v>124</v>
      </c>
      <c r="L1246" t="s">
        <v>124</v>
      </c>
      <c r="M1246" t="s">
        <v>1905</v>
      </c>
      <c r="N1246" t="b">
        <v>0</v>
      </c>
    </row>
    <row r="1247" spans="1:14">
      <c r="A1247">
        <v>83</v>
      </c>
      <c r="B1247">
        <v>13</v>
      </c>
      <c r="C1247" t="s">
        <v>221</v>
      </c>
      <c r="D1247" t="s">
        <v>722</v>
      </c>
      <c r="E1247" t="s">
        <v>105</v>
      </c>
      <c r="F1247">
        <v>50</v>
      </c>
      <c r="G1247" t="s">
        <v>124</v>
      </c>
      <c r="H1247" t="s">
        <v>124</v>
      </c>
      <c r="I1247" t="s">
        <v>105</v>
      </c>
      <c r="J1247" t="s">
        <v>124</v>
      </c>
      <c r="K1247" t="s">
        <v>124</v>
      </c>
      <c r="L1247" t="s">
        <v>124</v>
      </c>
      <c r="M1247" t="s">
        <v>1906</v>
      </c>
      <c r="N1247" t="b">
        <v>0</v>
      </c>
    </row>
    <row r="1248" spans="1:14">
      <c r="A1248">
        <v>83</v>
      </c>
      <c r="B1248">
        <v>14</v>
      </c>
      <c r="C1248" t="s">
        <v>193</v>
      </c>
      <c r="D1248" t="s">
        <v>722</v>
      </c>
      <c r="E1248" t="s">
        <v>106</v>
      </c>
      <c r="F1248">
        <v>60</v>
      </c>
      <c r="G1248" t="s">
        <v>124</v>
      </c>
      <c r="H1248" t="s">
        <v>124</v>
      </c>
      <c r="I1248" t="s">
        <v>106</v>
      </c>
      <c r="J1248" t="s">
        <v>124</v>
      </c>
      <c r="K1248" t="s">
        <v>124</v>
      </c>
      <c r="L1248" t="s">
        <v>124</v>
      </c>
      <c r="M1248" t="s">
        <v>1907</v>
      </c>
      <c r="N1248" t="b">
        <v>0</v>
      </c>
    </row>
    <row r="1249" spans="1:14">
      <c r="A1249">
        <v>83</v>
      </c>
      <c r="B1249">
        <v>15</v>
      </c>
      <c r="C1249" t="s">
        <v>124</v>
      </c>
      <c r="D1249" t="s">
        <v>722</v>
      </c>
      <c r="E1249" t="s">
        <v>124</v>
      </c>
      <c r="F1249">
        <v>0</v>
      </c>
      <c r="G1249" t="s">
        <v>124</v>
      </c>
      <c r="H1249" t="s">
        <v>124</v>
      </c>
      <c r="I1249" t="s">
        <v>124</v>
      </c>
      <c r="J1249" t="s">
        <v>124</v>
      </c>
      <c r="K1249" t="s">
        <v>124</v>
      </c>
      <c r="L1249" t="s">
        <v>124</v>
      </c>
      <c r="M1249" t="s">
        <v>1908</v>
      </c>
      <c r="N1249" t="b">
        <v>0</v>
      </c>
    </row>
    <row r="1250" spans="1:14">
      <c r="A1250">
        <v>83</v>
      </c>
      <c r="B1250">
        <v>16</v>
      </c>
      <c r="C1250" t="s">
        <v>124</v>
      </c>
      <c r="D1250" t="s">
        <v>739</v>
      </c>
      <c r="E1250" t="s">
        <v>124</v>
      </c>
      <c r="F1250">
        <v>0</v>
      </c>
      <c r="G1250" t="s">
        <v>124</v>
      </c>
      <c r="H1250" t="s">
        <v>124</v>
      </c>
      <c r="I1250" t="s">
        <v>124</v>
      </c>
      <c r="J1250" t="s">
        <v>124</v>
      </c>
      <c r="K1250" t="s">
        <v>124</v>
      </c>
      <c r="L1250" t="s">
        <v>124</v>
      </c>
      <c r="M1250" t="s">
        <v>1909</v>
      </c>
      <c r="N1250" t="b">
        <v>0</v>
      </c>
    </row>
    <row r="1251" spans="1:14">
      <c r="A1251">
        <v>83</v>
      </c>
      <c r="B1251">
        <v>17</v>
      </c>
      <c r="C1251" t="s">
        <v>124</v>
      </c>
      <c r="D1251" t="s">
        <v>739</v>
      </c>
      <c r="E1251" t="s">
        <v>124</v>
      </c>
      <c r="F1251">
        <v>0</v>
      </c>
      <c r="G1251" t="s">
        <v>124</v>
      </c>
      <c r="H1251" t="s">
        <v>124</v>
      </c>
      <c r="I1251" t="s">
        <v>124</v>
      </c>
      <c r="J1251" t="s">
        <v>124</v>
      </c>
      <c r="K1251" t="s">
        <v>124</v>
      </c>
      <c r="L1251" t="s">
        <v>124</v>
      </c>
      <c r="M1251" t="s">
        <v>1910</v>
      </c>
      <c r="N1251" t="b">
        <v>0</v>
      </c>
    </row>
    <row r="1252" spans="1:14">
      <c r="A1252">
        <v>83</v>
      </c>
      <c r="B1252">
        <v>18</v>
      </c>
      <c r="C1252" t="s">
        <v>124</v>
      </c>
      <c r="D1252" t="s">
        <v>739</v>
      </c>
      <c r="E1252" t="s">
        <v>124</v>
      </c>
      <c r="F1252">
        <v>0</v>
      </c>
      <c r="G1252" t="s">
        <v>124</v>
      </c>
      <c r="H1252" t="s">
        <v>124</v>
      </c>
      <c r="I1252" t="s">
        <v>124</v>
      </c>
      <c r="J1252" t="s">
        <v>124</v>
      </c>
      <c r="K1252" t="s">
        <v>124</v>
      </c>
      <c r="L1252" t="s">
        <v>124</v>
      </c>
      <c r="M1252" t="s">
        <v>1911</v>
      </c>
      <c r="N1252" t="b">
        <v>0</v>
      </c>
    </row>
    <row r="1253" spans="1:14">
      <c r="A1253">
        <v>83</v>
      </c>
      <c r="B1253">
        <v>19</v>
      </c>
      <c r="C1253" t="s">
        <v>124</v>
      </c>
      <c r="D1253" t="s">
        <v>739</v>
      </c>
      <c r="E1253" t="s">
        <v>124</v>
      </c>
      <c r="F1253">
        <v>0</v>
      </c>
      <c r="G1253" t="s">
        <v>124</v>
      </c>
      <c r="H1253" t="s">
        <v>124</v>
      </c>
      <c r="I1253" t="s">
        <v>124</v>
      </c>
      <c r="J1253" t="s">
        <v>124</v>
      </c>
      <c r="K1253" t="s">
        <v>124</v>
      </c>
      <c r="L1253" t="s">
        <v>124</v>
      </c>
      <c r="M1253" t="s">
        <v>1912</v>
      </c>
      <c r="N1253" t="b">
        <v>0</v>
      </c>
    </row>
    <row r="1254" spans="1:14">
      <c r="A1254">
        <v>83</v>
      </c>
      <c r="B1254">
        <v>20</v>
      </c>
      <c r="C1254" t="s">
        <v>124</v>
      </c>
      <c r="D1254" t="s">
        <v>739</v>
      </c>
      <c r="E1254" t="s">
        <v>124</v>
      </c>
      <c r="F1254">
        <v>0</v>
      </c>
      <c r="G1254" t="s">
        <v>124</v>
      </c>
      <c r="H1254" t="s">
        <v>124</v>
      </c>
      <c r="I1254" t="s">
        <v>124</v>
      </c>
      <c r="J1254" t="s">
        <v>124</v>
      </c>
      <c r="K1254" t="s">
        <v>124</v>
      </c>
      <c r="L1254" t="s">
        <v>124</v>
      </c>
      <c r="M1254" t="s">
        <v>1913</v>
      </c>
      <c r="N1254" t="b">
        <v>0</v>
      </c>
    </row>
    <row r="1255" spans="1:14">
      <c r="A1255">
        <v>83</v>
      </c>
      <c r="B1255">
        <v>21</v>
      </c>
      <c r="C1255" t="s">
        <v>124</v>
      </c>
      <c r="D1255" t="s">
        <v>739</v>
      </c>
      <c r="E1255" t="s">
        <v>124</v>
      </c>
      <c r="F1255">
        <v>0</v>
      </c>
      <c r="G1255" t="s">
        <v>124</v>
      </c>
      <c r="H1255" t="s">
        <v>124</v>
      </c>
      <c r="I1255" t="s">
        <v>124</v>
      </c>
      <c r="J1255" t="s">
        <v>124</v>
      </c>
      <c r="K1255" t="s">
        <v>124</v>
      </c>
      <c r="L1255" t="s">
        <v>124</v>
      </c>
      <c r="M1255" t="s">
        <v>1914</v>
      </c>
      <c r="N1255" t="b">
        <v>0</v>
      </c>
    </row>
    <row r="1256" spans="1:14">
      <c r="A1256">
        <v>83</v>
      </c>
      <c r="B1256">
        <v>22</v>
      </c>
      <c r="C1256" t="s">
        <v>124</v>
      </c>
      <c r="D1256" t="s">
        <v>739</v>
      </c>
      <c r="E1256" t="s">
        <v>124</v>
      </c>
      <c r="F1256">
        <v>0</v>
      </c>
      <c r="G1256" t="s">
        <v>124</v>
      </c>
      <c r="H1256" t="s">
        <v>124</v>
      </c>
      <c r="I1256" t="s">
        <v>124</v>
      </c>
      <c r="J1256" t="s">
        <v>124</v>
      </c>
      <c r="K1256" t="s">
        <v>124</v>
      </c>
      <c r="L1256" t="s">
        <v>124</v>
      </c>
      <c r="M1256" t="s">
        <v>1915</v>
      </c>
      <c r="N1256" t="b">
        <v>0</v>
      </c>
    </row>
    <row r="1257" spans="1:14">
      <c r="A1257">
        <v>83</v>
      </c>
      <c r="B1257">
        <v>23</v>
      </c>
      <c r="C1257" t="s">
        <v>124</v>
      </c>
      <c r="D1257" t="s">
        <v>739</v>
      </c>
      <c r="E1257" t="s">
        <v>124</v>
      </c>
      <c r="F1257">
        <v>0</v>
      </c>
      <c r="G1257" t="s">
        <v>124</v>
      </c>
      <c r="H1257" t="s">
        <v>124</v>
      </c>
      <c r="I1257" t="s">
        <v>124</v>
      </c>
      <c r="J1257" t="s">
        <v>124</v>
      </c>
      <c r="K1257" t="s">
        <v>124</v>
      </c>
      <c r="L1257" t="s">
        <v>124</v>
      </c>
      <c r="M1257" t="s">
        <v>1916</v>
      </c>
      <c r="N1257" t="b">
        <v>0</v>
      </c>
    </row>
    <row r="1258" spans="1:14">
      <c r="A1258">
        <v>83</v>
      </c>
      <c r="B1258">
        <v>24</v>
      </c>
      <c r="C1258" t="s">
        <v>124</v>
      </c>
      <c r="D1258" t="s">
        <v>739</v>
      </c>
      <c r="E1258" t="s">
        <v>124</v>
      </c>
      <c r="F1258">
        <v>0</v>
      </c>
      <c r="G1258" t="s">
        <v>124</v>
      </c>
      <c r="H1258" t="s">
        <v>124</v>
      </c>
      <c r="I1258" t="s">
        <v>124</v>
      </c>
      <c r="J1258" t="s">
        <v>124</v>
      </c>
      <c r="K1258" t="s">
        <v>124</v>
      </c>
      <c r="L1258" t="s">
        <v>124</v>
      </c>
      <c r="M1258" t="s">
        <v>1917</v>
      </c>
      <c r="N1258" t="b">
        <v>0</v>
      </c>
    </row>
    <row r="1259" spans="1:14">
      <c r="A1259">
        <v>83</v>
      </c>
      <c r="B1259">
        <v>25</v>
      </c>
      <c r="C1259" t="s">
        <v>124</v>
      </c>
      <c r="D1259" t="s">
        <v>739</v>
      </c>
      <c r="E1259" t="s">
        <v>124</v>
      </c>
      <c r="F1259">
        <v>0</v>
      </c>
      <c r="G1259" t="s">
        <v>124</v>
      </c>
      <c r="H1259" t="s">
        <v>124</v>
      </c>
      <c r="I1259" t="s">
        <v>124</v>
      </c>
      <c r="J1259" t="s">
        <v>124</v>
      </c>
      <c r="K1259" t="s">
        <v>124</v>
      </c>
      <c r="L1259" t="s">
        <v>124</v>
      </c>
      <c r="M1259" t="s">
        <v>1918</v>
      </c>
      <c r="N1259" t="b">
        <v>0</v>
      </c>
    </row>
    <row r="1260" spans="1:14">
      <c r="A1260">
        <v>83</v>
      </c>
      <c r="B1260">
        <v>26</v>
      </c>
      <c r="C1260" t="s">
        <v>124</v>
      </c>
      <c r="D1260" t="s">
        <v>739</v>
      </c>
      <c r="E1260" t="s">
        <v>124</v>
      </c>
      <c r="F1260">
        <v>0</v>
      </c>
      <c r="G1260" t="s">
        <v>124</v>
      </c>
      <c r="H1260" t="s">
        <v>124</v>
      </c>
      <c r="I1260" t="s">
        <v>124</v>
      </c>
      <c r="J1260" t="s">
        <v>124</v>
      </c>
      <c r="K1260" t="s">
        <v>124</v>
      </c>
      <c r="L1260" t="s">
        <v>124</v>
      </c>
      <c r="M1260" t="s">
        <v>1919</v>
      </c>
      <c r="N1260" t="b">
        <v>0</v>
      </c>
    </row>
    <row r="1261" spans="1:14">
      <c r="A1261">
        <v>86</v>
      </c>
      <c r="B1261">
        <v>0</v>
      </c>
      <c r="C1261" t="s">
        <v>184</v>
      </c>
      <c r="D1261" t="s">
        <v>722</v>
      </c>
      <c r="E1261" t="s">
        <v>63</v>
      </c>
      <c r="F1261">
        <v>50</v>
      </c>
      <c r="G1261" t="s">
        <v>124</v>
      </c>
      <c r="H1261" t="s">
        <v>124</v>
      </c>
      <c r="I1261" t="s">
        <v>63</v>
      </c>
      <c r="J1261" t="s">
        <v>124</v>
      </c>
      <c r="K1261" t="s">
        <v>124</v>
      </c>
      <c r="L1261" t="s">
        <v>124</v>
      </c>
      <c r="M1261" t="s">
        <v>1920</v>
      </c>
      <c r="N1261" t="b">
        <v>0</v>
      </c>
    </row>
    <row r="1262" spans="1:14">
      <c r="A1262">
        <v>86</v>
      </c>
      <c r="B1262">
        <v>1</v>
      </c>
      <c r="C1262" t="s">
        <v>441</v>
      </c>
      <c r="D1262" t="s">
        <v>722</v>
      </c>
      <c r="E1262" t="s">
        <v>81</v>
      </c>
      <c r="F1262">
        <v>20</v>
      </c>
      <c r="G1262" t="s">
        <v>124</v>
      </c>
      <c r="H1262" t="s">
        <v>124</v>
      </c>
      <c r="I1262" t="s">
        <v>81</v>
      </c>
      <c r="J1262" t="s">
        <v>124</v>
      </c>
      <c r="K1262" t="s">
        <v>124</v>
      </c>
      <c r="L1262" t="s">
        <v>124</v>
      </c>
      <c r="M1262" t="s">
        <v>1921</v>
      </c>
      <c r="N1262" t="b">
        <v>0</v>
      </c>
    </row>
    <row r="1263" spans="1:14">
      <c r="A1263">
        <v>86</v>
      </c>
      <c r="B1263">
        <v>2</v>
      </c>
      <c r="C1263" t="s">
        <v>185</v>
      </c>
      <c r="D1263" t="s">
        <v>722</v>
      </c>
      <c r="E1263" t="s">
        <v>91</v>
      </c>
      <c r="F1263">
        <v>50</v>
      </c>
      <c r="G1263" t="s">
        <v>124</v>
      </c>
      <c r="H1263" t="s">
        <v>124</v>
      </c>
      <c r="I1263" t="s">
        <v>91</v>
      </c>
      <c r="J1263" t="s">
        <v>124</v>
      </c>
      <c r="K1263" t="s">
        <v>124</v>
      </c>
      <c r="L1263" t="s">
        <v>124</v>
      </c>
      <c r="M1263" t="s">
        <v>1922</v>
      </c>
      <c r="N1263" t="b">
        <v>0</v>
      </c>
    </row>
    <row r="1264" spans="1:14">
      <c r="A1264">
        <v>86</v>
      </c>
      <c r="B1264">
        <v>3</v>
      </c>
      <c r="C1264" t="s">
        <v>186</v>
      </c>
      <c r="D1264" t="s">
        <v>722</v>
      </c>
      <c r="E1264" t="s">
        <v>97</v>
      </c>
      <c r="F1264">
        <v>50</v>
      </c>
      <c r="G1264" t="s">
        <v>124</v>
      </c>
      <c r="H1264" t="s">
        <v>124</v>
      </c>
      <c r="I1264" t="s">
        <v>97</v>
      </c>
      <c r="J1264" t="s">
        <v>124</v>
      </c>
      <c r="K1264" t="s">
        <v>124</v>
      </c>
      <c r="L1264" t="s">
        <v>124</v>
      </c>
      <c r="M1264" t="s">
        <v>1923</v>
      </c>
      <c r="N1264" t="b">
        <v>0</v>
      </c>
    </row>
    <row r="1265" spans="1:14">
      <c r="A1265">
        <v>86</v>
      </c>
      <c r="B1265">
        <v>4</v>
      </c>
      <c r="C1265" t="s">
        <v>187</v>
      </c>
      <c r="D1265" t="s">
        <v>722</v>
      </c>
      <c r="E1265" t="s">
        <v>99</v>
      </c>
      <c r="F1265">
        <v>50</v>
      </c>
      <c r="G1265" t="s">
        <v>124</v>
      </c>
      <c r="H1265" t="s">
        <v>124</v>
      </c>
      <c r="I1265" t="s">
        <v>99</v>
      </c>
      <c r="J1265" t="s">
        <v>124</v>
      </c>
      <c r="K1265" t="s">
        <v>124</v>
      </c>
      <c r="L1265" t="s">
        <v>124</v>
      </c>
      <c r="M1265" t="s">
        <v>1924</v>
      </c>
      <c r="N1265" t="b">
        <v>0</v>
      </c>
    </row>
    <row r="1266" spans="1:14">
      <c r="A1266">
        <v>86</v>
      </c>
      <c r="B1266">
        <v>5</v>
      </c>
      <c r="C1266" t="s">
        <v>188</v>
      </c>
      <c r="D1266" t="s">
        <v>722</v>
      </c>
      <c r="E1266" t="s">
        <v>107</v>
      </c>
      <c r="F1266">
        <v>30</v>
      </c>
      <c r="G1266" t="s">
        <v>124</v>
      </c>
      <c r="H1266" t="s">
        <v>124</v>
      </c>
      <c r="I1266" t="s">
        <v>107</v>
      </c>
      <c r="J1266" t="s">
        <v>124</v>
      </c>
      <c r="K1266" t="s">
        <v>124</v>
      </c>
      <c r="L1266" t="s">
        <v>124</v>
      </c>
      <c r="M1266" t="s">
        <v>1925</v>
      </c>
      <c r="N1266" t="b">
        <v>0</v>
      </c>
    </row>
    <row r="1267" spans="1:14">
      <c r="A1267">
        <v>86</v>
      </c>
      <c r="B1267">
        <v>6</v>
      </c>
      <c r="C1267" t="s">
        <v>442</v>
      </c>
      <c r="D1267" t="s">
        <v>722</v>
      </c>
      <c r="E1267" t="s">
        <v>295</v>
      </c>
      <c r="F1267">
        <v>40</v>
      </c>
      <c r="G1267" t="s">
        <v>124</v>
      </c>
      <c r="H1267" t="s">
        <v>1895</v>
      </c>
      <c r="I1267" t="s">
        <v>1896</v>
      </c>
      <c r="J1267" t="s">
        <v>124</v>
      </c>
      <c r="K1267" t="s">
        <v>760</v>
      </c>
      <c r="L1267" t="s">
        <v>761</v>
      </c>
      <c r="M1267" t="s">
        <v>1926</v>
      </c>
      <c r="N1267" t="b">
        <v>0</v>
      </c>
    </row>
    <row r="1268" spans="1:14">
      <c r="A1268">
        <v>86</v>
      </c>
      <c r="B1268">
        <v>7</v>
      </c>
      <c r="C1268" t="s">
        <v>252</v>
      </c>
      <c r="D1268" t="s">
        <v>722</v>
      </c>
      <c r="E1268" t="s">
        <v>113</v>
      </c>
      <c r="F1268">
        <v>40</v>
      </c>
      <c r="G1268" t="s">
        <v>124</v>
      </c>
      <c r="H1268" t="s">
        <v>124</v>
      </c>
      <c r="I1268" t="s">
        <v>113</v>
      </c>
      <c r="J1268" t="s">
        <v>124</v>
      </c>
      <c r="K1268" t="s">
        <v>124</v>
      </c>
      <c r="L1268" t="s">
        <v>124</v>
      </c>
      <c r="M1268" t="s">
        <v>1927</v>
      </c>
      <c r="N1268" t="b">
        <v>0</v>
      </c>
    </row>
    <row r="1269" spans="1:14">
      <c r="A1269">
        <v>86</v>
      </c>
      <c r="B1269">
        <v>8</v>
      </c>
      <c r="C1269" t="s">
        <v>190</v>
      </c>
      <c r="D1269" t="s">
        <v>722</v>
      </c>
      <c r="E1269" t="s">
        <v>59</v>
      </c>
      <c r="F1269">
        <v>30</v>
      </c>
      <c r="G1269" t="s">
        <v>124</v>
      </c>
      <c r="H1269" t="s">
        <v>124</v>
      </c>
      <c r="I1269" t="s">
        <v>59</v>
      </c>
      <c r="J1269" t="s">
        <v>124</v>
      </c>
      <c r="K1269" t="s">
        <v>124</v>
      </c>
      <c r="L1269" t="s">
        <v>124</v>
      </c>
      <c r="M1269" t="s">
        <v>1928</v>
      </c>
      <c r="N1269" t="b">
        <v>0</v>
      </c>
    </row>
    <row r="1270" spans="1:14">
      <c r="A1270">
        <v>86</v>
      </c>
      <c r="B1270">
        <v>9</v>
      </c>
      <c r="C1270" t="s">
        <v>353</v>
      </c>
      <c r="D1270" t="s">
        <v>722</v>
      </c>
      <c r="E1270" t="s">
        <v>72</v>
      </c>
      <c r="F1270">
        <v>60</v>
      </c>
      <c r="G1270" t="s">
        <v>124</v>
      </c>
      <c r="H1270" t="s">
        <v>124</v>
      </c>
      <c r="I1270" t="s">
        <v>72</v>
      </c>
      <c r="J1270" t="s">
        <v>124</v>
      </c>
      <c r="K1270" t="s">
        <v>124</v>
      </c>
      <c r="L1270" t="s">
        <v>124</v>
      </c>
      <c r="M1270" t="s">
        <v>1929</v>
      </c>
      <c r="N1270" t="b">
        <v>0</v>
      </c>
    </row>
    <row r="1271" spans="1:14">
      <c r="A1271">
        <v>86</v>
      </c>
      <c r="B1271">
        <v>10</v>
      </c>
      <c r="C1271" t="s">
        <v>191</v>
      </c>
      <c r="D1271" t="s">
        <v>722</v>
      </c>
      <c r="E1271" t="s">
        <v>76</v>
      </c>
      <c r="F1271">
        <v>50</v>
      </c>
      <c r="G1271" t="s">
        <v>124</v>
      </c>
      <c r="H1271" t="s">
        <v>124</v>
      </c>
      <c r="I1271" t="s">
        <v>76</v>
      </c>
      <c r="J1271" t="s">
        <v>124</v>
      </c>
      <c r="K1271" t="s">
        <v>124</v>
      </c>
      <c r="L1271" t="s">
        <v>124</v>
      </c>
      <c r="M1271" t="s">
        <v>1930</v>
      </c>
      <c r="N1271" t="b">
        <v>0</v>
      </c>
    </row>
    <row r="1272" spans="1:14">
      <c r="A1272">
        <v>86</v>
      </c>
      <c r="B1272">
        <v>11</v>
      </c>
      <c r="C1272" t="s">
        <v>197</v>
      </c>
      <c r="D1272" t="s">
        <v>722</v>
      </c>
      <c r="E1272" t="s">
        <v>82</v>
      </c>
      <c r="F1272">
        <v>50</v>
      </c>
      <c r="G1272" t="s">
        <v>124</v>
      </c>
      <c r="H1272" t="s">
        <v>124</v>
      </c>
      <c r="I1272" t="s">
        <v>82</v>
      </c>
      <c r="J1272" t="s">
        <v>124</v>
      </c>
      <c r="K1272" t="s">
        <v>124</v>
      </c>
      <c r="L1272" t="s">
        <v>124</v>
      </c>
      <c r="M1272" t="s">
        <v>1931</v>
      </c>
      <c r="N1272" t="b">
        <v>0</v>
      </c>
    </row>
    <row r="1273" spans="1:14">
      <c r="A1273">
        <v>86</v>
      </c>
      <c r="B1273">
        <v>12</v>
      </c>
      <c r="C1273" t="s">
        <v>192</v>
      </c>
      <c r="D1273" t="s">
        <v>722</v>
      </c>
      <c r="E1273" t="s">
        <v>96</v>
      </c>
      <c r="F1273">
        <v>50</v>
      </c>
      <c r="G1273" t="s">
        <v>124</v>
      </c>
      <c r="H1273" t="s">
        <v>124</v>
      </c>
      <c r="I1273" t="s">
        <v>96</v>
      </c>
      <c r="J1273" t="s">
        <v>124</v>
      </c>
      <c r="K1273" t="s">
        <v>124</v>
      </c>
      <c r="L1273" t="s">
        <v>124</v>
      </c>
      <c r="M1273" t="s">
        <v>1932</v>
      </c>
      <c r="N1273" t="b">
        <v>0</v>
      </c>
    </row>
    <row r="1274" spans="1:14">
      <c r="A1274">
        <v>86</v>
      </c>
      <c r="B1274">
        <v>13</v>
      </c>
      <c r="C1274" t="s">
        <v>387</v>
      </c>
      <c r="D1274" t="s">
        <v>722</v>
      </c>
      <c r="E1274" t="s">
        <v>104</v>
      </c>
      <c r="F1274">
        <v>60</v>
      </c>
      <c r="G1274" t="s">
        <v>124</v>
      </c>
      <c r="H1274" t="s">
        <v>124</v>
      </c>
      <c r="I1274" t="s">
        <v>104</v>
      </c>
      <c r="J1274" t="s">
        <v>124</v>
      </c>
      <c r="K1274" t="s">
        <v>124</v>
      </c>
      <c r="L1274" t="s">
        <v>124</v>
      </c>
      <c r="M1274" t="s">
        <v>1933</v>
      </c>
      <c r="N1274" t="b">
        <v>0</v>
      </c>
    </row>
    <row r="1275" spans="1:14">
      <c r="A1275">
        <v>86</v>
      </c>
      <c r="B1275">
        <v>14</v>
      </c>
      <c r="C1275" t="s">
        <v>193</v>
      </c>
      <c r="D1275" t="s">
        <v>722</v>
      </c>
      <c r="E1275" t="s">
        <v>106</v>
      </c>
      <c r="F1275">
        <v>60</v>
      </c>
      <c r="G1275" t="s">
        <v>124</v>
      </c>
      <c r="H1275" t="s">
        <v>124</v>
      </c>
      <c r="I1275" t="s">
        <v>106</v>
      </c>
      <c r="J1275" t="s">
        <v>124</v>
      </c>
      <c r="K1275" t="s">
        <v>124</v>
      </c>
      <c r="L1275" t="s">
        <v>124</v>
      </c>
      <c r="M1275" t="s">
        <v>1934</v>
      </c>
      <c r="N1275" t="b">
        <v>0</v>
      </c>
    </row>
    <row r="1276" spans="1:14">
      <c r="A1276">
        <v>86</v>
      </c>
      <c r="B1276">
        <v>15</v>
      </c>
      <c r="C1276" t="s">
        <v>124</v>
      </c>
      <c r="D1276" t="s">
        <v>722</v>
      </c>
      <c r="E1276" t="s">
        <v>124</v>
      </c>
      <c r="F1276">
        <v>0</v>
      </c>
      <c r="G1276" t="s">
        <v>124</v>
      </c>
      <c r="H1276" t="s">
        <v>124</v>
      </c>
      <c r="I1276" t="s">
        <v>124</v>
      </c>
      <c r="J1276" t="s">
        <v>124</v>
      </c>
      <c r="K1276" t="s">
        <v>124</v>
      </c>
      <c r="L1276" t="s">
        <v>124</v>
      </c>
      <c r="M1276" t="s">
        <v>1935</v>
      </c>
      <c r="N1276" t="b">
        <v>0</v>
      </c>
    </row>
    <row r="1277" spans="1:14">
      <c r="A1277">
        <v>86</v>
      </c>
      <c r="B1277">
        <v>16</v>
      </c>
      <c r="C1277" t="s">
        <v>124</v>
      </c>
      <c r="D1277" t="s">
        <v>739</v>
      </c>
      <c r="E1277" t="s">
        <v>124</v>
      </c>
      <c r="F1277">
        <v>0</v>
      </c>
      <c r="G1277" t="s">
        <v>124</v>
      </c>
      <c r="H1277" t="s">
        <v>124</v>
      </c>
      <c r="I1277" t="s">
        <v>124</v>
      </c>
      <c r="J1277" t="s">
        <v>124</v>
      </c>
      <c r="K1277" t="s">
        <v>124</v>
      </c>
      <c r="L1277" t="s">
        <v>124</v>
      </c>
      <c r="M1277" t="s">
        <v>1936</v>
      </c>
      <c r="N1277" t="b">
        <v>0</v>
      </c>
    </row>
    <row r="1278" spans="1:14">
      <c r="A1278">
        <v>86</v>
      </c>
      <c r="B1278">
        <v>17</v>
      </c>
      <c r="C1278" t="s">
        <v>124</v>
      </c>
      <c r="D1278" t="s">
        <v>739</v>
      </c>
      <c r="E1278" t="s">
        <v>124</v>
      </c>
      <c r="F1278">
        <v>0</v>
      </c>
      <c r="G1278" t="s">
        <v>124</v>
      </c>
      <c r="H1278" t="s">
        <v>124</v>
      </c>
      <c r="I1278" t="s">
        <v>124</v>
      </c>
      <c r="J1278" t="s">
        <v>124</v>
      </c>
      <c r="K1278" t="s">
        <v>124</v>
      </c>
      <c r="L1278" t="s">
        <v>124</v>
      </c>
      <c r="M1278" t="s">
        <v>1937</v>
      </c>
      <c r="N1278" t="b">
        <v>0</v>
      </c>
    </row>
    <row r="1279" spans="1:14">
      <c r="A1279">
        <v>86</v>
      </c>
      <c r="B1279">
        <v>18</v>
      </c>
      <c r="C1279" t="s">
        <v>124</v>
      </c>
      <c r="D1279" t="s">
        <v>739</v>
      </c>
      <c r="E1279" t="s">
        <v>124</v>
      </c>
      <c r="F1279">
        <v>0</v>
      </c>
      <c r="G1279" t="s">
        <v>124</v>
      </c>
      <c r="H1279" t="s">
        <v>124</v>
      </c>
      <c r="I1279" t="s">
        <v>124</v>
      </c>
      <c r="J1279" t="s">
        <v>124</v>
      </c>
      <c r="K1279" t="s">
        <v>124</v>
      </c>
      <c r="L1279" t="s">
        <v>124</v>
      </c>
      <c r="M1279" t="s">
        <v>1938</v>
      </c>
      <c r="N1279" t="b">
        <v>0</v>
      </c>
    </row>
    <row r="1280" spans="1:14">
      <c r="A1280">
        <v>86</v>
      </c>
      <c r="B1280">
        <v>19</v>
      </c>
      <c r="C1280" t="s">
        <v>124</v>
      </c>
      <c r="D1280" t="s">
        <v>739</v>
      </c>
      <c r="E1280" t="s">
        <v>124</v>
      </c>
      <c r="F1280">
        <v>0</v>
      </c>
      <c r="G1280" t="s">
        <v>124</v>
      </c>
      <c r="H1280" t="s">
        <v>124</v>
      </c>
      <c r="I1280" t="s">
        <v>124</v>
      </c>
      <c r="J1280" t="s">
        <v>124</v>
      </c>
      <c r="K1280" t="s">
        <v>124</v>
      </c>
      <c r="L1280" t="s">
        <v>124</v>
      </c>
      <c r="M1280" t="s">
        <v>1939</v>
      </c>
      <c r="N1280" t="b">
        <v>0</v>
      </c>
    </row>
    <row r="1281" spans="1:14">
      <c r="A1281">
        <v>86</v>
      </c>
      <c r="B1281">
        <v>20</v>
      </c>
      <c r="C1281" t="s">
        <v>124</v>
      </c>
      <c r="D1281" t="s">
        <v>739</v>
      </c>
      <c r="E1281" t="s">
        <v>124</v>
      </c>
      <c r="F1281">
        <v>0</v>
      </c>
      <c r="G1281" t="s">
        <v>124</v>
      </c>
      <c r="H1281" t="s">
        <v>124</v>
      </c>
      <c r="I1281" t="s">
        <v>124</v>
      </c>
      <c r="J1281" t="s">
        <v>124</v>
      </c>
      <c r="K1281" t="s">
        <v>124</v>
      </c>
      <c r="L1281" t="s">
        <v>124</v>
      </c>
      <c r="M1281" t="s">
        <v>1940</v>
      </c>
      <c r="N1281" t="b">
        <v>0</v>
      </c>
    </row>
    <row r="1282" spans="1:14">
      <c r="A1282">
        <v>86</v>
      </c>
      <c r="B1282">
        <v>21</v>
      </c>
      <c r="C1282" t="s">
        <v>124</v>
      </c>
      <c r="D1282" t="s">
        <v>739</v>
      </c>
      <c r="E1282" t="s">
        <v>124</v>
      </c>
      <c r="F1282">
        <v>0</v>
      </c>
      <c r="G1282" t="s">
        <v>124</v>
      </c>
      <c r="H1282" t="s">
        <v>124</v>
      </c>
      <c r="I1282" t="s">
        <v>124</v>
      </c>
      <c r="J1282" t="s">
        <v>124</v>
      </c>
      <c r="K1282" t="s">
        <v>124</v>
      </c>
      <c r="L1282" t="s">
        <v>124</v>
      </c>
      <c r="M1282" t="s">
        <v>1941</v>
      </c>
      <c r="N1282" t="b">
        <v>0</v>
      </c>
    </row>
    <row r="1283" spans="1:14">
      <c r="A1283">
        <v>86</v>
      </c>
      <c r="B1283">
        <v>22</v>
      </c>
      <c r="C1283" t="s">
        <v>124</v>
      </c>
      <c r="D1283" t="s">
        <v>739</v>
      </c>
      <c r="E1283" t="s">
        <v>124</v>
      </c>
      <c r="F1283">
        <v>0</v>
      </c>
      <c r="G1283" t="s">
        <v>124</v>
      </c>
      <c r="H1283" t="s">
        <v>124</v>
      </c>
      <c r="I1283" t="s">
        <v>124</v>
      </c>
      <c r="J1283" t="s">
        <v>124</v>
      </c>
      <c r="K1283" t="s">
        <v>124</v>
      </c>
      <c r="L1283" t="s">
        <v>124</v>
      </c>
      <c r="M1283" t="s">
        <v>1942</v>
      </c>
      <c r="N1283" t="b">
        <v>0</v>
      </c>
    </row>
    <row r="1284" spans="1:14">
      <c r="A1284">
        <v>86</v>
      </c>
      <c r="B1284">
        <v>23</v>
      </c>
      <c r="C1284" t="s">
        <v>124</v>
      </c>
      <c r="D1284" t="s">
        <v>739</v>
      </c>
      <c r="E1284" t="s">
        <v>124</v>
      </c>
      <c r="F1284">
        <v>0</v>
      </c>
      <c r="G1284" t="s">
        <v>124</v>
      </c>
      <c r="H1284" t="s">
        <v>124</v>
      </c>
      <c r="I1284" t="s">
        <v>124</v>
      </c>
      <c r="J1284" t="s">
        <v>124</v>
      </c>
      <c r="K1284" t="s">
        <v>124</v>
      </c>
      <c r="L1284" t="s">
        <v>124</v>
      </c>
      <c r="M1284" t="s">
        <v>1943</v>
      </c>
      <c r="N1284" t="b">
        <v>0</v>
      </c>
    </row>
    <row r="1285" spans="1:14">
      <c r="A1285">
        <v>86</v>
      </c>
      <c r="B1285">
        <v>24</v>
      </c>
      <c r="C1285" t="s">
        <v>124</v>
      </c>
      <c r="D1285" t="s">
        <v>739</v>
      </c>
      <c r="E1285" t="s">
        <v>124</v>
      </c>
      <c r="F1285">
        <v>0</v>
      </c>
      <c r="G1285" t="s">
        <v>124</v>
      </c>
      <c r="H1285" t="s">
        <v>124</v>
      </c>
      <c r="I1285" t="s">
        <v>124</v>
      </c>
      <c r="J1285" t="s">
        <v>124</v>
      </c>
      <c r="K1285" t="s">
        <v>124</v>
      </c>
      <c r="L1285" t="s">
        <v>124</v>
      </c>
      <c r="M1285" t="s">
        <v>1944</v>
      </c>
      <c r="N1285" t="b">
        <v>0</v>
      </c>
    </row>
    <row r="1286" spans="1:14">
      <c r="A1286">
        <v>86</v>
      </c>
      <c r="B1286">
        <v>25</v>
      </c>
      <c r="C1286" t="s">
        <v>124</v>
      </c>
      <c r="D1286" t="s">
        <v>739</v>
      </c>
      <c r="E1286" t="s">
        <v>124</v>
      </c>
      <c r="F1286">
        <v>0</v>
      </c>
      <c r="G1286" t="s">
        <v>124</v>
      </c>
      <c r="H1286" t="s">
        <v>124</v>
      </c>
      <c r="I1286" t="s">
        <v>124</v>
      </c>
      <c r="J1286" t="s">
        <v>124</v>
      </c>
      <c r="K1286" t="s">
        <v>124</v>
      </c>
      <c r="L1286" t="s">
        <v>124</v>
      </c>
      <c r="M1286" t="s">
        <v>1945</v>
      </c>
      <c r="N1286" t="b">
        <v>0</v>
      </c>
    </row>
    <row r="1287" spans="1:14">
      <c r="A1287">
        <v>86</v>
      </c>
      <c r="B1287">
        <v>26</v>
      </c>
      <c r="C1287" t="s">
        <v>124</v>
      </c>
      <c r="D1287" t="s">
        <v>739</v>
      </c>
      <c r="E1287" t="s">
        <v>124</v>
      </c>
      <c r="F1287">
        <v>0</v>
      </c>
      <c r="G1287" t="s">
        <v>124</v>
      </c>
      <c r="H1287" t="s">
        <v>124</v>
      </c>
      <c r="I1287" t="s">
        <v>124</v>
      </c>
      <c r="J1287" t="s">
        <v>124</v>
      </c>
      <c r="K1287" t="s">
        <v>124</v>
      </c>
      <c r="L1287" t="s">
        <v>124</v>
      </c>
      <c r="M1287" t="s">
        <v>1946</v>
      </c>
      <c r="N1287" t="b">
        <v>0</v>
      </c>
    </row>
    <row r="1288" spans="1:14">
      <c r="A1288">
        <v>87</v>
      </c>
      <c r="B1288">
        <v>0</v>
      </c>
      <c r="C1288" t="s">
        <v>177</v>
      </c>
      <c r="D1288" t="s">
        <v>722</v>
      </c>
      <c r="E1288" t="s">
        <v>81</v>
      </c>
      <c r="F1288">
        <v>50</v>
      </c>
      <c r="G1288" t="s">
        <v>124</v>
      </c>
      <c r="H1288" t="s">
        <v>124</v>
      </c>
      <c r="I1288" t="s">
        <v>81</v>
      </c>
      <c r="J1288" t="s">
        <v>124</v>
      </c>
      <c r="K1288" t="s">
        <v>124</v>
      </c>
      <c r="L1288" t="s">
        <v>124</v>
      </c>
      <c r="M1288" t="s">
        <v>1947</v>
      </c>
      <c r="N1288" t="b">
        <v>0</v>
      </c>
    </row>
    <row r="1289" spans="1:14">
      <c r="A1289">
        <v>87</v>
      </c>
      <c r="B1289">
        <v>1</v>
      </c>
      <c r="C1289" t="s">
        <v>200</v>
      </c>
      <c r="D1289" t="s">
        <v>722</v>
      </c>
      <c r="E1289" t="s">
        <v>101</v>
      </c>
      <c r="F1289">
        <v>60</v>
      </c>
      <c r="G1289" t="s">
        <v>124</v>
      </c>
      <c r="H1289" t="s">
        <v>124</v>
      </c>
      <c r="I1289" t="s">
        <v>101</v>
      </c>
      <c r="J1289" t="s">
        <v>124</v>
      </c>
      <c r="K1289" t="s">
        <v>124</v>
      </c>
      <c r="L1289" t="s">
        <v>124</v>
      </c>
      <c r="M1289" t="s">
        <v>1948</v>
      </c>
      <c r="N1289" t="b">
        <v>0</v>
      </c>
    </row>
    <row r="1290" spans="1:14">
      <c r="A1290">
        <v>87</v>
      </c>
      <c r="B1290">
        <v>2</v>
      </c>
      <c r="C1290" t="s">
        <v>204</v>
      </c>
      <c r="D1290" t="s">
        <v>722</v>
      </c>
      <c r="E1290" t="s">
        <v>107</v>
      </c>
      <c r="F1290">
        <v>50</v>
      </c>
      <c r="G1290" t="s">
        <v>124</v>
      </c>
      <c r="H1290" t="s">
        <v>124</v>
      </c>
      <c r="I1290" t="s">
        <v>107</v>
      </c>
      <c r="J1290" t="s">
        <v>124</v>
      </c>
      <c r="K1290" t="s">
        <v>124</v>
      </c>
      <c r="L1290" t="s">
        <v>124</v>
      </c>
      <c r="M1290" t="s">
        <v>1949</v>
      </c>
      <c r="N1290" t="b">
        <v>0</v>
      </c>
    </row>
    <row r="1291" spans="1:14">
      <c r="A1291">
        <v>87</v>
      </c>
      <c r="B1291">
        <v>3</v>
      </c>
      <c r="C1291" t="s">
        <v>201</v>
      </c>
      <c r="D1291" t="s">
        <v>722</v>
      </c>
      <c r="E1291" t="s">
        <v>64</v>
      </c>
      <c r="F1291">
        <v>60</v>
      </c>
      <c r="G1291" t="s">
        <v>124</v>
      </c>
      <c r="H1291" t="s">
        <v>124</v>
      </c>
      <c r="I1291" t="s">
        <v>64</v>
      </c>
      <c r="J1291" t="s">
        <v>124</v>
      </c>
      <c r="K1291" t="s">
        <v>124</v>
      </c>
      <c r="L1291" t="s">
        <v>124</v>
      </c>
      <c r="M1291" t="s">
        <v>1950</v>
      </c>
      <c r="N1291" t="b">
        <v>0</v>
      </c>
    </row>
    <row r="1292" spans="1:14">
      <c r="A1292">
        <v>87</v>
      </c>
      <c r="B1292">
        <v>4</v>
      </c>
      <c r="C1292" t="s">
        <v>274</v>
      </c>
      <c r="D1292" t="s">
        <v>722</v>
      </c>
      <c r="E1292" t="s">
        <v>72</v>
      </c>
      <c r="F1292">
        <v>40</v>
      </c>
      <c r="G1292" t="s">
        <v>124</v>
      </c>
      <c r="H1292" t="s">
        <v>124</v>
      </c>
      <c r="I1292" t="s">
        <v>72</v>
      </c>
      <c r="J1292" t="s">
        <v>124</v>
      </c>
      <c r="K1292" t="s">
        <v>124</v>
      </c>
      <c r="L1292" t="s">
        <v>124</v>
      </c>
      <c r="M1292" t="s">
        <v>1951</v>
      </c>
      <c r="N1292" t="b">
        <v>0</v>
      </c>
    </row>
    <row r="1293" spans="1:14">
      <c r="A1293">
        <v>87</v>
      </c>
      <c r="B1293">
        <v>5</v>
      </c>
      <c r="C1293" t="s">
        <v>161</v>
      </c>
      <c r="D1293" t="s">
        <v>722</v>
      </c>
      <c r="E1293" t="s">
        <v>76</v>
      </c>
      <c r="F1293">
        <v>40</v>
      </c>
      <c r="G1293" t="s">
        <v>124</v>
      </c>
      <c r="H1293" t="s">
        <v>124</v>
      </c>
      <c r="I1293" t="s">
        <v>76</v>
      </c>
      <c r="J1293" t="s">
        <v>124</v>
      </c>
      <c r="K1293" t="s">
        <v>124</v>
      </c>
      <c r="L1293" t="s">
        <v>124</v>
      </c>
      <c r="M1293" t="s">
        <v>1952</v>
      </c>
      <c r="N1293" t="b">
        <v>0</v>
      </c>
    </row>
    <row r="1294" spans="1:14">
      <c r="A1294">
        <v>87</v>
      </c>
      <c r="B1294">
        <v>6</v>
      </c>
      <c r="C1294" t="s">
        <v>197</v>
      </c>
      <c r="D1294" t="s">
        <v>722</v>
      </c>
      <c r="E1294" t="s">
        <v>82</v>
      </c>
      <c r="F1294">
        <v>50</v>
      </c>
      <c r="G1294" t="s">
        <v>124</v>
      </c>
      <c r="H1294" t="s">
        <v>124</v>
      </c>
      <c r="I1294" t="s">
        <v>82</v>
      </c>
      <c r="J1294" t="s">
        <v>124</v>
      </c>
      <c r="K1294" t="s">
        <v>124</v>
      </c>
      <c r="L1294" t="s">
        <v>124</v>
      </c>
      <c r="M1294" t="s">
        <v>1953</v>
      </c>
      <c r="N1294" t="b">
        <v>0</v>
      </c>
    </row>
    <row r="1295" spans="1:14">
      <c r="A1295">
        <v>87</v>
      </c>
      <c r="B1295">
        <v>7</v>
      </c>
      <c r="C1295" t="s">
        <v>445</v>
      </c>
      <c r="D1295" t="s">
        <v>722</v>
      </c>
      <c r="E1295" t="s">
        <v>543</v>
      </c>
      <c r="F1295">
        <v>50</v>
      </c>
      <c r="G1295" t="s">
        <v>124</v>
      </c>
      <c r="H1295" t="s">
        <v>553</v>
      </c>
      <c r="I1295" t="s">
        <v>330</v>
      </c>
      <c r="J1295" t="s">
        <v>124</v>
      </c>
      <c r="K1295" t="s">
        <v>799</v>
      </c>
      <c r="L1295" t="s">
        <v>800</v>
      </c>
      <c r="M1295" t="s">
        <v>1954</v>
      </c>
      <c r="N1295" t="b">
        <v>0</v>
      </c>
    </row>
    <row r="1296" spans="1:14">
      <c r="A1296">
        <v>87</v>
      </c>
      <c r="B1296">
        <v>8</v>
      </c>
      <c r="C1296" t="s">
        <v>192</v>
      </c>
      <c r="D1296" t="s">
        <v>722</v>
      </c>
      <c r="E1296" t="s">
        <v>96</v>
      </c>
      <c r="F1296">
        <v>50</v>
      </c>
      <c r="G1296" t="s">
        <v>124</v>
      </c>
      <c r="H1296" t="s">
        <v>124</v>
      </c>
      <c r="I1296" t="s">
        <v>96</v>
      </c>
      <c r="J1296" t="s">
        <v>124</v>
      </c>
      <c r="K1296" t="s">
        <v>124</v>
      </c>
      <c r="L1296" t="s">
        <v>124</v>
      </c>
      <c r="M1296" t="s">
        <v>1955</v>
      </c>
      <c r="N1296" t="b">
        <v>0</v>
      </c>
    </row>
    <row r="1297" spans="1:14">
      <c r="A1297">
        <v>87</v>
      </c>
      <c r="B1297">
        <v>9</v>
      </c>
      <c r="C1297" t="s">
        <v>207</v>
      </c>
      <c r="D1297" t="s">
        <v>722</v>
      </c>
      <c r="E1297" t="s">
        <v>102</v>
      </c>
      <c r="F1297">
        <v>50</v>
      </c>
      <c r="G1297" t="s">
        <v>124</v>
      </c>
      <c r="H1297" t="s">
        <v>124</v>
      </c>
      <c r="I1297" t="s">
        <v>102</v>
      </c>
      <c r="J1297" t="s">
        <v>124</v>
      </c>
      <c r="K1297" t="s">
        <v>124</v>
      </c>
      <c r="L1297" t="s">
        <v>124</v>
      </c>
      <c r="M1297" t="s">
        <v>1956</v>
      </c>
      <c r="N1297" t="b">
        <v>0</v>
      </c>
    </row>
    <row r="1298" spans="1:14">
      <c r="A1298">
        <v>87</v>
      </c>
      <c r="B1298">
        <v>10</v>
      </c>
      <c r="C1298" t="s">
        <v>318</v>
      </c>
      <c r="D1298" t="s">
        <v>722</v>
      </c>
      <c r="E1298" t="s">
        <v>104</v>
      </c>
      <c r="F1298">
        <v>30</v>
      </c>
      <c r="G1298" t="s">
        <v>124</v>
      </c>
      <c r="H1298" t="s">
        <v>124</v>
      </c>
      <c r="I1298" t="s">
        <v>104</v>
      </c>
      <c r="J1298" t="s">
        <v>124</v>
      </c>
      <c r="K1298" t="s">
        <v>124</v>
      </c>
      <c r="L1298" t="s">
        <v>124</v>
      </c>
      <c r="M1298" t="s">
        <v>1957</v>
      </c>
      <c r="N1298" t="b">
        <v>0</v>
      </c>
    </row>
    <row r="1299" spans="1:14">
      <c r="A1299">
        <v>87</v>
      </c>
      <c r="B1299">
        <v>11</v>
      </c>
      <c r="C1299" t="s">
        <v>124</v>
      </c>
      <c r="D1299" t="s">
        <v>722</v>
      </c>
      <c r="E1299" t="s">
        <v>124</v>
      </c>
      <c r="F1299">
        <v>0</v>
      </c>
      <c r="G1299" t="s">
        <v>124</v>
      </c>
      <c r="H1299" t="s">
        <v>124</v>
      </c>
      <c r="I1299" t="s">
        <v>124</v>
      </c>
      <c r="J1299" t="s">
        <v>124</v>
      </c>
      <c r="K1299" t="s">
        <v>124</v>
      </c>
      <c r="L1299" t="s">
        <v>124</v>
      </c>
      <c r="M1299" t="s">
        <v>1958</v>
      </c>
      <c r="N1299" t="b">
        <v>0</v>
      </c>
    </row>
    <row r="1300" spans="1:14">
      <c r="A1300">
        <v>87</v>
      </c>
      <c r="B1300">
        <v>12</v>
      </c>
      <c r="C1300" t="s">
        <v>124</v>
      </c>
      <c r="D1300" t="s">
        <v>722</v>
      </c>
      <c r="E1300" t="s">
        <v>124</v>
      </c>
      <c r="F1300">
        <v>0</v>
      </c>
      <c r="G1300" t="s">
        <v>124</v>
      </c>
      <c r="H1300" t="s">
        <v>124</v>
      </c>
      <c r="I1300" t="s">
        <v>124</v>
      </c>
      <c r="J1300" t="s">
        <v>124</v>
      </c>
      <c r="K1300" t="s">
        <v>124</v>
      </c>
      <c r="L1300" t="s">
        <v>124</v>
      </c>
      <c r="M1300" t="s">
        <v>1959</v>
      </c>
      <c r="N1300" t="b">
        <v>0</v>
      </c>
    </row>
    <row r="1301" spans="1:14">
      <c r="A1301">
        <v>87</v>
      </c>
      <c r="B1301">
        <v>13</v>
      </c>
      <c r="C1301" t="s">
        <v>124</v>
      </c>
      <c r="D1301" t="s">
        <v>722</v>
      </c>
      <c r="E1301" t="s">
        <v>124</v>
      </c>
      <c r="F1301">
        <v>0</v>
      </c>
      <c r="G1301" t="s">
        <v>124</v>
      </c>
      <c r="H1301" t="s">
        <v>124</v>
      </c>
      <c r="I1301" t="s">
        <v>124</v>
      </c>
      <c r="J1301" t="s">
        <v>124</v>
      </c>
      <c r="K1301" t="s">
        <v>124</v>
      </c>
      <c r="L1301" t="s">
        <v>124</v>
      </c>
      <c r="M1301" t="s">
        <v>1960</v>
      </c>
      <c r="N1301" t="b">
        <v>0</v>
      </c>
    </row>
    <row r="1302" spans="1:14">
      <c r="A1302">
        <v>87</v>
      </c>
      <c r="B1302">
        <v>14</v>
      </c>
      <c r="C1302" t="s">
        <v>124</v>
      </c>
      <c r="D1302" t="s">
        <v>722</v>
      </c>
      <c r="E1302" t="s">
        <v>124</v>
      </c>
      <c r="F1302">
        <v>0</v>
      </c>
      <c r="G1302" t="s">
        <v>124</v>
      </c>
      <c r="H1302" t="s">
        <v>124</v>
      </c>
      <c r="I1302" t="s">
        <v>124</v>
      </c>
      <c r="J1302" t="s">
        <v>124</v>
      </c>
      <c r="K1302" t="s">
        <v>124</v>
      </c>
      <c r="L1302" t="s">
        <v>124</v>
      </c>
      <c r="M1302" t="s">
        <v>1961</v>
      </c>
      <c r="N1302" t="b">
        <v>0</v>
      </c>
    </row>
    <row r="1303" spans="1:14">
      <c r="A1303">
        <v>87</v>
      </c>
      <c r="B1303">
        <v>15</v>
      </c>
      <c r="C1303" t="s">
        <v>124</v>
      </c>
      <c r="D1303" t="s">
        <v>722</v>
      </c>
      <c r="E1303" t="s">
        <v>124</v>
      </c>
      <c r="F1303">
        <v>0</v>
      </c>
      <c r="G1303" t="s">
        <v>124</v>
      </c>
      <c r="H1303" t="s">
        <v>124</v>
      </c>
      <c r="I1303" t="s">
        <v>124</v>
      </c>
      <c r="J1303" t="s">
        <v>124</v>
      </c>
      <c r="K1303" t="s">
        <v>124</v>
      </c>
      <c r="L1303" t="s">
        <v>124</v>
      </c>
      <c r="M1303" t="s">
        <v>1962</v>
      </c>
      <c r="N1303" t="b">
        <v>0</v>
      </c>
    </row>
    <row r="1304" spans="1:14">
      <c r="A1304">
        <v>87</v>
      </c>
      <c r="B1304">
        <v>16</v>
      </c>
      <c r="C1304" t="s">
        <v>124</v>
      </c>
      <c r="D1304" t="s">
        <v>739</v>
      </c>
      <c r="E1304" t="s">
        <v>124</v>
      </c>
      <c r="F1304">
        <v>0</v>
      </c>
      <c r="G1304" t="s">
        <v>124</v>
      </c>
      <c r="H1304" t="s">
        <v>124</v>
      </c>
      <c r="I1304" t="s">
        <v>124</v>
      </c>
      <c r="J1304" t="s">
        <v>124</v>
      </c>
      <c r="K1304" t="s">
        <v>124</v>
      </c>
      <c r="L1304" t="s">
        <v>124</v>
      </c>
      <c r="M1304" t="s">
        <v>1963</v>
      </c>
      <c r="N1304" t="b">
        <v>0</v>
      </c>
    </row>
    <row r="1305" spans="1:14">
      <c r="A1305">
        <v>87</v>
      </c>
      <c r="B1305">
        <v>17</v>
      </c>
      <c r="C1305" t="s">
        <v>124</v>
      </c>
      <c r="D1305" t="s">
        <v>739</v>
      </c>
      <c r="E1305" t="s">
        <v>124</v>
      </c>
      <c r="F1305">
        <v>0</v>
      </c>
      <c r="G1305" t="s">
        <v>124</v>
      </c>
      <c r="H1305" t="s">
        <v>124</v>
      </c>
      <c r="I1305" t="s">
        <v>124</v>
      </c>
      <c r="J1305" t="s">
        <v>124</v>
      </c>
      <c r="K1305" t="s">
        <v>124</v>
      </c>
      <c r="L1305" t="s">
        <v>124</v>
      </c>
      <c r="M1305" t="s">
        <v>1964</v>
      </c>
      <c r="N1305" t="b">
        <v>0</v>
      </c>
    </row>
    <row r="1306" spans="1:14">
      <c r="A1306">
        <v>87</v>
      </c>
      <c r="B1306">
        <v>18</v>
      </c>
      <c r="C1306" t="s">
        <v>124</v>
      </c>
      <c r="D1306" t="s">
        <v>739</v>
      </c>
      <c r="E1306" t="s">
        <v>124</v>
      </c>
      <c r="F1306">
        <v>0</v>
      </c>
      <c r="G1306" t="s">
        <v>124</v>
      </c>
      <c r="H1306" t="s">
        <v>124</v>
      </c>
      <c r="I1306" t="s">
        <v>124</v>
      </c>
      <c r="J1306" t="s">
        <v>124</v>
      </c>
      <c r="K1306" t="s">
        <v>124</v>
      </c>
      <c r="L1306" t="s">
        <v>124</v>
      </c>
      <c r="M1306" t="s">
        <v>1965</v>
      </c>
      <c r="N1306" t="b">
        <v>0</v>
      </c>
    </row>
    <row r="1307" spans="1:14">
      <c r="A1307">
        <v>87</v>
      </c>
      <c r="B1307">
        <v>19</v>
      </c>
      <c r="C1307" t="s">
        <v>124</v>
      </c>
      <c r="D1307" t="s">
        <v>739</v>
      </c>
      <c r="E1307" t="s">
        <v>124</v>
      </c>
      <c r="F1307">
        <v>0</v>
      </c>
      <c r="G1307" t="s">
        <v>124</v>
      </c>
      <c r="H1307" t="s">
        <v>124</v>
      </c>
      <c r="I1307" t="s">
        <v>124</v>
      </c>
      <c r="J1307" t="s">
        <v>124</v>
      </c>
      <c r="K1307" t="s">
        <v>124</v>
      </c>
      <c r="L1307" t="s">
        <v>124</v>
      </c>
      <c r="M1307" t="s">
        <v>1966</v>
      </c>
      <c r="N1307" t="b">
        <v>0</v>
      </c>
    </row>
    <row r="1308" spans="1:14">
      <c r="A1308">
        <v>87</v>
      </c>
      <c r="B1308">
        <v>20</v>
      </c>
      <c r="C1308" t="s">
        <v>124</v>
      </c>
      <c r="D1308" t="s">
        <v>739</v>
      </c>
      <c r="E1308" t="s">
        <v>124</v>
      </c>
      <c r="F1308">
        <v>0</v>
      </c>
      <c r="G1308" t="s">
        <v>124</v>
      </c>
      <c r="H1308" t="s">
        <v>124</v>
      </c>
      <c r="I1308" t="s">
        <v>124</v>
      </c>
      <c r="J1308" t="s">
        <v>124</v>
      </c>
      <c r="K1308" t="s">
        <v>124</v>
      </c>
      <c r="L1308" t="s">
        <v>124</v>
      </c>
      <c r="M1308" t="s">
        <v>1967</v>
      </c>
      <c r="N1308" t="b">
        <v>0</v>
      </c>
    </row>
    <row r="1309" spans="1:14">
      <c r="A1309">
        <v>87</v>
      </c>
      <c r="B1309">
        <v>21</v>
      </c>
      <c r="C1309" t="s">
        <v>124</v>
      </c>
      <c r="D1309" t="s">
        <v>739</v>
      </c>
      <c r="E1309" t="s">
        <v>124</v>
      </c>
      <c r="F1309">
        <v>0</v>
      </c>
      <c r="G1309" t="s">
        <v>124</v>
      </c>
      <c r="H1309" t="s">
        <v>124</v>
      </c>
      <c r="I1309" t="s">
        <v>124</v>
      </c>
      <c r="J1309" t="s">
        <v>124</v>
      </c>
      <c r="K1309" t="s">
        <v>124</v>
      </c>
      <c r="L1309" t="s">
        <v>124</v>
      </c>
      <c r="M1309" t="s">
        <v>1968</v>
      </c>
      <c r="N1309" t="b">
        <v>0</v>
      </c>
    </row>
    <row r="1310" spans="1:14">
      <c r="A1310">
        <v>87</v>
      </c>
      <c r="B1310">
        <v>22</v>
      </c>
      <c r="C1310" t="s">
        <v>124</v>
      </c>
      <c r="D1310" t="s">
        <v>739</v>
      </c>
      <c r="E1310" t="s">
        <v>124</v>
      </c>
      <c r="F1310">
        <v>0</v>
      </c>
      <c r="G1310" t="s">
        <v>124</v>
      </c>
      <c r="H1310" t="s">
        <v>124</v>
      </c>
      <c r="I1310" t="s">
        <v>124</v>
      </c>
      <c r="J1310" t="s">
        <v>124</v>
      </c>
      <c r="K1310" t="s">
        <v>124</v>
      </c>
      <c r="L1310" t="s">
        <v>124</v>
      </c>
      <c r="M1310" t="s">
        <v>1969</v>
      </c>
      <c r="N1310" t="b">
        <v>0</v>
      </c>
    </row>
    <row r="1311" spans="1:14">
      <c r="A1311">
        <v>87</v>
      </c>
      <c r="B1311">
        <v>23</v>
      </c>
      <c r="C1311" t="s">
        <v>124</v>
      </c>
      <c r="D1311" t="s">
        <v>739</v>
      </c>
      <c r="E1311" t="s">
        <v>124</v>
      </c>
      <c r="F1311">
        <v>0</v>
      </c>
      <c r="G1311" t="s">
        <v>124</v>
      </c>
      <c r="H1311" t="s">
        <v>124</v>
      </c>
      <c r="I1311" t="s">
        <v>124</v>
      </c>
      <c r="J1311" t="s">
        <v>124</v>
      </c>
      <c r="K1311" t="s">
        <v>124</v>
      </c>
      <c r="L1311" t="s">
        <v>124</v>
      </c>
      <c r="M1311" t="s">
        <v>1970</v>
      </c>
      <c r="N1311" t="b">
        <v>0</v>
      </c>
    </row>
    <row r="1312" spans="1:14">
      <c r="A1312">
        <v>87</v>
      </c>
      <c r="B1312">
        <v>24</v>
      </c>
      <c r="C1312" t="s">
        <v>124</v>
      </c>
      <c r="D1312" t="s">
        <v>739</v>
      </c>
      <c r="E1312" t="s">
        <v>124</v>
      </c>
      <c r="F1312">
        <v>0</v>
      </c>
      <c r="G1312" t="s">
        <v>124</v>
      </c>
      <c r="H1312" t="s">
        <v>124</v>
      </c>
      <c r="I1312" t="s">
        <v>124</v>
      </c>
      <c r="J1312" t="s">
        <v>124</v>
      </c>
      <c r="K1312" t="s">
        <v>124</v>
      </c>
      <c r="L1312" t="s">
        <v>124</v>
      </c>
      <c r="M1312" t="s">
        <v>1971</v>
      </c>
      <c r="N1312" t="b">
        <v>0</v>
      </c>
    </row>
    <row r="1313" spans="1:14">
      <c r="A1313">
        <v>87</v>
      </c>
      <c r="B1313">
        <v>25</v>
      </c>
      <c r="C1313" t="s">
        <v>124</v>
      </c>
      <c r="D1313" t="s">
        <v>739</v>
      </c>
      <c r="E1313" t="s">
        <v>124</v>
      </c>
      <c r="F1313">
        <v>0</v>
      </c>
      <c r="G1313" t="s">
        <v>124</v>
      </c>
      <c r="H1313" t="s">
        <v>124</v>
      </c>
      <c r="I1313" t="s">
        <v>124</v>
      </c>
      <c r="J1313" t="s">
        <v>124</v>
      </c>
      <c r="K1313" t="s">
        <v>124</v>
      </c>
      <c r="L1313" t="s">
        <v>124</v>
      </c>
      <c r="M1313" t="s">
        <v>1972</v>
      </c>
      <c r="N1313" t="b">
        <v>0</v>
      </c>
    </row>
    <row r="1314" spans="1:14">
      <c r="A1314">
        <v>87</v>
      </c>
      <c r="B1314">
        <v>26</v>
      </c>
      <c r="C1314" t="s">
        <v>124</v>
      </c>
      <c r="D1314" t="s">
        <v>739</v>
      </c>
      <c r="E1314" t="s">
        <v>124</v>
      </c>
      <c r="F1314">
        <v>0</v>
      </c>
      <c r="G1314" t="s">
        <v>124</v>
      </c>
      <c r="H1314" t="s">
        <v>124</v>
      </c>
      <c r="I1314" t="s">
        <v>124</v>
      </c>
      <c r="J1314" t="s">
        <v>124</v>
      </c>
      <c r="K1314" t="s">
        <v>124</v>
      </c>
      <c r="L1314" t="s">
        <v>124</v>
      </c>
      <c r="M1314" t="s">
        <v>1973</v>
      </c>
      <c r="N1314" t="b">
        <v>0</v>
      </c>
    </row>
    <row r="1315" spans="1:14">
      <c r="A1315">
        <v>90</v>
      </c>
      <c r="B1315">
        <v>0</v>
      </c>
      <c r="C1315" t="s">
        <v>184</v>
      </c>
      <c r="D1315" t="s">
        <v>722</v>
      </c>
      <c r="E1315" t="s">
        <v>63</v>
      </c>
      <c r="F1315">
        <v>50</v>
      </c>
      <c r="G1315" t="s">
        <v>124</v>
      </c>
      <c r="H1315" t="s">
        <v>124</v>
      </c>
      <c r="I1315" t="s">
        <v>63</v>
      </c>
      <c r="J1315" t="s">
        <v>124</v>
      </c>
      <c r="K1315" t="s">
        <v>124</v>
      </c>
      <c r="L1315" t="s">
        <v>124</v>
      </c>
      <c r="M1315" t="s">
        <v>1974</v>
      </c>
      <c r="N1315" t="b">
        <v>0</v>
      </c>
    </row>
    <row r="1316" spans="1:14">
      <c r="A1316">
        <v>90</v>
      </c>
      <c r="B1316">
        <v>1</v>
      </c>
      <c r="C1316" t="s">
        <v>156</v>
      </c>
      <c r="D1316" t="s">
        <v>722</v>
      </c>
      <c r="E1316" t="s">
        <v>81</v>
      </c>
      <c r="F1316">
        <v>40</v>
      </c>
      <c r="G1316" t="s">
        <v>124</v>
      </c>
      <c r="H1316" t="s">
        <v>124</v>
      </c>
      <c r="I1316" t="s">
        <v>81</v>
      </c>
      <c r="J1316" t="s">
        <v>124</v>
      </c>
      <c r="K1316" t="s">
        <v>124</v>
      </c>
      <c r="L1316" t="s">
        <v>124</v>
      </c>
      <c r="M1316" t="s">
        <v>1975</v>
      </c>
      <c r="N1316" t="b">
        <v>0</v>
      </c>
    </row>
    <row r="1317" spans="1:14">
      <c r="A1317">
        <v>90</v>
      </c>
      <c r="B1317">
        <v>2</v>
      </c>
      <c r="C1317" t="s">
        <v>185</v>
      </c>
      <c r="D1317" t="s">
        <v>722</v>
      </c>
      <c r="E1317" t="s">
        <v>91</v>
      </c>
      <c r="F1317">
        <v>50</v>
      </c>
      <c r="G1317" t="s">
        <v>124</v>
      </c>
      <c r="H1317" t="s">
        <v>124</v>
      </c>
      <c r="I1317" t="s">
        <v>91</v>
      </c>
      <c r="J1317" t="s">
        <v>124</v>
      </c>
      <c r="K1317" t="s">
        <v>124</v>
      </c>
      <c r="L1317" t="s">
        <v>124</v>
      </c>
      <c r="M1317" t="s">
        <v>1976</v>
      </c>
      <c r="N1317" t="b">
        <v>0</v>
      </c>
    </row>
    <row r="1318" spans="1:14">
      <c r="A1318">
        <v>90</v>
      </c>
      <c r="B1318">
        <v>3</v>
      </c>
      <c r="C1318" t="s">
        <v>186</v>
      </c>
      <c r="D1318" t="s">
        <v>722</v>
      </c>
      <c r="E1318" t="s">
        <v>97</v>
      </c>
      <c r="F1318">
        <v>50</v>
      </c>
      <c r="G1318" t="s">
        <v>124</v>
      </c>
      <c r="H1318" t="s">
        <v>124</v>
      </c>
      <c r="I1318" t="s">
        <v>97</v>
      </c>
      <c r="J1318" t="s">
        <v>124</v>
      </c>
      <c r="K1318" t="s">
        <v>124</v>
      </c>
      <c r="L1318" t="s">
        <v>124</v>
      </c>
      <c r="M1318" t="s">
        <v>1977</v>
      </c>
      <c r="N1318" t="b">
        <v>0</v>
      </c>
    </row>
    <row r="1319" spans="1:14">
      <c r="A1319">
        <v>90</v>
      </c>
      <c r="B1319">
        <v>4</v>
      </c>
      <c r="C1319" t="s">
        <v>187</v>
      </c>
      <c r="D1319" t="s">
        <v>722</v>
      </c>
      <c r="E1319" t="s">
        <v>99</v>
      </c>
      <c r="F1319">
        <v>50</v>
      </c>
      <c r="G1319" t="s">
        <v>124</v>
      </c>
      <c r="H1319" t="s">
        <v>124</v>
      </c>
      <c r="I1319" t="s">
        <v>99</v>
      </c>
      <c r="J1319" t="s">
        <v>124</v>
      </c>
      <c r="K1319" t="s">
        <v>124</v>
      </c>
      <c r="L1319" t="s">
        <v>124</v>
      </c>
      <c r="M1319" t="s">
        <v>1978</v>
      </c>
      <c r="N1319" t="b">
        <v>0</v>
      </c>
    </row>
    <row r="1320" spans="1:14">
      <c r="A1320">
        <v>90</v>
      </c>
      <c r="B1320">
        <v>5</v>
      </c>
      <c r="C1320" t="s">
        <v>239</v>
      </c>
      <c r="D1320" t="s">
        <v>722</v>
      </c>
      <c r="E1320" t="s">
        <v>101</v>
      </c>
      <c r="F1320">
        <v>50</v>
      </c>
      <c r="G1320" t="s">
        <v>124</v>
      </c>
      <c r="H1320" t="s">
        <v>124</v>
      </c>
      <c r="I1320" t="s">
        <v>101</v>
      </c>
      <c r="J1320" t="s">
        <v>124</v>
      </c>
      <c r="K1320" t="s">
        <v>124</v>
      </c>
      <c r="L1320" t="s">
        <v>124</v>
      </c>
      <c r="M1320" t="s">
        <v>1979</v>
      </c>
      <c r="N1320" t="b">
        <v>0</v>
      </c>
    </row>
    <row r="1321" spans="1:14">
      <c r="A1321">
        <v>90</v>
      </c>
      <c r="B1321">
        <v>6</v>
      </c>
      <c r="C1321" t="s">
        <v>188</v>
      </c>
      <c r="D1321" t="s">
        <v>722</v>
      </c>
      <c r="E1321" t="s">
        <v>107</v>
      </c>
      <c r="F1321">
        <v>30</v>
      </c>
      <c r="G1321" t="s">
        <v>124</v>
      </c>
      <c r="H1321" t="s">
        <v>124</v>
      </c>
      <c r="I1321" t="s">
        <v>107</v>
      </c>
      <c r="J1321" t="s">
        <v>124</v>
      </c>
      <c r="K1321" t="s">
        <v>124</v>
      </c>
      <c r="L1321" t="s">
        <v>124</v>
      </c>
      <c r="M1321" t="s">
        <v>1980</v>
      </c>
      <c r="N1321" t="b">
        <v>0</v>
      </c>
    </row>
    <row r="1322" spans="1:14">
      <c r="A1322">
        <v>90</v>
      </c>
      <c r="B1322">
        <v>7</v>
      </c>
      <c r="C1322" t="s">
        <v>189</v>
      </c>
      <c r="D1322" t="s">
        <v>722</v>
      </c>
      <c r="E1322" t="s">
        <v>113</v>
      </c>
      <c r="F1322">
        <v>60</v>
      </c>
      <c r="G1322" t="s">
        <v>124</v>
      </c>
      <c r="H1322" t="s">
        <v>124</v>
      </c>
      <c r="I1322" t="s">
        <v>113</v>
      </c>
      <c r="J1322" t="s">
        <v>124</v>
      </c>
      <c r="K1322" t="s">
        <v>124</v>
      </c>
      <c r="L1322" t="s">
        <v>124</v>
      </c>
      <c r="M1322" t="s">
        <v>1981</v>
      </c>
      <c r="N1322" t="b">
        <v>0</v>
      </c>
    </row>
    <row r="1323" spans="1:14">
      <c r="A1323">
        <v>90</v>
      </c>
      <c r="B1323">
        <v>8</v>
      </c>
      <c r="C1323" t="s">
        <v>190</v>
      </c>
      <c r="D1323" t="s">
        <v>722</v>
      </c>
      <c r="E1323" t="s">
        <v>59</v>
      </c>
      <c r="F1323">
        <v>30</v>
      </c>
      <c r="G1323" t="s">
        <v>124</v>
      </c>
      <c r="H1323" t="s">
        <v>124</v>
      </c>
      <c r="I1323" t="s">
        <v>59</v>
      </c>
      <c r="J1323" t="s">
        <v>124</v>
      </c>
      <c r="K1323" t="s">
        <v>124</v>
      </c>
      <c r="L1323" t="s">
        <v>124</v>
      </c>
      <c r="M1323" t="s">
        <v>1982</v>
      </c>
      <c r="N1323" t="b">
        <v>0</v>
      </c>
    </row>
    <row r="1324" spans="1:14">
      <c r="A1324">
        <v>90</v>
      </c>
      <c r="B1324">
        <v>9</v>
      </c>
      <c r="C1324" t="s">
        <v>451</v>
      </c>
      <c r="D1324" t="s">
        <v>722</v>
      </c>
      <c r="E1324" t="s">
        <v>64</v>
      </c>
      <c r="F1324">
        <v>30</v>
      </c>
      <c r="G1324" t="s">
        <v>124</v>
      </c>
      <c r="H1324" t="s">
        <v>124</v>
      </c>
      <c r="I1324" t="s">
        <v>64</v>
      </c>
      <c r="J1324" t="s">
        <v>124</v>
      </c>
      <c r="K1324" t="s">
        <v>124</v>
      </c>
      <c r="L1324" t="s">
        <v>124</v>
      </c>
      <c r="M1324" t="s">
        <v>1983</v>
      </c>
      <c r="N1324" t="b">
        <v>0</v>
      </c>
    </row>
    <row r="1325" spans="1:14">
      <c r="A1325">
        <v>90</v>
      </c>
      <c r="B1325">
        <v>10</v>
      </c>
      <c r="C1325" t="s">
        <v>316</v>
      </c>
      <c r="D1325" t="s">
        <v>722</v>
      </c>
      <c r="E1325" t="s">
        <v>329</v>
      </c>
      <c r="F1325">
        <v>30</v>
      </c>
      <c r="G1325" t="s">
        <v>124</v>
      </c>
      <c r="H1325" t="s">
        <v>546</v>
      </c>
      <c r="I1325" t="s">
        <v>443</v>
      </c>
      <c r="J1325" t="s">
        <v>124</v>
      </c>
      <c r="K1325" t="s">
        <v>919</v>
      </c>
      <c r="L1325" t="s">
        <v>920</v>
      </c>
      <c r="M1325" t="s">
        <v>1984</v>
      </c>
      <c r="N1325" t="b">
        <v>0</v>
      </c>
    </row>
    <row r="1326" spans="1:14">
      <c r="A1326">
        <v>90</v>
      </c>
      <c r="B1326">
        <v>11</v>
      </c>
      <c r="C1326" t="s">
        <v>191</v>
      </c>
      <c r="D1326" t="s">
        <v>722</v>
      </c>
      <c r="E1326" t="s">
        <v>76</v>
      </c>
      <c r="F1326">
        <v>50</v>
      </c>
      <c r="G1326" t="s">
        <v>124</v>
      </c>
      <c r="H1326" t="s">
        <v>124</v>
      </c>
      <c r="I1326" t="s">
        <v>76</v>
      </c>
      <c r="J1326" t="s">
        <v>124</v>
      </c>
      <c r="K1326" t="s">
        <v>124</v>
      </c>
      <c r="L1326" t="s">
        <v>124</v>
      </c>
      <c r="M1326" t="s">
        <v>1985</v>
      </c>
      <c r="N1326" t="b">
        <v>0</v>
      </c>
    </row>
    <row r="1327" spans="1:14">
      <c r="A1327">
        <v>90</v>
      </c>
      <c r="B1327">
        <v>12</v>
      </c>
      <c r="C1327" t="s">
        <v>197</v>
      </c>
      <c r="D1327" t="s">
        <v>722</v>
      </c>
      <c r="E1327" t="s">
        <v>82</v>
      </c>
      <c r="F1327">
        <v>50</v>
      </c>
      <c r="G1327" t="s">
        <v>124</v>
      </c>
      <c r="H1327" t="s">
        <v>124</v>
      </c>
      <c r="I1327" t="s">
        <v>82</v>
      </c>
      <c r="J1327" t="s">
        <v>124</v>
      </c>
      <c r="K1327" t="s">
        <v>124</v>
      </c>
      <c r="L1327" t="s">
        <v>124</v>
      </c>
      <c r="M1327" t="s">
        <v>1986</v>
      </c>
      <c r="N1327" t="b">
        <v>0</v>
      </c>
    </row>
    <row r="1328" spans="1:14">
      <c r="A1328">
        <v>90</v>
      </c>
      <c r="B1328">
        <v>13</v>
      </c>
      <c r="C1328" t="s">
        <v>192</v>
      </c>
      <c r="D1328" t="s">
        <v>722</v>
      </c>
      <c r="E1328" t="s">
        <v>96</v>
      </c>
      <c r="F1328">
        <v>50</v>
      </c>
      <c r="G1328" t="s">
        <v>124</v>
      </c>
      <c r="H1328" t="s">
        <v>124</v>
      </c>
      <c r="I1328" t="s">
        <v>96</v>
      </c>
      <c r="J1328" t="s">
        <v>124</v>
      </c>
      <c r="K1328" t="s">
        <v>124</v>
      </c>
      <c r="L1328" t="s">
        <v>124</v>
      </c>
      <c r="M1328" t="s">
        <v>1987</v>
      </c>
      <c r="N1328" t="b">
        <v>0</v>
      </c>
    </row>
    <row r="1329" spans="1:14">
      <c r="A1329">
        <v>90</v>
      </c>
      <c r="B1329">
        <v>14</v>
      </c>
      <c r="C1329" t="s">
        <v>193</v>
      </c>
      <c r="D1329" t="s">
        <v>722</v>
      </c>
      <c r="E1329" t="s">
        <v>106</v>
      </c>
      <c r="F1329">
        <v>60</v>
      </c>
      <c r="G1329" t="s">
        <v>124</v>
      </c>
      <c r="H1329" t="s">
        <v>124</v>
      </c>
      <c r="I1329" t="s">
        <v>106</v>
      </c>
      <c r="J1329" t="s">
        <v>124</v>
      </c>
      <c r="K1329" t="s">
        <v>124</v>
      </c>
      <c r="L1329" t="s">
        <v>124</v>
      </c>
      <c r="M1329" t="s">
        <v>1988</v>
      </c>
      <c r="N1329" t="b">
        <v>0</v>
      </c>
    </row>
    <row r="1330" spans="1:14">
      <c r="A1330">
        <v>90</v>
      </c>
      <c r="B1330">
        <v>15</v>
      </c>
      <c r="C1330" t="s">
        <v>124</v>
      </c>
      <c r="D1330" t="s">
        <v>722</v>
      </c>
      <c r="E1330" t="s">
        <v>124</v>
      </c>
      <c r="F1330">
        <v>0</v>
      </c>
      <c r="G1330" t="s">
        <v>124</v>
      </c>
      <c r="H1330" t="s">
        <v>124</v>
      </c>
      <c r="I1330" t="s">
        <v>124</v>
      </c>
      <c r="J1330" t="s">
        <v>124</v>
      </c>
      <c r="K1330" t="s">
        <v>124</v>
      </c>
      <c r="L1330" t="s">
        <v>124</v>
      </c>
      <c r="M1330" t="s">
        <v>1989</v>
      </c>
      <c r="N1330" t="b">
        <v>0</v>
      </c>
    </row>
    <row r="1331" spans="1:14">
      <c r="A1331">
        <v>90</v>
      </c>
      <c r="B1331">
        <v>16</v>
      </c>
      <c r="C1331" t="s">
        <v>124</v>
      </c>
      <c r="D1331" t="s">
        <v>739</v>
      </c>
      <c r="E1331" t="s">
        <v>124</v>
      </c>
      <c r="F1331">
        <v>0</v>
      </c>
      <c r="G1331" t="s">
        <v>124</v>
      </c>
      <c r="H1331" t="s">
        <v>124</v>
      </c>
      <c r="I1331" t="s">
        <v>124</v>
      </c>
      <c r="J1331" t="s">
        <v>124</v>
      </c>
      <c r="K1331" t="s">
        <v>124</v>
      </c>
      <c r="L1331" t="s">
        <v>124</v>
      </c>
      <c r="M1331" t="s">
        <v>1990</v>
      </c>
      <c r="N1331" t="b">
        <v>0</v>
      </c>
    </row>
    <row r="1332" spans="1:14">
      <c r="A1332">
        <v>90</v>
      </c>
      <c r="B1332">
        <v>17</v>
      </c>
      <c r="C1332" t="s">
        <v>124</v>
      </c>
      <c r="D1332" t="s">
        <v>739</v>
      </c>
      <c r="E1332" t="s">
        <v>124</v>
      </c>
      <c r="F1332">
        <v>0</v>
      </c>
      <c r="G1332" t="s">
        <v>124</v>
      </c>
      <c r="H1332" t="s">
        <v>124</v>
      </c>
      <c r="I1332" t="s">
        <v>124</v>
      </c>
      <c r="J1332" t="s">
        <v>124</v>
      </c>
      <c r="K1332" t="s">
        <v>124</v>
      </c>
      <c r="L1332" t="s">
        <v>124</v>
      </c>
      <c r="M1332" t="s">
        <v>1991</v>
      </c>
      <c r="N1332" t="b">
        <v>0</v>
      </c>
    </row>
    <row r="1333" spans="1:14">
      <c r="A1333">
        <v>90</v>
      </c>
      <c r="B1333">
        <v>18</v>
      </c>
      <c r="C1333" t="s">
        <v>124</v>
      </c>
      <c r="D1333" t="s">
        <v>739</v>
      </c>
      <c r="E1333" t="s">
        <v>124</v>
      </c>
      <c r="F1333">
        <v>0</v>
      </c>
      <c r="G1333" t="s">
        <v>124</v>
      </c>
      <c r="H1333" t="s">
        <v>124</v>
      </c>
      <c r="I1333" t="s">
        <v>124</v>
      </c>
      <c r="J1333" t="s">
        <v>124</v>
      </c>
      <c r="K1333" t="s">
        <v>124</v>
      </c>
      <c r="L1333" t="s">
        <v>124</v>
      </c>
      <c r="M1333" t="s">
        <v>1992</v>
      </c>
      <c r="N1333" t="b">
        <v>0</v>
      </c>
    </row>
    <row r="1334" spans="1:14">
      <c r="A1334">
        <v>90</v>
      </c>
      <c r="B1334">
        <v>19</v>
      </c>
      <c r="C1334" t="s">
        <v>124</v>
      </c>
      <c r="D1334" t="s">
        <v>739</v>
      </c>
      <c r="E1334" t="s">
        <v>124</v>
      </c>
      <c r="F1334">
        <v>0</v>
      </c>
      <c r="G1334" t="s">
        <v>124</v>
      </c>
      <c r="H1334" t="s">
        <v>124</v>
      </c>
      <c r="I1334" t="s">
        <v>124</v>
      </c>
      <c r="J1334" t="s">
        <v>124</v>
      </c>
      <c r="K1334" t="s">
        <v>124</v>
      </c>
      <c r="L1334" t="s">
        <v>124</v>
      </c>
      <c r="M1334" t="s">
        <v>1993</v>
      </c>
      <c r="N1334" t="b">
        <v>0</v>
      </c>
    </row>
    <row r="1335" spans="1:14">
      <c r="A1335">
        <v>90</v>
      </c>
      <c r="B1335">
        <v>20</v>
      </c>
      <c r="C1335" t="s">
        <v>124</v>
      </c>
      <c r="D1335" t="s">
        <v>739</v>
      </c>
      <c r="E1335" t="s">
        <v>124</v>
      </c>
      <c r="F1335">
        <v>0</v>
      </c>
      <c r="G1335" t="s">
        <v>124</v>
      </c>
      <c r="H1335" t="s">
        <v>124</v>
      </c>
      <c r="I1335" t="s">
        <v>124</v>
      </c>
      <c r="J1335" t="s">
        <v>124</v>
      </c>
      <c r="K1335" t="s">
        <v>124</v>
      </c>
      <c r="L1335" t="s">
        <v>124</v>
      </c>
      <c r="M1335" t="s">
        <v>1994</v>
      </c>
      <c r="N1335" t="b">
        <v>0</v>
      </c>
    </row>
    <row r="1336" spans="1:14">
      <c r="A1336">
        <v>90</v>
      </c>
      <c r="B1336">
        <v>21</v>
      </c>
      <c r="C1336" t="s">
        <v>124</v>
      </c>
      <c r="D1336" t="s">
        <v>739</v>
      </c>
      <c r="E1336" t="s">
        <v>124</v>
      </c>
      <c r="F1336">
        <v>0</v>
      </c>
      <c r="G1336" t="s">
        <v>124</v>
      </c>
      <c r="H1336" t="s">
        <v>124</v>
      </c>
      <c r="I1336" t="s">
        <v>124</v>
      </c>
      <c r="J1336" t="s">
        <v>124</v>
      </c>
      <c r="K1336" t="s">
        <v>124</v>
      </c>
      <c r="L1336" t="s">
        <v>124</v>
      </c>
      <c r="M1336" t="s">
        <v>1995</v>
      </c>
      <c r="N1336" t="b">
        <v>0</v>
      </c>
    </row>
    <row r="1337" spans="1:14">
      <c r="A1337">
        <v>90</v>
      </c>
      <c r="B1337">
        <v>22</v>
      </c>
      <c r="C1337" t="s">
        <v>124</v>
      </c>
      <c r="D1337" t="s">
        <v>739</v>
      </c>
      <c r="E1337" t="s">
        <v>124</v>
      </c>
      <c r="F1337">
        <v>0</v>
      </c>
      <c r="G1337" t="s">
        <v>124</v>
      </c>
      <c r="H1337" t="s">
        <v>124</v>
      </c>
      <c r="I1337" t="s">
        <v>124</v>
      </c>
      <c r="J1337" t="s">
        <v>124</v>
      </c>
      <c r="K1337" t="s">
        <v>124</v>
      </c>
      <c r="L1337" t="s">
        <v>124</v>
      </c>
      <c r="M1337" t="s">
        <v>1996</v>
      </c>
      <c r="N1337" t="b">
        <v>0</v>
      </c>
    </row>
    <row r="1338" spans="1:14">
      <c r="A1338">
        <v>90</v>
      </c>
      <c r="B1338">
        <v>23</v>
      </c>
      <c r="C1338" t="s">
        <v>124</v>
      </c>
      <c r="D1338" t="s">
        <v>739</v>
      </c>
      <c r="E1338" t="s">
        <v>124</v>
      </c>
      <c r="F1338">
        <v>0</v>
      </c>
      <c r="G1338" t="s">
        <v>124</v>
      </c>
      <c r="H1338" t="s">
        <v>124</v>
      </c>
      <c r="I1338" t="s">
        <v>124</v>
      </c>
      <c r="J1338" t="s">
        <v>124</v>
      </c>
      <c r="K1338" t="s">
        <v>124</v>
      </c>
      <c r="L1338" t="s">
        <v>124</v>
      </c>
      <c r="M1338" t="s">
        <v>1997</v>
      </c>
      <c r="N1338" t="b">
        <v>0</v>
      </c>
    </row>
    <row r="1339" spans="1:14">
      <c r="A1339">
        <v>90</v>
      </c>
      <c r="B1339">
        <v>24</v>
      </c>
      <c r="C1339" t="s">
        <v>124</v>
      </c>
      <c r="D1339" t="s">
        <v>739</v>
      </c>
      <c r="E1339" t="s">
        <v>124</v>
      </c>
      <c r="F1339">
        <v>0</v>
      </c>
      <c r="G1339" t="s">
        <v>124</v>
      </c>
      <c r="H1339" t="s">
        <v>124</v>
      </c>
      <c r="I1339" t="s">
        <v>124</v>
      </c>
      <c r="J1339" t="s">
        <v>124</v>
      </c>
      <c r="K1339" t="s">
        <v>124</v>
      </c>
      <c r="L1339" t="s">
        <v>124</v>
      </c>
      <c r="M1339" t="s">
        <v>1998</v>
      </c>
      <c r="N1339" t="b">
        <v>0</v>
      </c>
    </row>
    <row r="1340" spans="1:14">
      <c r="A1340">
        <v>90</v>
      </c>
      <c r="B1340">
        <v>25</v>
      </c>
      <c r="C1340" t="s">
        <v>124</v>
      </c>
      <c r="D1340" t="s">
        <v>739</v>
      </c>
      <c r="E1340" t="s">
        <v>124</v>
      </c>
      <c r="F1340">
        <v>0</v>
      </c>
      <c r="G1340" t="s">
        <v>124</v>
      </c>
      <c r="H1340" t="s">
        <v>124</v>
      </c>
      <c r="I1340" t="s">
        <v>124</v>
      </c>
      <c r="J1340" t="s">
        <v>124</v>
      </c>
      <c r="K1340" t="s">
        <v>124</v>
      </c>
      <c r="L1340" t="s">
        <v>124</v>
      </c>
      <c r="M1340" t="s">
        <v>1999</v>
      </c>
      <c r="N1340" t="b">
        <v>0</v>
      </c>
    </row>
    <row r="1341" spans="1:14">
      <c r="A1341">
        <v>90</v>
      </c>
      <c r="B1341">
        <v>26</v>
      </c>
      <c r="C1341" t="s">
        <v>124</v>
      </c>
      <c r="D1341" t="s">
        <v>739</v>
      </c>
      <c r="E1341" t="s">
        <v>124</v>
      </c>
      <c r="F1341">
        <v>0</v>
      </c>
      <c r="G1341" t="s">
        <v>124</v>
      </c>
      <c r="H1341" t="s">
        <v>124</v>
      </c>
      <c r="I1341" t="s">
        <v>124</v>
      </c>
      <c r="J1341" t="s">
        <v>124</v>
      </c>
      <c r="K1341" t="s">
        <v>124</v>
      </c>
      <c r="L1341" t="s">
        <v>124</v>
      </c>
      <c r="M1341" t="s">
        <v>2000</v>
      </c>
      <c r="N1341" t="b">
        <v>0</v>
      </c>
    </row>
    <row r="1342" spans="1:14">
      <c r="A1342">
        <v>91</v>
      </c>
      <c r="B1342">
        <v>0</v>
      </c>
      <c r="C1342" t="s">
        <v>214</v>
      </c>
      <c r="D1342" t="s">
        <v>722</v>
      </c>
      <c r="E1342" t="s">
        <v>63</v>
      </c>
      <c r="F1342">
        <v>60</v>
      </c>
      <c r="G1342" t="s">
        <v>124</v>
      </c>
      <c r="H1342" t="s">
        <v>124</v>
      </c>
      <c r="I1342" t="s">
        <v>63</v>
      </c>
      <c r="J1342" t="s">
        <v>124</v>
      </c>
      <c r="K1342" t="s">
        <v>124</v>
      </c>
      <c r="L1342" t="s">
        <v>124</v>
      </c>
      <c r="M1342" t="s">
        <v>2001</v>
      </c>
      <c r="N1342" t="b">
        <v>0</v>
      </c>
    </row>
    <row r="1343" spans="1:14">
      <c r="A1343">
        <v>91</v>
      </c>
      <c r="B1343">
        <v>1</v>
      </c>
      <c r="C1343" t="s">
        <v>215</v>
      </c>
      <c r="D1343" t="s">
        <v>722</v>
      </c>
      <c r="E1343" t="s">
        <v>75</v>
      </c>
      <c r="F1343">
        <v>60</v>
      </c>
      <c r="G1343" t="s">
        <v>124</v>
      </c>
      <c r="H1343" t="s">
        <v>124</v>
      </c>
      <c r="I1343" t="s">
        <v>75</v>
      </c>
      <c r="J1343" t="s">
        <v>124</v>
      </c>
      <c r="K1343" t="s">
        <v>124</v>
      </c>
      <c r="L1343" t="s">
        <v>124</v>
      </c>
      <c r="M1343" t="s">
        <v>2002</v>
      </c>
      <c r="N1343" t="b">
        <v>0</v>
      </c>
    </row>
    <row r="1344" spans="1:14">
      <c r="A1344">
        <v>91</v>
      </c>
      <c r="B1344">
        <v>2</v>
      </c>
      <c r="C1344" t="s">
        <v>238</v>
      </c>
      <c r="D1344" t="s">
        <v>722</v>
      </c>
      <c r="E1344" t="s">
        <v>93</v>
      </c>
      <c r="F1344">
        <v>50</v>
      </c>
      <c r="G1344" t="s">
        <v>124</v>
      </c>
      <c r="H1344" t="s">
        <v>124</v>
      </c>
      <c r="I1344" t="s">
        <v>93</v>
      </c>
      <c r="J1344" t="s">
        <v>124</v>
      </c>
      <c r="K1344" t="s">
        <v>124</v>
      </c>
      <c r="L1344" t="s">
        <v>124</v>
      </c>
      <c r="M1344" t="s">
        <v>2003</v>
      </c>
      <c r="N1344" t="b">
        <v>0</v>
      </c>
    </row>
    <row r="1345" spans="1:14">
      <c r="A1345">
        <v>91</v>
      </c>
      <c r="B1345">
        <v>3</v>
      </c>
      <c r="C1345" t="s">
        <v>454</v>
      </c>
      <c r="D1345" t="s">
        <v>722</v>
      </c>
      <c r="E1345" t="s">
        <v>95</v>
      </c>
      <c r="F1345">
        <v>60</v>
      </c>
      <c r="G1345" t="s">
        <v>124</v>
      </c>
      <c r="H1345" t="s">
        <v>124</v>
      </c>
      <c r="I1345" t="s">
        <v>95</v>
      </c>
      <c r="J1345" t="s">
        <v>124</v>
      </c>
      <c r="K1345" t="s">
        <v>124</v>
      </c>
      <c r="L1345" t="s">
        <v>124</v>
      </c>
      <c r="M1345" t="s">
        <v>2004</v>
      </c>
      <c r="N1345" t="b">
        <v>0</v>
      </c>
    </row>
    <row r="1346" spans="1:14">
      <c r="A1346">
        <v>91</v>
      </c>
      <c r="B1346">
        <v>4</v>
      </c>
      <c r="C1346" t="s">
        <v>217</v>
      </c>
      <c r="D1346" t="s">
        <v>722</v>
      </c>
      <c r="E1346" t="s">
        <v>99</v>
      </c>
      <c r="F1346">
        <v>60</v>
      </c>
      <c r="G1346" t="s">
        <v>124</v>
      </c>
      <c r="H1346" t="s">
        <v>124</v>
      </c>
      <c r="I1346" t="s">
        <v>99</v>
      </c>
      <c r="J1346" t="s">
        <v>124</v>
      </c>
      <c r="K1346" t="s">
        <v>124</v>
      </c>
      <c r="L1346" t="s">
        <v>124</v>
      </c>
      <c r="M1346" t="s">
        <v>2005</v>
      </c>
      <c r="N1346" t="b">
        <v>0</v>
      </c>
    </row>
    <row r="1347" spans="1:14">
      <c r="A1347">
        <v>91</v>
      </c>
      <c r="B1347">
        <v>5</v>
      </c>
      <c r="C1347" t="s">
        <v>285</v>
      </c>
      <c r="D1347" t="s">
        <v>722</v>
      </c>
      <c r="E1347" t="s">
        <v>101</v>
      </c>
      <c r="F1347">
        <v>40</v>
      </c>
      <c r="G1347" t="s">
        <v>124</v>
      </c>
      <c r="H1347" t="s">
        <v>124</v>
      </c>
      <c r="I1347" t="s">
        <v>101</v>
      </c>
      <c r="J1347" t="s">
        <v>124</v>
      </c>
      <c r="K1347" t="s">
        <v>124</v>
      </c>
      <c r="L1347" t="s">
        <v>124</v>
      </c>
      <c r="M1347" t="s">
        <v>2006</v>
      </c>
      <c r="N1347" t="b">
        <v>0</v>
      </c>
    </row>
    <row r="1348" spans="1:14">
      <c r="A1348">
        <v>91</v>
      </c>
      <c r="B1348">
        <v>6</v>
      </c>
      <c r="C1348" t="s">
        <v>196</v>
      </c>
      <c r="D1348" t="s">
        <v>722</v>
      </c>
      <c r="E1348" t="s">
        <v>111</v>
      </c>
      <c r="F1348">
        <v>50</v>
      </c>
      <c r="G1348" t="s">
        <v>124</v>
      </c>
      <c r="H1348" t="s">
        <v>124</v>
      </c>
      <c r="I1348" t="s">
        <v>111</v>
      </c>
      <c r="J1348" t="s">
        <v>124</v>
      </c>
      <c r="K1348" t="s">
        <v>124</v>
      </c>
      <c r="L1348" t="s">
        <v>124</v>
      </c>
      <c r="M1348" t="s">
        <v>2007</v>
      </c>
      <c r="N1348" t="b">
        <v>0</v>
      </c>
    </row>
    <row r="1349" spans="1:14">
      <c r="A1349">
        <v>91</v>
      </c>
      <c r="B1349">
        <v>7</v>
      </c>
      <c r="C1349" t="s">
        <v>218</v>
      </c>
      <c r="D1349" t="s">
        <v>722</v>
      </c>
      <c r="E1349" t="s">
        <v>66</v>
      </c>
      <c r="F1349">
        <v>50</v>
      </c>
      <c r="G1349" t="s">
        <v>124</v>
      </c>
      <c r="H1349" t="s">
        <v>124</v>
      </c>
      <c r="I1349" t="s">
        <v>66</v>
      </c>
      <c r="J1349" t="s">
        <v>124</v>
      </c>
      <c r="K1349" t="s">
        <v>124</v>
      </c>
      <c r="L1349" t="s">
        <v>124</v>
      </c>
      <c r="M1349" t="s">
        <v>2008</v>
      </c>
      <c r="N1349" t="b">
        <v>0</v>
      </c>
    </row>
    <row r="1350" spans="1:14">
      <c r="A1350">
        <v>91</v>
      </c>
      <c r="B1350">
        <v>8</v>
      </c>
      <c r="C1350" t="s">
        <v>316</v>
      </c>
      <c r="D1350" t="s">
        <v>722</v>
      </c>
      <c r="E1350" t="s">
        <v>329</v>
      </c>
      <c r="F1350">
        <v>30</v>
      </c>
      <c r="G1350" t="s">
        <v>124</v>
      </c>
      <c r="H1350" t="s">
        <v>546</v>
      </c>
      <c r="I1350" t="s">
        <v>443</v>
      </c>
      <c r="J1350" t="s">
        <v>124</v>
      </c>
      <c r="K1350" t="s">
        <v>919</v>
      </c>
      <c r="L1350" t="s">
        <v>920</v>
      </c>
      <c r="M1350" t="s">
        <v>2009</v>
      </c>
      <c r="N1350" t="b">
        <v>0</v>
      </c>
    </row>
    <row r="1351" spans="1:14">
      <c r="A1351">
        <v>91</v>
      </c>
      <c r="B1351">
        <v>9</v>
      </c>
      <c r="C1351" t="s">
        <v>165</v>
      </c>
      <c r="D1351" t="s">
        <v>722</v>
      </c>
      <c r="E1351" t="s">
        <v>72</v>
      </c>
      <c r="F1351">
        <v>50</v>
      </c>
      <c r="G1351" t="s">
        <v>124</v>
      </c>
      <c r="H1351" t="s">
        <v>124</v>
      </c>
      <c r="I1351" t="s">
        <v>72</v>
      </c>
      <c r="J1351" t="s">
        <v>124</v>
      </c>
      <c r="K1351" t="s">
        <v>124</v>
      </c>
      <c r="L1351" t="s">
        <v>124</v>
      </c>
      <c r="M1351" t="s">
        <v>2010</v>
      </c>
      <c r="N1351" t="b">
        <v>0</v>
      </c>
    </row>
    <row r="1352" spans="1:14">
      <c r="A1352">
        <v>91</v>
      </c>
      <c r="B1352">
        <v>10</v>
      </c>
      <c r="C1352" t="s">
        <v>389</v>
      </c>
      <c r="D1352" t="s">
        <v>722</v>
      </c>
      <c r="E1352" t="s">
        <v>100</v>
      </c>
      <c r="F1352">
        <v>60</v>
      </c>
      <c r="G1352" t="s">
        <v>124</v>
      </c>
      <c r="H1352" t="s">
        <v>124</v>
      </c>
      <c r="I1352" t="s">
        <v>100</v>
      </c>
      <c r="J1352" t="s">
        <v>124</v>
      </c>
      <c r="K1352" t="s">
        <v>124</v>
      </c>
      <c r="L1352" t="s">
        <v>124</v>
      </c>
      <c r="M1352" t="s">
        <v>2011</v>
      </c>
      <c r="N1352" t="b">
        <v>0</v>
      </c>
    </row>
    <row r="1353" spans="1:14">
      <c r="A1353">
        <v>91</v>
      </c>
      <c r="B1353">
        <v>11</v>
      </c>
      <c r="C1353" t="s">
        <v>168</v>
      </c>
      <c r="D1353" t="s">
        <v>722</v>
      </c>
      <c r="E1353" t="s">
        <v>104</v>
      </c>
      <c r="F1353">
        <v>50</v>
      </c>
      <c r="G1353" t="s">
        <v>124</v>
      </c>
      <c r="H1353" t="s">
        <v>124</v>
      </c>
      <c r="I1353" t="s">
        <v>104</v>
      </c>
      <c r="J1353" t="s">
        <v>124</v>
      </c>
      <c r="K1353" t="s">
        <v>124</v>
      </c>
      <c r="L1353" t="s">
        <v>124</v>
      </c>
      <c r="M1353" t="s">
        <v>2012</v>
      </c>
      <c r="N1353" t="b">
        <v>0</v>
      </c>
    </row>
    <row r="1354" spans="1:14">
      <c r="A1354">
        <v>91</v>
      </c>
      <c r="B1354">
        <v>12</v>
      </c>
      <c r="C1354" t="s">
        <v>221</v>
      </c>
      <c r="D1354" t="s">
        <v>722</v>
      </c>
      <c r="E1354" t="s">
        <v>105</v>
      </c>
      <c r="F1354">
        <v>50</v>
      </c>
      <c r="G1354" t="s">
        <v>124</v>
      </c>
      <c r="H1354" t="s">
        <v>124</v>
      </c>
      <c r="I1354" t="s">
        <v>105</v>
      </c>
      <c r="J1354" t="s">
        <v>124</v>
      </c>
      <c r="K1354" t="s">
        <v>124</v>
      </c>
      <c r="L1354" t="s">
        <v>124</v>
      </c>
      <c r="M1354" t="s">
        <v>2013</v>
      </c>
      <c r="N1354" t="b">
        <v>0</v>
      </c>
    </row>
    <row r="1355" spans="1:14">
      <c r="A1355">
        <v>91</v>
      </c>
      <c r="B1355">
        <v>13</v>
      </c>
      <c r="C1355" t="s">
        <v>193</v>
      </c>
      <c r="D1355" t="s">
        <v>722</v>
      </c>
      <c r="E1355" t="s">
        <v>106</v>
      </c>
      <c r="F1355">
        <v>60</v>
      </c>
      <c r="G1355" t="s">
        <v>124</v>
      </c>
      <c r="H1355" t="s">
        <v>124</v>
      </c>
      <c r="I1355" t="s">
        <v>106</v>
      </c>
      <c r="J1355" t="s">
        <v>124</v>
      </c>
      <c r="K1355" t="s">
        <v>124</v>
      </c>
      <c r="L1355" t="s">
        <v>124</v>
      </c>
      <c r="M1355" t="s">
        <v>2014</v>
      </c>
      <c r="N1355" t="b">
        <v>0</v>
      </c>
    </row>
    <row r="1356" spans="1:14">
      <c r="A1356">
        <v>91</v>
      </c>
      <c r="B1356">
        <v>14</v>
      </c>
      <c r="C1356" t="s">
        <v>124</v>
      </c>
      <c r="D1356" t="s">
        <v>722</v>
      </c>
      <c r="E1356" t="s">
        <v>124</v>
      </c>
      <c r="F1356">
        <v>0</v>
      </c>
      <c r="G1356" t="s">
        <v>124</v>
      </c>
      <c r="H1356" t="s">
        <v>124</v>
      </c>
      <c r="I1356" t="s">
        <v>124</v>
      </c>
      <c r="J1356" t="s">
        <v>124</v>
      </c>
      <c r="K1356" t="s">
        <v>124</v>
      </c>
      <c r="L1356" t="s">
        <v>124</v>
      </c>
      <c r="M1356" t="s">
        <v>2015</v>
      </c>
      <c r="N1356" t="b">
        <v>0</v>
      </c>
    </row>
    <row r="1357" spans="1:14">
      <c r="A1357">
        <v>91</v>
      </c>
      <c r="B1357">
        <v>15</v>
      </c>
      <c r="C1357" t="s">
        <v>124</v>
      </c>
      <c r="D1357" t="s">
        <v>722</v>
      </c>
      <c r="E1357" t="s">
        <v>124</v>
      </c>
      <c r="F1357">
        <v>0</v>
      </c>
      <c r="G1357" t="s">
        <v>124</v>
      </c>
      <c r="H1357" t="s">
        <v>124</v>
      </c>
      <c r="I1357" t="s">
        <v>124</v>
      </c>
      <c r="J1357" t="s">
        <v>124</v>
      </c>
      <c r="K1357" t="s">
        <v>124</v>
      </c>
      <c r="L1357" t="s">
        <v>124</v>
      </c>
      <c r="M1357" t="s">
        <v>2016</v>
      </c>
      <c r="N1357" t="b">
        <v>0</v>
      </c>
    </row>
    <row r="1358" spans="1:14">
      <c r="A1358">
        <v>91</v>
      </c>
      <c r="B1358">
        <v>16</v>
      </c>
      <c r="C1358" t="s">
        <v>124</v>
      </c>
      <c r="D1358" t="s">
        <v>739</v>
      </c>
      <c r="E1358" t="s">
        <v>124</v>
      </c>
      <c r="F1358">
        <v>0</v>
      </c>
      <c r="G1358" t="s">
        <v>124</v>
      </c>
      <c r="H1358" t="s">
        <v>124</v>
      </c>
      <c r="I1358" t="s">
        <v>124</v>
      </c>
      <c r="J1358" t="s">
        <v>124</v>
      </c>
      <c r="K1358" t="s">
        <v>124</v>
      </c>
      <c r="L1358" t="s">
        <v>124</v>
      </c>
      <c r="M1358" t="s">
        <v>2017</v>
      </c>
      <c r="N1358" t="b">
        <v>0</v>
      </c>
    </row>
    <row r="1359" spans="1:14">
      <c r="A1359">
        <v>91</v>
      </c>
      <c r="B1359">
        <v>17</v>
      </c>
      <c r="C1359" t="s">
        <v>124</v>
      </c>
      <c r="D1359" t="s">
        <v>739</v>
      </c>
      <c r="E1359" t="s">
        <v>124</v>
      </c>
      <c r="F1359">
        <v>0</v>
      </c>
      <c r="G1359" t="s">
        <v>124</v>
      </c>
      <c r="H1359" t="s">
        <v>124</v>
      </c>
      <c r="I1359" t="s">
        <v>124</v>
      </c>
      <c r="J1359" t="s">
        <v>124</v>
      </c>
      <c r="K1359" t="s">
        <v>124</v>
      </c>
      <c r="L1359" t="s">
        <v>124</v>
      </c>
      <c r="M1359" t="s">
        <v>2018</v>
      </c>
      <c r="N1359" t="b">
        <v>0</v>
      </c>
    </row>
    <row r="1360" spans="1:14">
      <c r="A1360">
        <v>91</v>
      </c>
      <c r="B1360">
        <v>18</v>
      </c>
      <c r="C1360" t="s">
        <v>124</v>
      </c>
      <c r="D1360" t="s">
        <v>739</v>
      </c>
      <c r="E1360" t="s">
        <v>124</v>
      </c>
      <c r="F1360">
        <v>0</v>
      </c>
      <c r="G1360" t="s">
        <v>124</v>
      </c>
      <c r="H1360" t="s">
        <v>124</v>
      </c>
      <c r="I1360" t="s">
        <v>124</v>
      </c>
      <c r="J1360" t="s">
        <v>124</v>
      </c>
      <c r="K1360" t="s">
        <v>124</v>
      </c>
      <c r="L1360" t="s">
        <v>124</v>
      </c>
      <c r="M1360" t="s">
        <v>2019</v>
      </c>
      <c r="N1360" t="b">
        <v>0</v>
      </c>
    </row>
    <row r="1361" spans="1:14">
      <c r="A1361">
        <v>91</v>
      </c>
      <c r="B1361">
        <v>19</v>
      </c>
      <c r="C1361" t="s">
        <v>124</v>
      </c>
      <c r="D1361" t="s">
        <v>739</v>
      </c>
      <c r="E1361" t="s">
        <v>124</v>
      </c>
      <c r="F1361">
        <v>0</v>
      </c>
      <c r="G1361" t="s">
        <v>124</v>
      </c>
      <c r="H1361" t="s">
        <v>124</v>
      </c>
      <c r="I1361" t="s">
        <v>124</v>
      </c>
      <c r="J1361" t="s">
        <v>124</v>
      </c>
      <c r="K1361" t="s">
        <v>124</v>
      </c>
      <c r="L1361" t="s">
        <v>124</v>
      </c>
      <c r="M1361" t="s">
        <v>2020</v>
      </c>
      <c r="N1361" t="b">
        <v>0</v>
      </c>
    </row>
    <row r="1362" spans="1:14">
      <c r="A1362">
        <v>91</v>
      </c>
      <c r="B1362">
        <v>20</v>
      </c>
      <c r="C1362" t="s">
        <v>124</v>
      </c>
      <c r="D1362" t="s">
        <v>739</v>
      </c>
      <c r="E1362" t="s">
        <v>124</v>
      </c>
      <c r="F1362">
        <v>0</v>
      </c>
      <c r="G1362" t="s">
        <v>124</v>
      </c>
      <c r="H1362" t="s">
        <v>124</v>
      </c>
      <c r="I1362" t="s">
        <v>124</v>
      </c>
      <c r="J1362" t="s">
        <v>124</v>
      </c>
      <c r="K1362" t="s">
        <v>124</v>
      </c>
      <c r="L1362" t="s">
        <v>124</v>
      </c>
      <c r="M1362" t="s">
        <v>2021</v>
      </c>
      <c r="N1362" t="b">
        <v>0</v>
      </c>
    </row>
    <row r="1363" spans="1:14">
      <c r="A1363">
        <v>91</v>
      </c>
      <c r="B1363">
        <v>21</v>
      </c>
      <c r="C1363" t="s">
        <v>124</v>
      </c>
      <c r="D1363" t="s">
        <v>739</v>
      </c>
      <c r="E1363" t="s">
        <v>124</v>
      </c>
      <c r="F1363">
        <v>0</v>
      </c>
      <c r="G1363" t="s">
        <v>124</v>
      </c>
      <c r="H1363" t="s">
        <v>124</v>
      </c>
      <c r="I1363" t="s">
        <v>124</v>
      </c>
      <c r="J1363" t="s">
        <v>124</v>
      </c>
      <c r="K1363" t="s">
        <v>124</v>
      </c>
      <c r="L1363" t="s">
        <v>124</v>
      </c>
      <c r="M1363" t="s">
        <v>2022</v>
      </c>
      <c r="N1363" t="b">
        <v>0</v>
      </c>
    </row>
    <row r="1364" spans="1:14">
      <c r="A1364">
        <v>91</v>
      </c>
      <c r="B1364">
        <v>22</v>
      </c>
      <c r="C1364" t="s">
        <v>124</v>
      </c>
      <c r="D1364" t="s">
        <v>739</v>
      </c>
      <c r="E1364" t="s">
        <v>124</v>
      </c>
      <c r="F1364">
        <v>0</v>
      </c>
      <c r="G1364" t="s">
        <v>124</v>
      </c>
      <c r="H1364" t="s">
        <v>124</v>
      </c>
      <c r="I1364" t="s">
        <v>124</v>
      </c>
      <c r="J1364" t="s">
        <v>124</v>
      </c>
      <c r="K1364" t="s">
        <v>124</v>
      </c>
      <c r="L1364" t="s">
        <v>124</v>
      </c>
      <c r="M1364" t="s">
        <v>2023</v>
      </c>
      <c r="N1364" t="b">
        <v>0</v>
      </c>
    </row>
    <row r="1365" spans="1:14">
      <c r="A1365">
        <v>91</v>
      </c>
      <c r="B1365">
        <v>23</v>
      </c>
      <c r="C1365" t="s">
        <v>124</v>
      </c>
      <c r="D1365" t="s">
        <v>739</v>
      </c>
      <c r="E1365" t="s">
        <v>124</v>
      </c>
      <c r="F1365">
        <v>0</v>
      </c>
      <c r="G1365" t="s">
        <v>124</v>
      </c>
      <c r="H1365" t="s">
        <v>124</v>
      </c>
      <c r="I1365" t="s">
        <v>124</v>
      </c>
      <c r="J1365" t="s">
        <v>124</v>
      </c>
      <c r="K1365" t="s">
        <v>124</v>
      </c>
      <c r="L1365" t="s">
        <v>124</v>
      </c>
      <c r="M1365" t="s">
        <v>2024</v>
      </c>
      <c r="N1365" t="b">
        <v>0</v>
      </c>
    </row>
    <row r="1366" spans="1:14">
      <c r="A1366">
        <v>91</v>
      </c>
      <c r="B1366">
        <v>24</v>
      </c>
      <c r="C1366" t="s">
        <v>124</v>
      </c>
      <c r="D1366" t="s">
        <v>739</v>
      </c>
      <c r="E1366" t="s">
        <v>124</v>
      </c>
      <c r="F1366">
        <v>0</v>
      </c>
      <c r="G1366" t="s">
        <v>124</v>
      </c>
      <c r="H1366" t="s">
        <v>124</v>
      </c>
      <c r="I1366" t="s">
        <v>124</v>
      </c>
      <c r="J1366" t="s">
        <v>124</v>
      </c>
      <c r="K1366" t="s">
        <v>124</v>
      </c>
      <c r="L1366" t="s">
        <v>124</v>
      </c>
      <c r="M1366" t="s">
        <v>2025</v>
      </c>
      <c r="N1366" t="b">
        <v>0</v>
      </c>
    </row>
    <row r="1367" spans="1:14">
      <c r="A1367">
        <v>91</v>
      </c>
      <c r="B1367">
        <v>25</v>
      </c>
      <c r="C1367" t="s">
        <v>124</v>
      </c>
      <c r="D1367" t="s">
        <v>739</v>
      </c>
      <c r="E1367" t="s">
        <v>124</v>
      </c>
      <c r="F1367">
        <v>0</v>
      </c>
      <c r="G1367" t="s">
        <v>124</v>
      </c>
      <c r="H1367" t="s">
        <v>124</v>
      </c>
      <c r="I1367" t="s">
        <v>124</v>
      </c>
      <c r="J1367" t="s">
        <v>124</v>
      </c>
      <c r="K1367" t="s">
        <v>124</v>
      </c>
      <c r="L1367" t="s">
        <v>124</v>
      </c>
      <c r="M1367" t="s">
        <v>2026</v>
      </c>
      <c r="N1367" t="b">
        <v>0</v>
      </c>
    </row>
    <row r="1368" spans="1:14">
      <c r="A1368">
        <v>91</v>
      </c>
      <c r="B1368">
        <v>26</v>
      </c>
      <c r="C1368" t="s">
        <v>124</v>
      </c>
      <c r="D1368" t="s">
        <v>739</v>
      </c>
      <c r="E1368" t="s">
        <v>124</v>
      </c>
      <c r="F1368">
        <v>0</v>
      </c>
      <c r="G1368" t="s">
        <v>124</v>
      </c>
      <c r="H1368" t="s">
        <v>124</v>
      </c>
      <c r="I1368" t="s">
        <v>124</v>
      </c>
      <c r="J1368" t="s">
        <v>124</v>
      </c>
      <c r="K1368" t="s">
        <v>124</v>
      </c>
      <c r="L1368" t="s">
        <v>124</v>
      </c>
      <c r="M1368" t="s">
        <v>2027</v>
      </c>
      <c r="N1368" t="b">
        <v>0</v>
      </c>
    </row>
    <row r="1369" spans="1:14">
      <c r="A1369">
        <v>93</v>
      </c>
      <c r="B1369">
        <v>0</v>
      </c>
      <c r="C1369" t="s">
        <v>156</v>
      </c>
      <c r="D1369" t="s">
        <v>722</v>
      </c>
      <c r="E1369" t="s">
        <v>81</v>
      </c>
      <c r="F1369">
        <v>40</v>
      </c>
      <c r="G1369" t="s">
        <v>124</v>
      </c>
      <c r="H1369" t="s">
        <v>124</v>
      </c>
      <c r="I1369" t="s">
        <v>81</v>
      </c>
      <c r="J1369" t="s">
        <v>124</v>
      </c>
      <c r="K1369" t="s">
        <v>124</v>
      </c>
      <c r="L1369" t="s">
        <v>124</v>
      </c>
      <c r="M1369" t="s">
        <v>2028</v>
      </c>
      <c r="N1369" t="b">
        <v>0</v>
      </c>
    </row>
    <row r="1370" spans="1:14">
      <c r="A1370">
        <v>93</v>
      </c>
      <c r="B1370">
        <v>1</v>
      </c>
      <c r="C1370" t="s">
        <v>208</v>
      </c>
      <c r="D1370" t="s">
        <v>722</v>
      </c>
      <c r="E1370" t="s">
        <v>85</v>
      </c>
      <c r="F1370">
        <v>40</v>
      </c>
      <c r="G1370" t="s">
        <v>124</v>
      </c>
      <c r="H1370" t="s">
        <v>124</v>
      </c>
      <c r="I1370" t="s">
        <v>85</v>
      </c>
      <c r="J1370" t="s">
        <v>124</v>
      </c>
      <c r="K1370" t="s">
        <v>124</v>
      </c>
      <c r="L1370" t="s">
        <v>124</v>
      </c>
      <c r="M1370" t="s">
        <v>2029</v>
      </c>
      <c r="N1370" t="b">
        <v>0</v>
      </c>
    </row>
    <row r="1371" spans="1:14">
      <c r="A1371">
        <v>93</v>
      </c>
      <c r="B1371">
        <v>2</v>
      </c>
      <c r="C1371" t="s">
        <v>185</v>
      </c>
      <c r="D1371" t="s">
        <v>722</v>
      </c>
      <c r="E1371" t="s">
        <v>91</v>
      </c>
      <c r="F1371">
        <v>50</v>
      </c>
      <c r="G1371" t="s">
        <v>124</v>
      </c>
      <c r="H1371" t="s">
        <v>124</v>
      </c>
      <c r="I1371" t="s">
        <v>91</v>
      </c>
      <c r="J1371" t="s">
        <v>124</v>
      </c>
      <c r="K1371" t="s">
        <v>124</v>
      </c>
      <c r="L1371" t="s">
        <v>124</v>
      </c>
      <c r="M1371" t="s">
        <v>2030</v>
      </c>
      <c r="N1371" t="b">
        <v>0</v>
      </c>
    </row>
    <row r="1372" spans="1:14">
      <c r="A1372">
        <v>93</v>
      </c>
      <c r="B1372">
        <v>3</v>
      </c>
      <c r="C1372" t="s">
        <v>442</v>
      </c>
      <c r="D1372" t="s">
        <v>722</v>
      </c>
      <c r="E1372" t="s">
        <v>295</v>
      </c>
      <c r="F1372">
        <v>40</v>
      </c>
      <c r="G1372" t="s">
        <v>124</v>
      </c>
      <c r="H1372" t="s">
        <v>1895</v>
      </c>
      <c r="I1372" t="s">
        <v>1896</v>
      </c>
      <c r="J1372" t="s">
        <v>124</v>
      </c>
      <c r="K1372" t="s">
        <v>760</v>
      </c>
      <c r="L1372" t="s">
        <v>761</v>
      </c>
      <c r="M1372" t="s">
        <v>2031</v>
      </c>
      <c r="N1372" t="b">
        <v>0</v>
      </c>
    </row>
    <row r="1373" spans="1:14">
      <c r="A1373">
        <v>93</v>
      </c>
      <c r="B1373">
        <v>4</v>
      </c>
      <c r="C1373" t="s">
        <v>189</v>
      </c>
      <c r="D1373" t="s">
        <v>722</v>
      </c>
      <c r="E1373" t="s">
        <v>113</v>
      </c>
      <c r="F1373">
        <v>60</v>
      </c>
      <c r="G1373" t="s">
        <v>124</v>
      </c>
      <c r="H1373" t="s">
        <v>124</v>
      </c>
      <c r="I1373" t="s">
        <v>113</v>
      </c>
      <c r="J1373" t="s">
        <v>124</v>
      </c>
      <c r="K1373" t="s">
        <v>124</v>
      </c>
      <c r="L1373" t="s">
        <v>124</v>
      </c>
      <c r="M1373" t="s">
        <v>2032</v>
      </c>
      <c r="N1373" t="b">
        <v>0</v>
      </c>
    </row>
    <row r="1374" spans="1:14">
      <c r="A1374">
        <v>93</v>
      </c>
      <c r="B1374">
        <v>5</v>
      </c>
      <c r="C1374" t="s">
        <v>210</v>
      </c>
      <c r="D1374" t="s">
        <v>722</v>
      </c>
      <c r="E1374" t="s">
        <v>107</v>
      </c>
      <c r="F1374">
        <v>40</v>
      </c>
      <c r="G1374" t="s">
        <v>124</v>
      </c>
      <c r="H1374" t="s">
        <v>124</v>
      </c>
      <c r="I1374" t="s">
        <v>107</v>
      </c>
      <c r="J1374" t="s">
        <v>124</v>
      </c>
      <c r="K1374" t="s">
        <v>124</v>
      </c>
      <c r="L1374" t="s">
        <v>124</v>
      </c>
      <c r="M1374" t="s">
        <v>2033</v>
      </c>
      <c r="N1374" t="b">
        <v>0</v>
      </c>
    </row>
    <row r="1375" spans="1:14">
      <c r="A1375">
        <v>93</v>
      </c>
      <c r="B1375">
        <v>6</v>
      </c>
      <c r="C1375" t="s">
        <v>180</v>
      </c>
      <c r="D1375" t="s">
        <v>722</v>
      </c>
      <c r="E1375" t="s">
        <v>59</v>
      </c>
      <c r="F1375">
        <v>40</v>
      </c>
      <c r="G1375" t="s">
        <v>124</v>
      </c>
      <c r="H1375" t="s">
        <v>124</v>
      </c>
      <c r="I1375" t="s">
        <v>59</v>
      </c>
      <c r="J1375" t="s">
        <v>124</v>
      </c>
      <c r="K1375" t="s">
        <v>124</v>
      </c>
      <c r="L1375" t="s">
        <v>124</v>
      </c>
      <c r="M1375" t="s">
        <v>2034</v>
      </c>
      <c r="N1375" t="b">
        <v>0</v>
      </c>
    </row>
    <row r="1376" spans="1:14">
      <c r="A1376">
        <v>93</v>
      </c>
      <c r="B1376">
        <v>7</v>
      </c>
      <c r="C1376" t="s">
        <v>457</v>
      </c>
      <c r="D1376" t="s">
        <v>722</v>
      </c>
      <c r="E1376" t="s">
        <v>89</v>
      </c>
      <c r="F1376">
        <v>30</v>
      </c>
      <c r="G1376" t="s">
        <v>124</v>
      </c>
      <c r="H1376" t="s">
        <v>124</v>
      </c>
      <c r="I1376" t="s">
        <v>89</v>
      </c>
      <c r="J1376" t="s">
        <v>124</v>
      </c>
      <c r="K1376" t="s">
        <v>124</v>
      </c>
      <c r="L1376" t="s">
        <v>124</v>
      </c>
      <c r="M1376" t="s">
        <v>2035</v>
      </c>
      <c r="N1376" t="b">
        <v>0</v>
      </c>
    </row>
    <row r="1377" spans="1:14">
      <c r="A1377">
        <v>93</v>
      </c>
      <c r="B1377">
        <v>8</v>
      </c>
      <c r="C1377" t="s">
        <v>458</v>
      </c>
      <c r="D1377" t="s">
        <v>722</v>
      </c>
      <c r="E1377" t="s">
        <v>543</v>
      </c>
      <c r="F1377">
        <v>50</v>
      </c>
      <c r="G1377" t="s">
        <v>124</v>
      </c>
      <c r="H1377" t="s">
        <v>578</v>
      </c>
      <c r="I1377" t="s">
        <v>371</v>
      </c>
      <c r="J1377" t="s">
        <v>124</v>
      </c>
      <c r="K1377" t="s">
        <v>799</v>
      </c>
      <c r="L1377" t="s">
        <v>800</v>
      </c>
      <c r="M1377" t="s">
        <v>2036</v>
      </c>
      <c r="N1377" t="b">
        <v>0</v>
      </c>
    </row>
    <row r="1378" spans="1:14">
      <c r="A1378">
        <v>93</v>
      </c>
      <c r="B1378">
        <v>9</v>
      </c>
      <c r="C1378" t="s">
        <v>445</v>
      </c>
      <c r="D1378" t="s">
        <v>722</v>
      </c>
      <c r="E1378" t="s">
        <v>543</v>
      </c>
      <c r="F1378">
        <v>50</v>
      </c>
      <c r="G1378" t="s">
        <v>124</v>
      </c>
      <c r="H1378" t="s">
        <v>553</v>
      </c>
      <c r="I1378" t="s">
        <v>330</v>
      </c>
      <c r="J1378" t="s">
        <v>124</v>
      </c>
      <c r="K1378" t="s">
        <v>823</v>
      </c>
      <c r="L1378" t="s">
        <v>824</v>
      </c>
      <c r="M1378" t="s">
        <v>2037</v>
      </c>
      <c r="N1378" t="b">
        <v>0</v>
      </c>
    </row>
    <row r="1379" spans="1:14">
      <c r="A1379">
        <v>93</v>
      </c>
      <c r="B1379">
        <v>10</v>
      </c>
      <c r="C1379" t="s">
        <v>124</v>
      </c>
      <c r="D1379" t="s">
        <v>722</v>
      </c>
      <c r="E1379" t="s">
        <v>124</v>
      </c>
      <c r="F1379">
        <v>0</v>
      </c>
      <c r="G1379" t="s">
        <v>124</v>
      </c>
      <c r="H1379" t="s">
        <v>124</v>
      </c>
      <c r="I1379" t="s">
        <v>124</v>
      </c>
      <c r="J1379" t="s">
        <v>124</v>
      </c>
      <c r="K1379" t="s">
        <v>124</v>
      </c>
      <c r="L1379" t="s">
        <v>124</v>
      </c>
      <c r="M1379" t="s">
        <v>2038</v>
      </c>
      <c r="N1379" t="b">
        <v>0</v>
      </c>
    </row>
    <row r="1380" spans="1:14">
      <c r="A1380">
        <v>93</v>
      </c>
      <c r="B1380">
        <v>11</v>
      </c>
      <c r="C1380" t="s">
        <v>124</v>
      </c>
      <c r="D1380" t="s">
        <v>722</v>
      </c>
      <c r="E1380" t="s">
        <v>124</v>
      </c>
      <c r="F1380">
        <v>0</v>
      </c>
      <c r="G1380" t="s">
        <v>124</v>
      </c>
      <c r="H1380" t="s">
        <v>124</v>
      </c>
      <c r="I1380" t="s">
        <v>124</v>
      </c>
      <c r="J1380" t="s">
        <v>124</v>
      </c>
      <c r="K1380" t="s">
        <v>124</v>
      </c>
      <c r="L1380" t="s">
        <v>124</v>
      </c>
      <c r="M1380" t="s">
        <v>2039</v>
      </c>
      <c r="N1380" t="b">
        <v>0</v>
      </c>
    </row>
    <row r="1381" spans="1:14">
      <c r="A1381">
        <v>93</v>
      </c>
      <c r="B1381">
        <v>12</v>
      </c>
      <c r="C1381" t="s">
        <v>124</v>
      </c>
      <c r="D1381" t="s">
        <v>722</v>
      </c>
      <c r="E1381" t="s">
        <v>124</v>
      </c>
      <c r="F1381">
        <v>0</v>
      </c>
      <c r="G1381" t="s">
        <v>124</v>
      </c>
      <c r="H1381" t="s">
        <v>124</v>
      </c>
      <c r="I1381" t="s">
        <v>124</v>
      </c>
      <c r="J1381" t="s">
        <v>124</v>
      </c>
      <c r="K1381" t="s">
        <v>124</v>
      </c>
      <c r="L1381" t="s">
        <v>124</v>
      </c>
      <c r="M1381" t="s">
        <v>2040</v>
      </c>
      <c r="N1381" t="b">
        <v>0</v>
      </c>
    </row>
    <row r="1382" spans="1:14">
      <c r="A1382">
        <v>93</v>
      </c>
      <c r="B1382">
        <v>13</v>
      </c>
      <c r="C1382" t="s">
        <v>124</v>
      </c>
      <c r="D1382" t="s">
        <v>722</v>
      </c>
      <c r="E1382" t="s">
        <v>124</v>
      </c>
      <c r="F1382">
        <v>0</v>
      </c>
      <c r="G1382" t="s">
        <v>124</v>
      </c>
      <c r="H1382" t="s">
        <v>124</v>
      </c>
      <c r="I1382" t="s">
        <v>124</v>
      </c>
      <c r="J1382" t="s">
        <v>124</v>
      </c>
      <c r="K1382" t="s">
        <v>124</v>
      </c>
      <c r="L1382" t="s">
        <v>124</v>
      </c>
      <c r="M1382" t="s">
        <v>2041</v>
      </c>
      <c r="N1382" t="b">
        <v>0</v>
      </c>
    </row>
    <row r="1383" spans="1:14">
      <c r="A1383">
        <v>93</v>
      </c>
      <c r="B1383">
        <v>14</v>
      </c>
      <c r="C1383" t="s">
        <v>124</v>
      </c>
      <c r="D1383" t="s">
        <v>722</v>
      </c>
      <c r="E1383" t="s">
        <v>124</v>
      </c>
      <c r="F1383">
        <v>0</v>
      </c>
      <c r="G1383" t="s">
        <v>124</v>
      </c>
      <c r="H1383" t="s">
        <v>124</v>
      </c>
      <c r="I1383" t="s">
        <v>124</v>
      </c>
      <c r="J1383" t="s">
        <v>124</v>
      </c>
      <c r="K1383" t="s">
        <v>124</v>
      </c>
      <c r="L1383" t="s">
        <v>124</v>
      </c>
      <c r="M1383" t="s">
        <v>2042</v>
      </c>
      <c r="N1383" t="b">
        <v>0</v>
      </c>
    </row>
    <row r="1384" spans="1:14">
      <c r="A1384">
        <v>93</v>
      </c>
      <c r="B1384">
        <v>15</v>
      </c>
      <c r="C1384" t="s">
        <v>124</v>
      </c>
      <c r="D1384" t="s">
        <v>722</v>
      </c>
      <c r="E1384" t="s">
        <v>124</v>
      </c>
      <c r="F1384">
        <v>0</v>
      </c>
      <c r="G1384" t="s">
        <v>124</v>
      </c>
      <c r="H1384" t="s">
        <v>124</v>
      </c>
      <c r="I1384" t="s">
        <v>124</v>
      </c>
      <c r="J1384" t="s">
        <v>124</v>
      </c>
      <c r="K1384" t="s">
        <v>124</v>
      </c>
      <c r="L1384" t="s">
        <v>124</v>
      </c>
      <c r="M1384" t="s">
        <v>2043</v>
      </c>
      <c r="N1384" t="b">
        <v>0</v>
      </c>
    </row>
    <row r="1385" spans="1:14">
      <c r="A1385">
        <v>93</v>
      </c>
      <c r="B1385">
        <v>16</v>
      </c>
      <c r="C1385" t="s">
        <v>124</v>
      </c>
      <c r="D1385" t="s">
        <v>739</v>
      </c>
      <c r="E1385" t="s">
        <v>124</v>
      </c>
      <c r="F1385">
        <v>0</v>
      </c>
      <c r="G1385" t="s">
        <v>124</v>
      </c>
      <c r="H1385" t="s">
        <v>124</v>
      </c>
      <c r="I1385" t="s">
        <v>124</v>
      </c>
      <c r="J1385" t="s">
        <v>124</v>
      </c>
      <c r="K1385" t="s">
        <v>124</v>
      </c>
      <c r="L1385" t="s">
        <v>124</v>
      </c>
      <c r="M1385" t="s">
        <v>2044</v>
      </c>
      <c r="N1385" t="b">
        <v>0</v>
      </c>
    </row>
    <row r="1386" spans="1:14">
      <c r="A1386">
        <v>93</v>
      </c>
      <c r="B1386">
        <v>17</v>
      </c>
      <c r="C1386" t="s">
        <v>124</v>
      </c>
      <c r="D1386" t="s">
        <v>739</v>
      </c>
      <c r="E1386" t="s">
        <v>124</v>
      </c>
      <c r="F1386">
        <v>0</v>
      </c>
      <c r="G1386" t="s">
        <v>124</v>
      </c>
      <c r="H1386" t="s">
        <v>124</v>
      </c>
      <c r="I1386" t="s">
        <v>124</v>
      </c>
      <c r="J1386" t="s">
        <v>124</v>
      </c>
      <c r="K1386" t="s">
        <v>124</v>
      </c>
      <c r="L1386" t="s">
        <v>124</v>
      </c>
      <c r="M1386" t="s">
        <v>2045</v>
      </c>
      <c r="N1386" t="b">
        <v>0</v>
      </c>
    </row>
    <row r="1387" spans="1:14">
      <c r="A1387">
        <v>93</v>
      </c>
      <c r="B1387">
        <v>18</v>
      </c>
      <c r="C1387" t="s">
        <v>124</v>
      </c>
      <c r="D1387" t="s">
        <v>739</v>
      </c>
      <c r="E1387" t="s">
        <v>124</v>
      </c>
      <c r="F1387">
        <v>0</v>
      </c>
      <c r="G1387" t="s">
        <v>124</v>
      </c>
      <c r="H1387" t="s">
        <v>124</v>
      </c>
      <c r="I1387" t="s">
        <v>124</v>
      </c>
      <c r="J1387" t="s">
        <v>124</v>
      </c>
      <c r="K1387" t="s">
        <v>124</v>
      </c>
      <c r="L1387" t="s">
        <v>124</v>
      </c>
      <c r="M1387" t="s">
        <v>2046</v>
      </c>
      <c r="N1387" t="b">
        <v>0</v>
      </c>
    </row>
    <row r="1388" spans="1:14">
      <c r="A1388">
        <v>93</v>
      </c>
      <c r="B1388">
        <v>19</v>
      </c>
      <c r="C1388" t="s">
        <v>124</v>
      </c>
      <c r="D1388" t="s">
        <v>739</v>
      </c>
      <c r="E1388" t="s">
        <v>124</v>
      </c>
      <c r="F1388">
        <v>0</v>
      </c>
      <c r="G1388" t="s">
        <v>124</v>
      </c>
      <c r="H1388" t="s">
        <v>124</v>
      </c>
      <c r="I1388" t="s">
        <v>124</v>
      </c>
      <c r="J1388" t="s">
        <v>124</v>
      </c>
      <c r="K1388" t="s">
        <v>124</v>
      </c>
      <c r="L1388" t="s">
        <v>124</v>
      </c>
      <c r="M1388" t="s">
        <v>2047</v>
      </c>
      <c r="N1388" t="b">
        <v>0</v>
      </c>
    </row>
    <row r="1389" spans="1:14">
      <c r="A1389">
        <v>93</v>
      </c>
      <c r="B1389">
        <v>20</v>
      </c>
      <c r="C1389" t="s">
        <v>124</v>
      </c>
      <c r="D1389" t="s">
        <v>739</v>
      </c>
      <c r="E1389" t="s">
        <v>124</v>
      </c>
      <c r="F1389">
        <v>0</v>
      </c>
      <c r="G1389" t="s">
        <v>124</v>
      </c>
      <c r="H1389" t="s">
        <v>124</v>
      </c>
      <c r="I1389" t="s">
        <v>124</v>
      </c>
      <c r="J1389" t="s">
        <v>124</v>
      </c>
      <c r="K1389" t="s">
        <v>124</v>
      </c>
      <c r="L1389" t="s">
        <v>124</v>
      </c>
      <c r="M1389" t="s">
        <v>2048</v>
      </c>
      <c r="N1389" t="b">
        <v>0</v>
      </c>
    </row>
    <row r="1390" spans="1:14">
      <c r="A1390">
        <v>93</v>
      </c>
      <c r="B1390">
        <v>21</v>
      </c>
      <c r="C1390" t="s">
        <v>124</v>
      </c>
      <c r="D1390" t="s">
        <v>739</v>
      </c>
      <c r="E1390" t="s">
        <v>124</v>
      </c>
      <c r="F1390">
        <v>0</v>
      </c>
      <c r="G1390" t="s">
        <v>124</v>
      </c>
      <c r="H1390" t="s">
        <v>124</v>
      </c>
      <c r="I1390" t="s">
        <v>124</v>
      </c>
      <c r="J1390" t="s">
        <v>124</v>
      </c>
      <c r="K1390" t="s">
        <v>124</v>
      </c>
      <c r="L1390" t="s">
        <v>124</v>
      </c>
      <c r="M1390" t="s">
        <v>2049</v>
      </c>
      <c r="N1390" t="b">
        <v>0</v>
      </c>
    </row>
    <row r="1391" spans="1:14">
      <c r="A1391">
        <v>93</v>
      </c>
      <c r="B1391">
        <v>22</v>
      </c>
      <c r="C1391" t="s">
        <v>124</v>
      </c>
      <c r="D1391" t="s">
        <v>739</v>
      </c>
      <c r="E1391" t="s">
        <v>124</v>
      </c>
      <c r="F1391">
        <v>0</v>
      </c>
      <c r="G1391" t="s">
        <v>124</v>
      </c>
      <c r="H1391" t="s">
        <v>124</v>
      </c>
      <c r="I1391" t="s">
        <v>124</v>
      </c>
      <c r="J1391" t="s">
        <v>124</v>
      </c>
      <c r="K1391" t="s">
        <v>124</v>
      </c>
      <c r="L1391" t="s">
        <v>124</v>
      </c>
      <c r="M1391" t="s">
        <v>2050</v>
      </c>
      <c r="N1391" t="b">
        <v>0</v>
      </c>
    </row>
    <row r="1392" spans="1:14">
      <c r="A1392">
        <v>93</v>
      </c>
      <c r="B1392">
        <v>23</v>
      </c>
      <c r="C1392" t="s">
        <v>124</v>
      </c>
      <c r="D1392" t="s">
        <v>739</v>
      </c>
      <c r="E1392" t="s">
        <v>124</v>
      </c>
      <c r="F1392">
        <v>0</v>
      </c>
      <c r="G1392" t="s">
        <v>124</v>
      </c>
      <c r="H1392" t="s">
        <v>124</v>
      </c>
      <c r="I1392" t="s">
        <v>124</v>
      </c>
      <c r="J1392" t="s">
        <v>124</v>
      </c>
      <c r="K1392" t="s">
        <v>124</v>
      </c>
      <c r="L1392" t="s">
        <v>124</v>
      </c>
      <c r="M1392" t="s">
        <v>2051</v>
      </c>
      <c r="N1392" t="b">
        <v>0</v>
      </c>
    </row>
    <row r="1393" spans="1:14">
      <c r="A1393">
        <v>93</v>
      </c>
      <c r="B1393">
        <v>24</v>
      </c>
      <c r="C1393" t="s">
        <v>124</v>
      </c>
      <c r="D1393" t="s">
        <v>739</v>
      </c>
      <c r="E1393" t="s">
        <v>124</v>
      </c>
      <c r="F1393">
        <v>0</v>
      </c>
      <c r="G1393" t="s">
        <v>124</v>
      </c>
      <c r="H1393" t="s">
        <v>124</v>
      </c>
      <c r="I1393" t="s">
        <v>124</v>
      </c>
      <c r="J1393" t="s">
        <v>124</v>
      </c>
      <c r="K1393" t="s">
        <v>124</v>
      </c>
      <c r="L1393" t="s">
        <v>124</v>
      </c>
      <c r="M1393" t="s">
        <v>2052</v>
      </c>
      <c r="N1393" t="b">
        <v>0</v>
      </c>
    </row>
    <row r="1394" spans="1:14">
      <c r="A1394">
        <v>93</v>
      </c>
      <c r="B1394">
        <v>25</v>
      </c>
      <c r="C1394" t="s">
        <v>124</v>
      </c>
      <c r="D1394" t="s">
        <v>739</v>
      </c>
      <c r="E1394" t="s">
        <v>124</v>
      </c>
      <c r="F1394">
        <v>0</v>
      </c>
      <c r="G1394" t="s">
        <v>124</v>
      </c>
      <c r="H1394" t="s">
        <v>124</v>
      </c>
      <c r="I1394" t="s">
        <v>124</v>
      </c>
      <c r="J1394" t="s">
        <v>124</v>
      </c>
      <c r="K1394" t="s">
        <v>124</v>
      </c>
      <c r="L1394" t="s">
        <v>124</v>
      </c>
      <c r="M1394" t="s">
        <v>2053</v>
      </c>
      <c r="N1394" t="b">
        <v>0</v>
      </c>
    </row>
    <row r="1395" spans="1:14">
      <c r="A1395">
        <v>93</v>
      </c>
      <c r="B1395">
        <v>26</v>
      </c>
      <c r="C1395" t="s">
        <v>124</v>
      </c>
      <c r="D1395" t="s">
        <v>739</v>
      </c>
      <c r="E1395" t="s">
        <v>124</v>
      </c>
      <c r="F1395">
        <v>0</v>
      </c>
      <c r="G1395" t="s">
        <v>124</v>
      </c>
      <c r="H1395" t="s">
        <v>124</v>
      </c>
      <c r="I1395" t="s">
        <v>124</v>
      </c>
      <c r="J1395" t="s">
        <v>124</v>
      </c>
      <c r="K1395" t="s">
        <v>124</v>
      </c>
      <c r="L1395" t="s">
        <v>124</v>
      </c>
      <c r="M1395" t="s">
        <v>2054</v>
      </c>
      <c r="N1395" t="b">
        <v>0</v>
      </c>
    </row>
    <row r="1396" spans="1:14">
      <c r="A1396">
        <v>94</v>
      </c>
      <c r="B1396">
        <v>0</v>
      </c>
      <c r="C1396" t="s">
        <v>214</v>
      </c>
      <c r="D1396" t="s">
        <v>722</v>
      </c>
      <c r="E1396" t="s">
        <v>63</v>
      </c>
      <c r="F1396">
        <v>60</v>
      </c>
      <c r="G1396" t="s">
        <v>124</v>
      </c>
      <c r="H1396" t="s">
        <v>124</v>
      </c>
      <c r="I1396" t="s">
        <v>63</v>
      </c>
      <c r="J1396" t="s">
        <v>124</v>
      </c>
      <c r="K1396" t="s">
        <v>124</v>
      </c>
      <c r="L1396" t="s">
        <v>124</v>
      </c>
      <c r="M1396" t="s">
        <v>2055</v>
      </c>
      <c r="N1396" t="b">
        <v>0</v>
      </c>
    </row>
    <row r="1397" spans="1:14">
      <c r="A1397">
        <v>94</v>
      </c>
      <c r="B1397">
        <v>1</v>
      </c>
      <c r="C1397" t="s">
        <v>215</v>
      </c>
      <c r="D1397" t="s">
        <v>722</v>
      </c>
      <c r="E1397" t="s">
        <v>75</v>
      </c>
      <c r="F1397">
        <v>60</v>
      </c>
      <c r="G1397" t="s">
        <v>124</v>
      </c>
      <c r="H1397" t="s">
        <v>124</v>
      </c>
      <c r="I1397" t="s">
        <v>75</v>
      </c>
      <c r="J1397" t="s">
        <v>124</v>
      </c>
      <c r="K1397" t="s">
        <v>124</v>
      </c>
      <c r="L1397" t="s">
        <v>124</v>
      </c>
      <c r="M1397" t="s">
        <v>2056</v>
      </c>
      <c r="N1397" t="b">
        <v>0</v>
      </c>
    </row>
    <row r="1398" spans="1:14">
      <c r="A1398">
        <v>94</v>
      </c>
      <c r="B1398">
        <v>2</v>
      </c>
      <c r="C1398" t="s">
        <v>288</v>
      </c>
      <c r="D1398" t="s">
        <v>722</v>
      </c>
      <c r="E1398" t="s">
        <v>73</v>
      </c>
      <c r="F1398">
        <v>40</v>
      </c>
      <c r="G1398" t="s">
        <v>124</v>
      </c>
      <c r="H1398" t="s">
        <v>124</v>
      </c>
      <c r="I1398" t="s">
        <v>73</v>
      </c>
      <c r="J1398" t="s">
        <v>124</v>
      </c>
      <c r="K1398" t="s">
        <v>124</v>
      </c>
      <c r="L1398" t="s">
        <v>124</v>
      </c>
      <c r="M1398" t="s">
        <v>2057</v>
      </c>
      <c r="N1398" t="b">
        <v>0</v>
      </c>
    </row>
    <row r="1399" spans="1:14">
      <c r="A1399">
        <v>94</v>
      </c>
      <c r="B1399">
        <v>3</v>
      </c>
      <c r="C1399" t="s">
        <v>379</v>
      </c>
      <c r="D1399" t="s">
        <v>722</v>
      </c>
      <c r="E1399" t="s">
        <v>93</v>
      </c>
      <c r="F1399">
        <v>60</v>
      </c>
      <c r="G1399" t="s">
        <v>124</v>
      </c>
      <c r="H1399" t="s">
        <v>124</v>
      </c>
      <c r="I1399" t="s">
        <v>93</v>
      </c>
      <c r="J1399" t="s">
        <v>124</v>
      </c>
      <c r="K1399" t="s">
        <v>124</v>
      </c>
      <c r="L1399" t="s">
        <v>124</v>
      </c>
      <c r="M1399" t="s">
        <v>2058</v>
      </c>
      <c r="N1399" t="b">
        <v>0</v>
      </c>
    </row>
    <row r="1400" spans="1:14">
      <c r="A1400">
        <v>94</v>
      </c>
      <c r="B1400">
        <v>4</v>
      </c>
      <c r="C1400" t="s">
        <v>454</v>
      </c>
      <c r="D1400" t="s">
        <v>722</v>
      </c>
      <c r="E1400" t="s">
        <v>95</v>
      </c>
      <c r="F1400">
        <v>60</v>
      </c>
      <c r="G1400" t="s">
        <v>124</v>
      </c>
      <c r="H1400" t="s">
        <v>124</v>
      </c>
      <c r="I1400" t="s">
        <v>95</v>
      </c>
      <c r="J1400" t="s">
        <v>124</v>
      </c>
      <c r="K1400" t="s">
        <v>124</v>
      </c>
      <c r="L1400" t="s">
        <v>124</v>
      </c>
      <c r="M1400" t="s">
        <v>2059</v>
      </c>
      <c r="N1400" t="b">
        <v>0</v>
      </c>
    </row>
    <row r="1401" spans="1:14">
      <c r="A1401">
        <v>94</v>
      </c>
      <c r="B1401">
        <v>5</v>
      </c>
      <c r="C1401" t="s">
        <v>187</v>
      </c>
      <c r="D1401" t="s">
        <v>722</v>
      </c>
      <c r="E1401" t="s">
        <v>99</v>
      </c>
      <c r="F1401">
        <v>50</v>
      </c>
      <c r="G1401" t="s">
        <v>124</v>
      </c>
      <c r="H1401" t="s">
        <v>124</v>
      </c>
      <c r="I1401" t="s">
        <v>99</v>
      </c>
      <c r="J1401" t="s">
        <v>124</v>
      </c>
      <c r="K1401" t="s">
        <v>124</v>
      </c>
      <c r="L1401" t="s">
        <v>124</v>
      </c>
      <c r="M1401" t="s">
        <v>2060</v>
      </c>
      <c r="N1401" t="b">
        <v>0</v>
      </c>
    </row>
    <row r="1402" spans="1:14">
      <c r="A1402">
        <v>94</v>
      </c>
      <c r="B1402">
        <v>6</v>
      </c>
      <c r="C1402" t="s">
        <v>285</v>
      </c>
      <c r="D1402" t="s">
        <v>722</v>
      </c>
      <c r="E1402" t="s">
        <v>101</v>
      </c>
      <c r="F1402">
        <v>40</v>
      </c>
      <c r="G1402" t="s">
        <v>124</v>
      </c>
      <c r="H1402" t="s">
        <v>124</v>
      </c>
      <c r="I1402" t="s">
        <v>101</v>
      </c>
      <c r="J1402" t="s">
        <v>124</v>
      </c>
      <c r="K1402" t="s">
        <v>124</v>
      </c>
      <c r="L1402" t="s">
        <v>124</v>
      </c>
      <c r="M1402" t="s">
        <v>2061</v>
      </c>
      <c r="N1402" t="b">
        <v>0</v>
      </c>
    </row>
    <row r="1403" spans="1:14">
      <c r="A1403">
        <v>94</v>
      </c>
      <c r="B1403">
        <v>7</v>
      </c>
      <c r="C1403" t="s">
        <v>275</v>
      </c>
      <c r="D1403" t="s">
        <v>722</v>
      </c>
      <c r="E1403" t="s">
        <v>110</v>
      </c>
      <c r="F1403">
        <v>60</v>
      </c>
      <c r="G1403" t="s">
        <v>124</v>
      </c>
      <c r="H1403" t="s">
        <v>124</v>
      </c>
      <c r="I1403" t="s">
        <v>110</v>
      </c>
      <c r="J1403" t="s">
        <v>124</v>
      </c>
      <c r="K1403" t="s">
        <v>124</v>
      </c>
      <c r="L1403" t="s">
        <v>124</v>
      </c>
      <c r="M1403" t="s">
        <v>2062</v>
      </c>
      <c r="N1403" t="b">
        <v>0</v>
      </c>
    </row>
    <row r="1404" spans="1:14">
      <c r="A1404">
        <v>94</v>
      </c>
      <c r="B1404">
        <v>8</v>
      </c>
      <c r="C1404" t="s">
        <v>196</v>
      </c>
      <c r="D1404" t="s">
        <v>722</v>
      </c>
      <c r="E1404" t="s">
        <v>111</v>
      </c>
      <c r="F1404">
        <v>50</v>
      </c>
      <c r="G1404" t="s">
        <v>124</v>
      </c>
      <c r="H1404" t="s">
        <v>124</v>
      </c>
      <c r="I1404" t="s">
        <v>111</v>
      </c>
      <c r="J1404" t="s">
        <v>124</v>
      </c>
      <c r="K1404" t="s">
        <v>124</v>
      </c>
      <c r="L1404" t="s">
        <v>124</v>
      </c>
      <c r="M1404" t="s">
        <v>2063</v>
      </c>
      <c r="N1404" t="b">
        <v>0</v>
      </c>
    </row>
    <row r="1405" spans="1:14">
      <c r="A1405">
        <v>94</v>
      </c>
      <c r="B1405">
        <v>9</v>
      </c>
      <c r="C1405" t="s">
        <v>352</v>
      </c>
      <c r="D1405" t="s">
        <v>722</v>
      </c>
      <c r="E1405" t="s">
        <v>329</v>
      </c>
      <c r="F1405">
        <v>20</v>
      </c>
      <c r="G1405" t="s">
        <v>124</v>
      </c>
      <c r="H1405" t="s">
        <v>546</v>
      </c>
      <c r="I1405" t="s">
        <v>443</v>
      </c>
      <c r="J1405" t="s">
        <v>124</v>
      </c>
      <c r="K1405" t="s">
        <v>919</v>
      </c>
      <c r="L1405" t="s">
        <v>920</v>
      </c>
      <c r="M1405" t="s">
        <v>2064</v>
      </c>
      <c r="N1405" t="b">
        <v>0</v>
      </c>
    </row>
    <row r="1406" spans="1:14">
      <c r="A1406">
        <v>94</v>
      </c>
      <c r="B1406">
        <v>10</v>
      </c>
      <c r="C1406" t="s">
        <v>220</v>
      </c>
      <c r="D1406" t="s">
        <v>722</v>
      </c>
      <c r="E1406" t="s">
        <v>100</v>
      </c>
      <c r="F1406">
        <v>50</v>
      </c>
      <c r="G1406" t="s">
        <v>124</v>
      </c>
      <c r="H1406" t="s">
        <v>124</v>
      </c>
      <c r="I1406" t="s">
        <v>100</v>
      </c>
      <c r="J1406" t="s">
        <v>124</v>
      </c>
      <c r="K1406" t="s">
        <v>124</v>
      </c>
      <c r="L1406" t="s">
        <v>124</v>
      </c>
      <c r="M1406" t="s">
        <v>2065</v>
      </c>
      <c r="N1406" t="b">
        <v>0</v>
      </c>
    </row>
    <row r="1407" spans="1:14">
      <c r="A1407">
        <v>94</v>
      </c>
      <c r="B1407">
        <v>11</v>
      </c>
      <c r="C1407" t="s">
        <v>168</v>
      </c>
      <c r="D1407" t="s">
        <v>722</v>
      </c>
      <c r="E1407" t="s">
        <v>104</v>
      </c>
      <c r="F1407">
        <v>50</v>
      </c>
      <c r="G1407" t="s">
        <v>124</v>
      </c>
      <c r="H1407" t="s">
        <v>124</v>
      </c>
      <c r="I1407" t="s">
        <v>104</v>
      </c>
      <c r="J1407" t="s">
        <v>124</v>
      </c>
      <c r="K1407" t="s">
        <v>124</v>
      </c>
      <c r="L1407" t="s">
        <v>124</v>
      </c>
      <c r="M1407" t="s">
        <v>2066</v>
      </c>
      <c r="N1407" t="b">
        <v>0</v>
      </c>
    </row>
    <row r="1408" spans="1:14">
      <c r="A1408">
        <v>94</v>
      </c>
      <c r="B1408">
        <v>12</v>
      </c>
      <c r="C1408" t="s">
        <v>221</v>
      </c>
      <c r="D1408" t="s">
        <v>722</v>
      </c>
      <c r="E1408" t="s">
        <v>105</v>
      </c>
      <c r="F1408">
        <v>50</v>
      </c>
      <c r="G1408" t="s">
        <v>124</v>
      </c>
      <c r="H1408" t="s">
        <v>124</v>
      </c>
      <c r="I1408" t="s">
        <v>105</v>
      </c>
      <c r="J1408" t="s">
        <v>124</v>
      </c>
      <c r="K1408" t="s">
        <v>124</v>
      </c>
      <c r="L1408" t="s">
        <v>124</v>
      </c>
      <c r="M1408" t="s">
        <v>2067</v>
      </c>
      <c r="N1408" t="b">
        <v>0</v>
      </c>
    </row>
    <row r="1409" spans="1:14">
      <c r="A1409">
        <v>94</v>
      </c>
      <c r="B1409">
        <v>13</v>
      </c>
      <c r="C1409" t="s">
        <v>230</v>
      </c>
      <c r="D1409" t="s">
        <v>722</v>
      </c>
      <c r="E1409" t="s">
        <v>106</v>
      </c>
      <c r="F1409">
        <v>50</v>
      </c>
      <c r="G1409" t="s">
        <v>124</v>
      </c>
      <c r="H1409" t="s">
        <v>124</v>
      </c>
      <c r="I1409" t="s">
        <v>106</v>
      </c>
      <c r="J1409" t="s">
        <v>124</v>
      </c>
      <c r="K1409" t="s">
        <v>124</v>
      </c>
      <c r="L1409" t="s">
        <v>124</v>
      </c>
      <c r="M1409" t="s">
        <v>2068</v>
      </c>
      <c r="N1409" t="b">
        <v>0</v>
      </c>
    </row>
    <row r="1410" spans="1:14">
      <c r="A1410">
        <v>94</v>
      </c>
      <c r="B1410">
        <v>14</v>
      </c>
      <c r="C1410" t="s">
        <v>124</v>
      </c>
      <c r="D1410" t="s">
        <v>722</v>
      </c>
      <c r="E1410" t="s">
        <v>124</v>
      </c>
      <c r="F1410">
        <v>0</v>
      </c>
      <c r="G1410" t="s">
        <v>124</v>
      </c>
      <c r="H1410" t="s">
        <v>124</v>
      </c>
      <c r="I1410" t="s">
        <v>124</v>
      </c>
      <c r="J1410" t="s">
        <v>124</v>
      </c>
      <c r="K1410" t="s">
        <v>124</v>
      </c>
      <c r="L1410" t="s">
        <v>124</v>
      </c>
      <c r="M1410" t="s">
        <v>2069</v>
      </c>
      <c r="N1410" t="b">
        <v>0</v>
      </c>
    </row>
    <row r="1411" spans="1:14">
      <c r="A1411">
        <v>94</v>
      </c>
      <c r="B1411">
        <v>15</v>
      </c>
      <c r="C1411" t="s">
        <v>124</v>
      </c>
      <c r="D1411" t="s">
        <v>722</v>
      </c>
      <c r="E1411" t="s">
        <v>124</v>
      </c>
      <c r="F1411">
        <v>0</v>
      </c>
      <c r="G1411" t="s">
        <v>124</v>
      </c>
      <c r="H1411" t="s">
        <v>124</v>
      </c>
      <c r="I1411" t="s">
        <v>124</v>
      </c>
      <c r="J1411" t="s">
        <v>124</v>
      </c>
      <c r="K1411" t="s">
        <v>124</v>
      </c>
      <c r="L1411" t="s">
        <v>124</v>
      </c>
      <c r="M1411" t="s">
        <v>2070</v>
      </c>
      <c r="N1411" t="b">
        <v>0</v>
      </c>
    </row>
    <row r="1412" spans="1:14">
      <c r="A1412">
        <v>94</v>
      </c>
      <c r="B1412">
        <v>16</v>
      </c>
      <c r="C1412" t="s">
        <v>124</v>
      </c>
      <c r="D1412" t="s">
        <v>739</v>
      </c>
      <c r="E1412" t="s">
        <v>124</v>
      </c>
      <c r="F1412">
        <v>0</v>
      </c>
      <c r="G1412" t="s">
        <v>124</v>
      </c>
      <c r="H1412" t="s">
        <v>124</v>
      </c>
      <c r="I1412" t="s">
        <v>124</v>
      </c>
      <c r="J1412" t="s">
        <v>124</v>
      </c>
      <c r="K1412" t="s">
        <v>124</v>
      </c>
      <c r="L1412" t="s">
        <v>124</v>
      </c>
      <c r="M1412" t="s">
        <v>2071</v>
      </c>
      <c r="N1412" t="b">
        <v>0</v>
      </c>
    </row>
    <row r="1413" spans="1:14">
      <c r="A1413">
        <v>94</v>
      </c>
      <c r="B1413">
        <v>17</v>
      </c>
      <c r="C1413" t="s">
        <v>124</v>
      </c>
      <c r="D1413" t="s">
        <v>739</v>
      </c>
      <c r="E1413" t="s">
        <v>124</v>
      </c>
      <c r="F1413">
        <v>0</v>
      </c>
      <c r="G1413" t="s">
        <v>124</v>
      </c>
      <c r="H1413" t="s">
        <v>124</v>
      </c>
      <c r="I1413" t="s">
        <v>124</v>
      </c>
      <c r="J1413" t="s">
        <v>124</v>
      </c>
      <c r="K1413" t="s">
        <v>124</v>
      </c>
      <c r="L1413" t="s">
        <v>124</v>
      </c>
      <c r="M1413" t="s">
        <v>2072</v>
      </c>
      <c r="N1413" t="b">
        <v>0</v>
      </c>
    </row>
    <row r="1414" spans="1:14">
      <c r="A1414">
        <v>94</v>
      </c>
      <c r="B1414">
        <v>18</v>
      </c>
      <c r="C1414" t="s">
        <v>124</v>
      </c>
      <c r="D1414" t="s">
        <v>739</v>
      </c>
      <c r="E1414" t="s">
        <v>124</v>
      </c>
      <c r="F1414">
        <v>0</v>
      </c>
      <c r="G1414" t="s">
        <v>124</v>
      </c>
      <c r="H1414" t="s">
        <v>124</v>
      </c>
      <c r="I1414" t="s">
        <v>124</v>
      </c>
      <c r="J1414" t="s">
        <v>124</v>
      </c>
      <c r="K1414" t="s">
        <v>124</v>
      </c>
      <c r="L1414" t="s">
        <v>124</v>
      </c>
      <c r="M1414" t="s">
        <v>2073</v>
      </c>
      <c r="N1414" t="b">
        <v>0</v>
      </c>
    </row>
    <row r="1415" spans="1:14">
      <c r="A1415">
        <v>94</v>
      </c>
      <c r="B1415">
        <v>19</v>
      </c>
      <c r="C1415" t="s">
        <v>124</v>
      </c>
      <c r="D1415" t="s">
        <v>739</v>
      </c>
      <c r="E1415" t="s">
        <v>124</v>
      </c>
      <c r="F1415">
        <v>0</v>
      </c>
      <c r="G1415" t="s">
        <v>124</v>
      </c>
      <c r="H1415" t="s">
        <v>124</v>
      </c>
      <c r="I1415" t="s">
        <v>124</v>
      </c>
      <c r="J1415" t="s">
        <v>124</v>
      </c>
      <c r="K1415" t="s">
        <v>124</v>
      </c>
      <c r="L1415" t="s">
        <v>124</v>
      </c>
      <c r="M1415" t="s">
        <v>2074</v>
      </c>
      <c r="N1415" t="b">
        <v>0</v>
      </c>
    </row>
    <row r="1416" spans="1:14">
      <c r="A1416">
        <v>94</v>
      </c>
      <c r="B1416">
        <v>20</v>
      </c>
      <c r="C1416" t="s">
        <v>124</v>
      </c>
      <c r="D1416" t="s">
        <v>739</v>
      </c>
      <c r="E1416" t="s">
        <v>124</v>
      </c>
      <c r="F1416">
        <v>0</v>
      </c>
      <c r="G1416" t="s">
        <v>124</v>
      </c>
      <c r="H1416" t="s">
        <v>124</v>
      </c>
      <c r="I1416" t="s">
        <v>124</v>
      </c>
      <c r="J1416" t="s">
        <v>124</v>
      </c>
      <c r="K1416" t="s">
        <v>124</v>
      </c>
      <c r="L1416" t="s">
        <v>124</v>
      </c>
      <c r="M1416" t="s">
        <v>2075</v>
      </c>
      <c r="N1416" t="b">
        <v>0</v>
      </c>
    </row>
    <row r="1417" spans="1:14">
      <c r="A1417">
        <v>94</v>
      </c>
      <c r="B1417">
        <v>21</v>
      </c>
      <c r="C1417" t="s">
        <v>124</v>
      </c>
      <c r="D1417" t="s">
        <v>739</v>
      </c>
      <c r="E1417" t="s">
        <v>124</v>
      </c>
      <c r="F1417">
        <v>0</v>
      </c>
      <c r="G1417" t="s">
        <v>124</v>
      </c>
      <c r="H1417" t="s">
        <v>124</v>
      </c>
      <c r="I1417" t="s">
        <v>124</v>
      </c>
      <c r="J1417" t="s">
        <v>124</v>
      </c>
      <c r="K1417" t="s">
        <v>124</v>
      </c>
      <c r="L1417" t="s">
        <v>124</v>
      </c>
      <c r="M1417" t="s">
        <v>2076</v>
      </c>
      <c r="N1417" t="b">
        <v>0</v>
      </c>
    </row>
    <row r="1418" spans="1:14">
      <c r="A1418">
        <v>94</v>
      </c>
      <c r="B1418">
        <v>22</v>
      </c>
      <c r="C1418" t="s">
        <v>124</v>
      </c>
      <c r="D1418" t="s">
        <v>739</v>
      </c>
      <c r="E1418" t="s">
        <v>124</v>
      </c>
      <c r="F1418">
        <v>0</v>
      </c>
      <c r="G1418" t="s">
        <v>124</v>
      </c>
      <c r="H1418" t="s">
        <v>124</v>
      </c>
      <c r="I1418" t="s">
        <v>124</v>
      </c>
      <c r="J1418" t="s">
        <v>124</v>
      </c>
      <c r="K1418" t="s">
        <v>124</v>
      </c>
      <c r="L1418" t="s">
        <v>124</v>
      </c>
      <c r="M1418" t="s">
        <v>2077</v>
      </c>
      <c r="N1418" t="b">
        <v>0</v>
      </c>
    </row>
    <row r="1419" spans="1:14">
      <c r="A1419">
        <v>94</v>
      </c>
      <c r="B1419">
        <v>23</v>
      </c>
      <c r="C1419" t="s">
        <v>124</v>
      </c>
      <c r="D1419" t="s">
        <v>739</v>
      </c>
      <c r="E1419" t="s">
        <v>124</v>
      </c>
      <c r="F1419">
        <v>0</v>
      </c>
      <c r="G1419" t="s">
        <v>124</v>
      </c>
      <c r="H1419" t="s">
        <v>124</v>
      </c>
      <c r="I1419" t="s">
        <v>124</v>
      </c>
      <c r="J1419" t="s">
        <v>124</v>
      </c>
      <c r="K1419" t="s">
        <v>124</v>
      </c>
      <c r="L1419" t="s">
        <v>124</v>
      </c>
      <c r="M1419" t="s">
        <v>2078</v>
      </c>
      <c r="N1419" t="b">
        <v>0</v>
      </c>
    </row>
    <row r="1420" spans="1:14">
      <c r="A1420">
        <v>94</v>
      </c>
      <c r="B1420">
        <v>24</v>
      </c>
      <c r="C1420" t="s">
        <v>124</v>
      </c>
      <c r="D1420" t="s">
        <v>739</v>
      </c>
      <c r="E1420" t="s">
        <v>124</v>
      </c>
      <c r="F1420">
        <v>0</v>
      </c>
      <c r="G1420" t="s">
        <v>124</v>
      </c>
      <c r="H1420" t="s">
        <v>124</v>
      </c>
      <c r="I1420" t="s">
        <v>124</v>
      </c>
      <c r="J1420" t="s">
        <v>124</v>
      </c>
      <c r="K1420" t="s">
        <v>124</v>
      </c>
      <c r="L1420" t="s">
        <v>124</v>
      </c>
      <c r="M1420" t="s">
        <v>2079</v>
      </c>
      <c r="N1420" t="b">
        <v>0</v>
      </c>
    </row>
    <row r="1421" spans="1:14">
      <c r="A1421">
        <v>94</v>
      </c>
      <c r="B1421">
        <v>25</v>
      </c>
      <c r="C1421" t="s">
        <v>124</v>
      </c>
      <c r="D1421" t="s">
        <v>739</v>
      </c>
      <c r="E1421" t="s">
        <v>124</v>
      </c>
      <c r="F1421">
        <v>0</v>
      </c>
      <c r="G1421" t="s">
        <v>124</v>
      </c>
      <c r="H1421" t="s">
        <v>124</v>
      </c>
      <c r="I1421" t="s">
        <v>124</v>
      </c>
      <c r="J1421" t="s">
        <v>124</v>
      </c>
      <c r="K1421" t="s">
        <v>124</v>
      </c>
      <c r="L1421" t="s">
        <v>124</v>
      </c>
      <c r="M1421" t="s">
        <v>2080</v>
      </c>
      <c r="N1421" t="b">
        <v>0</v>
      </c>
    </row>
    <row r="1422" spans="1:14">
      <c r="A1422">
        <v>94</v>
      </c>
      <c r="B1422">
        <v>26</v>
      </c>
      <c r="C1422" t="s">
        <v>124</v>
      </c>
      <c r="D1422" t="s">
        <v>739</v>
      </c>
      <c r="E1422" t="s">
        <v>124</v>
      </c>
      <c r="F1422">
        <v>0</v>
      </c>
      <c r="G1422" t="s">
        <v>124</v>
      </c>
      <c r="H1422" t="s">
        <v>124</v>
      </c>
      <c r="I1422" t="s">
        <v>124</v>
      </c>
      <c r="J1422" t="s">
        <v>124</v>
      </c>
      <c r="K1422" t="s">
        <v>124</v>
      </c>
      <c r="L1422" t="s">
        <v>124</v>
      </c>
      <c r="M1422" t="s">
        <v>2081</v>
      </c>
      <c r="N1422" t="b">
        <v>0</v>
      </c>
    </row>
    <row r="1423" spans="1:14">
      <c r="A1423">
        <v>96</v>
      </c>
      <c r="B1423">
        <v>0</v>
      </c>
      <c r="C1423" t="s">
        <v>214</v>
      </c>
      <c r="D1423" t="s">
        <v>722</v>
      </c>
      <c r="E1423" t="s">
        <v>63</v>
      </c>
      <c r="F1423">
        <v>60</v>
      </c>
      <c r="G1423" t="s">
        <v>124</v>
      </c>
      <c r="H1423" t="s">
        <v>124</v>
      </c>
      <c r="I1423" t="s">
        <v>63</v>
      </c>
      <c r="J1423" t="s">
        <v>124</v>
      </c>
      <c r="K1423" t="s">
        <v>124</v>
      </c>
      <c r="L1423" t="s">
        <v>124</v>
      </c>
      <c r="M1423" t="s">
        <v>2082</v>
      </c>
      <c r="N1423" t="b">
        <v>0</v>
      </c>
    </row>
    <row r="1424" spans="1:14">
      <c r="A1424">
        <v>96</v>
      </c>
      <c r="B1424">
        <v>1</v>
      </c>
      <c r="C1424" t="s">
        <v>224</v>
      </c>
      <c r="D1424" t="s">
        <v>722</v>
      </c>
      <c r="E1424" t="s">
        <v>75</v>
      </c>
      <c r="F1424">
        <v>50</v>
      </c>
      <c r="G1424" t="s">
        <v>124</v>
      </c>
      <c r="H1424" t="s">
        <v>124</v>
      </c>
      <c r="I1424" t="s">
        <v>75</v>
      </c>
      <c r="J1424" t="s">
        <v>124</v>
      </c>
      <c r="K1424" t="s">
        <v>124</v>
      </c>
      <c r="L1424" t="s">
        <v>124</v>
      </c>
      <c r="M1424" t="s">
        <v>2083</v>
      </c>
      <c r="N1424" t="b">
        <v>0</v>
      </c>
    </row>
    <row r="1425" spans="1:14">
      <c r="A1425">
        <v>96</v>
      </c>
      <c r="B1425">
        <v>2</v>
      </c>
      <c r="C1425" t="s">
        <v>278</v>
      </c>
      <c r="D1425" t="s">
        <v>722</v>
      </c>
      <c r="E1425" t="s">
        <v>91</v>
      </c>
      <c r="F1425">
        <v>30</v>
      </c>
      <c r="G1425" t="s">
        <v>124</v>
      </c>
      <c r="H1425" t="s">
        <v>124</v>
      </c>
      <c r="I1425" t="s">
        <v>91</v>
      </c>
      <c r="J1425" t="s">
        <v>124</v>
      </c>
      <c r="K1425" t="s">
        <v>124</v>
      </c>
      <c r="L1425" t="s">
        <v>124</v>
      </c>
      <c r="M1425" t="s">
        <v>2084</v>
      </c>
      <c r="N1425" t="b">
        <v>0</v>
      </c>
    </row>
    <row r="1426" spans="1:14">
      <c r="A1426">
        <v>96</v>
      </c>
      <c r="B1426">
        <v>3</v>
      </c>
      <c r="C1426" t="s">
        <v>216</v>
      </c>
      <c r="D1426" t="s">
        <v>722</v>
      </c>
      <c r="E1426" t="s">
        <v>93</v>
      </c>
      <c r="F1426">
        <v>40</v>
      </c>
      <c r="G1426" t="s">
        <v>124</v>
      </c>
      <c r="H1426" t="s">
        <v>124</v>
      </c>
      <c r="I1426" t="s">
        <v>93</v>
      </c>
      <c r="J1426" t="s">
        <v>124</v>
      </c>
      <c r="K1426" t="s">
        <v>124</v>
      </c>
      <c r="L1426" t="s">
        <v>124</v>
      </c>
      <c r="M1426" t="s">
        <v>2085</v>
      </c>
      <c r="N1426" t="b">
        <v>0</v>
      </c>
    </row>
    <row r="1427" spans="1:14">
      <c r="A1427">
        <v>96</v>
      </c>
      <c r="B1427">
        <v>4</v>
      </c>
      <c r="C1427" t="s">
        <v>186</v>
      </c>
      <c r="D1427" t="s">
        <v>722</v>
      </c>
      <c r="E1427" t="s">
        <v>97</v>
      </c>
      <c r="F1427">
        <v>50</v>
      </c>
      <c r="G1427" t="s">
        <v>124</v>
      </c>
      <c r="H1427" t="s">
        <v>124</v>
      </c>
      <c r="I1427" t="s">
        <v>97</v>
      </c>
      <c r="J1427" t="s">
        <v>124</v>
      </c>
      <c r="K1427" t="s">
        <v>124</v>
      </c>
      <c r="L1427" t="s">
        <v>124</v>
      </c>
      <c r="M1427" t="s">
        <v>2086</v>
      </c>
      <c r="N1427" t="b">
        <v>0</v>
      </c>
    </row>
    <row r="1428" spans="1:14">
      <c r="A1428">
        <v>96</v>
      </c>
      <c r="B1428">
        <v>5</v>
      </c>
      <c r="C1428" t="s">
        <v>217</v>
      </c>
      <c r="D1428" t="s">
        <v>722</v>
      </c>
      <c r="E1428" t="s">
        <v>99</v>
      </c>
      <c r="F1428">
        <v>60</v>
      </c>
      <c r="G1428" t="s">
        <v>124</v>
      </c>
      <c r="H1428" t="s">
        <v>124</v>
      </c>
      <c r="I1428" t="s">
        <v>99</v>
      </c>
      <c r="J1428" t="s">
        <v>124</v>
      </c>
      <c r="K1428" t="s">
        <v>124</v>
      </c>
      <c r="L1428" t="s">
        <v>124</v>
      </c>
      <c r="M1428" t="s">
        <v>2087</v>
      </c>
      <c r="N1428" t="b">
        <v>0</v>
      </c>
    </row>
    <row r="1429" spans="1:14">
      <c r="A1429">
        <v>96</v>
      </c>
      <c r="B1429">
        <v>6</v>
      </c>
      <c r="C1429" t="s">
        <v>196</v>
      </c>
      <c r="D1429" t="s">
        <v>722</v>
      </c>
      <c r="E1429" t="s">
        <v>111</v>
      </c>
      <c r="F1429">
        <v>50</v>
      </c>
      <c r="G1429" t="s">
        <v>124</v>
      </c>
      <c r="H1429" t="s">
        <v>124</v>
      </c>
      <c r="I1429" t="s">
        <v>111</v>
      </c>
      <c r="J1429" t="s">
        <v>124</v>
      </c>
      <c r="K1429" t="s">
        <v>124</v>
      </c>
      <c r="L1429" t="s">
        <v>124</v>
      </c>
      <c r="M1429" t="s">
        <v>2088</v>
      </c>
      <c r="N1429" t="b">
        <v>0</v>
      </c>
    </row>
    <row r="1430" spans="1:14">
      <c r="A1430">
        <v>96</v>
      </c>
      <c r="B1430">
        <v>7</v>
      </c>
      <c r="C1430" t="s">
        <v>189</v>
      </c>
      <c r="D1430" t="s">
        <v>722</v>
      </c>
      <c r="E1430" t="s">
        <v>113</v>
      </c>
      <c r="F1430">
        <v>60</v>
      </c>
      <c r="G1430" t="s">
        <v>124</v>
      </c>
      <c r="H1430" t="s">
        <v>124</v>
      </c>
      <c r="I1430" t="s">
        <v>113</v>
      </c>
      <c r="J1430" t="s">
        <v>124</v>
      </c>
      <c r="K1430" t="s">
        <v>124</v>
      </c>
      <c r="L1430" t="s">
        <v>124</v>
      </c>
      <c r="M1430" t="s">
        <v>2089</v>
      </c>
      <c r="N1430" t="b">
        <v>0</v>
      </c>
    </row>
    <row r="1431" spans="1:14">
      <c r="A1431">
        <v>96</v>
      </c>
      <c r="B1431">
        <v>8</v>
      </c>
      <c r="C1431" t="s">
        <v>228</v>
      </c>
      <c r="D1431" t="s">
        <v>722</v>
      </c>
      <c r="E1431" t="s">
        <v>59</v>
      </c>
      <c r="F1431">
        <v>20</v>
      </c>
      <c r="G1431" t="s">
        <v>124</v>
      </c>
      <c r="H1431" t="s">
        <v>124</v>
      </c>
      <c r="I1431" t="s">
        <v>59</v>
      </c>
      <c r="J1431" t="s">
        <v>124</v>
      </c>
      <c r="K1431" t="s">
        <v>124</v>
      </c>
      <c r="L1431" t="s">
        <v>124</v>
      </c>
      <c r="M1431" t="s">
        <v>2090</v>
      </c>
      <c r="N1431" t="b">
        <v>0</v>
      </c>
    </row>
    <row r="1432" spans="1:14">
      <c r="A1432">
        <v>96</v>
      </c>
      <c r="B1432">
        <v>9</v>
      </c>
      <c r="C1432" t="s">
        <v>218</v>
      </c>
      <c r="D1432" t="s">
        <v>722</v>
      </c>
      <c r="E1432" t="s">
        <v>66</v>
      </c>
      <c r="F1432">
        <v>50</v>
      </c>
      <c r="G1432" t="s">
        <v>124</v>
      </c>
      <c r="H1432" t="s">
        <v>124</v>
      </c>
      <c r="I1432" t="s">
        <v>66</v>
      </c>
      <c r="J1432" t="s">
        <v>124</v>
      </c>
      <c r="K1432" t="s">
        <v>124</v>
      </c>
      <c r="L1432" t="s">
        <v>124</v>
      </c>
      <c r="M1432" t="s">
        <v>2091</v>
      </c>
      <c r="N1432" t="b">
        <v>0</v>
      </c>
    </row>
    <row r="1433" spans="1:14">
      <c r="A1433">
        <v>96</v>
      </c>
      <c r="B1433">
        <v>10</v>
      </c>
      <c r="C1433" t="s">
        <v>165</v>
      </c>
      <c r="D1433" t="s">
        <v>722</v>
      </c>
      <c r="E1433" t="s">
        <v>72</v>
      </c>
      <c r="F1433">
        <v>50</v>
      </c>
      <c r="G1433" t="s">
        <v>124</v>
      </c>
      <c r="H1433" t="s">
        <v>124</v>
      </c>
      <c r="I1433" t="s">
        <v>72</v>
      </c>
      <c r="J1433" t="s">
        <v>124</v>
      </c>
      <c r="K1433" t="s">
        <v>124</v>
      </c>
      <c r="L1433" t="s">
        <v>124</v>
      </c>
      <c r="M1433" t="s">
        <v>2092</v>
      </c>
      <c r="N1433" t="b">
        <v>0</v>
      </c>
    </row>
    <row r="1434" spans="1:14">
      <c r="A1434">
        <v>96</v>
      </c>
      <c r="B1434">
        <v>11</v>
      </c>
      <c r="C1434" t="s">
        <v>220</v>
      </c>
      <c r="D1434" t="s">
        <v>722</v>
      </c>
      <c r="E1434" t="s">
        <v>100</v>
      </c>
      <c r="F1434">
        <v>50</v>
      </c>
      <c r="G1434" t="s">
        <v>124</v>
      </c>
      <c r="H1434" t="s">
        <v>124</v>
      </c>
      <c r="I1434" t="s">
        <v>100</v>
      </c>
      <c r="J1434" t="s">
        <v>124</v>
      </c>
      <c r="K1434" t="s">
        <v>124</v>
      </c>
      <c r="L1434" t="s">
        <v>124</v>
      </c>
      <c r="M1434" t="s">
        <v>2093</v>
      </c>
      <c r="N1434" t="b">
        <v>0</v>
      </c>
    </row>
    <row r="1435" spans="1:14">
      <c r="A1435">
        <v>96</v>
      </c>
      <c r="B1435">
        <v>12</v>
      </c>
      <c r="C1435" t="s">
        <v>168</v>
      </c>
      <c r="D1435" t="s">
        <v>722</v>
      </c>
      <c r="E1435" t="s">
        <v>104</v>
      </c>
      <c r="F1435">
        <v>50</v>
      </c>
      <c r="G1435" t="s">
        <v>124</v>
      </c>
      <c r="H1435" t="s">
        <v>124</v>
      </c>
      <c r="I1435" t="s">
        <v>104</v>
      </c>
      <c r="J1435" t="s">
        <v>124</v>
      </c>
      <c r="K1435" t="s">
        <v>124</v>
      </c>
      <c r="L1435" t="s">
        <v>124</v>
      </c>
      <c r="M1435" t="s">
        <v>2094</v>
      </c>
      <c r="N1435" t="b">
        <v>0</v>
      </c>
    </row>
    <row r="1436" spans="1:14">
      <c r="A1436">
        <v>96</v>
      </c>
      <c r="B1436">
        <v>13</v>
      </c>
      <c r="C1436" t="s">
        <v>221</v>
      </c>
      <c r="D1436" t="s">
        <v>722</v>
      </c>
      <c r="E1436" t="s">
        <v>105</v>
      </c>
      <c r="F1436">
        <v>50</v>
      </c>
      <c r="G1436" t="s">
        <v>124</v>
      </c>
      <c r="H1436" t="s">
        <v>124</v>
      </c>
      <c r="I1436" t="s">
        <v>105</v>
      </c>
      <c r="J1436" t="s">
        <v>124</v>
      </c>
      <c r="K1436" t="s">
        <v>124</v>
      </c>
      <c r="L1436" t="s">
        <v>124</v>
      </c>
      <c r="M1436" t="s">
        <v>2095</v>
      </c>
      <c r="N1436" t="b">
        <v>0</v>
      </c>
    </row>
    <row r="1437" spans="1:14">
      <c r="A1437">
        <v>96</v>
      </c>
      <c r="B1437">
        <v>14</v>
      </c>
      <c r="C1437" t="s">
        <v>193</v>
      </c>
      <c r="D1437" t="s">
        <v>722</v>
      </c>
      <c r="E1437" t="s">
        <v>106</v>
      </c>
      <c r="F1437">
        <v>60</v>
      </c>
      <c r="G1437" t="s">
        <v>124</v>
      </c>
      <c r="H1437" t="s">
        <v>124</v>
      </c>
      <c r="I1437" t="s">
        <v>106</v>
      </c>
      <c r="J1437" t="s">
        <v>124</v>
      </c>
      <c r="K1437" t="s">
        <v>124</v>
      </c>
      <c r="L1437" t="s">
        <v>124</v>
      </c>
      <c r="M1437" t="s">
        <v>2096</v>
      </c>
      <c r="N1437" t="b">
        <v>0</v>
      </c>
    </row>
    <row r="1438" spans="1:14">
      <c r="A1438">
        <v>96</v>
      </c>
      <c r="B1438">
        <v>15</v>
      </c>
      <c r="C1438" t="s">
        <v>124</v>
      </c>
      <c r="D1438" t="s">
        <v>722</v>
      </c>
      <c r="E1438" t="s">
        <v>124</v>
      </c>
      <c r="F1438">
        <v>0</v>
      </c>
      <c r="G1438" t="s">
        <v>124</v>
      </c>
      <c r="H1438" t="s">
        <v>124</v>
      </c>
      <c r="I1438" t="s">
        <v>124</v>
      </c>
      <c r="J1438" t="s">
        <v>124</v>
      </c>
      <c r="K1438" t="s">
        <v>124</v>
      </c>
      <c r="L1438" t="s">
        <v>124</v>
      </c>
      <c r="M1438" t="s">
        <v>2097</v>
      </c>
      <c r="N1438" t="b">
        <v>0</v>
      </c>
    </row>
    <row r="1439" spans="1:14">
      <c r="A1439">
        <v>96</v>
      </c>
      <c r="B1439">
        <v>16</v>
      </c>
      <c r="C1439" t="s">
        <v>124</v>
      </c>
      <c r="D1439" t="s">
        <v>739</v>
      </c>
      <c r="E1439" t="s">
        <v>124</v>
      </c>
      <c r="F1439">
        <v>0</v>
      </c>
      <c r="G1439" t="s">
        <v>124</v>
      </c>
      <c r="H1439" t="s">
        <v>124</v>
      </c>
      <c r="I1439" t="s">
        <v>124</v>
      </c>
      <c r="J1439" t="s">
        <v>124</v>
      </c>
      <c r="K1439" t="s">
        <v>124</v>
      </c>
      <c r="L1439" t="s">
        <v>124</v>
      </c>
      <c r="M1439" t="s">
        <v>2098</v>
      </c>
      <c r="N1439" t="b">
        <v>0</v>
      </c>
    </row>
    <row r="1440" spans="1:14">
      <c r="A1440">
        <v>96</v>
      </c>
      <c r="B1440">
        <v>17</v>
      </c>
      <c r="C1440" t="s">
        <v>124</v>
      </c>
      <c r="D1440" t="s">
        <v>739</v>
      </c>
      <c r="E1440" t="s">
        <v>124</v>
      </c>
      <c r="F1440">
        <v>0</v>
      </c>
      <c r="G1440" t="s">
        <v>124</v>
      </c>
      <c r="H1440" t="s">
        <v>124</v>
      </c>
      <c r="I1440" t="s">
        <v>124</v>
      </c>
      <c r="J1440" t="s">
        <v>124</v>
      </c>
      <c r="K1440" t="s">
        <v>124</v>
      </c>
      <c r="L1440" t="s">
        <v>124</v>
      </c>
      <c r="M1440" t="s">
        <v>2099</v>
      </c>
      <c r="N1440" t="b">
        <v>0</v>
      </c>
    </row>
    <row r="1441" spans="1:14">
      <c r="A1441">
        <v>96</v>
      </c>
      <c r="B1441">
        <v>18</v>
      </c>
      <c r="C1441" t="s">
        <v>124</v>
      </c>
      <c r="D1441" t="s">
        <v>739</v>
      </c>
      <c r="E1441" t="s">
        <v>124</v>
      </c>
      <c r="F1441">
        <v>0</v>
      </c>
      <c r="G1441" t="s">
        <v>124</v>
      </c>
      <c r="H1441" t="s">
        <v>124</v>
      </c>
      <c r="I1441" t="s">
        <v>124</v>
      </c>
      <c r="J1441" t="s">
        <v>124</v>
      </c>
      <c r="K1441" t="s">
        <v>124</v>
      </c>
      <c r="L1441" t="s">
        <v>124</v>
      </c>
      <c r="M1441" t="s">
        <v>2100</v>
      </c>
      <c r="N1441" t="b">
        <v>0</v>
      </c>
    </row>
    <row r="1442" spans="1:14">
      <c r="A1442">
        <v>96</v>
      </c>
      <c r="B1442">
        <v>19</v>
      </c>
      <c r="C1442" t="s">
        <v>124</v>
      </c>
      <c r="D1442" t="s">
        <v>739</v>
      </c>
      <c r="E1442" t="s">
        <v>124</v>
      </c>
      <c r="F1442">
        <v>0</v>
      </c>
      <c r="G1442" t="s">
        <v>124</v>
      </c>
      <c r="H1442" t="s">
        <v>124</v>
      </c>
      <c r="I1442" t="s">
        <v>124</v>
      </c>
      <c r="J1442" t="s">
        <v>124</v>
      </c>
      <c r="K1442" t="s">
        <v>124</v>
      </c>
      <c r="L1442" t="s">
        <v>124</v>
      </c>
      <c r="M1442" t="s">
        <v>2101</v>
      </c>
      <c r="N1442" t="b">
        <v>0</v>
      </c>
    </row>
    <row r="1443" spans="1:14">
      <c r="A1443">
        <v>96</v>
      </c>
      <c r="B1443">
        <v>20</v>
      </c>
      <c r="C1443" t="s">
        <v>124</v>
      </c>
      <c r="D1443" t="s">
        <v>739</v>
      </c>
      <c r="E1443" t="s">
        <v>124</v>
      </c>
      <c r="F1443">
        <v>0</v>
      </c>
      <c r="G1443" t="s">
        <v>124</v>
      </c>
      <c r="H1443" t="s">
        <v>124</v>
      </c>
      <c r="I1443" t="s">
        <v>124</v>
      </c>
      <c r="J1443" t="s">
        <v>124</v>
      </c>
      <c r="K1443" t="s">
        <v>124</v>
      </c>
      <c r="L1443" t="s">
        <v>124</v>
      </c>
      <c r="M1443" t="s">
        <v>2102</v>
      </c>
      <c r="N1443" t="b">
        <v>0</v>
      </c>
    </row>
    <row r="1444" spans="1:14">
      <c r="A1444">
        <v>96</v>
      </c>
      <c r="B1444">
        <v>21</v>
      </c>
      <c r="C1444" t="s">
        <v>124</v>
      </c>
      <c r="D1444" t="s">
        <v>739</v>
      </c>
      <c r="E1444" t="s">
        <v>124</v>
      </c>
      <c r="F1444">
        <v>0</v>
      </c>
      <c r="G1444" t="s">
        <v>124</v>
      </c>
      <c r="H1444" t="s">
        <v>124</v>
      </c>
      <c r="I1444" t="s">
        <v>124</v>
      </c>
      <c r="J1444" t="s">
        <v>124</v>
      </c>
      <c r="K1444" t="s">
        <v>124</v>
      </c>
      <c r="L1444" t="s">
        <v>124</v>
      </c>
      <c r="M1444" t="s">
        <v>2103</v>
      </c>
      <c r="N1444" t="b">
        <v>0</v>
      </c>
    </row>
    <row r="1445" spans="1:14">
      <c r="A1445">
        <v>96</v>
      </c>
      <c r="B1445">
        <v>22</v>
      </c>
      <c r="C1445" t="s">
        <v>124</v>
      </c>
      <c r="D1445" t="s">
        <v>739</v>
      </c>
      <c r="E1445" t="s">
        <v>124</v>
      </c>
      <c r="F1445">
        <v>0</v>
      </c>
      <c r="G1445" t="s">
        <v>124</v>
      </c>
      <c r="H1445" t="s">
        <v>124</v>
      </c>
      <c r="I1445" t="s">
        <v>124</v>
      </c>
      <c r="J1445" t="s">
        <v>124</v>
      </c>
      <c r="K1445" t="s">
        <v>124</v>
      </c>
      <c r="L1445" t="s">
        <v>124</v>
      </c>
      <c r="M1445" t="s">
        <v>2104</v>
      </c>
      <c r="N1445" t="b">
        <v>0</v>
      </c>
    </row>
    <row r="1446" spans="1:14">
      <c r="A1446">
        <v>96</v>
      </c>
      <c r="B1446">
        <v>23</v>
      </c>
      <c r="C1446" t="s">
        <v>124</v>
      </c>
      <c r="D1446" t="s">
        <v>739</v>
      </c>
      <c r="E1446" t="s">
        <v>124</v>
      </c>
      <c r="F1446">
        <v>0</v>
      </c>
      <c r="G1446" t="s">
        <v>124</v>
      </c>
      <c r="H1446" t="s">
        <v>124</v>
      </c>
      <c r="I1446" t="s">
        <v>124</v>
      </c>
      <c r="J1446" t="s">
        <v>124</v>
      </c>
      <c r="K1446" t="s">
        <v>124</v>
      </c>
      <c r="L1446" t="s">
        <v>124</v>
      </c>
      <c r="M1446" t="s">
        <v>2105</v>
      </c>
      <c r="N1446" t="b">
        <v>0</v>
      </c>
    </row>
    <row r="1447" spans="1:14">
      <c r="A1447">
        <v>96</v>
      </c>
      <c r="B1447">
        <v>24</v>
      </c>
      <c r="C1447" t="s">
        <v>124</v>
      </c>
      <c r="D1447" t="s">
        <v>739</v>
      </c>
      <c r="E1447" t="s">
        <v>124</v>
      </c>
      <c r="F1447">
        <v>0</v>
      </c>
      <c r="G1447" t="s">
        <v>124</v>
      </c>
      <c r="H1447" t="s">
        <v>124</v>
      </c>
      <c r="I1447" t="s">
        <v>124</v>
      </c>
      <c r="J1447" t="s">
        <v>124</v>
      </c>
      <c r="K1447" t="s">
        <v>124</v>
      </c>
      <c r="L1447" t="s">
        <v>124</v>
      </c>
      <c r="M1447" t="s">
        <v>2106</v>
      </c>
      <c r="N1447" t="b">
        <v>0</v>
      </c>
    </row>
    <row r="1448" spans="1:14">
      <c r="A1448">
        <v>96</v>
      </c>
      <c r="B1448">
        <v>25</v>
      </c>
      <c r="C1448" t="s">
        <v>124</v>
      </c>
      <c r="D1448" t="s">
        <v>739</v>
      </c>
      <c r="E1448" t="s">
        <v>124</v>
      </c>
      <c r="F1448">
        <v>0</v>
      </c>
      <c r="G1448" t="s">
        <v>124</v>
      </c>
      <c r="H1448" t="s">
        <v>124</v>
      </c>
      <c r="I1448" t="s">
        <v>124</v>
      </c>
      <c r="J1448" t="s">
        <v>124</v>
      </c>
      <c r="K1448" t="s">
        <v>124</v>
      </c>
      <c r="L1448" t="s">
        <v>124</v>
      </c>
      <c r="M1448" t="s">
        <v>2107</v>
      </c>
      <c r="N1448" t="b">
        <v>0</v>
      </c>
    </row>
    <row r="1449" spans="1:14">
      <c r="A1449">
        <v>96</v>
      </c>
      <c r="B1449">
        <v>26</v>
      </c>
      <c r="C1449" t="s">
        <v>124</v>
      </c>
      <c r="D1449" t="s">
        <v>739</v>
      </c>
      <c r="E1449" t="s">
        <v>124</v>
      </c>
      <c r="F1449">
        <v>0</v>
      </c>
      <c r="G1449" t="s">
        <v>124</v>
      </c>
      <c r="H1449" t="s">
        <v>124</v>
      </c>
      <c r="I1449" t="s">
        <v>124</v>
      </c>
      <c r="J1449" t="s">
        <v>124</v>
      </c>
      <c r="K1449" t="s">
        <v>124</v>
      </c>
      <c r="L1449" t="s">
        <v>124</v>
      </c>
      <c r="M1449" t="s">
        <v>2108</v>
      </c>
      <c r="N1449" t="b">
        <v>0</v>
      </c>
    </row>
    <row r="1450" spans="1:14">
      <c r="A1450">
        <v>97</v>
      </c>
      <c r="B1450">
        <v>0</v>
      </c>
      <c r="C1450" t="s">
        <v>214</v>
      </c>
      <c r="D1450" t="s">
        <v>722</v>
      </c>
      <c r="E1450" t="s">
        <v>63</v>
      </c>
      <c r="F1450">
        <v>60</v>
      </c>
      <c r="G1450" t="s">
        <v>124</v>
      </c>
      <c r="H1450" t="s">
        <v>124</v>
      </c>
      <c r="I1450" t="s">
        <v>63</v>
      </c>
      <c r="J1450" t="s">
        <v>124</v>
      </c>
      <c r="K1450" t="s">
        <v>124</v>
      </c>
      <c r="L1450" t="s">
        <v>124</v>
      </c>
      <c r="M1450" t="s">
        <v>2109</v>
      </c>
      <c r="N1450" t="b">
        <v>0</v>
      </c>
    </row>
    <row r="1451" spans="1:14">
      <c r="A1451">
        <v>97</v>
      </c>
      <c r="B1451">
        <v>1</v>
      </c>
      <c r="C1451" t="s">
        <v>215</v>
      </c>
      <c r="D1451" t="s">
        <v>722</v>
      </c>
      <c r="E1451" t="s">
        <v>75</v>
      </c>
      <c r="F1451">
        <v>60</v>
      </c>
      <c r="G1451" t="s">
        <v>124</v>
      </c>
      <c r="H1451" t="s">
        <v>124</v>
      </c>
      <c r="I1451" t="s">
        <v>75</v>
      </c>
      <c r="J1451" t="s">
        <v>124</v>
      </c>
      <c r="K1451" t="s">
        <v>124</v>
      </c>
      <c r="L1451" t="s">
        <v>124</v>
      </c>
      <c r="M1451" t="s">
        <v>2110</v>
      </c>
      <c r="N1451" t="b">
        <v>0</v>
      </c>
    </row>
    <row r="1452" spans="1:14">
      <c r="A1452">
        <v>97</v>
      </c>
      <c r="B1452">
        <v>2</v>
      </c>
      <c r="C1452" t="s">
        <v>216</v>
      </c>
      <c r="D1452" t="s">
        <v>722</v>
      </c>
      <c r="E1452" t="s">
        <v>93</v>
      </c>
      <c r="F1452">
        <v>40</v>
      </c>
      <c r="G1452" t="s">
        <v>124</v>
      </c>
      <c r="H1452" t="s">
        <v>124</v>
      </c>
      <c r="I1452" t="s">
        <v>93</v>
      </c>
      <c r="J1452" t="s">
        <v>124</v>
      </c>
      <c r="K1452" t="s">
        <v>124</v>
      </c>
      <c r="L1452" t="s">
        <v>124</v>
      </c>
      <c r="M1452" t="s">
        <v>2111</v>
      </c>
      <c r="N1452" t="b">
        <v>0</v>
      </c>
    </row>
    <row r="1453" spans="1:14">
      <c r="A1453">
        <v>97</v>
      </c>
      <c r="B1453">
        <v>3</v>
      </c>
      <c r="C1453" t="s">
        <v>186</v>
      </c>
      <c r="D1453" t="s">
        <v>722</v>
      </c>
      <c r="E1453" t="s">
        <v>97</v>
      </c>
      <c r="F1453">
        <v>50</v>
      </c>
      <c r="G1453" t="s">
        <v>124</v>
      </c>
      <c r="H1453" t="s">
        <v>124</v>
      </c>
      <c r="I1453" t="s">
        <v>97</v>
      </c>
      <c r="J1453" t="s">
        <v>124</v>
      </c>
      <c r="K1453" t="s">
        <v>124</v>
      </c>
      <c r="L1453" t="s">
        <v>124</v>
      </c>
      <c r="M1453" t="s">
        <v>2112</v>
      </c>
      <c r="N1453" t="b">
        <v>0</v>
      </c>
    </row>
    <row r="1454" spans="1:14">
      <c r="A1454">
        <v>97</v>
      </c>
      <c r="B1454">
        <v>4</v>
      </c>
      <c r="C1454" t="s">
        <v>217</v>
      </c>
      <c r="D1454" t="s">
        <v>722</v>
      </c>
      <c r="E1454" t="s">
        <v>99</v>
      </c>
      <c r="F1454">
        <v>60</v>
      </c>
      <c r="G1454" t="s">
        <v>124</v>
      </c>
      <c r="H1454" t="s">
        <v>124</v>
      </c>
      <c r="I1454" t="s">
        <v>99</v>
      </c>
      <c r="J1454" t="s">
        <v>124</v>
      </c>
      <c r="K1454" t="s">
        <v>124</v>
      </c>
      <c r="L1454" t="s">
        <v>124</v>
      </c>
      <c r="M1454" t="s">
        <v>2113</v>
      </c>
      <c r="N1454" t="b">
        <v>0</v>
      </c>
    </row>
    <row r="1455" spans="1:14">
      <c r="A1455">
        <v>97</v>
      </c>
      <c r="B1455">
        <v>5</v>
      </c>
      <c r="C1455" t="s">
        <v>285</v>
      </c>
      <c r="D1455" t="s">
        <v>722</v>
      </c>
      <c r="E1455" t="s">
        <v>101</v>
      </c>
      <c r="F1455">
        <v>40</v>
      </c>
      <c r="G1455" t="s">
        <v>124</v>
      </c>
      <c r="H1455" t="s">
        <v>124</v>
      </c>
      <c r="I1455" t="s">
        <v>101</v>
      </c>
      <c r="J1455" t="s">
        <v>124</v>
      </c>
      <c r="K1455" t="s">
        <v>124</v>
      </c>
      <c r="L1455" t="s">
        <v>124</v>
      </c>
      <c r="M1455" t="s">
        <v>2114</v>
      </c>
      <c r="N1455" t="b">
        <v>0</v>
      </c>
    </row>
    <row r="1456" spans="1:14">
      <c r="A1456">
        <v>97</v>
      </c>
      <c r="B1456">
        <v>6</v>
      </c>
      <c r="C1456" t="s">
        <v>196</v>
      </c>
      <c r="D1456" t="s">
        <v>722</v>
      </c>
      <c r="E1456" t="s">
        <v>111</v>
      </c>
      <c r="F1456">
        <v>50</v>
      </c>
      <c r="G1456" t="s">
        <v>124</v>
      </c>
      <c r="H1456" t="s">
        <v>124</v>
      </c>
      <c r="I1456" t="s">
        <v>111</v>
      </c>
      <c r="J1456" t="s">
        <v>124</v>
      </c>
      <c r="K1456" t="s">
        <v>124</v>
      </c>
      <c r="L1456" t="s">
        <v>124</v>
      </c>
      <c r="M1456" t="s">
        <v>2115</v>
      </c>
      <c r="N1456" t="b">
        <v>0</v>
      </c>
    </row>
    <row r="1457" spans="1:14">
      <c r="A1457">
        <v>97</v>
      </c>
      <c r="B1457">
        <v>7</v>
      </c>
      <c r="C1457" t="s">
        <v>218</v>
      </c>
      <c r="D1457" t="s">
        <v>722</v>
      </c>
      <c r="E1457" t="s">
        <v>66</v>
      </c>
      <c r="F1457">
        <v>50</v>
      </c>
      <c r="G1457" t="s">
        <v>124</v>
      </c>
      <c r="H1457" t="s">
        <v>124</v>
      </c>
      <c r="I1457" t="s">
        <v>66</v>
      </c>
      <c r="J1457" t="s">
        <v>124</v>
      </c>
      <c r="K1457" t="s">
        <v>124</v>
      </c>
      <c r="L1457" t="s">
        <v>124</v>
      </c>
      <c r="M1457" t="s">
        <v>2116</v>
      </c>
      <c r="N1457" t="b">
        <v>0</v>
      </c>
    </row>
    <row r="1458" spans="1:14">
      <c r="A1458">
        <v>97</v>
      </c>
      <c r="B1458">
        <v>8</v>
      </c>
      <c r="C1458" t="s">
        <v>219</v>
      </c>
      <c r="D1458" t="s">
        <v>722</v>
      </c>
      <c r="E1458" t="s">
        <v>329</v>
      </c>
      <c r="F1458">
        <v>60</v>
      </c>
      <c r="G1458" t="s">
        <v>124</v>
      </c>
      <c r="H1458" t="s">
        <v>546</v>
      </c>
      <c r="I1458" t="s">
        <v>443</v>
      </c>
      <c r="J1458" t="s">
        <v>124</v>
      </c>
      <c r="K1458" t="s">
        <v>919</v>
      </c>
      <c r="L1458" t="s">
        <v>920</v>
      </c>
      <c r="M1458" t="s">
        <v>2117</v>
      </c>
      <c r="N1458" t="b">
        <v>0</v>
      </c>
    </row>
    <row r="1459" spans="1:14">
      <c r="A1459">
        <v>97</v>
      </c>
      <c r="B1459">
        <v>9</v>
      </c>
      <c r="C1459" t="s">
        <v>165</v>
      </c>
      <c r="D1459" t="s">
        <v>722</v>
      </c>
      <c r="E1459" t="s">
        <v>72</v>
      </c>
      <c r="F1459">
        <v>50</v>
      </c>
      <c r="G1459" t="s">
        <v>124</v>
      </c>
      <c r="H1459" t="s">
        <v>124</v>
      </c>
      <c r="I1459" t="s">
        <v>72</v>
      </c>
      <c r="J1459" t="s">
        <v>124</v>
      </c>
      <c r="K1459" t="s">
        <v>124</v>
      </c>
      <c r="L1459" t="s">
        <v>124</v>
      </c>
      <c r="M1459" t="s">
        <v>2118</v>
      </c>
      <c r="N1459" t="b">
        <v>0</v>
      </c>
    </row>
    <row r="1460" spans="1:14">
      <c r="A1460">
        <v>97</v>
      </c>
      <c r="B1460">
        <v>10</v>
      </c>
      <c r="C1460" t="s">
        <v>220</v>
      </c>
      <c r="D1460" t="s">
        <v>722</v>
      </c>
      <c r="E1460" t="s">
        <v>100</v>
      </c>
      <c r="F1460">
        <v>50</v>
      </c>
      <c r="G1460" t="s">
        <v>124</v>
      </c>
      <c r="H1460" t="s">
        <v>124</v>
      </c>
      <c r="I1460" t="s">
        <v>100</v>
      </c>
      <c r="J1460" t="s">
        <v>124</v>
      </c>
      <c r="K1460" t="s">
        <v>124</v>
      </c>
      <c r="L1460" t="s">
        <v>124</v>
      </c>
      <c r="M1460" t="s">
        <v>2119</v>
      </c>
      <c r="N1460" t="b">
        <v>0</v>
      </c>
    </row>
    <row r="1461" spans="1:14">
      <c r="A1461">
        <v>97</v>
      </c>
      <c r="B1461">
        <v>11</v>
      </c>
      <c r="C1461" t="s">
        <v>168</v>
      </c>
      <c r="D1461" t="s">
        <v>722</v>
      </c>
      <c r="E1461" t="s">
        <v>104</v>
      </c>
      <c r="F1461">
        <v>50</v>
      </c>
      <c r="G1461" t="s">
        <v>124</v>
      </c>
      <c r="H1461" t="s">
        <v>124</v>
      </c>
      <c r="I1461" t="s">
        <v>104</v>
      </c>
      <c r="J1461" t="s">
        <v>124</v>
      </c>
      <c r="K1461" t="s">
        <v>124</v>
      </c>
      <c r="L1461" t="s">
        <v>124</v>
      </c>
      <c r="M1461" t="s">
        <v>2120</v>
      </c>
      <c r="N1461" t="b">
        <v>0</v>
      </c>
    </row>
    <row r="1462" spans="1:14">
      <c r="A1462">
        <v>97</v>
      </c>
      <c r="B1462">
        <v>12</v>
      </c>
      <c r="C1462" t="s">
        <v>221</v>
      </c>
      <c r="D1462" t="s">
        <v>722</v>
      </c>
      <c r="E1462" t="s">
        <v>105</v>
      </c>
      <c r="F1462">
        <v>50</v>
      </c>
      <c r="G1462" t="s">
        <v>124</v>
      </c>
      <c r="H1462" t="s">
        <v>124</v>
      </c>
      <c r="I1462" t="s">
        <v>105</v>
      </c>
      <c r="J1462" t="s">
        <v>124</v>
      </c>
      <c r="K1462" t="s">
        <v>124</v>
      </c>
      <c r="L1462" t="s">
        <v>124</v>
      </c>
      <c r="M1462" t="s">
        <v>2121</v>
      </c>
      <c r="N1462" t="b">
        <v>0</v>
      </c>
    </row>
    <row r="1463" spans="1:14">
      <c r="A1463">
        <v>97</v>
      </c>
      <c r="B1463">
        <v>13</v>
      </c>
      <c r="C1463" t="s">
        <v>193</v>
      </c>
      <c r="D1463" t="s">
        <v>722</v>
      </c>
      <c r="E1463" t="s">
        <v>106</v>
      </c>
      <c r="F1463">
        <v>60</v>
      </c>
      <c r="G1463" t="s">
        <v>124</v>
      </c>
      <c r="H1463" t="s">
        <v>124</v>
      </c>
      <c r="I1463" t="s">
        <v>106</v>
      </c>
      <c r="J1463" t="s">
        <v>124</v>
      </c>
      <c r="K1463" t="s">
        <v>124</v>
      </c>
      <c r="L1463" t="s">
        <v>124</v>
      </c>
      <c r="M1463" t="s">
        <v>2122</v>
      </c>
      <c r="N1463" t="b">
        <v>0</v>
      </c>
    </row>
    <row r="1464" spans="1:14">
      <c r="A1464">
        <v>97</v>
      </c>
      <c r="B1464">
        <v>14</v>
      </c>
      <c r="C1464" t="s">
        <v>124</v>
      </c>
      <c r="D1464" t="s">
        <v>722</v>
      </c>
      <c r="E1464" t="s">
        <v>124</v>
      </c>
      <c r="F1464">
        <v>0</v>
      </c>
      <c r="G1464" t="s">
        <v>124</v>
      </c>
      <c r="H1464" t="s">
        <v>124</v>
      </c>
      <c r="I1464" t="s">
        <v>124</v>
      </c>
      <c r="J1464" t="s">
        <v>124</v>
      </c>
      <c r="K1464" t="s">
        <v>124</v>
      </c>
      <c r="L1464" t="s">
        <v>124</v>
      </c>
      <c r="M1464" t="s">
        <v>2123</v>
      </c>
      <c r="N1464" t="b">
        <v>0</v>
      </c>
    </row>
    <row r="1465" spans="1:14">
      <c r="A1465">
        <v>97</v>
      </c>
      <c r="B1465">
        <v>15</v>
      </c>
      <c r="C1465" t="s">
        <v>124</v>
      </c>
      <c r="D1465" t="s">
        <v>722</v>
      </c>
      <c r="E1465" t="s">
        <v>124</v>
      </c>
      <c r="F1465">
        <v>0</v>
      </c>
      <c r="G1465" t="s">
        <v>124</v>
      </c>
      <c r="H1465" t="s">
        <v>124</v>
      </c>
      <c r="I1465" t="s">
        <v>124</v>
      </c>
      <c r="J1465" t="s">
        <v>124</v>
      </c>
      <c r="K1465" t="s">
        <v>124</v>
      </c>
      <c r="L1465" t="s">
        <v>124</v>
      </c>
      <c r="M1465" t="s">
        <v>2124</v>
      </c>
      <c r="N1465" t="b">
        <v>0</v>
      </c>
    </row>
    <row r="1466" spans="1:14">
      <c r="A1466">
        <v>97</v>
      </c>
      <c r="B1466">
        <v>16</v>
      </c>
      <c r="C1466" t="s">
        <v>124</v>
      </c>
      <c r="D1466" t="s">
        <v>739</v>
      </c>
      <c r="E1466" t="s">
        <v>124</v>
      </c>
      <c r="F1466">
        <v>0</v>
      </c>
      <c r="G1466" t="s">
        <v>124</v>
      </c>
      <c r="H1466" t="s">
        <v>124</v>
      </c>
      <c r="I1466" t="s">
        <v>124</v>
      </c>
      <c r="J1466" t="s">
        <v>124</v>
      </c>
      <c r="K1466" t="s">
        <v>124</v>
      </c>
      <c r="L1466" t="s">
        <v>124</v>
      </c>
      <c r="M1466" t="s">
        <v>2125</v>
      </c>
      <c r="N1466" t="b">
        <v>0</v>
      </c>
    </row>
    <row r="1467" spans="1:14">
      <c r="A1467">
        <v>97</v>
      </c>
      <c r="B1467">
        <v>17</v>
      </c>
      <c r="C1467" t="s">
        <v>124</v>
      </c>
      <c r="D1467" t="s">
        <v>739</v>
      </c>
      <c r="E1467" t="s">
        <v>124</v>
      </c>
      <c r="F1467">
        <v>0</v>
      </c>
      <c r="G1467" t="s">
        <v>124</v>
      </c>
      <c r="H1467" t="s">
        <v>124</v>
      </c>
      <c r="I1467" t="s">
        <v>124</v>
      </c>
      <c r="J1467" t="s">
        <v>124</v>
      </c>
      <c r="K1467" t="s">
        <v>124</v>
      </c>
      <c r="L1467" t="s">
        <v>124</v>
      </c>
      <c r="M1467" t="s">
        <v>2126</v>
      </c>
      <c r="N1467" t="b">
        <v>0</v>
      </c>
    </row>
    <row r="1468" spans="1:14">
      <c r="A1468">
        <v>97</v>
      </c>
      <c r="B1468">
        <v>18</v>
      </c>
      <c r="C1468" t="s">
        <v>124</v>
      </c>
      <c r="D1468" t="s">
        <v>739</v>
      </c>
      <c r="E1468" t="s">
        <v>124</v>
      </c>
      <c r="F1468">
        <v>0</v>
      </c>
      <c r="G1468" t="s">
        <v>124</v>
      </c>
      <c r="H1468" t="s">
        <v>124</v>
      </c>
      <c r="I1468" t="s">
        <v>124</v>
      </c>
      <c r="J1468" t="s">
        <v>124</v>
      </c>
      <c r="K1468" t="s">
        <v>124</v>
      </c>
      <c r="L1468" t="s">
        <v>124</v>
      </c>
      <c r="M1468" t="s">
        <v>2127</v>
      </c>
      <c r="N1468" t="b">
        <v>0</v>
      </c>
    </row>
    <row r="1469" spans="1:14">
      <c r="A1469">
        <v>97</v>
      </c>
      <c r="B1469">
        <v>19</v>
      </c>
      <c r="C1469" t="s">
        <v>124</v>
      </c>
      <c r="D1469" t="s">
        <v>739</v>
      </c>
      <c r="E1469" t="s">
        <v>124</v>
      </c>
      <c r="F1469">
        <v>0</v>
      </c>
      <c r="G1469" t="s">
        <v>124</v>
      </c>
      <c r="H1469" t="s">
        <v>124</v>
      </c>
      <c r="I1469" t="s">
        <v>124</v>
      </c>
      <c r="J1469" t="s">
        <v>124</v>
      </c>
      <c r="K1469" t="s">
        <v>124</v>
      </c>
      <c r="L1469" t="s">
        <v>124</v>
      </c>
      <c r="M1469" t="s">
        <v>2128</v>
      </c>
      <c r="N1469" t="b">
        <v>0</v>
      </c>
    </row>
    <row r="1470" spans="1:14">
      <c r="A1470">
        <v>97</v>
      </c>
      <c r="B1470">
        <v>20</v>
      </c>
      <c r="C1470" t="s">
        <v>124</v>
      </c>
      <c r="D1470" t="s">
        <v>739</v>
      </c>
      <c r="E1470" t="s">
        <v>124</v>
      </c>
      <c r="F1470">
        <v>0</v>
      </c>
      <c r="G1470" t="s">
        <v>124</v>
      </c>
      <c r="H1470" t="s">
        <v>124</v>
      </c>
      <c r="I1470" t="s">
        <v>124</v>
      </c>
      <c r="J1470" t="s">
        <v>124</v>
      </c>
      <c r="K1470" t="s">
        <v>124</v>
      </c>
      <c r="L1470" t="s">
        <v>124</v>
      </c>
      <c r="M1470" t="s">
        <v>2129</v>
      </c>
      <c r="N1470" t="b">
        <v>0</v>
      </c>
    </row>
    <row r="1471" spans="1:14">
      <c r="A1471">
        <v>97</v>
      </c>
      <c r="B1471">
        <v>21</v>
      </c>
      <c r="C1471" t="s">
        <v>124</v>
      </c>
      <c r="D1471" t="s">
        <v>739</v>
      </c>
      <c r="E1471" t="s">
        <v>124</v>
      </c>
      <c r="F1471">
        <v>0</v>
      </c>
      <c r="G1471" t="s">
        <v>124</v>
      </c>
      <c r="H1471" t="s">
        <v>124</v>
      </c>
      <c r="I1471" t="s">
        <v>124</v>
      </c>
      <c r="J1471" t="s">
        <v>124</v>
      </c>
      <c r="K1471" t="s">
        <v>124</v>
      </c>
      <c r="L1471" t="s">
        <v>124</v>
      </c>
      <c r="M1471" t="s">
        <v>2130</v>
      </c>
      <c r="N1471" t="b">
        <v>0</v>
      </c>
    </row>
    <row r="1472" spans="1:14">
      <c r="A1472">
        <v>97</v>
      </c>
      <c r="B1472">
        <v>22</v>
      </c>
      <c r="C1472" t="s">
        <v>124</v>
      </c>
      <c r="D1472" t="s">
        <v>739</v>
      </c>
      <c r="E1472" t="s">
        <v>124</v>
      </c>
      <c r="F1472">
        <v>0</v>
      </c>
      <c r="G1472" t="s">
        <v>124</v>
      </c>
      <c r="H1472" t="s">
        <v>124</v>
      </c>
      <c r="I1472" t="s">
        <v>124</v>
      </c>
      <c r="J1472" t="s">
        <v>124</v>
      </c>
      <c r="K1472" t="s">
        <v>124</v>
      </c>
      <c r="L1472" t="s">
        <v>124</v>
      </c>
      <c r="M1472" t="s">
        <v>2131</v>
      </c>
      <c r="N1472" t="b">
        <v>0</v>
      </c>
    </row>
    <row r="1473" spans="1:14">
      <c r="A1473">
        <v>97</v>
      </c>
      <c r="B1473">
        <v>23</v>
      </c>
      <c r="C1473" t="s">
        <v>124</v>
      </c>
      <c r="D1473" t="s">
        <v>739</v>
      </c>
      <c r="E1473" t="s">
        <v>124</v>
      </c>
      <c r="F1473">
        <v>0</v>
      </c>
      <c r="G1473" t="s">
        <v>124</v>
      </c>
      <c r="H1473" t="s">
        <v>124</v>
      </c>
      <c r="I1473" t="s">
        <v>124</v>
      </c>
      <c r="J1473" t="s">
        <v>124</v>
      </c>
      <c r="K1473" t="s">
        <v>124</v>
      </c>
      <c r="L1473" t="s">
        <v>124</v>
      </c>
      <c r="M1473" t="s">
        <v>2132</v>
      </c>
      <c r="N1473" t="b">
        <v>0</v>
      </c>
    </row>
    <row r="1474" spans="1:14">
      <c r="A1474">
        <v>97</v>
      </c>
      <c r="B1474">
        <v>24</v>
      </c>
      <c r="C1474" t="s">
        <v>124</v>
      </c>
      <c r="D1474" t="s">
        <v>739</v>
      </c>
      <c r="E1474" t="s">
        <v>124</v>
      </c>
      <c r="F1474">
        <v>0</v>
      </c>
      <c r="G1474" t="s">
        <v>124</v>
      </c>
      <c r="H1474" t="s">
        <v>124</v>
      </c>
      <c r="I1474" t="s">
        <v>124</v>
      </c>
      <c r="J1474" t="s">
        <v>124</v>
      </c>
      <c r="K1474" t="s">
        <v>124</v>
      </c>
      <c r="L1474" t="s">
        <v>124</v>
      </c>
      <c r="M1474" t="s">
        <v>2133</v>
      </c>
      <c r="N1474" t="b">
        <v>0</v>
      </c>
    </row>
    <row r="1475" spans="1:14">
      <c r="A1475">
        <v>97</v>
      </c>
      <c r="B1475">
        <v>25</v>
      </c>
      <c r="C1475" t="s">
        <v>124</v>
      </c>
      <c r="D1475" t="s">
        <v>739</v>
      </c>
      <c r="E1475" t="s">
        <v>124</v>
      </c>
      <c r="F1475">
        <v>0</v>
      </c>
      <c r="G1475" t="s">
        <v>124</v>
      </c>
      <c r="H1475" t="s">
        <v>124</v>
      </c>
      <c r="I1475" t="s">
        <v>124</v>
      </c>
      <c r="J1475" t="s">
        <v>124</v>
      </c>
      <c r="K1475" t="s">
        <v>124</v>
      </c>
      <c r="L1475" t="s">
        <v>124</v>
      </c>
      <c r="M1475" t="s">
        <v>2134</v>
      </c>
      <c r="N1475" t="b">
        <v>0</v>
      </c>
    </row>
    <row r="1476" spans="1:14">
      <c r="A1476">
        <v>97</v>
      </c>
      <c r="B1476">
        <v>26</v>
      </c>
      <c r="C1476" t="s">
        <v>124</v>
      </c>
      <c r="D1476" t="s">
        <v>739</v>
      </c>
      <c r="E1476" t="s">
        <v>124</v>
      </c>
      <c r="F1476">
        <v>0</v>
      </c>
      <c r="G1476" t="s">
        <v>124</v>
      </c>
      <c r="H1476" t="s">
        <v>124</v>
      </c>
      <c r="I1476" t="s">
        <v>124</v>
      </c>
      <c r="J1476" t="s">
        <v>124</v>
      </c>
      <c r="K1476" t="s">
        <v>124</v>
      </c>
      <c r="L1476" t="s">
        <v>124</v>
      </c>
      <c r="M1476" t="s">
        <v>2135</v>
      </c>
      <c r="N1476" t="b">
        <v>0</v>
      </c>
    </row>
    <row r="1477" spans="1:14">
      <c r="A1477">
        <v>99</v>
      </c>
      <c r="B1477">
        <v>0</v>
      </c>
      <c r="C1477" t="s">
        <v>214</v>
      </c>
      <c r="D1477" t="s">
        <v>722</v>
      </c>
      <c r="E1477" t="s">
        <v>63</v>
      </c>
      <c r="F1477">
        <v>60</v>
      </c>
      <c r="G1477" t="s">
        <v>124</v>
      </c>
      <c r="H1477" t="s">
        <v>124</v>
      </c>
      <c r="I1477" t="s">
        <v>63</v>
      </c>
      <c r="J1477" t="s">
        <v>124</v>
      </c>
      <c r="K1477" t="s">
        <v>124</v>
      </c>
      <c r="L1477" t="s">
        <v>124</v>
      </c>
      <c r="M1477" t="s">
        <v>2136</v>
      </c>
      <c r="N1477" t="b">
        <v>0</v>
      </c>
    </row>
    <row r="1478" spans="1:14">
      <c r="A1478">
        <v>99</v>
      </c>
      <c r="B1478">
        <v>1</v>
      </c>
      <c r="C1478" t="s">
        <v>215</v>
      </c>
      <c r="D1478" t="s">
        <v>722</v>
      </c>
      <c r="E1478" t="s">
        <v>75</v>
      </c>
      <c r="F1478">
        <v>60</v>
      </c>
      <c r="G1478" t="s">
        <v>124</v>
      </c>
      <c r="H1478" t="s">
        <v>124</v>
      </c>
      <c r="I1478" t="s">
        <v>75</v>
      </c>
      <c r="J1478" t="s">
        <v>124</v>
      </c>
      <c r="K1478" t="s">
        <v>124</v>
      </c>
      <c r="L1478" t="s">
        <v>124</v>
      </c>
      <c r="M1478" t="s">
        <v>2137</v>
      </c>
      <c r="N1478" t="b">
        <v>0</v>
      </c>
    </row>
    <row r="1479" spans="1:14">
      <c r="A1479">
        <v>99</v>
      </c>
      <c r="B1479">
        <v>2</v>
      </c>
      <c r="C1479" t="s">
        <v>236</v>
      </c>
      <c r="D1479" t="s">
        <v>722</v>
      </c>
      <c r="E1479" t="s">
        <v>542</v>
      </c>
      <c r="F1479">
        <v>40</v>
      </c>
      <c r="G1479" t="s">
        <v>124</v>
      </c>
      <c r="H1479" t="s">
        <v>545</v>
      </c>
      <c r="I1479" t="s">
        <v>506</v>
      </c>
      <c r="J1479" t="s">
        <v>124</v>
      </c>
      <c r="K1479" t="s">
        <v>790</v>
      </c>
      <c r="L1479" t="s">
        <v>791</v>
      </c>
      <c r="M1479" t="s">
        <v>2138</v>
      </c>
      <c r="N1479" t="b">
        <v>0</v>
      </c>
    </row>
    <row r="1480" spans="1:14">
      <c r="A1480">
        <v>99</v>
      </c>
      <c r="B1480">
        <v>3</v>
      </c>
      <c r="C1480" t="s">
        <v>237</v>
      </c>
      <c r="D1480" t="s">
        <v>722</v>
      </c>
      <c r="E1480" t="s">
        <v>542</v>
      </c>
      <c r="F1480">
        <v>40</v>
      </c>
      <c r="G1480" t="s">
        <v>124</v>
      </c>
      <c r="H1480" t="s">
        <v>555</v>
      </c>
      <c r="I1480" t="s">
        <v>484</v>
      </c>
      <c r="J1480" t="s">
        <v>124</v>
      </c>
      <c r="K1480" t="s">
        <v>793</v>
      </c>
      <c r="L1480" t="s">
        <v>794</v>
      </c>
      <c r="M1480" t="s">
        <v>2139</v>
      </c>
      <c r="N1480" t="b">
        <v>0</v>
      </c>
    </row>
    <row r="1481" spans="1:14">
      <c r="A1481">
        <v>99</v>
      </c>
      <c r="B1481">
        <v>4</v>
      </c>
      <c r="C1481" t="s">
        <v>239</v>
      </c>
      <c r="D1481" t="s">
        <v>722</v>
      </c>
      <c r="E1481" t="s">
        <v>101</v>
      </c>
      <c r="F1481">
        <v>50</v>
      </c>
      <c r="G1481" t="s">
        <v>124</v>
      </c>
      <c r="H1481" t="s">
        <v>124</v>
      </c>
      <c r="I1481" t="s">
        <v>101</v>
      </c>
      <c r="J1481" t="s">
        <v>124</v>
      </c>
      <c r="K1481" t="s">
        <v>124</v>
      </c>
      <c r="L1481" t="s">
        <v>124</v>
      </c>
      <c r="M1481" t="s">
        <v>2140</v>
      </c>
      <c r="N1481" t="b">
        <v>0</v>
      </c>
    </row>
    <row r="1482" spans="1:14">
      <c r="A1482">
        <v>99</v>
      </c>
      <c r="B1482">
        <v>5</v>
      </c>
      <c r="C1482" t="s">
        <v>470</v>
      </c>
      <c r="D1482" t="s">
        <v>722</v>
      </c>
      <c r="E1482" t="s">
        <v>295</v>
      </c>
      <c r="F1482">
        <v>20</v>
      </c>
      <c r="G1482" t="s">
        <v>124</v>
      </c>
      <c r="H1482" t="s">
        <v>1895</v>
      </c>
      <c r="I1482" t="s">
        <v>1896</v>
      </c>
      <c r="J1482" t="s">
        <v>124</v>
      </c>
      <c r="K1482" t="s">
        <v>760</v>
      </c>
      <c r="L1482" t="s">
        <v>761</v>
      </c>
      <c r="M1482" t="s">
        <v>2141</v>
      </c>
      <c r="N1482" t="b">
        <v>0</v>
      </c>
    </row>
    <row r="1483" spans="1:14">
      <c r="A1483">
        <v>99</v>
      </c>
      <c r="B1483">
        <v>6</v>
      </c>
      <c r="C1483" t="s">
        <v>252</v>
      </c>
      <c r="D1483" t="s">
        <v>722</v>
      </c>
      <c r="E1483" t="s">
        <v>113</v>
      </c>
      <c r="F1483">
        <v>40</v>
      </c>
      <c r="G1483" t="s">
        <v>124</v>
      </c>
      <c r="H1483" t="s">
        <v>124</v>
      </c>
      <c r="I1483" t="s">
        <v>113</v>
      </c>
      <c r="J1483" t="s">
        <v>124</v>
      </c>
      <c r="K1483" t="s">
        <v>124</v>
      </c>
      <c r="L1483" t="s">
        <v>124</v>
      </c>
      <c r="M1483" t="s">
        <v>2142</v>
      </c>
      <c r="N1483" t="b">
        <v>0</v>
      </c>
    </row>
    <row r="1484" spans="1:14">
      <c r="A1484">
        <v>99</v>
      </c>
      <c r="B1484">
        <v>7</v>
      </c>
      <c r="C1484" t="s">
        <v>165</v>
      </c>
      <c r="D1484" t="s">
        <v>722</v>
      </c>
      <c r="E1484" t="s">
        <v>72</v>
      </c>
      <c r="F1484">
        <v>50</v>
      </c>
      <c r="G1484" t="s">
        <v>124</v>
      </c>
      <c r="H1484" t="s">
        <v>124</v>
      </c>
      <c r="I1484" t="s">
        <v>72</v>
      </c>
      <c r="J1484" t="s">
        <v>124</v>
      </c>
      <c r="K1484" t="s">
        <v>124</v>
      </c>
      <c r="L1484" t="s">
        <v>124</v>
      </c>
      <c r="M1484" t="s">
        <v>2143</v>
      </c>
      <c r="N1484" t="b">
        <v>0</v>
      </c>
    </row>
    <row r="1485" spans="1:14">
      <c r="A1485">
        <v>99</v>
      </c>
      <c r="B1485">
        <v>8</v>
      </c>
      <c r="C1485" t="s">
        <v>471</v>
      </c>
      <c r="D1485" t="s">
        <v>722</v>
      </c>
      <c r="E1485" t="s">
        <v>356</v>
      </c>
      <c r="F1485">
        <v>50</v>
      </c>
      <c r="G1485" t="s">
        <v>124</v>
      </c>
      <c r="H1485" t="s">
        <v>561</v>
      </c>
      <c r="I1485" t="s">
        <v>1621</v>
      </c>
      <c r="J1485" t="s">
        <v>124</v>
      </c>
      <c r="K1485" t="s">
        <v>1162</v>
      </c>
      <c r="L1485" t="s">
        <v>1163</v>
      </c>
      <c r="M1485" t="s">
        <v>2144</v>
      </c>
      <c r="N1485" t="b">
        <v>0</v>
      </c>
    </row>
    <row r="1486" spans="1:14">
      <c r="A1486">
        <v>99</v>
      </c>
      <c r="B1486">
        <v>9</v>
      </c>
      <c r="C1486" t="s">
        <v>472</v>
      </c>
      <c r="D1486" t="s">
        <v>722</v>
      </c>
      <c r="E1486" t="s">
        <v>356</v>
      </c>
      <c r="F1486">
        <v>30</v>
      </c>
      <c r="G1486" t="s">
        <v>124</v>
      </c>
      <c r="H1486" t="s">
        <v>557</v>
      </c>
      <c r="I1486" t="s">
        <v>361</v>
      </c>
      <c r="J1486" t="s">
        <v>124</v>
      </c>
      <c r="K1486" t="s">
        <v>1176</v>
      </c>
      <c r="L1486" t="s">
        <v>1177</v>
      </c>
      <c r="M1486" t="s">
        <v>2145</v>
      </c>
      <c r="N1486" t="b">
        <v>0</v>
      </c>
    </row>
    <row r="1487" spans="1:14">
      <c r="A1487">
        <v>99</v>
      </c>
      <c r="B1487">
        <v>10</v>
      </c>
      <c r="C1487" t="s">
        <v>355</v>
      </c>
      <c r="D1487" t="s">
        <v>722</v>
      </c>
      <c r="E1487" t="s">
        <v>543</v>
      </c>
      <c r="F1487">
        <v>50</v>
      </c>
      <c r="G1487" t="s">
        <v>124</v>
      </c>
      <c r="H1487" t="s">
        <v>581</v>
      </c>
      <c r="I1487" t="s">
        <v>494</v>
      </c>
      <c r="J1487" t="s">
        <v>124</v>
      </c>
      <c r="K1487" t="s">
        <v>799</v>
      </c>
      <c r="L1487" t="s">
        <v>800</v>
      </c>
      <c r="M1487" t="s">
        <v>2146</v>
      </c>
      <c r="N1487" t="b">
        <v>0</v>
      </c>
    </row>
    <row r="1488" spans="1:14">
      <c r="A1488">
        <v>99</v>
      </c>
      <c r="B1488">
        <v>11</v>
      </c>
      <c r="C1488" t="s">
        <v>290</v>
      </c>
      <c r="D1488" t="s">
        <v>722</v>
      </c>
      <c r="E1488" t="s">
        <v>105</v>
      </c>
      <c r="F1488">
        <v>60</v>
      </c>
      <c r="G1488" t="s">
        <v>124</v>
      </c>
      <c r="H1488" t="s">
        <v>124</v>
      </c>
      <c r="I1488" t="s">
        <v>105</v>
      </c>
      <c r="J1488" t="s">
        <v>124</v>
      </c>
      <c r="K1488" t="s">
        <v>124</v>
      </c>
      <c r="L1488" t="s">
        <v>124</v>
      </c>
      <c r="M1488" t="s">
        <v>2147</v>
      </c>
      <c r="N1488" t="b">
        <v>0</v>
      </c>
    </row>
    <row r="1489" spans="1:14">
      <c r="A1489">
        <v>99</v>
      </c>
      <c r="B1489">
        <v>12</v>
      </c>
      <c r="C1489" t="s">
        <v>124</v>
      </c>
      <c r="D1489" t="s">
        <v>722</v>
      </c>
      <c r="E1489" t="s">
        <v>124</v>
      </c>
      <c r="F1489">
        <v>0</v>
      </c>
      <c r="G1489" t="s">
        <v>124</v>
      </c>
      <c r="H1489" t="s">
        <v>124</v>
      </c>
      <c r="I1489" t="s">
        <v>124</v>
      </c>
      <c r="J1489" t="s">
        <v>124</v>
      </c>
      <c r="K1489" t="s">
        <v>124</v>
      </c>
      <c r="L1489" t="s">
        <v>124</v>
      </c>
      <c r="M1489" t="s">
        <v>2148</v>
      </c>
      <c r="N1489" t="b">
        <v>0</v>
      </c>
    </row>
    <row r="1490" spans="1:14">
      <c r="A1490">
        <v>99</v>
      </c>
      <c r="B1490">
        <v>13</v>
      </c>
      <c r="C1490" t="s">
        <v>124</v>
      </c>
      <c r="D1490" t="s">
        <v>722</v>
      </c>
      <c r="E1490" t="s">
        <v>124</v>
      </c>
      <c r="F1490">
        <v>0</v>
      </c>
      <c r="G1490" t="s">
        <v>124</v>
      </c>
      <c r="H1490" t="s">
        <v>124</v>
      </c>
      <c r="I1490" t="s">
        <v>124</v>
      </c>
      <c r="J1490" t="s">
        <v>124</v>
      </c>
      <c r="K1490" t="s">
        <v>124</v>
      </c>
      <c r="L1490" t="s">
        <v>124</v>
      </c>
      <c r="M1490" t="s">
        <v>2149</v>
      </c>
      <c r="N1490" t="b">
        <v>0</v>
      </c>
    </row>
    <row r="1491" spans="1:14">
      <c r="A1491">
        <v>99</v>
      </c>
      <c r="B1491">
        <v>14</v>
      </c>
      <c r="C1491" t="s">
        <v>124</v>
      </c>
      <c r="D1491" t="s">
        <v>722</v>
      </c>
      <c r="E1491" t="s">
        <v>124</v>
      </c>
      <c r="F1491">
        <v>0</v>
      </c>
      <c r="G1491" t="s">
        <v>124</v>
      </c>
      <c r="H1491" t="s">
        <v>124</v>
      </c>
      <c r="I1491" t="s">
        <v>124</v>
      </c>
      <c r="J1491" t="s">
        <v>124</v>
      </c>
      <c r="K1491" t="s">
        <v>124</v>
      </c>
      <c r="L1491" t="s">
        <v>124</v>
      </c>
      <c r="M1491" t="s">
        <v>2150</v>
      </c>
      <c r="N1491" t="b">
        <v>0</v>
      </c>
    </row>
    <row r="1492" spans="1:14">
      <c r="A1492">
        <v>99</v>
      </c>
      <c r="B1492">
        <v>15</v>
      </c>
      <c r="C1492" t="s">
        <v>124</v>
      </c>
      <c r="D1492" t="s">
        <v>722</v>
      </c>
      <c r="E1492" t="s">
        <v>124</v>
      </c>
      <c r="F1492">
        <v>0</v>
      </c>
      <c r="G1492" t="s">
        <v>124</v>
      </c>
      <c r="H1492" t="s">
        <v>124</v>
      </c>
      <c r="I1492" t="s">
        <v>124</v>
      </c>
      <c r="J1492" t="s">
        <v>124</v>
      </c>
      <c r="K1492" t="s">
        <v>124</v>
      </c>
      <c r="L1492" t="s">
        <v>124</v>
      </c>
      <c r="M1492" t="s">
        <v>2151</v>
      </c>
      <c r="N1492" t="b">
        <v>0</v>
      </c>
    </row>
    <row r="1493" spans="1:14">
      <c r="A1493">
        <v>99</v>
      </c>
      <c r="B1493">
        <v>16</v>
      </c>
      <c r="C1493" t="s">
        <v>124</v>
      </c>
      <c r="D1493" t="s">
        <v>739</v>
      </c>
      <c r="E1493" t="s">
        <v>124</v>
      </c>
      <c r="F1493">
        <v>0</v>
      </c>
      <c r="G1493" t="s">
        <v>124</v>
      </c>
      <c r="H1493" t="s">
        <v>124</v>
      </c>
      <c r="I1493" t="s">
        <v>124</v>
      </c>
      <c r="J1493" t="s">
        <v>124</v>
      </c>
      <c r="K1493" t="s">
        <v>124</v>
      </c>
      <c r="L1493" t="s">
        <v>124</v>
      </c>
      <c r="M1493" t="s">
        <v>2152</v>
      </c>
      <c r="N1493" t="b">
        <v>0</v>
      </c>
    </row>
    <row r="1494" spans="1:14">
      <c r="A1494">
        <v>99</v>
      </c>
      <c r="B1494">
        <v>17</v>
      </c>
      <c r="C1494" t="s">
        <v>124</v>
      </c>
      <c r="D1494" t="s">
        <v>739</v>
      </c>
      <c r="E1494" t="s">
        <v>124</v>
      </c>
      <c r="F1494">
        <v>0</v>
      </c>
      <c r="G1494" t="s">
        <v>124</v>
      </c>
      <c r="H1494" t="s">
        <v>124</v>
      </c>
      <c r="I1494" t="s">
        <v>124</v>
      </c>
      <c r="J1494" t="s">
        <v>124</v>
      </c>
      <c r="K1494" t="s">
        <v>124</v>
      </c>
      <c r="L1494" t="s">
        <v>124</v>
      </c>
      <c r="M1494" t="s">
        <v>2153</v>
      </c>
      <c r="N1494" t="b">
        <v>0</v>
      </c>
    </row>
    <row r="1495" spans="1:14">
      <c r="A1495">
        <v>99</v>
      </c>
      <c r="B1495">
        <v>18</v>
      </c>
      <c r="C1495" t="s">
        <v>124</v>
      </c>
      <c r="D1495" t="s">
        <v>739</v>
      </c>
      <c r="E1495" t="s">
        <v>124</v>
      </c>
      <c r="F1495">
        <v>0</v>
      </c>
      <c r="G1495" t="s">
        <v>124</v>
      </c>
      <c r="H1495" t="s">
        <v>124</v>
      </c>
      <c r="I1495" t="s">
        <v>124</v>
      </c>
      <c r="J1495" t="s">
        <v>124</v>
      </c>
      <c r="K1495" t="s">
        <v>124</v>
      </c>
      <c r="L1495" t="s">
        <v>124</v>
      </c>
      <c r="M1495" t="s">
        <v>2154</v>
      </c>
      <c r="N1495" t="b">
        <v>0</v>
      </c>
    </row>
    <row r="1496" spans="1:14">
      <c r="A1496">
        <v>99</v>
      </c>
      <c r="B1496">
        <v>19</v>
      </c>
      <c r="C1496" t="s">
        <v>124</v>
      </c>
      <c r="D1496" t="s">
        <v>739</v>
      </c>
      <c r="E1496" t="s">
        <v>124</v>
      </c>
      <c r="F1496">
        <v>0</v>
      </c>
      <c r="G1496" t="s">
        <v>124</v>
      </c>
      <c r="H1496" t="s">
        <v>124</v>
      </c>
      <c r="I1496" t="s">
        <v>124</v>
      </c>
      <c r="J1496" t="s">
        <v>124</v>
      </c>
      <c r="K1496" t="s">
        <v>124</v>
      </c>
      <c r="L1496" t="s">
        <v>124</v>
      </c>
      <c r="M1496" t="s">
        <v>2155</v>
      </c>
      <c r="N1496" t="b">
        <v>0</v>
      </c>
    </row>
    <row r="1497" spans="1:14">
      <c r="A1497">
        <v>99</v>
      </c>
      <c r="B1497">
        <v>20</v>
      </c>
      <c r="C1497" t="s">
        <v>124</v>
      </c>
      <c r="D1497" t="s">
        <v>739</v>
      </c>
      <c r="E1497" t="s">
        <v>124</v>
      </c>
      <c r="F1497">
        <v>0</v>
      </c>
      <c r="G1497" t="s">
        <v>124</v>
      </c>
      <c r="H1497" t="s">
        <v>124</v>
      </c>
      <c r="I1497" t="s">
        <v>124</v>
      </c>
      <c r="J1497" t="s">
        <v>124</v>
      </c>
      <c r="K1497" t="s">
        <v>124</v>
      </c>
      <c r="L1497" t="s">
        <v>124</v>
      </c>
      <c r="M1497" t="s">
        <v>2156</v>
      </c>
      <c r="N1497" t="b">
        <v>0</v>
      </c>
    </row>
    <row r="1498" spans="1:14">
      <c r="A1498">
        <v>99</v>
      </c>
      <c r="B1498">
        <v>21</v>
      </c>
      <c r="C1498" t="s">
        <v>124</v>
      </c>
      <c r="D1498" t="s">
        <v>739</v>
      </c>
      <c r="E1498" t="s">
        <v>124</v>
      </c>
      <c r="F1498">
        <v>0</v>
      </c>
      <c r="G1498" t="s">
        <v>124</v>
      </c>
      <c r="H1498" t="s">
        <v>124</v>
      </c>
      <c r="I1498" t="s">
        <v>124</v>
      </c>
      <c r="J1498" t="s">
        <v>124</v>
      </c>
      <c r="K1498" t="s">
        <v>124</v>
      </c>
      <c r="L1498" t="s">
        <v>124</v>
      </c>
      <c r="M1498" t="s">
        <v>2157</v>
      </c>
      <c r="N1498" t="b">
        <v>0</v>
      </c>
    </row>
    <row r="1499" spans="1:14">
      <c r="A1499">
        <v>99</v>
      </c>
      <c r="B1499">
        <v>22</v>
      </c>
      <c r="C1499" t="s">
        <v>124</v>
      </c>
      <c r="D1499" t="s">
        <v>739</v>
      </c>
      <c r="E1499" t="s">
        <v>124</v>
      </c>
      <c r="F1499">
        <v>0</v>
      </c>
      <c r="G1499" t="s">
        <v>124</v>
      </c>
      <c r="H1499" t="s">
        <v>124</v>
      </c>
      <c r="I1499" t="s">
        <v>124</v>
      </c>
      <c r="J1499" t="s">
        <v>124</v>
      </c>
      <c r="K1499" t="s">
        <v>124</v>
      </c>
      <c r="L1499" t="s">
        <v>124</v>
      </c>
      <c r="M1499" t="s">
        <v>2158</v>
      </c>
      <c r="N1499" t="b">
        <v>0</v>
      </c>
    </row>
    <row r="1500" spans="1:14">
      <c r="A1500">
        <v>99</v>
      </c>
      <c r="B1500">
        <v>23</v>
      </c>
      <c r="C1500" t="s">
        <v>124</v>
      </c>
      <c r="D1500" t="s">
        <v>739</v>
      </c>
      <c r="E1500" t="s">
        <v>124</v>
      </c>
      <c r="F1500">
        <v>0</v>
      </c>
      <c r="G1500" t="s">
        <v>124</v>
      </c>
      <c r="H1500" t="s">
        <v>124</v>
      </c>
      <c r="I1500" t="s">
        <v>124</v>
      </c>
      <c r="J1500" t="s">
        <v>124</v>
      </c>
      <c r="K1500" t="s">
        <v>124</v>
      </c>
      <c r="L1500" t="s">
        <v>124</v>
      </c>
      <c r="M1500" t="s">
        <v>2159</v>
      </c>
      <c r="N1500" t="b">
        <v>0</v>
      </c>
    </row>
    <row r="1501" spans="1:14">
      <c r="A1501">
        <v>99</v>
      </c>
      <c r="B1501">
        <v>24</v>
      </c>
      <c r="C1501" t="s">
        <v>124</v>
      </c>
      <c r="D1501" t="s">
        <v>739</v>
      </c>
      <c r="E1501" t="s">
        <v>124</v>
      </c>
      <c r="F1501">
        <v>0</v>
      </c>
      <c r="G1501" t="s">
        <v>124</v>
      </c>
      <c r="H1501" t="s">
        <v>124</v>
      </c>
      <c r="I1501" t="s">
        <v>124</v>
      </c>
      <c r="J1501" t="s">
        <v>124</v>
      </c>
      <c r="K1501" t="s">
        <v>124</v>
      </c>
      <c r="L1501" t="s">
        <v>124</v>
      </c>
      <c r="M1501" t="s">
        <v>2160</v>
      </c>
      <c r="N1501" t="b">
        <v>0</v>
      </c>
    </row>
    <row r="1502" spans="1:14">
      <c r="A1502">
        <v>99</v>
      </c>
      <c r="B1502">
        <v>25</v>
      </c>
      <c r="C1502" t="s">
        <v>124</v>
      </c>
      <c r="D1502" t="s">
        <v>739</v>
      </c>
      <c r="E1502" t="s">
        <v>124</v>
      </c>
      <c r="F1502">
        <v>0</v>
      </c>
      <c r="G1502" t="s">
        <v>124</v>
      </c>
      <c r="H1502" t="s">
        <v>124</v>
      </c>
      <c r="I1502" t="s">
        <v>124</v>
      </c>
      <c r="J1502" t="s">
        <v>124</v>
      </c>
      <c r="K1502" t="s">
        <v>124</v>
      </c>
      <c r="L1502" t="s">
        <v>124</v>
      </c>
      <c r="M1502" t="s">
        <v>2161</v>
      </c>
      <c r="N1502" t="b">
        <v>0</v>
      </c>
    </row>
    <row r="1503" spans="1:14">
      <c r="A1503">
        <v>99</v>
      </c>
      <c r="B1503">
        <v>26</v>
      </c>
      <c r="C1503" t="s">
        <v>124</v>
      </c>
      <c r="D1503" t="s">
        <v>739</v>
      </c>
      <c r="E1503" t="s">
        <v>124</v>
      </c>
      <c r="F1503">
        <v>0</v>
      </c>
      <c r="G1503" t="s">
        <v>124</v>
      </c>
      <c r="H1503" t="s">
        <v>124</v>
      </c>
      <c r="I1503" t="s">
        <v>124</v>
      </c>
      <c r="J1503" t="s">
        <v>124</v>
      </c>
      <c r="K1503" t="s">
        <v>124</v>
      </c>
      <c r="L1503" t="s">
        <v>124</v>
      </c>
      <c r="M1503" t="s">
        <v>2162</v>
      </c>
      <c r="N1503" t="b">
        <v>0</v>
      </c>
    </row>
    <row r="1504" spans="1:14">
      <c r="A1504">
        <v>102</v>
      </c>
      <c r="B1504">
        <v>0</v>
      </c>
      <c r="C1504" t="s">
        <v>214</v>
      </c>
      <c r="D1504" t="s">
        <v>722</v>
      </c>
      <c r="E1504" t="s">
        <v>63</v>
      </c>
      <c r="F1504">
        <v>60</v>
      </c>
      <c r="G1504" t="s">
        <v>124</v>
      </c>
      <c r="H1504" t="s">
        <v>124</v>
      </c>
      <c r="I1504" t="s">
        <v>63</v>
      </c>
      <c r="J1504" t="s">
        <v>124</v>
      </c>
      <c r="K1504" t="s">
        <v>124</v>
      </c>
      <c r="L1504" t="s">
        <v>124</v>
      </c>
      <c r="M1504" t="s">
        <v>2163</v>
      </c>
      <c r="N1504" t="b">
        <v>0</v>
      </c>
    </row>
    <row r="1505" spans="1:14">
      <c r="A1505">
        <v>102</v>
      </c>
      <c r="B1505">
        <v>1</v>
      </c>
      <c r="C1505" t="s">
        <v>327</v>
      </c>
      <c r="D1505" t="s">
        <v>722</v>
      </c>
      <c r="E1505" t="s">
        <v>75</v>
      </c>
      <c r="F1505">
        <v>40</v>
      </c>
      <c r="G1505" t="s">
        <v>124</v>
      </c>
      <c r="H1505" t="s">
        <v>124</v>
      </c>
      <c r="I1505" t="s">
        <v>75</v>
      </c>
      <c r="J1505" t="s">
        <v>124</v>
      </c>
      <c r="K1505" t="s">
        <v>124</v>
      </c>
      <c r="L1505" t="s">
        <v>124</v>
      </c>
      <c r="M1505" t="s">
        <v>2164</v>
      </c>
      <c r="N1505" t="b">
        <v>0</v>
      </c>
    </row>
    <row r="1506" spans="1:14">
      <c r="A1506">
        <v>102</v>
      </c>
      <c r="B1506">
        <v>2</v>
      </c>
      <c r="C1506" t="s">
        <v>266</v>
      </c>
      <c r="D1506" t="s">
        <v>722</v>
      </c>
      <c r="E1506" t="s">
        <v>81</v>
      </c>
      <c r="F1506">
        <v>30</v>
      </c>
      <c r="G1506" t="s">
        <v>124</v>
      </c>
      <c r="H1506" t="s">
        <v>124</v>
      </c>
      <c r="I1506" t="s">
        <v>81</v>
      </c>
      <c r="J1506" t="s">
        <v>124</v>
      </c>
      <c r="K1506" t="s">
        <v>124</v>
      </c>
      <c r="L1506" t="s">
        <v>124</v>
      </c>
      <c r="M1506" t="s">
        <v>2165</v>
      </c>
      <c r="N1506" t="b">
        <v>0</v>
      </c>
    </row>
    <row r="1507" spans="1:14">
      <c r="A1507">
        <v>102</v>
      </c>
      <c r="B1507">
        <v>3</v>
      </c>
      <c r="C1507" t="s">
        <v>481</v>
      </c>
      <c r="D1507" t="s">
        <v>722</v>
      </c>
      <c r="E1507" t="s">
        <v>542</v>
      </c>
      <c r="F1507">
        <v>50</v>
      </c>
      <c r="G1507" t="s">
        <v>124</v>
      </c>
      <c r="H1507" t="s">
        <v>545</v>
      </c>
      <c r="I1507" t="s">
        <v>506</v>
      </c>
      <c r="J1507" t="s">
        <v>124</v>
      </c>
      <c r="K1507" t="s">
        <v>790</v>
      </c>
      <c r="L1507" t="s">
        <v>791</v>
      </c>
      <c r="M1507" t="s">
        <v>2166</v>
      </c>
      <c r="N1507" t="b">
        <v>0</v>
      </c>
    </row>
    <row r="1508" spans="1:14">
      <c r="A1508">
        <v>102</v>
      </c>
      <c r="B1508">
        <v>4</v>
      </c>
      <c r="C1508" t="s">
        <v>482</v>
      </c>
      <c r="D1508" t="s">
        <v>722</v>
      </c>
      <c r="E1508" t="s">
        <v>542</v>
      </c>
      <c r="F1508">
        <v>50</v>
      </c>
      <c r="G1508" t="s">
        <v>124</v>
      </c>
      <c r="H1508" t="s">
        <v>555</v>
      </c>
      <c r="I1508" t="s">
        <v>484</v>
      </c>
      <c r="J1508" t="s">
        <v>124</v>
      </c>
      <c r="K1508" t="s">
        <v>793</v>
      </c>
      <c r="L1508" t="s">
        <v>794</v>
      </c>
      <c r="M1508" t="s">
        <v>2167</v>
      </c>
      <c r="N1508" t="b">
        <v>0</v>
      </c>
    </row>
    <row r="1509" spans="1:14">
      <c r="A1509">
        <v>102</v>
      </c>
      <c r="B1509">
        <v>5</v>
      </c>
      <c r="C1509" t="s">
        <v>217</v>
      </c>
      <c r="D1509" t="s">
        <v>722</v>
      </c>
      <c r="E1509" t="s">
        <v>99</v>
      </c>
      <c r="F1509">
        <v>60</v>
      </c>
      <c r="G1509" t="s">
        <v>124</v>
      </c>
      <c r="H1509" t="s">
        <v>124</v>
      </c>
      <c r="I1509" t="s">
        <v>99</v>
      </c>
      <c r="J1509" t="s">
        <v>124</v>
      </c>
      <c r="K1509" t="s">
        <v>124</v>
      </c>
      <c r="L1509" t="s">
        <v>124</v>
      </c>
      <c r="M1509" t="s">
        <v>2168</v>
      </c>
      <c r="N1509" t="b">
        <v>0</v>
      </c>
    </row>
    <row r="1510" spans="1:14">
      <c r="A1510">
        <v>102</v>
      </c>
      <c r="B1510">
        <v>6</v>
      </c>
      <c r="C1510" t="s">
        <v>337</v>
      </c>
      <c r="D1510" t="s">
        <v>722</v>
      </c>
      <c r="E1510" t="s">
        <v>110</v>
      </c>
      <c r="F1510">
        <v>40</v>
      </c>
      <c r="G1510" t="s">
        <v>124</v>
      </c>
      <c r="H1510" t="s">
        <v>124</v>
      </c>
      <c r="I1510" t="s">
        <v>110</v>
      </c>
      <c r="J1510" t="s">
        <v>124</v>
      </c>
      <c r="K1510" t="s">
        <v>124</v>
      </c>
      <c r="L1510" t="s">
        <v>124</v>
      </c>
      <c r="M1510" t="s">
        <v>2169</v>
      </c>
      <c r="N1510" t="b">
        <v>0</v>
      </c>
    </row>
    <row r="1511" spans="1:14">
      <c r="A1511">
        <v>102</v>
      </c>
      <c r="B1511">
        <v>7</v>
      </c>
      <c r="C1511" t="s">
        <v>380</v>
      </c>
      <c r="D1511" t="s">
        <v>722</v>
      </c>
      <c r="E1511" t="s">
        <v>329</v>
      </c>
      <c r="F1511">
        <v>50</v>
      </c>
      <c r="G1511" t="s">
        <v>124</v>
      </c>
      <c r="H1511" t="s">
        <v>556</v>
      </c>
      <c r="I1511" t="s">
        <v>475</v>
      </c>
      <c r="J1511" t="s">
        <v>124</v>
      </c>
      <c r="K1511" t="s">
        <v>919</v>
      </c>
      <c r="L1511" t="s">
        <v>920</v>
      </c>
      <c r="M1511" t="s">
        <v>2170</v>
      </c>
      <c r="N1511" t="b">
        <v>0</v>
      </c>
    </row>
    <row r="1512" spans="1:14">
      <c r="A1512">
        <v>102</v>
      </c>
      <c r="B1512">
        <v>8</v>
      </c>
      <c r="C1512" t="s">
        <v>165</v>
      </c>
      <c r="D1512" t="s">
        <v>722</v>
      </c>
      <c r="E1512" t="s">
        <v>72</v>
      </c>
      <c r="F1512">
        <v>50</v>
      </c>
      <c r="G1512" t="s">
        <v>124</v>
      </c>
      <c r="H1512" t="s">
        <v>124</v>
      </c>
      <c r="I1512" t="s">
        <v>72</v>
      </c>
      <c r="J1512" t="s">
        <v>124</v>
      </c>
      <c r="K1512" t="s">
        <v>124</v>
      </c>
      <c r="L1512" t="s">
        <v>124</v>
      </c>
      <c r="M1512" t="s">
        <v>2171</v>
      </c>
      <c r="N1512" t="b">
        <v>0</v>
      </c>
    </row>
    <row r="1513" spans="1:14">
      <c r="A1513">
        <v>102</v>
      </c>
      <c r="B1513">
        <v>9</v>
      </c>
      <c r="C1513" t="s">
        <v>483</v>
      </c>
      <c r="D1513" t="s">
        <v>722</v>
      </c>
      <c r="E1513" t="s">
        <v>356</v>
      </c>
      <c r="F1513">
        <v>50</v>
      </c>
      <c r="G1513" t="s">
        <v>124</v>
      </c>
      <c r="H1513" t="s">
        <v>557</v>
      </c>
      <c r="I1513" t="s">
        <v>361</v>
      </c>
      <c r="J1513" t="s">
        <v>124</v>
      </c>
      <c r="K1513" t="s">
        <v>1162</v>
      </c>
      <c r="L1513" t="s">
        <v>1163</v>
      </c>
      <c r="M1513" t="s">
        <v>2172</v>
      </c>
      <c r="N1513" t="b">
        <v>0</v>
      </c>
    </row>
    <row r="1514" spans="1:14">
      <c r="A1514">
        <v>102</v>
      </c>
      <c r="B1514">
        <v>10</v>
      </c>
      <c r="C1514" t="s">
        <v>268</v>
      </c>
      <c r="D1514" t="s">
        <v>722</v>
      </c>
      <c r="E1514" t="s">
        <v>543</v>
      </c>
      <c r="F1514">
        <v>40</v>
      </c>
      <c r="G1514" t="s">
        <v>124</v>
      </c>
      <c r="H1514" t="s">
        <v>581</v>
      </c>
      <c r="I1514" t="s">
        <v>494</v>
      </c>
      <c r="J1514" t="s">
        <v>124</v>
      </c>
      <c r="K1514" t="s">
        <v>799</v>
      </c>
      <c r="L1514" t="s">
        <v>800</v>
      </c>
      <c r="M1514" t="s">
        <v>2173</v>
      </c>
      <c r="N1514" t="b">
        <v>0</v>
      </c>
    </row>
    <row r="1515" spans="1:14">
      <c r="A1515">
        <v>102</v>
      </c>
      <c r="B1515">
        <v>11</v>
      </c>
      <c r="C1515" t="s">
        <v>221</v>
      </c>
      <c r="D1515" t="s">
        <v>722</v>
      </c>
      <c r="E1515" t="s">
        <v>105</v>
      </c>
      <c r="F1515">
        <v>50</v>
      </c>
      <c r="G1515" t="s">
        <v>124</v>
      </c>
      <c r="H1515" t="s">
        <v>124</v>
      </c>
      <c r="I1515" t="s">
        <v>105</v>
      </c>
      <c r="J1515" t="s">
        <v>124</v>
      </c>
      <c r="K1515" t="s">
        <v>124</v>
      </c>
      <c r="L1515" t="s">
        <v>124</v>
      </c>
      <c r="M1515" t="s">
        <v>2174</v>
      </c>
      <c r="N1515" t="b">
        <v>0</v>
      </c>
    </row>
    <row r="1516" spans="1:14">
      <c r="A1516">
        <v>102</v>
      </c>
      <c r="B1516">
        <v>12</v>
      </c>
      <c r="C1516" t="s">
        <v>124</v>
      </c>
      <c r="D1516" t="s">
        <v>722</v>
      </c>
      <c r="E1516" t="s">
        <v>124</v>
      </c>
      <c r="F1516">
        <v>0</v>
      </c>
      <c r="G1516" t="s">
        <v>124</v>
      </c>
      <c r="H1516" t="s">
        <v>124</v>
      </c>
      <c r="I1516" t="s">
        <v>124</v>
      </c>
      <c r="J1516" t="s">
        <v>124</v>
      </c>
      <c r="K1516" t="s">
        <v>124</v>
      </c>
      <c r="L1516" t="s">
        <v>124</v>
      </c>
      <c r="M1516" t="s">
        <v>2175</v>
      </c>
      <c r="N1516" t="b">
        <v>0</v>
      </c>
    </row>
    <row r="1517" spans="1:14">
      <c r="A1517">
        <v>102</v>
      </c>
      <c r="B1517">
        <v>13</v>
      </c>
      <c r="C1517" t="s">
        <v>124</v>
      </c>
      <c r="D1517" t="s">
        <v>722</v>
      </c>
      <c r="E1517" t="s">
        <v>124</v>
      </c>
      <c r="F1517">
        <v>0</v>
      </c>
      <c r="G1517" t="s">
        <v>124</v>
      </c>
      <c r="H1517" t="s">
        <v>124</v>
      </c>
      <c r="I1517" t="s">
        <v>124</v>
      </c>
      <c r="J1517" t="s">
        <v>124</v>
      </c>
      <c r="K1517" t="s">
        <v>124</v>
      </c>
      <c r="L1517" t="s">
        <v>124</v>
      </c>
      <c r="M1517" t="s">
        <v>2176</v>
      </c>
      <c r="N1517" t="b">
        <v>0</v>
      </c>
    </row>
    <row r="1518" spans="1:14">
      <c r="A1518">
        <v>102</v>
      </c>
      <c r="B1518">
        <v>14</v>
      </c>
      <c r="C1518" t="s">
        <v>124</v>
      </c>
      <c r="D1518" t="s">
        <v>722</v>
      </c>
      <c r="E1518" t="s">
        <v>124</v>
      </c>
      <c r="F1518">
        <v>0</v>
      </c>
      <c r="G1518" t="s">
        <v>124</v>
      </c>
      <c r="H1518" t="s">
        <v>124</v>
      </c>
      <c r="I1518" t="s">
        <v>124</v>
      </c>
      <c r="J1518" t="s">
        <v>124</v>
      </c>
      <c r="K1518" t="s">
        <v>124</v>
      </c>
      <c r="L1518" t="s">
        <v>124</v>
      </c>
      <c r="M1518" t="s">
        <v>2177</v>
      </c>
      <c r="N1518" t="b">
        <v>0</v>
      </c>
    </row>
    <row r="1519" spans="1:14">
      <c r="A1519">
        <v>102</v>
      </c>
      <c r="B1519">
        <v>15</v>
      </c>
      <c r="C1519" t="s">
        <v>124</v>
      </c>
      <c r="D1519" t="s">
        <v>722</v>
      </c>
      <c r="E1519" t="s">
        <v>124</v>
      </c>
      <c r="F1519">
        <v>0</v>
      </c>
      <c r="G1519" t="s">
        <v>124</v>
      </c>
      <c r="H1519" t="s">
        <v>124</v>
      </c>
      <c r="I1519" t="s">
        <v>124</v>
      </c>
      <c r="J1519" t="s">
        <v>124</v>
      </c>
      <c r="K1519" t="s">
        <v>124</v>
      </c>
      <c r="L1519" t="s">
        <v>124</v>
      </c>
      <c r="M1519" t="s">
        <v>2178</v>
      </c>
      <c r="N1519" t="b">
        <v>0</v>
      </c>
    </row>
    <row r="1520" spans="1:14">
      <c r="A1520">
        <v>102</v>
      </c>
      <c r="B1520">
        <v>16</v>
      </c>
      <c r="C1520" t="s">
        <v>124</v>
      </c>
      <c r="D1520" t="s">
        <v>739</v>
      </c>
      <c r="E1520" t="s">
        <v>124</v>
      </c>
      <c r="F1520">
        <v>0</v>
      </c>
      <c r="G1520" t="s">
        <v>124</v>
      </c>
      <c r="H1520" t="s">
        <v>124</v>
      </c>
      <c r="I1520" t="s">
        <v>124</v>
      </c>
      <c r="J1520" t="s">
        <v>124</v>
      </c>
      <c r="K1520" t="s">
        <v>124</v>
      </c>
      <c r="L1520" t="s">
        <v>124</v>
      </c>
      <c r="M1520" t="s">
        <v>2179</v>
      </c>
      <c r="N1520" t="b">
        <v>0</v>
      </c>
    </row>
    <row r="1521" spans="1:14">
      <c r="A1521">
        <v>102</v>
      </c>
      <c r="B1521">
        <v>17</v>
      </c>
      <c r="C1521" t="s">
        <v>124</v>
      </c>
      <c r="D1521" t="s">
        <v>739</v>
      </c>
      <c r="E1521" t="s">
        <v>124</v>
      </c>
      <c r="F1521">
        <v>0</v>
      </c>
      <c r="G1521" t="s">
        <v>124</v>
      </c>
      <c r="H1521" t="s">
        <v>124</v>
      </c>
      <c r="I1521" t="s">
        <v>124</v>
      </c>
      <c r="J1521" t="s">
        <v>124</v>
      </c>
      <c r="K1521" t="s">
        <v>124</v>
      </c>
      <c r="L1521" t="s">
        <v>124</v>
      </c>
      <c r="M1521" t="s">
        <v>2180</v>
      </c>
      <c r="N1521" t="b">
        <v>0</v>
      </c>
    </row>
    <row r="1522" spans="1:14">
      <c r="A1522">
        <v>102</v>
      </c>
      <c r="B1522">
        <v>18</v>
      </c>
      <c r="C1522" t="s">
        <v>124</v>
      </c>
      <c r="D1522" t="s">
        <v>739</v>
      </c>
      <c r="E1522" t="s">
        <v>124</v>
      </c>
      <c r="F1522">
        <v>0</v>
      </c>
      <c r="G1522" t="s">
        <v>124</v>
      </c>
      <c r="H1522" t="s">
        <v>124</v>
      </c>
      <c r="I1522" t="s">
        <v>124</v>
      </c>
      <c r="J1522" t="s">
        <v>124</v>
      </c>
      <c r="K1522" t="s">
        <v>124</v>
      </c>
      <c r="L1522" t="s">
        <v>124</v>
      </c>
      <c r="M1522" t="s">
        <v>2181</v>
      </c>
      <c r="N1522" t="b">
        <v>0</v>
      </c>
    </row>
    <row r="1523" spans="1:14">
      <c r="A1523">
        <v>102</v>
      </c>
      <c r="B1523">
        <v>19</v>
      </c>
      <c r="C1523" t="s">
        <v>124</v>
      </c>
      <c r="D1523" t="s">
        <v>739</v>
      </c>
      <c r="E1523" t="s">
        <v>124</v>
      </c>
      <c r="F1523">
        <v>0</v>
      </c>
      <c r="G1523" t="s">
        <v>124</v>
      </c>
      <c r="H1523" t="s">
        <v>124</v>
      </c>
      <c r="I1523" t="s">
        <v>124</v>
      </c>
      <c r="J1523" t="s">
        <v>124</v>
      </c>
      <c r="K1523" t="s">
        <v>124</v>
      </c>
      <c r="L1523" t="s">
        <v>124</v>
      </c>
      <c r="M1523" t="s">
        <v>2182</v>
      </c>
      <c r="N1523" t="b">
        <v>0</v>
      </c>
    </row>
    <row r="1524" spans="1:14">
      <c r="A1524">
        <v>102</v>
      </c>
      <c r="B1524">
        <v>20</v>
      </c>
      <c r="C1524" t="s">
        <v>124</v>
      </c>
      <c r="D1524" t="s">
        <v>739</v>
      </c>
      <c r="E1524" t="s">
        <v>124</v>
      </c>
      <c r="F1524">
        <v>0</v>
      </c>
      <c r="G1524" t="s">
        <v>124</v>
      </c>
      <c r="H1524" t="s">
        <v>124</v>
      </c>
      <c r="I1524" t="s">
        <v>124</v>
      </c>
      <c r="J1524" t="s">
        <v>124</v>
      </c>
      <c r="K1524" t="s">
        <v>124</v>
      </c>
      <c r="L1524" t="s">
        <v>124</v>
      </c>
      <c r="M1524" t="s">
        <v>2183</v>
      </c>
      <c r="N1524" t="b">
        <v>0</v>
      </c>
    </row>
    <row r="1525" spans="1:14">
      <c r="A1525">
        <v>102</v>
      </c>
      <c r="B1525">
        <v>21</v>
      </c>
      <c r="C1525" t="s">
        <v>124</v>
      </c>
      <c r="D1525" t="s">
        <v>739</v>
      </c>
      <c r="E1525" t="s">
        <v>124</v>
      </c>
      <c r="F1525">
        <v>0</v>
      </c>
      <c r="G1525" t="s">
        <v>124</v>
      </c>
      <c r="H1525" t="s">
        <v>124</v>
      </c>
      <c r="I1525" t="s">
        <v>124</v>
      </c>
      <c r="J1525" t="s">
        <v>124</v>
      </c>
      <c r="K1525" t="s">
        <v>124</v>
      </c>
      <c r="L1525" t="s">
        <v>124</v>
      </c>
      <c r="M1525" t="s">
        <v>2184</v>
      </c>
      <c r="N1525" t="b">
        <v>0</v>
      </c>
    </row>
    <row r="1526" spans="1:14">
      <c r="A1526">
        <v>102</v>
      </c>
      <c r="B1526">
        <v>22</v>
      </c>
      <c r="C1526" t="s">
        <v>124</v>
      </c>
      <c r="D1526" t="s">
        <v>739</v>
      </c>
      <c r="E1526" t="s">
        <v>124</v>
      </c>
      <c r="F1526">
        <v>0</v>
      </c>
      <c r="G1526" t="s">
        <v>124</v>
      </c>
      <c r="H1526" t="s">
        <v>124</v>
      </c>
      <c r="I1526" t="s">
        <v>124</v>
      </c>
      <c r="J1526" t="s">
        <v>124</v>
      </c>
      <c r="K1526" t="s">
        <v>124</v>
      </c>
      <c r="L1526" t="s">
        <v>124</v>
      </c>
      <c r="M1526" t="s">
        <v>2185</v>
      </c>
      <c r="N1526" t="b">
        <v>0</v>
      </c>
    </row>
    <row r="1527" spans="1:14">
      <c r="A1527">
        <v>102</v>
      </c>
      <c r="B1527">
        <v>23</v>
      </c>
      <c r="C1527" t="s">
        <v>124</v>
      </c>
      <c r="D1527" t="s">
        <v>739</v>
      </c>
      <c r="E1527" t="s">
        <v>124</v>
      </c>
      <c r="F1527">
        <v>0</v>
      </c>
      <c r="G1527" t="s">
        <v>124</v>
      </c>
      <c r="H1527" t="s">
        <v>124</v>
      </c>
      <c r="I1527" t="s">
        <v>124</v>
      </c>
      <c r="J1527" t="s">
        <v>124</v>
      </c>
      <c r="K1527" t="s">
        <v>124</v>
      </c>
      <c r="L1527" t="s">
        <v>124</v>
      </c>
      <c r="M1527" t="s">
        <v>2186</v>
      </c>
      <c r="N1527" t="b">
        <v>0</v>
      </c>
    </row>
    <row r="1528" spans="1:14">
      <c r="A1528">
        <v>102</v>
      </c>
      <c r="B1528">
        <v>24</v>
      </c>
      <c r="C1528" t="s">
        <v>124</v>
      </c>
      <c r="D1528" t="s">
        <v>739</v>
      </c>
      <c r="E1528" t="s">
        <v>124</v>
      </c>
      <c r="F1528">
        <v>0</v>
      </c>
      <c r="G1528" t="s">
        <v>124</v>
      </c>
      <c r="H1528" t="s">
        <v>124</v>
      </c>
      <c r="I1528" t="s">
        <v>124</v>
      </c>
      <c r="J1528" t="s">
        <v>124</v>
      </c>
      <c r="K1528" t="s">
        <v>124</v>
      </c>
      <c r="L1528" t="s">
        <v>124</v>
      </c>
      <c r="M1528" t="s">
        <v>2187</v>
      </c>
      <c r="N1528" t="b">
        <v>0</v>
      </c>
    </row>
    <row r="1529" spans="1:14">
      <c r="A1529">
        <v>102</v>
      </c>
      <c r="B1529">
        <v>25</v>
      </c>
      <c r="C1529" t="s">
        <v>124</v>
      </c>
      <c r="D1529" t="s">
        <v>739</v>
      </c>
      <c r="E1529" t="s">
        <v>124</v>
      </c>
      <c r="F1529">
        <v>0</v>
      </c>
      <c r="G1529" t="s">
        <v>124</v>
      </c>
      <c r="H1529" t="s">
        <v>124</v>
      </c>
      <c r="I1529" t="s">
        <v>124</v>
      </c>
      <c r="J1529" t="s">
        <v>124</v>
      </c>
      <c r="K1529" t="s">
        <v>124</v>
      </c>
      <c r="L1529" t="s">
        <v>124</v>
      </c>
      <c r="M1529" t="s">
        <v>2188</v>
      </c>
      <c r="N1529" t="b">
        <v>0</v>
      </c>
    </row>
    <row r="1530" spans="1:14">
      <c r="A1530">
        <v>102</v>
      </c>
      <c r="B1530">
        <v>26</v>
      </c>
      <c r="C1530" t="s">
        <v>124</v>
      </c>
      <c r="D1530" t="s">
        <v>739</v>
      </c>
      <c r="E1530" t="s">
        <v>124</v>
      </c>
      <c r="F1530">
        <v>0</v>
      </c>
      <c r="G1530" t="s">
        <v>124</v>
      </c>
      <c r="H1530" t="s">
        <v>124</v>
      </c>
      <c r="I1530" t="s">
        <v>124</v>
      </c>
      <c r="J1530" t="s">
        <v>124</v>
      </c>
      <c r="K1530" t="s">
        <v>124</v>
      </c>
      <c r="L1530" t="s">
        <v>124</v>
      </c>
      <c r="M1530" t="s">
        <v>2189</v>
      </c>
      <c r="N1530" t="b">
        <v>0</v>
      </c>
    </row>
    <row r="1531" spans="1:14">
      <c r="A1531">
        <v>103</v>
      </c>
      <c r="B1531">
        <v>0</v>
      </c>
      <c r="C1531" t="s">
        <v>184</v>
      </c>
      <c r="D1531" t="s">
        <v>722</v>
      </c>
      <c r="E1531" t="s">
        <v>63</v>
      </c>
      <c r="F1531">
        <v>50</v>
      </c>
      <c r="G1531" t="s">
        <v>124</v>
      </c>
      <c r="H1531" t="s">
        <v>124</v>
      </c>
      <c r="I1531" t="s">
        <v>63</v>
      </c>
      <c r="J1531" t="s">
        <v>124</v>
      </c>
      <c r="K1531" t="s">
        <v>124</v>
      </c>
      <c r="L1531" t="s">
        <v>124</v>
      </c>
      <c r="M1531" t="s">
        <v>2190</v>
      </c>
      <c r="N1531" t="b">
        <v>0</v>
      </c>
    </row>
    <row r="1532" spans="1:14">
      <c r="A1532">
        <v>103</v>
      </c>
      <c r="B1532">
        <v>1</v>
      </c>
      <c r="C1532" t="s">
        <v>327</v>
      </c>
      <c r="D1532" t="s">
        <v>722</v>
      </c>
      <c r="E1532" t="s">
        <v>75</v>
      </c>
      <c r="F1532">
        <v>40</v>
      </c>
      <c r="G1532" t="s">
        <v>124</v>
      </c>
      <c r="H1532" t="s">
        <v>124</v>
      </c>
      <c r="I1532" t="s">
        <v>75</v>
      </c>
      <c r="J1532" t="s">
        <v>124</v>
      </c>
      <c r="K1532" t="s">
        <v>124</v>
      </c>
      <c r="L1532" t="s">
        <v>124</v>
      </c>
      <c r="M1532" t="s">
        <v>2191</v>
      </c>
      <c r="N1532" t="b">
        <v>0</v>
      </c>
    </row>
    <row r="1533" spans="1:14">
      <c r="A1533">
        <v>103</v>
      </c>
      <c r="B1533">
        <v>2</v>
      </c>
      <c r="C1533" t="s">
        <v>156</v>
      </c>
      <c r="D1533" t="s">
        <v>722</v>
      </c>
      <c r="E1533" t="s">
        <v>81</v>
      </c>
      <c r="F1533">
        <v>40</v>
      </c>
      <c r="G1533" t="s">
        <v>124</v>
      </c>
      <c r="H1533" t="s">
        <v>124</v>
      </c>
      <c r="I1533" t="s">
        <v>81</v>
      </c>
      <c r="J1533" t="s">
        <v>124</v>
      </c>
      <c r="K1533" t="s">
        <v>124</v>
      </c>
      <c r="L1533" t="s">
        <v>124</v>
      </c>
      <c r="M1533" t="s">
        <v>2192</v>
      </c>
      <c r="N1533" t="b">
        <v>0</v>
      </c>
    </row>
    <row r="1534" spans="1:14">
      <c r="A1534">
        <v>103</v>
      </c>
      <c r="B1534">
        <v>3</v>
      </c>
      <c r="C1534" t="s">
        <v>185</v>
      </c>
      <c r="D1534" t="s">
        <v>722</v>
      </c>
      <c r="E1534" t="s">
        <v>91</v>
      </c>
      <c r="F1534">
        <v>50</v>
      </c>
      <c r="G1534" t="s">
        <v>124</v>
      </c>
      <c r="H1534" t="s">
        <v>124</v>
      </c>
      <c r="I1534" t="s">
        <v>91</v>
      </c>
      <c r="J1534" t="s">
        <v>124</v>
      </c>
      <c r="K1534" t="s">
        <v>124</v>
      </c>
      <c r="L1534" t="s">
        <v>124</v>
      </c>
      <c r="M1534" t="s">
        <v>2193</v>
      </c>
      <c r="N1534" t="b">
        <v>0</v>
      </c>
    </row>
    <row r="1535" spans="1:14">
      <c r="A1535">
        <v>103</v>
      </c>
      <c r="B1535">
        <v>4</v>
      </c>
      <c r="C1535" t="s">
        <v>186</v>
      </c>
      <c r="D1535" t="s">
        <v>722</v>
      </c>
      <c r="E1535" t="s">
        <v>97</v>
      </c>
      <c r="F1535">
        <v>50</v>
      </c>
      <c r="G1535" t="s">
        <v>124</v>
      </c>
      <c r="H1535" t="s">
        <v>124</v>
      </c>
      <c r="I1535" t="s">
        <v>97</v>
      </c>
      <c r="J1535" t="s">
        <v>124</v>
      </c>
      <c r="K1535" t="s">
        <v>124</v>
      </c>
      <c r="L1535" t="s">
        <v>124</v>
      </c>
      <c r="M1535" t="s">
        <v>2194</v>
      </c>
      <c r="N1535" t="b">
        <v>0</v>
      </c>
    </row>
    <row r="1536" spans="1:14">
      <c r="A1536">
        <v>103</v>
      </c>
      <c r="B1536">
        <v>5</v>
      </c>
      <c r="C1536" t="s">
        <v>187</v>
      </c>
      <c r="D1536" t="s">
        <v>722</v>
      </c>
      <c r="E1536" t="s">
        <v>99</v>
      </c>
      <c r="F1536">
        <v>50</v>
      </c>
      <c r="G1536" t="s">
        <v>124</v>
      </c>
      <c r="H1536" t="s">
        <v>124</v>
      </c>
      <c r="I1536" t="s">
        <v>99</v>
      </c>
      <c r="J1536" t="s">
        <v>124</v>
      </c>
      <c r="K1536" t="s">
        <v>124</v>
      </c>
      <c r="L1536" t="s">
        <v>124</v>
      </c>
      <c r="M1536" t="s">
        <v>2195</v>
      </c>
      <c r="N1536" t="b">
        <v>0</v>
      </c>
    </row>
    <row r="1537" spans="1:14">
      <c r="A1537">
        <v>103</v>
      </c>
      <c r="B1537">
        <v>6</v>
      </c>
      <c r="C1537" t="s">
        <v>434</v>
      </c>
      <c r="D1537" t="s">
        <v>722</v>
      </c>
      <c r="E1537" t="s">
        <v>295</v>
      </c>
      <c r="F1537">
        <v>50</v>
      </c>
      <c r="G1537" t="s">
        <v>124</v>
      </c>
      <c r="H1537" t="s">
        <v>1895</v>
      </c>
      <c r="I1537" t="s">
        <v>1896</v>
      </c>
      <c r="J1537" t="s">
        <v>124</v>
      </c>
      <c r="K1537" t="s">
        <v>760</v>
      </c>
      <c r="L1537" t="s">
        <v>761</v>
      </c>
      <c r="M1537" t="s">
        <v>2196</v>
      </c>
      <c r="N1537" t="b">
        <v>0</v>
      </c>
    </row>
    <row r="1538" spans="1:14">
      <c r="A1538">
        <v>103</v>
      </c>
      <c r="B1538">
        <v>7</v>
      </c>
      <c r="C1538" t="s">
        <v>188</v>
      </c>
      <c r="D1538" t="s">
        <v>722</v>
      </c>
      <c r="E1538" t="s">
        <v>107</v>
      </c>
      <c r="F1538">
        <v>30</v>
      </c>
      <c r="G1538" t="s">
        <v>124</v>
      </c>
      <c r="H1538" t="s">
        <v>124</v>
      </c>
      <c r="I1538" t="s">
        <v>107</v>
      </c>
      <c r="J1538" t="s">
        <v>124</v>
      </c>
      <c r="K1538" t="s">
        <v>124</v>
      </c>
      <c r="L1538" t="s">
        <v>124</v>
      </c>
      <c r="M1538" t="s">
        <v>2197</v>
      </c>
      <c r="N1538" t="b">
        <v>0</v>
      </c>
    </row>
    <row r="1539" spans="1:14">
      <c r="A1539">
        <v>103</v>
      </c>
      <c r="B1539">
        <v>8</v>
      </c>
      <c r="C1539" t="s">
        <v>196</v>
      </c>
      <c r="D1539" t="s">
        <v>722</v>
      </c>
      <c r="E1539" t="s">
        <v>111</v>
      </c>
      <c r="F1539">
        <v>50</v>
      </c>
      <c r="G1539" t="s">
        <v>124</v>
      </c>
      <c r="H1539" t="s">
        <v>124</v>
      </c>
      <c r="I1539" t="s">
        <v>111</v>
      </c>
      <c r="J1539" t="s">
        <v>124</v>
      </c>
      <c r="K1539" t="s">
        <v>124</v>
      </c>
      <c r="L1539" t="s">
        <v>124</v>
      </c>
      <c r="M1539" t="s">
        <v>2198</v>
      </c>
      <c r="N1539" t="b">
        <v>0</v>
      </c>
    </row>
    <row r="1540" spans="1:14">
      <c r="A1540">
        <v>103</v>
      </c>
      <c r="B1540">
        <v>9</v>
      </c>
      <c r="C1540" t="s">
        <v>189</v>
      </c>
      <c r="D1540" t="s">
        <v>722</v>
      </c>
      <c r="E1540" t="s">
        <v>113</v>
      </c>
      <c r="F1540">
        <v>60</v>
      </c>
      <c r="G1540" t="s">
        <v>124</v>
      </c>
      <c r="H1540" t="s">
        <v>124</v>
      </c>
      <c r="I1540" t="s">
        <v>113</v>
      </c>
      <c r="J1540" t="s">
        <v>124</v>
      </c>
      <c r="K1540" t="s">
        <v>124</v>
      </c>
      <c r="L1540" t="s">
        <v>124</v>
      </c>
      <c r="M1540" t="s">
        <v>2199</v>
      </c>
      <c r="N1540" t="b">
        <v>0</v>
      </c>
    </row>
    <row r="1541" spans="1:14">
      <c r="A1541">
        <v>103</v>
      </c>
      <c r="B1541">
        <v>10</v>
      </c>
      <c r="C1541" t="s">
        <v>190</v>
      </c>
      <c r="D1541" t="s">
        <v>722</v>
      </c>
      <c r="E1541" t="s">
        <v>59</v>
      </c>
      <c r="F1541">
        <v>30</v>
      </c>
      <c r="G1541" t="s">
        <v>124</v>
      </c>
      <c r="H1541" t="s">
        <v>124</v>
      </c>
      <c r="I1541" t="s">
        <v>59</v>
      </c>
      <c r="J1541" t="s">
        <v>124</v>
      </c>
      <c r="K1541" t="s">
        <v>124</v>
      </c>
      <c r="L1541" t="s">
        <v>124</v>
      </c>
      <c r="M1541" t="s">
        <v>2200</v>
      </c>
      <c r="N1541" t="b">
        <v>0</v>
      </c>
    </row>
    <row r="1542" spans="1:14">
      <c r="A1542">
        <v>103</v>
      </c>
      <c r="B1542">
        <v>11</v>
      </c>
      <c r="C1542" t="s">
        <v>191</v>
      </c>
      <c r="D1542" t="s">
        <v>722</v>
      </c>
      <c r="E1542" t="s">
        <v>76</v>
      </c>
      <c r="F1542">
        <v>50</v>
      </c>
      <c r="G1542" t="s">
        <v>124</v>
      </c>
      <c r="H1542" t="s">
        <v>124</v>
      </c>
      <c r="I1542" t="s">
        <v>76</v>
      </c>
      <c r="J1542" t="s">
        <v>124</v>
      </c>
      <c r="K1542" t="s">
        <v>124</v>
      </c>
      <c r="L1542" t="s">
        <v>124</v>
      </c>
      <c r="M1542" t="s">
        <v>2201</v>
      </c>
      <c r="N1542" t="b">
        <v>0</v>
      </c>
    </row>
    <row r="1543" spans="1:14">
      <c r="A1543">
        <v>103</v>
      </c>
      <c r="B1543">
        <v>12</v>
      </c>
      <c r="C1543" t="s">
        <v>192</v>
      </c>
      <c r="D1543" t="s">
        <v>722</v>
      </c>
      <c r="E1543" t="s">
        <v>96</v>
      </c>
      <c r="F1543">
        <v>50</v>
      </c>
      <c r="G1543" t="s">
        <v>124</v>
      </c>
      <c r="H1543" t="s">
        <v>124</v>
      </c>
      <c r="I1543" t="s">
        <v>96</v>
      </c>
      <c r="J1543" t="s">
        <v>124</v>
      </c>
      <c r="K1543" t="s">
        <v>124</v>
      </c>
      <c r="L1543" t="s">
        <v>124</v>
      </c>
      <c r="M1543" t="s">
        <v>2202</v>
      </c>
      <c r="N1543" t="b">
        <v>0</v>
      </c>
    </row>
    <row r="1544" spans="1:14">
      <c r="A1544">
        <v>103</v>
      </c>
      <c r="B1544">
        <v>13</v>
      </c>
      <c r="C1544" t="s">
        <v>290</v>
      </c>
      <c r="D1544" t="s">
        <v>722</v>
      </c>
      <c r="E1544" t="s">
        <v>105</v>
      </c>
      <c r="F1544">
        <v>60</v>
      </c>
      <c r="G1544" t="s">
        <v>124</v>
      </c>
      <c r="H1544" t="s">
        <v>124</v>
      </c>
      <c r="I1544" t="s">
        <v>105</v>
      </c>
      <c r="J1544" t="s">
        <v>124</v>
      </c>
      <c r="K1544" t="s">
        <v>124</v>
      </c>
      <c r="L1544" t="s">
        <v>124</v>
      </c>
      <c r="M1544" t="s">
        <v>2203</v>
      </c>
      <c r="N1544" t="b">
        <v>0</v>
      </c>
    </row>
    <row r="1545" spans="1:14">
      <c r="A1545">
        <v>103</v>
      </c>
      <c r="B1545">
        <v>14</v>
      </c>
      <c r="C1545" t="s">
        <v>193</v>
      </c>
      <c r="D1545" t="s">
        <v>722</v>
      </c>
      <c r="E1545" t="s">
        <v>106</v>
      </c>
      <c r="F1545">
        <v>60</v>
      </c>
      <c r="G1545" t="s">
        <v>124</v>
      </c>
      <c r="H1545" t="s">
        <v>124</v>
      </c>
      <c r="I1545" t="s">
        <v>106</v>
      </c>
      <c r="J1545" t="s">
        <v>124</v>
      </c>
      <c r="K1545" t="s">
        <v>124</v>
      </c>
      <c r="L1545" t="s">
        <v>124</v>
      </c>
      <c r="M1545" t="s">
        <v>2204</v>
      </c>
      <c r="N1545" t="b">
        <v>0</v>
      </c>
    </row>
    <row r="1546" spans="1:14">
      <c r="A1546">
        <v>103</v>
      </c>
      <c r="B1546">
        <v>15</v>
      </c>
      <c r="C1546" t="s">
        <v>124</v>
      </c>
      <c r="D1546" t="s">
        <v>722</v>
      </c>
      <c r="E1546" t="s">
        <v>124</v>
      </c>
      <c r="F1546">
        <v>0</v>
      </c>
      <c r="G1546" t="s">
        <v>124</v>
      </c>
      <c r="H1546" t="s">
        <v>124</v>
      </c>
      <c r="I1546" t="s">
        <v>124</v>
      </c>
      <c r="J1546" t="s">
        <v>124</v>
      </c>
      <c r="K1546" t="s">
        <v>124</v>
      </c>
      <c r="L1546" t="s">
        <v>124</v>
      </c>
      <c r="M1546" t="s">
        <v>2205</v>
      </c>
      <c r="N1546" t="b">
        <v>0</v>
      </c>
    </row>
    <row r="1547" spans="1:14">
      <c r="A1547">
        <v>103</v>
      </c>
      <c r="B1547">
        <v>16</v>
      </c>
      <c r="C1547" t="s">
        <v>124</v>
      </c>
      <c r="D1547" t="s">
        <v>739</v>
      </c>
      <c r="E1547" t="s">
        <v>124</v>
      </c>
      <c r="F1547">
        <v>0</v>
      </c>
      <c r="G1547" t="s">
        <v>124</v>
      </c>
      <c r="H1547" t="s">
        <v>124</v>
      </c>
      <c r="I1547" t="s">
        <v>124</v>
      </c>
      <c r="J1547" t="s">
        <v>124</v>
      </c>
      <c r="K1547" t="s">
        <v>124</v>
      </c>
      <c r="L1547" t="s">
        <v>124</v>
      </c>
      <c r="M1547" t="s">
        <v>2206</v>
      </c>
      <c r="N1547" t="b">
        <v>0</v>
      </c>
    </row>
    <row r="1548" spans="1:14">
      <c r="A1548">
        <v>103</v>
      </c>
      <c r="B1548">
        <v>17</v>
      </c>
      <c r="C1548" t="s">
        <v>124</v>
      </c>
      <c r="D1548" t="s">
        <v>739</v>
      </c>
      <c r="E1548" t="s">
        <v>124</v>
      </c>
      <c r="F1548">
        <v>0</v>
      </c>
      <c r="G1548" t="s">
        <v>124</v>
      </c>
      <c r="H1548" t="s">
        <v>124</v>
      </c>
      <c r="I1548" t="s">
        <v>124</v>
      </c>
      <c r="J1548" t="s">
        <v>124</v>
      </c>
      <c r="K1548" t="s">
        <v>124</v>
      </c>
      <c r="L1548" t="s">
        <v>124</v>
      </c>
      <c r="M1548" t="s">
        <v>2207</v>
      </c>
      <c r="N1548" t="b">
        <v>0</v>
      </c>
    </row>
    <row r="1549" spans="1:14">
      <c r="A1549">
        <v>103</v>
      </c>
      <c r="B1549">
        <v>18</v>
      </c>
      <c r="C1549" t="s">
        <v>124</v>
      </c>
      <c r="D1549" t="s">
        <v>739</v>
      </c>
      <c r="E1549" t="s">
        <v>124</v>
      </c>
      <c r="F1549">
        <v>0</v>
      </c>
      <c r="G1549" t="s">
        <v>124</v>
      </c>
      <c r="H1549" t="s">
        <v>124</v>
      </c>
      <c r="I1549" t="s">
        <v>124</v>
      </c>
      <c r="J1549" t="s">
        <v>124</v>
      </c>
      <c r="K1549" t="s">
        <v>124</v>
      </c>
      <c r="L1549" t="s">
        <v>124</v>
      </c>
      <c r="M1549" t="s">
        <v>2208</v>
      </c>
      <c r="N1549" t="b">
        <v>0</v>
      </c>
    </row>
    <row r="1550" spans="1:14">
      <c r="A1550">
        <v>103</v>
      </c>
      <c r="B1550">
        <v>19</v>
      </c>
      <c r="C1550" t="s">
        <v>124</v>
      </c>
      <c r="D1550" t="s">
        <v>739</v>
      </c>
      <c r="E1550" t="s">
        <v>124</v>
      </c>
      <c r="F1550">
        <v>0</v>
      </c>
      <c r="G1550" t="s">
        <v>124</v>
      </c>
      <c r="H1550" t="s">
        <v>124</v>
      </c>
      <c r="I1550" t="s">
        <v>124</v>
      </c>
      <c r="J1550" t="s">
        <v>124</v>
      </c>
      <c r="K1550" t="s">
        <v>124</v>
      </c>
      <c r="L1550" t="s">
        <v>124</v>
      </c>
      <c r="M1550" t="s">
        <v>2209</v>
      </c>
      <c r="N1550" t="b">
        <v>0</v>
      </c>
    </row>
    <row r="1551" spans="1:14">
      <c r="A1551">
        <v>103</v>
      </c>
      <c r="B1551">
        <v>20</v>
      </c>
      <c r="C1551" t="s">
        <v>124</v>
      </c>
      <c r="D1551" t="s">
        <v>739</v>
      </c>
      <c r="E1551" t="s">
        <v>124</v>
      </c>
      <c r="F1551">
        <v>0</v>
      </c>
      <c r="G1551" t="s">
        <v>124</v>
      </c>
      <c r="H1551" t="s">
        <v>124</v>
      </c>
      <c r="I1551" t="s">
        <v>124</v>
      </c>
      <c r="J1551" t="s">
        <v>124</v>
      </c>
      <c r="K1551" t="s">
        <v>124</v>
      </c>
      <c r="L1551" t="s">
        <v>124</v>
      </c>
      <c r="M1551" t="s">
        <v>2210</v>
      </c>
      <c r="N1551" t="b">
        <v>0</v>
      </c>
    </row>
    <row r="1552" spans="1:14">
      <c r="A1552">
        <v>103</v>
      </c>
      <c r="B1552">
        <v>21</v>
      </c>
      <c r="C1552" t="s">
        <v>124</v>
      </c>
      <c r="D1552" t="s">
        <v>739</v>
      </c>
      <c r="E1552" t="s">
        <v>124</v>
      </c>
      <c r="F1552">
        <v>0</v>
      </c>
      <c r="G1552" t="s">
        <v>124</v>
      </c>
      <c r="H1552" t="s">
        <v>124</v>
      </c>
      <c r="I1552" t="s">
        <v>124</v>
      </c>
      <c r="J1552" t="s">
        <v>124</v>
      </c>
      <c r="K1552" t="s">
        <v>124</v>
      </c>
      <c r="L1552" t="s">
        <v>124</v>
      </c>
      <c r="M1552" t="s">
        <v>2211</v>
      </c>
      <c r="N1552" t="b">
        <v>0</v>
      </c>
    </row>
    <row r="1553" spans="1:14">
      <c r="A1553">
        <v>103</v>
      </c>
      <c r="B1553">
        <v>22</v>
      </c>
      <c r="C1553" t="s">
        <v>124</v>
      </c>
      <c r="D1553" t="s">
        <v>739</v>
      </c>
      <c r="E1553" t="s">
        <v>124</v>
      </c>
      <c r="F1553">
        <v>0</v>
      </c>
      <c r="G1553" t="s">
        <v>124</v>
      </c>
      <c r="H1553" t="s">
        <v>124</v>
      </c>
      <c r="I1553" t="s">
        <v>124</v>
      </c>
      <c r="J1553" t="s">
        <v>124</v>
      </c>
      <c r="K1553" t="s">
        <v>124</v>
      </c>
      <c r="L1553" t="s">
        <v>124</v>
      </c>
      <c r="M1553" t="s">
        <v>2212</v>
      </c>
      <c r="N1553" t="b">
        <v>0</v>
      </c>
    </row>
    <row r="1554" spans="1:14">
      <c r="A1554">
        <v>103</v>
      </c>
      <c r="B1554">
        <v>23</v>
      </c>
      <c r="C1554" t="s">
        <v>124</v>
      </c>
      <c r="D1554" t="s">
        <v>739</v>
      </c>
      <c r="E1554" t="s">
        <v>124</v>
      </c>
      <c r="F1554">
        <v>0</v>
      </c>
      <c r="G1554" t="s">
        <v>124</v>
      </c>
      <c r="H1554" t="s">
        <v>124</v>
      </c>
      <c r="I1554" t="s">
        <v>124</v>
      </c>
      <c r="J1554" t="s">
        <v>124</v>
      </c>
      <c r="K1554" t="s">
        <v>124</v>
      </c>
      <c r="L1554" t="s">
        <v>124</v>
      </c>
      <c r="M1554" t="s">
        <v>2213</v>
      </c>
      <c r="N1554" t="b">
        <v>0</v>
      </c>
    </row>
    <row r="1555" spans="1:14">
      <c r="A1555">
        <v>103</v>
      </c>
      <c r="B1555">
        <v>24</v>
      </c>
      <c r="C1555" t="s">
        <v>124</v>
      </c>
      <c r="D1555" t="s">
        <v>739</v>
      </c>
      <c r="E1555" t="s">
        <v>124</v>
      </c>
      <c r="F1555">
        <v>0</v>
      </c>
      <c r="G1555" t="s">
        <v>124</v>
      </c>
      <c r="H1555" t="s">
        <v>124</v>
      </c>
      <c r="I1555" t="s">
        <v>124</v>
      </c>
      <c r="J1555" t="s">
        <v>124</v>
      </c>
      <c r="K1555" t="s">
        <v>124</v>
      </c>
      <c r="L1555" t="s">
        <v>124</v>
      </c>
      <c r="M1555" t="s">
        <v>2214</v>
      </c>
      <c r="N1555" t="b">
        <v>0</v>
      </c>
    </row>
    <row r="1556" spans="1:14">
      <c r="A1556">
        <v>103</v>
      </c>
      <c r="B1556">
        <v>25</v>
      </c>
      <c r="C1556" t="s">
        <v>124</v>
      </c>
      <c r="D1556" t="s">
        <v>739</v>
      </c>
      <c r="E1556" t="s">
        <v>124</v>
      </c>
      <c r="F1556">
        <v>0</v>
      </c>
      <c r="G1556" t="s">
        <v>124</v>
      </c>
      <c r="H1556" t="s">
        <v>124</v>
      </c>
      <c r="I1556" t="s">
        <v>124</v>
      </c>
      <c r="J1556" t="s">
        <v>124</v>
      </c>
      <c r="K1556" t="s">
        <v>124</v>
      </c>
      <c r="L1556" t="s">
        <v>124</v>
      </c>
      <c r="M1556" t="s">
        <v>2215</v>
      </c>
      <c r="N1556" t="b">
        <v>0</v>
      </c>
    </row>
    <row r="1557" spans="1:14">
      <c r="A1557">
        <v>103</v>
      </c>
      <c r="B1557">
        <v>26</v>
      </c>
      <c r="C1557" t="s">
        <v>124</v>
      </c>
      <c r="D1557" t="s">
        <v>739</v>
      </c>
      <c r="E1557" t="s">
        <v>124</v>
      </c>
      <c r="F1557">
        <v>0</v>
      </c>
      <c r="G1557" t="s">
        <v>124</v>
      </c>
      <c r="H1557" t="s">
        <v>124</v>
      </c>
      <c r="I1557" t="s">
        <v>124</v>
      </c>
      <c r="J1557" t="s">
        <v>124</v>
      </c>
      <c r="K1557" t="s">
        <v>124</v>
      </c>
      <c r="L1557" t="s">
        <v>124</v>
      </c>
      <c r="M1557" t="s">
        <v>2216</v>
      </c>
      <c r="N1557" t="b">
        <v>0</v>
      </c>
    </row>
    <row r="1558" spans="1:14">
      <c r="A1558">
        <v>104</v>
      </c>
      <c r="B1558">
        <v>0</v>
      </c>
      <c r="C1558" t="s">
        <v>214</v>
      </c>
      <c r="D1558" t="s">
        <v>722</v>
      </c>
      <c r="E1558" t="s">
        <v>63</v>
      </c>
      <c r="F1558">
        <v>60</v>
      </c>
      <c r="G1558" t="s">
        <v>124</v>
      </c>
      <c r="H1558" t="s">
        <v>124</v>
      </c>
      <c r="I1558" t="s">
        <v>63</v>
      </c>
      <c r="J1558" t="s">
        <v>124</v>
      </c>
      <c r="K1558" t="s">
        <v>124</v>
      </c>
      <c r="L1558" t="s">
        <v>124</v>
      </c>
      <c r="M1558" t="s">
        <v>2217</v>
      </c>
      <c r="N1558" t="b">
        <v>0</v>
      </c>
    </row>
    <row r="1559" spans="1:14">
      <c r="A1559">
        <v>104</v>
      </c>
      <c r="B1559">
        <v>1</v>
      </c>
      <c r="C1559" t="s">
        <v>224</v>
      </c>
      <c r="D1559" t="s">
        <v>722</v>
      </c>
      <c r="E1559" t="s">
        <v>75</v>
      </c>
      <c r="F1559">
        <v>50</v>
      </c>
      <c r="G1559" t="s">
        <v>124</v>
      </c>
      <c r="H1559" t="s">
        <v>124</v>
      </c>
      <c r="I1559" t="s">
        <v>75</v>
      </c>
      <c r="J1559" t="s">
        <v>124</v>
      </c>
      <c r="K1559" t="s">
        <v>124</v>
      </c>
      <c r="L1559" t="s">
        <v>124</v>
      </c>
      <c r="M1559" t="s">
        <v>2218</v>
      </c>
      <c r="N1559" t="b">
        <v>0</v>
      </c>
    </row>
    <row r="1560" spans="1:14">
      <c r="A1560">
        <v>104</v>
      </c>
      <c r="B1560">
        <v>2</v>
      </c>
      <c r="C1560" t="s">
        <v>266</v>
      </c>
      <c r="D1560" t="s">
        <v>722</v>
      </c>
      <c r="E1560" t="s">
        <v>81</v>
      </c>
      <c r="F1560">
        <v>30</v>
      </c>
      <c r="G1560" t="s">
        <v>124</v>
      </c>
      <c r="H1560" t="s">
        <v>124</v>
      </c>
      <c r="I1560" t="s">
        <v>81</v>
      </c>
      <c r="J1560" t="s">
        <v>124</v>
      </c>
      <c r="K1560" t="s">
        <v>124</v>
      </c>
      <c r="L1560" t="s">
        <v>124</v>
      </c>
      <c r="M1560" t="s">
        <v>2219</v>
      </c>
      <c r="N1560" t="b">
        <v>0</v>
      </c>
    </row>
    <row r="1561" spans="1:14">
      <c r="A1561">
        <v>104</v>
      </c>
      <c r="B1561">
        <v>3</v>
      </c>
      <c r="C1561" t="s">
        <v>237</v>
      </c>
      <c r="D1561" t="s">
        <v>722</v>
      </c>
      <c r="E1561" t="s">
        <v>542</v>
      </c>
      <c r="F1561">
        <v>40</v>
      </c>
      <c r="G1561" t="s">
        <v>124</v>
      </c>
      <c r="H1561" t="s">
        <v>555</v>
      </c>
      <c r="I1561" t="s">
        <v>484</v>
      </c>
      <c r="J1561" t="s">
        <v>124</v>
      </c>
      <c r="K1561" t="s">
        <v>790</v>
      </c>
      <c r="L1561" t="s">
        <v>791</v>
      </c>
      <c r="M1561" t="s">
        <v>2220</v>
      </c>
      <c r="N1561" t="b">
        <v>0</v>
      </c>
    </row>
    <row r="1562" spans="1:14">
      <c r="A1562">
        <v>104</v>
      </c>
      <c r="B1562">
        <v>4</v>
      </c>
      <c r="C1562" t="s">
        <v>246</v>
      </c>
      <c r="D1562" t="s">
        <v>722</v>
      </c>
      <c r="E1562" t="s">
        <v>91</v>
      </c>
      <c r="F1562">
        <v>40</v>
      </c>
      <c r="G1562" t="s">
        <v>124</v>
      </c>
      <c r="H1562" t="s">
        <v>124</v>
      </c>
      <c r="I1562" t="s">
        <v>91</v>
      </c>
      <c r="J1562" t="s">
        <v>124</v>
      </c>
      <c r="K1562" t="s">
        <v>124</v>
      </c>
      <c r="L1562" t="s">
        <v>124</v>
      </c>
      <c r="M1562" t="s">
        <v>2221</v>
      </c>
      <c r="N1562" t="b">
        <v>0</v>
      </c>
    </row>
    <row r="1563" spans="1:14">
      <c r="A1563">
        <v>104</v>
      </c>
      <c r="B1563">
        <v>5</v>
      </c>
      <c r="C1563" t="s">
        <v>227</v>
      </c>
      <c r="D1563" t="s">
        <v>722</v>
      </c>
      <c r="E1563" t="s">
        <v>99</v>
      </c>
      <c r="F1563">
        <v>40</v>
      </c>
      <c r="G1563" t="s">
        <v>124</v>
      </c>
      <c r="H1563" t="s">
        <v>124</v>
      </c>
      <c r="I1563" t="s">
        <v>99</v>
      </c>
      <c r="J1563" t="s">
        <v>124</v>
      </c>
      <c r="K1563" t="s">
        <v>124</v>
      </c>
      <c r="L1563" t="s">
        <v>124</v>
      </c>
      <c r="M1563" t="s">
        <v>2222</v>
      </c>
      <c r="N1563" t="b">
        <v>0</v>
      </c>
    </row>
    <row r="1564" spans="1:14">
      <c r="A1564">
        <v>104</v>
      </c>
      <c r="B1564">
        <v>6</v>
      </c>
      <c r="C1564" t="s">
        <v>196</v>
      </c>
      <c r="D1564" t="s">
        <v>722</v>
      </c>
      <c r="E1564" t="s">
        <v>111</v>
      </c>
      <c r="F1564">
        <v>50</v>
      </c>
      <c r="G1564" t="s">
        <v>124</v>
      </c>
      <c r="H1564" t="s">
        <v>124</v>
      </c>
      <c r="I1564" t="s">
        <v>111</v>
      </c>
      <c r="J1564" t="s">
        <v>124</v>
      </c>
      <c r="K1564" t="s">
        <v>124</v>
      </c>
      <c r="L1564" t="s">
        <v>124</v>
      </c>
      <c r="M1564" t="s">
        <v>2223</v>
      </c>
      <c r="N1564" t="b">
        <v>0</v>
      </c>
    </row>
    <row r="1565" spans="1:14">
      <c r="A1565">
        <v>104</v>
      </c>
      <c r="B1565">
        <v>7</v>
      </c>
      <c r="C1565" t="s">
        <v>180</v>
      </c>
      <c r="D1565" t="s">
        <v>722</v>
      </c>
      <c r="E1565" t="s">
        <v>59</v>
      </c>
      <c r="F1565">
        <v>40</v>
      </c>
      <c r="G1565" t="s">
        <v>124</v>
      </c>
      <c r="H1565" t="s">
        <v>124</v>
      </c>
      <c r="I1565" t="s">
        <v>59</v>
      </c>
      <c r="J1565" t="s">
        <v>124</v>
      </c>
      <c r="K1565" t="s">
        <v>124</v>
      </c>
      <c r="L1565" t="s">
        <v>124</v>
      </c>
      <c r="M1565" t="s">
        <v>2224</v>
      </c>
      <c r="N1565" t="b">
        <v>0</v>
      </c>
    </row>
    <row r="1566" spans="1:14">
      <c r="A1566">
        <v>104</v>
      </c>
      <c r="B1566">
        <v>8</v>
      </c>
      <c r="C1566" t="s">
        <v>380</v>
      </c>
      <c r="D1566" t="s">
        <v>722</v>
      </c>
      <c r="E1566" t="s">
        <v>329</v>
      </c>
      <c r="F1566">
        <v>50</v>
      </c>
      <c r="G1566" t="s">
        <v>124</v>
      </c>
      <c r="H1566" t="s">
        <v>556</v>
      </c>
      <c r="I1566" t="s">
        <v>475</v>
      </c>
      <c r="J1566" t="s">
        <v>124</v>
      </c>
      <c r="K1566" t="s">
        <v>919</v>
      </c>
      <c r="L1566" t="s">
        <v>920</v>
      </c>
      <c r="M1566" t="s">
        <v>2225</v>
      </c>
      <c r="N1566" t="b">
        <v>0</v>
      </c>
    </row>
    <row r="1567" spans="1:14">
      <c r="A1567">
        <v>104</v>
      </c>
      <c r="B1567">
        <v>9</v>
      </c>
      <c r="C1567" t="s">
        <v>165</v>
      </c>
      <c r="D1567" t="s">
        <v>722</v>
      </c>
      <c r="E1567" t="s">
        <v>72</v>
      </c>
      <c r="F1567">
        <v>50</v>
      </c>
      <c r="G1567" t="s">
        <v>124</v>
      </c>
      <c r="H1567" t="s">
        <v>124</v>
      </c>
      <c r="I1567" t="s">
        <v>72</v>
      </c>
      <c r="J1567" t="s">
        <v>124</v>
      </c>
      <c r="K1567" t="s">
        <v>124</v>
      </c>
      <c r="L1567" t="s">
        <v>124</v>
      </c>
      <c r="M1567" t="s">
        <v>2226</v>
      </c>
      <c r="N1567" t="b">
        <v>0</v>
      </c>
    </row>
    <row r="1568" spans="1:14">
      <c r="A1568">
        <v>104</v>
      </c>
      <c r="B1568">
        <v>10</v>
      </c>
      <c r="C1568" t="s">
        <v>488</v>
      </c>
      <c r="D1568" t="s">
        <v>722</v>
      </c>
      <c r="E1568" t="s">
        <v>356</v>
      </c>
      <c r="F1568">
        <v>60</v>
      </c>
      <c r="G1568" t="s">
        <v>124</v>
      </c>
      <c r="H1568" t="s">
        <v>561</v>
      </c>
      <c r="I1568" t="s">
        <v>1621</v>
      </c>
      <c r="J1568" t="s">
        <v>124</v>
      </c>
      <c r="K1568" t="s">
        <v>1162</v>
      </c>
      <c r="L1568" t="s">
        <v>1163</v>
      </c>
      <c r="M1568" t="s">
        <v>2227</v>
      </c>
      <c r="N1568" t="b">
        <v>0</v>
      </c>
    </row>
    <row r="1569" spans="1:14">
      <c r="A1569">
        <v>104</v>
      </c>
      <c r="B1569">
        <v>11</v>
      </c>
      <c r="C1569" t="s">
        <v>268</v>
      </c>
      <c r="D1569" t="s">
        <v>722</v>
      </c>
      <c r="E1569" t="s">
        <v>543</v>
      </c>
      <c r="F1569">
        <v>40</v>
      </c>
      <c r="G1569" t="s">
        <v>124</v>
      </c>
      <c r="H1569" t="s">
        <v>581</v>
      </c>
      <c r="I1569" t="s">
        <v>494</v>
      </c>
      <c r="J1569" t="s">
        <v>124</v>
      </c>
      <c r="K1569" t="s">
        <v>799</v>
      </c>
      <c r="L1569" t="s">
        <v>800</v>
      </c>
      <c r="M1569" t="s">
        <v>2228</v>
      </c>
      <c r="N1569" t="b">
        <v>0</v>
      </c>
    </row>
    <row r="1570" spans="1:14">
      <c r="A1570">
        <v>104</v>
      </c>
      <c r="B1570">
        <v>12</v>
      </c>
      <c r="C1570" t="s">
        <v>489</v>
      </c>
      <c r="D1570" t="s">
        <v>722</v>
      </c>
      <c r="E1570" t="s">
        <v>96</v>
      </c>
      <c r="F1570">
        <v>30</v>
      </c>
      <c r="G1570" t="s">
        <v>124</v>
      </c>
      <c r="H1570" t="s">
        <v>124</v>
      </c>
      <c r="I1570" t="s">
        <v>96</v>
      </c>
      <c r="J1570" t="s">
        <v>124</v>
      </c>
      <c r="K1570" t="s">
        <v>124</v>
      </c>
      <c r="L1570" t="s">
        <v>124</v>
      </c>
      <c r="M1570" t="s">
        <v>2229</v>
      </c>
      <c r="N1570" t="b">
        <v>0</v>
      </c>
    </row>
    <row r="1571" spans="1:14">
      <c r="A1571">
        <v>104</v>
      </c>
      <c r="B1571">
        <v>13</v>
      </c>
      <c r="C1571" t="s">
        <v>290</v>
      </c>
      <c r="D1571" t="s">
        <v>722</v>
      </c>
      <c r="E1571" t="s">
        <v>105</v>
      </c>
      <c r="F1571">
        <v>60</v>
      </c>
      <c r="G1571" t="s">
        <v>124</v>
      </c>
      <c r="H1571" t="s">
        <v>124</v>
      </c>
      <c r="I1571" t="s">
        <v>105</v>
      </c>
      <c r="J1571" t="s">
        <v>124</v>
      </c>
      <c r="K1571" t="s">
        <v>124</v>
      </c>
      <c r="L1571" t="s">
        <v>124</v>
      </c>
      <c r="M1571" t="s">
        <v>2230</v>
      </c>
      <c r="N1571" t="b">
        <v>0</v>
      </c>
    </row>
    <row r="1572" spans="1:14">
      <c r="A1572">
        <v>104</v>
      </c>
      <c r="B1572">
        <v>14</v>
      </c>
      <c r="C1572" t="s">
        <v>124</v>
      </c>
      <c r="D1572" t="s">
        <v>722</v>
      </c>
      <c r="E1572" t="s">
        <v>124</v>
      </c>
      <c r="F1572">
        <v>0</v>
      </c>
      <c r="G1572" t="s">
        <v>124</v>
      </c>
      <c r="H1572" t="s">
        <v>124</v>
      </c>
      <c r="I1572" t="s">
        <v>124</v>
      </c>
      <c r="J1572" t="s">
        <v>124</v>
      </c>
      <c r="K1572" t="s">
        <v>124</v>
      </c>
      <c r="L1572" t="s">
        <v>124</v>
      </c>
      <c r="M1572" t="s">
        <v>2231</v>
      </c>
      <c r="N1572" t="b">
        <v>0</v>
      </c>
    </row>
    <row r="1573" spans="1:14">
      <c r="A1573">
        <v>104</v>
      </c>
      <c r="B1573">
        <v>15</v>
      </c>
      <c r="C1573" t="s">
        <v>124</v>
      </c>
      <c r="D1573" t="s">
        <v>722</v>
      </c>
      <c r="E1573" t="s">
        <v>124</v>
      </c>
      <c r="F1573">
        <v>0</v>
      </c>
      <c r="G1573" t="s">
        <v>124</v>
      </c>
      <c r="H1573" t="s">
        <v>124</v>
      </c>
      <c r="I1573" t="s">
        <v>124</v>
      </c>
      <c r="J1573" t="s">
        <v>124</v>
      </c>
      <c r="K1573" t="s">
        <v>124</v>
      </c>
      <c r="L1573" t="s">
        <v>124</v>
      </c>
      <c r="M1573" t="s">
        <v>2232</v>
      </c>
      <c r="N1573" t="b">
        <v>0</v>
      </c>
    </row>
    <row r="1574" spans="1:14">
      <c r="A1574">
        <v>104</v>
      </c>
      <c r="B1574">
        <v>16</v>
      </c>
      <c r="C1574" t="s">
        <v>124</v>
      </c>
      <c r="D1574" t="s">
        <v>739</v>
      </c>
      <c r="E1574" t="s">
        <v>124</v>
      </c>
      <c r="F1574">
        <v>0</v>
      </c>
      <c r="G1574" t="s">
        <v>124</v>
      </c>
      <c r="H1574" t="s">
        <v>124</v>
      </c>
      <c r="I1574" t="s">
        <v>124</v>
      </c>
      <c r="J1574" t="s">
        <v>124</v>
      </c>
      <c r="K1574" t="s">
        <v>124</v>
      </c>
      <c r="L1574" t="s">
        <v>124</v>
      </c>
      <c r="M1574" t="s">
        <v>2233</v>
      </c>
      <c r="N1574" t="b">
        <v>0</v>
      </c>
    </row>
    <row r="1575" spans="1:14">
      <c r="A1575">
        <v>104</v>
      </c>
      <c r="B1575">
        <v>17</v>
      </c>
      <c r="C1575" t="s">
        <v>124</v>
      </c>
      <c r="D1575" t="s">
        <v>739</v>
      </c>
      <c r="E1575" t="s">
        <v>124</v>
      </c>
      <c r="F1575">
        <v>0</v>
      </c>
      <c r="G1575" t="s">
        <v>124</v>
      </c>
      <c r="H1575" t="s">
        <v>124</v>
      </c>
      <c r="I1575" t="s">
        <v>124</v>
      </c>
      <c r="J1575" t="s">
        <v>124</v>
      </c>
      <c r="K1575" t="s">
        <v>124</v>
      </c>
      <c r="L1575" t="s">
        <v>124</v>
      </c>
      <c r="M1575" t="s">
        <v>2234</v>
      </c>
      <c r="N1575" t="b">
        <v>0</v>
      </c>
    </row>
    <row r="1576" spans="1:14">
      <c r="A1576">
        <v>104</v>
      </c>
      <c r="B1576">
        <v>18</v>
      </c>
      <c r="C1576" t="s">
        <v>124</v>
      </c>
      <c r="D1576" t="s">
        <v>739</v>
      </c>
      <c r="E1576" t="s">
        <v>124</v>
      </c>
      <c r="F1576">
        <v>0</v>
      </c>
      <c r="G1576" t="s">
        <v>124</v>
      </c>
      <c r="H1576" t="s">
        <v>124</v>
      </c>
      <c r="I1576" t="s">
        <v>124</v>
      </c>
      <c r="J1576" t="s">
        <v>124</v>
      </c>
      <c r="K1576" t="s">
        <v>124</v>
      </c>
      <c r="L1576" t="s">
        <v>124</v>
      </c>
      <c r="M1576" t="s">
        <v>2235</v>
      </c>
      <c r="N1576" t="b">
        <v>0</v>
      </c>
    </row>
    <row r="1577" spans="1:14">
      <c r="A1577">
        <v>104</v>
      </c>
      <c r="B1577">
        <v>19</v>
      </c>
      <c r="C1577" t="s">
        <v>124</v>
      </c>
      <c r="D1577" t="s">
        <v>739</v>
      </c>
      <c r="E1577" t="s">
        <v>124</v>
      </c>
      <c r="F1577">
        <v>0</v>
      </c>
      <c r="G1577" t="s">
        <v>124</v>
      </c>
      <c r="H1577" t="s">
        <v>124</v>
      </c>
      <c r="I1577" t="s">
        <v>124</v>
      </c>
      <c r="J1577" t="s">
        <v>124</v>
      </c>
      <c r="K1577" t="s">
        <v>124</v>
      </c>
      <c r="L1577" t="s">
        <v>124</v>
      </c>
      <c r="M1577" t="s">
        <v>2236</v>
      </c>
      <c r="N1577" t="b">
        <v>0</v>
      </c>
    </row>
    <row r="1578" spans="1:14">
      <c r="A1578">
        <v>104</v>
      </c>
      <c r="B1578">
        <v>20</v>
      </c>
      <c r="C1578" t="s">
        <v>124</v>
      </c>
      <c r="D1578" t="s">
        <v>739</v>
      </c>
      <c r="E1578" t="s">
        <v>124</v>
      </c>
      <c r="F1578">
        <v>0</v>
      </c>
      <c r="G1578" t="s">
        <v>124</v>
      </c>
      <c r="H1578" t="s">
        <v>124</v>
      </c>
      <c r="I1578" t="s">
        <v>124</v>
      </c>
      <c r="J1578" t="s">
        <v>124</v>
      </c>
      <c r="K1578" t="s">
        <v>124</v>
      </c>
      <c r="L1578" t="s">
        <v>124</v>
      </c>
      <c r="M1578" t="s">
        <v>2237</v>
      </c>
      <c r="N1578" t="b">
        <v>0</v>
      </c>
    </row>
    <row r="1579" spans="1:14">
      <c r="A1579">
        <v>104</v>
      </c>
      <c r="B1579">
        <v>21</v>
      </c>
      <c r="C1579" t="s">
        <v>124</v>
      </c>
      <c r="D1579" t="s">
        <v>739</v>
      </c>
      <c r="E1579" t="s">
        <v>124</v>
      </c>
      <c r="F1579">
        <v>0</v>
      </c>
      <c r="G1579" t="s">
        <v>124</v>
      </c>
      <c r="H1579" t="s">
        <v>124</v>
      </c>
      <c r="I1579" t="s">
        <v>124</v>
      </c>
      <c r="J1579" t="s">
        <v>124</v>
      </c>
      <c r="K1579" t="s">
        <v>124</v>
      </c>
      <c r="L1579" t="s">
        <v>124</v>
      </c>
      <c r="M1579" t="s">
        <v>2238</v>
      </c>
      <c r="N1579" t="b">
        <v>0</v>
      </c>
    </row>
    <row r="1580" spans="1:14">
      <c r="A1580">
        <v>104</v>
      </c>
      <c r="B1580">
        <v>22</v>
      </c>
      <c r="C1580" t="s">
        <v>124</v>
      </c>
      <c r="D1580" t="s">
        <v>739</v>
      </c>
      <c r="E1580" t="s">
        <v>124</v>
      </c>
      <c r="F1580">
        <v>0</v>
      </c>
      <c r="G1580" t="s">
        <v>124</v>
      </c>
      <c r="H1580" t="s">
        <v>124</v>
      </c>
      <c r="I1580" t="s">
        <v>124</v>
      </c>
      <c r="J1580" t="s">
        <v>124</v>
      </c>
      <c r="K1580" t="s">
        <v>124</v>
      </c>
      <c r="L1580" t="s">
        <v>124</v>
      </c>
      <c r="M1580" t="s">
        <v>2239</v>
      </c>
      <c r="N1580" t="b">
        <v>0</v>
      </c>
    </row>
    <row r="1581" spans="1:14">
      <c r="A1581">
        <v>104</v>
      </c>
      <c r="B1581">
        <v>23</v>
      </c>
      <c r="C1581" t="s">
        <v>124</v>
      </c>
      <c r="D1581" t="s">
        <v>739</v>
      </c>
      <c r="E1581" t="s">
        <v>124</v>
      </c>
      <c r="F1581">
        <v>0</v>
      </c>
      <c r="G1581" t="s">
        <v>124</v>
      </c>
      <c r="H1581" t="s">
        <v>124</v>
      </c>
      <c r="I1581" t="s">
        <v>124</v>
      </c>
      <c r="J1581" t="s">
        <v>124</v>
      </c>
      <c r="K1581" t="s">
        <v>124</v>
      </c>
      <c r="L1581" t="s">
        <v>124</v>
      </c>
      <c r="M1581" t="s">
        <v>2240</v>
      </c>
      <c r="N1581" t="b">
        <v>0</v>
      </c>
    </row>
    <row r="1582" spans="1:14">
      <c r="A1582">
        <v>104</v>
      </c>
      <c r="B1582">
        <v>24</v>
      </c>
      <c r="C1582" t="s">
        <v>124</v>
      </c>
      <c r="D1582" t="s">
        <v>739</v>
      </c>
      <c r="E1582" t="s">
        <v>124</v>
      </c>
      <c r="F1582">
        <v>0</v>
      </c>
      <c r="G1582" t="s">
        <v>124</v>
      </c>
      <c r="H1582" t="s">
        <v>124</v>
      </c>
      <c r="I1582" t="s">
        <v>124</v>
      </c>
      <c r="J1582" t="s">
        <v>124</v>
      </c>
      <c r="K1582" t="s">
        <v>124</v>
      </c>
      <c r="L1582" t="s">
        <v>124</v>
      </c>
      <c r="M1582" t="s">
        <v>2241</v>
      </c>
      <c r="N1582" t="b">
        <v>0</v>
      </c>
    </row>
    <row r="1583" spans="1:14">
      <c r="A1583">
        <v>104</v>
      </c>
      <c r="B1583">
        <v>25</v>
      </c>
      <c r="C1583" t="s">
        <v>124</v>
      </c>
      <c r="D1583" t="s">
        <v>739</v>
      </c>
      <c r="E1583" t="s">
        <v>124</v>
      </c>
      <c r="F1583">
        <v>0</v>
      </c>
      <c r="G1583" t="s">
        <v>124</v>
      </c>
      <c r="H1583" t="s">
        <v>124</v>
      </c>
      <c r="I1583" t="s">
        <v>124</v>
      </c>
      <c r="J1583" t="s">
        <v>124</v>
      </c>
      <c r="K1583" t="s">
        <v>124</v>
      </c>
      <c r="L1583" t="s">
        <v>124</v>
      </c>
      <c r="M1583" t="s">
        <v>2242</v>
      </c>
      <c r="N1583" t="b">
        <v>0</v>
      </c>
    </row>
    <row r="1584" spans="1:14">
      <c r="A1584">
        <v>104</v>
      </c>
      <c r="B1584">
        <v>26</v>
      </c>
      <c r="C1584" t="s">
        <v>124</v>
      </c>
      <c r="D1584" t="s">
        <v>739</v>
      </c>
      <c r="E1584" t="s">
        <v>124</v>
      </c>
      <c r="F1584">
        <v>0</v>
      </c>
      <c r="G1584" t="s">
        <v>124</v>
      </c>
      <c r="H1584" t="s">
        <v>124</v>
      </c>
      <c r="I1584" t="s">
        <v>124</v>
      </c>
      <c r="J1584" t="s">
        <v>124</v>
      </c>
      <c r="K1584" t="s">
        <v>124</v>
      </c>
      <c r="L1584" t="s">
        <v>124</v>
      </c>
      <c r="M1584" t="s">
        <v>2243</v>
      </c>
      <c r="N1584" t="b">
        <v>0</v>
      </c>
    </row>
    <row r="1585" spans="1:14">
      <c r="A1585">
        <v>105</v>
      </c>
      <c r="B1585">
        <v>0</v>
      </c>
      <c r="C1585" t="s">
        <v>214</v>
      </c>
      <c r="D1585" t="s">
        <v>722</v>
      </c>
      <c r="E1585" t="s">
        <v>63</v>
      </c>
      <c r="F1585">
        <v>60</v>
      </c>
      <c r="G1585" t="s">
        <v>124</v>
      </c>
      <c r="H1585" t="s">
        <v>124</v>
      </c>
      <c r="I1585" t="s">
        <v>63</v>
      </c>
      <c r="J1585" t="s">
        <v>124</v>
      </c>
      <c r="K1585" t="s">
        <v>124</v>
      </c>
      <c r="L1585" t="s">
        <v>124</v>
      </c>
      <c r="M1585" t="s">
        <v>2244</v>
      </c>
      <c r="N1585" t="b">
        <v>0</v>
      </c>
    </row>
    <row r="1586" spans="1:14">
      <c r="A1586">
        <v>105</v>
      </c>
      <c r="B1586">
        <v>1</v>
      </c>
      <c r="C1586" t="s">
        <v>215</v>
      </c>
      <c r="D1586" t="s">
        <v>722</v>
      </c>
      <c r="E1586" t="s">
        <v>75</v>
      </c>
      <c r="F1586">
        <v>60</v>
      </c>
      <c r="G1586" t="s">
        <v>124</v>
      </c>
      <c r="H1586" t="s">
        <v>124</v>
      </c>
      <c r="I1586" t="s">
        <v>75</v>
      </c>
      <c r="J1586" t="s">
        <v>124</v>
      </c>
      <c r="K1586" t="s">
        <v>124</v>
      </c>
      <c r="L1586" t="s">
        <v>124</v>
      </c>
      <c r="M1586" t="s">
        <v>2245</v>
      </c>
      <c r="N1586" t="b">
        <v>0</v>
      </c>
    </row>
    <row r="1587" spans="1:14">
      <c r="A1587">
        <v>105</v>
      </c>
      <c r="B1587">
        <v>2</v>
      </c>
      <c r="C1587" t="s">
        <v>216</v>
      </c>
      <c r="D1587" t="s">
        <v>722</v>
      </c>
      <c r="E1587" t="s">
        <v>93</v>
      </c>
      <c r="F1587">
        <v>40</v>
      </c>
      <c r="G1587" t="s">
        <v>124</v>
      </c>
      <c r="H1587" t="s">
        <v>124</v>
      </c>
      <c r="I1587" t="s">
        <v>93</v>
      </c>
      <c r="J1587" t="s">
        <v>124</v>
      </c>
      <c r="K1587" t="s">
        <v>124</v>
      </c>
      <c r="L1587" t="s">
        <v>124</v>
      </c>
      <c r="M1587" t="s">
        <v>2246</v>
      </c>
      <c r="N1587" t="b">
        <v>0</v>
      </c>
    </row>
    <row r="1588" spans="1:14">
      <c r="A1588">
        <v>105</v>
      </c>
      <c r="B1588">
        <v>3</v>
      </c>
      <c r="C1588" t="s">
        <v>454</v>
      </c>
      <c r="D1588" t="s">
        <v>722</v>
      </c>
      <c r="E1588" t="s">
        <v>95</v>
      </c>
      <c r="F1588">
        <v>60</v>
      </c>
      <c r="G1588" t="s">
        <v>124</v>
      </c>
      <c r="H1588" t="s">
        <v>124</v>
      </c>
      <c r="I1588" t="s">
        <v>95</v>
      </c>
      <c r="J1588" t="s">
        <v>124</v>
      </c>
      <c r="K1588" t="s">
        <v>124</v>
      </c>
      <c r="L1588" t="s">
        <v>124</v>
      </c>
      <c r="M1588" t="s">
        <v>2247</v>
      </c>
      <c r="N1588" t="b">
        <v>0</v>
      </c>
    </row>
    <row r="1589" spans="1:14">
      <c r="A1589">
        <v>105</v>
      </c>
      <c r="B1589">
        <v>4</v>
      </c>
      <c r="C1589" t="s">
        <v>217</v>
      </c>
      <c r="D1589" t="s">
        <v>722</v>
      </c>
      <c r="E1589" t="s">
        <v>99</v>
      </c>
      <c r="F1589">
        <v>60</v>
      </c>
      <c r="G1589" t="s">
        <v>124</v>
      </c>
      <c r="H1589" t="s">
        <v>124</v>
      </c>
      <c r="I1589" t="s">
        <v>99</v>
      </c>
      <c r="J1589" t="s">
        <v>124</v>
      </c>
      <c r="K1589" t="s">
        <v>124</v>
      </c>
      <c r="L1589" t="s">
        <v>124</v>
      </c>
      <c r="M1589" t="s">
        <v>2248</v>
      </c>
      <c r="N1589" t="b">
        <v>0</v>
      </c>
    </row>
    <row r="1590" spans="1:14">
      <c r="A1590">
        <v>105</v>
      </c>
      <c r="B1590">
        <v>5</v>
      </c>
      <c r="C1590" t="s">
        <v>196</v>
      </c>
      <c r="D1590" t="s">
        <v>722</v>
      </c>
      <c r="E1590" t="s">
        <v>111</v>
      </c>
      <c r="F1590">
        <v>50</v>
      </c>
      <c r="G1590" t="s">
        <v>124</v>
      </c>
      <c r="H1590" t="s">
        <v>124</v>
      </c>
      <c r="I1590" t="s">
        <v>111</v>
      </c>
      <c r="J1590" t="s">
        <v>124</v>
      </c>
      <c r="K1590" t="s">
        <v>124</v>
      </c>
      <c r="L1590" t="s">
        <v>124</v>
      </c>
      <c r="M1590" t="s">
        <v>2249</v>
      </c>
      <c r="N1590" t="b">
        <v>0</v>
      </c>
    </row>
    <row r="1591" spans="1:14">
      <c r="A1591">
        <v>105</v>
      </c>
      <c r="B1591">
        <v>6</v>
      </c>
      <c r="C1591" t="s">
        <v>218</v>
      </c>
      <c r="D1591" t="s">
        <v>722</v>
      </c>
      <c r="E1591" t="s">
        <v>66</v>
      </c>
      <c r="F1591">
        <v>50</v>
      </c>
      <c r="G1591" t="s">
        <v>124</v>
      </c>
      <c r="H1591" t="s">
        <v>124</v>
      </c>
      <c r="I1591" t="s">
        <v>66</v>
      </c>
      <c r="J1591" t="s">
        <v>124</v>
      </c>
      <c r="K1591" t="s">
        <v>124</v>
      </c>
      <c r="L1591" t="s">
        <v>124</v>
      </c>
      <c r="M1591" t="s">
        <v>2250</v>
      </c>
      <c r="N1591" t="b">
        <v>0</v>
      </c>
    </row>
    <row r="1592" spans="1:14">
      <c r="A1592">
        <v>105</v>
      </c>
      <c r="B1592">
        <v>7</v>
      </c>
      <c r="C1592" t="s">
        <v>491</v>
      </c>
      <c r="D1592" t="s">
        <v>722</v>
      </c>
      <c r="E1592" t="s">
        <v>329</v>
      </c>
      <c r="F1592">
        <v>60</v>
      </c>
      <c r="G1592" t="s">
        <v>124</v>
      </c>
      <c r="H1592" t="s">
        <v>556</v>
      </c>
      <c r="I1592" t="s">
        <v>475</v>
      </c>
      <c r="J1592" t="s">
        <v>124</v>
      </c>
      <c r="K1592" t="s">
        <v>919</v>
      </c>
      <c r="L1592" t="s">
        <v>920</v>
      </c>
      <c r="M1592" t="s">
        <v>2251</v>
      </c>
      <c r="N1592" t="b">
        <v>0</v>
      </c>
    </row>
    <row r="1593" spans="1:14">
      <c r="A1593">
        <v>105</v>
      </c>
      <c r="B1593">
        <v>8</v>
      </c>
      <c r="C1593" t="s">
        <v>165</v>
      </c>
      <c r="D1593" t="s">
        <v>722</v>
      </c>
      <c r="E1593" t="s">
        <v>72</v>
      </c>
      <c r="F1593">
        <v>50</v>
      </c>
      <c r="G1593" t="s">
        <v>124</v>
      </c>
      <c r="H1593" t="s">
        <v>124</v>
      </c>
      <c r="I1593" t="s">
        <v>72</v>
      </c>
      <c r="J1593" t="s">
        <v>124</v>
      </c>
      <c r="K1593" t="s">
        <v>124</v>
      </c>
      <c r="L1593" t="s">
        <v>124</v>
      </c>
      <c r="M1593" t="s">
        <v>2252</v>
      </c>
      <c r="N1593" t="b">
        <v>0</v>
      </c>
    </row>
    <row r="1594" spans="1:14">
      <c r="A1594">
        <v>105</v>
      </c>
      <c r="B1594">
        <v>9</v>
      </c>
      <c r="C1594" t="s">
        <v>203</v>
      </c>
      <c r="D1594" t="s">
        <v>722</v>
      </c>
      <c r="E1594" t="s">
        <v>96</v>
      </c>
      <c r="F1594">
        <v>40</v>
      </c>
      <c r="G1594" t="s">
        <v>124</v>
      </c>
      <c r="H1594" t="s">
        <v>124</v>
      </c>
      <c r="I1594" t="s">
        <v>96</v>
      </c>
      <c r="J1594" t="s">
        <v>124</v>
      </c>
      <c r="K1594" t="s">
        <v>124</v>
      </c>
      <c r="L1594" t="s">
        <v>124</v>
      </c>
      <c r="M1594" t="s">
        <v>2253</v>
      </c>
      <c r="N1594" t="b">
        <v>0</v>
      </c>
    </row>
    <row r="1595" spans="1:14">
      <c r="A1595">
        <v>105</v>
      </c>
      <c r="B1595">
        <v>10</v>
      </c>
      <c r="C1595" t="s">
        <v>220</v>
      </c>
      <c r="D1595" t="s">
        <v>722</v>
      </c>
      <c r="E1595" t="s">
        <v>100</v>
      </c>
      <c r="F1595">
        <v>50</v>
      </c>
      <c r="G1595" t="s">
        <v>124</v>
      </c>
      <c r="H1595" t="s">
        <v>124</v>
      </c>
      <c r="I1595" t="s">
        <v>100</v>
      </c>
      <c r="J1595" t="s">
        <v>124</v>
      </c>
      <c r="K1595" t="s">
        <v>124</v>
      </c>
      <c r="L1595" t="s">
        <v>124</v>
      </c>
      <c r="M1595" t="s">
        <v>2254</v>
      </c>
      <c r="N1595" t="b">
        <v>0</v>
      </c>
    </row>
    <row r="1596" spans="1:14">
      <c r="A1596">
        <v>105</v>
      </c>
      <c r="B1596">
        <v>11</v>
      </c>
      <c r="C1596" t="s">
        <v>168</v>
      </c>
      <c r="D1596" t="s">
        <v>722</v>
      </c>
      <c r="E1596" t="s">
        <v>104</v>
      </c>
      <c r="F1596">
        <v>50</v>
      </c>
      <c r="G1596" t="s">
        <v>124</v>
      </c>
      <c r="H1596" t="s">
        <v>124</v>
      </c>
      <c r="I1596" t="s">
        <v>104</v>
      </c>
      <c r="J1596" t="s">
        <v>124</v>
      </c>
      <c r="K1596" t="s">
        <v>124</v>
      </c>
      <c r="L1596" t="s">
        <v>124</v>
      </c>
      <c r="M1596" t="s">
        <v>2255</v>
      </c>
      <c r="N1596" t="b">
        <v>0</v>
      </c>
    </row>
    <row r="1597" spans="1:14">
      <c r="A1597">
        <v>105</v>
      </c>
      <c r="B1597">
        <v>12</v>
      </c>
      <c r="C1597" t="s">
        <v>221</v>
      </c>
      <c r="D1597" t="s">
        <v>722</v>
      </c>
      <c r="E1597" t="s">
        <v>105</v>
      </c>
      <c r="F1597">
        <v>50</v>
      </c>
      <c r="G1597" t="s">
        <v>124</v>
      </c>
      <c r="H1597" t="s">
        <v>124</v>
      </c>
      <c r="I1597" t="s">
        <v>105</v>
      </c>
      <c r="J1597" t="s">
        <v>124</v>
      </c>
      <c r="K1597" t="s">
        <v>124</v>
      </c>
      <c r="L1597" t="s">
        <v>124</v>
      </c>
      <c r="M1597" t="s">
        <v>2256</v>
      </c>
      <c r="N1597" t="b">
        <v>0</v>
      </c>
    </row>
    <row r="1598" spans="1:14">
      <c r="A1598">
        <v>105</v>
      </c>
      <c r="B1598">
        <v>13</v>
      </c>
      <c r="C1598" t="s">
        <v>193</v>
      </c>
      <c r="D1598" t="s">
        <v>722</v>
      </c>
      <c r="E1598" t="s">
        <v>106</v>
      </c>
      <c r="F1598">
        <v>60</v>
      </c>
      <c r="G1598" t="s">
        <v>124</v>
      </c>
      <c r="H1598" t="s">
        <v>124</v>
      </c>
      <c r="I1598" t="s">
        <v>106</v>
      </c>
      <c r="J1598" t="s">
        <v>124</v>
      </c>
      <c r="K1598" t="s">
        <v>124</v>
      </c>
      <c r="L1598" t="s">
        <v>124</v>
      </c>
      <c r="M1598" t="s">
        <v>2257</v>
      </c>
      <c r="N1598" t="b">
        <v>0</v>
      </c>
    </row>
    <row r="1599" spans="1:14">
      <c r="A1599">
        <v>105</v>
      </c>
      <c r="B1599">
        <v>14</v>
      </c>
      <c r="C1599" t="s">
        <v>124</v>
      </c>
      <c r="D1599" t="s">
        <v>722</v>
      </c>
      <c r="E1599" t="s">
        <v>124</v>
      </c>
      <c r="F1599">
        <v>0</v>
      </c>
      <c r="G1599" t="s">
        <v>124</v>
      </c>
      <c r="H1599" t="s">
        <v>124</v>
      </c>
      <c r="I1599" t="s">
        <v>124</v>
      </c>
      <c r="J1599" t="s">
        <v>124</v>
      </c>
      <c r="K1599" t="s">
        <v>124</v>
      </c>
      <c r="L1599" t="s">
        <v>124</v>
      </c>
      <c r="M1599" t="s">
        <v>2258</v>
      </c>
      <c r="N1599" t="b">
        <v>0</v>
      </c>
    </row>
    <row r="1600" spans="1:14">
      <c r="A1600">
        <v>105</v>
      </c>
      <c r="B1600">
        <v>15</v>
      </c>
      <c r="C1600" t="s">
        <v>124</v>
      </c>
      <c r="D1600" t="s">
        <v>722</v>
      </c>
      <c r="E1600" t="s">
        <v>124</v>
      </c>
      <c r="F1600">
        <v>0</v>
      </c>
      <c r="G1600" t="s">
        <v>124</v>
      </c>
      <c r="H1600" t="s">
        <v>124</v>
      </c>
      <c r="I1600" t="s">
        <v>124</v>
      </c>
      <c r="J1600" t="s">
        <v>124</v>
      </c>
      <c r="K1600" t="s">
        <v>124</v>
      </c>
      <c r="L1600" t="s">
        <v>124</v>
      </c>
      <c r="M1600" t="s">
        <v>2259</v>
      </c>
      <c r="N1600" t="b">
        <v>0</v>
      </c>
    </row>
    <row r="1601" spans="1:14">
      <c r="A1601">
        <v>105</v>
      </c>
      <c r="B1601">
        <v>16</v>
      </c>
      <c r="C1601" t="s">
        <v>124</v>
      </c>
      <c r="D1601" t="s">
        <v>739</v>
      </c>
      <c r="E1601" t="s">
        <v>124</v>
      </c>
      <c r="F1601">
        <v>0</v>
      </c>
      <c r="G1601" t="s">
        <v>124</v>
      </c>
      <c r="H1601" t="s">
        <v>124</v>
      </c>
      <c r="I1601" t="s">
        <v>124</v>
      </c>
      <c r="J1601" t="s">
        <v>124</v>
      </c>
      <c r="K1601" t="s">
        <v>124</v>
      </c>
      <c r="L1601" t="s">
        <v>124</v>
      </c>
      <c r="M1601" t="s">
        <v>2260</v>
      </c>
      <c r="N1601" t="b">
        <v>0</v>
      </c>
    </row>
    <row r="1602" spans="1:14">
      <c r="A1602">
        <v>105</v>
      </c>
      <c r="B1602">
        <v>17</v>
      </c>
      <c r="C1602" t="s">
        <v>124</v>
      </c>
      <c r="D1602" t="s">
        <v>739</v>
      </c>
      <c r="E1602" t="s">
        <v>124</v>
      </c>
      <c r="F1602">
        <v>0</v>
      </c>
      <c r="G1602" t="s">
        <v>124</v>
      </c>
      <c r="H1602" t="s">
        <v>124</v>
      </c>
      <c r="I1602" t="s">
        <v>124</v>
      </c>
      <c r="J1602" t="s">
        <v>124</v>
      </c>
      <c r="K1602" t="s">
        <v>124</v>
      </c>
      <c r="L1602" t="s">
        <v>124</v>
      </c>
      <c r="M1602" t="s">
        <v>2261</v>
      </c>
      <c r="N1602" t="b">
        <v>0</v>
      </c>
    </row>
    <row r="1603" spans="1:14">
      <c r="A1603">
        <v>105</v>
      </c>
      <c r="B1603">
        <v>18</v>
      </c>
      <c r="C1603" t="s">
        <v>124</v>
      </c>
      <c r="D1603" t="s">
        <v>739</v>
      </c>
      <c r="E1603" t="s">
        <v>124</v>
      </c>
      <c r="F1603">
        <v>0</v>
      </c>
      <c r="G1603" t="s">
        <v>124</v>
      </c>
      <c r="H1603" t="s">
        <v>124</v>
      </c>
      <c r="I1603" t="s">
        <v>124</v>
      </c>
      <c r="J1603" t="s">
        <v>124</v>
      </c>
      <c r="K1603" t="s">
        <v>124</v>
      </c>
      <c r="L1603" t="s">
        <v>124</v>
      </c>
      <c r="M1603" t="s">
        <v>2262</v>
      </c>
      <c r="N1603" t="b">
        <v>0</v>
      </c>
    </row>
    <row r="1604" spans="1:14">
      <c r="A1604">
        <v>105</v>
      </c>
      <c r="B1604">
        <v>19</v>
      </c>
      <c r="C1604" t="s">
        <v>124</v>
      </c>
      <c r="D1604" t="s">
        <v>739</v>
      </c>
      <c r="E1604" t="s">
        <v>124</v>
      </c>
      <c r="F1604">
        <v>0</v>
      </c>
      <c r="G1604" t="s">
        <v>124</v>
      </c>
      <c r="H1604" t="s">
        <v>124</v>
      </c>
      <c r="I1604" t="s">
        <v>124</v>
      </c>
      <c r="J1604" t="s">
        <v>124</v>
      </c>
      <c r="K1604" t="s">
        <v>124</v>
      </c>
      <c r="L1604" t="s">
        <v>124</v>
      </c>
      <c r="M1604" t="s">
        <v>2263</v>
      </c>
      <c r="N1604" t="b">
        <v>0</v>
      </c>
    </row>
    <row r="1605" spans="1:14">
      <c r="A1605">
        <v>105</v>
      </c>
      <c r="B1605">
        <v>20</v>
      </c>
      <c r="C1605" t="s">
        <v>124</v>
      </c>
      <c r="D1605" t="s">
        <v>739</v>
      </c>
      <c r="E1605" t="s">
        <v>124</v>
      </c>
      <c r="F1605">
        <v>0</v>
      </c>
      <c r="G1605" t="s">
        <v>124</v>
      </c>
      <c r="H1605" t="s">
        <v>124</v>
      </c>
      <c r="I1605" t="s">
        <v>124</v>
      </c>
      <c r="J1605" t="s">
        <v>124</v>
      </c>
      <c r="K1605" t="s">
        <v>124</v>
      </c>
      <c r="L1605" t="s">
        <v>124</v>
      </c>
      <c r="M1605" t="s">
        <v>2264</v>
      </c>
      <c r="N1605" t="b">
        <v>0</v>
      </c>
    </row>
    <row r="1606" spans="1:14">
      <c r="A1606">
        <v>105</v>
      </c>
      <c r="B1606">
        <v>21</v>
      </c>
      <c r="C1606" t="s">
        <v>124</v>
      </c>
      <c r="D1606" t="s">
        <v>739</v>
      </c>
      <c r="E1606" t="s">
        <v>124</v>
      </c>
      <c r="F1606">
        <v>0</v>
      </c>
      <c r="G1606" t="s">
        <v>124</v>
      </c>
      <c r="H1606" t="s">
        <v>124</v>
      </c>
      <c r="I1606" t="s">
        <v>124</v>
      </c>
      <c r="J1606" t="s">
        <v>124</v>
      </c>
      <c r="K1606" t="s">
        <v>124</v>
      </c>
      <c r="L1606" t="s">
        <v>124</v>
      </c>
      <c r="M1606" t="s">
        <v>2265</v>
      </c>
      <c r="N1606" t="b">
        <v>0</v>
      </c>
    </row>
    <row r="1607" spans="1:14">
      <c r="A1607">
        <v>105</v>
      </c>
      <c r="B1607">
        <v>22</v>
      </c>
      <c r="C1607" t="s">
        <v>124</v>
      </c>
      <c r="D1607" t="s">
        <v>739</v>
      </c>
      <c r="E1607" t="s">
        <v>124</v>
      </c>
      <c r="F1607">
        <v>0</v>
      </c>
      <c r="G1607" t="s">
        <v>124</v>
      </c>
      <c r="H1607" t="s">
        <v>124</v>
      </c>
      <c r="I1607" t="s">
        <v>124</v>
      </c>
      <c r="J1607" t="s">
        <v>124</v>
      </c>
      <c r="K1607" t="s">
        <v>124</v>
      </c>
      <c r="L1607" t="s">
        <v>124</v>
      </c>
      <c r="M1607" t="s">
        <v>2266</v>
      </c>
      <c r="N1607" t="b">
        <v>0</v>
      </c>
    </row>
    <row r="1608" spans="1:14">
      <c r="A1608">
        <v>105</v>
      </c>
      <c r="B1608">
        <v>23</v>
      </c>
      <c r="C1608" t="s">
        <v>124</v>
      </c>
      <c r="D1608" t="s">
        <v>739</v>
      </c>
      <c r="E1608" t="s">
        <v>124</v>
      </c>
      <c r="F1608">
        <v>0</v>
      </c>
      <c r="G1608" t="s">
        <v>124</v>
      </c>
      <c r="H1608" t="s">
        <v>124</v>
      </c>
      <c r="I1608" t="s">
        <v>124</v>
      </c>
      <c r="J1608" t="s">
        <v>124</v>
      </c>
      <c r="K1608" t="s">
        <v>124</v>
      </c>
      <c r="L1608" t="s">
        <v>124</v>
      </c>
      <c r="M1608" t="s">
        <v>2267</v>
      </c>
      <c r="N1608" t="b">
        <v>0</v>
      </c>
    </row>
    <row r="1609" spans="1:14">
      <c r="A1609">
        <v>105</v>
      </c>
      <c r="B1609">
        <v>24</v>
      </c>
      <c r="C1609" t="s">
        <v>124</v>
      </c>
      <c r="D1609" t="s">
        <v>739</v>
      </c>
      <c r="E1609" t="s">
        <v>124</v>
      </c>
      <c r="F1609">
        <v>0</v>
      </c>
      <c r="G1609" t="s">
        <v>124</v>
      </c>
      <c r="H1609" t="s">
        <v>124</v>
      </c>
      <c r="I1609" t="s">
        <v>124</v>
      </c>
      <c r="J1609" t="s">
        <v>124</v>
      </c>
      <c r="K1609" t="s">
        <v>124</v>
      </c>
      <c r="L1609" t="s">
        <v>124</v>
      </c>
      <c r="M1609" t="s">
        <v>2268</v>
      </c>
      <c r="N1609" t="b">
        <v>0</v>
      </c>
    </row>
    <row r="1610" spans="1:14">
      <c r="A1610">
        <v>105</v>
      </c>
      <c r="B1610">
        <v>25</v>
      </c>
      <c r="C1610" t="s">
        <v>124</v>
      </c>
      <c r="D1610" t="s">
        <v>739</v>
      </c>
      <c r="E1610" t="s">
        <v>124</v>
      </c>
      <c r="F1610">
        <v>0</v>
      </c>
      <c r="G1610" t="s">
        <v>124</v>
      </c>
      <c r="H1610" t="s">
        <v>124</v>
      </c>
      <c r="I1610" t="s">
        <v>124</v>
      </c>
      <c r="J1610" t="s">
        <v>124</v>
      </c>
      <c r="K1610" t="s">
        <v>124</v>
      </c>
      <c r="L1610" t="s">
        <v>124</v>
      </c>
      <c r="M1610" t="s">
        <v>2269</v>
      </c>
      <c r="N1610" t="b">
        <v>0</v>
      </c>
    </row>
    <row r="1611" spans="1:14">
      <c r="A1611">
        <v>105</v>
      </c>
      <c r="B1611">
        <v>26</v>
      </c>
      <c r="C1611" t="s">
        <v>124</v>
      </c>
      <c r="D1611" t="s">
        <v>739</v>
      </c>
      <c r="E1611" t="s">
        <v>124</v>
      </c>
      <c r="F1611">
        <v>0</v>
      </c>
      <c r="G1611" t="s">
        <v>124</v>
      </c>
      <c r="H1611" t="s">
        <v>124</v>
      </c>
      <c r="I1611" t="s">
        <v>124</v>
      </c>
      <c r="J1611" t="s">
        <v>124</v>
      </c>
      <c r="K1611" t="s">
        <v>124</v>
      </c>
      <c r="L1611" t="s">
        <v>124</v>
      </c>
      <c r="M1611" t="s">
        <v>2270</v>
      </c>
      <c r="N1611"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0" spans="1:50">
      <c r="S10"/>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954</v>
      </c>
      <c r="K20" t="s">
        <v>961</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980</v>
      </c>
      <c r="K21" t="s">
        <v>987</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1008</v>
      </c>
      <c r="K22" t="s">
        <v>1015</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1034</v>
      </c>
      <c r="K23" t="s">
        <v>1041</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1060</v>
      </c>
      <c r="K24" t="s">
        <v>1067</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1086</v>
      </c>
      <c r="K25" t="s">
        <v>1093</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1114</v>
      </c>
      <c r="K26" t="s">
        <v>1122</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1142</v>
      </c>
      <c r="K27" t="s">
        <v>1149</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1171</v>
      </c>
      <c r="K28" t="s">
        <v>1180</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1199</v>
      </c>
      <c r="K29" t="s">
        <v>1206</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1225</v>
      </c>
      <c r="K30" t="s">
        <v>1232</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1250</v>
      </c>
      <c r="K31" t="s">
        <v>1257</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2271</v>
      </c>
      <c r="K32" t="s">
        <v>2272</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2273</v>
      </c>
      <c r="K33" t="s">
        <v>2274</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2275</v>
      </c>
      <c r="K34" t="s">
        <v>2276</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2277</v>
      </c>
      <c r="K35" t="s">
        <v>2278</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1276</v>
      </c>
      <c r="K36" t="s">
        <v>1283</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2279</v>
      </c>
      <c r="K37" t="s">
        <v>2280</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2281</v>
      </c>
      <c r="K38" t="s">
        <v>2282</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2283</v>
      </c>
      <c r="K39" t="s">
        <v>2284</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1302</v>
      </c>
      <c r="K40" t="s">
        <v>1309</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2285</v>
      </c>
      <c r="K41" t="s">
        <v>2286</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IF(TRIM(人物卡!J36)="","","外语（"&amp;TRIM(人物卡!J36)&amp;"）")</f>
        <v/>
      </c>
      <c r="B42" t="str">
        <f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2287</v>
      </c>
      <c r="K42" t="s">
        <v>2288</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IF(TRIM(人物卡!J37)="","","外语（"&amp;TRIM(人物卡!J37)&amp;"）")</f>
        <v/>
      </c>
      <c r="B43" t="str">
        <f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1327</v>
      </c>
      <c r="K43" t="s">
        <v>1334</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2289</v>
      </c>
      <c r="K44" t="s">
        <v>2290</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2291</v>
      </c>
      <c r="K45" t="s">
        <v>2292</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1353</v>
      </c>
      <c r="K46" t="s">
        <v>1360</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2293</v>
      </c>
      <c r="K47" t="s">
        <v>2294</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2295</v>
      </c>
      <c r="K48" t="s">
        <v>2296</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1379</v>
      </c>
      <c r="K49" t="s">
        <v>1386</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2297</v>
      </c>
      <c r="K50" t="s">
        <v>2298</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2299</v>
      </c>
      <c r="K51" t="s">
        <v>2300</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2301</v>
      </c>
      <c r="K52" t="s">
        <v>2302</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2303</v>
      </c>
      <c r="K53" t="s">
        <v>2304</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2305</v>
      </c>
      <c r="K54" t="s">
        <v>2306</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2307</v>
      </c>
      <c r="K55" t="s">
        <v>2308</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2309</v>
      </c>
      <c r="K56" t="s">
        <v>2310</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2311</v>
      </c>
      <c r="K57" t="s">
        <v>2312</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2313</v>
      </c>
      <c r="K58" t="s">
        <v>2314</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2315</v>
      </c>
      <c r="K59" t="s">
        <v>2316</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2317</v>
      </c>
      <c r="K60" t="s">
        <v>2318</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2319</v>
      </c>
      <c r="K61" t="s">
        <v>2320</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2321</v>
      </c>
      <c r="K62" t="s">
        <v>2322</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2323</v>
      </c>
      <c r="K63" t="s">
        <v>2324</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2325</v>
      </c>
      <c r="K64" t="s">
        <v>2326</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2327</v>
      </c>
      <c r="K65" t="s">
        <v>2328</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2329</v>
      </c>
      <c r="K66" t="s">
        <v>2330</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2331</v>
      </c>
      <c r="K67" t="s">
        <v>2332</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2333</v>
      </c>
      <c r="K68" t="s">
        <v>2334</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2335</v>
      </c>
      <c r="K69" t="s">
        <v>2336</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2337</v>
      </c>
      <c r="K70" t="s">
        <v>2338</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2339</v>
      </c>
      <c r="K71" t="s">
        <v>2340</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2341</v>
      </c>
      <c r="K72" t="s">
        <v>2342</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2343</v>
      </c>
      <c r="K73" t="s">
        <v>2344</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2345</v>
      </c>
      <c r="K74" t="s">
        <v>2346</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2347</v>
      </c>
      <c r="K75" t="s">
        <v>2348</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2349</v>
      </c>
      <c r="K76" t="s">
        <v>2350</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2351</v>
      </c>
      <c r="K77" t="s">
        <v>2352</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2353</v>
      </c>
      <c r="K78" t="s">
        <v>2354</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500</v>
      </c>
      <c r="B100">
        <v>1</v>
      </c>
      <c r="C100" t="s">
        <v>2355</v>
      </c>
      <c r="D100" t="s">
        <v>758</v>
      </c>
      <c r="E100" t="s">
        <v>124</v>
      </c>
      <c r="F100" t="s">
        <v>124</v>
      </c>
      <c r="G100" t="s">
        <v>124</v>
      </c>
    </row>
    <row r="101" spans="1:7">
      <c r="A101" t="s">
        <v>500</v>
      </c>
      <c r="B101">
        <v>2</v>
      </c>
      <c r="C101" t="s">
        <v>2356</v>
      </c>
      <c r="D101" t="s">
        <v>758</v>
      </c>
      <c r="E101" t="s">
        <v>124</v>
      </c>
      <c r="F101" t="s">
        <v>124</v>
      </c>
      <c r="G101" t="s">
        <v>124</v>
      </c>
    </row>
    <row r="102" spans="1:7">
      <c r="A102" t="s">
        <v>500</v>
      </c>
      <c r="B102">
        <v>3</v>
      </c>
      <c r="C102" t="s">
        <v>2357</v>
      </c>
      <c r="D102" t="s">
        <v>758</v>
      </c>
      <c r="E102" t="s">
        <v>124</v>
      </c>
      <c r="F102" t="s">
        <v>124</v>
      </c>
      <c r="G102" t="s">
        <v>124</v>
      </c>
    </row>
    <row r="103" spans="1:7">
      <c r="A103" t="s">
        <v>500</v>
      </c>
      <c r="B103">
        <v>4</v>
      </c>
      <c r="C103" t="s">
        <v>2358</v>
      </c>
      <c r="D103" t="s">
        <v>758</v>
      </c>
      <c r="E103" t="s">
        <v>124</v>
      </c>
      <c r="F103" t="s">
        <v>124</v>
      </c>
      <c r="G103" t="s">
        <v>124</v>
      </c>
    </row>
    <row r="104" spans="1:7">
      <c r="A104" t="s">
        <v>500</v>
      </c>
      <c r="B104">
        <v>5</v>
      </c>
      <c r="C104" t="s">
        <v>2359</v>
      </c>
      <c r="D104" t="s">
        <v>758</v>
      </c>
      <c r="E104" t="s">
        <v>124</v>
      </c>
      <c r="F104" t="s">
        <v>124</v>
      </c>
      <c r="G104" t="s">
        <v>124</v>
      </c>
    </row>
    <row r="105" spans="1:7">
      <c r="A105" t="s">
        <v>500</v>
      </c>
      <c r="B105">
        <v>6</v>
      </c>
      <c r="C105" t="s">
        <v>2360</v>
      </c>
      <c r="D105" t="s">
        <v>758</v>
      </c>
      <c r="E105" t="s">
        <v>124</v>
      </c>
      <c r="F105" t="s">
        <v>124</v>
      </c>
      <c r="G105" t="s">
        <v>124</v>
      </c>
    </row>
    <row r="106" spans="1:7">
      <c r="A106" t="s">
        <v>500</v>
      </c>
      <c r="B106">
        <v>7</v>
      </c>
      <c r="C106" t="s">
        <v>2361</v>
      </c>
      <c r="D106" t="s">
        <v>758</v>
      </c>
      <c r="E106" t="s">
        <v>124</v>
      </c>
      <c r="F106" t="s">
        <v>124</v>
      </c>
      <c r="G106" t="s">
        <v>124</v>
      </c>
    </row>
    <row r="107" spans="1:7">
      <c r="A107" t="s">
        <v>500</v>
      </c>
      <c r="B107">
        <v>8</v>
      </c>
      <c r="C107" t="s">
        <v>2362</v>
      </c>
      <c r="D107" t="s">
        <v>758</v>
      </c>
      <c r="E107" t="s">
        <v>124</v>
      </c>
      <c r="F107" t="s">
        <v>124</v>
      </c>
      <c r="G107" t="s">
        <v>124</v>
      </c>
    </row>
    <row r="108" spans="1:7">
      <c r="A108" t="s">
        <v>501</v>
      </c>
      <c r="B108">
        <v>1</v>
      </c>
      <c r="C108" t="s">
        <v>63</v>
      </c>
      <c r="D108" t="s">
        <v>722</v>
      </c>
      <c r="E108" t="s">
        <v>63</v>
      </c>
      <c r="F108" t="s">
        <v>124</v>
      </c>
      <c r="G108" t="s">
        <v>124</v>
      </c>
    </row>
    <row r="109" spans="1:7">
      <c r="A109" t="s">
        <v>501</v>
      </c>
      <c r="B109">
        <v>2</v>
      </c>
      <c r="C109" t="s">
        <v>502</v>
      </c>
      <c r="D109" t="s">
        <v>2363</v>
      </c>
      <c r="E109" t="s">
        <v>124</v>
      </c>
      <c r="F109" t="s">
        <v>2364</v>
      </c>
      <c r="G109" t="s">
        <v>542</v>
      </c>
    </row>
    <row r="110" spans="1:7">
      <c r="A110" t="s">
        <v>501</v>
      </c>
      <c r="B110">
        <v>3</v>
      </c>
      <c r="C110" t="s">
        <v>94</v>
      </c>
      <c r="D110" t="s">
        <v>722</v>
      </c>
      <c r="E110" t="s">
        <v>94</v>
      </c>
      <c r="F110" t="s">
        <v>124</v>
      </c>
      <c r="G110" t="s">
        <v>124</v>
      </c>
    </row>
    <row r="111" spans="1:7">
      <c r="A111" t="s">
        <v>501</v>
      </c>
      <c r="B111">
        <v>4</v>
      </c>
      <c r="C111" t="s">
        <v>76</v>
      </c>
      <c r="D111" t="s">
        <v>722</v>
      </c>
      <c r="E111" t="s">
        <v>76</v>
      </c>
      <c r="F111" t="s">
        <v>124</v>
      </c>
      <c r="G111" t="s">
        <v>124</v>
      </c>
    </row>
    <row r="112" spans="1:7">
      <c r="A112" t="s">
        <v>501</v>
      </c>
      <c r="B112">
        <v>5</v>
      </c>
      <c r="C112" t="s">
        <v>503</v>
      </c>
      <c r="D112" t="s">
        <v>2363</v>
      </c>
      <c r="E112" t="s">
        <v>124</v>
      </c>
      <c r="F112" t="s">
        <v>2365</v>
      </c>
      <c r="G112" t="s">
        <v>541</v>
      </c>
    </row>
    <row r="113" spans="1:7">
      <c r="A113" t="s">
        <v>501</v>
      </c>
      <c r="B113">
        <v>6</v>
      </c>
      <c r="C113" t="s">
        <v>503</v>
      </c>
      <c r="D113" t="s">
        <v>2363</v>
      </c>
      <c r="E113" t="s">
        <v>124</v>
      </c>
      <c r="F113" t="s">
        <v>2365</v>
      </c>
      <c r="G113" t="s">
        <v>541</v>
      </c>
    </row>
    <row r="114" spans="1:7">
      <c r="A114" t="s">
        <v>501</v>
      </c>
      <c r="B114">
        <v>7</v>
      </c>
      <c r="C114" t="s">
        <v>503</v>
      </c>
      <c r="D114" t="s">
        <v>2363</v>
      </c>
      <c r="E114" t="s">
        <v>124</v>
      </c>
      <c r="F114" t="s">
        <v>2365</v>
      </c>
      <c r="G114" t="s">
        <v>541</v>
      </c>
    </row>
    <row r="115" spans="1:7">
      <c r="A115" t="s">
        <v>501</v>
      </c>
      <c r="B115">
        <v>8</v>
      </c>
      <c r="C115" t="s">
        <v>113</v>
      </c>
      <c r="D115" t="s">
        <v>722</v>
      </c>
      <c r="E115" t="s">
        <v>113</v>
      </c>
      <c r="F115" t="s">
        <v>124</v>
      </c>
      <c r="G115" t="s">
        <v>124</v>
      </c>
    </row>
    <row r="116" spans="1:7">
      <c r="A116" t="s">
        <v>117</v>
      </c>
      <c r="B116">
        <v>1</v>
      </c>
      <c r="C116" t="s">
        <v>63</v>
      </c>
      <c r="D116" t="s">
        <v>722</v>
      </c>
      <c r="E116" t="s">
        <v>63</v>
      </c>
      <c r="F116" t="s">
        <v>124</v>
      </c>
      <c r="G116" t="s">
        <v>124</v>
      </c>
    </row>
    <row r="117" spans="1:7">
      <c r="A117" t="s">
        <v>117</v>
      </c>
      <c r="B117">
        <v>2</v>
      </c>
      <c r="C117" t="s">
        <v>75</v>
      </c>
      <c r="D117" t="s">
        <v>722</v>
      </c>
      <c r="E117" t="s">
        <v>75</v>
      </c>
      <c r="F117" t="s">
        <v>124</v>
      </c>
      <c r="G117" t="s">
        <v>124</v>
      </c>
    </row>
    <row r="118" spans="1:7">
      <c r="A118" t="s">
        <v>117</v>
      </c>
      <c r="B118">
        <v>3</v>
      </c>
      <c r="C118" t="s">
        <v>95</v>
      </c>
      <c r="D118" t="s">
        <v>722</v>
      </c>
      <c r="E118" t="s">
        <v>95</v>
      </c>
      <c r="F118" t="s">
        <v>124</v>
      </c>
      <c r="G118" t="s">
        <v>124</v>
      </c>
    </row>
    <row r="119" spans="1:7">
      <c r="A119" t="s">
        <v>117</v>
      </c>
      <c r="B119">
        <v>4</v>
      </c>
      <c r="C119" t="s">
        <v>101</v>
      </c>
      <c r="D119" t="s">
        <v>722</v>
      </c>
      <c r="E119" t="s">
        <v>101</v>
      </c>
      <c r="F119" t="s">
        <v>124</v>
      </c>
      <c r="G119" t="s">
        <v>124</v>
      </c>
    </row>
    <row r="120" spans="1:7">
      <c r="A120" t="s">
        <v>117</v>
      </c>
      <c r="B120">
        <v>5</v>
      </c>
      <c r="C120" t="s">
        <v>113</v>
      </c>
      <c r="D120" t="s">
        <v>722</v>
      </c>
      <c r="E120" t="s">
        <v>113</v>
      </c>
      <c r="F120" t="s">
        <v>124</v>
      </c>
      <c r="G120" t="s">
        <v>124</v>
      </c>
    </row>
    <row r="121" spans="1:7">
      <c r="A121" t="s">
        <v>117</v>
      </c>
      <c r="B121">
        <v>6</v>
      </c>
      <c r="C121" t="s">
        <v>76</v>
      </c>
      <c r="D121" t="s">
        <v>722</v>
      </c>
      <c r="E121" t="s">
        <v>76</v>
      </c>
      <c r="F121" t="s">
        <v>124</v>
      </c>
      <c r="G121" t="s">
        <v>124</v>
      </c>
    </row>
    <row r="122" spans="1:7">
      <c r="A122" t="s">
        <v>117</v>
      </c>
      <c r="B122">
        <v>7</v>
      </c>
      <c r="C122" t="s">
        <v>105</v>
      </c>
      <c r="D122" t="s">
        <v>722</v>
      </c>
      <c r="E122" t="s">
        <v>105</v>
      </c>
      <c r="F122" t="s">
        <v>124</v>
      </c>
      <c r="G122" t="s">
        <v>124</v>
      </c>
    </row>
    <row r="123" spans="1:7">
      <c r="A123" t="s">
        <v>117</v>
      </c>
      <c r="B123">
        <v>8</v>
      </c>
      <c r="C123" t="s">
        <v>106</v>
      </c>
      <c r="D123" t="s">
        <v>722</v>
      </c>
      <c r="E123" t="s">
        <v>106</v>
      </c>
      <c r="F123" t="s">
        <v>124</v>
      </c>
      <c r="G123" t="s">
        <v>124</v>
      </c>
    </row>
    <row r="124" spans="1:7">
      <c r="A124" t="s">
        <v>504</v>
      </c>
      <c r="B124">
        <v>1</v>
      </c>
      <c r="C124" t="s">
        <v>503</v>
      </c>
      <c r="D124" t="s">
        <v>2363</v>
      </c>
      <c r="E124" t="s">
        <v>124</v>
      </c>
      <c r="F124" t="s">
        <v>2365</v>
      </c>
      <c r="G124" t="s">
        <v>541</v>
      </c>
    </row>
    <row r="125" spans="1:7">
      <c r="A125" t="s">
        <v>504</v>
      </c>
      <c r="B125">
        <v>2</v>
      </c>
      <c r="C125" t="s">
        <v>65</v>
      </c>
      <c r="D125" t="s">
        <v>722</v>
      </c>
      <c r="E125" t="s">
        <v>65</v>
      </c>
      <c r="F125" t="s">
        <v>124</v>
      </c>
      <c r="G125" t="s">
        <v>124</v>
      </c>
    </row>
    <row r="126" spans="1:7">
      <c r="A126" t="s">
        <v>504</v>
      </c>
      <c r="B126">
        <v>3</v>
      </c>
      <c r="C126" t="s">
        <v>81</v>
      </c>
      <c r="D126" t="s">
        <v>722</v>
      </c>
      <c r="E126" t="s">
        <v>81</v>
      </c>
      <c r="F126" t="s">
        <v>124</v>
      </c>
      <c r="G126" t="s">
        <v>124</v>
      </c>
    </row>
    <row r="127" spans="1:7">
      <c r="A127" t="s">
        <v>504</v>
      </c>
      <c r="B127">
        <v>4</v>
      </c>
      <c r="C127" t="s">
        <v>112</v>
      </c>
      <c r="D127" t="s">
        <v>722</v>
      </c>
      <c r="E127" t="s">
        <v>112</v>
      </c>
      <c r="F127" t="s">
        <v>124</v>
      </c>
      <c r="G127" t="s">
        <v>124</v>
      </c>
    </row>
    <row r="128" spans="1:7">
      <c r="A128" t="s">
        <v>504</v>
      </c>
      <c r="B128">
        <v>5</v>
      </c>
      <c r="C128" t="s">
        <v>59</v>
      </c>
      <c r="D128" t="s">
        <v>722</v>
      </c>
      <c r="E128" t="s">
        <v>59</v>
      </c>
      <c r="F128" t="s">
        <v>124</v>
      </c>
      <c r="G128" t="s">
        <v>124</v>
      </c>
    </row>
    <row r="129" spans="1:7">
      <c r="A129" t="s">
        <v>504</v>
      </c>
      <c r="B129">
        <v>6</v>
      </c>
      <c r="C129" t="s">
        <v>74</v>
      </c>
      <c r="D129" t="s">
        <v>722</v>
      </c>
      <c r="E129" t="s">
        <v>74</v>
      </c>
      <c r="F129" t="s">
        <v>124</v>
      </c>
      <c r="G129" t="s">
        <v>124</v>
      </c>
    </row>
    <row r="130" spans="1:7">
      <c r="A130" t="s">
        <v>504</v>
      </c>
      <c r="B130">
        <v>7</v>
      </c>
      <c r="C130" t="s">
        <v>76</v>
      </c>
      <c r="D130" t="s">
        <v>722</v>
      </c>
      <c r="E130" t="s">
        <v>76</v>
      </c>
      <c r="F130" t="s">
        <v>124</v>
      </c>
      <c r="G130" t="s">
        <v>124</v>
      </c>
    </row>
    <row r="131" spans="1:7">
      <c r="A131" t="s">
        <v>504</v>
      </c>
      <c r="B131">
        <v>8</v>
      </c>
      <c r="C131" t="s">
        <v>113</v>
      </c>
      <c r="D131" t="s">
        <v>722</v>
      </c>
      <c r="E131" t="s">
        <v>113</v>
      </c>
      <c r="F131" t="s">
        <v>124</v>
      </c>
      <c r="G131" t="s">
        <v>124</v>
      </c>
    </row>
    <row r="132" spans="1:7">
      <c r="A132" t="s">
        <v>505</v>
      </c>
      <c r="B132">
        <v>1</v>
      </c>
      <c r="C132" t="s">
        <v>63</v>
      </c>
      <c r="D132" t="s">
        <v>722</v>
      </c>
      <c r="E132" t="s">
        <v>63</v>
      </c>
      <c r="F132" t="s">
        <v>124</v>
      </c>
      <c r="G132" t="s">
        <v>124</v>
      </c>
    </row>
    <row r="133" spans="1:7">
      <c r="A133" t="s">
        <v>505</v>
      </c>
      <c r="B133">
        <v>2</v>
      </c>
      <c r="C133" t="s">
        <v>75</v>
      </c>
      <c r="D133" t="s">
        <v>722</v>
      </c>
      <c r="E133" t="s">
        <v>75</v>
      </c>
      <c r="F133" t="s">
        <v>124</v>
      </c>
      <c r="G133" t="s">
        <v>124</v>
      </c>
    </row>
    <row r="134" spans="1:7">
      <c r="A134" t="s">
        <v>505</v>
      </c>
      <c r="B134">
        <v>3</v>
      </c>
      <c r="C134" t="s">
        <v>506</v>
      </c>
      <c r="D134" t="s">
        <v>722</v>
      </c>
      <c r="E134" t="s">
        <v>506</v>
      </c>
      <c r="F134" t="s">
        <v>124</v>
      </c>
      <c r="G134" t="s">
        <v>542</v>
      </c>
    </row>
    <row r="135" spans="1:7">
      <c r="A135" t="s">
        <v>505</v>
      </c>
      <c r="B135">
        <v>4</v>
      </c>
      <c r="C135" t="s">
        <v>507</v>
      </c>
      <c r="D135" t="s">
        <v>722</v>
      </c>
      <c r="E135" t="s">
        <v>507</v>
      </c>
      <c r="F135" t="s">
        <v>124</v>
      </c>
      <c r="G135" t="s">
        <v>542</v>
      </c>
    </row>
    <row r="136" spans="1:7">
      <c r="A136" t="s">
        <v>505</v>
      </c>
      <c r="B136">
        <v>5</v>
      </c>
      <c r="C136" t="s">
        <v>91</v>
      </c>
      <c r="D136" t="s">
        <v>722</v>
      </c>
      <c r="E136" t="s">
        <v>91</v>
      </c>
      <c r="F136" t="s">
        <v>124</v>
      </c>
      <c r="G136" t="s">
        <v>124</v>
      </c>
    </row>
    <row r="137" spans="1:7">
      <c r="A137" t="s">
        <v>505</v>
      </c>
      <c r="B137">
        <v>6</v>
      </c>
      <c r="C137" t="s">
        <v>94</v>
      </c>
      <c r="D137" t="s">
        <v>722</v>
      </c>
      <c r="E137" t="s">
        <v>94</v>
      </c>
      <c r="F137" t="s">
        <v>124</v>
      </c>
      <c r="G137" t="s">
        <v>124</v>
      </c>
    </row>
    <row r="138" spans="1:7">
      <c r="A138" t="s">
        <v>505</v>
      </c>
      <c r="B138">
        <v>7</v>
      </c>
      <c r="C138" t="s">
        <v>96</v>
      </c>
      <c r="D138" t="s">
        <v>722</v>
      </c>
      <c r="E138" t="s">
        <v>96</v>
      </c>
      <c r="F138" t="s">
        <v>124</v>
      </c>
      <c r="G138" t="s">
        <v>124</v>
      </c>
    </row>
    <row r="139" spans="1:7">
      <c r="A139" t="s">
        <v>505</v>
      </c>
      <c r="B139">
        <v>8</v>
      </c>
      <c r="C139" t="s">
        <v>100</v>
      </c>
      <c r="D139" t="s">
        <v>722</v>
      </c>
      <c r="E139" t="s">
        <v>100</v>
      </c>
      <c r="F139" t="s">
        <v>124</v>
      </c>
      <c r="G139" t="s">
        <v>124</v>
      </c>
    </row>
    <row r="140" spans="1:7">
      <c r="A140" t="s">
        <v>508</v>
      </c>
      <c r="B140">
        <v>1</v>
      </c>
      <c r="C140" t="s">
        <v>63</v>
      </c>
      <c r="D140" t="s">
        <v>722</v>
      </c>
      <c r="E140" t="s">
        <v>63</v>
      </c>
      <c r="F140" t="s">
        <v>124</v>
      </c>
      <c r="G140" t="s">
        <v>124</v>
      </c>
    </row>
    <row r="141" spans="1:7">
      <c r="A141" t="s">
        <v>508</v>
      </c>
      <c r="B141">
        <v>2</v>
      </c>
      <c r="C141" t="s">
        <v>502</v>
      </c>
      <c r="D141" t="s">
        <v>2363</v>
      </c>
      <c r="E141" t="s">
        <v>124</v>
      </c>
      <c r="F141" t="s">
        <v>2364</v>
      </c>
      <c r="G141" t="s">
        <v>542</v>
      </c>
    </row>
    <row r="142" spans="1:7">
      <c r="A142" t="s">
        <v>508</v>
      </c>
      <c r="B142">
        <v>3</v>
      </c>
      <c r="C142" t="s">
        <v>502</v>
      </c>
      <c r="D142" t="s">
        <v>2363</v>
      </c>
      <c r="E142" t="s">
        <v>124</v>
      </c>
      <c r="F142" t="s">
        <v>2364</v>
      </c>
      <c r="G142" t="s">
        <v>542</v>
      </c>
    </row>
    <row r="143" spans="1:7">
      <c r="A143" t="s">
        <v>508</v>
      </c>
      <c r="B143">
        <v>4</v>
      </c>
      <c r="C143" t="s">
        <v>97</v>
      </c>
      <c r="D143" t="s">
        <v>722</v>
      </c>
      <c r="E143" t="s">
        <v>97</v>
      </c>
      <c r="F143" t="s">
        <v>124</v>
      </c>
      <c r="G143" t="s">
        <v>124</v>
      </c>
    </row>
    <row r="144" spans="1:7">
      <c r="A144" t="s">
        <v>508</v>
      </c>
      <c r="B144">
        <v>5</v>
      </c>
      <c r="C144" t="s">
        <v>101</v>
      </c>
      <c r="D144" t="s">
        <v>722</v>
      </c>
      <c r="E144" t="s">
        <v>101</v>
      </c>
      <c r="F144" t="s">
        <v>124</v>
      </c>
      <c r="G144" t="s">
        <v>124</v>
      </c>
    </row>
    <row r="145" spans="1:7">
      <c r="A145" t="s">
        <v>508</v>
      </c>
      <c r="B145">
        <v>6</v>
      </c>
      <c r="C145" t="s">
        <v>110</v>
      </c>
      <c r="D145" t="s">
        <v>722</v>
      </c>
      <c r="E145" t="s">
        <v>110</v>
      </c>
      <c r="F145" t="s">
        <v>124</v>
      </c>
      <c r="G145" t="s">
        <v>124</v>
      </c>
    </row>
    <row r="146" spans="1:7">
      <c r="A146" t="s">
        <v>508</v>
      </c>
      <c r="B146">
        <v>7</v>
      </c>
      <c r="C146" t="s">
        <v>72</v>
      </c>
      <c r="D146" t="s">
        <v>722</v>
      </c>
      <c r="E146" t="s">
        <v>72</v>
      </c>
      <c r="F146" t="s">
        <v>124</v>
      </c>
      <c r="G146" t="s">
        <v>124</v>
      </c>
    </row>
    <row r="147" spans="1:7">
      <c r="A147" t="s">
        <v>508</v>
      </c>
      <c r="B147">
        <v>8</v>
      </c>
      <c r="C147" t="s">
        <v>96</v>
      </c>
      <c r="D147" t="s">
        <v>722</v>
      </c>
      <c r="E147" t="s">
        <v>96</v>
      </c>
      <c r="F147" t="s">
        <v>124</v>
      </c>
      <c r="G147" t="s">
        <v>124</v>
      </c>
    </row>
    <row r="148" spans="1:7">
      <c r="A148" t="s">
        <v>509</v>
      </c>
      <c r="B148">
        <v>1</v>
      </c>
      <c r="C148" t="s">
        <v>58</v>
      </c>
      <c r="D148" t="s">
        <v>722</v>
      </c>
      <c r="E148" t="s">
        <v>58</v>
      </c>
      <c r="F148" t="s">
        <v>124</v>
      </c>
      <c r="G148" t="s">
        <v>124</v>
      </c>
    </row>
    <row r="149" spans="1:7">
      <c r="A149" t="s">
        <v>509</v>
      </c>
      <c r="B149">
        <v>2</v>
      </c>
      <c r="C149" t="s">
        <v>81</v>
      </c>
      <c r="D149" t="s">
        <v>722</v>
      </c>
      <c r="E149" t="s">
        <v>81</v>
      </c>
      <c r="F149" t="s">
        <v>124</v>
      </c>
      <c r="G149" t="s">
        <v>124</v>
      </c>
    </row>
    <row r="150" spans="1:7">
      <c r="A150" t="s">
        <v>509</v>
      </c>
      <c r="B150">
        <v>3</v>
      </c>
      <c r="C150" t="s">
        <v>85</v>
      </c>
      <c r="D150" t="s">
        <v>722</v>
      </c>
      <c r="E150" t="s">
        <v>85</v>
      </c>
      <c r="F150" t="s">
        <v>124</v>
      </c>
      <c r="G150" t="s">
        <v>124</v>
      </c>
    </row>
    <row r="151" spans="1:7">
      <c r="A151" t="s">
        <v>509</v>
      </c>
      <c r="B151">
        <v>4</v>
      </c>
      <c r="C151" t="s">
        <v>91</v>
      </c>
      <c r="D151" t="s">
        <v>722</v>
      </c>
      <c r="E151" t="s">
        <v>91</v>
      </c>
      <c r="F151" t="s">
        <v>124</v>
      </c>
      <c r="G151" t="s">
        <v>124</v>
      </c>
    </row>
    <row r="152" spans="1:7">
      <c r="A152" t="s">
        <v>509</v>
      </c>
      <c r="B152">
        <v>5</v>
      </c>
      <c r="C152" t="s">
        <v>113</v>
      </c>
      <c r="D152" t="s">
        <v>722</v>
      </c>
      <c r="E152" t="s">
        <v>113</v>
      </c>
      <c r="F152" t="s">
        <v>124</v>
      </c>
      <c r="G152" t="s">
        <v>124</v>
      </c>
    </row>
    <row r="153" spans="1:7">
      <c r="A153" t="s">
        <v>509</v>
      </c>
      <c r="B153">
        <v>6</v>
      </c>
      <c r="C153" t="s">
        <v>59</v>
      </c>
      <c r="D153" t="s">
        <v>722</v>
      </c>
      <c r="E153" t="s">
        <v>59</v>
      </c>
      <c r="F153" t="s">
        <v>124</v>
      </c>
      <c r="G153" t="s">
        <v>124</v>
      </c>
    </row>
    <row r="154" spans="1:7">
      <c r="A154" t="s">
        <v>509</v>
      </c>
      <c r="B154">
        <v>7</v>
      </c>
      <c r="C154" t="s">
        <v>76</v>
      </c>
      <c r="D154" t="s">
        <v>722</v>
      </c>
      <c r="E154" t="s">
        <v>76</v>
      </c>
      <c r="F154" t="s">
        <v>124</v>
      </c>
      <c r="G154" t="s">
        <v>124</v>
      </c>
    </row>
    <row r="155" spans="1:7">
      <c r="A155" t="s">
        <v>509</v>
      </c>
      <c r="B155">
        <v>8</v>
      </c>
      <c r="C155" t="s">
        <v>2366</v>
      </c>
      <c r="D155" t="s">
        <v>758</v>
      </c>
      <c r="E155" t="s">
        <v>124</v>
      </c>
      <c r="F155" t="s">
        <v>124</v>
      </c>
      <c r="G155" t="s">
        <v>124</v>
      </c>
    </row>
    <row r="156" spans="1:7">
      <c r="A156" t="s">
        <v>511</v>
      </c>
      <c r="B156">
        <v>1</v>
      </c>
      <c r="C156" t="s">
        <v>334</v>
      </c>
      <c r="D156" t="s">
        <v>2363</v>
      </c>
      <c r="E156" t="s">
        <v>124</v>
      </c>
      <c r="F156" t="s">
        <v>2367</v>
      </c>
      <c r="G156" t="s">
        <v>295</v>
      </c>
    </row>
    <row r="157" spans="1:7">
      <c r="A157" t="s">
        <v>511</v>
      </c>
      <c r="B157">
        <v>2</v>
      </c>
      <c r="C157" t="s">
        <v>334</v>
      </c>
      <c r="D157" t="s">
        <v>2363</v>
      </c>
      <c r="E157" t="s">
        <v>124</v>
      </c>
      <c r="F157" t="s">
        <v>2367</v>
      </c>
      <c r="G157" t="s">
        <v>295</v>
      </c>
    </row>
    <row r="158" spans="1:7">
      <c r="A158" t="s">
        <v>511</v>
      </c>
      <c r="B158">
        <v>3</v>
      </c>
      <c r="C158" t="s">
        <v>334</v>
      </c>
      <c r="D158" t="s">
        <v>2363</v>
      </c>
      <c r="E158" t="s">
        <v>124</v>
      </c>
      <c r="F158" t="s">
        <v>2367</v>
      </c>
      <c r="G158" t="s">
        <v>295</v>
      </c>
    </row>
    <row r="159" spans="1:7">
      <c r="A159" t="s">
        <v>511</v>
      </c>
      <c r="B159">
        <v>4</v>
      </c>
      <c r="C159" t="s">
        <v>112</v>
      </c>
      <c r="D159" t="s">
        <v>722</v>
      </c>
      <c r="E159" t="s">
        <v>112</v>
      </c>
      <c r="F159" t="s">
        <v>124</v>
      </c>
      <c r="G159" t="s">
        <v>124</v>
      </c>
    </row>
    <row r="160" spans="1:7">
      <c r="A160" t="s">
        <v>511</v>
      </c>
      <c r="B160">
        <v>5</v>
      </c>
      <c r="C160" t="s">
        <v>113</v>
      </c>
      <c r="D160" t="s">
        <v>722</v>
      </c>
      <c r="E160" t="s">
        <v>113</v>
      </c>
      <c r="F160" t="s">
        <v>124</v>
      </c>
      <c r="G160" t="s">
        <v>124</v>
      </c>
    </row>
    <row r="161" spans="1:7">
      <c r="A161" t="s">
        <v>511</v>
      </c>
      <c r="B161">
        <v>6</v>
      </c>
      <c r="C161" t="s">
        <v>74</v>
      </c>
      <c r="D161" t="s">
        <v>722</v>
      </c>
      <c r="E161" t="s">
        <v>74</v>
      </c>
      <c r="F161" t="s">
        <v>124</v>
      </c>
      <c r="G161" t="s">
        <v>124</v>
      </c>
    </row>
    <row r="162" spans="1:7">
      <c r="A162" t="s">
        <v>511</v>
      </c>
      <c r="B162">
        <v>7</v>
      </c>
      <c r="C162" t="s">
        <v>76</v>
      </c>
      <c r="D162" t="s">
        <v>722</v>
      </c>
      <c r="E162" t="s">
        <v>76</v>
      </c>
      <c r="F162" t="s">
        <v>124</v>
      </c>
      <c r="G162" t="s">
        <v>124</v>
      </c>
    </row>
    <row r="163" spans="1:7">
      <c r="A163" t="s">
        <v>511</v>
      </c>
      <c r="B163">
        <v>8</v>
      </c>
      <c r="C163" t="s">
        <v>89</v>
      </c>
      <c r="D163" t="s">
        <v>722</v>
      </c>
      <c r="E163" t="s">
        <v>89</v>
      </c>
      <c r="F163" t="s">
        <v>124</v>
      </c>
      <c r="G163" t="s">
        <v>124</v>
      </c>
    </row>
    <row r="164" spans="1:7">
      <c r="A164" t="s">
        <v>513</v>
      </c>
      <c r="B164">
        <v>1</v>
      </c>
      <c r="C164" t="s">
        <v>63</v>
      </c>
      <c r="D164" t="s">
        <v>722</v>
      </c>
      <c r="E164" t="s">
        <v>63</v>
      </c>
      <c r="F164" t="s">
        <v>124</v>
      </c>
      <c r="G164" t="s">
        <v>124</v>
      </c>
    </row>
    <row r="165" spans="1:7">
      <c r="A165" t="s">
        <v>513</v>
      </c>
      <c r="B165">
        <v>2</v>
      </c>
      <c r="C165" t="s">
        <v>95</v>
      </c>
      <c r="D165" t="s">
        <v>722</v>
      </c>
      <c r="E165" t="s">
        <v>95</v>
      </c>
      <c r="F165" t="s">
        <v>124</v>
      </c>
      <c r="G165" t="s">
        <v>124</v>
      </c>
    </row>
    <row r="166" spans="1:7">
      <c r="A166" t="s">
        <v>513</v>
      </c>
      <c r="B166">
        <v>3</v>
      </c>
      <c r="C166" t="s">
        <v>99</v>
      </c>
      <c r="D166" t="s">
        <v>722</v>
      </c>
      <c r="E166" t="s">
        <v>99</v>
      </c>
      <c r="F166" t="s">
        <v>124</v>
      </c>
      <c r="G166" t="s">
        <v>124</v>
      </c>
    </row>
    <row r="167" spans="1:7">
      <c r="A167" t="s">
        <v>513</v>
      </c>
      <c r="B167">
        <v>4</v>
      </c>
      <c r="C167" t="s">
        <v>101</v>
      </c>
      <c r="D167" t="s">
        <v>722</v>
      </c>
      <c r="E167" t="s">
        <v>101</v>
      </c>
      <c r="F167" t="s">
        <v>124</v>
      </c>
      <c r="G167" t="s">
        <v>124</v>
      </c>
    </row>
    <row r="168" spans="1:7">
      <c r="A168" t="s">
        <v>513</v>
      </c>
      <c r="B168">
        <v>5</v>
      </c>
      <c r="C168" t="s">
        <v>111</v>
      </c>
      <c r="D168" t="s">
        <v>722</v>
      </c>
      <c r="E168" t="s">
        <v>111</v>
      </c>
      <c r="F168" t="s">
        <v>124</v>
      </c>
      <c r="G168" t="s">
        <v>124</v>
      </c>
    </row>
    <row r="169" spans="1:7">
      <c r="A169" t="s">
        <v>513</v>
      </c>
      <c r="B169">
        <v>6</v>
      </c>
      <c r="C169" t="s">
        <v>66</v>
      </c>
      <c r="D169" t="s">
        <v>722</v>
      </c>
      <c r="E169" t="s">
        <v>66</v>
      </c>
      <c r="F169" t="s">
        <v>124</v>
      </c>
      <c r="G169" t="s">
        <v>124</v>
      </c>
    </row>
    <row r="170" spans="1:7">
      <c r="A170" t="s">
        <v>513</v>
      </c>
      <c r="B170">
        <v>7</v>
      </c>
      <c r="C170" t="s">
        <v>100</v>
      </c>
      <c r="D170" t="s">
        <v>722</v>
      </c>
      <c r="E170" t="s">
        <v>100</v>
      </c>
      <c r="F170" t="s">
        <v>124</v>
      </c>
      <c r="G170" t="s">
        <v>124</v>
      </c>
    </row>
    <row r="171" spans="1:7">
      <c r="A171" t="s">
        <v>513</v>
      </c>
      <c r="B171">
        <v>8</v>
      </c>
      <c r="C171" t="s">
        <v>106</v>
      </c>
      <c r="D171" t="s">
        <v>722</v>
      </c>
      <c r="E171" t="s">
        <v>106</v>
      </c>
      <c r="F171" t="s">
        <v>124</v>
      </c>
      <c r="G171" t="s">
        <v>124</v>
      </c>
    </row>
    <row r="172" spans="1:7">
      <c r="A172" t="s">
        <v>514</v>
      </c>
      <c r="B172">
        <v>1</v>
      </c>
      <c r="C172" t="s">
        <v>85</v>
      </c>
      <c r="D172" t="s">
        <v>722</v>
      </c>
      <c r="E172" t="s">
        <v>85</v>
      </c>
      <c r="F172" t="s">
        <v>124</v>
      </c>
      <c r="G172" t="s">
        <v>124</v>
      </c>
    </row>
    <row r="173" spans="1:7">
      <c r="A173" t="s">
        <v>514</v>
      </c>
      <c r="B173">
        <v>2</v>
      </c>
      <c r="C173" t="s">
        <v>364</v>
      </c>
      <c r="D173" t="s">
        <v>722</v>
      </c>
      <c r="E173" t="s">
        <v>364</v>
      </c>
      <c r="F173" t="s">
        <v>124</v>
      </c>
      <c r="G173" t="s">
        <v>542</v>
      </c>
    </row>
    <row r="174" spans="1:7">
      <c r="A174" t="s">
        <v>514</v>
      </c>
      <c r="B174">
        <v>3</v>
      </c>
      <c r="C174" t="s">
        <v>371</v>
      </c>
      <c r="D174" t="s">
        <v>722</v>
      </c>
      <c r="E174" t="s">
        <v>371</v>
      </c>
      <c r="F174" t="s">
        <v>124</v>
      </c>
      <c r="G174" t="s">
        <v>543</v>
      </c>
    </row>
    <row r="175" spans="1:7">
      <c r="A175" t="s">
        <v>514</v>
      </c>
      <c r="B175">
        <v>4</v>
      </c>
      <c r="C175" t="s">
        <v>98</v>
      </c>
      <c r="D175" t="s">
        <v>722</v>
      </c>
      <c r="E175" t="s">
        <v>98</v>
      </c>
      <c r="F175" t="s">
        <v>124</v>
      </c>
      <c r="G175" t="s">
        <v>124</v>
      </c>
    </row>
    <row r="176" spans="1:7">
      <c r="A176" t="s">
        <v>514</v>
      </c>
      <c r="B176">
        <v>5</v>
      </c>
      <c r="C176" t="s">
        <v>2366</v>
      </c>
      <c r="D176" t="s">
        <v>758</v>
      </c>
      <c r="E176" t="s">
        <v>124</v>
      </c>
      <c r="F176" t="s">
        <v>124</v>
      </c>
      <c r="G176" t="s">
        <v>124</v>
      </c>
    </row>
    <row r="177" spans="1:7">
      <c r="A177" t="s">
        <v>514</v>
      </c>
      <c r="B177">
        <v>6</v>
      </c>
      <c r="C177" t="s">
        <v>2366</v>
      </c>
      <c r="D177" t="s">
        <v>758</v>
      </c>
      <c r="E177" t="s">
        <v>124</v>
      </c>
      <c r="F177" t="s">
        <v>124</v>
      </c>
      <c r="G177" t="s">
        <v>124</v>
      </c>
    </row>
    <row r="178" spans="1:7">
      <c r="A178" t="s">
        <v>514</v>
      </c>
      <c r="B178">
        <v>7</v>
      </c>
      <c r="C178" t="s">
        <v>2366</v>
      </c>
      <c r="D178" t="s">
        <v>758</v>
      </c>
      <c r="E178" t="s">
        <v>124</v>
      </c>
      <c r="F178" t="s">
        <v>124</v>
      </c>
      <c r="G178" t="s">
        <v>124</v>
      </c>
    </row>
    <row r="179" spans="1:7">
      <c r="A179" t="s">
        <v>514</v>
      </c>
      <c r="B179">
        <v>8</v>
      </c>
      <c r="C179" t="s">
        <v>2366</v>
      </c>
      <c r="D179" t="s">
        <v>758</v>
      </c>
      <c r="E179" t="s">
        <v>124</v>
      </c>
      <c r="F179" t="s">
        <v>124</v>
      </c>
      <c r="G179" t="s">
        <v>124</v>
      </c>
    </row>
    <row r="180" spans="1:7">
      <c r="A180" t="s">
        <v>516</v>
      </c>
      <c r="B180">
        <v>1</v>
      </c>
      <c r="C180" t="s">
        <v>81</v>
      </c>
      <c r="D180" t="s">
        <v>722</v>
      </c>
      <c r="E180" t="s">
        <v>81</v>
      </c>
      <c r="F180" t="s">
        <v>124</v>
      </c>
      <c r="G180" t="s">
        <v>124</v>
      </c>
    </row>
    <row r="181" spans="1:7">
      <c r="A181" t="s">
        <v>516</v>
      </c>
      <c r="B181">
        <v>2</v>
      </c>
      <c r="C181" t="s">
        <v>101</v>
      </c>
      <c r="D181" t="s">
        <v>722</v>
      </c>
      <c r="E181" t="s">
        <v>101</v>
      </c>
      <c r="F181" t="s">
        <v>124</v>
      </c>
      <c r="G181" t="s">
        <v>124</v>
      </c>
    </row>
    <row r="182" spans="1:7">
      <c r="A182" t="s">
        <v>516</v>
      </c>
      <c r="B182">
        <v>3</v>
      </c>
      <c r="C182" t="s">
        <v>334</v>
      </c>
      <c r="D182" t="s">
        <v>2363</v>
      </c>
      <c r="E182" t="s">
        <v>124</v>
      </c>
      <c r="F182" t="s">
        <v>2367</v>
      </c>
      <c r="G182" t="s">
        <v>295</v>
      </c>
    </row>
    <row r="183" spans="1:7">
      <c r="A183" t="s">
        <v>516</v>
      </c>
      <c r="B183">
        <v>4</v>
      </c>
      <c r="C183" t="s">
        <v>113</v>
      </c>
      <c r="D183" t="s">
        <v>722</v>
      </c>
      <c r="E183" t="s">
        <v>113</v>
      </c>
      <c r="F183" t="s">
        <v>124</v>
      </c>
      <c r="G183" t="s">
        <v>124</v>
      </c>
    </row>
    <row r="184" spans="1:7">
      <c r="A184" t="s">
        <v>516</v>
      </c>
      <c r="B184">
        <v>5</v>
      </c>
      <c r="C184" t="s">
        <v>59</v>
      </c>
      <c r="D184" t="s">
        <v>722</v>
      </c>
      <c r="E184" t="s">
        <v>59</v>
      </c>
      <c r="F184" t="s">
        <v>124</v>
      </c>
      <c r="G184" t="s">
        <v>124</v>
      </c>
    </row>
    <row r="185" spans="1:7">
      <c r="A185" t="s">
        <v>516</v>
      </c>
      <c r="B185">
        <v>6</v>
      </c>
      <c r="C185" t="s">
        <v>76</v>
      </c>
      <c r="D185" t="s">
        <v>722</v>
      </c>
      <c r="E185" t="s">
        <v>76</v>
      </c>
      <c r="F185" t="s">
        <v>124</v>
      </c>
      <c r="G185" t="s">
        <v>124</v>
      </c>
    </row>
    <row r="186" spans="1:7">
      <c r="A186" t="s">
        <v>516</v>
      </c>
      <c r="B186">
        <v>7</v>
      </c>
      <c r="C186" t="s">
        <v>89</v>
      </c>
      <c r="D186" t="s">
        <v>722</v>
      </c>
      <c r="E186" t="s">
        <v>89</v>
      </c>
      <c r="F186" t="s">
        <v>124</v>
      </c>
      <c r="G186" t="s">
        <v>124</v>
      </c>
    </row>
    <row r="187" spans="1:7">
      <c r="A187" t="s">
        <v>516</v>
      </c>
      <c r="B187">
        <v>8</v>
      </c>
      <c r="C187" t="s">
        <v>96</v>
      </c>
      <c r="D187" t="s">
        <v>722</v>
      </c>
      <c r="E187" t="s">
        <v>96</v>
      </c>
      <c r="F187" t="s">
        <v>124</v>
      </c>
      <c r="G187" t="s">
        <v>124</v>
      </c>
    </row>
    <row r="188" spans="1:7">
      <c r="A188" t="s">
        <v>517</v>
      </c>
      <c r="B188">
        <v>1</v>
      </c>
      <c r="C188" t="s">
        <v>58</v>
      </c>
      <c r="D188" t="s">
        <v>722</v>
      </c>
      <c r="E188" t="s">
        <v>58</v>
      </c>
      <c r="F188" t="s">
        <v>124</v>
      </c>
      <c r="G188" t="s">
        <v>124</v>
      </c>
    </row>
    <row r="189" spans="1:7">
      <c r="A189" t="s">
        <v>517</v>
      </c>
      <c r="B189">
        <v>2</v>
      </c>
      <c r="C189" t="s">
        <v>81</v>
      </c>
      <c r="D189" t="s">
        <v>722</v>
      </c>
      <c r="E189" t="s">
        <v>81</v>
      </c>
      <c r="F189" t="s">
        <v>124</v>
      </c>
      <c r="G189" t="s">
        <v>124</v>
      </c>
    </row>
    <row r="190" spans="1:7">
      <c r="A190" t="s">
        <v>517</v>
      </c>
      <c r="B190">
        <v>3</v>
      </c>
      <c r="C190" t="s">
        <v>85</v>
      </c>
      <c r="D190" t="s">
        <v>722</v>
      </c>
      <c r="E190" t="s">
        <v>85</v>
      </c>
      <c r="F190" t="s">
        <v>124</v>
      </c>
      <c r="G190" t="s">
        <v>124</v>
      </c>
    </row>
    <row r="191" spans="1:7">
      <c r="A191" t="s">
        <v>517</v>
      </c>
      <c r="B191">
        <v>4</v>
      </c>
      <c r="C191" t="s">
        <v>91</v>
      </c>
      <c r="D191" t="s">
        <v>722</v>
      </c>
      <c r="E191" t="s">
        <v>91</v>
      </c>
      <c r="F191" t="s">
        <v>124</v>
      </c>
      <c r="G191" t="s">
        <v>124</v>
      </c>
    </row>
    <row r="192" spans="1:7">
      <c r="A192" t="s">
        <v>517</v>
      </c>
      <c r="B192">
        <v>5</v>
      </c>
      <c r="C192" t="s">
        <v>107</v>
      </c>
      <c r="D192" t="s">
        <v>722</v>
      </c>
      <c r="E192" t="s">
        <v>107</v>
      </c>
      <c r="F192" t="s">
        <v>124</v>
      </c>
      <c r="G192" t="s">
        <v>124</v>
      </c>
    </row>
    <row r="193" spans="1:7">
      <c r="A193" t="s">
        <v>517</v>
      </c>
      <c r="B193">
        <v>6</v>
      </c>
      <c r="C193" t="s">
        <v>59</v>
      </c>
      <c r="D193" t="s">
        <v>722</v>
      </c>
      <c r="E193" t="s">
        <v>59</v>
      </c>
      <c r="F193" t="s">
        <v>124</v>
      </c>
      <c r="G193" t="s">
        <v>124</v>
      </c>
    </row>
    <row r="194" spans="1:7">
      <c r="A194" t="s">
        <v>517</v>
      </c>
      <c r="B194">
        <v>7</v>
      </c>
      <c r="C194" t="s">
        <v>82</v>
      </c>
      <c r="D194" t="s">
        <v>722</v>
      </c>
      <c r="E194" t="s">
        <v>82</v>
      </c>
      <c r="F194" t="s">
        <v>124</v>
      </c>
      <c r="G194" t="s">
        <v>124</v>
      </c>
    </row>
    <row r="195" spans="1:7">
      <c r="A195" t="s">
        <v>517</v>
      </c>
      <c r="B195">
        <v>8</v>
      </c>
      <c r="C195" t="s">
        <v>96</v>
      </c>
      <c r="D195" t="s">
        <v>722</v>
      </c>
      <c r="E195" t="s">
        <v>96</v>
      </c>
      <c r="F195" t="s">
        <v>124</v>
      </c>
      <c r="G195" t="s">
        <v>124</v>
      </c>
    </row>
    <row r="196" spans="1:7">
      <c r="A196" t="s">
        <v>518</v>
      </c>
      <c r="B196">
        <v>1</v>
      </c>
      <c r="C196" t="s">
        <v>63</v>
      </c>
      <c r="D196" t="s">
        <v>722</v>
      </c>
      <c r="E196" t="s">
        <v>63</v>
      </c>
      <c r="F196" t="s">
        <v>124</v>
      </c>
      <c r="G196" t="s">
        <v>124</v>
      </c>
    </row>
    <row r="197" spans="1:7">
      <c r="A197" t="s">
        <v>518</v>
      </c>
      <c r="B197">
        <v>2</v>
      </c>
      <c r="C197" t="s">
        <v>93</v>
      </c>
      <c r="D197" t="s">
        <v>722</v>
      </c>
      <c r="E197" t="s">
        <v>93</v>
      </c>
      <c r="F197" t="s">
        <v>124</v>
      </c>
      <c r="G197" t="s">
        <v>124</v>
      </c>
    </row>
    <row r="198" spans="1:7">
      <c r="A198" t="s">
        <v>518</v>
      </c>
      <c r="B198">
        <v>3</v>
      </c>
      <c r="C198" t="s">
        <v>97</v>
      </c>
      <c r="D198" t="s">
        <v>722</v>
      </c>
      <c r="E198" t="s">
        <v>97</v>
      </c>
      <c r="F198" t="s">
        <v>124</v>
      </c>
      <c r="G198" t="s">
        <v>124</v>
      </c>
    </row>
    <row r="199" spans="1:7">
      <c r="A199" t="s">
        <v>518</v>
      </c>
      <c r="B199">
        <v>4</v>
      </c>
      <c r="C199" t="s">
        <v>101</v>
      </c>
      <c r="D199" t="s">
        <v>722</v>
      </c>
      <c r="E199" t="s">
        <v>101</v>
      </c>
      <c r="F199" t="s">
        <v>124</v>
      </c>
      <c r="G199" t="s">
        <v>124</v>
      </c>
    </row>
    <row r="200" spans="1:7">
      <c r="A200" t="s">
        <v>518</v>
      </c>
      <c r="B200">
        <v>5</v>
      </c>
      <c r="C200" t="s">
        <v>107</v>
      </c>
      <c r="D200" t="s">
        <v>722</v>
      </c>
      <c r="E200" t="s">
        <v>107</v>
      </c>
      <c r="F200" t="s">
        <v>124</v>
      </c>
      <c r="G200" t="s">
        <v>124</v>
      </c>
    </row>
    <row r="201" spans="1:7">
      <c r="A201" t="s">
        <v>518</v>
      </c>
      <c r="B201">
        <v>6</v>
      </c>
      <c r="C201" t="s">
        <v>110</v>
      </c>
      <c r="D201" t="s">
        <v>722</v>
      </c>
      <c r="E201" t="s">
        <v>110</v>
      </c>
      <c r="F201" t="s">
        <v>124</v>
      </c>
      <c r="G201" t="s">
        <v>124</v>
      </c>
    </row>
    <row r="202" spans="1:7">
      <c r="A202" t="s">
        <v>518</v>
      </c>
      <c r="B202">
        <v>7</v>
      </c>
      <c r="C202" t="s">
        <v>72</v>
      </c>
      <c r="D202" t="s">
        <v>722</v>
      </c>
      <c r="E202" t="s">
        <v>72</v>
      </c>
      <c r="F202" t="s">
        <v>124</v>
      </c>
      <c r="G202" t="s">
        <v>124</v>
      </c>
    </row>
    <row r="203" spans="1:7">
      <c r="A203" t="s">
        <v>518</v>
      </c>
      <c r="B203">
        <v>8</v>
      </c>
      <c r="C203" t="s">
        <v>96</v>
      </c>
      <c r="D203" t="s">
        <v>722</v>
      </c>
      <c r="E203" t="s">
        <v>96</v>
      </c>
      <c r="F203" t="s">
        <v>124</v>
      </c>
      <c r="G203" t="s">
        <v>124</v>
      </c>
    </row>
    <row r="204" spans="1:7">
      <c r="A204" t="s">
        <v>519</v>
      </c>
      <c r="B204">
        <v>1</v>
      </c>
      <c r="C204" t="s">
        <v>63</v>
      </c>
      <c r="D204" t="s">
        <v>722</v>
      </c>
      <c r="E204" t="s">
        <v>63</v>
      </c>
      <c r="F204" t="s">
        <v>124</v>
      </c>
      <c r="G204" t="s">
        <v>124</v>
      </c>
    </row>
    <row r="205" spans="1:7">
      <c r="A205" t="s">
        <v>519</v>
      </c>
      <c r="B205">
        <v>2</v>
      </c>
      <c r="C205" t="s">
        <v>91</v>
      </c>
      <c r="D205" t="s">
        <v>722</v>
      </c>
      <c r="E205" t="s">
        <v>91</v>
      </c>
      <c r="F205" t="s">
        <v>124</v>
      </c>
      <c r="G205" t="s">
        <v>124</v>
      </c>
    </row>
    <row r="206" spans="1:7">
      <c r="A206" t="s">
        <v>519</v>
      </c>
      <c r="B206">
        <v>3</v>
      </c>
      <c r="C206" t="s">
        <v>95</v>
      </c>
      <c r="D206" t="s">
        <v>722</v>
      </c>
      <c r="E206" t="s">
        <v>95</v>
      </c>
      <c r="F206" t="s">
        <v>124</v>
      </c>
      <c r="G206" t="s">
        <v>124</v>
      </c>
    </row>
    <row r="207" spans="1:7">
      <c r="A207" t="s">
        <v>519</v>
      </c>
      <c r="B207">
        <v>4</v>
      </c>
      <c r="C207" t="s">
        <v>97</v>
      </c>
      <c r="D207" t="s">
        <v>722</v>
      </c>
      <c r="E207" t="s">
        <v>97</v>
      </c>
      <c r="F207" t="s">
        <v>124</v>
      </c>
      <c r="G207" t="s">
        <v>124</v>
      </c>
    </row>
    <row r="208" spans="1:7">
      <c r="A208" t="s">
        <v>519</v>
      </c>
      <c r="B208">
        <v>5</v>
      </c>
      <c r="C208" t="s">
        <v>76</v>
      </c>
      <c r="D208" t="s">
        <v>722</v>
      </c>
      <c r="E208" t="s">
        <v>76</v>
      </c>
      <c r="F208" t="s">
        <v>124</v>
      </c>
      <c r="G208" t="s">
        <v>124</v>
      </c>
    </row>
    <row r="209" spans="1:7">
      <c r="A209" t="s">
        <v>519</v>
      </c>
      <c r="B209">
        <v>6</v>
      </c>
      <c r="C209" t="s">
        <v>100</v>
      </c>
      <c r="D209" t="s">
        <v>722</v>
      </c>
      <c r="E209" t="s">
        <v>100</v>
      </c>
      <c r="F209" t="s">
        <v>124</v>
      </c>
      <c r="G209" t="s">
        <v>124</v>
      </c>
    </row>
    <row r="210" spans="1:7">
      <c r="A210" t="s">
        <v>519</v>
      </c>
      <c r="B210">
        <v>7</v>
      </c>
      <c r="C210" t="s">
        <v>2368</v>
      </c>
      <c r="D210" t="s">
        <v>1667</v>
      </c>
      <c r="E210" t="s">
        <v>124</v>
      </c>
      <c r="F210" t="s">
        <v>2369</v>
      </c>
      <c r="G210" t="s">
        <v>124</v>
      </c>
    </row>
    <row r="211" spans="1:7">
      <c r="A211" t="s">
        <v>519</v>
      </c>
      <c r="B211">
        <v>8</v>
      </c>
      <c r="C211" t="s">
        <v>2370</v>
      </c>
      <c r="D211" t="s">
        <v>1667</v>
      </c>
      <c r="E211" t="s">
        <v>124</v>
      </c>
      <c r="F211" t="s">
        <v>2369</v>
      </c>
      <c r="G211" t="s">
        <v>124</v>
      </c>
    </row>
    <row r="212" spans="1:7">
      <c r="A212" t="s">
        <v>520</v>
      </c>
      <c r="B212">
        <v>1</v>
      </c>
      <c r="C212" t="s">
        <v>91</v>
      </c>
      <c r="D212" t="s">
        <v>722</v>
      </c>
      <c r="E212" t="s">
        <v>91</v>
      </c>
      <c r="F212" t="s">
        <v>124</v>
      </c>
      <c r="G212" t="s">
        <v>124</v>
      </c>
    </row>
    <row r="213" spans="1:7">
      <c r="A213" t="s">
        <v>520</v>
      </c>
      <c r="B213">
        <v>2</v>
      </c>
      <c r="C213" t="s">
        <v>334</v>
      </c>
      <c r="D213" t="s">
        <v>2363</v>
      </c>
      <c r="E213" t="s">
        <v>124</v>
      </c>
      <c r="F213" t="s">
        <v>2367</v>
      </c>
      <c r="G213" t="s">
        <v>295</v>
      </c>
    </row>
    <row r="214" spans="1:7">
      <c r="A214" t="s">
        <v>520</v>
      </c>
      <c r="B214">
        <v>3</v>
      </c>
      <c r="C214" t="s">
        <v>334</v>
      </c>
      <c r="D214" t="s">
        <v>2363</v>
      </c>
      <c r="E214" t="s">
        <v>124</v>
      </c>
      <c r="F214" t="s">
        <v>2367</v>
      </c>
      <c r="G214" t="s">
        <v>295</v>
      </c>
    </row>
    <row r="215" spans="1:7">
      <c r="A215" t="s">
        <v>520</v>
      </c>
      <c r="B215">
        <v>4</v>
      </c>
      <c r="C215" t="s">
        <v>113</v>
      </c>
      <c r="D215" t="s">
        <v>722</v>
      </c>
      <c r="E215" t="s">
        <v>113</v>
      </c>
      <c r="F215" t="s">
        <v>124</v>
      </c>
      <c r="G215" t="s">
        <v>124</v>
      </c>
    </row>
    <row r="216" spans="1:7">
      <c r="A216" t="s">
        <v>520</v>
      </c>
      <c r="B216">
        <v>5</v>
      </c>
      <c r="C216" t="s">
        <v>59</v>
      </c>
      <c r="D216" t="s">
        <v>722</v>
      </c>
      <c r="E216" t="s">
        <v>59</v>
      </c>
      <c r="F216" t="s">
        <v>124</v>
      </c>
      <c r="G216" t="s">
        <v>124</v>
      </c>
    </row>
    <row r="217" spans="1:7">
      <c r="A217" t="s">
        <v>520</v>
      </c>
      <c r="B217">
        <v>6</v>
      </c>
      <c r="C217" t="s">
        <v>76</v>
      </c>
      <c r="D217" t="s">
        <v>722</v>
      </c>
      <c r="E217" t="s">
        <v>76</v>
      </c>
      <c r="F217" t="s">
        <v>124</v>
      </c>
      <c r="G217" t="s">
        <v>124</v>
      </c>
    </row>
    <row r="218" spans="1:7">
      <c r="A218" t="s">
        <v>520</v>
      </c>
      <c r="B218">
        <v>7</v>
      </c>
      <c r="C218" t="s">
        <v>82</v>
      </c>
      <c r="D218" t="s">
        <v>722</v>
      </c>
      <c r="E218" t="s">
        <v>82</v>
      </c>
      <c r="F218" t="s">
        <v>124</v>
      </c>
      <c r="G218" t="s">
        <v>124</v>
      </c>
    </row>
    <row r="219" spans="1:7">
      <c r="A219" t="s">
        <v>520</v>
      </c>
      <c r="B219">
        <v>8</v>
      </c>
      <c r="C219" t="s">
        <v>96</v>
      </c>
      <c r="D219" t="s">
        <v>722</v>
      </c>
      <c r="E219" t="s">
        <v>96</v>
      </c>
      <c r="F219" t="s">
        <v>124</v>
      </c>
      <c r="G219" t="s">
        <v>124</v>
      </c>
    </row>
    <row r="220" spans="1:7">
      <c r="A220" t="s">
        <v>521</v>
      </c>
      <c r="B220">
        <v>1</v>
      </c>
      <c r="C220" t="s">
        <v>522</v>
      </c>
      <c r="D220" t="s">
        <v>1667</v>
      </c>
      <c r="E220" t="s">
        <v>124</v>
      </c>
      <c r="F220" t="s">
        <v>2371</v>
      </c>
      <c r="G220" t="s">
        <v>124</v>
      </c>
    </row>
    <row r="221" spans="1:7">
      <c r="A221" t="s">
        <v>521</v>
      </c>
      <c r="B221">
        <v>2</v>
      </c>
      <c r="C221" t="s">
        <v>503</v>
      </c>
      <c r="D221" t="s">
        <v>2363</v>
      </c>
      <c r="E221" t="s">
        <v>124</v>
      </c>
      <c r="F221" t="s">
        <v>2365</v>
      </c>
      <c r="G221" t="s">
        <v>541</v>
      </c>
    </row>
    <row r="222" spans="1:7">
      <c r="A222" t="s">
        <v>521</v>
      </c>
      <c r="B222">
        <v>3</v>
      </c>
      <c r="C222" t="s">
        <v>334</v>
      </c>
      <c r="D222" t="s">
        <v>2363</v>
      </c>
      <c r="E222" t="s">
        <v>124</v>
      </c>
      <c r="F222" t="s">
        <v>2367</v>
      </c>
      <c r="G222" t="s">
        <v>295</v>
      </c>
    </row>
    <row r="223" spans="1:7">
      <c r="A223" t="s">
        <v>521</v>
      </c>
      <c r="B223">
        <v>4</v>
      </c>
      <c r="C223" t="s">
        <v>112</v>
      </c>
      <c r="D223" t="s">
        <v>722</v>
      </c>
      <c r="E223" t="s">
        <v>112</v>
      </c>
      <c r="F223" t="s">
        <v>124</v>
      </c>
      <c r="G223" t="s">
        <v>124</v>
      </c>
    </row>
    <row r="224" spans="1:7">
      <c r="A224" t="s">
        <v>521</v>
      </c>
      <c r="B224">
        <v>5</v>
      </c>
      <c r="C224" t="s">
        <v>76</v>
      </c>
      <c r="D224" t="s">
        <v>722</v>
      </c>
      <c r="E224" t="s">
        <v>76</v>
      </c>
      <c r="F224" t="s">
        <v>124</v>
      </c>
      <c r="G224" t="s">
        <v>124</v>
      </c>
    </row>
    <row r="225" spans="1:7">
      <c r="A225" t="s">
        <v>521</v>
      </c>
      <c r="B225">
        <v>6</v>
      </c>
      <c r="C225" t="s">
        <v>2366</v>
      </c>
      <c r="D225" t="s">
        <v>758</v>
      </c>
      <c r="E225" t="s">
        <v>124</v>
      </c>
      <c r="F225" t="s">
        <v>124</v>
      </c>
      <c r="G225" t="s">
        <v>124</v>
      </c>
    </row>
    <row r="226" spans="1:7">
      <c r="A226" t="s">
        <v>521</v>
      </c>
      <c r="B226">
        <v>7</v>
      </c>
      <c r="C226" t="s">
        <v>2366</v>
      </c>
      <c r="D226" t="s">
        <v>758</v>
      </c>
      <c r="E226" t="s">
        <v>124</v>
      </c>
      <c r="F226" t="s">
        <v>124</v>
      </c>
      <c r="G226" t="s">
        <v>124</v>
      </c>
    </row>
    <row r="227" spans="1:7">
      <c r="A227" t="s">
        <v>521</v>
      </c>
      <c r="B227">
        <v>8</v>
      </c>
      <c r="C227" t="s">
        <v>2366</v>
      </c>
      <c r="D227" t="s">
        <v>758</v>
      </c>
      <c r="E227" t="s">
        <v>124</v>
      </c>
      <c r="F227" t="s">
        <v>124</v>
      </c>
      <c r="G227" t="s">
        <v>124</v>
      </c>
    </row>
    <row r="228" spans="1:7">
      <c r="A228" t="s">
        <v>524</v>
      </c>
      <c r="B228">
        <v>1</v>
      </c>
      <c r="C228" t="s">
        <v>81</v>
      </c>
      <c r="D228" t="s">
        <v>722</v>
      </c>
      <c r="E228" t="s">
        <v>81</v>
      </c>
      <c r="F228" t="s">
        <v>124</v>
      </c>
      <c r="G228" t="s">
        <v>124</v>
      </c>
    </row>
    <row r="229" spans="1:7">
      <c r="A229" t="s">
        <v>524</v>
      </c>
      <c r="B229">
        <v>2</v>
      </c>
      <c r="C229" t="s">
        <v>99</v>
      </c>
      <c r="D229" t="s">
        <v>722</v>
      </c>
      <c r="E229" t="s">
        <v>99</v>
      </c>
      <c r="F229" t="s">
        <v>124</v>
      </c>
      <c r="G229" t="s">
        <v>124</v>
      </c>
    </row>
    <row r="230" spans="1:7">
      <c r="A230" t="s">
        <v>524</v>
      </c>
      <c r="B230">
        <v>3</v>
      </c>
      <c r="C230" t="s">
        <v>112</v>
      </c>
      <c r="D230" t="s">
        <v>722</v>
      </c>
      <c r="E230" t="s">
        <v>112</v>
      </c>
      <c r="F230" t="s">
        <v>124</v>
      </c>
      <c r="G230" t="s">
        <v>124</v>
      </c>
    </row>
    <row r="231" spans="1:7">
      <c r="A231" t="s">
        <v>524</v>
      </c>
      <c r="B231">
        <v>4</v>
      </c>
      <c r="C231" t="s">
        <v>525</v>
      </c>
      <c r="D231" t="s">
        <v>2363</v>
      </c>
      <c r="E231" t="s">
        <v>124</v>
      </c>
      <c r="F231" t="s">
        <v>2372</v>
      </c>
      <c r="G231" t="s">
        <v>329</v>
      </c>
    </row>
    <row r="232" spans="1:7">
      <c r="A232" t="s">
        <v>524</v>
      </c>
      <c r="B232">
        <v>5</v>
      </c>
      <c r="C232" t="s">
        <v>72</v>
      </c>
      <c r="D232" t="s">
        <v>722</v>
      </c>
      <c r="E232" t="s">
        <v>72</v>
      </c>
      <c r="F232" t="s">
        <v>124</v>
      </c>
      <c r="G232" t="s">
        <v>124</v>
      </c>
    </row>
    <row r="233" spans="1:7">
      <c r="A233" t="s">
        <v>524</v>
      </c>
      <c r="B233">
        <v>6</v>
      </c>
      <c r="C233" t="s">
        <v>76</v>
      </c>
      <c r="D233" t="s">
        <v>722</v>
      </c>
      <c r="E233" t="s">
        <v>76</v>
      </c>
      <c r="F233" t="s">
        <v>124</v>
      </c>
      <c r="G233" t="s">
        <v>124</v>
      </c>
    </row>
    <row r="234" spans="1:7">
      <c r="A234" t="s">
        <v>524</v>
      </c>
      <c r="B234">
        <v>7</v>
      </c>
      <c r="C234" t="s">
        <v>106</v>
      </c>
      <c r="D234" t="s">
        <v>722</v>
      </c>
      <c r="E234" t="s">
        <v>106</v>
      </c>
      <c r="F234" t="s">
        <v>124</v>
      </c>
      <c r="G234" t="s">
        <v>124</v>
      </c>
    </row>
    <row r="235" spans="1:7">
      <c r="A235" t="s">
        <v>524</v>
      </c>
      <c r="B235">
        <v>8</v>
      </c>
      <c r="C235" t="s">
        <v>2368</v>
      </c>
      <c r="D235" t="s">
        <v>1667</v>
      </c>
      <c r="E235" t="s">
        <v>124</v>
      </c>
      <c r="F235" t="s">
        <v>2373</v>
      </c>
      <c r="G235" t="s">
        <v>124</v>
      </c>
    </row>
    <row r="236" spans="1:7">
      <c r="A236" t="s">
        <v>527</v>
      </c>
      <c r="B236">
        <v>1</v>
      </c>
      <c r="C236" t="s">
        <v>58</v>
      </c>
      <c r="D236" t="s">
        <v>722</v>
      </c>
      <c r="E236" t="s">
        <v>58</v>
      </c>
      <c r="F236" t="s">
        <v>124</v>
      </c>
      <c r="G236" t="s">
        <v>124</v>
      </c>
    </row>
    <row r="237" spans="1:7">
      <c r="A237" t="s">
        <v>527</v>
      </c>
      <c r="B237">
        <v>2</v>
      </c>
      <c r="C237" t="s">
        <v>81</v>
      </c>
      <c r="D237" t="s">
        <v>722</v>
      </c>
      <c r="E237" t="s">
        <v>81</v>
      </c>
      <c r="F237" t="s">
        <v>124</v>
      </c>
      <c r="G237" t="s">
        <v>124</v>
      </c>
    </row>
    <row r="238" spans="1:7">
      <c r="A238" t="s">
        <v>527</v>
      </c>
      <c r="B238">
        <v>3</v>
      </c>
      <c r="C238" t="s">
        <v>113</v>
      </c>
      <c r="D238" t="s">
        <v>722</v>
      </c>
      <c r="E238" t="s">
        <v>113</v>
      </c>
      <c r="F238" t="s">
        <v>124</v>
      </c>
      <c r="G238" t="s">
        <v>124</v>
      </c>
    </row>
    <row r="239" spans="1:7">
      <c r="A239" t="s">
        <v>527</v>
      </c>
      <c r="B239">
        <v>4</v>
      </c>
      <c r="C239" t="s">
        <v>59</v>
      </c>
      <c r="D239" t="s">
        <v>722</v>
      </c>
      <c r="E239" t="s">
        <v>59</v>
      </c>
      <c r="F239" t="s">
        <v>124</v>
      </c>
      <c r="G239" t="s">
        <v>124</v>
      </c>
    </row>
    <row r="240" spans="1:7">
      <c r="A240" t="s">
        <v>527</v>
      </c>
      <c r="B240">
        <v>5</v>
      </c>
      <c r="C240" t="s">
        <v>76</v>
      </c>
      <c r="D240" t="s">
        <v>722</v>
      </c>
      <c r="E240" t="s">
        <v>76</v>
      </c>
      <c r="F240" t="s">
        <v>124</v>
      </c>
      <c r="G240" t="s">
        <v>124</v>
      </c>
    </row>
    <row r="241" spans="1:7">
      <c r="A241" t="s">
        <v>527</v>
      </c>
      <c r="B241">
        <v>6</v>
      </c>
      <c r="C241" t="s">
        <v>2366</v>
      </c>
      <c r="D241" t="s">
        <v>758</v>
      </c>
      <c r="E241" t="s">
        <v>124</v>
      </c>
      <c r="F241" t="s">
        <v>124</v>
      </c>
      <c r="G241" t="s">
        <v>124</v>
      </c>
    </row>
    <row r="242" spans="1:7">
      <c r="A242" t="s">
        <v>527</v>
      </c>
      <c r="B242">
        <v>7</v>
      </c>
      <c r="C242" t="s">
        <v>2366</v>
      </c>
      <c r="D242" t="s">
        <v>758</v>
      </c>
      <c r="E242" t="s">
        <v>124</v>
      </c>
      <c r="F242" t="s">
        <v>124</v>
      </c>
      <c r="G242" t="s">
        <v>124</v>
      </c>
    </row>
    <row r="243" spans="1:7">
      <c r="A243" t="s">
        <v>527</v>
      </c>
      <c r="B243">
        <v>8</v>
      </c>
      <c r="C243" t="s">
        <v>2366</v>
      </c>
      <c r="D243" t="s">
        <v>758</v>
      </c>
      <c r="E243" t="s">
        <v>124</v>
      </c>
      <c r="F243" t="s">
        <v>124</v>
      </c>
      <c r="G243" t="s">
        <v>124</v>
      </c>
    </row>
    <row r="244" spans="1:7">
      <c r="A244" t="s">
        <v>528</v>
      </c>
      <c r="B244">
        <v>1</v>
      </c>
      <c r="C244" t="s">
        <v>63</v>
      </c>
      <c r="D244" t="s">
        <v>722</v>
      </c>
      <c r="E244" t="s">
        <v>63</v>
      </c>
      <c r="F244" t="s">
        <v>124</v>
      </c>
      <c r="G244" t="s">
        <v>124</v>
      </c>
    </row>
    <row r="245" spans="1:7">
      <c r="A245" t="s">
        <v>528</v>
      </c>
      <c r="B245">
        <v>2</v>
      </c>
      <c r="C245" t="s">
        <v>101</v>
      </c>
      <c r="D245" t="s">
        <v>722</v>
      </c>
      <c r="E245" t="s">
        <v>101</v>
      </c>
      <c r="F245" t="s">
        <v>124</v>
      </c>
      <c r="G245" t="s">
        <v>124</v>
      </c>
    </row>
    <row r="246" spans="1:7">
      <c r="A246" t="s">
        <v>528</v>
      </c>
      <c r="B246">
        <v>3</v>
      </c>
      <c r="C246" t="s">
        <v>64</v>
      </c>
      <c r="D246" t="s">
        <v>722</v>
      </c>
      <c r="E246" t="s">
        <v>64</v>
      </c>
      <c r="F246" t="s">
        <v>124</v>
      </c>
      <c r="G246" t="s">
        <v>124</v>
      </c>
    </row>
    <row r="247" spans="1:7">
      <c r="A247" t="s">
        <v>528</v>
      </c>
      <c r="B247">
        <v>4</v>
      </c>
      <c r="C247" t="s">
        <v>76</v>
      </c>
      <c r="D247" t="s">
        <v>722</v>
      </c>
      <c r="E247" t="s">
        <v>76</v>
      </c>
      <c r="F247" t="s">
        <v>124</v>
      </c>
      <c r="G247" t="s">
        <v>124</v>
      </c>
    </row>
    <row r="248" spans="1:7">
      <c r="A248" t="s">
        <v>528</v>
      </c>
      <c r="B248">
        <v>5</v>
      </c>
      <c r="C248" t="s">
        <v>82</v>
      </c>
      <c r="D248" t="s">
        <v>722</v>
      </c>
      <c r="E248" t="s">
        <v>82</v>
      </c>
      <c r="F248" t="s">
        <v>124</v>
      </c>
      <c r="G248" t="s">
        <v>124</v>
      </c>
    </row>
    <row r="249" spans="1:7">
      <c r="A249" t="s">
        <v>528</v>
      </c>
      <c r="B249">
        <v>6</v>
      </c>
      <c r="C249" t="s">
        <v>89</v>
      </c>
      <c r="D249" t="s">
        <v>722</v>
      </c>
      <c r="E249" t="s">
        <v>89</v>
      </c>
      <c r="F249" t="s">
        <v>124</v>
      </c>
      <c r="G249" t="s">
        <v>124</v>
      </c>
    </row>
    <row r="250" spans="1:7">
      <c r="A250" t="s">
        <v>528</v>
      </c>
      <c r="B250">
        <v>7</v>
      </c>
      <c r="C250" t="s">
        <v>330</v>
      </c>
      <c r="D250" t="s">
        <v>722</v>
      </c>
      <c r="E250" t="s">
        <v>330</v>
      </c>
      <c r="F250" t="s">
        <v>124</v>
      </c>
      <c r="G250" t="s">
        <v>543</v>
      </c>
    </row>
    <row r="251" spans="1:7">
      <c r="A251" t="s">
        <v>528</v>
      </c>
      <c r="B251">
        <v>8</v>
      </c>
      <c r="C251" t="s">
        <v>96</v>
      </c>
      <c r="D251" t="s">
        <v>722</v>
      </c>
      <c r="E251" t="s">
        <v>96</v>
      </c>
      <c r="F251" t="s">
        <v>124</v>
      </c>
      <c r="G251" t="s">
        <v>124</v>
      </c>
    </row>
    <row r="252" spans="1:7">
      <c r="A252" t="s">
        <v>529</v>
      </c>
      <c r="B252">
        <v>1</v>
      </c>
      <c r="C252" t="s">
        <v>65</v>
      </c>
      <c r="D252" t="s">
        <v>722</v>
      </c>
      <c r="E252" t="s">
        <v>65</v>
      </c>
      <c r="F252" t="s">
        <v>124</v>
      </c>
      <c r="G252" t="s">
        <v>124</v>
      </c>
    </row>
    <row r="253" spans="1:7">
      <c r="A253" t="s">
        <v>529</v>
      </c>
      <c r="B253">
        <v>2</v>
      </c>
      <c r="C253" t="s">
        <v>68</v>
      </c>
      <c r="D253" t="s">
        <v>722</v>
      </c>
      <c r="E253" t="s">
        <v>68</v>
      </c>
      <c r="F253" t="s">
        <v>124</v>
      </c>
      <c r="G253" t="s">
        <v>124</v>
      </c>
    </row>
    <row r="254" spans="1:7">
      <c r="A254" t="s">
        <v>529</v>
      </c>
      <c r="B254">
        <v>3</v>
      </c>
      <c r="C254" t="s">
        <v>85</v>
      </c>
      <c r="D254" t="s">
        <v>722</v>
      </c>
      <c r="E254" t="s">
        <v>85</v>
      </c>
      <c r="F254" t="s">
        <v>124</v>
      </c>
      <c r="G254" t="s">
        <v>124</v>
      </c>
    </row>
    <row r="255" spans="1:7">
      <c r="A255" t="s">
        <v>529</v>
      </c>
      <c r="B255">
        <v>4</v>
      </c>
      <c r="C255" t="s">
        <v>91</v>
      </c>
      <c r="D255" t="s">
        <v>722</v>
      </c>
      <c r="E255" t="s">
        <v>91</v>
      </c>
      <c r="F255" t="s">
        <v>124</v>
      </c>
      <c r="G255" t="s">
        <v>124</v>
      </c>
    </row>
    <row r="256" spans="1:7">
      <c r="A256" t="s">
        <v>529</v>
      </c>
      <c r="B256">
        <v>5</v>
      </c>
      <c r="C256" t="s">
        <v>112</v>
      </c>
      <c r="D256" t="s">
        <v>722</v>
      </c>
      <c r="E256" t="s">
        <v>112</v>
      </c>
      <c r="F256" t="s">
        <v>124</v>
      </c>
      <c r="G256" t="s">
        <v>124</v>
      </c>
    </row>
    <row r="257" spans="1:7">
      <c r="A257" t="s">
        <v>529</v>
      </c>
      <c r="B257">
        <v>6</v>
      </c>
      <c r="C257" t="s">
        <v>74</v>
      </c>
      <c r="D257" t="s">
        <v>722</v>
      </c>
      <c r="E257" t="s">
        <v>74</v>
      </c>
      <c r="F257" t="s">
        <v>124</v>
      </c>
      <c r="G257" t="s">
        <v>124</v>
      </c>
    </row>
    <row r="258" spans="1:7">
      <c r="A258" t="s">
        <v>529</v>
      </c>
      <c r="B258">
        <v>7</v>
      </c>
      <c r="C258" t="s">
        <v>76</v>
      </c>
      <c r="D258" t="s">
        <v>722</v>
      </c>
      <c r="E258" t="s">
        <v>76</v>
      </c>
      <c r="F258" t="s">
        <v>124</v>
      </c>
      <c r="G258" t="s">
        <v>124</v>
      </c>
    </row>
    <row r="259" spans="1:7">
      <c r="A259" t="s">
        <v>529</v>
      </c>
      <c r="B259">
        <v>8</v>
      </c>
      <c r="C259" t="s">
        <v>96</v>
      </c>
      <c r="D259" t="s">
        <v>722</v>
      </c>
      <c r="E259" t="s">
        <v>96</v>
      </c>
      <c r="F259" t="s">
        <v>124</v>
      </c>
      <c r="G259" t="s">
        <v>124</v>
      </c>
    </row>
    <row r="260" spans="1:7">
      <c r="A260" t="s">
        <v>530</v>
      </c>
      <c r="B260">
        <v>1</v>
      </c>
      <c r="C260" t="s">
        <v>63</v>
      </c>
      <c r="D260" t="s">
        <v>722</v>
      </c>
      <c r="E260" t="s">
        <v>63</v>
      </c>
      <c r="F260" t="s">
        <v>124</v>
      </c>
      <c r="G260" t="s">
        <v>124</v>
      </c>
    </row>
    <row r="261" spans="1:7">
      <c r="A261" t="s">
        <v>530</v>
      </c>
      <c r="B261">
        <v>2</v>
      </c>
      <c r="C261" t="s">
        <v>75</v>
      </c>
      <c r="D261" t="s">
        <v>722</v>
      </c>
      <c r="E261" t="s">
        <v>75</v>
      </c>
      <c r="F261" t="s">
        <v>124</v>
      </c>
      <c r="G261" t="s">
        <v>124</v>
      </c>
    </row>
    <row r="262" spans="1:7">
      <c r="A262" t="s">
        <v>530</v>
      </c>
      <c r="B262">
        <v>3</v>
      </c>
      <c r="C262" t="s">
        <v>99</v>
      </c>
      <c r="D262" t="s">
        <v>722</v>
      </c>
      <c r="E262" t="s">
        <v>99</v>
      </c>
      <c r="F262" t="s">
        <v>124</v>
      </c>
      <c r="G262" t="s">
        <v>124</v>
      </c>
    </row>
    <row r="263" spans="1:7">
      <c r="A263" t="s">
        <v>530</v>
      </c>
      <c r="B263">
        <v>4</v>
      </c>
      <c r="C263" t="s">
        <v>72</v>
      </c>
      <c r="D263" t="s">
        <v>722</v>
      </c>
      <c r="E263" t="s">
        <v>72</v>
      </c>
      <c r="F263" t="s">
        <v>124</v>
      </c>
      <c r="G263" t="s">
        <v>124</v>
      </c>
    </row>
    <row r="264" spans="1:7">
      <c r="A264" t="s">
        <v>530</v>
      </c>
      <c r="B264">
        <v>5</v>
      </c>
      <c r="C264" t="s">
        <v>90</v>
      </c>
      <c r="D264" t="s">
        <v>722</v>
      </c>
      <c r="E264" t="s">
        <v>90</v>
      </c>
      <c r="F264" t="s">
        <v>124</v>
      </c>
      <c r="G264" t="s">
        <v>124</v>
      </c>
    </row>
    <row r="265" spans="1:7">
      <c r="A265" t="s">
        <v>530</v>
      </c>
      <c r="B265">
        <v>6</v>
      </c>
      <c r="C265" t="s">
        <v>96</v>
      </c>
      <c r="D265" t="s">
        <v>722</v>
      </c>
      <c r="E265" t="s">
        <v>96</v>
      </c>
      <c r="F265" t="s">
        <v>124</v>
      </c>
      <c r="G265" t="s">
        <v>124</v>
      </c>
    </row>
    <row r="266" spans="1:7">
      <c r="A266" t="s">
        <v>530</v>
      </c>
      <c r="B266">
        <v>7</v>
      </c>
      <c r="C266" t="s">
        <v>100</v>
      </c>
      <c r="D266" t="s">
        <v>722</v>
      </c>
      <c r="E266" t="s">
        <v>100</v>
      </c>
      <c r="F266" t="s">
        <v>124</v>
      </c>
      <c r="G266" t="s">
        <v>124</v>
      </c>
    </row>
    <row r="267" spans="1:7">
      <c r="A267" t="s">
        <v>530</v>
      </c>
      <c r="B267">
        <v>8</v>
      </c>
      <c r="C267" t="s">
        <v>104</v>
      </c>
      <c r="D267" t="s">
        <v>722</v>
      </c>
      <c r="E267" t="s">
        <v>104</v>
      </c>
      <c r="F267" t="s">
        <v>124</v>
      </c>
      <c r="G267" t="s">
        <v>124</v>
      </c>
    </row>
    <row r="268" spans="1:7">
      <c r="A268" t="s">
        <v>531</v>
      </c>
      <c r="B268">
        <v>1</v>
      </c>
      <c r="C268" t="s">
        <v>63</v>
      </c>
      <c r="D268" t="s">
        <v>722</v>
      </c>
      <c r="E268" t="s">
        <v>63</v>
      </c>
      <c r="F268" t="s">
        <v>124</v>
      </c>
      <c r="G268" t="s">
        <v>124</v>
      </c>
    </row>
    <row r="269" spans="1:7">
      <c r="A269" t="s">
        <v>531</v>
      </c>
      <c r="B269">
        <v>2</v>
      </c>
      <c r="C269" t="s">
        <v>532</v>
      </c>
      <c r="D269" t="s">
        <v>722</v>
      </c>
      <c r="E269" t="s">
        <v>532</v>
      </c>
      <c r="F269" t="s">
        <v>124</v>
      </c>
      <c r="G269" t="s">
        <v>541</v>
      </c>
    </row>
    <row r="270" spans="1:7">
      <c r="A270" t="s">
        <v>531</v>
      </c>
      <c r="B270">
        <v>3</v>
      </c>
      <c r="C270" t="s">
        <v>85</v>
      </c>
      <c r="D270" t="s">
        <v>722</v>
      </c>
      <c r="E270" t="s">
        <v>85</v>
      </c>
      <c r="F270" t="s">
        <v>124</v>
      </c>
      <c r="G270" t="s">
        <v>124</v>
      </c>
    </row>
    <row r="271" spans="1:7">
      <c r="A271" t="s">
        <v>531</v>
      </c>
      <c r="B271">
        <v>4</v>
      </c>
      <c r="C271" t="s">
        <v>76</v>
      </c>
      <c r="D271" t="s">
        <v>722</v>
      </c>
      <c r="E271" t="s">
        <v>76</v>
      </c>
      <c r="F271" t="s">
        <v>124</v>
      </c>
      <c r="G271" t="s">
        <v>124</v>
      </c>
    </row>
    <row r="272" spans="1:7">
      <c r="A272" t="s">
        <v>531</v>
      </c>
      <c r="B272">
        <v>5</v>
      </c>
      <c r="C272" t="s">
        <v>96</v>
      </c>
      <c r="D272" t="s">
        <v>722</v>
      </c>
      <c r="E272" t="s">
        <v>96</v>
      </c>
      <c r="F272" t="s">
        <v>124</v>
      </c>
      <c r="G272" t="s">
        <v>124</v>
      </c>
    </row>
    <row r="273" spans="1:7">
      <c r="A273" t="s">
        <v>531</v>
      </c>
      <c r="B273">
        <v>6</v>
      </c>
      <c r="C273" t="s">
        <v>100</v>
      </c>
      <c r="D273" t="s">
        <v>722</v>
      </c>
      <c r="E273" t="s">
        <v>100</v>
      </c>
      <c r="F273" t="s">
        <v>124</v>
      </c>
      <c r="G273" t="s">
        <v>124</v>
      </c>
    </row>
    <row r="274" spans="1:7">
      <c r="A274" t="s">
        <v>531</v>
      </c>
      <c r="B274">
        <v>7</v>
      </c>
      <c r="C274" t="s">
        <v>2366</v>
      </c>
      <c r="D274" t="s">
        <v>758</v>
      </c>
      <c r="E274" t="s">
        <v>124</v>
      </c>
      <c r="F274" t="s">
        <v>124</v>
      </c>
      <c r="G274" t="s">
        <v>124</v>
      </c>
    </row>
    <row r="275" spans="1:7">
      <c r="A275" t="s">
        <v>531</v>
      </c>
      <c r="B275">
        <v>8</v>
      </c>
      <c r="C275" t="s">
        <v>2366</v>
      </c>
      <c r="D275" t="s">
        <v>758</v>
      </c>
      <c r="E275" t="s">
        <v>124</v>
      </c>
      <c r="F275" t="s">
        <v>124</v>
      </c>
      <c r="G275" t="s">
        <v>124</v>
      </c>
    </row>
    <row r="276" spans="1:7">
      <c r="A276" t="s">
        <v>534</v>
      </c>
      <c r="B276">
        <v>1</v>
      </c>
      <c r="C276" t="s">
        <v>63</v>
      </c>
      <c r="D276" t="s">
        <v>722</v>
      </c>
      <c r="E276" t="s">
        <v>63</v>
      </c>
      <c r="F276" t="s">
        <v>124</v>
      </c>
      <c r="G276" t="s">
        <v>124</v>
      </c>
    </row>
    <row r="277" spans="1:7">
      <c r="A277" t="s">
        <v>534</v>
      </c>
      <c r="B277">
        <v>2</v>
      </c>
      <c r="C277" t="s">
        <v>484</v>
      </c>
      <c r="D277" t="s">
        <v>722</v>
      </c>
      <c r="E277" t="s">
        <v>484</v>
      </c>
      <c r="F277" t="s">
        <v>124</v>
      </c>
      <c r="G277" t="s">
        <v>542</v>
      </c>
    </row>
    <row r="278" spans="1:7">
      <c r="A278" t="s">
        <v>534</v>
      </c>
      <c r="B278">
        <v>3</v>
      </c>
      <c r="C278" t="s">
        <v>101</v>
      </c>
      <c r="D278" t="s">
        <v>722</v>
      </c>
      <c r="E278" t="s">
        <v>101</v>
      </c>
      <c r="F278" t="s">
        <v>124</v>
      </c>
      <c r="G278" t="s">
        <v>124</v>
      </c>
    </row>
    <row r="279" spans="1:7">
      <c r="A279" t="s">
        <v>534</v>
      </c>
      <c r="B279">
        <v>4</v>
      </c>
      <c r="C279" t="s">
        <v>334</v>
      </c>
      <c r="D279" t="s">
        <v>2363</v>
      </c>
      <c r="E279" t="s">
        <v>124</v>
      </c>
      <c r="F279" t="s">
        <v>2367</v>
      </c>
      <c r="G279" t="s">
        <v>295</v>
      </c>
    </row>
    <row r="280" spans="1:7">
      <c r="A280" t="s">
        <v>534</v>
      </c>
      <c r="B280">
        <v>5</v>
      </c>
      <c r="C280" t="s">
        <v>72</v>
      </c>
      <c r="D280" t="s">
        <v>722</v>
      </c>
      <c r="E280" t="s">
        <v>72</v>
      </c>
      <c r="F280" t="s">
        <v>124</v>
      </c>
      <c r="G280" t="s">
        <v>124</v>
      </c>
    </row>
    <row r="281" spans="1:7">
      <c r="A281" t="s">
        <v>534</v>
      </c>
      <c r="B281">
        <v>6</v>
      </c>
      <c r="C281" t="s">
        <v>526</v>
      </c>
      <c r="D281" t="s">
        <v>2363</v>
      </c>
      <c r="E281" t="s">
        <v>124</v>
      </c>
      <c r="F281" t="s">
        <v>2374</v>
      </c>
      <c r="G281" t="s">
        <v>356</v>
      </c>
    </row>
    <row r="282" spans="1:7">
      <c r="A282" t="s">
        <v>534</v>
      </c>
      <c r="B282">
        <v>7</v>
      </c>
      <c r="C282" t="s">
        <v>104</v>
      </c>
      <c r="D282" t="s">
        <v>722</v>
      </c>
      <c r="E282" t="s">
        <v>104</v>
      </c>
      <c r="F282" t="s">
        <v>124</v>
      </c>
      <c r="G282" t="s">
        <v>124</v>
      </c>
    </row>
    <row r="283" spans="1:7">
      <c r="A283" t="s">
        <v>534</v>
      </c>
      <c r="B283">
        <v>8</v>
      </c>
      <c r="C283" t="s">
        <v>105</v>
      </c>
      <c r="D283" t="s">
        <v>722</v>
      </c>
      <c r="E283" t="s">
        <v>105</v>
      </c>
      <c r="F283" t="s">
        <v>124</v>
      </c>
      <c r="G283" t="s">
        <v>124</v>
      </c>
    </row>
    <row r="284" spans="1:7">
      <c r="A284" t="s">
        <v>535</v>
      </c>
      <c r="B284">
        <v>1</v>
      </c>
      <c r="C284" t="s">
        <v>63</v>
      </c>
      <c r="D284" t="s">
        <v>722</v>
      </c>
      <c r="E284" t="s">
        <v>63</v>
      </c>
      <c r="F284" t="s">
        <v>124</v>
      </c>
      <c r="G284" t="s">
        <v>124</v>
      </c>
    </row>
    <row r="285" spans="1:7">
      <c r="A285" t="s">
        <v>535</v>
      </c>
      <c r="B285">
        <v>2</v>
      </c>
      <c r="C285" t="s">
        <v>91</v>
      </c>
      <c r="D285" t="s">
        <v>722</v>
      </c>
      <c r="E285" t="s">
        <v>91</v>
      </c>
      <c r="F285" t="s">
        <v>124</v>
      </c>
      <c r="G285" t="s">
        <v>124</v>
      </c>
    </row>
    <row r="286" spans="1:7">
      <c r="A286" t="s">
        <v>535</v>
      </c>
      <c r="B286">
        <v>3</v>
      </c>
      <c r="C286" t="s">
        <v>97</v>
      </c>
      <c r="D286" t="s">
        <v>722</v>
      </c>
      <c r="E286" t="s">
        <v>97</v>
      </c>
      <c r="F286" t="s">
        <v>124</v>
      </c>
      <c r="G286" t="s">
        <v>124</v>
      </c>
    </row>
    <row r="287" spans="1:7">
      <c r="A287" t="s">
        <v>535</v>
      </c>
      <c r="B287">
        <v>4</v>
      </c>
      <c r="C287" t="s">
        <v>99</v>
      </c>
      <c r="D287" t="s">
        <v>722</v>
      </c>
      <c r="E287" t="s">
        <v>99</v>
      </c>
      <c r="F287" t="s">
        <v>124</v>
      </c>
      <c r="G287" t="s">
        <v>124</v>
      </c>
    </row>
    <row r="288" spans="1:7">
      <c r="A288" t="s">
        <v>535</v>
      </c>
      <c r="B288">
        <v>5</v>
      </c>
      <c r="C288" t="s">
        <v>113</v>
      </c>
      <c r="D288" t="s">
        <v>722</v>
      </c>
      <c r="E288" t="s">
        <v>113</v>
      </c>
      <c r="F288" t="s">
        <v>124</v>
      </c>
      <c r="G288" t="s">
        <v>124</v>
      </c>
    </row>
    <row r="289" spans="1:7">
      <c r="A289" t="s">
        <v>535</v>
      </c>
      <c r="B289">
        <v>6</v>
      </c>
      <c r="C289" t="s">
        <v>59</v>
      </c>
      <c r="D289" t="s">
        <v>722</v>
      </c>
      <c r="E289" t="s">
        <v>59</v>
      </c>
      <c r="F289" t="s">
        <v>124</v>
      </c>
      <c r="G289" t="s">
        <v>124</v>
      </c>
    </row>
    <row r="290" spans="1:7">
      <c r="A290" t="s">
        <v>535</v>
      </c>
      <c r="B290">
        <v>7</v>
      </c>
      <c r="C290" t="s">
        <v>66</v>
      </c>
      <c r="D290" t="s">
        <v>722</v>
      </c>
      <c r="E290" t="s">
        <v>66</v>
      </c>
      <c r="F290" t="s">
        <v>124</v>
      </c>
      <c r="G290" t="s">
        <v>124</v>
      </c>
    </row>
    <row r="291" spans="1:7">
      <c r="A291" t="s">
        <v>535</v>
      </c>
      <c r="B291">
        <v>8</v>
      </c>
      <c r="C291" t="s">
        <v>106</v>
      </c>
      <c r="D291" t="s">
        <v>722</v>
      </c>
      <c r="E291" t="s">
        <v>106</v>
      </c>
      <c r="F291" t="s">
        <v>124</v>
      </c>
      <c r="G291" t="s">
        <v>124</v>
      </c>
    </row>
    <row r="292" spans="1:7">
      <c r="A292" t="s">
        <v>536</v>
      </c>
      <c r="B292">
        <v>1</v>
      </c>
      <c r="C292" t="s">
        <v>81</v>
      </c>
      <c r="D292" t="s">
        <v>722</v>
      </c>
      <c r="E292" t="s">
        <v>81</v>
      </c>
      <c r="F292" t="s">
        <v>124</v>
      </c>
      <c r="G292" t="s">
        <v>124</v>
      </c>
    </row>
    <row r="293" spans="1:7">
      <c r="A293" t="s">
        <v>536</v>
      </c>
      <c r="B293">
        <v>2</v>
      </c>
      <c r="C293" t="s">
        <v>85</v>
      </c>
      <c r="D293" t="s">
        <v>722</v>
      </c>
      <c r="E293" t="s">
        <v>85</v>
      </c>
      <c r="F293" t="s">
        <v>124</v>
      </c>
      <c r="G293" t="s">
        <v>124</v>
      </c>
    </row>
    <row r="294" spans="1:7">
      <c r="A294" t="s">
        <v>536</v>
      </c>
      <c r="B294">
        <v>3</v>
      </c>
      <c r="C294" t="s">
        <v>502</v>
      </c>
      <c r="D294" t="s">
        <v>2363</v>
      </c>
      <c r="E294" t="s">
        <v>124</v>
      </c>
      <c r="F294" t="s">
        <v>2364</v>
      </c>
      <c r="G294" t="s">
        <v>542</v>
      </c>
    </row>
    <row r="295" spans="1:7">
      <c r="A295" t="s">
        <v>536</v>
      </c>
      <c r="B295">
        <v>4</v>
      </c>
      <c r="C295" t="s">
        <v>334</v>
      </c>
      <c r="D295" t="s">
        <v>2363</v>
      </c>
      <c r="E295" t="s">
        <v>124</v>
      </c>
      <c r="F295" t="s">
        <v>2367</v>
      </c>
      <c r="G295" t="s">
        <v>295</v>
      </c>
    </row>
    <row r="296" spans="1:7">
      <c r="A296" t="s">
        <v>536</v>
      </c>
      <c r="B296">
        <v>5</v>
      </c>
      <c r="C296" t="s">
        <v>298</v>
      </c>
      <c r="D296" t="s">
        <v>2363</v>
      </c>
      <c r="E296" t="s">
        <v>124</v>
      </c>
      <c r="F296" t="s">
        <v>2375</v>
      </c>
      <c r="G296" t="s">
        <v>543</v>
      </c>
    </row>
    <row r="297" spans="1:7">
      <c r="A297" t="s">
        <v>536</v>
      </c>
      <c r="B297">
        <v>6</v>
      </c>
      <c r="C297" t="s">
        <v>298</v>
      </c>
      <c r="D297" t="s">
        <v>2363</v>
      </c>
      <c r="E297" t="s">
        <v>124</v>
      </c>
      <c r="F297" t="s">
        <v>2375</v>
      </c>
      <c r="G297" t="s">
        <v>543</v>
      </c>
    </row>
    <row r="298" spans="1:7">
      <c r="A298" t="s">
        <v>536</v>
      </c>
      <c r="B298">
        <v>7</v>
      </c>
      <c r="C298" t="s">
        <v>298</v>
      </c>
      <c r="D298" t="s">
        <v>2363</v>
      </c>
      <c r="E298" t="s">
        <v>124</v>
      </c>
      <c r="F298" t="s">
        <v>2375</v>
      </c>
      <c r="G298" t="s">
        <v>543</v>
      </c>
    </row>
    <row r="299" spans="1:7">
      <c r="A299" t="s">
        <v>536</v>
      </c>
      <c r="B299">
        <v>8</v>
      </c>
      <c r="C299" t="s">
        <v>2368</v>
      </c>
      <c r="D299" t="s">
        <v>1667</v>
      </c>
      <c r="E299" t="s">
        <v>124</v>
      </c>
      <c r="F299" t="s">
        <v>2376</v>
      </c>
      <c r="G299" t="s">
        <v>124</v>
      </c>
    </row>
    <row r="300" spans="1:7">
      <c r="A300" t="s">
        <v>537</v>
      </c>
      <c r="B300">
        <v>1</v>
      </c>
      <c r="C300" t="s">
        <v>81</v>
      </c>
      <c r="D300" t="s">
        <v>722</v>
      </c>
      <c r="E300" t="s">
        <v>81</v>
      </c>
      <c r="F300" t="s">
        <v>124</v>
      </c>
      <c r="G300" t="s">
        <v>124</v>
      </c>
    </row>
    <row r="301" spans="1:7">
      <c r="A301" t="s">
        <v>537</v>
      </c>
      <c r="B301">
        <v>2</v>
      </c>
      <c r="C301" t="s">
        <v>91</v>
      </c>
      <c r="D301" t="s">
        <v>722</v>
      </c>
      <c r="E301" t="s">
        <v>91</v>
      </c>
      <c r="F301" t="s">
        <v>124</v>
      </c>
      <c r="G301" t="s">
        <v>124</v>
      </c>
    </row>
    <row r="302" spans="1:7">
      <c r="A302" t="s">
        <v>537</v>
      </c>
      <c r="B302">
        <v>3</v>
      </c>
      <c r="C302" t="s">
        <v>107</v>
      </c>
      <c r="D302" t="s">
        <v>722</v>
      </c>
      <c r="E302" t="s">
        <v>107</v>
      </c>
      <c r="F302" t="s">
        <v>124</v>
      </c>
      <c r="G302" t="s">
        <v>124</v>
      </c>
    </row>
    <row r="303" spans="1:7">
      <c r="A303" t="s">
        <v>537</v>
      </c>
      <c r="B303">
        <v>4</v>
      </c>
      <c r="C303" t="s">
        <v>334</v>
      </c>
      <c r="D303" t="s">
        <v>2363</v>
      </c>
      <c r="E303" t="s">
        <v>124</v>
      </c>
      <c r="F303" t="s">
        <v>2367</v>
      </c>
      <c r="G303" t="s">
        <v>295</v>
      </c>
    </row>
    <row r="304" spans="1:7">
      <c r="A304" t="s">
        <v>537</v>
      </c>
      <c r="B304">
        <v>5</v>
      </c>
      <c r="C304" t="s">
        <v>113</v>
      </c>
      <c r="D304" t="s">
        <v>722</v>
      </c>
      <c r="E304" t="s">
        <v>113</v>
      </c>
      <c r="F304" t="s">
        <v>124</v>
      </c>
      <c r="G304" t="s">
        <v>124</v>
      </c>
    </row>
    <row r="305" spans="1:7">
      <c r="A305" t="s">
        <v>537</v>
      </c>
      <c r="B305">
        <v>6</v>
      </c>
      <c r="C305" t="s">
        <v>59</v>
      </c>
      <c r="D305" t="s">
        <v>722</v>
      </c>
      <c r="E305" t="s">
        <v>59</v>
      </c>
      <c r="F305" t="s">
        <v>124</v>
      </c>
      <c r="G305" t="s">
        <v>124</v>
      </c>
    </row>
    <row r="306" spans="1:7">
      <c r="A306" t="s">
        <v>537</v>
      </c>
      <c r="B306">
        <v>7</v>
      </c>
      <c r="C306" t="s">
        <v>76</v>
      </c>
      <c r="D306" t="s">
        <v>722</v>
      </c>
      <c r="E306" t="s">
        <v>76</v>
      </c>
      <c r="F306" t="s">
        <v>124</v>
      </c>
      <c r="G306" t="s">
        <v>124</v>
      </c>
    </row>
    <row r="307" spans="1:7">
      <c r="A307" t="s">
        <v>537</v>
      </c>
      <c r="B307">
        <v>8</v>
      </c>
      <c r="C307" t="s">
        <v>96</v>
      </c>
      <c r="D307" t="s">
        <v>722</v>
      </c>
      <c r="E307" t="s">
        <v>96</v>
      </c>
      <c r="F307" t="s">
        <v>124</v>
      </c>
      <c r="G307" t="s">
        <v>124</v>
      </c>
    </row>
    <row r="308" spans="1:7">
      <c r="A308" t="s">
        <v>538</v>
      </c>
      <c r="B308">
        <v>1</v>
      </c>
      <c r="C308" t="s">
        <v>63</v>
      </c>
      <c r="D308" t="s">
        <v>722</v>
      </c>
      <c r="E308" t="s">
        <v>63</v>
      </c>
      <c r="F308" t="s">
        <v>124</v>
      </c>
      <c r="G308" t="s">
        <v>124</v>
      </c>
    </row>
    <row r="309" spans="1:7">
      <c r="A309" t="s">
        <v>538</v>
      </c>
      <c r="B309">
        <v>2</v>
      </c>
      <c r="C309" t="s">
        <v>73</v>
      </c>
      <c r="D309" t="s">
        <v>722</v>
      </c>
      <c r="E309" t="s">
        <v>73</v>
      </c>
      <c r="F309" t="s">
        <v>124</v>
      </c>
      <c r="G309" t="s">
        <v>124</v>
      </c>
    </row>
    <row r="310" spans="1:7">
      <c r="A310" t="s">
        <v>538</v>
      </c>
      <c r="B310">
        <v>3</v>
      </c>
      <c r="C310" t="s">
        <v>75</v>
      </c>
      <c r="D310" t="s">
        <v>722</v>
      </c>
      <c r="E310" t="s">
        <v>75</v>
      </c>
      <c r="F310" t="s">
        <v>124</v>
      </c>
      <c r="G310" t="s">
        <v>124</v>
      </c>
    </row>
    <row r="311" spans="1:7">
      <c r="A311" t="s">
        <v>538</v>
      </c>
      <c r="B311">
        <v>4</v>
      </c>
      <c r="C311" t="s">
        <v>97</v>
      </c>
      <c r="D311" t="s">
        <v>722</v>
      </c>
      <c r="E311" t="s">
        <v>97</v>
      </c>
      <c r="F311" t="s">
        <v>124</v>
      </c>
      <c r="G311" t="s">
        <v>124</v>
      </c>
    </row>
    <row r="312" spans="1:7">
      <c r="A312" t="s">
        <v>538</v>
      </c>
      <c r="B312">
        <v>5</v>
      </c>
      <c r="C312" t="s">
        <v>99</v>
      </c>
      <c r="D312" t="s">
        <v>722</v>
      </c>
      <c r="E312" t="s">
        <v>99</v>
      </c>
      <c r="F312" t="s">
        <v>124</v>
      </c>
      <c r="G312" t="s">
        <v>124</v>
      </c>
    </row>
    <row r="313" spans="1:7">
      <c r="A313" t="s">
        <v>538</v>
      </c>
      <c r="B313">
        <v>6</v>
      </c>
      <c r="C313" t="s">
        <v>111</v>
      </c>
      <c r="D313" t="s">
        <v>722</v>
      </c>
      <c r="E313" t="s">
        <v>111</v>
      </c>
      <c r="F313" t="s">
        <v>124</v>
      </c>
      <c r="G313" t="s">
        <v>124</v>
      </c>
    </row>
    <row r="314" spans="1:7">
      <c r="A314" t="s">
        <v>538</v>
      </c>
      <c r="B314">
        <v>7</v>
      </c>
      <c r="C314" t="s">
        <v>443</v>
      </c>
      <c r="D314" t="s">
        <v>722</v>
      </c>
      <c r="E314" t="s">
        <v>443</v>
      </c>
      <c r="F314" t="s">
        <v>124</v>
      </c>
      <c r="G314" t="s">
        <v>329</v>
      </c>
    </row>
    <row r="315" spans="1:7">
      <c r="A315" t="s">
        <v>538</v>
      </c>
      <c r="B315">
        <v>8</v>
      </c>
      <c r="C315" t="s">
        <v>106</v>
      </c>
      <c r="D315" t="s">
        <v>722</v>
      </c>
      <c r="E315" t="s">
        <v>106</v>
      </c>
      <c r="F315" t="s">
        <v>124</v>
      </c>
      <c r="G315" t="s">
        <v>124</v>
      </c>
    </row>
    <row r="316" spans="1:7">
      <c r="A316" t="s">
        <v>539</v>
      </c>
      <c r="B316">
        <v>1</v>
      </c>
      <c r="C316" t="s">
        <v>65</v>
      </c>
      <c r="D316" t="s">
        <v>722</v>
      </c>
      <c r="E316" t="s">
        <v>65</v>
      </c>
      <c r="F316" t="s">
        <v>124</v>
      </c>
      <c r="G316" t="s">
        <v>124</v>
      </c>
    </row>
    <row r="317" spans="1:7">
      <c r="A317" t="s">
        <v>539</v>
      </c>
      <c r="B317">
        <v>2</v>
      </c>
      <c r="C317" t="s">
        <v>334</v>
      </c>
      <c r="D317" t="s">
        <v>2363</v>
      </c>
      <c r="E317" t="s">
        <v>124</v>
      </c>
      <c r="F317" t="s">
        <v>2367</v>
      </c>
      <c r="G317" t="s">
        <v>295</v>
      </c>
    </row>
    <row r="318" spans="1:7">
      <c r="A318" t="s">
        <v>539</v>
      </c>
      <c r="B318">
        <v>3</v>
      </c>
      <c r="C318" t="s">
        <v>334</v>
      </c>
      <c r="D318" t="s">
        <v>2363</v>
      </c>
      <c r="E318" t="s">
        <v>124</v>
      </c>
      <c r="F318" t="s">
        <v>2367</v>
      </c>
      <c r="G318" t="s">
        <v>295</v>
      </c>
    </row>
    <row r="319" spans="1:7">
      <c r="A319" t="s">
        <v>539</v>
      </c>
      <c r="B319">
        <v>4</v>
      </c>
      <c r="C319" t="s">
        <v>334</v>
      </c>
      <c r="D319" t="s">
        <v>2363</v>
      </c>
      <c r="E319" t="s">
        <v>124</v>
      </c>
      <c r="F319" t="s">
        <v>2367</v>
      </c>
      <c r="G319" t="s">
        <v>295</v>
      </c>
    </row>
    <row r="320" spans="1:7">
      <c r="A320" t="s">
        <v>539</v>
      </c>
      <c r="B320">
        <v>5</v>
      </c>
      <c r="C320" t="s">
        <v>112</v>
      </c>
      <c r="D320" t="s">
        <v>722</v>
      </c>
      <c r="E320" t="s">
        <v>112</v>
      </c>
      <c r="F320" t="s">
        <v>124</v>
      </c>
      <c r="G320" t="s">
        <v>124</v>
      </c>
    </row>
    <row r="321" spans="1:7">
      <c r="A321" t="s">
        <v>539</v>
      </c>
      <c r="B321">
        <v>6</v>
      </c>
      <c r="C321" t="s">
        <v>113</v>
      </c>
      <c r="D321" t="s">
        <v>722</v>
      </c>
      <c r="E321" t="s">
        <v>113</v>
      </c>
      <c r="F321" t="s">
        <v>124</v>
      </c>
      <c r="G321" t="s">
        <v>124</v>
      </c>
    </row>
    <row r="322" spans="1:7">
      <c r="A322" t="s">
        <v>539</v>
      </c>
      <c r="B322">
        <v>7</v>
      </c>
      <c r="C322" t="s">
        <v>76</v>
      </c>
      <c r="D322" t="s">
        <v>722</v>
      </c>
      <c r="E322" t="s">
        <v>76</v>
      </c>
      <c r="F322" t="s">
        <v>124</v>
      </c>
      <c r="G322" t="s">
        <v>124</v>
      </c>
    </row>
    <row r="323" spans="1:7">
      <c r="A323" t="s">
        <v>539</v>
      </c>
      <c r="B323">
        <v>8</v>
      </c>
      <c r="C323" t="s">
        <v>2366</v>
      </c>
      <c r="D323" t="s">
        <v>758</v>
      </c>
      <c r="E323" t="s">
        <v>124</v>
      </c>
      <c r="F323" t="s">
        <v>124</v>
      </c>
      <c r="G323" t="s">
        <v>124</v>
      </c>
    </row>
    <row r="324" spans="1:7">
      <c r="A324" t="s">
        <v>540</v>
      </c>
      <c r="B324">
        <v>1</v>
      </c>
      <c r="C324" t="s">
        <v>63</v>
      </c>
      <c r="D324" t="s">
        <v>722</v>
      </c>
      <c r="E324" t="s">
        <v>63</v>
      </c>
      <c r="F324" t="s">
        <v>124</v>
      </c>
      <c r="G324" t="s">
        <v>124</v>
      </c>
    </row>
    <row r="325" spans="1:7">
      <c r="A325" t="s">
        <v>540</v>
      </c>
      <c r="B325">
        <v>2</v>
      </c>
      <c r="C325" t="s">
        <v>75</v>
      </c>
      <c r="D325" t="s">
        <v>722</v>
      </c>
      <c r="E325" t="s">
        <v>75</v>
      </c>
      <c r="F325" t="s">
        <v>124</v>
      </c>
      <c r="G325" t="s">
        <v>124</v>
      </c>
    </row>
    <row r="326" spans="1:7">
      <c r="A326" t="s">
        <v>540</v>
      </c>
      <c r="B326">
        <v>3</v>
      </c>
      <c r="C326" t="s">
        <v>502</v>
      </c>
      <c r="D326" t="s">
        <v>2363</v>
      </c>
      <c r="E326" t="s">
        <v>124</v>
      </c>
      <c r="F326" t="s">
        <v>2364</v>
      </c>
      <c r="G326" t="s">
        <v>542</v>
      </c>
    </row>
    <row r="327" spans="1:7">
      <c r="A327" t="s">
        <v>540</v>
      </c>
      <c r="B327">
        <v>4</v>
      </c>
      <c r="C327" t="s">
        <v>59</v>
      </c>
      <c r="D327" t="s">
        <v>722</v>
      </c>
      <c r="E327" t="s">
        <v>59</v>
      </c>
      <c r="F327" t="s">
        <v>124</v>
      </c>
      <c r="G327" t="s">
        <v>124</v>
      </c>
    </row>
    <row r="328" spans="1:7">
      <c r="A328" t="s">
        <v>540</v>
      </c>
      <c r="B328">
        <v>5</v>
      </c>
      <c r="C328" t="s">
        <v>72</v>
      </c>
      <c r="D328" t="s">
        <v>722</v>
      </c>
      <c r="E328" t="s">
        <v>72</v>
      </c>
      <c r="F328" t="s">
        <v>124</v>
      </c>
      <c r="G328" t="s">
        <v>124</v>
      </c>
    </row>
    <row r="329" spans="1:7">
      <c r="A329" t="s">
        <v>540</v>
      </c>
      <c r="B329">
        <v>6</v>
      </c>
      <c r="C329" t="s">
        <v>76</v>
      </c>
      <c r="D329" t="s">
        <v>722</v>
      </c>
      <c r="E329" t="s">
        <v>76</v>
      </c>
      <c r="F329" t="s">
        <v>124</v>
      </c>
      <c r="G329" t="s">
        <v>124</v>
      </c>
    </row>
    <row r="330" spans="1:7">
      <c r="A330" t="s">
        <v>540</v>
      </c>
      <c r="B330">
        <v>7</v>
      </c>
      <c r="C330" t="s">
        <v>96</v>
      </c>
      <c r="D330" t="s">
        <v>722</v>
      </c>
      <c r="E330" t="s">
        <v>96</v>
      </c>
      <c r="F330" t="s">
        <v>124</v>
      </c>
      <c r="G330" t="s">
        <v>124</v>
      </c>
    </row>
    <row r="331" spans="1:7">
      <c r="A331" t="s">
        <v>540</v>
      </c>
      <c r="B331">
        <v>8</v>
      </c>
      <c r="C331" t="s">
        <v>100</v>
      </c>
      <c r="D331" t="s">
        <v>722</v>
      </c>
      <c r="E331" t="s">
        <v>100</v>
      </c>
      <c r="F331" t="s">
        <v>124</v>
      </c>
      <c r="G331" t="s">
        <v>124</v>
      </c>
    </row>
    <row r="400" spans="1:1">
      <c r="A400" t="s">
        <v>2377</v>
      </c>
    </row>
    <row r="401" spans="1:1">
      <c r="A401" t="s">
        <v>2378</v>
      </c>
    </row>
    <row r="402" spans="1:1">
      <c r="A402" t="s">
        <v>2379</v>
      </c>
    </row>
    <row r="403" spans="1:1">
      <c r="A403" t="s">
        <v>2380</v>
      </c>
    </row>
    <row r="404" spans="1:1">
      <c r="A404" t="s">
        <v>2381</v>
      </c>
    </row>
    <row r="405" spans="1:1">
      <c r="A405" t="s">
        <v>2382</v>
      </c>
    </row>
    <row r="406" spans="1:1">
      <c r="A406" t="s">
        <v>2383</v>
      </c>
    </row>
    <row r="407" spans="1:1">
      <c r="A407" t="s">
        <v>2384</v>
      </c>
    </row>
    <row r="500" spans="1:9">
      <c r="A500" t="s">
        <v>2385</v>
      </c>
      <c r="B500" t="s">
        <v>106</v>
      </c>
      <c r="C500" t="s">
        <v>2345</v>
      </c>
      <c r="D500" t="s">
        <v>2386</v>
      </c>
      <c r="E500" t="s">
        <v>2387</v>
      </c>
      <c r="F500" t="s">
        <v>2388</v>
      </c>
      <c r="G500" t="s">
        <v>124</v>
      </c>
      <c r="H500" t="s">
        <v>124</v>
      </c>
      <c r="I500" t="s">
        <v>2389</v>
      </c>
    </row>
    <row r="501" spans="1:9">
      <c r="A501" t="s">
        <v>2390</v>
      </c>
      <c r="B501" t="s">
        <v>106</v>
      </c>
      <c r="C501" t="s">
        <v>2345</v>
      </c>
      <c r="D501" t="s">
        <v>2391</v>
      </c>
      <c r="E501" t="s">
        <v>2387</v>
      </c>
      <c r="F501" t="s">
        <v>2388</v>
      </c>
      <c r="G501" t="s">
        <v>124</v>
      </c>
      <c r="H501" t="s">
        <v>124</v>
      </c>
      <c r="I501" t="s">
        <v>2392</v>
      </c>
    </row>
    <row r="502" spans="1:9">
      <c r="A502" t="s">
        <v>2393</v>
      </c>
      <c r="B502" t="s">
        <v>106</v>
      </c>
      <c r="C502" t="s">
        <v>2345</v>
      </c>
      <c r="D502" t="s">
        <v>615</v>
      </c>
      <c r="E502" t="s">
        <v>2387</v>
      </c>
      <c r="F502" t="s">
        <v>2388</v>
      </c>
      <c r="G502" t="s">
        <v>124</v>
      </c>
      <c r="H502" t="s">
        <v>2394</v>
      </c>
      <c r="I502" t="s">
        <v>2392</v>
      </c>
    </row>
    <row r="503" spans="1:9">
      <c r="A503" t="s">
        <v>61</v>
      </c>
      <c r="B503" t="s">
        <v>66</v>
      </c>
      <c r="C503" t="s">
        <v>2301</v>
      </c>
      <c r="D503" t="s">
        <v>2391</v>
      </c>
      <c r="E503" t="s">
        <v>2395</v>
      </c>
      <c r="F503" t="s">
        <v>2388</v>
      </c>
      <c r="G503" t="s">
        <v>124</v>
      </c>
      <c r="H503" t="s">
        <v>124</v>
      </c>
      <c r="I503" t="s">
        <v>2392</v>
      </c>
    </row>
    <row r="504" spans="1:9">
      <c r="A504" t="s">
        <v>2396</v>
      </c>
      <c r="B504" t="s">
        <v>66</v>
      </c>
      <c r="C504" t="s">
        <v>2301</v>
      </c>
      <c r="D504" t="s">
        <v>2391</v>
      </c>
      <c r="E504" t="s">
        <v>2387</v>
      </c>
      <c r="F504" t="s">
        <v>2388</v>
      </c>
      <c r="G504" t="s">
        <v>124</v>
      </c>
      <c r="H504" t="s">
        <v>124</v>
      </c>
      <c r="I504" t="s">
        <v>2392</v>
      </c>
    </row>
    <row r="505" spans="1:9">
      <c r="A505" t="s">
        <v>2397</v>
      </c>
      <c r="B505" t="s">
        <v>66</v>
      </c>
      <c r="C505" t="s">
        <v>2301</v>
      </c>
      <c r="D505" t="s">
        <v>2398</v>
      </c>
      <c r="E505" t="s">
        <v>2395</v>
      </c>
      <c r="F505" t="s">
        <v>2388</v>
      </c>
      <c r="G505" t="s">
        <v>124</v>
      </c>
      <c r="H505" t="s">
        <v>124</v>
      </c>
      <c r="I505" t="s">
        <v>2392</v>
      </c>
    </row>
    <row r="506" spans="1:9">
      <c r="A506" t="s">
        <v>2399</v>
      </c>
      <c r="B506" t="s">
        <v>66</v>
      </c>
      <c r="C506" t="s">
        <v>2301</v>
      </c>
      <c r="D506" t="s">
        <v>2398</v>
      </c>
      <c r="E506" t="s">
        <v>2387</v>
      </c>
      <c r="F506" t="s">
        <v>2388</v>
      </c>
      <c r="G506" t="s">
        <v>124</v>
      </c>
      <c r="H506" t="s">
        <v>124</v>
      </c>
      <c r="I506" t="s">
        <v>2392</v>
      </c>
    </row>
    <row r="507" spans="1:9">
      <c r="A507" t="s">
        <v>2400</v>
      </c>
      <c r="B507" t="s">
        <v>66</v>
      </c>
      <c r="C507" t="s">
        <v>2301</v>
      </c>
      <c r="D507" t="s">
        <v>2401</v>
      </c>
      <c r="E507" t="s">
        <v>2387</v>
      </c>
      <c r="F507" t="s">
        <v>2388</v>
      </c>
      <c r="G507" t="s">
        <v>124</v>
      </c>
      <c r="H507" t="s">
        <v>124</v>
      </c>
      <c r="I507" t="s">
        <v>2392</v>
      </c>
    </row>
    <row r="508" spans="1:9">
      <c r="A508" t="s">
        <v>2402</v>
      </c>
      <c r="B508" t="s">
        <v>66</v>
      </c>
      <c r="C508" t="s">
        <v>2301</v>
      </c>
      <c r="D508" t="s">
        <v>2401</v>
      </c>
      <c r="E508" t="s">
        <v>2387</v>
      </c>
      <c r="F508" t="s">
        <v>2388</v>
      </c>
      <c r="G508" t="s">
        <v>124</v>
      </c>
      <c r="H508" t="s">
        <v>124</v>
      </c>
      <c r="I508" t="s">
        <v>2392</v>
      </c>
    </row>
    <row r="509" spans="1:9">
      <c r="A509" t="s">
        <v>2403</v>
      </c>
      <c r="B509" t="s">
        <v>66</v>
      </c>
      <c r="C509" t="s">
        <v>2301</v>
      </c>
      <c r="D509" t="s">
        <v>2401</v>
      </c>
      <c r="E509" t="s">
        <v>2395</v>
      </c>
      <c r="F509" t="s">
        <v>2388</v>
      </c>
      <c r="G509" t="s">
        <v>124</v>
      </c>
      <c r="H509" t="s">
        <v>124</v>
      </c>
      <c r="I509" t="s">
        <v>2392</v>
      </c>
    </row>
    <row r="510" spans="1:9">
      <c r="A510" t="s">
        <v>2404</v>
      </c>
      <c r="B510" t="s">
        <v>66</v>
      </c>
      <c r="C510" t="s">
        <v>2301</v>
      </c>
      <c r="D510" t="s">
        <v>2405</v>
      </c>
      <c r="E510" t="s">
        <v>2387</v>
      </c>
      <c r="F510" t="s">
        <v>2388</v>
      </c>
      <c r="G510" t="s">
        <v>124</v>
      </c>
      <c r="H510" t="s">
        <v>124</v>
      </c>
      <c r="I510" t="s">
        <v>2392</v>
      </c>
    </row>
    <row r="511" spans="1:9">
      <c r="A511" t="s">
        <v>2406</v>
      </c>
      <c r="B511" t="s">
        <v>66</v>
      </c>
      <c r="C511" t="s">
        <v>2301</v>
      </c>
      <c r="D511" t="s">
        <v>2405</v>
      </c>
      <c r="E511" t="s">
        <v>2387</v>
      </c>
      <c r="F511" t="s">
        <v>2388</v>
      </c>
      <c r="G511" t="s">
        <v>124</v>
      </c>
      <c r="H511" t="s">
        <v>124</v>
      </c>
      <c r="I511" t="s">
        <v>2407</v>
      </c>
    </row>
    <row r="512" spans="1:9">
      <c r="A512" t="s">
        <v>2408</v>
      </c>
      <c r="B512" t="s">
        <v>66</v>
      </c>
      <c r="C512" t="s">
        <v>2301</v>
      </c>
      <c r="D512" t="s">
        <v>2409</v>
      </c>
      <c r="E512" t="s">
        <v>2387</v>
      </c>
      <c r="F512" t="s">
        <v>2388</v>
      </c>
      <c r="G512" t="s">
        <v>124</v>
      </c>
      <c r="H512" t="s">
        <v>2410</v>
      </c>
      <c r="I512" t="s">
        <v>2407</v>
      </c>
    </row>
    <row r="513" spans="1:9">
      <c r="A513" t="s">
        <v>2411</v>
      </c>
      <c r="B513" t="s">
        <v>2412</v>
      </c>
      <c r="C513" t="s">
        <v>2413</v>
      </c>
      <c r="D513" t="s">
        <v>2414</v>
      </c>
      <c r="E513" t="s">
        <v>124</v>
      </c>
      <c r="F513" t="s">
        <v>2415</v>
      </c>
      <c r="G513" t="s">
        <v>2416</v>
      </c>
      <c r="H513" t="s">
        <v>2417</v>
      </c>
      <c r="I513" t="s">
        <v>2392</v>
      </c>
    </row>
    <row r="514" spans="1:9">
      <c r="A514" t="s">
        <v>2418</v>
      </c>
      <c r="B514" t="s">
        <v>2412</v>
      </c>
      <c r="C514" t="s">
        <v>2413</v>
      </c>
      <c r="D514" t="s">
        <v>2414</v>
      </c>
      <c r="E514" t="s">
        <v>124</v>
      </c>
      <c r="F514" t="s">
        <v>2419</v>
      </c>
      <c r="G514" t="s">
        <v>2420</v>
      </c>
      <c r="H514" t="s">
        <v>2417</v>
      </c>
      <c r="I514" t="s">
        <v>2392</v>
      </c>
    </row>
    <row r="515" spans="1:9">
      <c r="A515" t="s">
        <v>2421</v>
      </c>
      <c r="B515" t="s">
        <v>75</v>
      </c>
      <c r="C515" t="s">
        <v>1171</v>
      </c>
      <c r="D515" t="s">
        <v>2414</v>
      </c>
      <c r="E515" t="s">
        <v>124</v>
      </c>
      <c r="F515" t="s">
        <v>2422</v>
      </c>
      <c r="G515" t="s">
        <v>2423</v>
      </c>
      <c r="H515" t="s">
        <v>2424</v>
      </c>
      <c r="I515" t="s">
        <v>2392</v>
      </c>
    </row>
    <row r="516" spans="1:9">
      <c r="A516" t="s">
        <v>2425</v>
      </c>
      <c r="B516" t="s">
        <v>111</v>
      </c>
      <c r="C516" t="s">
        <v>2293</v>
      </c>
      <c r="D516" t="s">
        <v>2414</v>
      </c>
      <c r="E516" t="s">
        <v>124</v>
      </c>
      <c r="F516" t="s">
        <v>2426</v>
      </c>
      <c r="G516" t="s">
        <v>2423</v>
      </c>
      <c r="H516" t="s">
        <v>2427</v>
      </c>
      <c r="I516" t="s">
        <v>2392</v>
      </c>
    </row>
    <row r="517" spans="1:9">
      <c r="A517" t="s">
        <v>2428</v>
      </c>
      <c r="B517" t="s">
        <v>75</v>
      </c>
      <c r="C517" t="s">
        <v>1171</v>
      </c>
      <c r="D517" t="s">
        <v>2414</v>
      </c>
      <c r="E517" t="s">
        <v>124</v>
      </c>
      <c r="F517" t="s">
        <v>2422</v>
      </c>
      <c r="G517" t="s">
        <v>2423</v>
      </c>
      <c r="H517" t="s">
        <v>2429</v>
      </c>
      <c r="I517" t="s">
        <v>2392</v>
      </c>
    </row>
    <row r="518" spans="1:9">
      <c r="A518" t="s">
        <v>2430</v>
      </c>
      <c r="B518" t="s">
        <v>111</v>
      </c>
      <c r="C518" t="s">
        <v>2293</v>
      </c>
      <c r="D518" t="s">
        <v>2414</v>
      </c>
      <c r="E518" t="s">
        <v>124</v>
      </c>
      <c r="F518" t="s">
        <v>2426</v>
      </c>
      <c r="G518" t="s">
        <v>2423</v>
      </c>
      <c r="H518" t="s">
        <v>2431</v>
      </c>
      <c r="I518" t="s">
        <v>2392</v>
      </c>
    </row>
    <row r="519" spans="1:9">
      <c r="A519" t="s">
        <v>2432</v>
      </c>
      <c r="B519" t="s">
        <v>2412</v>
      </c>
      <c r="C519" t="s">
        <v>2413</v>
      </c>
      <c r="D519" t="s">
        <v>2414</v>
      </c>
      <c r="E519" t="s">
        <v>124</v>
      </c>
      <c r="F519" t="s">
        <v>2415</v>
      </c>
      <c r="G519" t="s">
        <v>124</v>
      </c>
      <c r="H519" t="s">
        <v>2433</v>
      </c>
      <c r="I519" t="s">
        <v>2392</v>
      </c>
    </row>
    <row r="520" spans="1:9">
      <c r="A520" t="s">
        <v>2434</v>
      </c>
      <c r="B520" t="s">
        <v>2412</v>
      </c>
      <c r="C520" t="s">
        <v>2413</v>
      </c>
      <c r="D520" t="s">
        <v>2414</v>
      </c>
      <c r="E520" t="s">
        <v>124</v>
      </c>
      <c r="F520" t="s">
        <v>2415</v>
      </c>
      <c r="G520" t="s">
        <v>124</v>
      </c>
      <c r="H520" t="s">
        <v>2433</v>
      </c>
      <c r="I520" t="s">
        <v>2392</v>
      </c>
    </row>
    <row r="521" spans="1:9">
      <c r="A521" t="s">
        <v>2435</v>
      </c>
      <c r="B521" t="s">
        <v>99</v>
      </c>
      <c r="C521" t="s">
        <v>1302</v>
      </c>
      <c r="D521" t="s">
        <v>2414</v>
      </c>
      <c r="E521" t="s">
        <v>124</v>
      </c>
      <c r="F521" t="s">
        <v>2436</v>
      </c>
      <c r="G521" t="s">
        <v>124</v>
      </c>
      <c r="H521" t="s">
        <v>2437</v>
      </c>
      <c r="I521" t="s">
        <v>2407</v>
      </c>
    </row>
    <row r="522" spans="1:9">
      <c r="A522" t="s">
        <v>2438</v>
      </c>
      <c r="B522" t="s">
        <v>99</v>
      </c>
      <c r="C522" t="s">
        <v>1302</v>
      </c>
      <c r="D522" t="s">
        <v>2401</v>
      </c>
      <c r="E522" t="s">
        <v>2387</v>
      </c>
      <c r="F522" t="s">
        <v>2423</v>
      </c>
      <c r="G522" t="s">
        <v>124</v>
      </c>
      <c r="H522" t="s">
        <v>2439</v>
      </c>
      <c r="I522" t="s">
        <v>2407</v>
      </c>
    </row>
    <row r="523" spans="1:9">
      <c r="A523" t="s">
        <v>2440</v>
      </c>
      <c r="B523" t="s">
        <v>99</v>
      </c>
      <c r="C523" t="s">
        <v>1302</v>
      </c>
      <c r="D523" t="s">
        <v>2405</v>
      </c>
      <c r="E523" t="s">
        <v>2387</v>
      </c>
      <c r="F523" t="s">
        <v>2441</v>
      </c>
      <c r="G523" t="s">
        <v>124</v>
      </c>
      <c r="H523" t="s">
        <v>2439</v>
      </c>
      <c r="I523" t="s">
        <v>2407</v>
      </c>
    </row>
    <row r="524" spans="1:9">
      <c r="A524" t="s">
        <v>2442</v>
      </c>
      <c r="B524" t="s">
        <v>99</v>
      </c>
      <c r="C524" t="s">
        <v>1302</v>
      </c>
      <c r="D524" t="s">
        <v>2409</v>
      </c>
      <c r="E524" t="s">
        <v>2387</v>
      </c>
      <c r="F524" t="s">
        <v>2422</v>
      </c>
      <c r="G524" t="s">
        <v>124</v>
      </c>
      <c r="H524" t="s">
        <v>2439</v>
      </c>
      <c r="I524" t="s">
        <v>2407</v>
      </c>
    </row>
    <row r="525" spans="1:9">
      <c r="A525" t="s">
        <v>2443</v>
      </c>
      <c r="B525" t="s">
        <v>99</v>
      </c>
      <c r="C525" t="s">
        <v>1302</v>
      </c>
      <c r="D525" t="s">
        <v>2444</v>
      </c>
      <c r="E525" t="s">
        <v>2387</v>
      </c>
      <c r="F525" t="s">
        <v>2445</v>
      </c>
      <c r="G525" t="s">
        <v>124</v>
      </c>
      <c r="H525" t="s">
        <v>2446</v>
      </c>
      <c r="I525" t="s">
        <v>2407</v>
      </c>
    </row>
    <row r="526" spans="1:9">
      <c r="A526" t="s">
        <v>2447</v>
      </c>
      <c r="B526" t="s">
        <v>99</v>
      </c>
      <c r="C526" t="s">
        <v>1302</v>
      </c>
      <c r="D526" t="s">
        <v>2444</v>
      </c>
      <c r="E526" t="s">
        <v>2387</v>
      </c>
      <c r="F526" t="s">
        <v>2445</v>
      </c>
      <c r="G526" t="s">
        <v>124</v>
      </c>
      <c r="H526" t="s">
        <v>2448</v>
      </c>
      <c r="I526" t="s">
        <v>2407</v>
      </c>
    </row>
    <row r="527" spans="1:9">
      <c r="A527" t="s">
        <v>2449</v>
      </c>
      <c r="B527" t="s">
        <v>99</v>
      </c>
      <c r="C527" t="s">
        <v>1302</v>
      </c>
      <c r="D527" t="s">
        <v>2450</v>
      </c>
      <c r="E527" t="s">
        <v>2387</v>
      </c>
      <c r="F527" t="s">
        <v>2423</v>
      </c>
      <c r="G527" t="s">
        <v>124</v>
      </c>
      <c r="H527" t="s">
        <v>2451</v>
      </c>
      <c r="I527" t="s">
        <v>2407</v>
      </c>
    </row>
    <row r="528" spans="1:9">
      <c r="A528" t="s">
        <v>2452</v>
      </c>
      <c r="B528" t="s">
        <v>99</v>
      </c>
      <c r="C528" t="s">
        <v>1302</v>
      </c>
      <c r="D528" t="s">
        <v>2453</v>
      </c>
      <c r="E528" t="s">
        <v>2395</v>
      </c>
      <c r="F528" t="s">
        <v>2454</v>
      </c>
      <c r="G528" t="s">
        <v>124</v>
      </c>
      <c r="H528" t="s">
        <v>2455</v>
      </c>
      <c r="I528" t="s">
        <v>2407</v>
      </c>
    </row>
    <row r="529" spans="1:9">
      <c r="A529" t="s">
        <v>2456</v>
      </c>
      <c r="B529" t="s">
        <v>99</v>
      </c>
      <c r="C529" t="s">
        <v>1302</v>
      </c>
      <c r="D529" t="s">
        <v>2457</v>
      </c>
      <c r="E529" t="s">
        <v>2387</v>
      </c>
      <c r="F529" t="s">
        <v>2426</v>
      </c>
      <c r="G529" t="s">
        <v>124</v>
      </c>
      <c r="H529" t="s">
        <v>2458</v>
      </c>
      <c r="I529" t="s">
        <v>2459</v>
      </c>
    </row>
    <row r="530" spans="1:9">
      <c r="A530" t="s">
        <v>2460</v>
      </c>
      <c r="B530" t="s">
        <v>99</v>
      </c>
      <c r="C530" t="s">
        <v>1302</v>
      </c>
      <c r="D530" t="s">
        <v>2461</v>
      </c>
      <c r="E530" t="s">
        <v>2462</v>
      </c>
      <c r="F530" t="s">
        <v>2463</v>
      </c>
      <c r="G530" t="s">
        <v>124</v>
      </c>
      <c r="H530" t="s">
        <v>2464</v>
      </c>
      <c r="I530" t="s">
        <v>2459</v>
      </c>
    </row>
    <row r="531" spans="1:9">
      <c r="A531" t="s">
        <v>2465</v>
      </c>
      <c r="B531" t="s">
        <v>99</v>
      </c>
      <c r="C531" t="s">
        <v>1302</v>
      </c>
      <c r="D531" t="s">
        <v>2466</v>
      </c>
      <c r="E531" t="s">
        <v>2462</v>
      </c>
      <c r="F531" t="s">
        <v>2467</v>
      </c>
      <c r="G531" t="s">
        <v>124</v>
      </c>
      <c r="H531" t="s">
        <v>124</v>
      </c>
      <c r="I531" t="s">
        <v>2468</v>
      </c>
    </row>
    <row r="532" spans="1:9">
      <c r="A532" t="s">
        <v>2469</v>
      </c>
      <c r="B532" t="s">
        <v>75</v>
      </c>
      <c r="C532" t="s">
        <v>1171</v>
      </c>
      <c r="D532" t="s">
        <v>2470</v>
      </c>
      <c r="E532" t="s">
        <v>2387</v>
      </c>
      <c r="F532" t="s">
        <v>2422</v>
      </c>
      <c r="G532" t="s">
        <v>2423</v>
      </c>
      <c r="H532" t="s">
        <v>124</v>
      </c>
      <c r="I532" t="s">
        <v>2392</v>
      </c>
    </row>
    <row r="533" spans="1:9">
      <c r="A533" t="s">
        <v>2471</v>
      </c>
      <c r="B533" t="s">
        <v>111</v>
      </c>
      <c r="C533" t="s">
        <v>2293</v>
      </c>
      <c r="D533" t="s">
        <v>2472</v>
      </c>
      <c r="E533" t="s">
        <v>2473</v>
      </c>
      <c r="F533" t="s">
        <v>2474</v>
      </c>
      <c r="G533" t="s">
        <v>2423</v>
      </c>
      <c r="H533" t="s">
        <v>124</v>
      </c>
      <c r="I533" t="s">
        <v>2407</v>
      </c>
    </row>
    <row r="534" spans="1:9">
      <c r="A534" t="s">
        <v>2475</v>
      </c>
      <c r="B534" t="s">
        <v>111</v>
      </c>
      <c r="C534" t="s">
        <v>2293</v>
      </c>
      <c r="D534" t="s">
        <v>2476</v>
      </c>
      <c r="E534" t="s">
        <v>2387</v>
      </c>
      <c r="F534" t="s">
        <v>2477</v>
      </c>
      <c r="G534" t="s">
        <v>2415</v>
      </c>
      <c r="H534" t="s">
        <v>124</v>
      </c>
      <c r="I534" t="s">
        <v>2459</v>
      </c>
    </row>
    <row r="535" spans="1:9">
      <c r="A535" t="s">
        <v>2478</v>
      </c>
      <c r="B535" t="s">
        <v>111</v>
      </c>
      <c r="C535" t="s">
        <v>2293</v>
      </c>
      <c r="D535" t="s">
        <v>2476</v>
      </c>
      <c r="E535" t="s">
        <v>2387</v>
      </c>
      <c r="F535" t="s">
        <v>2423</v>
      </c>
      <c r="G535" t="s">
        <v>2479</v>
      </c>
      <c r="H535" t="s">
        <v>124</v>
      </c>
      <c r="I535" t="s">
        <v>2459</v>
      </c>
    </row>
    <row r="536" spans="1:9">
      <c r="A536" t="s">
        <v>2480</v>
      </c>
      <c r="B536" t="s">
        <v>111</v>
      </c>
      <c r="C536" t="s">
        <v>2293</v>
      </c>
      <c r="D536" t="s">
        <v>2470</v>
      </c>
      <c r="E536" t="s">
        <v>2395</v>
      </c>
      <c r="F536" t="s">
        <v>2481</v>
      </c>
      <c r="G536" t="s">
        <v>2482</v>
      </c>
      <c r="H536" t="s">
        <v>2483</v>
      </c>
      <c r="I536" t="s">
        <v>2468</v>
      </c>
    </row>
    <row r="537" spans="1:9">
      <c r="A537" t="s">
        <v>2484</v>
      </c>
      <c r="B537" t="s">
        <v>111</v>
      </c>
      <c r="C537" t="s">
        <v>2293</v>
      </c>
      <c r="D537" t="s">
        <v>2470</v>
      </c>
      <c r="E537" t="s">
        <v>2387</v>
      </c>
      <c r="F537" t="s">
        <v>2463</v>
      </c>
      <c r="G537" t="s">
        <v>2423</v>
      </c>
      <c r="H537" t="s">
        <v>2485</v>
      </c>
      <c r="I537" t="s">
        <v>2468</v>
      </c>
    </row>
    <row r="538" spans="1:9">
      <c r="A538" t="s">
        <v>2486</v>
      </c>
      <c r="B538" t="s">
        <v>111</v>
      </c>
      <c r="C538" t="s">
        <v>2293</v>
      </c>
      <c r="D538" t="s">
        <v>2487</v>
      </c>
      <c r="E538" t="s">
        <v>2387</v>
      </c>
      <c r="F538" t="s">
        <v>2481</v>
      </c>
      <c r="G538" t="s">
        <v>2423</v>
      </c>
      <c r="H538" t="s">
        <v>2488</v>
      </c>
      <c r="I538" t="s">
        <v>2468</v>
      </c>
    </row>
    <row r="539" spans="1:9">
      <c r="A539" t="s">
        <v>2489</v>
      </c>
      <c r="B539" t="s">
        <v>111</v>
      </c>
      <c r="C539" t="s">
        <v>2293</v>
      </c>
      <c r="D539" t="s">
        <v>2466</v>
      </c>
      <c r="E539" t="s">
        <v>2462</v>
      </c>
      <c r="F539" t="s">
        <v>2490</v>
      </c>
      <c r="G539" t="s">
        <v>2482</v>
      </c>
      <c r="H539" t="s">
        <v>2491</v>
      </c>
      <c r="I539" t="s">
        <v>2468</v>
      </c>
    </row>
    <row r="540" spans="1:9">
      <c r="A540" t="s">
        <v>2492</v>
      </c>
      <c r="B540" t="s">
        <v>111</v>
      </c>
      <c r="C540" t="s">
        <v>2293</v>
      </c>
      <c r="D540" t="s">
        <v>2476</v>
      </c>
      <c r="E540" t="s">
        <v>2395</v>
      </c>
      <c r="F540" t="s">
        <v>2474</v>
      </c>
      <c r="G540" t="s">
        <v>2482</v>
      </c>
      <c r="H540" t="s">
        <v>2491</v>
      </c>
      <c r="I540" t="s">
        <v>2468</v>
      </c>
    </row>
    <row r="541" spans="1:9">
      <c r="A541" t="s">
        <v>2493</v>
      </c>
      <c r="B541" t="s">
        <v>111</v>
      </c>
      <c r="C541" t="s">
        <v>2293</v>
      </c>
      <c r="D541" t="s">
        <v>2472</v>
      </c>
      <c r="E541" t="s">
        <v>2462</v>
      </c>
      <c r="F541" t="s">
        <v>2490</v>
      </c>
      <c r="G541" t="s">
        <v>2419</v>
      </c>
      <c r="H541" t="s">
        <v>124</v>
      </c>
      <c r="I541" t="s">
        <v>2494</v>
      </c>
    </row>
    <row r="542" spans="1:9">
      <c r="A542" t="s">
        <v>2495</v>
      </c>
      <c r="B542" t="s">
        <v>111</v>
      </c>
      <c r="C542" t="s">
        <v>2293</v>
      </c>
      <c r="D542" t="s">
        <v>2466</v>
      </c>
      <c r="E542" t="s">
        <v>2462</v>
      </c>
      <c r="F542" t="s">
        <v>2481</v>
      </c>
      <c r="G542" t="s">
        <v>2496</v>
      </c>
      <c r="H542" t="s">
        <v>2497</v>
      </c>
      <c r="I542" t="s">
        <v>2494</v>
      </c>
    </row>
    <row r="543" spans="1:9">
      <c r="A543" t="s">
        <v>2498</v>
      </c>
      <c r="B543" t="s">
        <v>93</v>
      </c>
      <c r="C543" t="s">
        <v>1276</v>
      </c>
      <c r="D543" t="s">
        <v>2472</v>
      </c>
      <c r="E543" t="s">
        <v>2387</v>
      </c>
      <c r="F543" t="s">
        <v>2387</v>
      </c>
      <c r="G543" t="s">
        <v>2422</v>
      </c>
      <c r="H543" t="s">
        <v>124</v>
      </c>
      <c r="I543" t="s">
        <v>2392</v>
      </c>
    </row>
    <row r="544" spans="1:9">
      <c r="A544" t="s">
        <v>2499</v>
      </c>
      <c r="B544" t="s">
        <v>93</v>
      </c>
      <c r="C544" t="s">
        <v>1276</v>
      </c>
      <c r="D544" t="s">
        <v>2472</v>
      </c>
      <c r="E544" t="s">
        <v>2387</v>
      </c>
      <c r="F544" t="s">
        <v>2387</v>
      </c>
      <c r="G544" t="s">
        <v>2479</v>
      </c>
      <c r="H544" t="s">
        <v>124</v>
      </c>
      <c r="I544" t="s">
        <v>2392</v>
      </c>
    </row>
    <row r="545" spans="1:9">
      <c r="A545" t="s">
        <v>2500</v>
      </c>
      <c r="B545" t="s">
        <v>93</v>
      </c>
      <c r="C545" t="s">
        <v>1276</v>
      </c>
      <c r="D545" t="s">
        <v>2470</v>
      </c>
      <c r="E545" t="s">
        <v>2387</v>
      </c>
      <c r="F545" t="s">
        <v>2387</v>
      </c>
      <c r="G545" t="s">
        <v>2423</v>
      </c>
      <c r="H545" t="s">
        <v>2501</v>
      </c>
      <c r="I545" t="s">
        <v>2392</v>
      </c>
    </row>
    <row r="546" spans="1:9">
      <c r="A546" t="s">
        <v>2502</v>
      </c>
      <c r="B546" t="s">
        <v>93</v>
      </c>
      <c r="C546" t="s">
        <v>1276</v>
      </c>
      <c r="D546" t="s">
        <v>2503</v>
      </c>
      <c r="E546" t="s">
        <v>2387</v>
      </c>
      <c r="F546" t="s">
        <v>2387</v>
      </c>
      <c r="G546" t="s">
        <v>2445</v>
      </c>
      <c r="H546" t="s">
        <v>124</v>
      </c>
      <c r="I546" t="s">
        <v>2407</v>
      </c>
    </row>
    <row r="547" spans="1:9">
      <c r="A547" t="s">
        <v>2504</v>
      </c>
      <c r="B547" t="s">
        <v>93</v>
      </c>
      <c r="C547" t="s">
        <v>1276</v>
      </c>
      <c r="D547" t="s">
        <v>2505</v>
      </c>
      <c r="E547" t="s">
        <v>2473</v>
      </c>
      <c r="F547" t="s">
        <v>2387</v>
      </c>
      <c r="G547" t="s">
        <v>2423</v>
      </c>
      <c r="H547" t="s">
        <v>124</v>
      </c>
      <c r="I547" t="s">
        <v>2407</v>
      </c>
    </row>
    <row r="548" spans="1:9">
      <c r="A548" t="s">
        <v>2506</v>
      </c>
      <c r="B548" t="s">
        <v>73</v>
      </c>
      <c r="C548" t="s">
        <v>1142</v>
      </c>
      <c r="D548" t="s">
        <v>2507</v>
      </c>
      <c r="E548" t="s">
        <v>2508</v>
      </c>
      <c r="F548" t="s">
        <v>2509</v>
      </c>
      <c r="G548" t="s">
        <v>2454</v>
      </c>
      <c r="H548" t="s">
        <v>2510</v>
      </c>
      <c r="I548" t="s">
        <v>2459</v>
      </c>
    </row>
    <row r="549" spans="1:9">
      <c r="A549" t="s">
        <v>2511</v>
      </c>
      <c r="B549" t="s">
        <v>73</v>
      </c>
      <c r="C549" t="s">
        <v>1142</v>
      </c>
      <c r="D549" t="s">
        <v>2512</v>
      </c>
      <c r="E549" t="s">
        <v>2462</v>
      </c>
      <c r="F549" t="s">
        <v>2513</v>
      </c>
      <c r="G549" t="s">
        <v>2426</v>
      </c>
      <c r="H549" t="s">
        <v>124</v>
      </c>
      <c r="I549" t="s">
        <v>2468</v>
      </c>
    </row>
    <row r="550" spans="1:9">
      <c r="A550" t="s">
        <v>2514</v>
      </c>
      <c r="B550" t="s">
        <v>73</v>
      </c>
      <c r="C550" t="s">
        <v>1142</v>
      </c>
      <c r="D550" t="s">
        <v>2466</v>
      </c>
      <c r="E550" t="s">
        <v>2387</v>
      </c>
      <c r="F550" t="s">
        <v>2515</v>
      </c>
      <c r="G550" t="s">
        <v>2516</v>
      </c>
      <c r="H550" t="s">
        <v>124</v>
      </c>
      <c r="I550" t="s">
        <v>2468</v>
      </c>
    </row>
    <row r="551" spans="1:9">
      <c r="A551" t="s">
        <v>2517</v>
      </c>
      <c r="B551" t="s">
        <v>73</v>
      </c>
      <c r="C551" t="s">
        <v>1142</v>
      </c>
      <c r="D551" t="s">
        <v>2518</v>
      </c>
      <c r="E551" t="s">
        <v>2519</v>
      </c>
      <c r="F551" t="s">
        <v>2513</v>
      </c>
      <c r="G551" t="s">
        <v>2426</v>
      </c>
      <c r="H551" t="s">
        <v>124</v>
      </c>
      <c r="I551" t="s">
        <v>2494</v>
      </c>
    </row>
    <row r="552" spans="1:9">
      <c r="A552" t="s">
        <v>2520</v>
      </c>
      <c r="B552" t="s">
        <v>73</v>
      </c>
      <c r="C552" t="s">
        <v>1142</v>
      </c>
      <c r="D552" t="s">
        <v>2521</v>
      </c>
      <c r="E552" t="s">
        <v>2508</v>
      </c>
      <c r="F552" t="s">
        <v>2522</v>
      </c>
      <c r="G552" t="s">
        <v>2454</v>
      </c>
      <c r="H552" t="s">
        <v>124</v>
      </c>
      <c r="I552" t="s">
        <v>2494</v>
      </c>
    </row>
    <row r="553" spans="1:9">
      <c r="A553" t="s">
        <v>2523</v>
      </c>
      <c r="B553" t="s">
        <v>73</v>
      </c>
      <c r="C553" t="s">
        <v>1142</v>
      </c>
      <c r="D553" t="s">
        <v>2524</v>
      </c>
      <c r="E553" t="s">
        <v>2525</v>
      </c>
      <c r="F553" t="s">
        <v>2526</v>
      </c>
      <c r="G553" t="s">
        <v>2463</v>
      </c>
      <c r="H553" t="s">
        <v>2410</v>
      </c>
      <c r="I553" t="s">
        <v>2494</v>
      </c>
    </row>
    <row r="560" spans="1:9">
      <c r="A560" t="s">
        <v>2527</v>
      </c>
    </row>
    <row r="561" spans="1:1">
      <c r="A561" t="s">
        <v>2528</v>
      </c>
    </row>
    <row r="562" spans="1:1">
      <c r="A562" t="s">
        <v>2529</v>
      </c>
    </row>
    <row r="563" spans="1:1">
      <c r="A563" t="s">
        <v>2530</v>
      </c>
    </row>
    <row r="564" spans="1:1">
      <c r="A564" t="s">
        <v>2531</v>
      </c>
    </row>
    <row r="565" spans="1:1">
      <c r="A565" t="s">
        <v>2532</v>
      </c>
    </row>
    <row r="580" spans="1:1">
      <c r="A580" t="s">
        <v>10</v>
      </c>
    </row>
    <row r="581" spans="1:1">
      <c r="A581" t="s">
        <v>13</v>
      </c>
    </row>
    <row r="582" spans="1:1">
      <c r="A582" t="s">
        <v>17</v>
      </c>
    </row>
    <row r="583" spans="1:1">
      <c r="A583" t="s">
        <v>21</v>
      </c>
    </row>
    <row r="584" spans="1:1">
      <c r="A584" t="s">
        <v>24</v>
      </c>
    </row>
    <row r="585" spans="1:1">
      <c r="A585" t="s">
        <v>27</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t="shared" si="6"/>
        <v/>
      </c>
    </row>
    <row r="609" spans="1:1">
      <c r="A609" t="str">
        <f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topLeftCell="A1">
      <pane ySplit="8" topLeftCell="A9" activePane="bottomLeft" state="frozen"/>
      <selection pane="bottomLeft" activeCell="A9" sqref="A9"/>
    </sheetView>
  </sheetViews>
  <sheetFormatPr defaultColWidth="9" defaultRowHeight="14" outlineLevelCol="3"/>
  <cols>
    <col min="1" max="1" width="15" customWidth="1"/>
    <col min="2" max="2" width="25" customWidth="1"/>
    <col min="3" max="3" width="59" customWidth="1"/>
  </cols>
  <sheetData>
    <row r="1" ht="28" customHeight="1">
      <c r="A1" s="581" t="inlineStr">
        <is>
          <t xml:space="preserve">绿色三角洲｜规则速查 v1.10</t>
        </is>
      </c>
    </row>
    <row r="2" ht="24" customHeight="1">
      <c r="A2" s="33" t="inlineStr">
        <is>
          <t xml:space="preserve">点击主题跳转；筛选后请先清除筛选。</t>
        </is>
      </c>
    </row>
    <row r="3" ht="22" customHeight="1">
      <c r="A3" s="582" t="inlineStr">
        <is>
          <t xml:space="preserve">检定与对抗</t>
        </is>
      </c>
      <c r="B3" s="582" t="inlineStr">
        <is>
          <t xml:space="preserve">战斗与防御</t>
        </is>
      </c>
      <c r="C3" s="582" t="inlineStr">
        <is>
          <t xml:space="preserve">伤害与治疗</t>
        </is>
      </c>
    </row>
    <row r="4" ht="22" customHeight="1">
      <c r="A4" s="582" t="inlineStr">
        <is>
          <t xml:space="preserve">致死与护甲</t>
        </is>
      </c>
      <c r="B4" s="582" t="inlineStr">
        <is>
          <t xml:space="preserve">理智与疯狂</t>
        </is>
      </c>
      <c r="C4" s="582" t="inlineStr">
        <is>
          <t xml:space="preserve">创伤与关系</t>
        </is>
      </c>
    </row>
    <row r="5" ht="22" customHeight="1">
      <c r="A5" s="582" t="inlineStr">
        <is>
          <t xml:space="preserve">调查与执法</t>
        </is>
      </c>
      <c r="B5" s="582" t="inlineStr">
        <is>
          <t xml:space="preserve">秘密行动</t>
        </is>
      </c>
      <c r="C5" s="582" t="inlineStr">
        <is>
          <t xml:space="preserve">护甲与载具</t>
        </is>
      </c>
    </row>
    <row r="6" ht="22" customHeight="1">
      <c r="A6" s="582" t="inlineStr">
        <is>
          <t xml:space="preserve">武器与爆炸物</t>
        </is>
      </c>
      <c r="B6" s="582" t="inlineStr">
        <is>
          <t xml:space="preserve">战斗修正</t>
        </is>
      </c>
      <c r="C6" s="582" t="inlineStr">
        <is>
          <t xml:space="preserve">装备与申请</t>
        </is>
      </c>
    </row>
    <row r="7" ht="22" customHeight="1">
      <c r="A7" s="582" t="inlineStr">
        <is>
          <t xml:space="preserve">返回人物卡</t>
        </is>
      </c>
      <c r="B7" s="582" t="inlineStr">
        <is>
          <t xml:space="preserve">模组经历备忘录</t>
        </is>
      </c>
      <c r="C7" s="582" t="inlineStr">
        <is>
          <t xml:space="preserve">绿箱生成器</t>
        </is>
      </c>
    </row>
    <row r="8" ht="22" customHeight="1" spans="1:4">
      <c r="A8" s="583" t="s">
        <v>2598</v>
      </c>
      <c r="B8" s="583" t="s">
        <v>2599</v>
      </c>
      <c r="C8" s="583" t="inlineStr">
        <is>
          <t xml:space="preserve">内容</t>
        </is>
      </c>
    </row>
    <row r="9" ht="32" customHeight="1" spans="1:4">
      <c r="A9" s="584" t="s">
        <v>2533</v>
      </c>
      <c r="B9" s="585" t="s">
        <v>2600</v>
      </c>
      <c r="C9" s="584" t="s">
        <v>2601</v>
      </c>
    </row>
    <row r="10" ht="32" customHeight="1" spans="1:4">
      <c r="A10" s="584" t="s">
        <v>2533</v>
      </c>
      <c r="B10" s="585" t="s">
        <v>2602</v>
      </c>
      <c r="C10" s="584" t="s">
        <v>2603</v>
      </c>
    </row>
    <row r="11" ht="45.5" customHeight="1" spans="1:4">
      <c r="A11" s="584" t="s">
        <v>2533</v>
      </c>
      <c r="B11" s="585" t="s">
        <v>2604</v>
      </c>
      <c r="C11" s="584" t="s">
        <v>2605</v>
      </c>
    </row>
    <row r="12" ht="45.5" customHeight="1" spans="1:4">
      <c r="A12" s="584" t="s">
        <v>2533</v>
      </c>
      <c r="B12" s="585" t="s">
        <v>2606</v>
      </c>
      <c r="C12" s="584" t="s">
        <v>2607</v>
      </c>
    </row>
    <row r="13" ht="32" customHeight="1" spans="1:4">
      <c r="A13" s="584" t="s">
        <v>2533</v>
      </c>
      <c r="B13" s="585" t="s">
        <v>2608</v>
      </c>
      <c r="C13" s="584" t="s">
        <v>2609</v>
      </c>
    </row>
    <row r="14" ht="32" customHeight="1" spans="1:4">
      <c r="A14" s="584" t="s">
        <v>2533</v>
      </c>
      <c r="B14" s="585" t="s">
        <v>2610</v>
      </c>
      <c r="C14" s="584" t="s">
        <v>2611</v>
      </c>
    </row>
    <row r="15" ht="32" customHeight="1" spans="1:4">
      <c r="A15" s="584" t="s">
        <v>2533</v>
      </c>
      <c r="B15" s="585" t="s">
        <v>2612</v>
      </c>
      <c r="C15" s="584" t="s">
        <v>2613</v>
      </c>
    </row>
    <row r="16" ht="32" customHeight="1" spans="1:4">
      <c r="A16" s="584" t="s">
        <v>2533</v>
      </c>
      <c r="B16" s="585" t="s">
        <v>2614</v>
      </c>
      <c r="C16" s="584" t="s">
        <v>2615</v>
      </c>
    </row>
    <row r="17" ht="32" customHeight="1" spans="1:4">
      <c r="A17" s="584" t="s">
        <v>2533</v>
      </c>
      <c r="B17" s="585" t="s">
        <v>2616</v>
      </c>
      <c r="C17" s="584" t="s">
        <v>2617</v>
      </c>
    </row>
    <row r="18" ht="32" customHeight="1" spans="1:4">
      <c r="A18" s="584" t="s">
        <v>2534</v>
      </c>
      <c r="B18" s="585" t="s">
        <v>2618</v>
      </c>
      <c r="C18" s="584" t="s">
        <v>2619</v>
      </c>
    </row>
    <row r="19" ht="32" customHeight="1" spans="1:4">
      <c r="A19" s="584" t="s">
        <v>2534</v>
      </c>
      <c r="B19" s="585" t="s">
        <v>2620</v>
      </c>
      <c r="C19" s="584" t="s">
        <v>2621</v>
      </c>
    </row>
    <row r="20" ht="45.5" customHeight="1" spans="1:4">
      <c r="A20" s="584" t="s">
        <v>2535</v>
      </c>
      <c r="B20" s="585" t="s">
        <v>2622</v>
      </c>
      <c r="C20" s="584" t="s">
        <v>2623</v>
      </c>
    </row>
    <row r="21" ht="32" customHeight="1" spans="1:4">
      <c r="A21" s="584" t="s">
        <v>2536</v>
      </c>
      <c r="B21" s="585" t="s">
        <v>2624</v>
      </c>
      <c r="C21" s="584" t="s">
        <v>2625</v>
      </c>
    </row>
    <row r="22" ht="32" customHeight="1" spans="1:4">
      <c r="A22" s="584" t="s">
        <v>2536</v>
      </c>
      <c r="B22" s="585" t="s">
        <v>2626</v>
      </c>
      <c r="C22" s="584" t="s">
        <v>2627</v>
      </c>
    </row>
    <row r="23" ht="45.5" customHeight="1" spans="1:4">
      <c r="A23" s="584" t="s">
        <v>2536</v>
      </c>
      <c r="B23" s="585" t="s">
        <v>2628</v>
      </c>
      <c r="C23" s="584" t="s">
        <v>2629</v>
      </c>
    </row>
    <row r="24" ht="45.5" customHeight="1" spans="1:4">
      <c r="A24" s="584" t="s">
        <v>2536</v>
      </c>
      <c r="B24" s="585" t="s">
        <v>2630</v>
      </c>
      <c r="C24" s="584" t="s">
        <v>2631</v>
      </c>
    </row>
    <row r="25" ht="45.5" customHeight="1" spans="1:4">
      <c r="A25" s="584" t="s">
        <v>2536</v>
      </c>
      <c r="B25" s="585" t="s">
        <v>2632</v>
      </c>
      <c r="C25" s="584" t="s">
        <v>2633</v>
      </c>
    </row>
    <row r="26" ht="45.5" customHeight="1" spans="1:4">
      <c r="A26" s="584" t="s">
        <v>2536</v>
      </c>
      <c r="B26" s="585" t="s">
        <v>2634</v>
      </c>
      <c r="C26" s="584" t="s">
        <v>2635</v>
      </c>
    </row>
    <row r="27" ht="32" customHeight="1" spans="1:4">
      <c r="A27" s="584" t="s">
        <v>2536</v>
      </c>
      <c r="B27" s="585" t="s">
        <v>2636</v>
      </c>
      <c r="C27" s="584" t="s">
        <v>2637</v>
      </c>
    </row>
    <row r="28" ht="32" customHeight="1" spans="1:4">
      <c r="A28" s="584" t="s">
        <v>2536</v>
      </c>
      <c r="B28" s="585" t="s">
        <v>2638</v>
      </c>
      <c r="C28" s="584" t="s">
        <v>2639</v>
      </c>
    </row>
    <row r="29" ht="45.5" customHeight="1" spans="1:4">
      <c r="A29" s="584" t="s">
        <v>2537</v>
      </c>
      <c r="B29" s="585" t="s">
        <v>2640</v>
      </c>
      <c r="C29" s="584" t="s">
        <v>2641</v>
      </c>
    </row>
    <row r="30" ht="32" customHeight="1" spans="1:4">
      <c r="A30" s="584" t="s">
        <v>2537</v>
      </c>
      <c r="B30" s="585" t="s">
        <v>2642</v>
      </c>
      <c r="C30" s="584" t="s">
        <v>2643</v>
      </c>
    </row>
    <row r="31" ht="45.5" customHeight="1" spans="1:4">
      <c r="A31" s="584" t="s">
        <v>2537</v>
      </c>
      <c r="B31" s="585" t="s">
        <v>2644</v>
      </c>
      <c r="C31" s="584" t="s">
        <v>2645</v>
      </c>
    </row>
    <row r="32" ht="45.5" customHeight="1" spans="1:4">
      <c r="A32" s="584" t="s">
        <v>2537</v>
      </c>
      <c r="B32" s="585" t="s">
        <v>2646</v>
      </c>
      <c r="C32" s="584" t="s">
        <v>2647</v>
      </c>
    </row>
    <row r="33" ht="32" customHeight="1" spans="1:4">
      <c r="A33" s="584" t="s">
        <v>2538</v>
      </c>
      <c r="B33" s="585" t="s">
        <v>2648</v>
      </c>
      <c r="C33" s="584" t="s">
        <v>2649</v>
      </c>
    </row>
    <row r="34" ht="32" customHeight="1" spans="1:4">
      <c r="A34" s="584" t="s">
        <v>2538</v>
      </c>
      <c r="B34" s="585" t="s">
        <v>2650</v>
      </c>
      <c r="C34" s="584" t="s">
        <v>2651</v>
      </c>
    </row>
    <row r="35" ht="32" customHeight="1" spans="1:4">
      <c r="A35" s="584" t="s">
        <v>2538</v>
      </c>
      <c r="B35" s="585" t="s">
        <v>2414</v>
      </c>
      <c r="C35" s="584" t="s">
        <v>2652</v>
      </c>
    </row>
    <row r="36" ht="32" customHeight="1" spans="1:4">
      <c r="A36" s="584" t="s">
        <v>2538</v>
      </c>
      <c r="B36" s="585" t="s">
        <v>2653</v>
      </c>
      <c r="C36" s="584" t="s">
        <v>2654</v>
      </c>
    </row>
    <row r="37" ht="32" customHeight="1" spans="1:4">
      <c r="A37" s="584" t="s">
        <v>2538</v>
      </c>
      <c r="B37" s="585" t="s">
        <v>2655</v>
      </c>
      <c r="C37" s="584" t="s">
        <v>2656</v>
      </c>
    </row>
    <row r="38" ht="45.5" customHeight="1" spans="1:4">
      <c r="A38" s="584" t="s">
        <v>2538</v>
      </c>
      <c r="B38" s="585" t="s">
        <v>2657</v>
      </c>
      <c r="C38" s="584" t="s">
        <v>2658</v>
      </c>
    </row>
    <row r="39" ht="32" customHeight="1" spans="1:4">
      <c r="A39" s="584" t="s">
        <v>2538</v>
      </c>
      <c r="B39" s="585" t="s">
        <v>2659</v>
      </c>
      <c r="C39" s="584" t="s">
        <v>2660</v>
      </c>
    </row>
    <row r="40" ht="45.5" customHeight="1" spans="1:4">
      <c r="A40" s="584" t="s">
        <v>2538</v>
      </c>
      <c r="B40" s="585" t="s">
        <v>2661</v>
      </c>
      <c r="C40" s="584" t="s">
        <v>2662</v>
      </c>
    </row>
    <row r="41" ht="45.5" customHeight="1" spans="1:4">
      <c r="A41" s="584" t="s">
        <v>2538</v>
      </c>
      <c r="B41" s="585" t="s">
        <v>2663</v>
      </c>
      <c r="C41" s="584" t="s">
        <v>2664</v>
      </c>
    </row>
    <row r="42" ht="32" customHeight="1" spans="1:4">
      <c r="A42" s="584" t="s">
        <v>2538</v>
      </c>
      <c r="B42" s="585" t="s">
        <v>2665</v>
      </c>
      <c r="C42" s="584" t="s">
        <v>2666</v>
      </c>
    </row>
    <row r="43" ht="45.5" customHeight="1" spans="1:4">
      <c r="A43" s="584" t="s">
        <v>2539</v>
      </c>
      <c r="B43" s="585" t="s">
        <v>2667</v>
      </c>
      <c r="C43" s="584" t="s">
        <v>2668</v>
      </c>
    </row>
    <row r="44" ht="45.5" customHeight="1" spans="1:4">
      <c r="A44" s="584" t="s">
        <v>2539</v>
      </c>
      <c r="B44" s="585" t="s">
        <v>2669</v>
      </c>
      <c r="C44" s="584" t="s">
        <v>2670</v>
      </c>
    </row>
    <row r="45" ht="45.5" customHeight="1" spans="1:4">
      <c r="A45" s="584" t="s">
        <v>2539</v>
      </c>
      <c r="B45" s="585" t="s">
        <v>2671</v>
      </c>
      <c r="C45" s="584" t="s">
        <v>2672</v>
      </c>
    </row>
    <row r="46" ht="45.5" customHeight="1" spans="1:4">
      <c r="A46" s="584" t="s">
        <v>2539</v>
      </c>
      <c r="B46" s="585" t="s">
        <v>2673</v>
      </c>
      <c r="C46" s="584" t="s">
        <v>2674</v>
      </c>
    </row>
    <row r="47" ht="45.5" customHeight="1" spans="1:4">
      <c r="A47" s="584" t="s">
        <v>2539</v>
      </c>
      <c r="B47" s="585" t="s">
        <v>2675</v>
      </c>
      <c r="C47" s="584" t="s">
        <v>2676</v>
      </c>
    </row>
    <row r="48" ht="32" customHeight="1" spans="1:4">
      <c r="A48" s="584" t="s">
        <v>2540</v>
      </c>
      <c r="B48" s="585" t="s">
        <v>2677</v>
      </c>
      <c r="C48" s="584" t="s">
        <v>2678</v>
      </c>
    </row>
    <row r="49" ht="32" customHeight="1" spans="1:4">
      <c r="A49" s="584" t="s">
        <v>2540</v>
      </c>
      <c r="B49" s="585" t="s">
        <v>2679</v>
      </c>
      <c r="C49" s="584" t="s">
        <v>2680</v>
      </c>
    </row>
    <row r="50" ht="32" customHeight="1" spans="1:4">
      <c r="A50" s="584" t="s">
        <v>2541</v>
      </c>
      <c r="B50" s="585" t="s">
        <v>2681</v>
      </c>
      <c r="C50" s="584" t="s">
        <v>2682</v>
      </c>
    </row>
    <row r="51" ht="45.5" customHeight="1" spans="1:4">
      <c r="A51" s="584" t="s">
        <v>2541</v>
      </c>
      <c r="B51" s="585" t="s">
        <v>2683</v>
      </c>
      <c r="C51" s="584" t="s">
        <v>2684</v>
      </c>
    </row>
    <row r="52" ht="32" customHeight="1" spans="1:4">
      <c r="A52" s="584" t="s">
        <v>2541</v>
      </c>
      <c r="B52" s="585" t="s">
        <v>2685</v>
      </c>
      <c r="C52" s="584" t="s">
        <v>2686</v>
      </c>
    </row>
    <row r="53" ht="32" customHeight="1" spans="1:4">
      <c r="A53" s="584" t="s">
        <v>2541</v>
      </c>
      <c r="B53" s="585" t="s">
        <v>2687</v>
      </c>
      <c r="C53" s="584" t="s">
        <v>2688</v>
      </c>
    </row>
    <row r="54" ht="32" customHeight="1" spans="1:4">
      <c r="A54" s="584" t="s">
        <v>2541</v>
      </c>
      <c r="B54" s="585" t="s">
        <v>2689</v>
      </c>
      <c r="C54" s="584" t="inlineStr">
        <is>
          <t xml:space="preserve">速度每40千米/小时计10%致死；撞墙且无处跌落时翻倍。存活者体质×5，失败眩晕。载具冲撞按载具规则结算。</t>
        </is>
      </c>
    </row>
    <row r="55" ht="32" customHeight="1" spans="1:4">
      <c r="A55" s="584" t="s">
        <v>2541</v>
      </c>
      <c r="B55" s="585" t="s">
        <v>2690</v>
      </c>
      <c r="C55" s="584" t="s">
        <v>2691</v>
      </c>
    </row>
    <row r="56" ht="32" customHeight="1" spans="1:4">
      <c r="A56" s="584" t="s">
        <v>2541</v>
      </c>
      <c r="B56" s="585" t="s">
        <v>2692</v>
      </c>
      <c r="C56" s="584" t="s">
        <v>2693</v>
      </c>
    </row>
    <row r="57" ht="32" customHeight="1" spans="1:4">
      <c r="A57" s="584" t="s">
        <v>2542</v>
      </c>
      <c r="B57" s="585" t="s">
        <v>2694</v>
      </c>
      <c r="C57" s="584" t="s">
        <v>2695</v>
      </c>
    </row>
    <row r="58" ht="45.5" customHeight="1" spans="1:4">
      <c r="A58" s="584" t="s">
        <v>2542</v>
      </c>
      <c r="B58" s="585" t="s">
        <v>2696</v>
      </c>
      <c r="C58" s="584" t="s">
        <v>2697</v>
      </c>
    </row>
    <row r="59" ht="45.5" customHeight="1" spans="1:4">
      <c r="A59" s="584" t="s">
        <v>2542</v>
      </c>
      <c r="B59" s="585" t="s">
        <v>2698</v>
      </c>
      <c r="C59" s="584" t="s">
        <v>2699</v>
      </c>
    </row>
    <row r="60" ht="32" customHeight="1" spans="1:4">
      <c r="A60" s="584" t="s">
        <v>2542</v>
      </c>
      <c r="B60" s="585" t="s">
        <v>2700</v>
      </c>
      <c r="C60" s="584" t="s">
        <v>2701</v>
      </c>
    </row>
    <row r="61" ht="45.5" customHeight="1" spans="1:4">
      <c r="A61" s="584" t="s">
        <v>2542</v>
      </c>
      <c r="B61" s="585" t="s">
        <v>2702</v>
      </c>
      <c r="C61" s="584" t="s">
        <v>2703</v>
      </c>
    </row>
    <row r="62" ht="45.5" customHeight="1" spans="1:4">
      <c r="A62" s="584" t="s">
        <v>2542</v>
      </c>
      <c r="B62" s="585" t="s">
        <v>2704</v>
      </c>
      <c r="C62" s="584" t="s">
        <v>2705</v>
      </c>
    </row>
    <row r="63" ht="32" customHeight="1" spans="1:4">
      <c r="A63" s="584" t="s">
        <v>2542</v>
      </c>
      <c r="B63" s="585" t="s">
        <v>2706</v>
      </c>
      <c r="C63" s="584" t="s">
        <v>2707</v>
      </c>
    </row>
    <row r="64" ht="32" customHeight="1" spans="1:4">
      <c r="A64" s="584" t="s">
        <v>2542</v>
      </c>
      <c r="B64" s="585" t="s">
        <v>2708</v>
      </c>
      <c r="C64" s="584" t="s">
        <v>2709</v>
      </c>
    </row>
    <row r="65" ht="45.5" customHeight="1" spans="1:4">
      <c r="A65" s="584" t="s">
        <v>2542</v>
      </c>
      <c r="B65" s="585" t="s">
        <v>2710</v>
      </c>
      <c r="C65" s="584" t="s">
        <v>2711</v>
      </c>
    </row>
    <row r="66" ht="32" customHeight="1" spans="1:4">
      <c r="A66" s="584" t="s">
        <v>2543</v>
      </c>
      <c r="B66" s="585" t="s">
        <v>640</v>
      </c>
      <c r="C66" s="584" t="s">
        <v>2712</v>
      </c>
    </row>
    <row r="67" ht="32" customHeight="1" spans="1:4">
      <c r="A67" s="584" t="s">
        <v>2543</v>
      </c>
      <c r="B67" s="585" t="s">
        <v>647</v>
      </c>
      <c r="C67" s="584" t="s">
        <v>2713</v>
      </c>
    </row>
    <row r="68" ht="32" customHeight="1" spans="1:4">
      <c r="A68" s="584" t="s">
        <v>2543</v>
      </c>
      <c r="B68" s="585" t="s">
        <v>650</v>
      </c>
      <c r="C68" s="584" t="s">
        <v>2714</v>
      </c>
    </row>
    <row r="69" ht="32" customHeight="1" spans="1:4">
      <c r="A69" s="584" t="s">
        <v>2543</v>
      </c>
      <c r="B69" s="585" t="s">
        <v>119</v>
      </c>
      <c r="C69" s="584" t="s">
        <v>2715</v>
      </c>
    </row>
    <row r="70" ht="45.5" customHeight="1" spans="1:4">
      <c r="A70" s="584" t="s">
        <v>2543</v>
      </c>
      <c r="B70" s="585" t="s">
        <v>2716</v>
      </c>
      <c r="C70" s="584" t="inlineStr">
        <is>
          <t xml:space="preserve">创伤损失理智后，通常保留原崩溃点。例如初始理智60、崩溃点48；创伤后理智55，崩溃点仍为48。“人类不应知道之事”另行重置。</t>
        </is>
      </c>
    </row>
    <row r="71" ht="32" customHeight="1" spans="1:4">
      <c r="A71" s="584" t="s">
        <v>2544</v>
      </c>
      <c r="B71" s="585" t="s">
        <v>2717</v>
      </c>
      <c r="C71" s="584" t="inlineStr">
        <is>
          <t xml:space="preserve">武器栏自动带入基础数值；命中奖惩、配件效果与近战伤害加成仍按实际情景处理。</t>
        </is>
      </c>
    </row>
    <row r="72" ht="45.5" customHeight="1" spans="1:4">
      <c r="A72" s="584" t="s">
        <v>2544</v>
      </c>
      <c r="B72" s="585" t="inlineStr">
        <is>
          <t xml:space="preserve">霰弹枪</t>
        </is>
      </c>
      <c r="C72" s="584" t="inlineStr">
        <is>
          <t xml:space="preserve">独头弹基础射程75米、伤害2D8，基础射程外伤害2D6；霰弹弹丸基础射程75米、伤害2D8，基础射程外伤害减半。</t>
        </is>
      </c>
    </row>
    <row r="73" ht="45.5" customHeight="1" spans="1:4">
      <c r="A73" s="586" t="s">
        <v>2545</v>
      </c>
      <c r="B73" s="587" t="s">
        <v>2718</v>
      </c>
      <c r="C73" s="586" t="s">
        <v>2719</v>
      </c>
    </row>
    <row r="74" ht="32" customHeight="1" spans="1:4">
      <c r="A74" s="588" t="s">
        <v>2545</v>
      </c>
      <c r="B74" s="589" t="s">
        <v>2718</v>
      </c>
      <c r="C74" s="588" t="s">
        <v>2720</v>
      </c>
    </row>
    <row r="75" ht="32" customHeight="1" spans="1:4">
      <c r="A75" s="586" t="s">
        <v>2545</v>
      </c>
      <c r="B75" s="587" t="s">
        <v>2718</v>
      </c>
      <c r="C75" s="586" t="s">
        <v>2721</v>
      </c>
    </row>
    <row r="76" ht="32" customHeight="1" spans="1:4">
      <c r="A76" s="588" t="s">
        <v>2545</v>
      </c>
      <c r="B76" s="589" t="s">
        <v>2718</v>
      </c>
      <c r="C76" s="588" t="s">
        <v>2722</v>
      </c>
    </row>
    <row r="77" ht="32" customHeight="1" spans="1:4">
      <c r="A77" s="586" t="s">
        <v>2545</v>
      </c>
      <c r="B77" s="587" t="s">
        <v>2718</v>
      </c>
      <c r="C77" s="586" t="s">
        <v>2723</v>
      </c>
    </row>
    <row r="78" ht="32" customHeight="1" spans="1:4">
      <c r="A78" s="588" t="s">
        <v>2545</v>
      </c>
      <c r="B78" s="589" t="s">
        <v>2718</v>
      </c>
      <c r="C78" s="588" t="s">
        <v>2724</v>
      </c>
    </row>
    <row r="79" ht="32" customHeight="1" spans="1:4">
      <c r="A79" s="586" t="s">
        <v>2545</v>
      </c>
      <c r="B79" s="587" t="s">
        <v>2718</v>
      </c>
      <c r="C79" s="586" t="s">
        <v>2725</v>
      </c>
    </row>
    <row r="80" ht="59" customHeight="1" spans="1:4">
      <c r="A80" s="588" t="s">
        <v>2545</v>
      </c>
      <c r="B80" s="589" t="s">
        <v>2718</v>
      </c>
      <c r="C80" s="588" t="s">
        <v>2726</v>
      </c>
    </row>
    <row r="81" ht="79" customHeight="1" spans="1:4">
      <c r="A81" s="586" t="s">
        <v>2545</v>
      </c>
      <c r="B81" s="587" t="s">
        <v>2718</v>
      </c>
      <c r="C81" s="586" t="s">
        <v>2727</v>
      </c>
    </row>
    <row r="82" ht="32" customHeight="1" spans="1:4">
      <c r="A82" s="588" t="s">
        <v>2545</v>
      </c>
      <c r="B82" s="589" t="s">
        <v>2718</v>
      </c>
      <c r="C82" s="588" t="s">
        <v>2728</v>
      </c>
    </row>
    <row r="83" ht="92.5" customHeight="1" spans="1:4">
      <c r="A83" s="586" t="s">
        <v>2545</v>
      </c>
      <c r="B83" s="587" t="s">
        <v>2718</v>
      </c>
      <c r="C83" s="586" t="s">
        <v>2729</v>
      </c>
    </row>
    <row r="84" ht="32" customHeight="1" spans="1:4">
      <c r="A84" s="588" t="s">
        <v>2545</v>
      </c>
      <c r="B84" s="589" t="s">
        <v>2730</v>
      </c>
      <c r="C84" s="588" t="s">
        <v>2731</v>
      </c>
    </row>
    <row r="85" ht="45.5" customHeight="1" spans="1:4">
      <c r="A85" s="586" t="s">
        <v>35</v>
      </c>
      <c r="B85" s="587" t="s">
        <v>2732</v>
      </c>
      <c r="C85" s="586" t="s">
        <v>2733</v>
      </c>
    </row>
    <row r="86" ht="45.5" customHeight="1" spans="1:4">
      <c r="A86" s="588" t="s">
        <v>35</v>
      </c>
      <c r="B86" s="589" t="s">
        <v>2732</v>
      </c>
      <c r="C86" s="588" t="s">
        <v>2734</v>
      </c>
    </row>
    <row r="87" ht="45.5" customHeight="1" spans="1:4">
      <c r="A87" s="586" t="s">
        <v>2546</v>
      </c>
      <c r="B87" s="587" t="s">
        <v>2735</v>
      </c>
      <c r="C87" s="586" t="s">
        <v>2736</v>
      </c>
    </row>
    <row r="88" ht="32" customHeight="1" spans="1:4">
      <c r="A88" s="588" t="s">
        <v>2546</v>
      </c>
      <c r="B88" s="589" t="s">
        <v>2737</v>
      </c>
      <c r="C88" s="588" t="s">
        <v>2738</v>
      </c>
    </row>
    <row r="89" ht="32" customHeight="1" spans="1:4">
      <c r="A89" s="586" t="s">
        <v>2546</v>
      </c>
      <c r="B89" s="587" t="s">
        <v>2739</v>
      </c>
      <c r="C89" s="586" t="s">
        <v>2740</v>
      </c>
    </row>
    <row r="90" ht="32" customHeight="1" spans="1:4">
      <c r="A90" s="588" t="s">
        <v>2546</v>
      </c>
      <c r="B90" s="589" t="s">
        <v>2741</v>
      </c>
      <c r="C90" s="588" t="s">
        <v>2742</v>
      </c>
    </row>
    <row r="91" ht="32" customHeight="1" spans="1:4">
      <c r="A91" s="586" t="s">
        <v>2546</v>
      </c>
      <c r="B91" s="587" t="s">
        <v>2622</v>
      </c>
      <c r="C91" s="586" t="inlineStr">
        <is>
          <t xml:space="preserve">立刻变得精疲力尽。</t>
        </is>
      </c>
    </row>
    <row r="92" ht="32" customHeight="1" spans="1:4">
      <c r="A92" s="588" t="s">
        <v>2546</v>
      </c>
      <c r="B92" s="589" t="s">
        <v>2743</v>
      </c>
      <c r="C92" s="588" t="s">
        <v>2744</v>
      </c>
    </row>
    <row r="93" ht="32" customHeight="1" spans="1:4">
      <c r="A93" s="586" t="s">
        <v>2546</v>
      </c>
      <c r="B93" s="587" t="s">
        <v>2745</v>
      </c>
      <c r="C93" s="586" t="s">
        <v>2746</v>
      </c>
    </row>
    <row r="94" ht="32" customHeight="1" spans="1:4">
      <c r="A94" s="588" t="s">
        <v>2534</v>
      </c>
      <c r="B94" s="589" t="s">
        <v>2747</v>
      </c>
      <c r="C94" s="588" t="s">
        <v>2748</v>
      </c>
    </row>
    <row r="95" ht="72.5" customHeight="1" spans="1:4">
      <c r="A95" s="586" t="s">
        <v>2534</v>
      </c>
      <c r="B95" s="587" t="s">
        <v>2749</v>
      </c>
      <c r="C95" s="586" t="s">
        <v>2750</v>
      </c>
    </row>
    <row r="96" ht="92.5" customHeight="1" spans="1:4">
      <c r="A96" s="588" t="s">
        <v>2534</v>
      </c>
      <c r="B96" s="589" t="s">
        <v>2751</v>
      </c>
      <c r="C96" s="588" t="s">
        <v>2752</v>
      </c>
    </row>
    <row r="97" ht="59" customHeight="1" spans="1:4">
      <c r="A97" s="586" t="s">
        <v>2534</v>
      </c>
      <c r="B97" s="587" t="s">
        <v>2753</v>
      </c>
      <c r="C97" s="590" t="inlineStr">
        <is>
          <t xml:space="preserve">坐在载具中的乘客可以在追逐对抗开始前向对手射击。攻击使用战斗规则。每次追逐对抗等于一次战斗轮。如果你是驾驶员或是在徒步追逐，试图攻击而不是进行追逐对抗意味着对方在本次追逐对抗中自动成功。</t>
        </is>
      </c>
    </row>
    <row r="98" ht="32" customHeight="1" spans="1:4">
      <c r="A98" s="588" t="s">
        <v>2547</v>
      </c>
      <c r="B98" s="589" t="s">
        <v>2754</v>
      </c>
      <c r="C98" s="588" t="s">
        <v>2755</v>
      </c>
    </row>
    <row r="99" ht="32" customHeight="1" spans="1:4">
      <c r="A99" s="586" t="s">
        <v>2548</v>
      </c>
      <c r="B99" s="587" t="s">
        <v>2756</v>
      </c>
      <c r="C99" s="586" t="s">
        <v>2757</v>
      </c>
    </row>
    <row r="100" ht="32" customHeight="1" spans="1:4">
      <c r="A100" s="588" t="s">
        <v>2548</v>
      </c>
      <c r="B100" s="589" t="s">
        <v>2758</v>
      </c>
      <c r="C100" s="588" t="s">
        <v>2759</v>
      </c>
    </row>
    <row r="101" ht="32" customHeight="1" spans="1:4">
      <c r="A101" s="586" t="s">
        <v>2549</v>
      </c>
      <c r="B101" s="587" t="s">
        <v>2760</v>
      </c>
      <c r="C101" s="586" t="s">
        <v>2761</v>
      </c>
    </row>
    <row r="102" ht="32" customHeight="1" spans="1:4">
      <c r="A102" s="588" t="s">
        <v>2549</v>
      </c>
      <c r="B102" s="589" t="s">
        <v>2762</v>
      </c>
      <c r="C102" s="588" t="s">
        <v>2763</v>
      </c>
    </row>
    <row r="103" ht="32" customHeight="1" spans="1:4">
      <c r="A103" s="586" t="s">
        <v>2549</v>
      </c>
      <c r="B103" s="587" t="s">
        <v>2764</v>
      </c>
      <c r="C103" s="586" t="s">
        <v>2765</v>
      </c>
    </row>
    <row r="104" ht="32" customHeight="1" spans="1:4">
      <c r="A104" s="588" t="s">
        <v>2549</v>
      </c>
      <c r="B104" s="589" t="s">
        <v>2766</v>
      </c>
      <c r="C104" s="588" t="s">
        <v>2767</v>
      </c>
    </row>
    <row r="105" ht="32" customHeight="1" spans="1:4">
      <c r="A105" s="586" t="s">
        <v>2550</v>
      </c>
      <c r="B105" s="587" t="s">
        <v>2768</v>
      </c>
      <c r="C105" s="586" t="s">
        <v>2769</v>
      </c>
    </row>
    <row r="106" ht="32" customHeight="1" spans="1:4">
      <c r="A106" s="588" t="s">
        <v>2550</v>
      </c>
      <c r="B106" s="589" t="s">
        <v>2770</v>
      </c>
      <c r="C106" s="588" t="s">
        <v>2771</v>
      </c>
    </row>
    <row r="107" ht="32" customHeight="1" spans="1:4">
      <c r="A107" s="586" t="s">
        <v>2550</v>
      </c>
      <c r="B107" s="587" t="s">
        <v>2772</v>
      </c>
      <c r="C107" s="586" t="s">
        <v>2773</v>
      </c>
    </row>
    <row r="108" ht="32" customHeight="1" spans="1:4">
      <c r="A108" s="588" t="s">
        <v>2550</v>
      </c>
      <c r="B108" s="589" t="s">
        <v>2774</v>
      </c>
      <c r="C108" s="588" t="s">
        <v>2775</v>
      </c>
    </row>
    <row r="109" ht="32" customHeight="1" spans="1:4">
      <c r="A109" s="586" t="s">
        <v>2551</v>
      </c>
      <c r="B109" s="587" t="s">
        <v>2776</v>
      </c>
      <c r="C109" s="586" t="s">
        <v>2777</v>
      </c>
    </row>
    <row r="110" ht="32" customHeight="1" spans="1:4">
      <c r="A110" s="588" t="s">
        <v>2551</v>
      </c>
      <c r="B110" s="589" t="s">
        <v>2778</v>
      </c>
      <c r="C110" s="588" t="s">
        <v>2779</v>
      </c>
    </row>
    <row r="111" ht="32" customHeight="1" spans="1:4">
      <c r="A111" s="586" t="s">
        <v>2551</v>
      </c>
      <c r="B111" s="587" t="s">
        <v>2780</v>
      </c>
      <c r="C111" s="586" t="s">
        <v>2781</v>
      </c>
    </row>
    <row r="112" ht="32" customHeight="1" spans="1:4">
      <c r="A112" s="588" t="s">
        <v>2551</v>
      </c>
      <c r="B112" s="589" t="s">
        <v>2782</v>
      </c>
      <c r="C112" s="588" t="s">
        <v>2773</v>
      </c>
    </row>
    <row r="113" ht="32" customHeight="1" spans="1:4">
      <c r="A113" s="586" t="s">
        <v>2551</v>
      </c>
      <c r="B113" s="587" t="s">
        <v>2783</v>
      </c>
      <c r="C113" s="586" t="s">
        <v>2784</v>
      </c>
    </row>
    <row r="114" ht="32" customHeight="1" spans="1:4">
      <c r="A114" s="588" t="s">
        <v>2551</v>
      </c>
      <c r="B114" s="589" t="s">
        <v>2785</v>
      </c>
      <c r="C114" s="588" t="s">
        <v>2786</v>
      </c>
    </row>
    <row r="115" ht="32" customHeight="1" spans="1:4">
      <c r="A115" s="586" t="s">
        <v>2552</v>
      </c>
      <c r="B115" s="587" t="s">
        <v>2787</v>
      </c>
      <c r="C115" s="586" t="s">
        <v>2788</v>
      </c>
    </row>
    <row r="116" ht="32" customHeight="1" spans="1:4">
      <c r="A116" s="588" t="s">
        <v>2552</v>
      </c>
      <c r="B116" s="589" t="s">
        <v>2789</v>
      </c>
      <c r="C116" s="588" t="s">
        <v>2790</v>
      </c>
    </row>
    <row r="117" ht="32" customHeight="1" spans="1:4">
      <c r="A117" s="586" t="s">
        <v>2552</v>
      </c>
      <c r="B117" s="587" t="s">
        <v>2791</v>
      </c>
      <c r="C117" s="586" t="s">
        <v>2792</v>
      </c>
    </row>
    <row r="118" ht="32" customHeight="1" spans="1:4">
      <c r="A118" s="588" t="s">
        <v>2552</v>
      </c>
      <c r="B118" s="589" t="s">
        <v>2793</v>
      </c>
      <c r="C118" s="588" t="s">
        <v>2794</v>
      </c>
    </row>
    <row r="119" ht="32" customHeight="1" spans="1:4">
      <c r="A119" s="586" t="s">
        <v>2552</v>
      </c>
      <c r="B119" s="587" t="s">
        <v>2795</v>
      </c>
      <c r="C119" s="586" t="s">
        <v>2796</v>
      </c>
    </row>
    <row r="120" ht="32" customHeight="1" spans="1:4">
      <c r="A120" s="588" t="s">
        <v>2553</v>
      </c>
      <c r="B120" s="589" t="s">
        <v>2797</v>
      </c>
      <c r="C120" s="588" t="s">
        <v>2755</v>
      </c>
    </row>
    <row r="121" ht="32" customHeight="1" spans="1:4">
      <c r="A121" s="586" t="s">
        <v>2553</v>
      </c>
      <c r="B121" s="587" t="s">
        <v>2798</v>
      </c>
      <c r="C121" s="586" t="s">
        <v>2763</v>
      </c>
    </row>
    <row r="122" ht="32" customHeight="1" spans="1:4">
      <c r="A122" s="588" t="s">
        <v>2553</v>
      </c>
      <c r="B122" s="589" t="s">
        <v>2799</v>
      </c>
      <c r="C122" s="588" t="s">
        <v>2800</v>
      </c>
    </row>
    <row r="123" ht="32" customHeight="1" spans="1:4">
      <c r="A123" s="586" t="s">
        <v>2553</v>
      </c>
      <c r="B123" s="587" t="s">
        <v>2801</v>
      </c>
      <c r="C123" s="586" t="s">
        <v>2802</v>
      </c>
    </row>
    <row r="124" ht="32" customHeight="1" spans="1:4">
      <c r="A124" s="588" t="s">
        <v>2553</v>
      </c>
      <c r="B124" s="589" t="s">
        <v>2803</v>
      </c>
      <c r="C124" s="588" t="s">
        <v>2804</v>
      </c>
    </row>
    <row r="125" ht="32" customHeight="1" spans="1:4">
      <c r="A125" s="586" t="s">
        <v>2553</v>
      </c>
      <c r="B125" s="587" t="s">
        <v>2805</v>
      </c>
      <c r="C125" s="586" t="s">
        <v>2759</v>
      </c>
    </row>
    <row r="126" ht="32" customHeight="1" spans="1:4">
      <c r="A126" s="588" t="s">
        <v>2553</v>
      </c>
      <c r="B126" s="589" t="s">
        <v>2806</v>
      </c>
      <c r="C126" s="588" t="s">
        <v>2769</v>
      </c>
    </row>
    <row r="127" ht="32" customHeight="1" spans="1:4">
      <c r="A127" s="586" t="s">
        <v>2553</v>
      </c>
      <c r="B127" s="587" t="s">
        <v>2807</v>
      </c>
      <c r="C127" s="586" t="s">
        <v>2773</v>
      </c>
    </row>
    <row r="128" ht="32" customHeight="1" spans="1:4">
      <c r="A128" s="588" t="s">
        <v>2554</v>
      </c>
      <c r="B128" s="589" t="s">
        <v>2808</v>
      </c>
      <c r="C128" s="588" t="s">
        <v>2809</v>
      </c>
    </row>
    <row r="129" ht="32" customHeight="1" spans="1:4">
      <c r="A129" s="586" t="s">
        <v>2554</v>
      </c>
      <c r="B129" s="587" t="s">
        <v>2810</v>
      </c>
      <c r="C129" s="586" t="s">
        <v>2769</v>
      </c>
    </row>
    <row r="130" ht="32" customHeight="1" spans="1:4">
      <c r="A130" s="588" t="s">
        <v>2554</v>
      </c>
      <c r="B130" s="589" t="s">
        <v>2811</v>
      </c>
      <c r="C130" s="588" t="s">
        <v>2812</v>
      </c>
    </row>
    <row r="131" ht="32" customHeight="1" spans="1:4">
      <c r="A131" s="586" t="s">
        <v>2554</v>
      </c>
      <c r="B131" s="587" t="s">
        <v>2813</v>
      </c>
      <c r="C131" s="586" t="s">
        <v>2769</v>
      </c>
    </row>
    <row r="132" ht="32" customHeight="1" spans="1:4">
      <c r="A132" s="588" t="s">
        <v>2554</v>
      </c>
      <c r="B132" s="589" t="s">
        <v>2814</v>
      </c>
      <c r="C132" s="588" t="s">
        <v>2815</v>
      </c>
    </row>
    <row r="133" ht="32" customHeight="1" spans="1:4">
      <c r="A133" s="586" t="s">
        <v>2554</v>
      </c>
      <c r="B133" s="587" t="s">
        <v>2816</v>
      </c>
      <c r="C133" s="586" t="s">
        <v>2802</v>
      </c>
    </row>
    <row r="134" ht="32" customHeight="1" spans="1:4">
      <c r="A134" s="588" t="s">
        <v>2554</v>
      </c>
      <c r="B134" s="589" t="s">
        <v>2817</v>
      </c>
      <c r="C134" s="588" t="s">
        <v>2818</v>
      </c>
    </row>
    <row r="135" ht="32" customHeight="1" spans="1:4">
      <c r="A135" s="586" t="s">
        <v>2554</v>
      </c>
      <c r="B135" s="587" t="s">
        <v>2819</v>
      </c>
      <c r="C135" s="586" t="s">
        <v>2818</v>
      </c>
    </row>
    <row r="136" ht="45.5" customHeight="1" spans="1:4">
      <c r="A136" s="588" t="s">
        <v>2554</v>
      </c>
      <c r="B136" s="589" t="s">
        <v>2820</v>
      </c>
      <c r="C136" s="588" t="s">
        <v>2821</v>
      </c>
    </row>
    <row r="137" ht="32" customHeight="1" spans="1:4">
      <c r="A137" s="586" t="s">
        <v>2555</v>
      </c>
      <c r="B137" s="587" t="s">
        <v>2822</v>
      </c>
      <c r="C137" s="586" t="s">
        <v>2823</v>
      </c>
    </row>
    <row r="138" ht="32" customHeight="1" spans="1:4">
      <c r="A138" s="588" t="s">
        <v>2555</v>
      </c>
      <c r="B138" s="589" t="s">
        <v>2824</v>
      </c>
      <c r="C138" s="588" t="s">
        <v>2825</v>
      </c>
    </row>
    <row r="139" ht="32" customHeight="1" spans="1:4">
      <c r="A139" s="586" t="s">
        <v>2556</v>
      </c>
      <c r="B139" s="587" t="s">
        <v>2826</v>
      </c>
      <c r="C139" s="586" t="s">
        <v>2769</v>
      </c>
    </row>
    <row r="140" ht="32" customHeight="1" spans="1:4">
      <c r="A140" s="588" t="s">
        <v>2556</v>
      </c>
      <c r="B140" s="589" t="s">
        <v>2827</v>
      </c>
      <c r="C140" s="588" t="s">
        <v>2828</v>
      </c>
    </row>
    <row r="141" ht="32" customHeight="1" spans="1:4">
      <c r="A141" s="586" t="s">
        <v>2556</v>
      </c>
      <c r="B141" s="587" t="s">
        <v>2829</v>
      </c>
      <c r="C141" s="586" t="s">
        <v>2830</v>
      </c>
    </row>
    <row r="142" ht="32" customHeight="1" spans="1:4">
      <c r="A142" s="588" t="s">
        <v>2556</v>
      </c>
      <c r="B142" s="589" t="s">
        <v>2831</v>
      </c>
      <c r="C142" s="588" t="s">
        <v>2832</v>
      </c>
    </row>
    <row r="143" ht="32" customHeight="1" spans="1:4">
      <c r="A143" s="586" t="s">
        <v>2556</v>
      </c>
      <c r="B143" s="587" t="s">
        <v>2833</v>
      </c>
      <c r="C143" s="586" t="s">
        <v>2773</v>
      </c>
    </row>
    <row r="144" ht="32" customHeight="1" spans="1:4">
      <c r="A144" s="588" t="s">
        <v>2557</v>
      </c>
      <c r="B144" s="589" t="s">
        <v>2834</v>
      </c>
      <c r="C144" s="588" t="s">
        <v>2835</v>
      </c>
    </row>
    <row r="145" ht="45.5" customHeight="1" spans="1:4">
      <c r="A145" s="586" t="s">
        <v>2557</v>
      </c>
      <c r="B145" s="587" t="s">
        <v>2836</v>
      </c>
      <c r="C145" s="586" t="s">
        <v>2837</v>
      </c>
    </row>
    <row r="146" ht="59" customHeight="1" spans="1:4">
      <c r="A146" s="588" t="s">
        <v>2557</v>
      </c>
      <c r="B146" s="589" t="s">
        <v>2838</v>
      </c>
      <c r="C146" s="588" t="s">
        <v>2839</v>
      </c>
    </row>
    <row r="147" ht="59" customHeight="1" spans="1:4">
      <c r="A147" s="586" t="s">
        <v>2557</v>
      </c>
      <c r="B147" s="587" t="s">
        <v>2840</v>
      </c>
      <c r="C147" s="586" t="s">
        <v>2841</v>
      </c>
    </row>
    <row r="148" ht="32" customHeight="1" spans="1:4">
      <c r="A148" s="588" t="s">
        <v>2557</v>
      </c>
      <c r="B148" s="589" t="s">
        <v>2842</v>
      </c>
      <c r="C148" s="588" t="s">
        <v>2843</v>
      </c>
    </row>
    <row r="149" ht="32" customHeight="1" spans="1:4">
      <c r="A149" s="586" t="s">
        <v>2558</v>
      </c>
      <c r="B149" s="587" t="s">
        <v>2844</v>
      </c>
      <c r="C149" s="586" t="s">
        <v>2845</v>
      </c>
    </row>
    <row r="150" ht="32" customHeight="1" spans="1:4">
      <c r="A150" s="588" t="s">
        <v>2558</v>
      </c>
      <c r="B150" s="589" t="s">
        <v>2846</v>
      </c>
      <c r="C150" s="588" t="s">
        <v>2847</v>
      </c>
    </row>
    <row r="151" ht="32" customHeight="1" spans="1:4">
      <c r="A151" s="586" t="s">
        <v>2558</v>
      </c>
      <c r="B151" s="587" t="s">
        <v>2848</v>
      </c>
      <c r="C151" s="586" t="s">
        <v>2849</v>
      </c>
    </row>
    <row r="152" ht="32" customHeight="1" spans="1:4">
      <c r="A152" s="588" t="s">
        <v>2558</v>
      </c>
      <c r="B152" s="589" t="s">
        <v>2468</v>
      </c>
      <c r="C152" s="588" t="s">
        <v>2850</v>
      </c>
    </row>
    <row r="153" ht="32" customHeight="1" spans="1:4">
      <c r="A153" s="586" t="s">
        <v>2559</v>
      </c>
      <c r="B153" s="587" t="s">
        <v>2851</v>
      </c>
      <c r="C153" s="586" t="s">
        <v>2852</v>
      </c>
    </row>
    <row r="154" ht="32" customHeight="1" spans="1:4">
      <c r="A154" s="588" t="s">
        <v>2559</v>
      </c>
      <c r="B154" s="589" t="inlineStr">
        <is>
          <t xml:space="preserve">防暴头盔</t>
        </is>
      </c>
      <c r="C154" s="588" t="s">
        <v>2853</v>
      </c>
    </row>
    <row r="155" ht="32" customHeight="1" spans="1:4">
      <c r="A155" s="586" t="s">
        <v>2559</v>
      </c>
      <c r="B155" s="587" t="s">
        <v>2854</v>
      </c>
      <c r="C155" s="586" t="s">
        <v>2852</v>
      </c>
    </row>
    <row r="156" ht="32" customHeight="1" spans="1:4">
      <c r="A156" s="588" t="s">
        <v>2559</v>
      </c>
      <c r="B156" s="589" t="inlineStr">
        <is>
          <t xml:space="preserve">凯夫拉尔头盔</t>
        </is>
      </c>
      <c r="C156" s="588" t="s">
        <v>2855</v>
      </c>
    </row>
    <row r="157" ht="32" customHeight="1" spans="1:4">
      <c r="A157" s="586" t="s">
        <v>2559</v>
      </c>
      <c r="B157" s="587" t="s">
        <v>2856</v>
      </c>
      <c r="C157" s="586" t="s">
        <v>2857</v>
      </c>
    </row>
    <row r="158" ht="32" customHeight="1" spans="1:4">
      <c r="A158" s="588" t="s">
        <v>2559</v>
      </c>
      <c r="B158" s="589" t="inlineStr">
        <is>
          <t xml:space="preserve">凯夫拉尔防弹背心</t>
        </is>
      </c>
      <c r="C158" s="588" t="s">
        <v>2858</v>
      </c>
    </row>
    <row r="159" ht="32" customHeight="1" spans="1:4">
      <c r="A159" s="586" t="s">
        <v>2559</v>
      </c>
      <c r="B159" s="587" t="s">
        <v>2859</v>
      </c>
      <c r="C159" s="586" t="s">
        <v>2860</v>
      </c>
    </row>
    <row r="160" ht="32" customHeight="1" spans="1:4">
      <c r="A160" s="588" t="s">
        <v>2559</v>
      </c>
      <c r="B160" s="589" t="inlineStr">
        <is>
          <t xml:space="preserve">增强凯夫拉尔防弹背心</t>
        </is>
      </c>
      <c r="C160" s="588" t="s">
        <v>2861</v>
      </c>
    </row>
    <row r="161" ht="32" customHeight="1" spans="1:4">
      <c r="A161" s="586" t="s">
        <v>2559</v>
      </c>
      <c r="B161" s="587" t="s">
        <v>2862</v>
      </c>
      <c r="C161" s="586" t="s">
        <v>2863</v>
      </c>
    </row>
    <row r="162" ht="32" customHeight="1" spans="1:4">
      <c r="A162" s="588" t="s">
        <v>2559</v>
      </c>
      <c r="B162" s="589" t="inlineStr">
        <is>
          <t xml:space="preserve">战术防弹衣</t>
        </is>
      </c>
      <c r="C162" s="588" t="s">
        <v>2864</v>
      </c>
    </row>
    <row r="163" ht="32" customHeight="1" spans="1:4">
      <c r="A163" s="586" t="s">
        <v>2559</v>
      </c>
      <c r="B163" s="587" t="s">
        <v>2865</v>
      </c>
      <c r="C163" s="586" t="s">
        <v>2866</v>
      </c>
    </row>
    <row r="164" ht="32" customHeight="1" spans="1:4">
      <c r="A164" s="588" t="s">
        <v>2559</v>
      </c>
      <c r="B164" s="589" t="inlineStr">
        <is>
          <t xml:space="preserve">防爆服</t>
        </is>
      </c>
      <c r="C164" s="588" t="s">
        <v>2867</v>
      </c>
    </row>
    <row r="165" ht="32" customHeight="1" spans="1:4">
      <c r="A165" s="586" t="s">
        <v>2560</v>
      </c>
      <c r="B165" s="587" t="s">
        <v>2868</v>
      </c>
      <c r="C165" s="586" t="s">
        <v>2869</v>
      </c>
    </row>
    <row r="166" ht="32" customHeight="1" spans="1:4">
      <c r="A166" s="588" t="s">
        <v>2560</v>
      </c>
      <c r="B166" s="589" t="s">
        <v>2870</v>
      </c>
      <c r="C166" s="588" t="s">
        <v>2871</v>
      </c>
    </row>
    <row r="167" ht="32" customHeight="1" spans="1:4">
      <c r="A167" s="586" t="s">
        <v>2560</v>
      </c>
      <c r="B167" s="587" t="s">
        <v>2872</v>
      </c>
      <c r="C167" s="586" t="s">
        <v>2873</v>
      </c>
    </row>
    <row r="168" ht="32" customHeight="1" spans="1:4">
      <c r="A168" s="588" t="s">
        <v>2560</v>
      </c>
      <c r="B168" s="589" t="s">
        <v>2874</v>
      </c>
      <c r="C168" s="588" t="s">
        <v>2875</v>
      </c>
    </row>
    <row r="169" ht="32" customHeight="1" spans="1:4">
      <c r="A169" s="586" t="s">
        <v>2560</v>
      </c>
      <c r="B169" s="587" t="s">
        <v>2876</v>
      </c>
      <c r="C169" s="586" t="s">
        <v>2877</v>
      </c>
    </row>
    <row r="170" ht="32" customHeight="1" spans="1:4">
      <c r="A170" s="588" t="s">
        <v>2560</v>
      </c>
      <c r="B170" s="589" t="s">
        <v>2878</v>
      </c>
      <c r="C170" s="588" t="s">
        <v>2879</v>
      </c>
    </row>
    <row r="171" ht="32" customHeight="1" spans="1:4">
      <c r="A171" s="586" t="s">
        <v>2560</v>
      </c>
      <c r="B171" s="587" t="s">
        <v>2880</v>
      </c>
      <c r="C171" s="586" t="s">
        <v>2881</v>
      </c>
    </row>
    <row r="172" ht="32" customHeight="1" spans="1:4">
      <c r="A172" s="588" t="s">
        <v>2560</v>
      </c>
      <c r="B172" s="589" t="s">
        <v>2882</v>
      </c>
      <c r="C172" s="588" t="s">
        <v>2883</v>
      </c>
    </row>
    <row r="173" ht="32" customHeight="1" spans="1:4">
      <c r="A173" s="586" t="s">
        <v>2560</v>
      </c>
      <c r="B173" s="587" t="s">
        <v>2884</v>
      </c>
      <c r="C173" s="586" t="s">
        <v>2885</v>
      </c>
    </row>
    <row r="174" ht="32" customHeight="1" spans="1:4">
      <c r="A174" s="588" t="s">
        <v>2560</v>
      </c>
      <c r="B174" s="589" t="s">
        <v>2886</v>
      </c>
      <c r="C174" s="588" t="s">
        <v>2887</v>
      </c>
    </row>
    <row r="175" ht="32" customHeight="1" spans="1:4">
      <c r="A175" s="586" t="s">
        <v>2560</v>
      </c>
      <c r="B175" s="587" t="s">
        <v>2888</v>
      </c>
      <c r="C175" s="586" t="s">
        <v>2889</v>
      </c>
    </row>
    <row r="176" ht="32" customHeight="1" spans="1:4">
      <c r="A176" s="588" t="s">
        <v>2561</v>
      </c>
      <c r="B176" s="589" t="s">
        <v>2890</v>
      </c>
      <c r="C176" s="588" t="s">
        <v>2891</v>
      </c>
    </row>
    <row r="177" ht="32" customHeight="1" spans="1:4">
      <c r="A177" s="586" t="s">
        <v>2561</v>
      </c>
      <c r="B177" s="587" t="s">
        <v>2892</v>
      </c>
      <c r="C177" s="586" t="s">
        <v>2893</v>
      </c>
    </row>
    <row r="178" ht="32" customHeight="1" spans="1:4">
      <c r="A178" s="588" t="s">
        <v>2561</v>
      </c>
      <c r="B178" s="589" t="s">
        <v>2894</v>
      </c>
      <c r="C178" s="588" t="s">
        <v>2895</v>
      </c>
    </row>
    <row r="179" ht="32" customHeight="1" spans="1:4">
      <c r="A179" s="586" t="s">
        <v>2561</v>
      </c>
      <c r="B179" s="587" t="s">
        <v>2896</v>
      </c>
      <c r="C179" s="586" t="s">
        <v>2897</v>
      </c>
    </row>
    <row r="180" ht="32" customHeight="1" spans="1:4">
      <c r="A180" s="588" t="s">
        <v>2562</v>
      </c>
      <c r="B180" s="589" t="s">
        <v>2898</v>
      </c>
      <c r="C180" s="588" t="s">
        <v>2899</v>
      </c>
    </row>
    <row r="181" ht="32" customHeight="1" spans="1:4">
      <c r="A181" s="586" t="s">
        <v>2562</v>
      </c>
      <c r="B181" s="587" t="s">
        <v>2900</v>
      </c>
      <c r="C181" s="586" t="s">
        <v>2897</v>
      </c>
    </row>
    <row r="182" ht="32" customHeight="1" spans="1:4">
      <c r="A182" s="588" t="s">
        <v>2562</v>
      </c>
      <c r="B182" s="589" t="s">
        <v>2901</v>
      </c>
      <c r="C182" s="588" t="s">
        <v>2902</v>
      </c>
    </row>
    <row r="183" ht="32" customHeight="1" spans="1:4">
      <c r="A183" s="586" t="s">
        <v>2562</v>
      </c>
      <c r="B183" s="587" t="s">
        <v>2903</v>
      </c>
      <c r="C183" s="586" t="s">
        <v>2904</v>
      </c>
    </row>
    <row r="184" ht="32" customHeight="1" spans="1:4">
      <c r="A184" s="588" t="s">
        <v>2562</v>
      </c>
      <c r="B184" s="589" t="s">
        <v>2905</v>
      </c>
      <c r="C184" s="588" t="s">
        <v>2906</v>
      </c>
    </row>
    <row r="185" ht="32" customHeight="1" spans="1:4">
      <c r="A185" s="586" t="s">
        <v>2562</v>
      </c>
      <c r="B185" s="587" t="s">
        <v>2907</v>
      </c>
      <c r="C185" s="586" t="s">
        <v>2908</v>
      </c>
    </row>
    <row r="186" ht="32" customHeight="1" spans="1:4">
      <c r="A186" s="588" t="s">
        <v>2563</v>
      </c>
      <c r="B186" s="589" t="s">
        <v>2909</v>
      </c>
      <c r="C186" s="588" t="s">
        <v>2910</v>
      </c>
    </row>
    <row r="187" ht="32" customHeight="1" spans="1:4">
      <c r="A187" s="586" t="s">
        <v>2563</v>
      </c>
      <c r="B187" s="587" t="s">
        <v>2911</v>
      </c>
      <c r="C187" s="586" t="s">
        <v>2912</v>
      </c>
    </row>
    <row r="188" ht="32" customHeight="1" spans="1:4">
      <c r="A188" s="588" t="s">
        <v>2563</v>
      </c>
      <c r="B188" s="589" t="s">
        <v>2913</v>
      </c>
      <c r="C188" s="588" t="s">
        <v>2914</v>
      </c>
    </row>
    <row r="189" ht="45.5" customHeight="1" spans="1:4">
      <c r="A189" s="586" t="s">
        <v>2563</v>
      </c>
      <c r="B189" s="587" t="s">
        <v>2915</v>
      </c>
      <c r="C189" s="586" t="s">
        <v>2916</v>
      </c>
    </row>
    <row r="190" ht="32" customHeight="1" spans="1:4">
      <c r="A190" s="588" t="s">
        <v>2563</v>
      </c>
      <c r="B190" s="589" t="s">
        <v>2917</v>
      </c>
      <c r="C190" s="588" t="s">
        <v>2918</v>
      </c>
    </row>
    <row r="191" ht="32" customHeight="1" spans="1:4">
      <c r="A191" s="586" t="s">
        <v>2563</v>
      </c>
      <c r="B191" s="587" t="s">
        <v>2919</v>
      </c>
      <c r="C191" s="586" t="s">
        <v>2920</v>
      </c>
    </row>
    <row r="192" ht="32" customHeight="1" spans="1:4">
      <c r="A192" s="588" t="s">
        <v>2563</v>
      </c>
      <c r="B192" s="589" t="s">
        <v>2921</v>
      </c>
      <c r="C192" s="588" t="s">
        <v>2922</v>
      </c>
    </row>
    <row r="193" ht="32" customHeight="1" spans="1:4">
      <c r="A193" s="586" t="s">
        <v>2563</v>
      </c>
      <c r="B193" s="587" t="s">
        <v>2923</v>
      </c>
      <c r="C193" s="586" t="s">
        <v>2924</v>
      </c>
    </row>
    <row r="194" ht="45.5" customHeight="1" spans="1:4">
      <c r="A194" s="588" t="s">
        <v>2564</v>
      </c>
      <c r="B194" s="589" t="s">
        <v>2407</v>
      </c>
      <c r="C194" s="588" t="s">
        <v>2925</v>
      </c>
    </row>
    <row r="195" ht="45.5" customHeight="1" spans="1:4">
      <c r="A195" s="586" t="s">
        <v>2564</v>
      </c>
      <c r="B195" s="587" t="s">
        <v>2459</v>
      </c>
      <c r="C195" s="586" t="s">
        <v>2926</v>
      </c>
    </row>
    <row r="196" ht="32" customHeight="1" spans="1:4">
      <c r="A196" s="588" t="s">
        <v>2564</v>
      </c>
      <c r="B196" s="589" t="s">
        <v>2468</v>
      </c>
      <c r="C196" s="588" t="s">
        <v>2927</v>
      </c>
    </row>
    <row r="197" ht="32" customHeight="1" spans="1:4">
      <c r="A197" s="586" t="s">
        <v>2564</v>
      </c>
      <c r="B197" s="587" t="s">
        <v>2494</v>
      </c>
      <c r="C197" s="586" t="s">
        <v>2928</v>
      </c>
    </row>
    <row r="198" ht="32" customHeight="1" spans="1:4">
      <c r="A198" s="588" t="s">
        <v>2564</v>
      </c>
      <c r="B198" s="589" t="inlineStr">
        <is>
          <t xml:space="preserve">极端</t>
        </is>
      </c>
      <c r="C198" s="588" t="s">
        <v>2929</v>
      </c>
    </row>
    <row r="199" ht="32" customHeight="1" spans="1:4">
      <c r="A199" s="586" t="s">
        <v>2564</v>
      </c>
      <c r="B199" s="587" t="inlineStr">
        <is>
          <t xml:space="preserve">极端</t>
        </is>
      </c>
      <c r="C199" s="586" t="s">
        <v>2930</v>
      </c>
    </row>
    <row r="200" ht="32" customHeight="1" spans="1:4">
      <c r="A200" s="588" t="s">
        <v>2565</v>
      </c>
      <c r="B200" s="589" t="s">
        <v>2385</v>
      </c>
      <c r="C200" s="588" t="s">
        <v>2931</v>
      </c>
    </row>
    <row r="201" ht="32" customHeight="1" spans="1:4">
      <c r="A201" s="586" t="s">
        <v>2565</v>
      </c>
      <c r="B201" s="587" t="s">
        <v>2390</v>
      </c>
      <c r="C201" s="586" t="s">
        <v>2932</v>
      </c>
    </row>
    <row r="202" ht="32" customHeight="1" spans="1:4">
      <c r="A202" s="588" t="s">
        <v>2565</v>
      </c>
      <c r="B202" s="589" t="s">
        <v>2393</v>
      </c>
      <c r="C202" s="588" t="s">
        <v>2933</v>
      </c>
    </row>
    <row r="203" ht="45.5" customHeight="1" spans="1:4">
      <c r="A203" s="586" t="s">
        <v>2565</v>
      </c>
      <c r="B203" s="587" t="inlineStr">
        <is>
          <t xml:space="preserve">绞具</t>
        </is>
      </c>
      <c r="C203" s="586" t="s">
        <v>2934</v>
      </c>
    </row>
    <row r="204" ht="32" customHeight="1" spans="1:4">
      <c r="A204" s="588" t="s">
        <v>2565</v>
      </c>
      <c r="B204" s="589" t="s">
        <v>61</v>
      </c>
      <c r="C204" s="588" t="s">
        <v>2935</v>
      </c>
    </row>
    <row r="205" ht="32" customHeight="1" spans="1:4">
      <c r="A205" s="586" t="s">
        <v>2565</v>
      </c>
      <c r="B205" s="587" t="s">
        <v>2396</v>
      </c>
      <c r="C205" s="586" t="s">
        <v>2936</v>
      </c>
    </row>
    <row r="206" ht="32" customHeight="1" spans="1:4">
      <c r="A206" s="588" t="s">
        <v>2565</v>
      </c>
      <c r="B206" s="589" t="s">
        <v>2397</v>
      </c>
      <c r="C206" s="588" t="s">
        <v>2937</v>
      </c>
    </row>
    <row r="207" ht="32" customHeight="1" spans="1:4">
      <c r="A207" s="586" t="s">
        <v>2565</v>
      </c>
      <c r="B207" s="587" t="s">
        <v>2399</v>
      </c>
      <c r="C207" s="586" t="s">
        <v>2938</v>
      </c>
    </row>
    <row r="208" ht="32" customHeight="1" spans="1:4">
      <c r="A208" s="588" t="s">
        <v>2565</v>
      </c>
      <c r="B208" s="589" t="s">
        <v>2400</v>
      </c>
      <c r="C208" s="588" t="s">
        <v>2939</v>
      </c>
    </row>
    <row r="209" ht="32" customHeight="1" spans="1:4">
      <c r="A209" s="586" t="s">
        <v>2565</v>
      </c>
      <c r="B209" s="587" t="s">
        <v>2402</v>
      </c>
      <c r="C209" s="586" t="s">
        <v>2939</v>
      </c>
    </row>
    <row r="210" ht="32" customHeight="1" spans="1:4">
      <c r="A210" s="588" t="s">
        <v>2565</v>
      </c>
      <c r="B210" s="589" t="s">
        <v>2403</v>
      </c>
      <c r="C210" s="588" t="s">
        <v>2940</v>
      </c>
    </row>
    <row r="211" ht="32" customHeight="1" spans="1:4">
      <c r="A211" s="586" t="s">
        <v>2565</v>
      </c>
      <c r="B211" s="587" t="s">
        <v>2404</v>
      </c>
      <c r="C211" s="586" t="s">
        <v>2941</v>
      </c>
    </row>
    <row r="212" ht="32" customHeight="1" spans="1:4">
      <c r="A212" s="588" t="s">
        <v>2565</v>
      </c>
      <c r="B212" s="589" t="s">
        <v>2406</v>
      </c>
      <c r="C212" s="588" t="s">
        <v>2942</v>
      </c>
    </row>
    <row r="213" ht="32" customHeight="1" spans="1:4">
      <c r="A213" s="586" t="s">
        <v>2565</v>
      </c>
      <c r="B213" s="587" t="s">
        <v>2408</v>
      </c>
      <c r="C213" s="586" t="s">
        <v>2943</v>
      </c>
    </row>
    <row r="214" ht="32" customHeight="1" spans="1:4">
      <c r="A214" s="588" t="s">
        <v>2565</v>
      </c>
      <c r="B214" s="589" t="inlineStr">
        <is>
          <t xml:space="preserve">双手剑</t>
        </is>
      </c>
      <c r="C214" s="588" t="s">
        <v>2410</v>
      </c>
    </row>
    <row r="215" ht="32" customHeight="1" spans="1:4">
      <c r="A215" s="586" t="s">
        <v>2566</v>
      </c>
      <c r="B215" s="587" t="s">
        <v>2411</v>
      </c>
      <c r="C215" s="586" t="s">
        <v>2944</v>
      </c>
    </row>
    <row r="216" ht="32" customHeight="1" spans="1:4">
      <c r="A216" s="588" t="s">
        <v>2566</v>
      </c>
      <c r="B216" s="589" t="s">
        <v>2418</v>
      </c>
      <c r="C216" s="588" t="s">
        <v>2945</v>
      </c>
    </row>
    <row r="217" ht="32" customHeight="1" spans="1:4">
      <c r="A217" s="586" t="s">
        <v>2566</v>
      </c>
      <c r="B217" s="587" t="s">
        <v>2421</v>
      </c>
      <c r="C217" s="586" t="s">
        <v>2946</v>
      </c>
    </row>
    <row r="218" ht="32" customHeight="1" spans="1:4">
      <c r="A218" s="588" t="s">
        <v>2566</v>
      </c>
      <c r="B218" s="589" t="inlineStr">
        <is>
          <t xml:space="preserve">投掷用催泪瓦斯手雷</t>
        </is>
      </c>
      <c r="C218" s="588" t="s">
        <v>2947</v>
      </c>
    </row>
    <row r="219" ht="32" customHeight="1" spans="1:4">
      <c r="A219" s="586" t="s">
        <v>2566</v>
      </c>
      <c r="B219" s="587" t="s">
        <v>2425</v>
      </c>
      <c r="C219" s="586" t="s">
        <v>2948</v>
      </c>
    </row>
    <row r="220" ht="32" customHeight="1" spans="1:4">
      <c r="A220" s="588" t="s">
        <v>2566</v>
      </c>
      <c r="B220" s="589" t="inlineStr">
        <is>
          <t xml:space="preserve">发射用催泪瓦斯爆弹</t>
        </is>
      </c>
      <c r="C220" s="588" t="s">
        <v>2949</v>
      </c>
    </row>
    <row r="221" ht="32" customHeight="1" spans="1:4">
      <c r="A221" s="586" t="s">
        <v>2567</v>
      </c>
      <c r="B221" s="587" t="s">
        <v>2428</v>
      </c>
      <c r="C221" s="586" t="s">
        <v>2950</v>
      </c>
    </row>
    <row r="222" ht="32" customHeight="1" spans="1:4">
      <c r="A222" s="588" t="s">
        <v>2567</v>
      </c>
      <c r="B222" s="589" t="inlineStr">
        <is>
          <t xml:space="preserve">投掷用闪光弹</t>
        </is>
      </c>
      <c r="C222" s="588" t="s">
        <v>2951</v>
      </c>
    </row>
    <row r="223" ht="32" customHeight="1" spans="1:4">
      <c r="A223" s="586" t="s">
        <v>2567</v>
      </c>
      <c r="B223" s="587" t="s">
        <v>2430</v>
      </c>
      <c r="C223" s="586" t="s">
        <v>2952</v>
      </c>
    </row>
    <row r="224" ht="32" customHeight="1" spans="1:4">
      <c r="A224" s="588" t="s">
        <v>2567</v>
      </c>
      <c r="B224" s="589" t="inlineStr">
        <is>
          <t xml:space="preserve">发射用闪光弹</t>
        </is>
      </c>
      <c r="C224" s="588" t="s">
        <v>2953</v>
      </c>
    </row>
    <row r="225" ht="32" customHeight="1" spans="1:4">
      <c r="A225" s="586" t="s">
        <v>2568</v>
      </c>
      <c r="B225" s="587" t="s">
        <v>2432</v>
      </c>
      <c r="C225" s="586" t="s">
        <v>2954</v>
      </c>
    </row>
    <row r="226" ht="32" customHeight="1" spans="1:4">
      <c r="A226" s="588" t="s">
        <v>2568</v>
      </c>
      <c r="B226" s="589" t="s">
        <v>2434</v>
      </c>
      <c r="C226" s="588" t="s">
        <v>2955</v>
      </c>
    </row>
    <row r="227" ht="32" customHeight="1" spans="1:4">
      <c r="A227" s="586" t="s">
        <v>2568</v>
      </c>
      <c r="B227" s="587" t="s">
        <v>2435</v>
      </c>
      <c r="C227" s="586" t="s">
        <v>2956</v>
      </c>
    </row>
    <row r="228" ht="32" customHeight="1" spans="1:4">
      <c r="A228" s="588" t="s">
        <v>2568</v>
      </c>
      <c r="B228" s="589" t="inlineStr">
        <is>
          <t xml:space="preserve">投射式电击枪</t>
        </is>
      </c>
      <c r="C228" s="588" t="s">
        <v>2410</v>
      </c>
    </row>
    <row r="229" ht="32" customHeight="1" spans="1:4">
      <c r="A229" s="586" t="s">
        <v>2569</v>
      </c>
      <c r="B229" s="587" t="s">
        <v>2438</v>
      </c>
      <c r="C229" s="586" t="s">
        <v>2957</v>
      </c>
    </row>
    <row r="230" ht="32" customHeight="1" spans="1:4">
      <c r="A230" s="588" t="s">
        <v>2569</v>
      </c>
      <c r="B230" s="589" t="inlineStr">
        <is>
          <t xml:space="preserve">轻型手枪</t>
        </is>
      </c>
      <c r="C230" s="588" t="s">
        <v>2958</v>
      </c>
    </row>
    <row r="231" ht="32" customHeight="1" spans="1:4">
      <c r="A231" s="586" t="s">
        <v>2569</v>
      </c>
      <c r="B231" s="587" t="s">
        <v>2440</v>
      </c>
      <c r="C231" s="586" t="s">
        <v>2959</v>
      </c>
    </row>
    <row r="232" ht="32" customHeight="1" spans="1:4">
      <c r="A232" s="588" t="s">
        <v>2569</v>
      </c>
      <c r="B232" s="589" t="inlineStr">
        <is>
          <t xml:space="preserve">中型手枪</t>
        </is>
      </c>
      <c r="C232" s="588" t="s">
        <v>2960</v>
      </c>
    </row>
    <row r="233" ht="32" customHeight="1" spans="1:4">
      <c r="A233" s="586" t="s">
        <v>2569</v>
      </c>
      <c r="B233" s="587" t="s">
        <v>2442</v>
      </c>
      <c r="C233" s="586" t="s">
        <v>2961</v>
      </c>
    </row>
    <row r="234" ht="32" customHeight="1" spans="1:4">
      <c r="A234" s="588" t="s">
        <v>2569</v>
      </c>
      <c r="B234" s="589" t="inlineStr">
        <is>
          <t xml:space="preserve">重型手枪</t>
        </is>
      </c>
      <c r="C234" s="588" t="s">
        <v>2962</v>
      </c>
    </row>
    <row r="235" ht="32" customHeight="1" spans="1:4">
      <c r="A235" s="586" t="s">
        <v>2569</v>
      </c>
      <c r="B235" s="587" t="s">
        <v>2443</v>
      </c>
      <c r="C235" s="586" t="s">
        <v>2963</v>
      </c>
    </row>
    <row r="236" ht="45.5" customHeight="1" spans="1:4">
      <c r="A236" s="588" t="s">
        <v>2569</v>
      </c>
      <c r="B236" s="589" t="inlineStr">
        <is>
          <t xml:space="preserve">霰弹枪（独头弹）</t>
        </is>
      </c>
      <c r="C236" s="588" t="s">
        <v>2964</v>
      </c>
    </row>
    <row r="237" ht="32" customHeight="1" spans="1:4">
      <c r="A237" s="586" t="s">
        <v>2569</v>
      </c>
      <c r="B237" s="587" t="s">
        <v>2447</v>
      </c>
      <c r="C237" s="586" t="s">
        <v>2965</v>
      </c>
    </row>
    <row r="238" ht="32" customHeight="1" spans="1:4">
      <c r="A238" s="588" t="s">
        <v>2569</v>
      </c>
      <c r="B238" s="589" t="inlineStr">
        <is>
          <t xml:space="preserve">霰弹枪（霰弹弹丸）</t>
        </is>
      </c>
      <c r="C238" s="588" t="s">
        <v>2966</v>
      </c>
    </row>
    <row r="239" ht="32" customHeight="1" spans="1:4">
      <c r="A239" s="586" t="s">
        <v>2569</v>
      </c>
      <c r="B239" s="587" t="s">
        <v>2449</v>
      </c>
      <c r="C239" s="586" t="s">
        <v>2967</v>
      </c>
    </row>
    <row r="240" ht="32" customHeight="1" spans="1:4">
      <c r="A240" s="588" t="s">
        <v>2569</v>
      </c>
      <c r="B240" s="589" t="s">
        <v>2452</v>
      </c>
      <c r="C240" s="588" t="s">
        <v>2968</v>
      </c>
    </row>
    <row r="241" ht="45.5" customHeight="1" spans="1:4">
      <c r="A241" s="586" t="s">
        <v>2569</v>
      </c>
      <c r="B241" s="587" t="inlineStr">
        <is>
          <t xml:space="preserve">轻型步枪或卡宾枪</t>
        </is>
      </c>
      <c r="C241" s="586" t="s">
        <v>2969</v>
      </c>
    </row>
    <row r="242" ht="32" customHeight="1" spans="1:4">
      <c r="A242" s="588" t="s">
        <v>2569</v>
      </c>
      <c r="B242" s="589" t="s">
        <v>2456</v>
      </c>
      <c r="C242" s="588" t="s">
        <v>2970</v>
      </c>
    </row>
    <row r="243" ht="45.5" customHeight="1" spans="1:4">
      <c r="A243" s="586" t="s">
        <v>2569</v>
      </c>
      <c r="B243" s="587" t="inlineStr">
        <is>
          <t xml:space="preserve">冲锋枪（SMG）</t>
        </is>
      </c>
      <c r="C243" s="586" t="s">
        <v>2971</v>
      </c>
    </row>
    <row r="244" ht="32" customHeight="1" spans="1:4">
      <c r="A244" s="588" t="s">
        <v>2569</v>
      </c>
      <c r="B244" s="589" t="s">
        <v>2460</v>
      </c>
      <c r="C244" s="588" t="s">
        <v>2972</v>
      </c>
    </row>
    <row r="245" ht="45.5" customHeight="1" spans="1:4">
      <c r="A245" s="586" t="s">
        <v>2569</v>
      </c>
      <c r="B245" s="587" t="inlineStr">
        <is>
          <t xml:space="preserve">重型步枪</t>
        </is>
      </c>
      <c r="C245" s="586" t="s">
        <v>2973</v>
      </c>
    </row>
    <row r="246" ht="32" customHeight="1" spans="1:4">
      <c r="A246" s="588" t="s">
        <v>2569</v>
      </c>
      <c r="B246" s="589" t="s">
        <v>2465</v>
      </c>
      <c r="C246" s="588" t="s">
        <v>2974</v>
      </c>
    </row>
    <row r="247" ht="32" customHeight="1" spans="1:4">
      <c r="A247" s="586" t="s">
        <v>2569</v>
      </c>
      <c r="B247" s="587" t="inlineStr">
        <is>
          <t xml:space="preserve">超重型步枪</t>
        </is>
      </c>
      <c r="C247" s="586" t="s">
        <v>2975</v>
      </c>
    </row>
    <row r="248" ht="32" customHeight="1" spans="1:4">
      <c r="A248" s="588" t="s">
        <v>111</v>
      </c>
      <c r="B248" s="589" t="s">
        <v>2469</v>
      </c>
      <c r="C248" s="588" t="s">
        <v>2976</v>
      </c>
    </row>
    <row r="249" ht="32" customHeight="1" spans="1:4">
      <c r="A249" s="586" t="s">
        <v>111</v>
      </c>
      <c r="B249" s="587" t="inlineStr">
        <is>
          <t xml:space="preserve">手榴弹</t>
        </is>
      </c>
      <c r="C249" s="586" t="s">
        <v>2977</v>
      </c>
    </row>
    <row r="250" ht="32" customHeight="1" spans="1:4">
      <c r="A250" s="588" t="s">
        <v>111</v>
      </c>
      <c r="B250" s="589" t="s">
        <v>2471</v>
      </c>
      <c r="C250" s="588" t="s">
        <v>2978</v>
      </c>
    </row>
    <row r="251" ht="32" customHeight="1" spans="1:4">
      <c r="A251" s="586" t="s">
        <v>111</v>
      </c>
      <c r="B251" s="587" t="inlineStr">
        <is>
          <t xml:space="preserve">火箭推进榴弹发射器（RPG）</t>
        </is>
      </c>
      <c r="C251" s="586" t="s">
        <v>2979</v>
      </c>
    </row>
    <row r="252" ht="32" customHeight="1" spans="1:4">
      <c r="A252" s="588" t="s">
        <v>111</v>
      </c>
      <c r="B252" s="589" t="s">
        <v>2475</v>
      </c>
      <c r="C252" s="588" t="s">
        <v>2980</v>
      </c>
    </row>
    <row r="253" ht="32" customHeight="1" spans="1:4">
      <c r="A253" s="586" t="s">
        <v>111</v>
      </c>
      <c r="B253" s="587" t="inlineStr">
        <is>
          <t xml:space="preserve">手持式喷火器</t>
        </is>
      </c>
      <c r="C253" s="586" t="s">
        <v>2981</v>
      </c>
    </row>
    <row r="254" ht="32" customHeight="1" spans="1:4">
      <c r="A254" s="588" t="s">
        <v>111</v>
      </c>
      <c r="B254" s="589" t="s">
        <v>2478</v>
      </c>
      <c r="C254" s="588" t="s">
        <v>2982</v>
      </c>
    </row>
    <row r="255" ht="32" customHeight="1" spans="1:4">
      <c r="A255" s="586" t="s">
        <v>111</v>
      </c>
      <c r="B255" s="587" t="inlineStr">
        <is>
          <t xml:space="preserve">军用喷火器</t>
        </is>
      </c>
      <c r="C255" s="586" t="s">
        <v>2983</v>
      </c>
    </row>
    <row r="256" ht="45.5" customHeight="1" spans="1:4">
      <c r="A256" s="588" t="s">
        <v>111</v>
      </c>
      <c r="B256" s="589" t="s">
        <v>2984</v>
      </c>
      <c r="C256" s="588" t="s">
        <v>2985</v>
      </c>
    </row>
    <row r="257" ht="32" customHeight="1" spans="1:4">
      <c r="A257" s="586" t="s">
        <v>111</v>
      </c>
      <c r="B257" s="587" t="inlineStr">
        <is>
          <t xml:space="preserve">通用机关枪（GPMP）</t>
        </is>
      </c>
      <c r="C257" s="586" t="s">
        <v>2986</v>
      </c>
    </row>
    <row r="258" ht="32" customHeight="1" spans="1:4">
      <c r="A258" s="588" t="s">
        <v>111</v>
      </c>
      <c r="B258" s="589" t="s">
        <v>2484</v>
      </c>
      <c r="C258" s="588" t="s">
        <v>2987</v>
      </c>
    </row>
    <row r="259" ht="32" customHeight="1" spans="1:4">
      <c r="A259" s="586" t="s">
        <v>111</v>
      </c>
      <c r="B259" s="587" t="inlineStr">
        <is>
          <t xml:space="preserve">榴弹发射器（GL）</t>
        </is>
      </c>
      <c r="C259" s="586" t="s">
        <v>2988</v>
      </c>
    </row>
    <row r="260" ht="32" customHeight="1" spans="1:4">
      <c r="A260" s="588" t="s">
        <v>111</v>
      </c>
      <c r="B260" s="589" t="s">
        <v>2486</v>
      </c>
      <c r="C260" s="588" t="s">
        <v>2989</v>
      </c>
    </row>
    <row r="261" ht="32" customHeight="1" spans="1:4">
      <c r="A261" s="586" t="s">
        <v>111</v>
      </c>
      <c r="B261" s="587" t="inlineStr">
        <is>
          <t xml:space="preserve">榴弹炮机关枪</t>
        </is>
      </c>
      <c r="C261" s="586" t="s">
        <v>2990</v>
      </c>
    </row>
    <row r="262" ht="45.5" customHeight="1" spans="1:4">
      <c r="A262" s="588" t="s">
        <v>2570</v>
      </c>
      <c r="B262" s="589" t="s">
        <v>2489</v>
      </c>
      <c r="C262" s="588" t="s">
        <v>2991</v>
      </c>
    </row>
    <row r="263" ht="32" customHeight="1" spans="1:4">
      <c r="A263" s="586" t="s">
        <v>2570</v>
      </c>
      <c r="B263" s="587" t="inlineStr">
        <is>
          <t xml:space="preserve">重型机关枪（HMG）</t>
        </is>
      </c>
      <c r="C263" s="586" t="s">
        <v>2992</v>
      </c>
    </row>
    <row r="264" ht="45.5" customHeight="1" spans="1:4">
      <c r="A264" s="588" t="s">
        <v>2570</v>
      </c>
      <c r="B264" s="589" t="s">
        <v>2492</v>
      </c>
      <c r="C264" s="588" t="s">
        <v>2993</v>
      </c>
    </row>
    <row r="265" ht="32" customHeight="1" spans="1:4">
      <c r="A265" s="586" t="s">
        <v>2570</v>
      </c>
      <c r="B265" s="587" t="inlineStr">
        <is>
          <t xml:space="preserve">轻型机关枪（LMG）</t>
        </is>
      </c>
      <c r="C265" s="586" t="s">
        <v>2994</v>
      </c>
    </row>
    <row r="266" ht="32" customHeight="1" spans="1:4">
      <c r="A266" s="588" t="s">
        <v>2570</v>
      </c>
      <c r="B266" s="589" t="s">
        <v>2493</v>
      </c>
      <c r="C266" s="588" t="s">
        <v>2995</v>
      </c>
    </row>
    <row r="267" ht="32" customHeight="1" spans="1:4">
      <c r="A267" s="586" t="s">
        <v>2570</v>
      </c>
      <c r="B267" s="587" t="inlineStr">
        <is>
          <t xml:space="preserve">自动火炮</t>
        </is>
      </c>
      <c r="C267" s="586" t="s">
        <v>2996</v>
      </c>
    </row>
    <row r="268" ht="32" customHeight="1" spans="1:4">
      <c r="A268" s="588" t="s">
        <v>2570</v>
      </c>
      <c r="B268" s="589" t="s">
        <v>2495</v>
      </c>
      <c r="C268" s="588" t="s">
        <v>2997</v>
      </c>
    </row>
    <row r="269" ht="32" customHeight="1" spans="1:4">
      <c r="A269" s="586" t="s">
        <v>2570</v>
      </c>
      <c r="B269" s="587" t="inlineStr">
        <is>
          <t xml:space="preserve">转轮机枪/机炮</t>
        </is>
      </c>
      <c r="C269" s="586" t="s">
        <v>2998</v>
      </c>
    </row>
    <row r="270" ht="32" customHeight="1" spans="1:4">
      <c r="A270" s="588" t="s">
        <v>2571</v>
      </c>
      <c r="B270" s="589" t="s">
        <v>2498</v>
      </c>
      <c r="C270" s="588" t="s">
        <v>2999</v>
      </c>
    </row>
    <row r="271" ht="32" customHeight="1" spans="1:4">
      <c r="A271" s="586" t="s">
        <v>2571</v>
      </c>
      <c r="B271" s="587" t="inlineStr">
        <is>
          <t xml:space="preserve">铵油炸药</t>
        </is>
      </c>
      <c r="C271" s="586" t="s">
        <v>3000</v>
      </c>
    </row>
    <row r="272" ht="32" customHeight="1" spans="1:4">
      <c r="A272" s="588" t="s">
        <v>2571</v>
      </c>
      <c r="B272" s="589" t="s">
        <v>2499</v>
      </c>
      <c r="C272" s="588" t="s">
        <v>3001</v>
      </c>
    </row>
    <row r="273" ht="32" customHeight="1" spans="1:4">
      <c r="A273" s="586" t="s">
        <v>2571</v>
      </c>
      <c r="B273" s="587" t="inlineStr">
        <is>
          <t xml:space="preserve">C4 塑胶炸药包，570 克。</t>
        </is>
      </c>
      <c r="C273" s="586" t="s">
        <v>3002</v>
      </c>
    </row>
    <row r="274" ht="32" customHeight="1" spans="1:4">
      <c r="A274" s="588" t="s">
        <v>2571</v>
      </c>
      <c r="B274" s="589" t="s">
        <v>2500</v>
      </c>
      <c r="C274" s="588" t="s">
        <v>3003</v>
      </c>
    </row>
    <row r="275" ht="32" customHeight="1" spans="1:4">
      <c r="A275" s="586" t="s">
        <v>2571</v>
      </c>
      <c r="B275" s="587" t="inlineStr">
        <is>
          <t xml:space="preserve">简易爆炸装置（IED）</t>
        </is>
      </c>
      <c r="C275" s="586" t="s">
        <v>3004</v>
      </c>
    </row>
    <row r="276" ht="32" customHeight="1" spans="1:4">
      <c r="A276" s="588" t="s">
        <v>2571</v>
      </c>
      <c r="B276" s="589" t="s">
        <v>2502</v>
      </c>
      <c r="C276" s="588" t="s">
        <v>3005</v>
      </c>
    </row>
    <row r="277" ht="32" customHeight="1" spans="1:4">
      <c r="A277" s="586" t="s">
        <v>2571</v>
      </c>
      <c r="B277" s="587" t="inlineStr">
        <is>
          <t xml:space="preserve">大型简易爆炸装置（大型 IED）</t>
        </is>
      </c>
      <c r="C277" s="586" t="s">
        <v>3006</v>
      </c>
    </row>
    <row r="278" ht="32" customHeight="1" spans="1:4">
      <c r="A278" s="588" t="s">
        <v>2571</v>
      </c>
      <c r="B278" s="589" t="s">
        <v>2504</v>
      </c>
      <c r="C278" s="588" t="s">
        <v>3007</v>
      </c>
    </row>
    <row r="279" ht="32" customHeight="1" spans="1:4">
      <c r="A279" s="586" t="s">
        <v>2571</v>
      </c>
      <c r="B279" s="587" t="inlineStr">
        <is>
          <t xml:space="preserve">重型反坦克地雷</t>
        </is>
      </c>
      <c r="C279" s="586" t="s">
        <v>3008</v>
      </c>
    </row>
    <row r="280" ht="32" customHeight="1" spans="1:4">
      <c r="A280" s="588" t="s">
        <v>2520</v>
      </c>
      <c r="B280" s="589" t="s">
        <v>2506</v>
      </c>
      <c r="C280" s="588" t="s">
        <v>3009</v>
      </c>
    </row>
    <row r="281" ht="32" customHeight="1" spans="1:4">
      <c r="A281" s="586" t="s">
        <v>2520</v>
      </c>
      <c r="B281" s="587" t="inlineStr">
        <is>
          <t xml:space="preserve">通用炸弹</t>
        </is>
      </c>
      <c r="C281" s="586" t="s">
        <v>3010</v>
      </c>
    </row>
    <row r="282" ht="32" customHeight="1" spans="1:4">
      <c r="A282" s="588" t="s">
        <v>2520</v>
      </c>
      <c r="B282" s="589" t="s">
        <v>2511</v>
      </c>
      <c r="C282" s="588" t="s">
        <v>3011</v>
      </c>
    </row>
    <row r="283" ht="32" customHeight="1" spans="1:4">
      <c r="A283" s="586" t="s">
        <v>2520</v>
      </c>
      <c r="B283" s="587" t="inlineStr">
        <is>
          <t xml:space="preserve">重型迫击炮</t>
        </is>
      </c>
      <c r="C283" s="586" t="s">
        <v>3012</v>
      </c>
    </row>
    <row r="284" ht="32" customHeight="1" spans="1:4">
      <c r="A284" s="588" t="s">
        <v>2520</v>
      </c>
      <c r="B284" s="589" t="s">
        <v>2514</v>
      </c>
      <c r="C284" s="588" t="s">
        <v>3013</v>
      </c>
    </row>
    <row r="285" ht="32" customHeight="1" spans="1:4">
      <c r="A285" s="586" t="s">
        <v>2520</v>
      </c>
      <c r="B285" s="587" t="inlineStr">
        <is>
          <t xml:space="preserve">轻型迫击炮</t>
        </is>
      </c>
      <c r="C285" s="586" t="s">
        <v>3014</v>
      </c>
    </row>
    <row r="286" ht="32" customHeight="1" spans="1:4">
      <c r="A286" s="588" t="s">
        <v>2520</v>
      </c>
      <c r="B286" s="589" t="s">
        <v>2517</v>
      </c>
      <c r="C286" s="588" t="s">
        <v>3015</v>
      </c>
    </row>
    <row r="287" ht="32" customHeight="1" spans="1:4">
      <c r="A287" s="586" t="s">
        <v>2520</v>
      </c>
      <c r="B287" s="587" t="inlineStr">
        <is>
          <t xml:space="preserve">反坦克制导导弹（ATGM）</t>
        </is>
      </c>
      <c r="C287" s="586" t="s">
        <v>3016</v>
      </c>
    </row>
    <row r="288" ht="32" customHeight="1" spans="1:4">
      <c r="A288" s="588" t="s">
        <v>2520</v>
      </c>
      <c r="B288" s="589" t="s">
        <v>2520</v>
      </c>
      <c r="C288" s="588" t="s">
        <v>3017</v>
      </c>
    </row>
    <row r="289" ht="32" customHeight="1" spans="1:4">
      <c r="A289" s="586" t="s">
        <v>2520</v>
      </c>
      <c r="B289" s="587" t="inlineStr">
        <is>
          <t xml:space="preserve">火炮</t>
        </is>
      </c>
      <c r="C289" s="586" t="s">
        <v>3018</v>
      </c>
    </row>
    <row r="290" ht="32" customHeight="1" spans="1:4">
      <c r="A290" s="588" t="s">
        <v>2520</v>
      </c>
      <c r="B290" s="589" t="s">
        <v>2523</v>
      </c>
      <c r="C290" s="588" t="s">
        <v>3019</v>
      </c>
    </row>
    <row r="291" ht="32" customHeight="1" spans="1:4">
      <c r="A291" s="586" t="s">
        <v>2520</v>
      </c>
      <c r="B291" s="587" t="inlineStr">
        <is>
          <t xml:space="preserve">巡航导弹</t>
        </is>
      </c>
      <c r="C291" s="586" t="s">
        <v>3020</v>
      </c>
    </row>
    <row r="292" ht="45.5" customHeight="1" spans="1:4">
      <c r="A292" s="588" t="s">
        <v>2572</v>
      </c>
      <c r="B292" s="589" t="s">
        <v>3021</v>
      </c>
      <c r="C292" s="588" t="s">
        <v>3022</v>
      </c>
    </row>
    <row r="293" ht="32" customHeight="1" spans="1:4">
      <c r="A293" s="586" t="s">
        <v>2572</v>
      </c>
      <c r="B293" s="587" t="s">
        <v>3023</v>
      </c>
      <c r="C293" s="586" t="s">
        <v>3022</v>
      </c>
    </row>
    <row r="294" ht="32" customHeight="1" spans="1:4">
      <c r="A294" s="588" t="s">
        <v>2572</v>
      </c>
      <c r="B294" s="589" t="s">
        <v>3024</v>
      </c>
      <c r="C294" s="588" t="s">
        <v>3025</v>
      </c>
    </row>
    <row r="295" ht="32" customHeight="1" spans="1:4">
      <c r="A295" s="586" t="s">
        <v>2572</v>
      </c>
      <c r="B295" s="587" t="s">
        <v>3026</v>
      </c>
      <c r="C295" s="586" t="s">
        <v>3025</v>
      </c>
    </row>
    <row r="296" ht="32" customHeight="1" spans="1:4">
      <c r="A296" s="588" t="s">
        <v>2572</v>
      </c>
      <c r="B296" s="589" t="s">
        <v>3027</v>
      </c>
      <c r="C296" s="588" t="s">
        <v>3025</v>
      </c>
    </row>
    <row r="297" ht="32" customHeight="1" spans="1:4">
      <c r="A297" s="586" t="s">
        <v>2572</v>
      </c>
      <c r="B297" s="587" t="s">
        <v>3028</v>
      </c>
      <c r="C297" s="586" t="s">
        <v>3029</v>
      </c>
    </row>
    <row r="298" ht="32" customHeight="1" spans="1:4">
      <c r="A298" s="588" t="s">
        <v>2573</v>
      </c>
      <c r="B298" s="589" t="s">
        <v>3030</v>
      </c>
      <c r="C298" s="588" t="s">
        <v>3022</v>
      </c>
    </row>
    <row r="299" ht="32" customHeight="1" spans="1:4">
      <c r="A299" s="586" t="s">
        <v>2573</v>
      </c>
      <c r="B299" s="587" t="s">
        <v>3031</v>
      </c>
      <c r="C299" s="586" t="s">
        <v>3022</v>
      </c>
    </row>
    <row r="300" ht="32" customHeight="1" spans="1:4">
      <c r="A300" s="588" t="s">
        <v>2573</v>
      </c>
      <c r="B300" s="589" t="s">
        <v>3032</v>
      </c>
      <c r="C300" s="588" t="s">
        <v>3033</v>
      </c>
    </row>
    <row r="301" ht="32" customHeight="1" spans="1:4">
      <c r="A301" s="586" t="s">
        <v>2573</v>
      </c>
      <c r="B301" s="587" t="s">
        <v>3034</v>
      </c>
      <c r="C301" s="586" t="s">
        <v>3033</v>
      </c>
    </row>
    <row r="302" ht="32" customHeight="1" spans="1:4">
      <c r="A302" s="588" t="s">
        <v>2573</v>
      </c>
      <c r="B302" s="589" t="s">
        <v>3035</v>
      </c>
      <c r="C302" s="588" t="s">
        <v>3025</v>
      </c>
    </row>
    <row r="303" ht="32" customHeight="1" spans="1:4">
      <c r="A303" s="586" t="s">
        <v>2573</v>
      </c>
      <c r="B303" s="587" t="s">
        <v>2692</v>
      </c>
      <c r="C303" s="586" t="s">
        <v>3025</v>
      </c>
    </row>
    <row r="304" ht="32" customHeight="1" spans="1:4">
      <c r="A304" s="588" t="s">
        <v>2573</v>
      </c>
      <c r="B304" s="589" t="s">
        <v>3036</v>
      </c>
      <c r="C304" s="588" t="s">
        <v>3025</v>
      </c>
    </row>
    <row r="305" ht="32" customHeight="1" spans="1:4">
      <c r="A305" s="586" t="s">
        <v>2573</v>
      </c>
      <c r="B305" s="587" t="s">
        <v>3037</v>
      </c>
      <c r="C305" s="586" t="s">
        <v>3038</v>
      </c>
    </row>
    <row r="306" ht="32" customHeight="1" spans="1:4">
      <c r="A306" s="588" t="s">
        <v>2574</v>
      </c>
      <c r="B306" s="589" t="s">
        <v>3039</v>
      </c>
      <c r="C306" s="588" t="s">
        <v>3033</v>
      </c>
    </row>
    <row r="307" ht="32" customHeight="1" spans="1:4">
      <c r="A307" s="586" t="s">
        <v>2574</v>
      </c>
      <c r="B307" s="587" t="s">
        <v>3040</v>
      </c>
      <c r="C307" s="586" t="s">
        <v>3033</v>
      </c>
    </row>
    <row r="308" ht="32" customHeight="1" spans="1:4">
      <c r="A308" s="588" t="s">
        <v>2574</v>
      </c>
      <c r="B308" s="589" t="s">
        <v>3041</v>
      </c>
      <c r="C308" s="588" t="s">
        <v>3033</v>
      </c>
    </row>
    <row r="309" ht="32" customHeight="1" spans="1:4">
      <c r="A309" s="586" t="s">
        <v>2574</v>
      </c>
      <c r="B309" s="587" t="s">
        <v>3042</v>
      </c>
      <c r="C309" s="586" t="s">
        <v>3025</v>
      </c>
    </row>
    <row r="310" ht="32" customHeight="1" spans="1:4">
      <c r="A310" s="588" t="s">
        <v>2574</v>
      </c>
      <c r="B310" s="589" t="s">
        <v>3043</v>
      </c>
      <c r="C310" s="588" t="s">
        <v>3038</v>
      </c>
    </row>
    <row r="311" ht="32" customHeight="1" spans="1:4">
      <c r="A311" s="586" t="s">
        <v>2574</v>
      </c>
      <c r="B311" s="587" t="s">
        <v>3044</v>
      </c>
      <c r="C311" s="586" t="s">
        <v>3038</v>
      </c>
    </row>
    <row r="312" ht="32" customHeight="1" spans="1:4">
      <c r="A312" s="588" t="s">
        <v>2574</v>
      </c>
      <c r="B312" s="589" t="s">
        <v>3045</v>
      </c>
      <c r="C312" s="588" t="s">
        <v>3046</v>
      </c>
    </row>
    <row r="313" ht="45.5" customHeight="1" spans="1:4">
      <c r="A313" s="586" t="s">
        <v>2574</v>
      </c>
      <c r="B313" s="587" t="inlineStr">
        <is>
          <t xml:space="preserve">冷血地杀死一个无辜的人，哪怕有很好的理由 （注）</t>
        </is>
      </c>
      <c r="C313" s="586" t="s">
        <v>3047</v>
      </c>
    </row>
    <row r="314" ht="32" customHeight="1" spans="1:4">
      <c r="A314" s="588" t="s">
        <v>2575</v>
      </c>
      <c r="B314" s="589" t="s">
        <v>3048</v>
      </c>
      <c r="C314" s="588" t="s">
        <v>3022</v>
      </c>
    </row>
    <row r="315" ht="32" customHeight="1" spans="1:4">
      <c r="A315" s="586" t="s">
        <v>2575</v>
      </c>
      <c r="B315" s="587" t="s">
        <v>3049</v>
      </c>
      <c r="C315" s="586" t="s">
        <v>3022</v>
      </c>
    </row>
    <row r="316" ht="32" customHeight="1" spans="1:4">
      <c r="A316" s="588" t="s">
        <v>2575</v>
      </c>
      <c r="B316" s="589" t="s">
        <v>3050</v>
      </c>
      <c r="C316" s="588" t="s">
        <v>3033</v>
      </c>
    </row>
    <row r="317" ht="32" customHeight="1" spans="1:4">
      <c r="A317" s="586" t="s">
        <v>2575</v>
      </c>
      <c r="B317" s="587" t="s">
        <v>3051</v>
      </c>
      <c r="C317" s="586" t="s">
        <v>3022</v>
      </c>
    </row>
    <row r="318" ht="32" customHeight="1" spans="1:4">
      <c r="A318" s="588" t="s">
        <v>2575</v>
      </c>
      <c r="B318" s="589" t="s">
        <v>3052</v>
      </c>
      <c r="C318" s="588" t="s">
        <v>3033</v>
      </c>
    </row>
    <row r="319" ht="32" customHeight="1" spans="1:4">
      <c r="A319" s="586" t="s">
        <v>2575</v>
      </c>
      <c r="B319" s="587" t="s">
        <v>3053</v>
      </c>
      <c r="C319" s="586" t="s">
        <v>3033</v>
      </c>
    </row>
    <row r="320" ht="32" customHeight="1" spans="1:4">
      <c r="A320" s="588" t="s">
        <v>2575</v>
      </c>
      <c r="B320" s="589" t="s">
        <v>3054</v>
      </c>
      <c r="C320" s="588" t="s">
        <v>3033</v>
      </c>
    </row>
    <row r="321" ht="32" customHeight="1" spans="1:4">
      <c r="A321" s="586" t="s">
        <v>2575</v>
      </c>
      <c r="B321" s="587" t="s">
        <v>3055</v>
      </c>
      <c r="C321" s="586" t="s">
        <v>3033</v>
      </c>
    </row>
    <row r="322" ht="32" customHeight="1" spans="1:4">
      <c r="A322" s="588" t="s">
        <v>2575</v>
      </c>
      <c r="B322" s="589" t="s">
        <v>3056</v>
      </c>
      <c r="C322" s="588" t="s">
        <v>3057</v>
      </c>
    </row>
    <row r="323" ht="32" customHeight="1" spans="1:4">
      <c r="A323" s="586" t="s">
        <v>2575</v>
      </c>
      <c r="B323" s="587" t="s">
        <v>3058</v>
      </c>
      <c r="C323" s="586" t="s">
        <v>3033</v>
      </c>
    </row>
    <row r="324" ht="32" customHeight="1" spans="1:4">
      <c r="A324" s="588" t="s">
        <v>2575</v>
      </c>
      <c r="B324" s="589" t="s">
        <v>3059</v>
      </c>
      <c r="C324" s="588" t="s">
        <v>3025</v>
      </c>
    </row>
    <row r="325" ht="32" customHeight="1" spans="1:4">
      <c r="A325" s="586" t="s">
        <v>2575</v>
      </c>
      <c r="B325" s="587" t="s">
        <v>3060</v>
      </c>
      <c r="C325" s="586" t="s">
        <v>3061</v>
      </c>
    </row>
    <row r="326" ht="32" customHeight="1" spans="1:4">
      <c r="A326" s="588" t="s">
        <v>2575</v>
      </c>
      <c r="B326" s="589" t="s">
        <v>3062</v>
      </c>
      <c r="C326" s="588" t="s">
        <v>3063</v>
      </c>
    </row>
    <row r="327" ht="32" customHeight="1" spans="1:4">
      <c r="A327" s="586" t="s">
        <v>2576</v>
      </c>
      <c r="B327" s="587" t="s">
        <v>3064</v>
      </c>
      <c r="C327" s="586" t="s">
        <v>3065</v>
      </c>
    </row>
    <row r="328" ht="32" customHeight="1" spans="1:4">
      <c r="A328" s="588" t="s">
        <v>2576</v>
      </c>
      <c r="B328" s="589" t="s">
        <v>3066</v>
      </c>
      <c r="C328" s="588" t="s">
        <v>3067</v>
      </c>
    </row>
    <row r="329" ht="32" customHeight="1" spans="1:4">
      <c r="A329" s="586" t="s">
        <v>2576</v>
      </c>
      <c r="B329" s="587" t="s">
        <v>3068</v>
      </c>
      <c r="C329" s="586" t="s">
        <v>3069</v>
      </c>
    </row>
    <row r="330" ht="32" customHeight="1" spans="1:4">
      <c r="A330" s="588" t="s">
        <v>2576</v>
      </c>
      <c r="B330" s="589" t="s">
        <v>3070</v>
      </c>
      <c r="C330" s="588" t="s">
        <v>3071</v>
      </c>
    </row>
    <row r="331" ht="32" customHeight="1" spans="1:4">
      <c r="A331" s="586" t="s">
        <v>2576</v>
      </c>
      <c r="B331" s="587" t="s">
        <v>3072</v>
      </c>
      <c r="C331" s="586" t="s">
        <v>3073</v>
      </c>
    </row>
    <row r="332" ht="32" customHeight="1" spans="1:4">
      <c r="A332" s="588" t="s">
        <v>2576</v>
      </c>
      <c r="B332" s="589" t="s">
        <v>3074</v>
      </c>
      <c r="C332" s="588" t="s">
        <v>3075</v>
      </c>
    </row>
    <row r="333" ht="32" customHeight="1" spans="1:4">
      <c r="A333" s="586" t="s">
        <v>2577</v>
      </c>
      <c r="B333" s="587" t="s">
        <v>3076</v>
      </c>
      <c r="C333" s="586" t="s">
        <v>3077</v>
      </c>
    </row>
    <row r="334" ht="32" customHeight="1" spans="1:4">
      <c r="A334" s="588" t="s">
        <v>2577</v>
      </c>
      <c r="B334" s="589" t="s">
        <v>3078</v>
      </c>
      <c r="C334" s="588" t="s">
        <v>3079</v>
      </c>
    </row>
    <row r="335" ht="32" customHeight="1" spans="1:4">
      <c r="A335" s="586" t="s">
        <v>2577</v>
      </c>
      <c r="B335" s="587" t="s">
        <v>3080</v>
      </c>
      <c r="C335" s="586" t="s">
        <v>3081</v>
      </c>
    </row>
    <row r="336" ht="32" customHeight="1" spans="1:4">
      <c r="A336" s="588" t="s">
        <v>2577</v>
      </c>
      <c r="B336" s="589" t="s">
        <v>3082</v>
      </c>
      <c r="C336" s="588" t="s">
        <v>3083</v>
      </c>
    </row>
    <row r="337" ht="32" customHeight="1" spans="1:4">
      <c r="A337" s="586" t="s">
        <v>2577</v>
      </c>
      <c r="B337" s="587" t="s">
        <v>3084</v>
      </c>
      <c r="C337" s="586" t="s">
        <v>3085</v>
      </c>
    </row>
    <row r="338" ht="32" customHeight="1" spans="1:4">
      <c r="A338" s="588" t="s">
        <v>2577</v>
      </c>
      <c r="B338" s="589" t="s">
        <v>3086</v>
      </c>
      <c r="C338" s="588" t="s">
        <v>3087</v>
      </c>
    </row>
    <row r="339" ht="32" customHeight="1" spans="1:4">
      <c r="A339" s="586" t="s">
        <v>2577</v>
      </c>
      <c r="B339" s="587" t="s">
        <v>3088</v>
      </c>
      <c r="C339" s="586" t="s">
        <v>3089</v>
      </c>
    </row>
    <row r="340" ht="32" customHeight="1" spans="1:4">
      <c r="A340" s="588" t="s">
        <v>2577</v>
      </c>
      <c r="B340" s="589" t="s">
        <v>3090</v>
      </c>
      <c r="C340" s="588" t="s">
        <v>3091</v>
      </c>
    </row>
    <row r="341" ht="32" customHeight="1" spans="1:4">
      <c r="A341" s="586" t="s">
        <v>2578</v>
      </c>
      <c r="B341" s="587" t="s">
        <v>3092</v>
      </c>
      <c r="C341" s="586" t="s">
        <v>3093</v>
      </c>
    </row>
    <row r="342" ht="32" customHeight="1" spans="1:4">
      <c r="A342" s="588" t="s">
        <v>2578</v>
      </c>
      <c r="B342" s="589" t="s">
        <v>3094</v>
      </c>
      <c r="C342" s="588" t="s">
        <v>3095</v>
      </c>
    </row>
    <row r="343" ht="45.5" customHeight="1" spans="1:4">
      <c r="A343" s="586" t="s">
        <v>2578</v>
      </c>
      <c r="B343" s="587" t="s">
        <v>3096</v>
      </c>
      <c r="C343" s="586" t="s">
        <v>3097</v>
      </c>
    </row>
    <row r="344" ht="45.5" customHeight="1" spans="1:4">
      <c r="A344" s="588" t="s">
        <v>2578</v>
      </c>
      <c r="B344" s="589" t="s">
        <v>3098</v>
      </c>
      <c r="C344" s="588" t="s">
        <v>3099</v>
      </c>
    </row>
    <row r="345" ht="45.5" customHeight="1" spans="1:4">
      <c r="A345" s="586" t="s">
        <v>2578</v>
      </c>
      <c r="B345" s="587" t="s">
        <v>3100</v>
      </c>
      <c r="C345" s="586" t="s">
        <v>3101</v>
      </c>
    </row>
    <row r="346" ht="45.5" customHeight="1" spans="1:4">
      <c r="A346" s="588" t="s">
        <v>2578</v>
      </c>
      <c r="B346" s="589" t="s">
        <v>3102</v>
      </c>
      <c r="C346" s="588" t="s">
        <v>3103</v>
      </c>
    </row>
    <row r="347" ht="72.5" customHeight="1" spans="1:4">
      <c r="A347" s="586" t="s">
        <v>2579</v>
      </c>
      <c r="B347" s="587" t="s">
        <v>3104</v>
      </c>
      <c r="C347" s="586" t="s">
        <v>3105</v>
      </c>
    </row>
    <row r="348" ht="79" customHeight="1" spans="1:4">
      <c r="A348" s="588" t="s">
        <v>2579</v>
      </c>
      <c r="B348" s="589" t="s">
        <v>3106</v>
      </c>
      <c r="C348" s="588" t="s">
        <v>3107</v>
      </c>
    </row>
    <row r="349" ht="92.5" customHeight="1" spans="1:4">
      <c r="A349" s="586" t="s">
        <v>2579</v>
      </c>
      <c r="B349" s="587" t="s">
        <v>3108</v>
      </c>
      <c r="C349" s="586" t="s">
        <v>3109</v>
      </c>
    </row>
    <row r="350" ht="79" customHeight="1" spans="1:4">
      <c r="A350" s="588" t="s">
        <v>2579</v>
      </c>
      <c r="B350" s="589" t="s">
        <v>3110</v>
      </c>
      <c r="C350" s="588" t="s">
        <v>3111</v>
      </c>
    </row>
    <row r="351" ht="92.5" customHeight="1" spans="1:4">
      <c r="A351" s="586" t="s">
        <v>2579</v>
      </c>
      <c r="B351" s="587" t="s">
        <v>212</v>
      </c>
      <c r="C351" s="586" t="s">
        <v>3112</v>
      </c>
    </row>
    <row r="352" ht="32" customHeight="1" spans="1:4">
      <c r="A352" s="588" t="s">
        <v>2579</v>
      </c>
      <c r="B352" s="589" t="s">
        <v>3113</v>
      </c>
      <c r="C352" s="588" t="s">
        <v>3114</v>
      </c>
    </row>
    <row r="353" ht="79" customHeight="1" spans="1:4">
      <c r="A353" s="586" t="s">
        <v>2579</v>
      </c>
      <c r="B353" s="587" t="s">
        <v>3115</v>
      </c>
      <c r="C353" s="586" t="s">
        <v>3116</v>
      </c>
    </row>
    <row r="354" ht="45.5" customHeight="1" spans="1:4">
      <c r="A354" s="588" t="s">
        <v>2579</v>
      </c>
      <c r="B354" s="589" t="s">
        <v>3117</v>
      </c>
      <c r="C354" s="588" t="s">
        <v>3118</v>
      </c>
    </row>
    <row r="355" ht="72.5" customHeight="1" spans="1:4">
      <c r="A355" s="586" t="s">
        <v>2579</v>
      </c>
      <c r="B355" s="587" t="s">
        <v>3119</v>
      </c>
      <c r="C355" s="586" t="s">
        <v>3120</v>
      </c>
    </row>
    <row r="356" ht="45.5" customHeight="1" spans="1:4">
      <c r="A356" s="588" t="s">
        <v>2579</v>
      </c>
      <c r="B356" s="589" t="s">
        <v>3121</v>
      </c>
      <c r="C356" s="588" t="s">
        <v>3122</v>
      </c>
    </row>
    <row r="357" ht="45.5" customHeight="1" spans="1:4">
      <c r="A357" s="586" t="s">
        <v>2579</v>
      </c>
      <c r="B357" s="587" t="s">
        <v>3123</v>
      </c>
      <c r="C357" s="586" t="s">
        <v>3124</v>
      </c>
    </row>
    <row r="358" ht="32" customHeight="1" spans="1:4">
      <c r="A358" s="588" t="s">
        <v>2580</v>
      </c>
      <c r="B358" s="589" t="s">
        <v>3125</v>
      </c>
      <c r="C358" s="588" t="s">
        <v>3126</v>
      </c>
    </row>
    <row r="359" ht="32" customHeight="1" spans="1:4">
      <c r="A359" s="586" t="s">
        <v>2580</v>
      </c>
      <c r="B359" s="587" t="inlineStr">
        <is>
          <t xml:space="preserve">简易定向麦克风</t>
        </is>
      </c>
      <c r="C359" s="586" t="s">
        <v>3127</v>
      </c>
    </row>
    <row r="360" ht="32" customHeight="1" spans="1:4">
      <c r="A360" s="588" t="s">
        <v>2580</v>
      </c>
      <c r="B360" s="589" t="s">
        <v>3128</v>
      </c>
      <c r="C360" s="588" t="s">
        <v>3129</v>
      </c>
    </row>
    <row r="361" ht="32" customHeight="1" spans="1:4">
      <c r="A361" s="586" t="s">
        <v>2580</v>
      </c>
      <c r="B361" s="587" t="s">
        <v>3130</v>
      </c>
      <c r="C361" s="586" t="s">
        <v>3129</v>
      </c>
    </row>
    <row r="362" ht="32" customHeight="1" spans="1:4">
      <c r="A362" s="588" t="s">
        <v>2580</v>
      </c>
      <c r="B362" s="589" t="s">
        <v>3131</v>
      </c>
      <c r="C362" s="588" t="s">
        <v>3129</v>
      </c>
    </row>
    <row r="363" ht="32" customHeight="1" spans="1:4">
      <c r="A363" s="586" t="s">
        <v>2580</v>
      </c>
      <c r="B363" s="587" t="s">
        <v>3132</v>
      </c>
      <c r="C363" s="586" t="s">
        <v>3129</v>
      </c>
    </row>
    <row r="364" ht="32" customHeight="1" spans="1:4">
      <c r="A364" s="588" t="s">
        <v>2580</v>
      </c>
      <c r="B364" s="589" t="s">
        <v>3133</v>
      </c>
      <c r="C364" s="588" t="s">
        <v>3129</v>
      </c>
    </row>
    <row r="365" ht="32" customHeight="1" spans="1:4">
      <c r="A365" s="586" t="s">
        <v>2580</v>
      </c>
      <c r="B365" s="587" t="inlineStr">
        <is>
          <t xml:space="preserve">定向麦克风及音频软件</t>
        </is>
      </c>
      <c r="C365" s="586" t="s">
        <v>3134</v>
      </c>
    </row>
    <row r="366" ht="32" customHeight="1" spans="1:4">
      <c r="A366" s="588" t="s">
        <v>2580</v>
      </c>
      <c r="B366" s="589" t="s">
        <v>3135</v>
      </c>
      <c r="C366" s="588" t="s">
        <v>3129</v>
      </c>
    </row>
    <row r="367" ht="32" customHeight="1" spans="1:4">
      <c r="A367" s="586" t="s">
        <v>2580</v>
      </c>
      <c r="B367" s="587" t="inlineStr">
        <is>
          <t xml:space="preserve">基础无人机，能在市场上购得</t>
        </is>
      </c>
      <c r="C367" s="586" t="s">
        <v>3136</v>
      </c>
    </row>
    <row r="368" ht="32" customHeight="1" spans="1:4">
      <c r="A368" s="588" t="s">
        <v>2580</v>
      </c>
      <c r="B368" s="589" t="s">
        <v>3137</v>
      </c>
      <c r="C368" s="588" t="s">
        <v>3138</v>
      </c>
    </row>
    <row r="369" ht="32" customHeight="1" spans="1:4">
      <c r="A369" s="586" t="s">
        <v>2580</v>
      </c>
      <c r="B369" s="587" t="s">
        <v>3139</v>
      </c>
      <c r="C369" s="586" t="s">
        <v>3138</v>
      </c>
    </row>
    <row r="370" ht="32" customHeight="1" spans="1:4">
      <c r="A370" s="588" t="s">
        <v>2580</v>
      </c>
      <c r="B370" s="589" t="s">
        <v>3140</v>
      </c>
      <c r="C370" s="588" t="s">
        <v>3138</v>
      </c>
    </row>
    <row r="371" ht="32" customHeight="1" spans="1:4">
      <c r="A371" s="586" t="s">
        <v>2580</v>
      </c>
      <c r="B371" s="587" t="inlineStr">
        <is>
          <t xml:space="preserve">先进无人机</t>
        </is>
      </c>
      <c r="C371" s="586" t="s">
        <v>3141</v>
      </c>
    </row>
    <row r="372" ht="32" customHeight="1" spans="1:4">
      <c r="A372" s="588" t="s">
        <v>2580</v>
      </c>
      <c r="B372" s="589" t="s">
        <v>3142</v>
      </c>
      <c r="C372" s="588" t="s">
        <v>3143</v>
      </c>
    </row>
    <row r="373" ht="32" customHeight="1" spans="1:4">
      <c r="A373" s="586" t="s">
        <v>2580</v>
      </c>
      <c r="B373" s="587" t="inlineStr">
        <is>
          <t xml:space="preserve">探地雷达</t>
        </is>
      </c>
      <c r="C373" s="586" t="s">
        <v>3144</v>
      </c>
    </row>
    <row r="374" ht="32" customHeight="1" spans="1:4">
      <c r="A374" s="588" t="s">
        <v>2580</v>
      </c>
      <c r="B374" s="589" t="s">
        <v>3145</v>
      </c>
      <c r="C374" s="588" t="s">
        <v>3146</v>
      </c>
    </row>
    <row r="375" ht="32" customHeight="1" spans="1:4">
      <c r="A375" s="586" t="s">
        <v>2580</v>
      </c>
      <c r="B375" s="587" t="inlineStr">
        <is>
          <t xml:space="preserve">军用无人机</t>
        </is>
      </c>
      <c r="C375" s="586" t="s">
        <v>3147</v>
      </c>
    </row>
    <row r="376" ht="32" customHeight="1" spans="1:4">
      <c r="A376" s="588" t="s">
        <v>2581</v>
      </c>
      <c r="B376" s="589" t="s">
        <v>3148</v>
      </c>
      <c r="C376" s="588" t="s">
        <v>3126</v>
      </c>
    </row>
    <row r="377" ht="32" customHeight="1" spans="1:4">
      <c r="A377" s="586" t="s">
        <v>2581</v>
      </c>
      <c r="B377" s="587" t="inlineStr">
        <is>
          <t xml:space="preserve">大型手电筒</t>
        </is>
      </c>
      <c r="C377" s="586" t="s">
        <v>3149</v>
      </c>
    </row>
    <row r="378" ht="32" customHeight="1" spans="1:4">
      <c r="A378" s="588" t="s">
        <v>2581</v>
      </c>
      <c r="B378" s="589" t="s">
        <v>3150</v>
      </c>
      <c r="C378" s="588" t="s">
        <v>3126</v>
      </c>
    </row>
    <row r="379" ht="45.5" customHeight="1" spans="1:4">
      <c r="A379" s="586" t="s">
        <v>2581</v>
      </c>
      <c r="B379" s="587" t="inlineStr">
        <is>
          <t xml:space="preserve">战术灯或武器挂灯</t>
        </is>
      </c>
      <c r="C379" s="586" t="s">
        <v>3151</v>
      </c>
    </row>
    <row r="380" ht="32" customHeight="1" spans="1:4">
      <c r="A380" s="588" t="s">
        <v>2581</v>
      </c>
      <c r="B380" s="589" t="s">
        <v>3152</v>
      </c>
      <c r="C380" s="588" t="s">
        <v>3126</v>
      </c>
    </row>
    <row r="381" ht="32" customHeight="1" spans="1:4">
      <c r="A381" s="586" t="s">
        <v>2581</v>
      </c>
      <c r="B381" s="587" t="inlineStr">
        <is>
          <t xml:space="preserve">普通双筒望远镜</t>
        </is>
      </c>
      <c r="C381" s="586" t="s">
        <v>3153</v>
      </c>
    </row>
    <row r="382" ht="32" customHeight="1" spans="1:4">
      <c r="A382" s="588" t="s">
        <v>2581</v>
      </c>
      <c r="B382" s="589" t="s">
        <v>3154</v>
      </c>
      <c r="C382" s="588" t="s">
        <v>3129</v>
      </c>
    </row>
    <row r="383" ht="59" customHeight="1" spans="1:4">
      <c r="A383" s="586" t="s">
        <v>2581</v>
      </c>
      <c r="B383" s="587" t="inlineStr">
        <is>
          <t xml:space="preserve">民用夜视眼镜（NVG）</t>
        </is>
      </c>
      <c r="C383" s="586" t="s">
        <v>3155</v>
      </c>
    </row>
    <row r="384" ht="32" customHeight="1" spans="1:4">
      <c r="A384" s="588" t="s">
        <v>2581</v>
      </c>
      <c r="B384" s="589" t="s">
        <v>3156</v>
      </c>
      <c r="C384" s="588" t="s">
        <v>3129</v>
      </c>
    </row>
    <row r="385" ht="32" customHeight="1" spans="1:4">
      <c r="A385" s="586" t="s">
        <v>2581</v>
      </c>
      <c r="B385" s="587" t="inlineStr">
        <is>
          <t xml:space="preserve">先进双筒望远镜或望远镜</t>
        </is>
      </c>
      <c r="C385" s="586" t="s">
        <v>3157</v>
      </c>
    </row>
    <row r="386" ht="32" customHeight="1" spans="1:4">
      <c r="A386" s="588" t="s">
        <v>2581</v>
      </c>
      <c r="B386" s="589" t="s">
        <v>3158</v>
      </c>
      <c r="C386" s="588" t="s">
        <v>3138</v>
      </c>
    </row>
    <row r="387" ht="32" customHeight="1" spans="1:4">
      <c r="A387" s="586" t="s">
        <v>2581</v>
      </c>
      <c r="B387" s="587" t="inlineStr">
        <is>
          <t xml:space="preserve">强力望远镜</t>
        </is>
      </c>
      <c r="C387" s="586" t="s">
        <v>3159</v>
      </c>
    </row>
    <row r="388" ht="32" customHeight="1" spans="1:4">
      <c r="A388" s="588" t="s">
        <v>2581</v>
      </c>
      <c r="B388" s="589" t="s">
        <v>3160</v>
      </c>
      <c r="C388" s="588" t="s">
        <v>3143</v>
      </c>
    </row>
    <row r="389" ht="32" customHeight="1" spans="1:4">
      <c r="A389" s="586" t="s">
        <v>2581</v>
      </c>
      <c r="B389" s="587" t="inlineStr">
        <is>
          <t xml:space="preserve">军用夜视眼镜</t>
        </is>
      </c>
      <c r="C389" s="586" t="s">
        <v>3161</v>
      </c>
    </row>
    <row r="390" ht="32" customHeight="1" spans="1:4">
      <c r="A390" s="588" t="s">
        <v>2582</v>
      </c>
      <c r="B390" s="589" t="s">
        <v>3162</v>
      </c>
      <c r="C390" s="588" t="s">
        <v>3126</v>
      </c>
    </row>
    <row r="391" ht="32" customHeight="1" spans="1:4">
      <c r="A391" s="586" t="s">
        <v>2582</v>
      </c>
      <c r="B391" s="587" t="inlineStr">
        <is>
          <t xml:space="preserve">开锁套件</t>
        </is>
      </c>
      <c r="C391" s="586" t="s">
        <v>3136</v>
      </c>
    </row>
    <row r="392" ht="32" customHeight="1" spans="1:4">
      <c r="A392" s="588" t="s">
        <v>2582</v>
      </c>
      <c r="B392" s="589" t="s">
        <v>3163</v>
      </c>
      <c r="C392" s="588" t="s">
        <v>3129</v>
      </c>
    </row>
    <row r="393" ht="32" customHeight="1" spans="1:4">
      <c r="A393" s="586" t="s">
        <v>2582</v>
      </c>
      <c r="B393" s="587" t="inlineStr">
        <is>
          <t xml:space="preserve">哈利根撬棍</t>
        </is>
      </c>
      <c r="C393" s="586" t="s">
        <v>3164</v>
      </c>
    </row>
    <row r="394" ht="32" customHeight="1" spans="1:4">
      <c r="A394" s="588" t="s">
        <v>2582</v>
      </c>
      <c r="B394" s="589" t="s">
        <v>3165</v>
      </c>
      <c r="C394" s="588" t="s">
        <v>3129</v>
      </c>
    </row>
    <row r="395" ht="32" customHeight="1" spans="1:4">
      <c r="A395" s="586" t="s">
        <v>2582</v>
      </c>
      <c r="B395" s="587" t="inlineStr">
        <is>
          <t xml:space="preserve">抖锁器</t>
        </is>
      </c>
      <c r="C395" s="586" t="s">
        <v>3166</v>
      </c>
    </row>
    <row r="396" ht="32" customHeight="1" spans="1:4">
      <c r="A396" s="588" t="s">
        <v>2583</v>
      </c>
      <c r="B396" s="589" t="s">
        <v>3167</v>
      </c>
      <c r="C396" s="588" t="s">
        <v>3126</v>
      </c>
    </row>
    <row r="397" ht="32" customHeight="1" spans="1:4">
      <c r="A397" s="586" t="s">
        <v>2583</v>
      </c>
      <c r="B397" s="587" t="inlineStr">
        <is>
          <t xml:space="preserve">个人急救套件</t>
        </is>
      </c>
      <c r="C397" s="586" t="s">
        <v>3168</v>
      </c>
    </row>
    <row r="398" ht="32" customHeight="1" spans="1:4">
      <c r="A398" s="588" t="s">
        <v>2583</v>
      </c>
      <c r="B398" s="589" t="s">
        <v>3169</v>
      </c>
      <c r="C398" s="588" t="s">
        <v>3126</v>
      </c>
    </row>
    <row r="399" ht="32" customHeight="1" spans="1:4">
      <c r="A399" s="586" t="s">
        <v>2583</v>
      </c>
      <c r="B399" s="587" t="inlineStr">
        <is>
          <t xml:space="preserve">小型灭火器（CO₂）</t>
        </is>
      </c>
      <c r="C399" s="586" t="s">
        <v>3170</v>
      </c>
    </row>
    <row r="400" ht="32" customHeight="1" spans="1:4">
      <c r="A400" s="588" t="s">
        <v>2583</v>
      </c>
      <c r="B400" s="589" t="s">
        <v>3171</v>
      </c>
      <c r="C400" s="588" t="s">
        <v>3126</v>
      </c>
    </row>
    <row r="401" ht="32" customHeight="1" spans="1:4">
      <c r="A401" s="586" t="s">
        <v>2583</v>
      </c>
      <c r="B401" s="587" t="inlineStr">
        <is>
          <t xml:space="preserve">手持 GPS</t>
        </is>
      </c>
      <c r="C401" s="586" t="s">
        <v>3172</v>
      </c>
    </row>
    <row r="402" ht="32" customHeight="1" spans="1:4">
      <c r="A402" s="588" t="s">
        <v>2583</v>
      </c>
      <c r="B402" s="589" t="s">
        <v>3173</v>
      </c>
      <c r="C402" s="588" t="s">
        <v>3126</v>
      </c>
    </row>
    <row r="403" ht="32" customHeight="1" spans="1:4">
      <c r="A403" s="586" t="s">
        <v>2583</v>
      </c>
      <c r="B403" s="587" t="inlineStr">
        <is>
          <t xml:space="preserve">基本露营装备</t>
        </is>
      </c>
      <c r="C403" s="586" t="s">
        <v>3174</v>
      </c>
    </row>
    <row r="404" ht="32" customHeight="1" spans="1:4">
      <c r="A404" s="588" t="s">
        <v>2583</v>
      </c>
      <c r="B404" s="589" t="s">
        <v>3175</v>
      </c>
      <c r="C404" s="588" t="s">
        <v>3126</v>
      </c>
    </row>
    <row r="405" ht="32" customHeight="1" spans="1:4">
      <c r="A405" s="586" t="s">
        <v>2583</v>
      </c>
      <c r="B405" s="587" t="inlineStr">
        <is>
          <t xml:space="preserve">个人防护装备（PPE）</t>
        </is>
      </c>
      <c r="C405" s="586" t="s">
        <v>3176</v>
      </c>
    </row>
    <row r="406" ht="32" customHeight="1" spans="1:4">
      <c r="A406" s="588" t="s">
        <v>2583</v>
      </c>
      <c r="B406" s="589" t="s">
        <v>3177</v>
      </c>
      <c r="C406" s="588" t="s">
        <v>3129</v>
      </c>
    </row>
    <row r="407" ht="32" customHeight="1" spans="1:4">
      <c r="A407" s="586" t="s">
        <v>2583</v>
      </c>
      <c r="B407" s="587" t="inlineStr">
        <is>
          <t xml:space="preserve">重型灭火器</t>
        </is>
      </c>
      <c r="C407" s="586" t="s">
        <v>3178</v>
      </c>
    </row>
    <row r="408" ht="32" customHeight="1" spans="1:4">
      <c r="A408" s="588" t="s">
        <v>2583</v>
      </c>
      <c r="B408" s="589" t="s">
        <v>3179</v>
      </c>
      <c r="C408" s="588" t="s">
        <v>3129</v>
      </c>
    </row>
    <row r="409" ht="32" customHeight="1" spans="1:4">
      <c r="A409" s="586" t="s">
        <v>2583</v>
      </c>
      <c r="B409" s="587" t="inlineStr">
        <is>
          <t xml:space="preserve">防毒面具</t>
        </is>
      </c>
      <c r="C409" s="586" t="s">
        <v>3180</v>
      </c>
    </row>
    <row r="410" ht="32" customHeight="1" spans="1:4">
      <c r="A410" s="588" t="s">
        <v>2583</v>
      </c>
      <c r="B410" s="589" t="s">
        <v>3181</v>
      </c>
      <c r="C410" s="588" t="s">
        <v>3129</v>
      </c>
    </row>
    <row r="411" ht="32" customHeight="1" spans="1:4">
      <c r="A411" s="586" t="s">
        <v>2583</v>
      </c>
      <c r="B411" s="587" t="inlineStr">
        <is>
          <t xml:space="preserve">危险物品防护服</t>
        </is>
      </c>
      <c r="C411" s="586" t="s">
        <v>3182</v>
      </c>
    </row>
    <row r="412" ht="32" customHeight="1" spans="1:4">
      <c r="A412" s="588" t="s">
        <v>2583</v>
      </c>
      <c r="B412" s="589" t="s">
        <v>3183</v>
      </c>
      <c r="C412" s="588" t="s">
        <v>3129</v>
      </c>
    </row>
    <row r="413" ht="92.5" customHeight="1" spans="1:4">
      <c r="A413" s="586" t="s">
        <v>2583</v>
      </c>
      <c r="B413" s="587" t="inlineStr">
        <is>
          <t xml:space="preserve">急救人员医疗套件</t>
        </is>
      </c>
      <c r="C413" s="586" t="s">
        <v>3184</v>
      </c>
    </row>
    <row r="414" ht="32" customHeight="1" spans="1:4">
      <c r="A414" s="588" t="s">
        <v>2583</v>
      </c>
      <c r="B414" s="589" t="s">
        <v>3185</v>
      </c>
      <c r="C414" s="588" t="s">
        <v>3129</v>
      </c>
    </row>
    <row r="415" ht="45.5" customHeight="1" spans="1:4">
      <c r="A415" s="586" t="s">
        <v>2583</v>
      </c>
      <c r="B415" s="587" t="inlineStr">
        <is>
          <t xml:space="preserve">扩展露营装备</t>
        </is>
      </c>
      <c r="C415" s="586" t="s">
        <v>3186</v>
      </c>
    </row>
    <row r="416" ht="32" customHeight="1" spans="1:4">
      <c r="A416" s="588" t="s">
        <v>2583</v>
      </c>
      <c r="B416" s="589" t="s">
        <v>3187</v>
      </c>
      <c r="C416" s="588" t="s">
        <v>3138</v>
      </c>
    </row>
    <row r="417" ht="32" customHeight="1" spans="1:4">
      <c r="A417" s="586" t="s">
        <v>2583</v>
      </c>
      <c r="B417" s="587" t="inlineStr">
        <is>
          <t xml:space="preserve">水下呼吸装备</t>
        </is>
      </c>
      <c r="C417" s="586" t="s">
        <v>3188</v>
      </c>
    </row>
    <row r="418" ht="32" customHeight="1" spans="1:4">
      <c r="A418" s="588" t="s">
        <v>2583</v>
      </c>
      <c r="B418" s="589" t="s">
        <v>3189</v>
      </c>
      <c r="C418" s="588" t="s">
        <v>3138</v>
      </c>
    </row>
    <row r="419" ht="32" customHeight="1" spans="1:4">
      <c r="A419" s="586" t="s">
        <v>2583</v>
      </c>
      <c r="B419" s="587" t="inlineStr">
        <is>
          <t xml:space="preserve">装满酸液的聚丙烯桶</t>
        </is>
      </c>
      <c r="C419" s="586" t="s">
        <v>3190</v>
      </c>
    </row>
    <row r="420" ht="32" customHeight="1" spans="1:4">
      <c r="A420" s="588" t="s">
        <v>2584</v>
      </c>
      <c r="B420" s="589" t="s">
        <v>3191</v>
      </c>
      <c r="C420" s="588" t="s">
        <v>3129</v>
      </c>
    </row>
    <row r="421" ht="32" customHeight="1" spans="1:4">
      <c r="A421" s="586" t="s">
        <v>2584</v>
      </c>
      <c r="B421" s="587" t="inlineStr">
        <is>
          <t xml:space="preserve">地下急救，闭口不问</t>
        </is>
      </c>
      <c r="C421" s="586" t="s">
        <v>3192</v>
      </c>
    </row>
    <row r="422" ht="32" customHeight="1" spans="1:4">
      <c r="A422" s="588" t="s">
        <v>2584</v>
      </c>
      <c r="B422" s="589" t="s">
        <v>3193</v>
      </c>
      <c r="C422" s="588" t="s">
        <v>3138</v>
      </c>
    </row>
    <row r="423" ht="32" customHeight="1" spans="1:4">
      <c r="A423" s="586" t="s">
        <v>2584</v>
      </c>
      <c r="B423" s="587" t="inlineStr">
        <is>
          <t xml:space="preserve">地下药品或小手术，闭口不问</t>
        </is>
      </c>
      <c r="C423" s="586" t="s">
        <v>3192</v>
      </c>
    </row>
    <row r="424" ht="32" customHeight="1" spans="1:4">
      <c r="A424" s="588" t="s">
        <v>2584</v>
      </c>
      <c r="B424" s="589" t="s">
        <v>3194</v>
      </c>
      <c r="C424" s="588" t="s">
        <v>3143</v>
      </c>
    </row>
    <row r="425" ht="32" customHeight="1" spans="1:4">
      <c r="A425" s="586" t="s">
        <v>2584</v>
      </c>
      <c r="B425" s="587" t="inlineStr">
        <is>
          <t xml:space="preserve">地下大手术，闭口不问</t>
        </is>
      </c>
      <c r="C425" s="586" t="s">
        <v>3192</v>
      </c>
    </row>
    <row r="426" ht="45.5" customHeight="1" spans="1:4">
      <c r="A426" s="588" t="s">
        <v>2584</v>
      </c>
      <c r="B426" s="589" t="s">
        <v>3195</v>
      </c>
      <c r="C426" s="588" t="s">
        <v>3143</v>
      </c>
    </row>
    <row r="427" ht="45.5" customHeight="1" spans="1:4">
      <c r="A427" s="586" t="s">
        <v>2584</v>
      </c>
      <c r="B427" s="587" t="inlineStr">
        <is>
          <t xml:space="preserve">贿赂焚烧厂，火葬场，或熔炉工人，让他们对你焚烧尸体的行为视而不见</t>
        </is>
      </c>
      <c r="C427" s="586" t="s">
        <v>3196</v>
      </c>
    </row>
    <row r="428" ht="32" customHeight="1" spans="1:4">
      <c r="A428" s="588" t="s">
        <v>2585</v>
      </c>
      <c r="B428" s="589" t="s">
        <v>3197</v>
      </c>
      <c r="C428" s="588" t="s">
        <v>3129</v>
      </c>
    </row>
    <row r="429" ht="32" customHeight="1" spans="1:4">
      <c r="A429" s="586" t="s">
        <v>2585</v>
      </c>
      <c r="B429" s="587" t="inlineStr">
        <is>
          <t xml:space="preserve">全息瞄准镜</t>
        </is>
      </c>
      <c r="C429" s="586" t="s">
        <v>3198</v>
      </c>
    </row>
    <row r="430" ht="32" customHeight="1" spans="1:4">
      <c r="A430" s="588" t="s">
        <v>2585</v>
      </c>
      <c r="B430" s="589" t="s">
        <v>3199</v>
      </c>
      <c r="C430" s="588" t="s">
        <v>3129</v>
      </c>
    </row>
    <row r="431" ht="45.5" customHeight="1" spans="1:4">
      <c r="A431" s="586" t="s">
        <v>2585</v>
      </c>
      <c r="B431" s="587" t="inlineStr">
        <is>
          <t xml:space="preserve">夜视瞄准镜</t>
        </is>
      </c>
      <c r="C431" s="586" t="s">
        <v>3200</v>
      </c>
    </row>
    <row r="432" ht="32" customHeight="1" spans="1:4">
      <c r="A432" s="588" t="s">
        <v>2585</v>
      </c>
      <c r="B432" s="589" t="s">
        <v>3201</v>
      </c>
      <c r="C432" s="588" t="s">
        <v>3129</v>
      </c>
    </row>
    <row r="433" ht="45.5" customHeight="1" spans="1:4">
      <c r="A433" s="586" t="s">
        <v>2585</v>
      </c>
      <c r="B433" s="587" t="inlineStr">
        <is>
          <t xml:space="preserve">消声器</t>
        </is>
      </c>
      <c r="C433" s="586" t="s">
        <v>3202</v>
      </c>
    </row>
    <row r="434" ht="32" customHeight="1" spans="1:4">
      <c r="A434" s="588" t="s">
        <v>2585</v>
      </c>
      <c r="B434" s="589" t="s">
        <v>3203</v>
      </c>
      <c r="C434" s="588" t="s">
        <v>3129</v>
      </c>
    </row>
    <row r="435" ht="79" customHeight="1" spans="1:4">
      <c r="A435" s="586" t="s">
        <v>2585</v>
      </c>
      <c r="B435" s="587" t="inlineStr">
        <is>
          <t xml:space="preserve">激光指示器</t>
        </is>
      </c>
      <c r="C435" s="586" t="s">
        <v>3204</v>
      </c>
    </row>
    <row r="436" ht="32" customHeight="1" spans="1:4">
      <c r="A436" s="588" t="s">
        <v>2585</v>
      </c>
      <c r="B436" s="589" t="s">
        <v>3205</v>
      </c>
      <c r="C436" s="588" t="s">
        <v>3129</v>
      </c>
    </row>
    <row r="437" ht="32" customHeight="1" spans="1:4">
      <c r="A437" s="586" t="s">
        <v>2585</v>
      </c>
      <c r="B437" s="587" t="inlineStr">
        <is>
          <t xml:space="preserve">缩放瞄准镜</t>
        </is>
      </c>
      <c r="C437" s="586" t="s">
        <v>3206</v>
      </c>
    </row>
    <row r="438" ht="32" customHeight="1" spans="1:4">
      <c r="A438" s="588" t="s">
        <v>2585</v>
      </c>
      <c r="B438" s="589" t="s">
        <v>3207</v>
      </c>
      <c r="C438" s="588" t="s">
        <v>3138</v>
      </c>
    </row>
    <row r="439" ht="32" customHeight="1" spans="1:4">
      <c r="A439" s="586" t="s">
        <v>2585</v>
      </c>
      <c r="B439" s="587" t="inlineStr">
        <is>
          <t xml:space="preserve">先进战斗光学瞄准镜（ACOG）</t>
        </is>
      </c>
      <c r="C439" s="586" t="s">
        <v>3208</v>
      </c>
    </row>
    <row r="440" ht="32" customHeight="1" spans="1:4">
      <c r="A440" s="588" t="s">
        <v>2585</v>
      </c>
      <c r="B440" s="589" t="s">
        <v>3209</v>
      </c>
      <c r="C440" s="588" t="s">
        <v>3138</v>
      </c>
    </row>
    <row r="441" ht="45.5" customHeight="1" spans="1:4">
      <c r="A441" s="586" t="s">
        <v>2585</v>
      </c>
      <c r="B441" s="587" t="inlineStr">
        <is>
          <t xml:space="preserve">热成像瞄准镜（TWS）</t>
        </is>
      </c>
      <c r="C441" s="586" t="s">
        <v>3210</v>
      </c>
    </row>
    <row r="442" ht="32" customHeight="1" spans="1:4">
      <c r="A442" s="588" t="s">
        <v>2585</v>
      </c>
      <c r="B442" s="589" t="s">
        <v>3211</v>
      </c>
      <c r="C442" s="588" t="s">
        <v>3143</v>
      </c>
    </row>
    <row r="443" ht="59" customHeight="1" spans="1:4">
      <c r="A443" s="586" t="s">
        <v>2585</v>
      </c>
      <c r="B443" s="587" t="inlineStr">
        <is>
          <t xml:space="preserve">黑枪设备：带有配套软件的重型台式 3D 打印机</t>
        </is>
      </c>
      <c r="C443" s="586" t="s">
        <v>3212</v>
      </c>
    </row>
    <row r="444" ht="32" customHeight="1" spans="1:4">
      <c r="A444" s="588" t="s">
        <v>2586</v>
      </c>
      <c r="B444" s="589" t="s">
        <v>3213</v>
      </c>
      <c r="C444" s="588" t="s">
        <v>3126</v>
      </c>
    </row>
    <row r="445" ht="45.5" customHeight="1" spans="1:4">
      <c r="A445" s="586" t="s">
        <v>2586</v>
      </c>
      <c r="B445" s="587" t="inlineStr">
        <is>
          <t xml:space="preserve">访问非机密但受限制的文件，诸如刑事或财务记录</t>
        </is>
      </c>
      <c r="C445" s="586" t="inlineStr">
        <is>
          <t xml:space="preserve">必须和正式调查相关。如果不相关，那么需要进行幸运检定，失败则会招致官方审查。</t>
        </is>
      </c>
    </row>
    <row r="446" ht="32" customHeight="1" spans="1:4">
      <c r="A446" s="588" t="s">
        <v>2586</v>
      </c>
      <c r="B446" s="589" t="s">
        <v>3214</v>
      </c>
      <c r="C446" s="588" t="s">
        <v>3129</v>
      </c>
    </row>
    <row r="447" ht="32" customHeight="1" spans="1:4">
      <c r="A447" s="586" t="s">
        <v>2586</v>
      </c>
      <c r="B447" s="587" t="inlineStr">
        <is>
          <t xml:space="preserve">无理由地将一名囚犯关押 24 小时</t>
        </is>
      </c>
      <c r="C447" s="586" t="inlineStr">
        <is>
          <t xml:space="preserve">必须和正式调查相关。如果不相关，那么需要进行幸运检定，失败则会招致官方审查。</t>
        </is>
      </c>
    </row>
    <row r="448" ht="32" customHeight="1" spans="1:4">
      <c r="A448" s="588" t="s">
        <v>2586</v>
      </c>
      <c r="B448" s="589" t="s">
        <v>3215</v>
      </c>
      <c r="C448" s="588" t="s">
        <v>3129</v>
      </c>
    </row>
    <row r="449" ht="32" customHeight="1" spans="1:4">
      <c r="A449" s="586" t="s">
        <v>2586</v>
      </c>
      <c r="B449" s="587" t="s">
        <v>3216</v>
      </c>
      <c r="C449" s="586" t="s">
        <v>3129</v>
      </c>
    </row>
    <row r="450" ht="32" customHeight="1" spans="1:4">
      <c r="A450" s="588" t="s">
        <v>2586</v>
      </c>
      <c r="B450" s="589" t="s">
        <v>3217</v>
      </c>
      <c r="C450" s="588" t="s">
        <v>3138</v>
      </c>
    </row>
    <row r="451" ht="32" customHeight="1" spans="1:4">
      <c r="A451" s="586" t="s">
        <v>2586</v>
      </c>
      <c r="B451" s="587" t="inlineStr">
        <is>
          <t xml:space="preserve">使用无人机监控嫌疑人 1 到 2 天</t>
        </is>
      </c>
      <c r="C451" s="586" t="inlineStr">
        <is>
          <t xml:space="preserve">会招致官方审查。</t>
        </is>
      </c>
    </row>
    <row r="452" ht="32" customHeight="1" spans="1:4">
      <c r="A452" s="588" t="s">
        <v>2587</v>
      </c>
      <c r="B452" s="589" t="s">
        <v>3218</v>
      </c>
      <c r="C452" s="588" t="s">
        <v>3126</v>
      </c>
    </row>
    <row r="453" ht="32" customHeight="1" spans="1:4">
      <c r="A453" s="586" t="s">
        <v>2587</v>
      </c>
      <c r="B453" s="587" t="s">
        <v>3219</v>
      </c>
      <c r="C453" s="586" t="s">
        <v>3129</v>
      </c>
    </row>
    <row r="454" ht="32" customHeight="1" spans="1:4">
      <c r="A454" s="588" t="s">
        <v>2587</v>
      </c>
      <c r="B454" s="589" t="s">
        <v>3220</v>
      </c>
      <c r="C454" s="588" t="s">
        <v>3129</v>
      </c>
    </row>
    <row r="455" ht="32" customHeight="1" spans="1:4">
      <c r="A455" s="586" t="s">
        <v>2587</v>
      </c>
      <c r="B455" s="587" t="s">
        <v>3221</v>
      </c>
      <c r="C455" s="586" t="s">
        <v>3138</v>
      </c>
    </row>
    <row r="456" ht="32" customHeight="1" spans="1:4">
      <c r="A456" s="588" t="s">
        <v>2587</v>
      </c>
      <c r="B456" s="589" t="s">
        <v>3222</v>
      </c>
      <c r="C456" s="588" t="s">
        <v>3138</v>
      </c>
    </row>
    <row r="457" ht="32" customHeight="1" spans="1:4">
      <c r="A457" s="586" t="s">
        <v>2587</v>
      </c>
      <c r="B457" s="587" t="s">
        <v>3223</v>
      </c>
      <c r="C457" s="586" t="s">
        <v>3143</v>
      </c>
    </row>
    <row r="458" ht="32" customHeight="1" spans="1:4">
      <c r="A458" s="588" t="s">
        <v>2587</v>
      </c>
      <c r="B458" s="589" t="s">
        <v>3224</v>
      </c>
      <c r="C458" s="588" t="s">
        <v>3146</v>
      </c>
    </row>
    <row r="459" ht="32" customHeight="1" spans="1:4">
      <c r="A459" s="586" t="s">
        <v>2588</v>
      </c>
      <c r="B459" s="587" t="s">
        <v>3225</v>
      </c>
      <c r="C459" s="586" t="s">
        <v>3126</v>
      </c>
    </row>
    <row r="460" ht="32" customHeight="1" spans="1:4">
      <c r="A460" s="588" t="s">
        <v>2588</v>
      </c>
      <c r="B460" s="589" t="s">
        <v>3226</v>
      </c>
      <c r="C460" s="588" t="s">
        <v>3129</v>
      </c>
    </row>
    <row r="461" ht="32" customHeight="1" spans="1:4">
      <c r="A461" s="586" t="s">
        <v>2588</v>
      </c>
      <c r="B461" s="587" t="s">
        <v>3227</v>
      </c>
      <c r="C461" s="586" t="s">
        <v>3138</v>
      </c>
    </row>
    <row r="462" ht="32" customHeight="1" spans="1:4">
      <c r="A462" s="588" t="s">
        <v>2588</v>
      </c>
      <c r="B462" s="589" t="s">
        <v>3228</v>
      </c>
      <c r="C462" s="588" t="s">
        <v>3143</v>
      </c>
    </row>
    <row r="463" ht="32" customHeight="1" spans="1:4">
      <c r="A463" s="586" t="s">
        <v>2588</v>
      </c>
      <c r="B463" s="587" t="s">
        <v>3229</v>
      </c>
      <c r="C463" s="586" t="s">
        <v>3146</v>
      </c>
    </row>
    <row r="464" ht="32" customHeight="1" spans="1:4">
      <c r="A464" s="588" t="s">
        <v>2589</v>
      </c>
      <c r="B464" s="589" t="s">
        <v>3230</v>
      </c>
      <c r="C464" s="588" t="s">
        <v>3138</v>
      </c>
    </row>
    <row r="465" ht="32" customHeight="1" spans="1:4">
      <c r="A465" s="586" t="s">
        <v>2589</v>
      </c>
      <c r="B465" s="587" t="inlineStr">
        <is>
          <t xml:space="preserve">伪造的护照或身份证明文件</t>
        </is>
      </c>
      <c r="C465" s="586" t="s">
        <v>3231</v>
      </c>
    </row>
    <row r="466" ht="45.5" customHeight="1" spans="1:4">
      <c r="A466" s="588" t="s">
        <v>2589</v>
      </c>
      <c r="B466" s="589" t="s">
        <v>3232</v>
      </c>
      <c r="C466" s="588" t="s">
        <v>3143</v>
      </c>
    </row>
    <row r="467" ht="45.5" customHeight="1" spans="1:4">
      <c r="A467" s="586" t="s">
        <v>2589</v>
      </c>
      <c r="B467" s="587" t="inlineStr">
        <is>
          <t xml:space="preserve">G-7 国家的伪造护照（加拿大，欧盟，日本，美国，英国）</t>
        </is>
      </c>
      <c r="C467" s="586" t="s">
        <v>3231</v>
      </c>
    </row>
    <row r="468" ht="32" customHeight="1" spans="1:4">
      <c r="A468" s="588" t="s">
        <v>2589</v>
      </c>
      <c r="B468" s="589" t="s">
        <v>3233</v>
      </c>
      <c r="C468" s="588" t="s">
        <v>3146</v>
      </c>
    </row>
    <row r="469" ht="32" customHeight="1" spans="1:4">
      <c r="A469" s="586" t="s">
        <v>2589</v>
      </c>
      <c r="B469" s="587" t="inlineStr">
        <is>
          <t xml:space="preserve">全新的合法身份证明</t>
        </is>
      </c>
      <c r="C469" s="586" t="s">
        <v>3231</v>
      </c>
    </row>
    <row r="470" ht="32" customHeight="1" spans="1:4">
      <c r="A470" s="588" t="s">
        <v>2590</v>
      </c>
      <c r="B470" s="589" t="s">
        <v>3234</v>
      </c>
      <c r="C470" s="588" t="s">
        <v>3126</v>
      </c>
    </row>
    <row r="471" ht="32" customHeight="1" spans="1:4">
      <c r="A471" s="586" t="s">
        <v>2590</v>
      </c>
      <c r="B471" s="587" t="s">
        <v>3235</v>
      </c>
      <c r="C471" s="586" t="s">
        <v>3129</v>
      </c>
    </row>
    <row r="472" ht="32" customHeight="1" spans="1:4">
      <c r="A472" s="588" t="s">
        <v>2590</v>
      </c>
      <c r="B472" s="589" t="s">
        <v>3236</v>
      </c>
      <c r="C472" s="588" t="s">
        <v>3138</v>
      </c>
    </row>
    <row r="473" ht="32" customHeight="1" spans="1:4">
      <c r="A473" s="586" t="s">
        <v>2591</v>
      </c>
      <c r="B473" s="587" t="s">
        <v>3237</v>
      </c>
      <c r="C473" s="586" t="s">
        <v>3126</v>
      </c>
    </row>
    <row r="474" ht="32" customHeight="1" spans="1:4">
      <c r="A474" s="588" t="s">
        <v>2591</v>
      </c>
      <c r="B474" s="589" t="inlineStr">
        <is>
          <t xml:space="preserve">索带式塑料手铐</t>
        </is>
      </c>
      <c r="C474" s="588" t="s">
        <v>3238</v>
      </c>
    </row>
    <row r="475" ht="32" customHeight="1" spans="1:4">
      <c r="A475" s="586" t="s">
        <v>2591</v>
      </c>
      <c r="B475" s="587" t="s">
        <v>3239</v>
      </c>
      <c r="C475" s="586" t="s">
        <v>3126</v>
      </c>
    </row>
    <row r="476" ht="32" customHeight="1" spans="1:4">
      <c r="A476" s="588" t="s">
        <v>2591</v>
      </c>
      <c r="B476" s="589" t="inlineStr">
        <is>
          <t xml:space="preserve">手铐</t>
        </is>
      </c>
      <c r="C476" s="588" t="s">
        <v>3240</v>
      </c>
    </row>
    <row r="477" ht="32" customHeight="1" spans="1:4">
      <c r="A477" s="586" t="s">
        <v>2592</v>
      </c>
      <c r="B477" s="587" t="s">
        <v>3241</v>
      </c>
      <c r="C477" s="586" t="s">
        <v>3126</v>
      </c>
    </row>
    <row r="478" ht="32" customHeight="1" spans="1:4">
      <c r="A478" s="588" t="s">
        <v>2592</v>
      </c>
      <c r="B478" s="589" t="s">
        <v>3242</v>
      </c>
      <c r="C478" s="588" t="s">
        <v>3126</v>
      </c>
    </row>
    <row r="479" ht="32" customHeight="1" spans="1:4">
      <c r="A479" s="586" t="s">
        <v>2592</v>
      </c>
      <c r="B479" s="587" t="s">
        <v>3243</v>
      </c>
      <c r="C479" s="586" t="s">
        <v>3129</v>
      </c>
    </row>
    <row r="480" ht="32" customHeight="1" spans="1:4">
      <c r="A480" s="588" t="s">
        <v>2592</v>
      </c>
      <c r="B480" s="589" t="s">
        <v>3244</v>
      </c>
      <c r="C480" s="588" t="s">
        <v>3129</v>
      </c>
    </row>
    <row r="481" ht="45.5" customHeight="1" spans="1:4">
      <c r="A481" s="586" t="s">
        <v>2592</v>
      </c>
      <c r="B481" s="587" t="s">
        <v>3245</v>
      </c>
      <c r="C481" s="586" t="s">
        <v>3143</v>
      </c>
    </row>
    <row r="482" ht="32" customHeight="1" spans="1:4">
      <c r="A482" s="588" t="s">
        <v>2593</v>
      </c>
      <c r="B482" s="589" t="s">
        <v>3246</v>
      </c>
      <c r="C482" s="588" t="s">
        <v>3126</v>
      </c>
    </row>
    <row r="483" ht="32" customHeight="1" spans="1:4">
      <c r="A483" s="586" t="s">
        <v>2593</v>
      </c>
      <c r="B483" s="587" t="s">
        <v>3247</v>
      </c>
      <c r="C483" s="586" t="s">
        <v>3126</v>
      </c>
    </row>
    <row r="484" ht="32" customHeight="1" spans="1:4">
      <c r="A484" s="588" t="s">
        <v>2593</v>
      </c>
      <c r="B484" s="589" t="s">
        <v>3248</v>
      </c>
      <c r="C484" s="588" t="s">
        <v>3126</v>
      </c>
    </row>
    <row r="485" ht="32" customHeight="1" spans="1:4">
      <c r="A485" s="586" t="s">
        <v>2593</v>
      </c>
      <c r="B485" s="587" t="inlineStr">
        <is>
          <t xml:space="preserve">现成的常用黑客软件</t>
        </is>
      </c>
      <c r="C485" s="586" t="s">
        <v>3249</v>
      </c>
    </row>
    <row r="486" ht="32" customHeight="1" spans="1:4">
      <c r="A486" s="588" t="s">
        <v>2593</v>
      </c>
      <c r="B486" s="589" t="s">
        <v>3250</v>
      </c>
      <c r="C486" s="588" t="s">
        <v>3129</v>
      </c>
    </row>
    <row r="487" ht="32" customHeight="1" spans="1:4">
      <c r="A487" s="586" t="s">
        <v>2593</v>
      </c>
      <c r="B487" s="587" t="s">
        <v>3251</v>
      </c>
      <c r="C487" s="586" t="s">
        <v>3129</v>
      </c>
    </row>
    <row r="488" ht="32" customHeight="1" spans="1:4">
      <c r="A488" s="588" t="s">
        <v>2593</v>
      </c>
      <c r="B488" s="589" t="s">
        <v>3252</v>
      </c>
      <c r="C488" s="588" t="s">
        <v>3129</v>
      </c>
    </row>
    <row r="489" ht="32" customHeight="1" spans="1:4">
      <c r="A489" s="586" t="s">
        <v>2593</v>
      </c>
      <c r="B489" s="587" t="s">
        <v>3253</v>
      </c>
      <c r="C489" s="586" t="s">
        <v>3129</v>
      </c>
    </row>
    <row r="490" ht="32" customHeight="1" spans="1:4">
      <c r="A490" s="588" t="s">
        <v>2593</v>
      </c>
      <c r="B490" s="589" t="s">
        <v>3254</v>
      </c>
      <c r="C490" s="588" t="s">
        <v>3138</v>
      </c>
    </row>
    <row r="491" ht="32" customHeight="1" spans="1:4">
      <c r="A491" s="586" t="s">
        <v>2593</v>
      </c>
      <c r="B491" s="587" t="s">
        <v>3255</v>
      </c>
      <c r="C491" s="586" t="s">
        <v>3138</v>
      </c>
    </row>
    <row r="492" ht="32" customHeight="1" spans="1:4">
      <c r="A492" s="588" t="s">
        <v>2593</v>
      </c>
      <c r="B492" s="589" t="inlineStr">
        <is>
          <t xml:space="preserve">雇用黑客来破解基础加密系统</t>
        </is>
      </c>
      <c r="C492" s="588" t="s">
        <v>3256</v>
      </c>
    </row>
    <row r="493" ht="32" customHeight="1" spans="1:4">
      <c r="A493" s="586" t="s">
        <v>2593</v>
      </c>
      <c r="B493" s="587" t="s">
        <v>3257</v>
      </c>
      <c r="C493" s="586" t="s">
        <v>3143</v>
      </c>
    </row>
    <row r="494" ht="32" customHeight="1" spans="1:4">
      <c r="A494" s="588" t="s">
        <v>2593</v>
      </c>
      <c r="B494" s="589" t="s">
        <v>3258</v>
      </c>
      <c r="C494" s="588" t="s">
        <v>3143</v>
      </c>
    </row>
    <row r="495" ht="32" customHeight="1" spans="1:4">
      <c r="A495" s="586" t="s">
        <v>2593</v>
      </c>
      <c r="B495" s="587" t="inlineStr">
        <is>
          <t xml:space="preserve">顶尖的加密系统或数据挖掘软件</t>
        </is>
      </c>
      <c r="C495" s="586" t="s">
        <v>3259</v>
      </c>
    </row>
    <row r="496" ht="32" customHeight="1" spans="1:4">
      <c r="A496" s="588" t="s">
        <v>2593</v>
      </c>
      <c r="B496" s="589" t="s">
        <v>3260</v>
      </c>
      <c r="C496" s="588" t="s">
        <v>3143</v>
      </c>
    </row>
    <row r="497" ht="32" customHeight="1" spans="1:4">
      <c r="A497" s="586" t="s">
        <v>2593</v>
      </c>
      <c r="B497" s="587" t="inlineStr">
        <is>
          <t xml:space="preserve">先进数据分析软件</t>
        </is>
      </c>
      <c r="C497" s="586" t="s">
        <v>3261</v>
      </c>
    </row>
    <row r="498" ht="32" customHeight="1" spans="1:4">
      <c r="A498" s="588" t="s">
        <v>2593</v>
      </c>
      <c r="B498" s="589" t="s">
        <v>3262</v>
      </c>
      <c r="C498" s="588" t="s">
        <v>3143</v>
      </c>
    </row>
    <row r="499" ht="32" customHeight="1" spans="1:4">
      <c r="A499" s="586" t="s">
        <v>2593</v>
      </c>
      <c r="B499" s="587" t="s">
        <v>3263</v>
      </c>
      <c r="C499" s="586" t="s">
        <v>3143</v>
      </c>
    </row>
    <row r="500" ht="32" customHeight="1" spans="1:4">
      <c r="A500" s="588" t="s">
        <v>2593</v>
      </c>
      <c r="B500" s="589" t="inlineStr">
        <is>
          <t xml:space="preserve">雇用黑客来破解先进加密系统</t>
        </is>
      </c>
      <c r="C500" s="588" t="s">
        <v>3264</v>
      </c>
    </row>
    <row r="501" ht="32" customHeight="1" spans="1:4">
      <c r="A501" s="586" t="s">
        <v>2593</v>
      </c>
      <c r="B501" s="587" t="s">
        <v>3265</v>
      </c>
      <c r="C501" s="586" t="s">
        <v>3143</v>
      </c>
    </row>
    <row r="502" ht="45.5" customHeight="1" spans="1:4">
      <c r="A502" s="588" t="s">
        <v>2593</v>
      </c>
      <c r="B502" s="589" t="inlineStr">
        <is>
          <t xml:space="preserve">用于监控手机的便携式国际移动用户识别码捕获器</t>
        </is>
      </c>
      <c r="C502" s="588" t="s">
        <v>3266</v>
      </c>
    </row>
    <row r="503" ht="32" customHeight="1" spans="1:4">
      <c r="A503" s="586" t="s">
        <v>2593</v>
      </c>
      <c r="B503" s="587" t="s">
        <v>3267</v>
      </c>
      <c r="C503" s="586" t="s">
        <v>3146</v>
      </c>
    </row>
    <row r="504" ht="32" customHeight="1" spans="1:4">
      <c r="A504" s="588" t="s">
        <v>2593</v>
      </c>
      <c r="B504" s="589" t="inlineStr">
        <is>
          <t xml:space="preserve">独享一颗专用通信卫星</t>
        </is>
      </c>
      <c r="C504" s="588" t="s">
        <v>3259</v>
      </c>
    </row>
    <row r="505" ht="45.5" customHeight="1" spans="1:4">
      <c r="A505" s="586" t="s">
        <v>2586</v>
      </c>
      <c r="B505" s="587" t="s">
        <v>3268</v>
      </c>
      <c r="C505" s="586" t="s">
        <v>3138</v>
      </c>
    </row>
    <row r="506" ht="32" customHeight="1" spans="1:4">
      <c r="A506" s="588" t="s">
        <v>2586</v>
      </c>
      <c r="B506" s="589" t="s">
        <v>3269</v>
      </c>
      <c r="C506" s="588" t="s">
        <v>3138</v>
      </c>
    </row>
    <row r="507" ht="32" customHeight="1" spans="1:4">
      <c r="A507" s="586" t="s">
        <v>2586</v>
      </c>
      <c r="B507" s="587" t="inlineStr">
        <is>
          <t xml:space="preserve">派遣 2-5 名身着制服的当地警员</t>
        </is>
      </c>
      <c r="C507" s="586" t="inlineStr">
        <is>
          <t xml:space="preserve">会招致官方审查。</t>
        </is>
      </c>
    </row>
    <row r="508" ht="32" customHeight="1" spans="1:4">
      <c r="A508" s="588" t="s">
        <v>2586</v>
      </c>
      <c r="B508" s="589" t="s">
        <v>3270</v>
      </c>
      <c r="C508" s="588" t="s">
        <v>3138</v>
      </c>
    </row>
    <row r="509" ht="32" customHeight="1" spans="1:4">
      <c r="A509" s="586" t="s">
        <v>2586</v>
      </c>
      <c r="B509" s="587" t="s">
        <v>3271</v>
      </c>
      <c r="C509" s="586" t="s">
        <v>3138</v>
      </c>
    </row>
    <row r="510" ht="32" customHeight="1" spans="1:4">
      <c r="A510" s="588" t="s">
        <v>2586</v>
      </c>
      <c r="B510" s="589" t="s">
        <v>3272</v>
      </c>
      <c r="C510" s="588" t="s">
        <v>3138</v>
      </c>
    </row>
    <row r="511" ht="32" customHeight="1" spans="1:4">
      <c r="A511" s="586" t="s">
        <v>2586</v>
      </c>
      <c r="B511" s="587" t="s">
        <v>3273</v>
      </c>
      <c r="C511" s="586" t="s">
        <v>3146</v>
      </c>
    </row>
    <row r="512" ht="32" customHeight="1" spans="1:4">
      <c r="A512" s="588" t="s">
        <v>2586</v>
      </c>
      <c r="B512" s="589" t="inlineStr">
        <is>
          <t xml:space="preserve">呼叫当地的 FBI SWAT 小队进行突袭</t>
        </is>
      </c>
      <c r="C512" s="588" t="inlineStr">
        <is>
          <t xml:space="preserve">会招致官方审查。</t>
        </is>
      </c>
    </row>
    <row r="513" ht="45.5" customHeight="1" spans="1:4">
      <c r="A513" s="586" t="s">
        <v>2594</v>
      </c>
      <c r="B513" s="587" t="s">
        <v>3274</v>
      </c>
      <c r="C513" s="586" t="s">
        <v>3126</v>
      </c>
    </row>
    <row r="514" ht="32" customHeight="1" spans="1:4">
      <c r="A514" s="588" t="s">
        <v>2594</v>
      </c>
      <c r="B514" s="589" t="s">
        <v>3275</v>
      </c>
      <c r="C514" s="588" t="s">
        <v>3146</v>
      </c>
    </row>
    <row r="515" ht="32" customHeight="1" spans="1:4">
      <c r="A515" s="586" t="s">
        <v>2594</v>
      </c>
      <c r="B515" s="587" t="inlineStr">
        <is>
          <t xml:space="preserve">呼叫一支特种作战小队进行安保或撤离行动</t>
        </is>
      </c>
      <c r="C515" s="586" t="inlineStr">
        <is>
          <t xml:space="preserve">会招致官方审查。</t>
        </is>
      </c>
    </row>
    <row r="516" ht="32" customHeight="1" spans="1:4">
      <c r="A516" s="588" t="s">
        <v>2594</v>
      </c>
      <c r="B516" s="589" t="s">
        <v>3276</v>
      </c>
      <c r="C516" s="588" t="s">
        <v>3146</v>
      </c>
    </row>
    <row r="517" ht="32" customHeight="1" spans="1:4">
      <c r="A517" s="586" t="s">
        <v>2594</v>
      </c>
      <c r="B517" s="587" t="inlineStr">
        <is>
          <t xml:space="preserve">直升机支援（运载或监控）</t>
        </is>
      </c>
      <c r="C517" s="586" t="inlineStr">
        <is>
          <t xml:space="preserve">会招致官方审查。</t>
        </is>
      </c>
    </row>
    <row r="518" ht="32" customHeight="1" spans="1:4">
      <c r="A518" s="588" t="s">
        <v>2594</v>
      </c>
      <c r="B518" s="589" t="s">
        <v>3277</v>
      </c>
      <c r="C518" s="588" t="s">
        <v>3146</v>
      </c>
    </row>
    <row r="519" ht="32" customHeight="1" spans="1:4">
      <c r="A519" s="586" t="s">
        <v>2594</v>
      </c>
      <c r="B519" s="587" t="inlineStr">
        <is>
          <t xml:space="preserve">导弹空袭</t>
        </is>
      </c>
      <c r="C519" s="586" t="inlineStr">
        <is>
          <t xml:space="preserve">会招致官方审查；不能空袭美国本土。</t>
        </is>
      </c>
    </row>
    <row r="520" ht="45.5" customHeight="1" spans="1:4">
      <c r="A520" s="588" t="s">
        <v>2595</v>
      </c>
      <c r="B520" s="589" t="s">
        <v>2595</v>
      </c>
      <c r="C520" s="588" t="s">
        <v>3278</v>
      </c>
    </row>
    <row r="521" ht="32" customHeight="1" spans="1:4">
      <c r="A521" s="586" t="s">
        <v>2596</v>
      </c>
      <c r="B521" s="587" t="s">
        <v>3279</v>
      </c>
      <c r="C521" s="586" t="s">
        <v>3138</v>
      </c>
    </row>
    <row r="522" ht="45.5" customHeight="1" spans="1:4">
      <c r="A522" s="588" t="s">
        <v>2596</v>
      </c>
      <c r="B522" s="589" t="inlineStr">
        <is>
          <t xml:space="preserve">访问另一个机构的机密文件（与国土安全无关）</t>
        </is>
      </c>
      <c r="C522" s="588" t="s">
        <v>3280</v>
      </c>
    </row>
    <row r="523" ht="32" customHeight="1" spans="1:4">
      <c r="A523" s="586" t="s">
        <v>2596</v>
      </c>
      <c r="B523" s="587" t="s">
        <v>3281</v>
      </c>
      <c r="C523" s="586" t="s">
        <v>3138</v>
      </c>
    </row>
    <row r="524" ht="32" customHeight="1" spans="1:4">
      <c r="A524" s="588" t="s">
        <v>2596</v>
      </c>
      <c r="B524" s="589" t="inlineStr">
        <is>
          <t xml:space="preserve">无人机低空飞越并监控一块特定区域</t>
        </is>
      </c>
      <c r="C524" s="588" t="inlineStr">
        <is>
          <t xml:space="preserve">会招致官方审查。</t>
        </is>
      </c>
    </row>
    <row r="525" ht="32" customHeight="1" spans="1:4">
      <c r="A525" s="586" t="s">
        <v>2596</v>
      </c>
      <c r="B525" s="587" t="s">
        <v>3282</v>
      </c>
      <c r="C525" s="586" t="s">
        <v>3143</v>
      </c>
    </row>
    <row r="526" ht="32" customHeight="1" spans="1:4">
      <c r="A526" s="588" t="s">
        <v>2596</v>
      </c>
      <c r="B526" s="589" t="inlineStr">
        <is>
          <t xml:space="preserve">将一名囚犯关押在“黑狱”中 48 小时</t>
        </is>
      </c>
      <c r="C526" s="588" t="s">
        <v>3283</v>
      </c>
    </row>
    <row r="527" ht="32" customHeight="1" spans="1:4">
      <c r="A527" s="586" t="s">
        <v>2596</v>
      </c>
      <c r="B527" s="587" t="s">
        <v>3284</v>
      </c>
      <c r="C527" s="586" t="s">
        <v>3143</v>
      </c>
    </row>
    <row r="528" ht="32" customHeight="1" spans="1:4">
      <c r="A528" s="588" t="s">
        <v>2596</v>
      </c>
      <c r="B528" s="589" t="s">
        <v>3285</v>
      </c>
      <c r="C528" s="588" t="s">
        <v>3143</v>
      </c>
    </row>
    <row r="529" ht="32" customHeight="1" spans="1:4">
      <c r="A529" s="586" t="s">
        <v>2596</v>
      </c>
      <c r="B529" s="587" t="s">
        <v>3286</v>
      </c>
      <c r="C529" s="586" t="s">
        <v>3143</v>
      </c>
    </row>
    <row r="530" ht="45.5" customHeight="1" spans="1:4">
      <c r="A530" s="588" t="s">
        <v>2596</v>
      </c>
      <c r="B530" s="589" t="inlineStr">
        <is>
          <t xml:space="preserve">访问与国土安全相关和机密文件（特工本不应知道）</t>
        </is>
      </c>
      <c r="C530" s="588" t="s">
        <v>3287</v>
      </c>
    </row>
    <row r="531" ht="45.5" customHeight="1" spans="1:4">
      <c r="A531" s="586" t="s">
        <v>2596</v>
      </c>
      <c r="B531" s="587" t="s">
        <v>3288</v>
      </c>
      <c r="C531" s="586" t="s">
        <v>3146</v>
      </c>
    </row>
    <row r="532" ht="45.5" customHeight="1" spans="1:4">
      <c r="A532" s="588" t="s">
        <v>2596</v>
      </c>
      <c r="B532" s="589" t="inlineStr">
        <is>
          <t xml:space="preserve">无人机或卫星扩展性监控一块特定区域（不仅限于一次短途低空飞越）</t>
        </is>
      </c>
      <c r="C532" s="588" t="inlineStr">
        <is>
          <t xml:space="preserve">会招致官方审查。</t>
        </is>
      </c>
    </row>
    <row r="533" ht="32" customHeight="1" spans="1:4">
      <c r="A533" s="586" t="s">
        <v>2596</v>
      </c>
      <c r="B533" s="587" t="s">
        <v>3289</v>
      </c>
      <c r="C533" s="586" t="s">
        <v>3146</v>
      </c>
    </row>
    <row r="534" ht="32" customHeight="1" spans="1:4">
      <c r="A534" s="588" t="s">
        <v>2596</v>
      </c>
      <c r="B534" s="589" t="inlineStr">
        <is>
          <t xml:space="preserve">呼叫秘密行动队在区域内提供支援</t>
        </is>
      </c>
      <c r="C534" s="588" t="inlineStr">
        <is>
          <t xml:space="preserve">会招致官方审查。</t>
        </is>
      </c>
    </row>
    <row r="535" ht="32" customHeight="1" spans="1:4">
      <c r="A535" s="586" t="s">
        <v>2597</v>
      </c>
      <c r="B535" s="587" t="s">
        <v>3243</v>
      </c>
      <c r="C535" s="586" t="s">
        <v>3129</v>
      </c>
    </row>
    <row r="536" ht="32" customHeight="1" spans="1:4">
      <c r="A536" s="588" t="s">
        <v>2597</v>
      </c>
      <c r="B536" s="589" t="s">
        <v>3290</v>
      </c>
      <c r="C536" s="588" t="s">
        <v>3129</v>
      </c>
    </row>
    <row r="537" ht="32" customHeight="1" spans="1:4">
      <c r="A537" s="586" t="s">
        <v>2597</v>
      </c>
      <c r="B537" s="587" t="s">
        <v>3291</v>
      </c>
      <c r="C537" s="586" t="s">
        <v>3129</v>
      </c>
    </row>
    <row r="538" ht="32" customHeight="1" spans="1:4">
      <c r="A538" s="588" t="s">
        <v>2597</v>
      </c>
      <c r="B538" s="589" t="inlineStr">
        <is>
          <t xml:space="preserve">向地方执法机构提出逮捕申请（以正当理由）</t>
        </is>
      </c>
      <c r="C538" s="588" t="inlineStr">
        <is>
          <t xml:space="preserve">会招致官方审查。</t>
        </is>
      </c>
    </row>
    <row r="539" ht="32" customHeight="1" spans="1:4">
      <c r="A539" s="586" t="s">
        <v>2597</v>
      </c>
      <c r="B539" s="587" t="s">
        <v>3292</v>
      </c>
      <c r="C539" s="586" t="s">
        <v>3138</v>
      </c>
    </row>
    <row r="540" ht="32" customHeight="1" spans="1:4">
      <c r="A540" s="588" t="s">
        <v>2597</v>
      </c>
      <c r="B540" s="589" t="inlineStr">
        <is>
          <t xml:space="preserve">以所谓的环境犯罪为名义，获取进入工地的许可</t>
        </is>
      </c>
      <c r="C540" s="588" t="inlineStr">
        <is>
          <t xml:space="preserve">会招致官方审查。</t>
        </is>
      </c>
    </row>
    <row r="541" ht="32" customHeight="1" spans="1:4">
      <c r="A541" s="586" t="s">
        <v>2597</v>
      </c>
      <c r="B541" s="587" t="s">
        <v>3293</v>
      </c>
      <c r="C541" s="586" t="s">
        <v>3143</v>
      </c>
    </row>
    <row r="542" ht="32" customHeight="1" spans="1:4">
      <c r="A542" s="588" t="s">
        <v>2597</v>
      </c>
      <c r="B542" s="589" t="inlineStr">
        <is>
          <t xml:space="preserve">临时性地关闭一处工地进行环境犯罪调查</t>
        </is>
      </c>
      <c r="C542" s="588" t="inlineStr">
        <is>
          <t xml:space="preserve">会招致官方审查。</t>
        </is>
      </c>
    </row>
    <row r="543" ht="32" customHeight="1" spans="1:4">
      <c r="A543" s="586" t="s">
        <v>2597</v>
      </c>
      <c r="B543" s="587" t="inlineStr">
        <is>
          <t xml:space="preserve">隔离一个场所</t>
        </is>
      </c>
      <c r="C543" s="586" t="s">
        <v>3143</v>
      </c>
    </row>
    <row r="544" ht="32" customHeight="1" spans="1:4">
      <c r="A544" s="588" t="s">
        <v>2597</v>
      </c>
      <c r="B544" s="589" t="inlineStr">
        <is>
          <t xml:space="preserve">隔离一个场所</t>
        </is>
      </c>
      <c r="C544" s="588" t="inlineStr">
        <is>
          <t xml:space="preserve">会招致官方审查。</t>
        </is>
      </c>
    </row>
    <row r="545" ht="32" customHeight="1" spans="1:4">
      <c r="A545" s="586" t="s">
        <v>2597</v>
      </c>
      <c r="B545" s="587" t="s">
        <v>3294</v>
      </c>
      <c r="C545" s="586" t="s">
        <v>3143</v>
      </c>
    </row>
    <row r="546" ht="32" customHeight="1" spans="1:4">
      <c r="A546" s="588" t="s">
        <v>2597</v>
      </c>
      <c r="B546" s="589" t="inlineStr">
        <is>
          <t xml:space="preserve">隔离一块区域</t>
        </is>
      </c>
      <c r="C546" s="588" t="inlineStr">
        <is>
          <t xml:space="preserve">会招致官方审查。</t>
        </is>
      </c>
    </row>
  </sheetData>
  <autoFilter xmlns:etc="http://www.wps.cn/officeDocument/2017/etCustomData" ref="A8:C546" etc:filterBottomFollowUsedRange="0">
    <extLst/>
  </autoFilter>
  <mergeCells count="2">
    <mergeCell ref="A1:C1"/>
    <mergeCell ref="A2:C2"/>
  </mergeCells>
  <hyperlinks>
    <hyperlink ref="A3" location="'规则速查'!A9"/>
    <hyperlink ref="B3" location="'规则速查'!A21"/>
    <hyperlink ref="C3" location="'规则速查'!A33"/>
    <hyperlink ref="A4" location="'规则速查'!A43"/>
    <hyperlink ref="B4" location="'规则速查'!A57"/>
    <hyperlink ref="C4" location="'规则速查'!A66"/>
    <hyperlink ref="A5" location="'规则速查'!A98"/>
    <hyperlink ref="B5" location="'规则速查'!A120"/>
    <hyperlink ref="C5" location="'规则速查'!A153"/>
    <hyperlink ref="A6" location="'规则速查'!A200"/>
    <hyperlink ref="B6" location="'规则速查'!A327"/>
    <hyperlink ref="C6" location="'规则速查'!A347"/>
    <hyperlink ref="A7" location="'人物卡'!B2"/>
    <hyperlink ref="B7" location="'模组经历备忘录'!A1"/>
    <hyperlink ref="C7" r:id="rIdV16Link15"/>
  </hyperlinks>
  <pageMargins left="0.25" right="0.25" top="0.4" bottom="0.4" header="0.15" footer="0.15"/>
  <pageSetup paperSize="9" fitToHeight="0" orientation="portrait"/>
  <headerFooter>
    <oddHeader>&amp;C&amp;9 绿色三角洲｜规则速查</oddHeader>
    <oddFooter>&amp;C&amp;8 绿色三角洲规则速查 · v1.10 · 第 &amp;P /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104"/>
  <sheetViews>
    <sheetView showGridLines="0" zoomScale="90" zoomScaleNormal="90" workbookViewId="0">
      <selection activeCell="A1" sqref="A1:AJ3"/>
    </sheetView>
  </sheetViews>
  <sheetFormatPr defaultColWidth="2.6" defaultRowHeight="14"/>
  <cols>
    <col min="1" max="36" width="2.6" customWidth="1"/>
  </cols>
  <sheetData>
    <row r="1" ht="14.4" customHeight="1" spans="1:36">
      <c r="A1" s="724" t="inlineStr">
        <is>
          <t>绿色三角洲人物卡</t>
        </is>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c r="AI1" s="725"/>
      <c r="AJ1" s="726"/>
    </row>
    <row r="2" ht="14.4" customHeight="1" spans="1:36">
      <c r="A2" s="727"/>
      <c r="AJ2" s="728"/>
    </row>
    <row r="3" ht="14.4" customHeight="1" spans="1:36">
      <c r="A3" s="729"/>
      <c r="B3" s="730"/>
      <c r="C3" s="730"/>
      <c r="D3" s="730"/>
      <c r="E3" s="730"/>
      <c r="F3" s="730"/>
      <c r="G3" s="730"/>
      <c r="H3" s="730"/>
      <c r="I3" s="730"/>
      <c r="J3" s="730"/>
      <c r="K3" s="730"/>
      <c r="L3" s="730"/>
      <c r="M3" s="730"/>
      <c r="N3" s="730"/>
      <c r="O3" s="730"/>
      <c r="P3" s="730"/>
      <c r="Q3" s="730"/>
      <c r="R3" s="730"/>
      <c r="S3" s="730"/>
      <c r="T3" s="730"/>
      <c r="U3" s="730"/>
      <c r="V3" s="730"/>
      <c r="W3" s="730"/>
      <c r="X3" s="730"/>
      <c r="Y3" s="730"/>
      <c r="Z3" s="730"/>
      <c r="AA3" s="730"/>
      <c r="AB3" s="730"/>
      <c r="AC3" s="730"/>
      <c r="AD3" s="730"/>
      <c r="AE3" s="730"/>
      <c r="AF3" s="730"/>
      <c r="AG3" s="730"/>
      <c r="AH3" s="730"/>
      <c r="AI3" s="730"/>
      <c r="AJ3" s="731"/>
    </row>
    <row r="4" ht="14.4" customHeight="1" spans="1:36">
      <c r="A4" s="9" t="s">
        <v>3295</v>
      </c>
      <c r="B4" s="10"/>
      <c r="C4" s="10"/>
      <c r="D4" s="10"/>
      <c r="E4" s="10"/>
      <c r="F4" s="10"/>
      <c r="G4" s="10"/>
      <c r="H4" s="10"/>
      <c r="I4" s="10"/>
      <c r="J4" s="10"/>
      <c r="K4" s="10"/>
      <c r="L4" s="10"/>
      <c r="M4" s="10"/>
      <c r="N4" s="10"/>
      <c r="O4" s="10"/>
      <c r="P4" s="10"/>
      <c r="Q4" s="10"/>
      <c r="R4" s="11"/>
      <c r="S4" s="9" t="s">
        <v>3296</v>
      </c>
      <c r="T4" s="10"/>
      <c r="U4" s="10"/>
      <c r="V4" s="10"/>
      <c r="W4" s="10"/>
      <c r="X4" s="10"/>
      <c r="Y4" s="10"/>
      <c r="Z4" s="10"/>
      <c r="AA4" s="10"/>
      <c r="AB4" s="10"/>
      <c r="AC4" s="10"/>
      <c r="AD4" s="10"/>
      <c r="AE4" s="10"/>
      <c r="AF4" s="10"/>
      <c r="AG4" s="10"/>
      <c r="AH4" s="10"/>
      <c r="AI4" s="10"/>
      <c r="AJ4" s="11"/>
    </row>
    <row r="5" ht="14.4" customHeight="1" spans="1:36">
      <c r="A5" s="12" t="str">
        <f>IF(人物卡!E4="","",人物卡!E4)</f>
        <v/>
      </c>
      <c r="B5" s="10"/>
      <c r="C5" s="10"/>
      <c r="D5" s="10"/>
      <c r="E5" s="10"/>
      <c r="F5" s="10"/>
      <c r="G5" s="10"/>
      <c r="H5" s="10"/>
      <c r="I5" s="10"/>
      <c r="J5" s="10"/>
      <c r="K5" s="10"/>
      <c r="L5" s="10"/>
      <c r="M5" s="10"/>
      <c r="N5" s="10"/>
      <c r="O5" s="10"/>
      <c r="P5" s="10"/>
      <c r="Q5" s="10"/>
      <c r="R5" s="11"/>
      <c r="S5" s="13" t="str">
        <f>IF(人物卡!E8&lt;&gt;"",人物卡!E8,IF(OR(人物卡!H46="（创建新职业）",人物卡!H46=""),"",人物卡!H46))</f>
        <v/>
      </c>
      <c r="T5" s="10"/>
      <c r="U5" s="10"/>
      <c r="V5" s="10"/>
      <c r="W5" s="10"/>
      <c r="X5" s="10"/>
      <c r="Y5" s="10"/>
      <c r="Z5" s="10"/>
      <c r="AA5" s="10"/>
      <c r="AB5" s="10"/>
      <c r="AC5" s="10"/>
      <c r="AD5" s="10"/>
      <c r="AE5" s="10"/>
      <c r="AF5" s="10"/>
      <c r="AG5" s="10"/>
      <c r="AH5" s="10"/>
      <c r="AI5" s="10"/>
      <c r="AJ5" s="11"/>
    </row>
    <row r="6" ht="14.4" customHeight="1" spans="1:36">
      <c r="A6" s="9" t="s">
        <v>3297</v>
      </c>
      <c r="B6" s="10"/>
      <c r="C6" s="10"/>
      <c r="D6" s="10"/>
      <c r="E6" s="10"/>
      <c r="F6" s="10"/>
      <c r="G6" s="10"/>
      <c r="H6" s="10"/>
      <c r="I6" s="10"/>
      <c r="J6" s="10"/>
      <c r="K6" s="10"/>
      <c r="L6" s="10"/>
      <c r="M6" s="10"/>
      <c r="N6" s="10"/>
      <c r="O6" s="10"/>
      <c r="P6" s="10"/>
      <c r="Q6" s="10"/>
      <c r="R6" s="11"/>
      <c r="S6" s="9" t="s">
        <v>3298</v>
      </c>
      <c r="T6" s="10"/>
      <c r="U6" s="10"/>
      <c r="V6" s="10"/>
      <c r="W6" s="10"/>
      <c r="X6" s="10"/>
      <c r="Y6" s="10"/>
      <c r="Z6" s="10"/>
      <c r="AA6" s="10"/>
      <c r="AB6" s="10"/>
      <c r="AC6" s="10"/>
      <c r="AD6" s="10"/>
      <c r="AE6" s="10"/>
      <c r="AF6" s="10"/>
      <c r="AG6" s="10"/>
      <c r="AH6" s="10"/>
      <c r="AI6" s="10"/>
      <c r="AJ6" s="11"/>
    </row>
    <row r="7" ht="14.4" customHeight="1" spans="1:36">
      <c r="A7" s="13" t="str">
        <f>IF(人物卡!E7="","",人物卡!E7)</f>
        <v/>
      </c>
      <c r="B7" s="10"/>
      <c r="C7" s="10"/>
      <c r="D7" s="10"/>
      <c r="E7" s="10"/>
      <c r="F7" s="10"/>
      <c r="G7" s="10"/>
      <c r="H7" s="10"/>
      <c r="I7" s="10"/>
      <c r="J7" s="10"/>
      <c r="K7" s="10"/>
      <c r="L7" s="10"/>
      <c r="M7" s="10"/>
      <c r="N7" s="10"/>
      <c r="O7" s="10"/>
      <c r="P7" s="10"/>
      <c r="Q7" s="10"/>
      <c r="R7" s="11"/>
      <c r="S7" s="13" t="str">
        <f>IF(人物卡!E6="","",人物卡!E6)</f>
        <v/>
      </c>
      <c r="T7" s="10"/>
      <c r="U7" s="10"/>
      <c r="V7" s="10"/>
      <c r="W7" s="10"/>
      <c r="X7" s="10"/>
      <c r="Y7" s="10"/>
      <c r="Z7" s="10"/>
      <c r="AA7" s="10"/>
      <c r="AB7" s="10"/>
      <c r="AC7" s="10"/>
      <c r="AD7" s="10"/>
      <c r="AE7" s="10"/>
      <c r="AF7" s="10"/>
      <c r="AG7" s="10"/>
      <c r="AH7" s="10"/>
      <c r="AI7" s="10"/>
      <c r="AJ7" s="11"/>
    </row>
    <row r="8" ht="14.4" customHeight="1" spans="1:36">
      <c r="A8" s="9" t="s">
        <v>3299</v>
      </c>
      <c r="B8" s="10"/>
      <c r="C8" s="10"/>
      <c r="D8" s="10"/>
      <c r="E8" s="10"/>
      <c r="F8" s="10"/>
      <c r="G8" s="11"/>
      <c r="H8" s="9" t="s">
        <v>3300</v>
      </c>
      <c r="I8" s="10"/>
      <c r="J8" s="10"/>
      <c r="K8" s="10"/>
      <c r="L8" s="10"/>
      <c r="M8" s="11"/>
      <c r="N8" s="9" t="s">
        <v>3301</v>
      </c>
      <c r="O8" s="10"/>
      <c r="P8" s="10"/>
      <c r="Q8" s="10"/>
      <c r="R8" s="10"/>
      <c r="S8" s="10"/>
      <c r="T8" s="10"/>
      <c r="U8" s="10"/>
      <c r="V8" s="10"/>
      <c r="W8" s="10"/>
      <c r="X8" s="10"/>
      <c r="Y8" s="10"/>
      <c r="Z8" s="10"/>
      <c r="AA8" s="10"/>
      <c r="AB8" s="10"/>
      <c r="AC8" s="10"/>
      <c r="AD8" s="10"/>
      <c r="AE8" s="10"/>
      <c r="AF8" s="10"/>
      <c r="AG8" s="10"/>
      <c r="AH8" s="10"/>
      <c r="AI8" s="10"/>
      <c r="AJ8" s="11"/>
    </row>
    <row r="9" ht="14.4" customHeight="1" spans="1:36">
      <c r="A9" s="13" t="str">
        <f>IF(人物卡!E5="","",人物卡!E5)</f>
        <v/>
      </c>
      <c r="B9" s="10"/>
      <c r="C9" s="10"/>
      <c r="D9" s="10"/>
      <c r="E9" s="10"/>
      <c r="F9" s="10"/>
      <c r="G9" s="11"/>
      <c r="H9" s="13" t="str">
        <f>IF(人物卡!Q5="","",人物卡!Q5)</f>
        <v/>
      </c>
      <c r="I9" s="10"/>
      <c r="J9" s="10"/>
      <c r="K9" s="10"/>
      <c r="L9" s="10"/>
      <c r="M9" s="11"/>
      <c r="N9" s="13" t="str">
        <f>IF(人物卡!BI27="","",IF(LEN(人物卡!BI27)&gt;35,"详见背面个人详情及备注",人物卡!BI27))</f>
        <v/>
      </c>
      <c r="O9" s="10"/>
      <c r="P9" s="10"/>
      <c r="Q9" s="10"/>
      <c r="R9" s="10"/>
      <c r="S9" s="10"/>
      <c r="T9" s="10"/>
      <c r="U9" s="10"/>
      <c r="V9" s="10"/>
      <c r="W9" s="10"/>
      <c r="X9" s="10"/>
      <c r="Y9" s="10"/>
      <c r="Z9" s="10"/>
      <c r="AA9" s="10"/>
      <c r="AB9" s="10"/>
      <c r="AC9" s="10"/>
      <c r="AD9" s="10"/>
      <c r="AE9" s="10"/>
      <c r="AF9" s="10"/>
      <c r="AG9" s="10"/>
      <c r="AH9" s="10"/>
      <c r="AI9" s="10"/>
      <c r="AJ9" s="11"/>
    </row>
    <row r="10" ht="14.4" customHeight="1" spans="1:36">
      <c r="A10" s="9" t="s">
        <v>3302</v>
      </c>
      <c r="B10" s="10"/>
      <c r="C10" s="10"/>
      <c r="D10" s="10"/>
      <c r="E10" s="10"/>
      <c r="F10" s="11"/>
      <c r="G10" s="9" t="s">
        <v>83</v>
      </c>
      <c r="H10" s="10"/>
      <c r="I10" s="11"/>
      <c r="J10" s="9" t="s">
        <v>3</v>
      </c>
      <c r="K10" s="10"/>
      <c r="L10" s="11"/>
      <c r="M10" s="9" t="s">
        <v>3303</v>
      </c>
      <c r="N10" s="10"/>
      <c r="O10" s="10"/>
      <c r="P10" s="10"/>
      <c r="Q10" s="10"/>
      <c r="R10" s="10"/>
      <c r="S10" s="11"/>
      <c r="T10" s="9" t="s">
        <v>3304</v>
      </c>
      <c r="U10" s="10"/>
      <c r="V10" s="10"/>
      <c r="W10" s="10"/>
      <c r="X10" s="10"/>
      <c r="Y10" s="10"/>
      <c r="Z10" s="10"/>
      <c r="AA10" s="10"/>
      <c r="AB10" s="10"/>
      <c r="AC10" s="10"/>
      <c r="AD10" s="10"/>
      <c r="AE10" s="10"/>
      <c r="AF10" s="11"/>
      <c r="AG10" s="9" t="s">
        <v>3305</v>
      </c>
      <c r="AH10" s="10"/>
      <c r="AI10" s="10"/>
      <c r="AJ10" s="11"/>
    </row>
    <row r="11" ht="14.4" customHeight="1" spans="1:36">
      <c r="A11" s="14" t="s">
        <v>3306</v>
      </c>
      <c r="B11" s="10"/>
      <c r="C11" s="10"/>
      <c r="D11" s="10"/>
      <c r="E11" s="10"/>
      <c r="F11" s="11"/>
      <c r="G11" s="15">
        <f>IF(人物卡!AH3="",0,人物卡!AH3)</f>
        <v>0</v>
      </c>
      <c r="H11" s="10"/>
      <c r="I11" s="11"/>
      <c r="J11" s="15">
        <f>IF(人物卡!AK3="",0,人物卡!AK3)</f>
        <v>0</v>
      </c>
      <c r="K11" s="10"/>
      <c r="L11" s="11"/>
      <c r="M11" s="16" t="str">
        <f>IF(人物卡!AQ3="","",人物卡!AQ3)</f>
        <v/>
      </c>
      <c r="N11" s="10"/>
      <c r="O11" s="10"/>
      <c r="P11" s="10"/>
      <c r="Q11" s="10"/>
      <c r="R11" s="10"/>
      <c r="S11" s="11"/>
      <c r="T11" s="13" t="str">
        <f>IF(人物卡!CZ23="","",IF(人物卡!EF24="√","[DG] ","")&amp;人物卡!CZ23)</f>
        <v/>
      </c>
      <c r="U11" s="10"/>
      <c r="V11" s="10"/>
      <c r="W11" s="10"/>
      <c r="X11" s="10"/>
      <c r="Y11" s="10"/>
      <c r="Z11" s="10"/>
      <c r="AA11" s="10"/>
      <c r="AB11" s="10"/>
      <c r="AC11" s="10"/>
      <c r="AD11" s="10"/>
      <c r="AE11" s="10"/>
      <c r="AF11" s="11"/>
      <c r="AG11" s="15" t="str">
        <f>IF(人物卡!ED24="","",人物卡!ED24)</f>
        <v/>
      </c>
      <c r="AH11" s="10"/>
      <c r="AI11" s="10"/>
      <c r="AJ11" s="11"/>
    </row>
    <row r="12" ht="14.4" customHeight="1" spans="1:36">
      <c r="A12" s="14" t="s">
        <v>3307</v>
      </c>
      <c r="B12" s="10"/>
      <c r="C12" s="10"/>
      <c r="D12" s="10"/>
      <c r="E12" s="10"/>
      <c r="F12" s="11"/>
      <c r="G12" s="15">
        <f>IF(人物卡!AH4="",0,人物卡!AH4)</f>
        <v>0</v>
      </c>
      <c r="H12" s="10"/>
      <c r="I12" s="11"/>
      <c r="J12" s="15">
        <f>IF(人物卡!AK4="",0,人物卡!AK4)</f>
        <v>0</v>
      </c>
      <c r="K12" s="10"/>
      <c r="L12" s="11"/>
      <c r="M12" s="16" t="str">
        <f>IF(人物卡!AQ4="","",人物卡!AQ4)</f>
        <v/>
      </c>
      <c r="N12" s="10"/>
      <c r="O12" s="10"/>
      <c r="P12" s="10"/>
      <c r="Q12" s="10"/>
      <c r="R12" s="10"/>
      <c r="S12" s="11"/>
      <c r="T12" s="13" t="str">
        <f>IF(人物卡!CZ26="","",IF(人物卡!EF27="√","[DG] ","")&amp;人物卡!CZ26)</f>
        <v/>
      </c>
      <c r="U12" s="10"/>
      <c r="V12" s="10"/>
      <c r="W12" s="10"/>
      <c r="X12" s="10"/>
      <c r="Y12" s="10"/>
      <c r="Z12" s="10"/>
      <c r="AA12" s="10"/>
      <c r="AB12" s="10"/>
      <c r="AC12" s="10"/>
      <c r="AD12" s="10"/>
      <c r="AE12" s="10"/>
      <c r="AF12" s="11"/>
      <c r="AG12" s="15" t="str">
        <f>IF(人物卡!ED27="","",人物卡!ED27)</f>
        <v/>
      </c>
      <c r="AH12" s="10"/>
      <c r="AI12" s="10"/>
      <c r="AJ12" s="11"/>
    </row>
    <row r="13" ht="14.4" customHeight="1" spans="1:36">
      <c r="A13" s="14" t="s">
        <v>3308</v>
      </c>
      <c r="B13" s="10"/>
      <c r="C13" s="10"/>
      <c r="D13" s="10"/>
      <c r="E13" s="10"/>
      <c r="F13" s="11"/>
      <c r="G13" s="15">
        <f>IF(人物卡!AH5="",0,人物卡!AH5)</f>
        <v>0</v>
      </c>
      <c r="H13" s="10"/>
      <c r="I13" s="11"/>
      <c r="J13" s="15">
        <f>IF(人物卡!AK5="",0,人物卡!AK5)</f>
        <v>0</v>
      </c>
      <c r="K13" s="10"/>
      <c r="L13" s="11"/>
      <c r="M13" s="16" t="str">
        <f>IF(人物卡!AQ5="","",人物卡!AQ5)</f>
        <v/>
      </c>
      <c r="N13" s="10"/>
      <c r="O13" s="10"/>
      <c r="P13" s="10"/>
      <c r="Q13" s="10"/>
      <c r="R13" s="10"/>
      <c r="S13" s="11"/>
      <c r="T13" s="13" t="str">
        <f>IF(人物卡!CZ29="","",IF(人物卡!EF30="√","[DG] ","")&amp;人物卡!CZ29)</f>
        <v/>
      </c>
      <c r="U13" s="10"/>
      <c r="V13" s="10"/>
      <c r="W13" s="10"/>
      <c r="X13" s="10"/>
      <c r="Y13" s="10"/>
      <c r="Z13" s="10"/>
      <c r="AA13" s="10"/>
      <c r="AB13" s="10"/>
      <c r="AC13" s="10"/>
      <c r="AD13" s="10"/>
      <c r="AE13" s="10"/>
      <c r="AF13" s="11"/>
      <c r="AG13" s="15" t="str">
        <f>IF(人物卡!ED30="","",人物卡!ED30)</f>
        <v/>
      </c>
      <c r="AH13" s="10"/>
      <c r="AI13" s="10"/>
      <c r="AJ13" s="11"/>
    </row>
    <row r="14" ht="14.4" customHeight="1" spans="1:36">
      <c r="A14" s="14" t="s">
        <v>3309</v>
      </c>
      <c r="B14" s="10"/>
      <c r="C14" s="10"/>
      <c r="D14" s="10"/>
      <c r="E14" s="10"/>
      <c r="F14" s="11"/>
      <c r="G14" s="15">
        <f>IF(人物卡!AH6="",0,人物卡!AH6)</f>
        <v>0</v>
      </c>
      <c r="H14" s="10"/>
      <c r="I14" s="11"/>
      <c r="J14" s="15">
        <f>IF(人物卡!AK6="",0,人物卡!AK6)</f>
        <v>0</v>
      </c>
      <c r="K14" s="10"/>
      <c r="L14" s="11"/>
      <c r="M14" s="16" t="str">
        <f>IF(人物卡!AQ6="","",人物卡!AQ6)</f>
        <v/>
      </c>
      <c r="N14" s="10"/>
      <c r="O14" s="10"/>
      <c r="P14" s="10"/>
      <c r="Q14" s="10"/>
      <c r="R14" s="10"/>
      <c r="S14" s="11"/>
      <c r="T14" s="13" t="str">
        <f>IF(人物卡!CZ32="","",IF(人物卡!EF33="√","[DG] ","")&amp;人物卡!CZ32)</f>
        <v/>
      </c>
      <c r="U14" s="10"/>
      <c r="V14" s="10"/>
      <c r="W14" s="10"/>
      <c r="X14" s="10"/>
      <c r="Y14" s="10"/>
      <c r="Z14" s="10"/>
      <c r="AA14" s="10"/>
      <c r="AB14" s="10"/>
      <c r="AC14" s="10"/>
      <c r="AD14" s="10"/>
      <c r="AE14" s="10"/>
      <c r="AF14" s="11"/>
      <c r="AG14" s="15" t="str">
        <f>IF(人物卡!ED33="","",人物卡!ED33)</f>
        <v/>
      </c>
      <c r="AH14" s="10"/>
      <c r="AI14" s="10"/>
      <c r="AJ14" s="11"/>
    </row>
    <row r="15" ht="14.4" customHeight="1" spans="1:36">
      <c r="A15" s="14" t="s">
        <v>3310</v>
      </c>
      <c r="B15" s="10"/>
      <c r="C15" s="10"/>
      <c r="D15" s="10"/>
      <c r="E15" s="10"/>
      <c r="F15" s="11"/>
      <c r="G15" s="15">
        <f>IF(人物卡!AH7="",0,人物卡!AH7)</f>
        <v>0</v>
      </c>
      <c r="H15" s="10"/>
      <c r="I15" s="11"/>
      <c r="J15" s="15">
        <f>IF(人物卡!AK7="",0,人物卡!AK7)</f>
        <v>0</v>
      </c>
      <c r="K15" s="10"/>
      <c r="L15" s="11"/>
      <c r="M15" s="16" t="str">
        <f>IF(人物卡!AQ7="","",人物卡!AQ7)</f>
        <v/>
      </c>
      <c r="N15" s="10"/>
      <c r="O15" s="10"/>
      <c r="P15" s="10"/>
      <c r="Q15" s="10"/>
      <c r="R15" s="10"/>
      <c r="S15" s="11"/>
      <c r="T15" s="13" t="str">
        <f>IF(人物卡!CZ35="","",IF(人物卡!EF36="√","[DG] ","")&amp;人物卡!CZ35)</f>
        <v/>
      </c>
      <c r="U15" s="10"/>
      <c r="V15" s="10"/>
      <c r="W15" s="10"/>
      <c r="X15" s="10"/>
      <c r="Y15" s="10"/>
      <c r="Z15" s="10"/>
      <c r="AA15" s="10"/>
      <c r="AB15" s="10"/>
      <c r="AC15" s="10"/>
      <c r="AD15" s="10"/>
      <c r="AE15" s="10"/>
      <c r="AF15" s="11"/>
      <c r="AG15" s="15" t="str">
        <f>IF(人物卡!ED36="","",人物卡!ED36)</f>
        <v/>
      </c>
      <c r="AH15" s="10"/>
      <c r="AI15" s="10"/>
      <c r="AJ15" s="11"/>
    </row>
    <row r="16" ht="14.4" customHeight="1" spans="1:36">
      <c r="A16" s="14" t="s">
        <v>3311</v>
      </c>
      <c r="B16" s="10"/>
      <c r="C16" s="10"/>
      <c r="D16" s="10"/>
      <c r="E16" s="10"/>
      <c r="F16" s="11"/>
      <c r="G16" s="15">
        <f>IF(人物卡!AH8="",0,人物卡!AH8)</f>
        <v>0</v>
      </c>
      <c r="H16" s="10"/>
      <c r="I16" s="11"/>
      <c r="J16" s="15">
        <f>IF(人物卡!AK8="",0,人物卡!AK8)</f>
        <v>0</v>
      </c>
      <c r="K16" s="10"/>
      <c r="L16" s="11"/>
      <c r="M16" s="16" t="str">
        <f>IF(人物卡!AQ8="","",人物卡!AQ8)</f>
        <v/>
      </c>
      <c r="N16" s="10"/>
      <c r="O16" s="10"/>
      <c r="P16" s="10"/>
      <c r="Q16" s="10"/>
      <c r="R16" s="10"/>
      <c r="S16" s="11"/>
      <c r="T16" s="17" t="s">
        <v>3312</v>
      </c>
      <c r="U16" s="10"/>
      <c r="V16" s="10"/>
      <c r="W16" s="10"/>
      <c r="X16" s="10"/>
      <c r="Y16" s="10"/>
      <c r="Z16" s="10"/>
      <c r="AA16" s="10"/>
      <c r="AB16" s="10"/>
      <c r="AC16" s="10"/>
      <c r="AD16" s="10"/>
      <c r="AE16" s="10"/>
      <c r="AF16" s="10"/>
      <c r="AG16" s="10"/>
      <c r="AH16" s="10"/>
      <c r="AI16" s="10"/>
      <c r="AJ16" s="11"/>
    </row>
    <row r="17" ht="14.4" customHeight="1" spans="1:36">
      <c r="A17" s="9" t="s">
        <v>3313</v>
      </c>
      <c r="B17" s="10"/>
      <c r="C17" s="10"/>
      <c r="D17" s="10"/>
      <c r="E17" s="10"/>
      <c r="F17" s="10"/>
      <c r="G17" s="10"/>
      <c r="H17" s="11"/>
      <c r="I17" s="9" t="s">
        <v>3314</v>
      </c>
      <c r="J17" s="10"/>
      <c r="K17" s="10"/>
      <c r="L17" s="10"/>
      <c r="M17" s="10"/>
      <c r="N17" s="11"/>
      <c r="O17" s="9" t="s">
        <v>3315</v>
      </c>
      <c r="P17" s="10"/>
      <c r="Q17" s="10"/>
      <c r="R17" s="10"/>
      <c r="S17" s="11"/>
      <c r="T17" s="9" t="s">
        <v>3316</v>
      </c>
      <c r="U17" s="10"/>
      <c r="V17" s="10"/>
      <c r="W17" s="10"/>
      <c r="X17" s="10"/>
      <c r="Y17" s="10"/>
      <c r="Z17" s="10"/>
      <c r="AA17" s="10"/>
      <c r="AB17" s="10"/>
      <c r="AC17" s="10"/>
      <c r="AD17" s="10"/>
      <c r="AE17" s="10"/>
      <c r="AF17" s="10"/>
      <c r="AG17" s="10"/>
      <c r="AH17" s="10"/>
      <c r="AI17" s="10"/>
      <c r="AJ17" s="11"/>
    </row>
    <row r="18" ht="14.4" customHeight="1" spans="1:36">
      <c r="A18" s="13" t="s">
        <v>3317</v>
      </c>
      <c r="B18" s="10"/>
      <c r="C18" s="10"/>
      <c r="D18" s="10"/>
      <c r="E18" s="10"/>
      <c r="F18" s="10"/>
      <c r="G18" s="10"/>
      <c r="H18" s="11"/>
      <c r="I18" s="15">
        <f>IF(人物卡!K10="",0,人物卡!K10)</f>
        <v>0</v>
      </c>
      <c r="J18" s="10"/>
      <c r="K18" s="10"/>
      <c r="L18" s="10"/>
      <c r="M18" s="10"/>
      <c r="N18" s="11"/>
      <c r="O18" s="15">
        <f>IF(人物卡!H10="",0,人物卡!H10)</f>
        <v>0</v>
      </c>
      <c r="P18" s="10"/>
      <c r="Q18" s="10"/>
      <c r="R18" s="10"/>
      <c r="S18" s="11"/>
      <c r="T18" s="18" t="str">
        <f>IF(人物卡!BN17="","",人物卡!BN17)</f>
        <v/>
      </c>
      <c r="U18" s="2"/>
      <c r="V18" s="2"/>
      <c r="W18" s="2"/>
      <c r="X18" s="2"/>
      <c r="Y18" s="2"/>
      <c r="Z18" s="2"/>
      <c r="AA18" s="2"/>
      <c r="AB18" s="2"/>
      <c r="AC18" s="2"/>
      <c r="AD18" s="2"/>
      <c r="AE18" s="2"/>
      <c r="AF18" s="2"/>
      <c r="AG18" s="2"/>
      <c r="AH18" s="2"/>
      <c r="AI18" s="2"/>
      <c r="AJ18" s="3"/>
    </row>
    <row r="19" ht="14.4" customHeight="1" spans="1:36">
      <c r="A19" s="13" t="s">
        <v>3318</v>
      </c>
      <c r="B19" s="10"/>
      <c r="C19" s="10"/>
      <c r="D19" s="10"/>
      <c r="E19" s="10"/>
      <c r="F19" s="10"/>
      <c r="G19" s="10"/>
      <c r="H19" s="11"/>
      <c r="I19" s="15">
        <f>IF(人物卡!Y10="",0,人物卡!Y10)</f>
        <v>0</v>
      </c>
      <c r="J19" s="10"/>
      <c r="K19" s="10"/>
      <c r="L19" s="10"/>
      <c r="M19" s="10"/>
      <c r="N19" s="11"/>
      <c r="O19" s="15">
        <f>IF(人物卡!V10="",0,人物卡!V10)</f>
        <v>0</v>
      </c>
      <c r="P19" s="10"/>
      <c r="Q19" s="10"/>
      <c r="R19" s="10"/>
      <c r="S19" s="11"/>
      <c r="T19" s="4"/>
      <c r="AJ19" s="5"/>
    </row>
    <row r="20" ht="14.4" customHeight="1" spans="1:36">
      <c r="A20" s="13" t="s">
        <v>3319</v>
      </c>
      <c r="B20" s="10"/>
      <c r="C20" s="10"/>
      <c r="D20" s="10"/>
      <c r="E20" s="10"/>
      <c r="F20" s="10"/>
      <c r="G20" s="10"/>
      <c r="H20" s="11"/>
      <c r="I20" s="15">
        <f>IF(人物卡!AK10="",0,人物卡!AK10)</f>
        <v>99</v>
      </c>
      <c r="J20" s="10"/>
      <c r="K20" s="10"/>
      <c r="L20" s="10"/>
      <c r="M20" s="10"/>
      <c r="N20" s="11"/>
      <c r="O20" s="15">
        <f>IF(人物卡!AH10="",0,人物卡!AH10)</f>
        <v>0</v>
      </c>
      <c r="P20" s="10"/>
      <c r="Q20" s="10"/>
      <c r="R20" s="10"/>
      <c r="S20" s="11"/>
      <c r="T20" s="4"/>
      <c r="AJ20" s="5"/>
    </row>
    <row r="21" ht="14.4" customHeight="1" spans="1:36">
      <c r="A21" s="13" t="s">
        <v>3320</v>
      </c>
      <c r="B21" s="10"/>
      <c r="C21" s="10"/>
      <c r="D21" s="10"/>
      <c r="E21" s="10"/>
      <c r="F21" s="10"/>
      <c r="G21" s="10"/>
      <c r="H21" s="11"/>
      <c r="I21" s="15" t="s">
        <v>2389</v>
      </c>
      <c r="J21" s="10"/>
      <c r="K21" s="10"/>
      <c r="L21" s="10"/>
      <c r="M21" s="10"/>
      <c r="N21" s="11"/>
      <c r="O21" s="15">
        <f>IF(人物卡!AU10="",0,人物卡!AU10)</f>
        <v>0</v>
      </c>
      <c r="P21" s="10"/>
      <c r="Q21" s="10"/>
      <c r="R21" s="10"/>
      <c r="S21" s="11"/>
      <c r="T21" s="4"/>
      <c r="AJ21" s="5"/>
    </row>
    <row r="22" ht="14.4" customHeight="1" spans="1:36">
      <c r="A22" s="9" t="s">
        <v>3321</v>
      </c>
      <c r="B22" s="10"/>
      <c r="C22" s="10"/>
      <c r="D22" s="10"/>
      <c r="E22" s="10"/>
      <c r="F22" s="10"/>
      <c r="G22" s="10"/>
      <c r="H22" s="10"/>
      <c r="I22" s="10"/>
      <c r="J22" s="10"/>
      <c r="K22" s="10"/>
      <c r="L22" s="10"/>
      <c r="M22" s="10"/>
      <c r="N22" s="10"/>
      <c r="O22" s="10"/>
      <c r="P22" s="10"/>
      <c r="Q22" s="10"/>
      <c r="R22" s="10"/>
      <c r="S22" s="11"/>
      <c r="T22" s="4"/>
      <c r="AJ22" s="5"/>
    </row>
    <row r="23" ht="14.4" customHeight="1" spans="1:36">
      <c r="A23" s="18" t="str">
        <f>IF(人物卡!BN14="","",人物卡!BN14)</f>
        <v/>
      </c>
      <c r="B23" s="2"/>
      <c r="C23" s="2"/>
      <c r="D23" s="2"/>
      <c r="E23" s="2"/>
      <c r="F23" s="2"/>
      <c r="G23" s="2"/>
      <c r="H23" s="2"/>
      <c r="I23" s="2"/>
      <c r="J23" s="2"/>
      <c r="K23" s="2"/>
      <c r="L23" s="2"/>
      <c r="M23" s="2"/>
      <c r="N23" s="2"/>
      <c r="O23" s="2"/>
      <c r="P23" s="2"/>
      <c r="Q23" s="2"/>
      <c r="R23" s="2"/>
      <c r="S23" s="3"/>
      <c r="T23" s="4"/>
      <c r="AJ23" s="5"/>
    </row>
    <row r="24" ht="14.4" customHeight="1" spans="1:36">
      <c r="A24" s="4"/>
      <c r="S24" s="5"/>
      <c r="T24" s="6"/>
      <c r="U24" s="7"/>
      <c r="V24" s="7"/>
      <c r="W24" s="7"/>
      <c r="X24" s="7"/>
      <c r="Y24" s="7"/>
      <c r="Z24" s="7"/>
      <c r="AA24" s="7"/>
      <c r="AB24" s="7"/>
      <c r="AC24" s="7"/>
      <c r="AD24" s="7"/>
      <c r="AE24" s="7"/>
      <c r="AF24" s="7"/>
      <c r="AG24" s="7"/>
      <c r="AH24" s="7"/>
      <c r="AI24" s="7"/>
      <c r="AJ24" s="8"/>
    </row>
    <row r="25" ht="14.4" customHeight="1" spans="1:36">
      <c r="A25" s="4"/>
      <c r="S25" s="5"/>
      <c r="T25" s="9" t="s">
        <v>3322</v>
      </c>
      <c r="U25" s="10"/>
      <c r="V25" s="10"/>
      <c r="W25" s="10"/>
      <c r="X25" s="10"/>
      <c r="Y25" s="10"/>
      <c r="Z25" s="10"/>
      <c r="AA25" s="10"/>
      <c r="AB25" s="10"/>
      <c r="AC25" s="10"/>
      <c r="AD25" s="10"/>
      <c r="AE25" s="10"/>
      <c r="AF25" s="10"/>
      <c r="AG25" s="10"/>
      <c r="AH25" s="10"/>
      <c r="AI25" s="10"/>
      <c r="AJ25" s="11"/>
    </row>
    <row r="26" ht="14.4" customHeight="1" spans="1:36">
      <c r="A26" s="6"/>
      <c r="B26" s="7"/>
      <c r="C26" s="7"/>
      <c r="D26" s="7"/>
      <c r="E26" s="7"/>
      <c r="F26" s="7"/>
      <c r="G26" s="7"/>
      <c r="H26" s="7"/>
      <c r="I26" s="7"/>
      <c r="J26" s="7"/>
      <c r="K26" s="7"/>
      <c r="L26" s="7"/>
      <c r="M26" s="7"/>
      <c r="N26" s="7"/>
      <c r="O26" s="7"/>
      <c r="P26" s="7"/>
      <c r="Q26" s="7"/>
      <c r="R26" s="7"/>
      <c r="S26" s="8"/>
      <c r="T26" s="16" t="str">
        <f>"暴力行为  "&amp;IF(人物卡!BD10="","",人物卡!BD10)</f>
        <v>暴力行为  ☐☐☐</v>
      </c>
      <c r="U26" s="10"/>
      <c r="V26" s="10"/>
      <c r="W26" s="10"/>
      <c r="X26" s="10"/>
      <c r="Y26" s="10"/>
      <c r="Z26" s="10"/>
      <c r="AA26" s="10"/>
      <c r="AB26" s="11"/>
      <c r="AC26" s="16" t="str">
        <f>"无力感  "&amp;IF(人物卡!BD11="","",人物卡!BD11)</f>
        <v>无力感  ☐☐☐</v>
      </c>
      <c r="AD26" s="10"/>
      <c r="AE26" s="10"/>
      <c r="AF26" s="10"/>
      <c r="AG26" s="10"/>
      <c r="AH26" s="10"/>
      <c r="AI26" s="10"/>
      <c r="AJ26" s="11"/>
    </row>
    <row r="27" ht="14.4" customHeight="1" spans="1:36">
      <c r="A27" s="9" t="s">
        <v>3323</v>
      </c>
      <c r="B27" s="10"/>
      <c r="C27" s="10"/>
      <c r="D27" s="10"/>
      <c r="E27" s="10"/>
      <c r="F27" s="10"/>
      <c r="G27" s="10"/>
      <c r="H27" s="10"/>
      <c r="I27" s="10"/>
      <c r="J27" s="11"/>
      <c r="K27" s="9" t="s">
        <v>3324</v>
      </c>
      <c r="L27" s="11"/>
      <c r="M27" s="9" t="s">
        <v>3323</v>
      </c>
      <c r="N27" s="10"/>
      <c r="O27" s="10"/>
      <c r="P27" s="10"/>
      <c r="Q27" s="10"/>
      <c r="R27" s="10"/>
      <c r="S27" s="10"/>
      <c r="T27" s="10"/>
      <c r="U27" s="10"/>
      <c r="V27" s="11"/>
      <c r="W27" s="9" t="s">
        <v>3324</v>
      </c>
      <c r="X27" s="11"/>
      <c r="Y27" s="9" t="s">
        <v>3323</v>
      </c>
      <c r="Z27" s="10"/>
      <c r="AA27" s="10"/>
      <c r="AB27" s="10"/>
      <c r="AC27" s="10"/>
      <c r="AD27" s="10"/>
      <c r="AE27" s="10"/>
      <c r="AF27" s="10"/>
      <c r="AG27" s="10"/>
      <c r="AH27" s="11"/>
      <c r="AI27" s="9" t="s">
        <v>3324</v>
      </c>
      <c r="AJ27" s="11"/>
    </row>
    <row r="28" ht="14.4" customHeight="1" spans="1:36">
      <c r="A28" s="19" t="str">
        <f>IF(OR(人物卡!B14="√",人物卡!B14="✓",人物卡!B14="☑"),"☑","☐")</f>
        <v>☐</v>
      </c>
      <c r="B28" s="16" t="str">
        <f>人物卡!D14&amp;" ("&amp;IF(人物卡!S14="",0,人物卡!S14)&amp;"%)"</f>
        <v>会计学 (10%)</v>
      </c>
      <c r="C28" s="10"/>
      <c r="D28" s="10"/>
      <c r="E28" s="10"/>
      <c r="F28" s="10"/>
      <c r="G28" s="10"/>
      <c r="H28" s="10"/>
      <c r="I28" s="10"/>
      <c r="J28" s="11"/>
      <c r="K28" s="20">
        <f>IF(人物卡!P14="",0,人物卡!P14)</f>
        <v>10</v>
      </c>
      <c r="L28" s="11"/>
      <c r="M28" s="19" t="str">
        <f>IF(OR(人物卡!B34="√",人物卡!B34="✓",人物卡!B34="☑"),"☑","☐")</f>
        <v>☐</v>
      </c>
      <c r="N28" s="16" t="str">
        <f>人物卡!D34&amp;" ("&amp;IF(人物卡!S34="",0,人物卡!S34)&amp;"%)"</f>
        <v>射击 (20%)</v>
      </c>
      <c r="O28" s="10"/>
      <c r="P28" s="10"/>
      <c r="Q28" s="10"/>
      <c r="R28" s="10"/>
      <c r="S28" s="10"/>
      <c r="T28" s="10"/>
      <c r="U28" s="10"/>
      <c r="V28" s="11"/>
      <c r="W28" s="20">
        <f>IF(人物卡!P34="",0,人物卡!P34)</f>
        <v>20</v>
      </c>
      <c r="X28" s="11"/>
      <c r="Y28" s="19" t="str">
        <f>IF(OR(人物卡!AE24="√",人物卡!AE24="✓",人物卡!AE24="☑"),"☑","☐")</f>
        <v>☐</v>
      </c>
      <c r="Z28" s="16" t="str">
        <f>人物卡!AG24&amp;IF(人物卡!AM24="","________",人物卡!AM24)&amp;" ("&amp;IF(人物卡!AV24="",0,人物卡!AV24)&amp;"%)"</f>
        <v>特种载具：________ (0%)</v>
      </c>
      <c r="AA28" s="10"/>
      <c r="AB28" s="10"/>
      <c r="AC28" s="10"/>
      <c r="AD28" s="10"/>
      <c r="AE28" s="10"/>
      <c r="AF28" s="10"/>
      <c r="AG28" s="10"/>
      <c r="AH28" s="11"/>
      <c r="AI28" s="20">
        <f>IF(人物卡!AS24="",0,人物卡!AS24)</f>
        <v>0</v>
      </c>
      <c r="AJ28" s="11"/>
    </row>
    <row r="29" ht="14.4" customHeight="1" spans="1:36">
      <c r="A29" s="19" t="str">
        <f>IF(OR(人物卡!B15="√",人物卡!B15="✓",人物卡!B15="☑"),"☑","☐")</f>
        <v>☐</v>
      </c>
      <c r="B29" s="16" t="str">
        <f>人物卡!D15&amp;" ("&amp;IF(人物卡!S15="",0,人物卡!S15)&amp;"%)"</f>
        <v>警觉 (20%)</v>
      </c>
      <c r="C29" s="10"/>
      <c r="D29" s="10"/>
      <c r="E29" s="10"/>
      <c r="F29" s="10"/>
      <c r="G29" s="10"/>
      <c r="H29" s="10"/>
      <c r="I29" s="10"/>
      <c r="J29" s="11"/>
      <c r="K29" s="20">
        <f>IF(人物卡!P15="",0,人物卡!P15)</f>
        <v>20</v>
      </c>
      <c r="L29" s="11"/>
      <c r="M29" s="19" t="str">
        <f>IF(OR(人物卡!B35="√",人物卡!B35="✓",人物卡!B35="☑"),"☑","☐")</f>
        <v>☐</v>
      </c>
      <c r="N29" s="16" t="str">
        <f>人物卡!D35&amp;" ("&amp;IF(人物卡!S35="",0,人物卡!S35)&amp;"%)"</f>
        <v>急救 (10%)</v>
      </c>
      <c r="O29" s="10"/>
      <c r="P29" s="10"/>
      <c r="Q29" s="10"/>
      <c r="R29" s="10"/>
      <c r="S29" s="10"/>
      <c r="T29" s="10"/>
      <c r="U29" s="10"/>
      <c r="V29" s="11"/>
      <c r="W29" s="20">
        <f>IF(人物卡!P35="",0,人物卡!P35)</f>
        <v>10</v>
      </c>
      <c r="X29" s="11"/>
      <c r="Y29" s="19" t="str">
        <f>IF(OR(人物卡!AE25="√",人物卡!AE25="✓",人物卡!AE25="☑"),"☑","☐")</f>
        <v>☐</v>
      </c>
      <c r="Z29" s="16" t="str">
        <f>人物卡!AG25&amp;IF(人物卡!AM25="","________",人物卡!AM25)&amp;" ("&amp;IF(人物卡!AV25="",0,人物卡!AV25)&amp;"%)"</f>
        <v>特种载具：________ (0%)</v>
      </c>
      <c r="AA29" s="10"/>
      <c r="AB29" s="10"/>
      <c r="AC29" s="10"/>
      <c r="AD29" s="10"/>
      <c r="AE29" s="10"/>
      <c r="AF29" s="10"/>
      <c r="AG29" s="10"/>
      <c r="AH29" s="11"/>
      <c r="AI29" s="20">
        <f>IF(人物卡!AS25="",0,人物卡!AS25)</f>
        <v>0</v>
      </c>
      <c r="AJ29" s="11"/>
    </row>
    <row r="30" ht="14.4" customHeight="1" spans="1:36">
      <c r="A30" s="19" t="str">
        <f>IF(OR(人物卡!B16="√",人物卡!B16="✓",人物卡!B16="☑"),"☑","☐")</f>
        <v>☐</v>
      </c>
      <c r="B30" s="16" t="str">
        <f>人物卡!D16&amp;" ("&amp;IF(人物卡!S16="",0,人物卡!S16)&amp;"%)"</f>
        <v>人类学 (0%)</v>
      </c>
      <c r="C30" s="10"/>
      <c r="D30" s="10"/>
      <c r="E30" s="10"/>
      <c r="F30" s="10"/>
      <c r="G30" s="10"/>
      <c r="H30" s="10"/>
      <c r="I30" s="10"/>
      <c r="J30" s="11"/>
      <c r="K30" s="20">
        <f>IF(人物卡!P16="",0,人物卡!P16)</f>
        <v>0</v>
      </c>
      <c r="L30" s="11"/>
      <c r="M30" s="19" t="str">
        <f>IF(OR(人物卡!B36="√",人物卡!B36="✓",人物卡!B36="☑"),"☑","☐")</f>
        <v>☐</v>
      </c>
      <c r="N30" s="16" t="str">
        <f>人物卡!D36&amp;IF(人物卡!J36="","________",人物卡!J36)&amp;" ("&amp;IF(人物卡!S36="",0,人物卡!S36)&amp;"%)"</f>
        <v>外语：________ (0%)</v>
      </c>
      <c r="O30" s="10"/>
      <c r="P30" s="10"/>
      <c r="Q30" s="10"/>
      <c r="R30" s="10"/>
      <c r="S30" s="10"/>
      <c r="T30" s="10"/>
      <c r="U30" s="10"/>
      <c r="V30" s="11"/>
      <c r="W30" s="20">
        <f>IF(人物卡!P36="",0,人物卡!P36)</f>
        <v>0</v>
      </c>
      <c r="X30" s="11"/>
      <c r="Y30" s="19" t="str">
        <f>IF(OR(人物卡!AE26="√",人物卡!AE26="✓",人物卡!AE26="☑"),"☑","☐")</f>
        <v>☐</v>
      </c>
      <c r="Z30" s="16" t="str">
        <f>人物卡!AG26&amp;IF(人物卡!AM26="","________",人物卡!AM26)&amp;" ("&amp;IF(人物卡!AV26="",0,人物卡!AV26)&amp;"%)"</f>
        <v>特种载具：________ (0%)</v>
      </c>
      <c r="AA30" s="10"/>
      <c r="AB30" s="10"/>
      <c r="AC30" s="10"/>
      <c r="AD30" s="10"/>
      <c r="AE30" s="10"/>
      <c r="AF30" s="10"/>
      <c r="AG30" s="10"/>
      <c r="AH30" s="11"/>
      <c r="AI30" s="20">
        <f>IF(人物卡!AS26="",0,人物卡!AS26)</f>
        <v>0</v>
      </c>
      <c r="AJ30" s="11"/>
    </row>
    <row r="31" ht="14.4" customHeight="1" spans="1:36">
      <c r="A31" s="19" t="str">
        <f>IF(OR(人物卡!B17="√",人物卡!B17="✓",人物卡!B17="☑"),"☑","☐")</f>
        <v>☐</v>
      </c>
      <c r="B31" s="16" t="str">
        <f>人物卡!D17&amp;" ("&amp;IF(人物卡!S17="",0,人物卡!S17)&amp;"%)"</f>
        <v>考古学 (0%)</v>
      </c>
      <c r="C31" s="10"/>
      <c r="D31" s="10"/>
      <c r="E31" s="10"/>
      <c r="F31" s="10"/>
      <c r="G31" s="10"/>
      <c r="H31" s="10"/>
      <c r="I31" s="10"/>
      <c r="J31" s="11"/>
      <c r="K31" s="20">
        <f>IF(人物卡!P17="",0,人物卡!P17)</f>
        <v>0</v>
      </c>
      <c r="L31" s="11"/>
      <c r="M31" s="19" t="str">
        <f>IF(OR(人物卡!B37="√",人物卡!B37="✓",人物卡!B37="☑"),"☑","☐")</f>
        <v>☐</v>
      </c>
      <c r="N31" s="16" t="str">
        <f>人物卡!D37&amp;IF(人物卡!J37="","________",人物卡!J37)&amp;" ("&amp;IF(人物卡!S37="",0,人物卡!S37)&amp;"%)"</f>
        <v>外语：________ (0%)</v>
      </c>
      <c r="O31" s="10"/>
      <c r="P31" s="10"/>
      <c r="Q31" s="10"/>
      <c r="R31" s="10"/>
      <c r="S31" s="10"/>
      <c r="T31" s="10"/>
      <c r="U31" s="10"/>
      <c r="V31" s="11"/>
      <c r="W31" s="20">
        <f>IF(人物卡!P37="",0,人物卡!P37)</f>
        <v>0</v>
      </c>
      <c r="X31" s="11"/>
      <c r="Y31" s="19" t="str">
        <f>IF(OR(人物卡!AE27="√",人物卡!AE27="✓",人物卡!AE27="☑"),"☑","☐")</f>
        <v>☐</v>
      </c>
      <c r="Z31" s="16" t="str">
        <f>人物卡!AG27&amp;" ("&amp;IF(人物卡!AV27="",0,人物卡!AV27)&amp;"%)"</f>
        <v>精神治疗 (10%)</v>
      </c>
      <c r="AA31" s="10"/>
      <c r="AB31" s="10"/>
      <c r="AC31" s="10"/>
      <c r="AD31" s="10"/>
      <c r="AE31" s="10"/>
      <c r="AF31" s="10"/>
      <c r="AG31" s="10"/>
      <c r="AH31" s="11"/>
      <c r="AI31" s="20">
        <f>IF(人物卡!AS27="",0,人物卡!AS27)</f>
        <v>10</v>
      </c>
      <c r="AJ31" s="11"/>
    </row>
    <row r="32" ht="14.4" customHeight="1" spans="1:36">
      <c r="A32" s="19" t="str">
        <f>IF(OR(人物卡!B18="√",人物卡!B18="✓",人物卡!B18="☑"),"☑","☐")</f>
        <v>☐</v>
      </c>
      <c r="B32" s="16" t="str">
        <f>人物卡!D18&amp;IF(人物卡!J18="","________",人物卡!J18)&amp;" ("&amp;IF(人物卡!S18="",0,人物卡!S18)&amp;"%)"</f>
        <v>艺术：________ (0%)</v>
      </c>
      <c r="C32" s="10"/>
      <c r="D32" s="10"/>
      <c r="E32" s="10"/>
      <c r="F32" s="10"/>
      <c r="G32" s="10"/>
      <c r="H32" s="10"/>
      <c r="I32" s="10"/>
      <c r="J32" s="11"/>
      <c r="K32" s="20">
        <f>IF(人物卡!P18="",0,人物卡!P18)</f>
        <v>0</v>
      </c>
      <c r="L32" s="11"/>
      <c r="M32" s="19" t="str">
        <f>IF(OR(人物卡!B38="√",人物卡!B38="✓",人物卡!B38="☑"),"☑","☐")</f>
        <v>☐</v>
      </c>
      <c r="N32" s="16" t="str">
        <f>人物卡!D38&amp;IF(人物卡!J38="","________",人物卡!J38)&amp;" ("&amp;IF(人物卡!S38="",0,人物卡!S38)&amp;"%)"</f>
        <v>外语：________ (0%)</v>
      </c>
      <c r="O32" s="10"/>
      <c r="P32" s="10"/>
      <c r="Q32" s="10"/>
      <c r="R32" s="10"/>
      <c r="S32" s="10"/>
      <c r="T32" s="10"/>
      <c r="U32" s="10"/>
      <c r="V32" s="11"/>
      <c r="W32" s="20">
        <f>IF(人物卡!P38="",0,人物卡!P38)</f>
        <v>0</v>
      </c>
      <c r="X32" s="11"/>
      <c r="Y32" s="19" t="str">
        <f>IF(OR(人物卡!AE28="√",人物卡!AE28="✓",人物卡!AE28="☑"),"☑","☐")</f>
        <v>☐</v>
      </c>
      <c r="Z32" s="16" t="str">
        <f>人物卡!AG28&amp;" ("&amp;IF(人物卡!AV28="",0,人物卡!AV28)&amp;"%)"</f>
        <v>骑术 (10%)</v>
      </c>
      <c r="AA32" s="10"/>
      <c r="AB32" s="10"/>
      <c r="AC32" s="10"/>
      <c r="AD32" s="10"/>
      <c r="AE32" s="10"/>
      <c r="AF32" s="10"/>
      <c r="AG32" s="10"/>
      <c r="AH32" s="11"/>
      <c r="AI32" s="20">
        <f>IF(人物卡!AS28="",0,人物卡!AS28)</f>
        <v>10</v>
      </c>
      <c r="AJ32" s="11"/>
    </row>
    <row r="33" ht="14.4" customHeight="1" spans="1:36">
      <c r="A33" s="19" t="str">
        <f>IF(OR(人物卡!B19="√",人物卡!B19="✓",人物卡!B19="☑"),"☑","☐")</f>
        <v>☐</v>
      </c>
      <c r="B33" s="16" t="str">
        <f>人物卡!D19&amp;IF(人物卡!J19="","________",人物卡!J19)&amp;" ("&amp;IF(人物卡!S19="",0,人物卡!S19)&amp;"%)"</f>
        <v>艺术：________ (0%)</v>
      </c>
      <c r="C33" s="10"/>
      <c r="D33" s="10"/>
      <c r="E33" s="10"/>
      <c r="F33" s="10"/>
      <c r="G33" s="10"/>
      <c r="H33" s="10"/>
      <c r="I33" s="10"/>
      <c r="J33" s="11"/>
      <c r="K33" s="20">
        <f>IF(人物卡!P19="",0,人物卡!P19)</f>
        <v>0</v>
      </c>
      <c r="L33" s="11"/>
      <c r="M33" s="19" t="str">
        <f>IF(OR(人物卡!B39="√",人物卡!B39="✓",人物卡!B39="☑"),"☑","☐")</f>
        <v>☐</v>
      </c>
      <c r="N33" s="16" t="str">
        <f>人物卡!D39&amp;" ("&amp;IF(人物卡!S39="",0,人物卡!S39)&amp;"%)"</f>
        <v>法证学 (0%)</v>
      </c>
      <c r="O33" s="10"/>
      <c r="P33" s="10"/>
      <c r="Q33" s="10"/>
      <c r="R33" s="10"/>
      <c r="S33" s="10"/>
      <c r="T33" s="10"/>
      <c r="U33" s="10"/>
      <c r="V33" s="11"/>
      <c r="W33" s="20">
        <f>IF(人物卡!P39="",0,人物卡!P39)</f>
        <v>0</v>
      </c>
      <c r="X33" s="11"/>
      <c r="Y33" s="19" t="str">
        <f>IF(OR(人物卡!AE29="√",人物卡!AE29="✓",人物卡!AE29="☑"),"☑","☐")</f>
        <v>☐</v>
      </c>
      <c r="Z33" s="16" t="str">
        <f>人物卡!AG29&amp;IF(人物卡!AM29="","________",人物卡!AM29)&amp;" ("&amp;IF(人物卡!AV29="",0,人物卡!AV29)&amp;"%)"</f>
        <v>科学：________ (0%)</v>
      </c>
      <c r="AA33" s="10"/>
      <c r="AB33" s="10"/>
      <c r="AC33" s="10"/>
      <c r="AD33" s="10"/>
      <c r="AE33" s="10"/>
      <c r="AF33" s="10"/>
      <c r="AG33" s="10"/>
      <c r="AH33" s="11"/>
      <c r="AI33" s="20">
        <f>IF(人物卡!AS29="",0,人物卡!AS29)</f>
        <v>0</v>
      </c>
      <c r="AJ33" s="11"/>
    </row>
    <row r="34" ht="14.4" customHeight="1" spans="1:36">
      <c r="A34" s="19" t="str">
        <f>IF(OR(人物卡!B20="√",人物卡!B20="✓",人物卡!B20="☑"),"☑","☐")</f>
        <v>☐</v>
      </c>
      <c r="B34" s="16" t="str">
        <f>人物卡!D20&amp;IF(人物卡!J20="","________",人物卡!J20)&amp;" ("&amp;IF(人物卡!S20="",0,人物卡!S20)&amp;"%)"</f>
        <v>艺术：________ (0%)</v>
      </c>
      <c r="C34" s="10"/>
      <c r="D34" s="10"/>
      <c r="E34" s="10"/>
      <c r="F34" s="10"/>
      <c r="G34" s="10"/>
      <c r="H34" s="10"/>
      <c r="I34" s="10"/>
      <c r="J34" s="11"/>
      <c r="K34" s="20">
        <f>IF(人物卡!P20="",0,人物卡!P20)</f>
        <v>0</v>
      </c>
      <c r="L34" s="11"/>
      <c r="M34" s="19" t="str">
        <f>IF(OR(人物卡!B40="√",人物卡!B40="✓",人物卡!B40="☑"),"☑","☐")</f>
        <v>☐</v>
      </c>
      <c r="N34" s="16" t="str">
        <f>人物卡!D40&amp;" ("&amp;IF(人物卡!S40="",0,人物卡!S40)&amp;"%)"</f>
        <v>重型机械 (10%)</v>
      </c>
      <c r="O34" s="10"/>
      <c r="P34" s="10"/>
      <c r="Q34" s="10"/>
      <c r="R34" s="10"/>
      <c r="S34" s="10"/>
      <c r="T34" s="10"/>
      <c r="U34" s="10"/>
      <c r="V34" s="11"/>
      <c r="W34" s="20">
        <f>IF(人物卡!P40="",0,人物卡!P40)</f>
        <v>10</v>
      </c>
      <c r="X34" s="11"/>
      <c r="Y34" s="19" t="str">
        <f>IF(OR(人物卡!AE30="√",人物卡!AE30="✓",人物卡!AE30="☑"),"☑","☐")</f>
        <v>☐</v>
      </c>
      <c r="Z34" s="16" t="str">
        <f>人物卡!AG30&amp;IF(人物卡!AM30="","________",人物卡!AM30)&amp;" ("&amp;IF(人物卡!AV30="",0,人物卡!AV30)&amp;"%)"</f>
        <v>科学：________ (0%)</v>
      </c>
      <c r="AA34" s="10"/>
      <c r="AB34" s="10"/>
      <c r="AC34" s="10"/>
      <c r="AD34" s="10"/>
      <c r="AE34" s="10"/>
      <c r="AF34" s="10"/>
      <c r="AG34" s="10"/>
      <c r="AH34" s="11"/>
      <c r="AI34" s="20">
        <f>IF(人物卡!AS30="",0,人物卡!AS30)</f>
        <v>0</v>
      </c>
      <c r="AJ34" s="11"/>
    </row>
    <row r="35" ht="14.4" customHeight="1" spans="1:36">
      <c r="A35" s="19" t="str">
        <f>IF(OR(人物卡!B21="√",人物卡!B21="✓",人物卡!B21="☑"),"☑","☐")</f>
        <v>☐</v>
      </c>
      <c r="B35" s="16" t="str">
        <f>人物卡!D21&amp;" ("&amp;IF(人物卡!S21="",0,人物卡!S21)&amp;"%)"</f>
        <v>炮术 (0%)</v>
      </c>
      <c r="C35" s="10"/>
      <c r="D35" s="10"/>
      <c r="E35" s="10"/>
      <c r="F35" s="10"/>
      <c r="G35" s="10"/>
      <c r="H35" s="10"/>
      <c r="I35" s="10"/>
      <c r="J35" s="11"/>
      <c r="K35" s="20">
        <f>IF(人物卡!P21="",0,人物卡!P21)</f>
        <v>0</v>
      </c>
      <c r="L35" s="11"/>
      <c r="M35" s="19" t="str">
        <f>IF(OR(人物卡!B41="√",人物卡!B41="✓",人物卡!B41="☑"),"☑","☐")</f>
        <v>☐</v>
      </c>
      <c r="N35" s="16" t="str">
        <f>人物卡!D41&amp;" ("&amp;IF(人物卡!S41="",0,人物卡!S41)&amp;"%)"</f>
        <v>重型武器 (0%)</v>
      </c>
      <c r="O35" s="10"/>
      <c r="P35" s="10"/>
      <c r="Q35" s="10"/>
      <c r="R35" s="10"/>
      <c r="S35" s="10"/>
      <c r="T35" s="10"/>
      <c r="U35" s="10"/>
      <c r="V35" s="11"/>
      <c r="W35" s="20">
        <f>IF(人物卡!P41="",0,人物卡!P41)</f>
        <v>0</v>
      </c>
      <c r="X35" s="11"/>
      <c r="Y35" s="19" t="str">
        <f>IF(OR(人物卡!AE31="√",人物卡!AE31="✓",人物卡!AE31="☑"),"☑","☐")</f>
        <v>☐</v>
      </c>
      <c r="Z35" s="16" t="str">
        <f>人物卡!AG31&amp;IF(人物卡!AM31="","________",人物卡!AM31)&amp;" ("&amp;IF(人物卡!AV31="",0,人物卡!AV31)&amp;"%)"</f>
        <v>科学：________ (0%)</v>
      </c>
      <c r="AA35" s="10"/>
      <c r="AB35" s="10"/>
      <c r="AC35" s="10"/>
      <c r="AD35" s="10"/>
      <c r="AE35" s="10"/>
      <c r="AF35" s="10"/>
      <c r="AG35" s="10"/>
      <c r="AH35" s="11"/>
      <c r="AI35" s="20">
        <f>IF(人物卡!AS31="",0,人物卡!AS31)</f>
        <v>0</v>
      </c>
      <c r="AJ35" s="11"/>
    </row>
    <row r="36" ht="14.4" customHeight="1" spans="1:36">
      <c r="A36" s="19" t="str">
        <f>IF(OR(人物卡!B22="√",人物卡!B22="✓",人物卡!B22="☑"),"☑","☐")</f>
        <v>☐</v>
      </c>
      <c r="B36" s="16" t="str">
        <f>人物卡!D22&amp;" ("&amp;IF(人物卡!S22="",0,人物卡!S22)&amp;"%)"</f>
        <v>运动 (30%)</v>
      </c>
      <c r="C36" s="10"/>
      <c r="D36" s="10"/>
      <c r="E36" s="10"/>
      <c r="F36" s="10"/>
      <c r="G36" s="10"/>
      <c r="H36" s="10"/>
      <c r="I36" s="10"/>
      <c r="J36" s="11"/>
      <c r="K36" s="20">
        <f>IF(人物卡!P22="",0,人物卡!P22)</f>
        <v>30</v>
      </c>
      <c r="L36" s="11"/>
      <c r="M36" s="19" t="str">
        <f>IF(OR(人物卡!B42="√",人物卡!B42="✓",人物卡!B42="☑"),"☑","☐")</f>
        <v>☐</v>
      </c>
      <c r="N36" s="16" t="str">
        <f>人物卡!D42&amp;" ("&amp;IF(人物卡!S42="",0,人物卡!S42)&amp;"%)"</f>
        <v>历史 (10%)</v>
      </c>
      <c r="O36" s="10"/>
      <c r="P36" s="10"/>
      <c r="Q36" s="10"/>
      <c r="R36" s="10"/>
      <c r="S36" s="10"/>
      <c r="T36" s="10"/>
      <c r="U36" s="10"/>
      <c r="V36" s="11"/>
      <c r="W36" s="20">
        <f>IF(人物卡!P42="",0,人物卡!P42)</f>
        <v>10</v>
      </c>
      <c r="X36" s="11"/>
      <c r="Y36" s="19" t="str">
        <f>IF(OR(人物卡!AE32="√",人物卡!AE32="✓",人物卡!AE32="☑"),"☑","☐")</f>
        <v>☐</v>
      </c>
      <c r="Z36" s="16" t="str">
        <f>人物卡!AG32&amp;" ("&amp;IF(人物卡!AV32="",0,人物卡!AV32)&amp;"%)"</f>
        <v>搜寻 (20%)</v>
      </c>
      <c r="AA36" s="10"/>
      <c r="AB36" s="10"/>
      <c r="AC36" s="10"/>
      <c r="AD36" s="10"/>
      <c r="AE36" s="10"/>
      <c r="AF36" s="10"/>
      <c r="AG36" s="10"/>
      <c r="AH36" s="11"/>
      <c r="AI36" s="20">
        <f>IF(人物卡!AS32="",0,人物卡!AS32)</f>
        <v>20</v>
      </c>
      <c r="AJ36" s="11"/>
    </row>
    <row r="37" ht="14.4" customHeight="1" spans="1:36">
      <c r="A37" s="19" t="str">
        <f>IF(OR(人物卡!B23="√",人物卡!B23="✓",人物卡!B23="☑"),"☑","☐")</f>
        <v>☐</v>
      </c>
      <c r="B37" s="16" t="str">
        <f>人物卡!D23&amp;" ("&amp;IF(人物卡!S23="",0,人物卡!S23)&amp;"%)"</f>
        <v>行政 (10%)</v>
      </c>
      <c r="C37" s="10"/>
      <c r="D37" s="10"/>
      <c r="E37" s="10"/>
      <c r="F37" s="10"/>
      <c r="G37" s="10"/>
      <c r="H37" s="10"/>
      <c r="I37" s="10"/>
      <c r="J37" s="11"/>
      <c r="K37" s="20">
        <f>IF(人物卡!P23="",0,人物卡!P23)</f>
        <v>10</v>
      </c>
      <c r="L37" s="11"/>
      <c r="M37" s="19" t="str">
        <f>IF(OR(人物卡!B43="√",人物卡!B43="✓",人物卡!B43="☑"),"☑","☐")</f>
        <v>☐</v>
      </c>
      <c r="N37" s="16" t="str">
        <f>人物卡!D43&amp;" ("&amp;IF(人物卡!S43="",0,人物卡!S43)&amp;"%)"</f>
        <v>人源情报 (10%)</v>
      </c>
      <c r="O37" s="10"/>
      <c r="P37" s="10"/>
      <c r="Q37" s="10"/>
      <c r="R37" s="10"/>
      <c r="S37" s="10"/>
      <c r="T37" s="10"/>
      <c r="U37" s="10"/>
      <c r="V37" s="11"/>
      <c r="W37" s="20">
        <f>IF(人物卡!P43="",0,人物卡!P43)</f>
        <v>10</v>
      </c>
      <c r="X37" s="11"/>
      <c r="Y37" s="19" t="str">
        <f>IF(OR(人物卡!AE33="√",人物卡!AE33="✓",人物卡!AE33="☑"),"☑","☐")</f>
        <v>☐</v>
      </c>
      <c r="Z37" s="16" t="str">
        <f>人物卡!AG33&amp;" ("&amp;IF(人物卡!AV33="",0,人物卡!AV33)&amp;"%)"</f>
        <v>信号情报 (0%)</v>
      </c>
      <c r="AA37" s="10"/>
      <c r="AB37" s="10"/>
      <c r="AC37" s="10"/>
      <c r="AD37" s="10"/>
      <c r="AE37" s="10"/>
      <c r="AF37" s="10"/>
      <c r="AG37" s="10"/>
      <c r="AH37" s="11"/>
      <c r="AI37" s="20">
        <f>IF(人物卡!AS33="",0,人物卡!AS33)</f>
        <v>0</v>
      </c>
      <c r="AJ37" s="11"/>
    </row>
    <row r="38" ht="14.4" customHeight="1" spans="1:36">
      <c r="A38" s="19" t="str">
        <f>IF(OR(人物卡!B24="√",人物卡!B24="✓",人物卡!B24="☑"),"☑","☐")</f>
        <v>☐</v>
      </c>
      <c r="B38" s="16" t="str">
        <f>人物卡!D24&amp;" ("&amp;IF(人物卡!S24="",0,人物卡!S24)&amp;"%)"</f>
        <v>计算机科学 (0%)</v>
      </c>
      <c r="C38" s="10"/>
      <c r="D38" s="10"/>
      <c r="E38" s="10"/>
      <c r="F38" s="10"/>
      <c r="G38" s="10"/>
      <c r="H38" s="10"/>
      <c r="I38" s="10"/>
      <c r="J38" s="11"/>
      <c r="K38" s="20">
        <f>IF(人物卡!P24="",0,人物卡!P24)</f>
        <v>0</v>
      </c>
      <c r="L38" s="11"/>
      <c r="M38" s="19" t="str">
        <f>IF(OR(人物卡!AE14="√",人物卡!AE14="✓",人物卡!AE14="☑"),"☑","☐")</f>
        <v>☐</v>
      </c>
      <c r="N38" s="16" t="str">
        <f>人物卡!AG14&amp;" ("&amp;IF(人物卡!AV14="",0,人物卡!AV14)&amp;"%)"</f>
        <v>法律 (0%)</v>
      </c>
      <c r="O38" s="10"/>
      <c r="P38" s="10"/>
      <c r="Q38" s="10"/>
      <c r="R38" s="10"/>
      <c r="S38" s="10"/>
      <c r="T38" s="10"/>
      <c r="U38" s="10"/>
      <c r="V38" s="11"/>
      <c r="W38" s="20">
        <f>IF(人物卡!AS14="",0,人物卡!AS14)</f>
        <v>0</v>
      </c>
      <c r="X38" s="11"/>
      <c r="Y38" s="19" t="str">
        <f>IF(OR(人物卡!AE34="√",人物卡!AE34="✓",人物卡!AE34="☑"),"☑","☐")</f>
        <v>☐</v>
      </c>
      <c r="Z38" s="16" t="str">
        <f>人物卡!AG34&amp;" ("&amp;IF(人物卡!AV34="",0,人物卡!AV34)&amp;"%)"</f>
        <v>潜藏 (10%)</v>
      </c>
      <c r="AA38" s="10"/>
      <c r="AB38" s="10"/>
      <c r="AC38" s="10"/>
      <c r="AD38" s="10"/>
      <c r="AE38" s="10"/>
      <c r="AF38" s="10"/>
      <c r="AG38" s="10"/>
      <c r="AH38" s="11"/>
      <c r="AI38" s="20">
        <f>IF(人物卡!AS34="",0,人物卡!AS34)</f>
        <v>10</v>
      </c>
      <c r="AJ38" s="11"/>
    </row>
    <row r="39" ht="14.4" customHeight="1" spans="1:36">
      <c r="A39" s="19" t="str">
        <f>IF(OR(人物卡!B25="√",人物卡!B25="✓",人物卡!B25="☑"),"☑","☐")</f>
        <v>☐</v>
      </c>
      <c r="B39" s="16" t="str">
        <f>人物卡!D25&amp;IF(人物卡!J25="","________",人物卡!J25)&amp;" ("&amp;IF(人物卡!S25="",0,人物卡!S25)&amp;"%)"</f>
        <v>工艺：________ (0%)</v>
      </c>
      <c r="C39" s="10"/>
      <c r="D39" s="10"/>
      <c r="E39" s="10"/>
      <c r="F39" s="10"/>
      <c r="G39" s="10"/>
      <c r="H39" s="10"/>
      <c r="I39" s="10"/>
      <c r="J39" s="11"/>
      <c r="K39" s="20">
        <f>IF(人物卡!P25="",0,人物卡!P25)</f>
        <v>0</v>
      </c>
      <c r="L39" s="11"/>
      <c r="M39" s="19" t="str">
        <f>IF(OR(人物卡!AE15="√",人物卡!AE15="✓",人物卡!AE15="☑"),"☑","☐")</f>
        <v>☐</v>
      </c>
      <c r="N39" s="16" t="str">
        <f>人物卡!AG15&amp;" ("&amp;IF(人物卡!AV15="",0,人物卡!AV15)&amp;"%)"</f>
        <v>医学 (0%)</v>
      </c>
      <c r="O39" s="10"/>
      <c r="P39" s="10"/>
      <c r="Q39" s="10"/>
      <c r="R39" s="10"/>
      <c r="S39" s="10"/>
      <c r="T39" s="10"/>
      <c r="U39" s="10"/>
      <c r="V39" s="11"/>
      <c r="W39" s="20">
        <f>IF(人物卡!AS15="",0,人物卡!AS15)</f>
        <v>0</v>
      </c>
      <c r="X39" s="11"/>
      <c r="Y39" s="19" t="str">
        <f>IF(OR(人物卡!AE35="√",人物卡!AE35="✓",人物卡!AE35="☑"),"☑","☐")</f>
        <v>☐</v>
      </c>
      <c r="Z39" s="16" t="str">
        <f>人物卡!AG35&amp;" ("&amp;IF(人物卡!AV35="",0,人物卡!AV35)&amp;"%)"</f>
        <v>手术 (0%)</v>
      </c>
      <c r="AA39" s="10"/>
      <c r="AB39" s="10"/>
      <c r="AC39" s="10"/>
      <c r="AD39" s="10"/>
      <c r="AE39" s="10"/>
      <c r="AF39" s="10"/>
      <c r="AG39" s="10"/>
      <c r="AH39" s="11"/>
      <c r="AI39" s="20">
        <f>IF(人物卡!AS35="",0,人物卡!AS35)</f>
        <v>0</v>
      </c>
      <c r="AJ39" s="11"/>
    </row>
    <row r="40" ht="14.4" customHeight="1" spans="1:36">
      <c r="A40" s="19" t="str">
        <f>IF(OR(人物卡!B26="√",人物卡!B26="✓",人物卡!B26="☑"),"☑","☐")</f>
        <v>☐</v>
      </c>
      <c r="B40" s="16" t="str">
        <f>人物卡!D26&amp;IF(人物卡!J26="","________",人物卡!J26)&amp;" ("&amp;IF(人物卡!S26="",0,人物卡!S26)&amp;"%)"</f>
        <v>工艺：________ (0%)</v>
      </c>
      <c r="C40" s="10"/>
      <c r="D40" s="10"/>
      <c r="E40" s="10"/>
      <c r="F40" s="10"/>
      <c r="G40" s="10"/>
      <c r="H40" s="10"/>
      <c r="I40" s="10"/>
      <c r="J40" s="11"/>
      <c r="K40" s="20">
        <f>IF(人物卡!P26="",0,人物卡!P26)</f>
        <v>0</v>
      </c>
      <c r="L40" s="11"/>
      <c r="M40" s="19" t="str">
        <f>IF(OR(人物卡!AE16="√",人物卡!AE16="✓",人物卡!AE16="☑"),"☑","☐")</f>
        <v>☐</v>
      </c>
      <c r="N40" s="16" t="str">
        <f>人物卡!AG16&amp;" ("&amp;IF(人物卡!AV16="",0,人物卡!AV16)&amp;"%)"</f>
        <v>近战武器 (30%)</v>
      </c>
      <c r="O40" s="10"/>
      <c r="P40" s="10"/>
      <c r="Q40" s="10"/>
      <c r="R40" s="10"/>
      <c r="S40" s="10"/>
      <c r="T40" s="10"/>
      <c r="U40" s="10"/>
      <c r="V40" s="11"/>
      <c r="W40" s="20">
        <f>IF(人物卡!AS16="",0,人物卡!AS16)</f>
        <v>30</v>
      </c>
      <c r="X40" s="11"/>
      <c r="Y40" s="19" t="str">
        <f>IF(OR(人物卡!AE36="√",人物卡!AE36="✓",人物卡!AE36="☑"),"☑","☐")</f>
        <v>☐</v>
      </c>
      <c r="Z40" s="16" t="str">
        <f>人物卡!AG36&amp;" ("&amp;IF(人物卡!AV36="",0,人物卡!AV36)&amp;"%)"</f>
        <v>生存 (10%)</v>
      </c>
      <c r="AA40" s="10"/>
      <c r="AB40" s="10"/>
      <c r="AC40" s="10"/>
      <c r="AD40" s="10"/>
      <c r="AE40" s="10"/>
      <c r="AF40" s="10"/>
      <c r="AG40" s="10"/>
      <c r="AH40" s="11"/>
      <c r="AI40" s="20">
        <f>IF(人物卡!AS36="",0,人物卡!AS36)</f>
        <v>10</v>
      </c>
      <c r="AJ40" s="11"/>
    </row>
    <row r="41" ht="14.4" customHeight="1" spans="1:36">
      <c r="A41" s="19" t="str">
        <f>IF(OR(人物卡!B27="√",人物卡!B27="✓",人物卡!B27="☑"),"☑","☐")</f>
        <v>☐</v>
      </c>
      <c r="B41" s="16" t="str">
        <f>人物卡!D27&amp;IF(人物卡!J27="","________",人物卡!J27)&amp;" ("&amp;IF(人物卡!S27="",0,人物卡!S27)&amp;"%)"</f>
        <v>工艺：________ (0%)</v>
      </c>
      <c r="C41" s="10"/>
      <c r="D41" s="10"/>
      <c r="E41" s="10"/>
      <c r="F41" s="10"/>
      <c r="G41" s="10"/>
      <c r="H41" s="10"/>
      <c r="I41" s="10"/>
      <c r="J41" s="11"/>
      <c r="K41" s="20">
        <f>IF(人物卡!P27="",0,人物卡!P27)</f>
        <v>0</v>
      </c>
      <c r="L41" s="11"/>
      <c r="M41" s="19" t="str">
        <f>IF(OR(人物卡!AE17="√",人物卡!AE17="✓",人物卡!AE17="☑"),"☑","☐")</f>
        <v>☐</v>
      </c>
      <c r="N41" s="16" t="str">
        <f>人物卡!AG17&amp;IF(人物卡!AM17="","________",人物卡!AM17)&amp;" ("&amp;IF(人物卡!AV17="",0,人物卡!AV17)&amp;"%)"</f>
        <v>军事科学：________ (0%)</v>
      </c>
      <c r="O41" s="10"/>
      <c r="P41" s="10"/>
      <c r="Q41" s="10"/>
      <c r="R41" s="10"/>
      <c r="S41" s="10"/>
      <c r="T41" s="10"/>
      <c r="U41" s="10"/>
      <c r="V41" s="11"/>
      <c r="W41" s="20">
        <f>IF(人物卡!AS17="",0,人物卡!AS17)</f>
        <v>0</v>
      </c>
      <c r="X41" s="11"/>
      <c r="Y41" s="19" t="str">
        <f>IF(OR(人物卡!AE37="√",人物卡!AE37="✓",人物卡!AE37="☑"),"☑","☐")</f>
        <v>☐</v>
      </c>
      <c r="Z41" s="16" t="str">
        <f>人物卡!AG37&amp;" ("&amp;IF(人物卡!AV37="",0,人物卡!AV37)&amp;"%)"</f>
        <v>游泳 (20%)</v>
      </c>
      <c r="AA41" s="10"/>
      <c r="AB41" s="10"/>
      <c r="AC41" s="10"/>
      <c r="AD41" s="10"/>
      <c r="AE41" s="10"/>
      <c r="AF41" s="10"/>
      <c r="AG41" s="10"/>
      <c r="AH41" s="11"/>
      <c r="AI41" s="20">
        <f>IF(人物卡!AS37="",0,人物卡!AS37)</f>
        <v>20</v>
      </c>
      <c r="AJ41" s="11"/>
    </row>
    <row r="42" ht="14.4" customHeight="1" spans="1:36">
      <c r="A42" s="19" t="str">
        <f>IF(OR(人物卡!B28="√",人物卡!B28="✓",人物卡!B28="☑"),"☑","☐")</f>
        <v>☐</v>
      </c>
      <c r="B42" s="16" t="str">
        <f>人物卡!D28&amp;IF(人物卡!J28="","________",人物卡!J28)&amp;" ("&amp;IF(人物卡!S28="",0,人物卡!S28)&amp;"%)"</f>
        <v>工艺：________ (0%)</v>
      </c>
      <c r="C42" s="10"/>
      <c r="D42" s="10"/>
      <c r="E42" s="10"/>
      <c r="F42" s="10"/>
      <c r="G42" s="10"/>
      <c r="H42" s="10"/>
      <c r="I42" s="10"/>
      <c r="J42" s="11"/>
      <c r="K42" s="20">
        <f>IF(人物卡!P28="",0,人物卡!P28)</f>
        <v>0</v>
      </c>
      <c r="L42" s="11"/>
      <c r="M42" s="19" t="str">
        <f>IF(OR(人物卡!AE18="√",人物卡!AE18="✓",人物卡!AE18="☑"),"☑","☐")</f>
        <v>☐</v>
      </c>
      <c r="N42" s="16" t="str">
        <f>人物卡!AG18&amp;IF(人物卡!AM18="","________",人物卡!AM18)&amp;" ("&amp;IF(人物卡!AV18="",0,人物卡!AV18)&amp;"%)"</f>
        <v>军事科学：________ (0%)</v>
      </c>
      <c r="O42" s="10"/>
      <c r="P42" s="10"/>
      <c r="Q42" s="10"/>
      <c r="R42" s="10"/>
      <c r="S42" s="10"/>
      <c r="T42" s="10"/>
      <c r="U42" s="10"/>
      <c r="V42" s="11"/>
      <c r="W42" s="20">
        <f>IF(人物卡!AS18="",0,人物卡!AS18)</f>
        <v>0</v>
      </c>
      <c r="X42" s="11"/>
      <c r="Y42" s="19" t="str">
        <f>IF(OR(人物卡!AE38="√",人物卡!AE38="✓",人物卡!AE38="☑"),"☑","☐")</f>
        <v>☐</v>
      </c>
      <c r="Z42" s="16" t="str">
        <f>人物卡!AG38&amp;" ("&amp;IF(人物卡!AV38="",0,人物卡!AV38)&amp;"%)"</f>
        <v>徒手搏斗 (40%)</v>
      </c>
      <c r="AA42" s="10"/>
      <c r="AB42" s="10"/>
      <c r="AC42" s="10"/>
      <c r="AD42" s="10"/>
      <c r="AE42" s="10"/>
      <c r="AF42" s="10"/>
      <c r="AG42" s="10"/>
      <c r="AH42" s="11"/>
      <c r="AI42" s="20">
        <f>IF(人物卡!AS38="",0,人物卡!AS38)</f>
        <v>40</v>
      </c>
      <c r="AJ42" s="11"/>
    </row>
    <row r="43" ht="14.4" customHeight="1" spans="1:36">
      <c r="A43" s="19" t="str">
        <f>IF(OR(人物卡!B29="√",人物卡!B29="✓",人物卡!B29="☑"),"☑","☐")</f>
        <v>☐</v>
      </c>
      <c r="B43" s="16" t="str">
        <f>人物卡!D29&amp;" ("&amp;IF(人物卡!S29="",0,人物卡!S29)&amp;"%)"</f>
        <v>犯罪学 (10%)</v>
      </c>
      <c r="C43" s="10"/>
      <c r="D43" s="10"/>
      <c r="E43" s="10"/>
      <c r="F43" s="10"/>
      <c r="G43" s="10"/>
      <c r="H43" s="10"/>
      <c r="I43" s="10"/>
      <c r="J43" s="11"/>
      <c r="K43" s="20">
        <f>IF(人物卡!P29="",0,人物卡!P29)</f>
        <v>10</v>
      </c>
      <c r="L43" s="11"/>
      <c r="M43" s="19" t="str">
        <f>IF(OR(人物卡!AE19="√",人物卡!AE19="✓",人物卡!AE19="☑"),"☑","☐")</f>
        <v>☐</v>
      </c>
      <c r="N43" s="16" t="str">
        <f>人物卡!AG19&amp;IF(人物卡!AM19="","________",人物卡!AM19)&amp;" ("&amp;IF(人物卡!AV19="",0,人物卡!AV19)&amp;"%)"</f>
        <v>军事科学：________ (0%)</v>
      </c>
      <c r="O43" s="10"/>
      <c r="P43" s="10"/>
      <c r="Q43" s="10"/>
      <c r="R43" s="10"/>
      <c r="S43" s="10"/>
      <c r="T43" s="10"/>
      <c r="U43" s="10"/>
      <c r="V43" s="11"/>
      <c r="W43" s="20">
        <f>IF(人物卡!AS19="",0,人物卡!AS19)</f>
        <v>0</v>
      </c>
      <c r="X43" s="11"/>
      <c r="Y43" s="15"/>
      <c r="Z43" s="16" t="str">
        <f>人物卡!AG39&amp;" ("&amp;IF(人物卡!AV39="",0,人物卡!AV39)&amp;"%)"</f>
        <v>非自然知识 (0%)</v>
      </c>
      <c r="AA43" s="10"/>
      <c r="AB43" s="10"/>
      <c r="AC43" s="10"/>
      <c r="AD43" s="10"/>
      <c r="AE43" s="10"/>
      <c r="AF43" s="10"/>
      <c r="AG43" s="10"/>
      <c r="AH43" s="11"/>
      <c r="AI43" s="20">
        <f>IF(人物卡!AS39="",0,人物卡!AS39)</f>
        <v>0</v>
      </c>
      <c r="AJ43" s="11"/>
    </row>
    <row r="44" ht="14.4" customHeight="1" spans="1:36">
      <c r="A44" s="19" t="str">
        <f>IF(OR(人物卡!B30="√",人物卡!B30="✓",人物卡!B30="☑"),"☑","☐")</f>
        <v>☐</v>
      </c>
      <c r="B44" s="16" t="str">
        <f>人物卡!D30&amp;" ("&amp;IF(人物卡!S30="",0,人物卡!S30)&amp;"%)"</f>
        <v>爆破 (0%)</v>
      </c>
      <c r="C44" s="10"/>
      <c r="D44" s="10"/>
      <c r="E44" s="10"/>
      <c r="F44" s="10"/>
      <c r="G44" s="10"/>
      <c r="H44" s="10"/>
      <c r="I44" s="10"/>
      <c r="J44" s="11"/>
      <c r="K44" s="20">
        <f>IF(人物卡!P30="",0,人物卡!P30)</f>
        <v>0</v>
      </c>
      <c r="L44" s="11"/>
      <c r="M44" s="19" t="str">
        <f>IF(OR(人物卡!AE20="√",人物卡!AE20="✓",人物卡!AE20="☑"),"☑","☐")</f>
        <v>☐</v>
      </c>
      <c r="N44" s="16" t="str">
        <f>人物卡!AG20&amp;" ("&amp;IF(人物卡!AV20="",0,人物卡!AV20)&amp;"%)"</f>
        <v>导航 (10%)</v>
      </c>
      <c r="O44" s="10"/>
      <c r="P44" s="10"/>
      <c r="Q44" s="10"/>
      <c r="R44" s="10"/>
      <c r="S44" s="10"/>
      <c r="T44" s="10"/>
      <c r="U44" s="10"/>
      <c r="V44" s="11"/>
      <c r="W44" s="20">
        <f>IF(人物卡!AS20="",0,人物卡!AS20)</f>
        <v>10</v>
      </c>
      <c r="X44" s="11"/>
      <c r="Y44" s="19" t="str">
        <f>IF(OR(人物卡!AE40="√",人物卡!AE40="✓",人物卡!AE40="☑"),"☑","☐")</f>
        <v>☐</v>
      </c>
      <c r="Z44" s="16" t="str">
        <f ca="1">IF(人物卡!AG40="","其他技能：________",人物卡!AG40)</f>
        <v>其他技能：________</v>
      </c>
      <c r="AA44" s="10"/>
      <c r="AB44" s="10"/>
      <c r="AC44" s="10"/>
      <c r="AD44" s="10"/>
      <c r="AE44" s="10"/>
      <c r="AF44" s="10"/>
      <c r="AG44" s="10"/>
      <c r="AH44" s="11"/>
      <c r="AI44" s="20">
        <f>IF(人物卡!AS40="",0,人物卡!AS40)</f>
        <v>0</v>
      </c>
      <c r="AJ44" s="11"/>
    </row>
    <row r="45" ht="14.4" customHeight="1" spans="1:36">
      <c r="A45" s="19" t="str">
        <f>IF(OR(人物卡!B31="√",人物卡!B31="✓",人物卡!B31="☑"),"☑","☐")</f>
        <v>☐</v>
      </c>
      <c r="B45" s="16" t="str">
        <f>人物卡!D31&amp;" ("&amp;IF(人物卡!S31="",0,人物卡!S31)&amp;"%)"</f>
        <v>乔装 (10%)</v>
      </c>
      <c r="C45" s="10"/>
      <c r="D45" s="10"/>
      <c r="E45" s="10"/>
      <c r="F45" s="10"/>
      <c r="G45" s="10"/>
      <c r="H45" s="10"/>
      <c r="I45" s="10"/>
      <c r="J45" s="11"/>
      <c r="K45" s="20">
        <f>IF(人物卡!P31="",0,人物卡!P31)</f>
        <v>10</v>
      </c>
      <c r="L45" s="11"/>
      <c r="M45" s="19" t="str">
        <f>IF(OR(人物卡!AE21="√",人物卡!AE21="✓",人物卡!AE21="☑"),"☑","☐")</f>
        <v>☐</v>
      </c>
      <c r="N45" s="16" t="str">
        <f>人物卡!AG21&amp;" ("&amp;IF(人物卡!AV21="",0,人物卡!AV21)&amp;"%)"</f>
        <v>神秘学 (10%)</v>
      </c>
      <c r="O45" s="10"/>
      <c r="P45" s="10"/>
      <c r="Q45" s="10"/>
      <c r="R45" s="10"/>
      <c r="S45" s="10"/>
      <c r="T45" s="10"/>
      <c r="U45" s="10"/>
      <c r="V45" s="11"/>
      <c r="W45" s="20">
        <f>IF(人物卡!AS21="",0,人物卡!AS21)</f>
        <v>10</v>
      </c>
      <c r="X45" s="11"/>
      <c r="Y45" s="19" t="str">
        <f>IF(OR(人物卡!AE41="√",人物卡!AE41="✓",人物卡!AE41="☑"),"☑","☐")</f>
        <v>☐</v>
      </c>
      <c r="Z45" s="16" t="str">
        <f ca="1">IF(人物卡!AG41="","其他技能：________",人物卡!AG41)</f>
        <v>其他技能：________</v>
      </c>
      <c r="AA45" s="10"/>
      <c r="AB45" s="10"/>
      <c r="AC45" s="10"/>
      <c r="AD45" s="10"/>
      <c r="AE45" s="10"/>
      <c r="AF45" s="10"/>
      <c r="AG45" s="10"/>
      <c r="AH45" s="11"/>
      <c r="AI45" s="20">
        <f>IF(人物卡!AS41="",0,人物卡!AS41)</f>
        <v>0</v>
      </c>
      <c r="AJ45" s="11"/>
    </row>
    <row r="46" ht="14.4" customHeight="1" spans="1:36">
      <c r="A46" s="19" t="str">
        <f>IF(OR(人物卡!B32="√",人物卡!B32="✓",人物卡!B32="☑"),"☑","☐")</f>
        <v>☐</v>
      </c>
      <c r="B46" s="16" t="str">
        <f>人物卡!D32&amp;" ("&amp;IF(人物卡!S32="",0,人物卡!S32)&amp;"%)"</f>
        <v>闪避 (30%)</v>
      </c>
      <c r="C46" s="10"/>
      <c r="D46" s="10"/>
      <c r="E46" s="10"/>
      <c r="F46" s="10"/>
      <c r="G46" s="10"/>
      <c r="H46" s="10"/>
      <c r="I46" s="10"/>
      <c r="J46" s="11"/>
      <c r="K46" s="20">
        <f>IF(人物卡!P32="",0,人物卡!P32)</f>
        <v>30</v>
      </c>
      <c r="L46" s="11"/>
      <c r="M46" s="19" t="str">
        <f>IF(OR(人物卡!AE22="√",人物卡!AE22="✓",人物卡!AE22="☑"),"☑","☐")</f>
        <v>☐</v>
      </c>
      <c r="N46" s="16" t="str">
        <f>人物卡!AG22&amp;" ("&amp;IF(人物卡!AV22="",0,人物卡!AV22)&amp;"%)"</f>
        <v>说服 (20%)</v>
      </c>
      <c r="O46" s="10"/>
      <c r="P46" s="10"/>
      <c r="Q46" s="10"/>
      <c r="R46" s="10"/>
      <c r="S46" s="10"/>
      <c r="T46" s="10"/>
      <c r="U46" s="10"/>
      <c r="V46" s="11"/>
      <c r="W46" s="20">
        <f>IF(人物卡!AS22="",0,人物卡!AS22)</f>
        <v>20</v>
      </c>
      <c r="X46" s="11"/>
      <c r="Y46" s="19" t="str">
        <f>IF(OR(人物卡!AE42="√",人物卡!AE42="✓",人物卡!AE42="☑"),"☑","☐")</f>
        <v>☐</v>
      </c>
      <c r="Z46" s="16" t="str">
        <f ca="1">IF(人物卡!AG42="","其他技能：________",人物卡!AG42)</f>
        <v>其他技能：________</v>
      </c>
      <c r="AA46" s="10"/>
      <c r="AB46" s="10"/>
      <c r="AC46" s="10"/>
      <c r="AD46" s="10"/>
      <c r="AE46" s="10"/>
      <c r="AF46" s="10"/>
      <c r="AG46" s="10"/>
      <c r="AH46" s="11"/>
      <c r="AI46" s="20">
        <f>IF(人物卡!AS42="",0,人物卡!AS42)</f>
        <v>0</v>
      </c>
      <c r="AJ46" s="11"/>
    </row>
    <row r="47" ht="14.4" customHeight="1" spans="1:36">
      <c r="A47" s="19" t="str">
        <f>IF(OR(人物卡!B33="√",人物卡!B33="✓",人物卡!B33="☑"),"☑","☐")</f>
        <v>☐</v>
      </c>
      <c r="B47" s="16" t="str">
        <f>人物卡!D33&amp;" ("&amp;IF(人物卡!S33="",0,人物卡!S33)&amp;"%)"</f>
        <v>机动车驾驶 (20%)</v>
      </c>
      <c r="C47" s="10"/>
      <c r="D47" s="10"/>
      <c r="E47" s="10"/>
      <c r="F47" s="10"/>
      <c r="G47" s="10"/>
      <c r="H47" s="10"/>
      <c r="I47" s="10"/>
      <c r="J47" s="11"/>
      <c r="K47" s="20">
        <f>IF(人物卡!P33="",0,人物卡!P33)</f>
        <v>20</v>
      </c>
      <c r="L47" s="11"/>
      <c r="M47" s="19" t="str">
        <f>IF(OR(人物卡!AE23="√",人物卡!AE23="✓",人物卡!AE23="☑"),"☑","☐")</f>
        <v>☐</v>
      </c>
      <c r="N47" s="16" t="str">
        <f>人物卡!AG23&amp;" ("&amp;IF(人物卡!AV23="",0,人物卡!AV23)&amp;"%)"</f>
        <v>药学 (0%)</v>
      </c>
      <c r="O47" s="10"/>
      <c r="P47" s="10"/>
      <c r="Q47" s="10"/>
      <c r="R47" s="10"/>
      <c r="S47" s="10"/>
      <c r="T47" s="10"/>
      <c r="U47" s="10"/>
      <c r="V47" s="11"/>
      <c r="W47" s="20">
        <f>IF(人物卡!AS23="",0,人物卡!AS23)</f>
        <v>0</v>
      </c>
      <c r="X47" s="11"/>
      <c r="Y47" s="19" t="str">
        <f>IF(OR(人物卡!AE43="√",人物卡!AE43="✓",人物卡!AE43="☑"),"☑","☐")</f>
        <v>☐</v>
      </c>
      <c r="Z47" s="16" t="str">
        <f ca="1">IF(人物卡!AG43="","其他技能：________",人物卡!AG43)</f>
        <v>其他技能：________</v>
      </c>
      <c r="AA47" s="10"/>
      <c r="AB47" s="10"/>
      <c r="AC47" s="10"/>
      <c r="AD47" s="10"/>
      <c r="AE47" s="10"/>
      <c r="AF47" s="10"/>
      <c r="AG47" s="10"/>
      <c r="AH47" s="11"/>
      <c r="AI47" s="20">
        <f>IF(人物卡!AS43="",0,人物卡!AS43)</f>
        <v>0</v>
      </c>
      <c r="AJ47" s="11"/>
    </row>
    <row r="48" ht="14.4" customHeight="1" spans="1:36">
      <c r="A48" s="21" t="inlineStr">
        <is>
          <t>技能使用失败后标记；模组结束时，每项已标记技能结算一次1D4，记录成长后清除标记。</t>
        </is>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r="49" ht="14.4" customHeight="1" spans="1:36">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8"/>
    </row>
    <row r="50" ht="14.4" customHeight="1" spans="1:36">
      <c r="A50" s="22" t="s">
        <v>3325</v>
      </c>
    </row>
    <row r="51" ht="14.4" customHeight="1" spans="1:36">
      <c r="A51" s="23" t="str">
        <f>"玩家："&amp;IF(人物卡!E3="","",人物卡!E3)</f>
        <v>玩家：</v>
      </c>
      <c r="T51" s="23" t="str">
        <f>"年代："&amp;IF(人物卡!Q6="","",人物卡!Q6)</f>
        <v>年代：</v>
      </c>
    </row>
    <row r="52" ht="14.4" customHeight="1" spans="1:36">
      <c r="A52" s="24" t="s">
        <v>3326</v>
      </c>
    </row>
    <row r="53" ht="14.4" customHeight="1" spans="1:36">
      <c r="A53" s="732"/>
      <c r="B53" s="733"/>
      <c r="C53" s="733"/>
      <c r="D53" s="733"/>
      <c r="E53" s="733"/>
      <c r="F53" s="733"/>
      <c r="G53" s="733"/>
      <c r="H53" s="733"/>
      <c r="I53" s="733"/>
      <c r="J53" s="733"/>
      <c r="K53" s="733"/>
      <c r="L53" s="733"/>
      <c r="M53" s="733"/>
      <c r="N53" s="733"/>
      <c r="O53" s="733"/>
      <c r="P53" s="733"/>
      <c r="Q53" s="733"/>
      <c r="R53" s="733"/>
      <c r="S53" s="733"/>
      <c r="T53" s="733"/>
      <c r="U53" s="733"/>
      <c r="V53" s="733"/>
      <c r="W53" s="733"/>
      <c r="X53" s="733"/>
      <c r="Y53" s="733"/>
      <c r="Z53" s="733"/>
      <c r="AA53" s="733"/>
      <c r="AB53" s="733"/>
      <c r="AC53" s="733"/>
      <c r="AD53" s="733"/>
      <c r="AE53" s="733"/>
      <c r="AF53" s="733"/>
      <c r="AG53" s="733"/>
      <c r="AH53" s="733"/>
      <c r="AI53" s="733"/>
      <c r="AJ53" s="734"/>
    </row>
    <row r="54" ht="14.4" customHeight="1" spans="1:36">
      <c r="A54" s="735"/>
      <c r="AJ54" s="736"/>
    </row>
    <row r="55" ht="14.4" customHeight="1" spans="1:36">
      <c r="A55" s="737"/>
      <c r="B55" s="738"/>
      <c r="C55" s="738"/>
      <c r="D55" s="738"/>
      <c r="E55" s="738"/>
      <c r="F55" s="738"/>
      <c r="G55" s="738"/>
      <c r="H55" s="738"/>
      <c r="I55" s="738"/>
      <c r="J55" s="738"/>
      <c r="K55" s="738"/>
      <c r="L55" s="738"/>
      <c r="M55" s="738"/>
      <c r="N55" s="738"/>
      <c r="O55" s="738"/>
      <c r="P55" s="738"/>
      <c r="Q55" s="738"/>
      <c r="R55" s="738"/>
      <c r="S55" s="738"/>
      <c r="T55" s="738"/>
      <c r="U55" s="738"/>
      <c r="V55" s="738"/>
      <c r="W55" s="738"/>
      <c r="X55" s="738"/>
      <c r="Y55" s="738"/>
      <c r="Z55" s="738"/>
      <c r="AA55" s="738"/>
      <c r="AB55" s="738"/>
      <c r="AC55" s="738"/>
      <c r="AD55" s="738"/>
      <c r="AE55" s="738"/>
      <c r="AF55" s="738"/>
      <c r="AG55" s="738"/>
      <c r="AH55" s="738"/>
      <c r="AI55" s="738"/>
      <c r="AJ55" s="739"/>
    </row>
    <row r="56" ht="14.4" customHeight="1" spans="1:36">
      <c r="A56" s="9" t="s">
        <v>3327</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ht="14.4" customHeight="1" spans="1:36">
      <c r="A57" s="26" t="str">
        <f>IF(人物卡!EI17="","",人物卡!EI17)</f>
        <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r="58" ht="14.4" customHeight="1" spans="1:36">
      <c r="A58" s="4"/>
      <c r="AJ58" s="5"/>
    </row>
    <row r="59" ht="14.4" customHeight="1" spans="1:36">
      <c r="A59" s="4"/>
      <c r="AJ59" s="5"/>
    </row>
    <row r="60" ht="14.4" customHeight="1" spans="1:36">
      <c r="A60" s="4"/>
      <c r="AJ60" s="5"/>
    </row>
    <row r="61" ht="14.4" customHeight="1" spans="1:36">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8"/>
    </row>
    <row r="62" ht="14.4" customHeight="1" spans="1:36">
      <c r="A62" s="16" t="s">
        <v>3328</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1"/>
    </row>
    <row r="63" ht="14.4" customHeight="1" spans="1:36">
      <c r="A63" s="9" t="s">
        <v>3329</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1"/>
    </row>
    <row r="64" ht="14.4" customHeight="1" spans="1:36">
      <c r="A64" s="26"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r="65" ht="14.4" customHeight="1" spans="1:36">
      <c r="A65" s="4"/>
      <c r="AJ65" s="5"/>
    </row>
    <row r="66" ht="14.4" customHeight="1" spans="1:36">
      <c r="A66" s="4"/>
      <c r="AJ66" s="5"/>
    </row>
    <row r="67" ht="14.4" customHeight="1" spans="1:36">
      <c r="A67" s="4"/>
      <c r="AJ67" s="5"/>
    </row>
    <row r="68" ht="14.4" customHeight="1" spans="1:36">
      <c r="A68" s="4"/>
      <c r="AJ68" s="5"/>
    </row>
    <row r="69" ht="14.4" customHeight="1" spans="1:36">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8"/>
    </row>
    <row r="70" ht="14.4" customHeight="1" spans="1:36">
      <c r="A70" s="16" t="s">
        <v>3330</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1"/>
    </row>
    <row r="71" ht="14.4" customHeight="1" spans="1:36">
      <c r="A71" s="9" t="s">
        <v>3331</v>
      </c>
      <c r="B71" s="11"/>
      <c r="C71" s="9" t="s">
        <v>3332</v>
      </c>
      <c r="D71" s="10"/>
      <c r="E71" s="10"/>
      <c r="F71" s="10"/>
      <c r="G71" s="10"/>
      <c r="H71" s="11"/>
      <c r="I71" s="9" t="s">
        <v>3333</v>
      </c>
      <c r="J71" s="10"/>
      <c r="K71" s="10"/>
      <c r="L71" s="11"/>
      <c r="M71" s="9" t="s">
        <v>55</v>
      </c>
      <c r="N71" s="10"/>
      <c r="O71" s="10"/>
      <c r="P71" s="10"/>
      <c r="Q71" s="11"/>
      <c r="R71" s="9" t="s">
        <v>3334</v>
      </c>
      <c r="S71" s="10"/>
      <c r="T71" s="10"/>
      <c r="U71" s="10"/>
      <c r="V71" s="11"/>
      <c r="W71" s="9" t="s">
        <v>3335</v>
      </c>
      <c r="X71" s="10"/>
      <c r="Y71" s="10"/>
      <c r="Z71" s="10"/>
      <c r="AA71" s="11"/>
      <c r="AB71" s="9" t="s">
        <v>3336</v>
      </c>
      <c r="AC71" s="10"/>
      <c r="AD71" s="10"/>
      <c r="AE71" s="11"/>
      <c r="AF71" s="9" t="s">
        <v>2669</v>
      </c>
      <c r="AG71" s="10"/>
      <c r="AH71" s="11"/>
      <c r="AI71" s="9" t="s">
        <v>3337</v>
      </c>
      <c r="AJ71" s="11"/>
    </row>
    <row r="72" ht="14.4" customHeight="1" spans="1:36">
      <c r="A72" s="19" t="s">
        <v>3338</v>
      </c>
      <c r="B72" s="11"/>
      <c r="C72" s="14" t="str">
        <f>IF(人物卡!CZ14="","",人物卡!CZ14)</f>
        <v/>
      </c>
      <c r="D72" s="10"/>
      <c r="E72" s="10"/>
      <c r="F72" s="10"/>
      <c r="G72" s="10"/>
      <c r="H72" s="11"/>
      <c r="I72" s="27" t="str">
        <f ca="1">IF(人物卡!DM14="","",人物卡!DM14)</f>
        <v/>
      </c>
      <c r="J72" s="10"/>
      <c r="K72" s="10"/>
      <c r="L72" s="11"/>
      <c r="M72" s="27" t="str">
        <f>IF(人物卡!DZ14="","",人物卡!DZ14)</f>
        <v/>
      </c>
      <c r="N72" s="10"/>
      <c r="O72" s="10"/>
      <c r="P72" s="10"/>
      <c r="Q72" s="11"/>
      <c r="R72" s="27"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72" s="10"/>
      <c r="T72" s="10"/>
      <c r="U72" s="10"/>
      <c r="V72" s="11"/>
      <c r="W72" s="27" t="str">
        <f>IF(人物卡!DW14="","",人物卡!DW14)</f>
        <v/>
      </c>
      <c r="X72" s="10"/>
      <c r="Y72" s="10"/>
      <c r="Z72" s="10"/>
      <c r="AA72" s="11"/>
      <c r="AB72" s="27"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72" s="10"/>
      <c r="AD72" s="10"/>
      <c r="AE72" s="11"/>
      <c r="AF72" s="27" t="str">
        <f>IF(人物卡!ED14="","",人物卡!ED14)</f>
        <v/>
      </c>
      <c r="AG72" s="10"/>
      <c r="AH72" s="11"/>
      <c r="AI72" s="15"/>
      <c r="AJ72" s="11"/>
    </row>
    <row r="73" ht="14.4" customHeight="1" spans="1:36">
      <c r="A73" s="19" t="s">
        <v>3339</v>
      </c>
      <c r="B73" s="11"/>
      <c r="C73" s="14" t="str">
        <f>IF(人物卡!CZ15="","",人物卡!CZ15)</f>
        <v/>
      </c>
      <c r="D73" s="10"/>
      <c r="E73" s="10"/>
      <c r="F73" s="10"/>
      <c r="G73" s="10"/>
      <c r="H73" s="11"/>
      <c r="I73" s="27" t="str">
        <f ca="1">IF(人物卡!DM15="","",人物卡!DM15)</f>
        <v/>
      </c>
      <c r="J73" s="10"/>
      <c r="K73" s="10"/>
      <c r="L73" s="11"/>
      <c r="M73" s="27" t="str">
        <f>IF(人物卡!DZ15="","",人物卡!DZ15)</f>
        <v/>
      </c>
      <c r="N73" s="10"/>
      <c r="O73" s="10"/>
      <c r="P73" s="10"/>
      <c r="Q73" s="11"/>
      <c r="R73" s="27"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73" s="10"/>
      <c r="T73" s="10"/>
      <c r="U73" s="10"/>
      <c r="V73" s="11"/>
      <c r="W73" s="27" t="str">
        <f>IF(人物卡!DW15="","",人物卡!DW15)</f>
        <v/>
      </c>
      <c r="X73" s="10"/>
      <c r="Y73" s="10"/>
      <c r="Z73" s="10"/>
      <c r="AA73" s="11"/>
      <c r="AB73" s="27"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73" s="10"/>
      <c r="AD73" s="10"/>
      <c r="AE73" s="11"/>
      <c r="AF73" s="27" t="str">
        <f>IF(人物卡!ED15="","",人物卡!ED15)</f>
        <v/>
      </c>
      <c r="AG73" s="10"/>
      <c r="AH73" s="11"/>
      <c r="AI73" s="15"/>
      <c r="AJ73" s="11"/>
    </row>
    <row r="74" ht="14.4" customHeight="1" spans="1:36">
      <c r="A74" s="19" t="s">
        <v>3340</v>
      </c>
      <c r="B74" s="11"/>
      <c r="C74" s="14" t="str">
        <f>IF(人物卡!CZ16="","",人物卡!CZ16)</f>
        <v/>
      </c>
      <c r="D74" s="10"/>
      <c r="E74" s="10"/>
      <c r="F74" s="10"/>
      <c r="G74" s="10"/>
      <c r="H74" s="11"/>
      <c r="I74" s="27" t="str">
        <f ca="1">IF(人物卡!DM16="","",人物卡!DM16)</f>
        <v/>
      </c>
      <c r="J74" s="10"/>
      <c r="K74" s="10"/>
      <c r="L74" s="11"/>
      <c r="M74" s="27" t="str">
        <f>IF(人物卡!DZ16="","",人物卡!DZ16)</f>
        <v/>
      </c>
      <c r="N74" s="10"/>
      <c r="O74" s="10"/>
      <c r="P74" s="10"/>
      <c r="Q74" s="11"/>
      <c r="R74" s="27"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74" s="10"/>
      <c r="T74" s="10"/>
      <c r="U74" s="10"/>
      <c r="V74" s="11"/>
      <c r="W74" s="27" t="str">
        <f>IF(人物卡!DW16="","",人物卡!DW16)</f>
        <v/>
      </c>
      <c r="X74" s="10"/>
      <c r="Y74" s="10"/>
      <c r="Z74" s="10"/>
      <c r="AA74" s="11"/>
      <c r="AB74" s="27"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74" s="10"/>
      <c r="AD74" s="10"/>
      <c r="AE74" s="11"/>
      <c r="AF74" s="27" t="str">
        <f>IF(人物卡!ED16="","",人物卡!ED16)</f>
        <v/>
      </c>
      <c r="AG74" s="10"/>
      <c r="AH74" s="11"/>
      <c r="AI74" s="15"/>
      <c r="AJ74" s="11"/>
    </row>
    <row r="75" ht="14.4" customHeight="1" spans="1:36">
      <c r="A75" s="19" t="s">
        <v>3341</v>
      </c>
      <c r="B75" s="11"/>
      <c r="C75" s="14" t="str">
        <f>IF(人物卡!CZ17="","",人物卡!CZ17)</f>
        <v/>
      </c>
      <c r="D75" s="10"/>
      <c r="E75" s="10"/>
      <c r="F75" s="10"/>
      <c r="G75" s="10"/>
      <c r="H75" s="11"/>
      <c r="I75" s="27" t="str">
        <f ca="1">IF(人物卡!DM17="","",人物卡!DM17)</f>
        <v/>
      </c>
      <c r="J75" s="10"/>
      <c r="K75" s="10"/>
      <c r="L75" s="11"/>
      <c r="M75" s="27" t="str">
        <f>IF(人物卡!DZ17="","",人物卡!DZ17)</f>
        <v/>
      </c>
      <c r="N75" s="10"/>
      <c r="O75" s="10"/>
      <c r="P75" s="10"/>
      <c r="Q75" s="11"/>
      <c r="R75" s="27"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5" s="10"/>
      <c r="T75" s="10"/>
      <c r="U75" s="10"/>
      <c r="V75" s="11"/>
      <c r="W75" s="27" t="str">
        <f>IF(人物卡!DW17="","",人物卡!DW17)</f>
        <v/>
      </c>
      <c r="X75" s="10"/>
      <c r="Y75" s="10"/>
      <c r="Z75" s="10"/>
      <c r="AA75" s="11"/>
      <c r="AB75" s="27"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5" s="10"/>
      <c r="AD75" s="10"/>
      <c r="AE75" s="11"/>
      <c r="AF75" s="27" t="str">
        <f>IF(人物卡!ED17="","",人物卡!ED17)</f>
        <v/>
      </c>
      <c r="AG75" s="10"/>
      <c r="AH75" s="11"/>
      <c r="AI75" s="15"/>
      <c r="AJ75" s="11"/>
    </row>
    <row r="76" ht="14.4" customHeight="1" spans="1:36">
      <c r="A76" s="19" t="s">
        <v>3342</v>
      </c>
      <c r="B76" s="11"/>
      <c r="C76" s="14" t="str">
        <f>IF(人物卡!CZ18="","",人物卡!CZ18)</f>
        <v/>
      </c>
      <c r="D76" s="10"/>
      <c r="E76" s="10"/>
      <c r="F76" s="10"/>
      <c r="G76" s="10"/>
      <c r="H76" s="11"/>
      <c r="I76" s="27" t="str">
        <f ca="1">IF(人物卡!DM18="","",人物卡!DM18)</f>
        <v/>
      </c>
      <c r="J76" s="10"/>
      <c r="K76" s="10"/>
      <c r="L76" s="11"/>
      <c r="M76" s="27" t="str">
        <f>IF(人物卡!DZ18="","",人物卡!DZ18)</f>
        <v/>
      </c>
      <c r="N76" s="10"/>
      <c r="O76" s="10"/>
      <c r="P76" s="10"/>
      <c r="Q76" s="11"/>
      <c r="R76" s="27"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6" s="10"/>
      <c r="T76" s="10"/>
      <c r="U76" s="10"/>
      <c r="V76" s="11"/>
      <c r="W76" s="27" t="str">
        <f>IF(人物卡!DW18="","",人物卡!DW18)</f>
        <v/>
      </c>
      <c r="X76" s="10"/>
      <c r="Y76" s="10"/>
      <c r="Z76" s="10"/>
      <c r="AA76" s="11"/>
      <c r="AB76" s="27"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6" s="10"/>
      <c r="AD76" s="10"/>
      <c r="AE76" s="11"/>
      <c r="AF76" s="27" t="str">
        <f>IF(人物卡!ED18="","",人物卡!ED18)</f>
        <v/>
      </c>
      <c r="AG76" s="10"/>
      <c r="AH76" s="11"/>
      <c r="AI76" s="15"/>
      <c r="AJ76" s="11"/>
    </row>
    <row r="77" ht="14.4" customHeight="1" spans="1:36">
      <c r="A77" s="19" t="s">
        <v>3343</v>
      </c>
      <c r="B77" s="11"/>
      <c r="C77" s="14" t="str">
        <f>IF(人物卡!CZ19="","",人物卡!CZ19)</f>
        <v/>
      </c>
      <c r="D77" s="10"/>
      <c r="E77" s="10"/>
      <c r="F77" s="10"/>
      <c r="G77" s="10"/>
      <c r="H77" s="11"/>
      <c r="I77" s="27" t="str">
        <f ca="1">IF(人物卡!DM19="","",人物卡!DM19)</f>
        <v/>
      </c>
      <c r="J77" s="10"/>
      <c r="K77" s="10"/>
      <c r="L77" s="11"/>
      <c r="M77" s="27" t="str">
        <f>IF(人物卡!DZ19="","",人物卡!DZ19)</f>
        <v/>
      </c>
      <c r="N77" s="10"/>
      <c r="O77" s="10"/>
      <c r="P77" s="10"/>
      <c r="Q77" s="11"/>
      <c r="R77" s="27"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7" s="10"/>
      <c r="T77" s="10"/>
      <c r="U77" s="10"/>
      <c r="V77" s="11"/>
      <c r="W77" s="27" t="str">
        <f>IF(人物卡!DW19="","",人物卡!DW19)</f>
        <v/>
      </c>
      <c r="X77" s="10"/>
      <c r="Y77" s="10"/>
      <c r="Z77" s="10"/>
      <c r="AA77" s="11"/>
      <c r="AB77" s="27"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7" s="10"/>
      <c r="AD77" s="10"/>
      <c r="AE77" s="11"/>
      <c r="AF77" s="27" t="str">
        <f>IF(人物卡!ED19="","",人物卡!ED19)</f>
        <v/>
      </c>
      <c r="AG77" s="10"/>
      <c r="AH77" s="11"/>
      <c r="AI77" s="15"/>
      <c r="AJ77" s="11"/>
    </row>
    <row r="78" ht="14.4" customHeight="1" spans="1:36">
      <c r="A78" s="19" t="s">
        <v>3344</v>
      </c>
      <c r="B78" s="11"/>
      <c r="C78" s="14" t="str">
        <f>IF(人物卡!CZ20="","",人物卡!CZ20)</f>
        <v/>
      </c>
      <c r="D78" s="10"/>
      <c r="E78" s="10"/>
      <c r="F78" s="10"/>
      <c r="G78" s="10"/>
      <c r="H78" s="11"/>
      <c r="I78" s="27" t="str">
        <f ca="1">IF(人物卡!DM20="","",人物卡!DM20)</f>
        <v/>
      </c>
      <c r="J78" s="10"/>
      <c r="K78" s="10"/>
      <c r="L78" s="11"/>
      <c r="M78" s="27" t="str">
        <f>IF(人物卡!DZ20="","",人物卡!DZ20)</f>
        <v/>
      </c>
      <c r="N78" s="10"/>
      <c r="O78" s="10"/>
      <c r="P78" s="10"/>
      <c r="Q78" s="11"/>
      <c r="R78" s="27"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8" s="10"/>
      <c r="T78" s="10"/>
      <c r="U78" s="10"/>
      <c r="V78" s="11"/>
      <c r="W78" s="27" t="str">
        <f>IF(人物卡!DW20="","",人物卡!DW20)</f>
        <v/>
      </c>
      <c r="X78" s="10"/>
      <c r="Y78" s="10"/>
      <c r="Z78" s="10"/>
      <c r="AA78" s="11"/>
      <c r="AB78" s="27"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8" s="10"/>
      <c r="AD78" s="10"/>
      <c r="AE78" s="11"/>
      <c r="AF78" s="27" t="str">
        <f>IF(人物卡!ED20="","",人物卡!ED20)</f>
        <v/>
      </c>
      <c r="AG78" s="10"/>
      <c r="AH78" s="11"/>
      <c r="AI78" s="15"/>
      <c r="AJ78" s="11"/>
    </row>
    <row r="79" ht="14.4" customHeight="1" spans="1:36">
      <c r="A79" s="9" t="s">
        <v>3345</v>
      </c>
      <c r="B79" s="10"/>
      <c r="C79" s="10"/>
      <c r="D79" s="10"/>
      <c r="E79" s="10"/>
      <c r="F79" s="10"/>
      <c r="G79" s="10"/>
      <c r="H79" s="10"/>
      <c r="I79" s="10"/>
      <c r="J79" s="10"/>
      <c r="K79" s="10"/>
      <c r="L79" s="10"/>
      <c r="M79" s="10"/>
      <c r="N79" s="10"/>
      <c r="O79" s="10"/>
      <c r="P79" s="10"/>
      <c r="Q79" s="10"/>
      <c r="R79" s="11"/>
      <c r="S79" s="9" t="s">
        <v>3346</v>
      </c>
      <c r="T79" s="10"/>
      <c r="U79" s="10"/>
      <c r="V79" s="10"/>
      <c r="W79" s="10"/>
      <c r="X79" s="10"/>
      <c r="Y79" s="10"/>
      <c r="Z79" s="10"/>
      <c r="AA79" s="10"/>
      <c r="AB79" s="10"/>
      <c r="AC79" s="10"/>
      <c r="AD79" s="10"/>
      <c r="AE79" s="10"/>
      <c r="AF79" s="10"/>
      <c r="AG79" s="10"/>
      <c r="AH79" s="10"/>
      <c r="AI79" s="10"/>
      <c r="AJ79" s="11"/>
    </row>
    <row r="80" ht="14.4" customHeight="1" spans="1:36">
      <c r="A80" s="18" t="str">
        <f>IFERROR(MID(""&amp;IF((IF(人物卡!BI27="","",人物卡!BI27))="","",CHAR(10)&amp;(IF(人物卡!BI27="","",人物卡!BI27)))&amp;IF((IF(人物卡!EI23="","",人物卡!EI23))="","",CHAR(10)&amp;(IF(人物卡!EI23="","",人物卡!EI23))),2,32767),"")</f>
        <v/>
      </c>
      <c r="B80" s="2"/>
      <c r="C80" s="2"/>
      <c r="D80" s="2"/>
      <c r="E80" s="2"/>
      <c r="F80" s="2"/>
      <c r="G80" s="2"/>
      <c r="H80" s="2"/>
      <c r="I80" s="2"/>
      <c r="J80" s="2"/>
      <c r="K80" s="2"/>
      <c r="L80" s="2"/>
      <c r="M80" s="2"/>
      <c r="N80" s="2"/>
      <c r="O80" s="2"/>
      <c r="P80" s="2"/>
      <c r="Q80" s="2"/>
      <c r="R80" s="3"/>
      <c r="S80" s="26"/>
      <c r="T80" s="2"/>
      <c r="U80" s="2"/>
      <c r="V80" s="2"/>
      <c r="W80" s="2"/>
      <c r="X80" s="2"/>
      <c r="Y80" s="2"/>
      <c r="Z80" s="2"/>
      <c r="AA80" s="2"/>
      <c r="AB80" s="2"/>
      <c r="AC80" s="2"/>
      <c r="AD80" s="2"/>
      <c r="AE80" s="2"/>
      <c r="AF80" s="2"/>
      <c r="AG80" s="2"/>
      <c r="AH80" s="2"/>
      <c r="AI80" s="2"/>
      <c r="AJ80" s="3"/>
    </row>
    <row r="81" ht="14.4" customHeight="1" spans="1:36">
      <c r="A81" s="4"/>
      <c r="R81" s="5"/>
      <c r="S81" s="4"/>
      <c r="AJ81" s="5"/>
    </row>
    <row r="82" ht="14.4" customHeight="1" spans="1:36">
      <c r="A82" s="4"/>
      <c r="R82" s="5"/>
      <c r="S82" s="4"/>
      <c r="AJ82" s="5"/>
    </row>
    <row r="83" ht="14.4" customHeight="1" spans="1:36">
      <c r="A83" s="4"/>
      <c r="R83" s="5"/>
      <c r="S83" s="6"/>
      <c r="T83" s="7"/>
      <c r="U83" s="7"/>
      <c r="V83" s="7"/>
      <c r="W83" s="7"/>
      <c r="X83" s="7"/>
      <c r="Y83" s="7"/>
      <c r="Z83" s="7"/>
      <c r="AA83" s="7"/>
      <c r="AB83" s="7"/>
      <c r="AC83" s="7"/>
      <c r="AD83" s="7"/>
      <c r="AE83" s="7"/>
      <c r="AF83" s="7"/>
      <c r="AG83" s="7"/>
      <c r="AH83" s="7"/>
      <c r="AI83" s="7"/>
      <c r="AJ83" s="8"/>
    </row>
    <row r="84" ht="14.4" customHeight="1" spans="1:36">
      <c r="A84" s="4"/>
      <c r="R84" s="5"/>
      <c r="S84" s="9" t="s">
        <v>3347</v>
      </c>
      <c r="T84" s="10"/>
      <c r="U84" s="10"/>
      <c r="V84" s="10"/>
      <c r="W84" s="10"/>
      <c r="X84" s="10"/>
      <c r="Y84" s="10"/>
      <c r="Z84" s="10"/>
      <c r="AA84" s="11"/>
      <c r="AB84" s="9" t="s">
        <v>8</v>
      </c>
      <c r="AC84" s="10"/>
      <c r="AD84" s="10"/>
      <c r="AE84" s="10"/>
      <c r="AF84" s="10"/>
      <c r="AG84" s="10"/>
      <c r="AH84" s="10"/>
      <c r="AI84" s="10"/>
      <c r="AJ84" s="11"/>
    </row>
    <row r="85" ht="14.4" customHeight="1" spans="1:36">
      <c r="A85" s="4"/>
      <c r="R85" s="5"/>
      <c r="S85" s="14" t="str">
        <f>IF(人物卡!BX3="","",人物卡!BX3)</f>
        <v/>
      </c>
      <c r="T85" s="10"/>
      <c r="U85" s="10"/>
      <c r="V85" s="10"/>
      <c r="W85" s="10"/>
      <c r="X85" s="10"/>
      <c r="Y85" s="10"/>
      <c r="Z85" s="10"/>
      <c r="AA85" s="11"/>
      <c r="AB85" s="14" t="str">
        <f>IF(人物卡!CP3="","",人物卡!CP3)</f>
        <v/>
      </c>
      <c r="AC85" s="10"/>
      <c r="AD85" s="10"/>
      <c r="AE85" s="10"/>
      <c r="AF85" s="10"/>
      <c r="AG85" s="10"/>
      <c r="AH85" s="10"/>
      <c r="AI85" s="10"/>
      <c r="AJ85" s="11"/>
    </row>
    <row r="86" ht="14.4" customHeight="1" spans="1:36">
      <c r="A86" s="4"/>
      <c r="R86" s="5"/>
      <c r="S86" s="14" t="str">
        <f>IF(人物卡!BX4="","",人物卡!BX4)</f>
        <v/>
      </c>
      <c r="T86" s="10"/>
      <c r="U86" s="10"/>
      <c r="V86" s="10"/>
      <c r="W86" s="10"/>
      <c r="X86" s="10"/>
      <c r="Y86" s="10"/>
      <c r="Z86" s="10"/>
      <c r="AA86" s="11"/>
      <c r="AB86" s="14" t="str">
        <f>IF(人物卡!CP4="","",人物卡!CP4)</f>
        <v/>
      </c>
      <c r="AC86" s="10"/>
      <c r="AD86" s="10"/>
      <c r="AE86" s="10"/>
      <c r="AF86" s="10"/>
      <c r="AG86" s="10"/>
      <c r="AH86" s="10"/>
      <c r="AI86" s="10"/>
      <c r="AJ86" s="11"/>
    </row>
    <row r="87" ht="14.4" customHeight="1" spans="1:36">
      <c r="A87" s="4"/>
      <c r="R87" s="5"/>
      <c r="S87" s="14" t="str">
        <f>IF(人物卡!BX5="","",人物卡!BX5)</f>
        <v/>
      </c>
      <c r="T87" s="10"/>
      <c r="U87" s="10"/>
      <c r="V87" s="10"/>
      <c r="W87" s="10"/>
      <c r="X87" s="10"/>
      <c r="Y87" s="10"/>
      <c r="Z87" s="10"/>
      <c r="AA87" s="11"/>
      <c r="AB87" s="14" t="str">
        <f>IF(人物卡!CP5="","",人物卡!CP5)</f>
        <v/>
      </c>
      <c r="AC87" s="10"/>
      <c r="AD87" s="10"/>
      <c r="AE87" s="10"/>
      <c r="AF87" s="10"/>
      <c r="AG87" s="10"/>
      <c r="AH87" s="10"/>
      <c r="AI87" s="10"/>
      <c r="AJ87" s="11"/>
    </row>
    <row r="88" ht="14.4" customHeight="1" spans="1:36">
      <c r="A88" s="4"/>
      <c r="R88" s="5"/>
      <c r="S88" s="14" t="str">
        <f>IF(人物卡!BX6="","",人物卡!BX6)</f>
        <v/>
      </c>
      <c r="T88" s="10"/>
      <c r="U88" s="10"/>
      <c r="V88" s="10"/>
      <c r="W88" s="10"/>
      <c r="X88" s="10"/>
      <c r="Y88" s="10"/>
      <c r="Z88" s="10"/>
      <c r="AA88" s="11"/>
      <c r="AB88" s="14" t="str">
        <f>IF(人物卡!CP6="","",人物卡!CP6)</f>
        <v/>
      </c>
      <c r="AC88" s="10"/>
      <c r="AD88" s="10"/>
      <c r="AE88" s="10"/>
      <c r="AF88" s="10"/>
      <c r="AG88" s="10"/>
      <c r="AH88" s="10"/>
      <c r="AI88" s="10"/>
      <c r="AJ88" s="11"/>
    </row>
    <row r="89" ht="14.4" customHeight="1" spans="1:36">
      <c r="A89" s="4"/>
      <c r="R89" s="5"/>
      <c r="S89" s="14" t="str">
        <f>IF(人物卡!BX7="","",人物卡!BX7)</f>
        <v/>
      </c>
      <c r="T89" s="10"/>
      <c r="U89" s="10"/>
      <c r="V89" s="10"/>
      <c r="W89" s="10"/>
      <c r="X89" s="10"/>
      <c r="Y89" s="10"/>
      <c r="Z89" s="10"/>
      <c r="AA89" s="11"/>
      <c r="AB89" s="14" t="str">
        <f>IF(人物卡!CP7="","",人物卡!CP7)</f>
        <v/>
      </c>
      <c r="AC89" s="10"/>
      <c r="AD89" s="10"/>
      <c r="AE89" s="10"/>
      <c r="AF89" s="10"/>
      <c r="AG89" s="10"/>
      <c r="AH89" s="10"/>
      <c r="AI89" s="10"/>
      <c r="AJ89" s="11"/>
    </row>
    <row r="90" ht="14.4" customHeight="1" spans="1:36">
      <c r="A90" s="4"/>
      <c r="R90" s="5"/>
      <c r="S90" s="14" t="str">
        <f>IF(人物卡!BX8="","",人物卡!BX8)</f>
        <v/>
      </c>
      <c r="T90" s="10"/>
      <c r="U90" s="10"/>
      <c r="V90" s="10"/>
      <c r="W90" s="10"/>
      <c r="X90" s="10"/>
      <c r="Y90" s="10"/>
      <c r="Z90" s="10"/>
      <c r="AA90" s="11"/>
      <c r="AB90" s="14" t="str">
        <f>IF(人物卡!CP8="","",人物卡!CP8)</f>
        <v/>
      </c>
      <c r="AC90" s="10"/>
      <c r="AD90" s="10"/>
      <c r="AE90" s="10"/>
      <c r="AF90" s="10"/>
      <c r="AG90" s="10"/>
      <c r="AH90" s="10"/>
      <c r="AI90" s="10"/>
      <c r="AJ90" s="11"/>
    </row>
    <row r="91" ht="14.4" customHeight="1" spans="1:36">
      <c r="A91" s="4"/>
      <c r="R91" s="5"/>
      <c r="S91" s="14" t="str">
        <f>IF(人物卡!BX9="","",人物卡!BX9)</f>
        <v/>
      </c>
      <c r="T91" s="10"/>
      <c r="U91" s="10"/>
      <c r="V91" s="10"/>
      <c r="W91" s="10"/>
      <c r="X91" s="10"/>
      <c r="Y91" s="10"/>
      <c r="Z91" s="10"/>
      <c r="AA91" s="11"/>
      <c r="AB91" s="14" t="str">
        <f>IF(人物卡!CP9="","",人物卡!CP9)</f>
        <v/>
      </c>
      <c r="AC91" s="10"/>
      <c r="AD91" s="10"/>
      <c r="AE91" s="10"/>
      <c r="AF91" s="10"/>
      <c r="AG91" s="10"/>
      <c r="AH91" s="10"/>
      <c r="AI91" s="10"/>
      <c r="AJ91" s="11"/>
    </row>
    <row r="92" ht="14.4" customHeight="1" spans="1:36">
      <c r="A92" s="4"/>
      <c r="R92" s="5"/>
      <c r="S92" s="14" t="str">
        <f>IF(人物卡!BX10="","",人物卡!BX10)</f>
        <v/>
      </c>
      <c r="T92" s="10"/>
      <c r="U92" s="10"/>
      <c r="V92" s="10"/>
      <c r="W92" s="10"/>
      <c r="X92" s="10"/>
      <c r="Y92" s="10"/>
      <c r="Z92" s="10"/>
      <c r="AA92" s="11"/>
      <c r="AB92" s="14" t="str">
        <f>IF(人物卡!CP10="","",人物卡!CP10)</f>
        <v/>
      </c>
      <c r="AC92" s="10"/>
      <c r="AD92" s="10"/>
      <c r="AE92" s="10"/>
      <c r="AF92" s="10"/>
      <c r="AG92" s="10"/>
      <c r="AH92" s="10"/>
      <c r="AI92" s="10"/>
      <c r="AJ92" s="11"/>
    </row>
    <row r="93" ht="14.4" customHeight="1" spans="1:36">
      <c r="A93" s="6"/>
      <c r="B93" s="7"/>
      <c r="C93" s="7"/>
      <c r="D93" s="7"/>
      <c r="E93" s="7"/>
      <c r="F93" s="7"/>
      <c r="G93" s="7"/>
      <c r="H93" s="7"/>
      <c r="I93" s="7"/>
      <c r="J93" s="7"/>
      <c r="K93" s="7"/>
      <c r="L93" s="7"/>
      <c r="M93" s="7"/>
      <c r="N93" s="7"/>
      <c r="O93" s="7"/>
      <c r="P93" s="7"/>
      <c r="Q93" s="7"/>
      <c r="R93" s="8"/>
      <c r="S93" s="14" t="str">
        <f>IF(人物卡!BX11="","",人物卡!BX11)</f>
        <v/>
      </c>
      <c r="T93" s="10"/>
      <c r="U93" s="10"/>
      <c r="V93" s="10"/>
      <c r="W93" s="10"/>
      <c r="X93" s="10"/>
      <c r="Y93" s="10"/>
      <c r="Z93" s="10"/>
      <c r="AA93" s="11"/>
      <c r="AB93" s="14" t="str">
        <f>IF(人物卡!CP11="","",人物卡!CP11)</f>
        <v/>
      </c>
      <c r="AC93" s="10"/>
      <c r="AD93" s="10"/>
      <c r="AE93" s="10"/>
      <c r="AF93" s="10"/>
      <c r="AG93" s="10"/>
      <c r="AH93" s="10"/>
      <c r="AI93" s="10"/>
      <c r="AJ93" s="11"/>
    </row>
    <row r="94" ht="14.4" customHeight="1" spans="1:36">
      <c r="A94" s="9" t="s">
        <v>3348</v>
      </c>
      <c r="B94" s="10"/>
      <c r="C94" s="10"/>
      <c r="D94" s="10"/>
      <c r="E94" s="10"/>
      <c r="F94" s="10"/>
      <c r="G94" s="10"/>
      <c r="H94" s="10"/>
      <c r="I94" s="10"/>
      <c r="J94" s="10"/>
      <c r="K94" s="10"/>
      <c r="L94" s="10"/>
      <c r="M94" s="10"/>
      <c r="N94" s="11"/>
      <c r="O94" s="9" t="s">
        <v>3305</v>
      </c>
      <c r="P94" s="10"/>
      <c r="Q94" s="10"/>
      <c r="R94" s="11"/>
      <c r="S94" s="21" t="s">
        <v>3349</v>
      </c>
      <c r="T94" s="2"/>
      <c r="U94" s="2"/>
      <c r="V94" s="2"/>
      <c r="W94" s="2"/>
      <c r="X94" s="2"/>
      <c r="Y94" s="2"/>
      <c r="Z94" s="2"/>
      <c r="AA94" s="2"/>
      <c r="AB94" s="2"/>
      <c r="AC94" s="2"/>
      <c r="AD94" s="2"/>
      <c r="AE94" s="2"/>
      <c r="AF94" s="2"/>
      <c r="AG94" s="2"/>
      <c r="AH94" s="2"/>
      <c r="AI94" s="2"/>
      <c r="AJ94" s="3"/>
    </row>
    <row r="95" ht="14.4" customHeight="1" spans="1:36">
      <c r="A95" s="13" t="str">
        <f>IF(人物卡!CZ38="","",IF(人物卡!EF39="√","[DG] ","")&amp;人物卡!CZ38)</f>
        <v/>
      </c>
      <c r="B95" s="10"/>
      <c r="C95" s="10"/>
      <c r="D95" s="10"/>
      <c r="E95" s="10"/>
      <c r="F95" s="10"/>
      <c r="G95" s="10"/>
      <c r="H95" s="10"/>
      <c r="I95" s="10"/>
      <c r="J95" s="10"/>
      <c r="K95" s="10"/>
      <c r="L95" s="10"/>
      <c r="M95" s="10"/>
      <c r="N95" s="11"/>
      <c r="O95" s="15" t="str">
        <f>IF(人物卡!ED39="","",人物卡!ED39)</f>
        <v/>
      </c>
      <c r="P95" s="10"/>
      <c r="Q95" s="10"/>
      <c r="R95" s="11"/>
      <c r="S95" s="4"/>
      <c r="AJ95" s="5"/>
    </row>
    <row r="96" ht="14.4" customHeight="1" spans="1:36">
      <c r="A96" s="13" t="str">
        <f>IF(人物卡!CZ41="","",IF(人物卡!EF42="√","[DG] ","")&amp;人物卡!CZ41)</f>
        <v/>
      </c>
      <c r="B96" s="10"/>
      <c r="C96" s="10"/>
      <c r="D96" s="10"/>
      <c r="E96" s="10"/>
      <c r="F96" s="10"/>
      <c r="G96" s="10"/>
      <c r="H96" s="10"/>
      <c r="I96" s="10"/>
      <c r="J96" s="10"/>
      <c r="K96" s="10"/>
      <c r="L96" s="10"/>
      <c r="M96" s="10"/>
      <c r="N96" s="11"/>
      <c r="O96" s="15" t="str">
        <f>IF(人物卡!ED42="","",人物卡!ED42)</f>
        <v/>
      </c>
      <c r="P96" s="10"/>
      <c r="Q96" s="10"/>
      <c r="R96" s="11"/>
      <c r="S96" s="6"/>
      <c r="T96" s="7"/>
      <c r="U96" s="7"/>
      <c r="V96" s="7"/>
      <c r="W96" s="7"/>
      <c r="X96" s="7"/>
      <c r="Y96" s="7"/>
      <c r="Z96" s="7"/>
      <c r="AA96" s="7"/>
      <c r="AB96" s="7"/>
      <c r="AC96" s="7"/>
      <c r="AD96" s="7"/>
      <c r="AE96" s="7"/>
      <c r="AF96" s="7"/>
      <c r="AG96" s="7"/>
      <c r="AH96" s="7"/>
      <c r="AI96" s="7"/>
      <c r="AJ96" s="8"/>
    </row>
    <row r="97" ht="14.4" customHeight="1" spans="1:36">
      <c r="A97" s="9" t="s">
        <v>3350</v>
      </c>
      <c r="B97" s="10"/>
      <c r="C97" s="10"/>
      <c r="D97" s="10"/>
      <c r="E97" s="10"/>
      <c r="F97" s="10"/>
      <c r="G97" s="10"/>
      <c r="H97" s="10"/>
      <c r="I97" s="10"/>
      <c r="J97" s="10"/>
      <c r="K97" s="10"/>
      <c r="L97" s="10"/>
      <c r="M97" s="10"/>
      <c r="N97" s="10"/>
      <c r="O97" s="10"/>
      <c r="P97" s="10"/>
      <c r="Q97" s="10"/>
      <c r="R97" s="11"/>
      <c r="S97" s="9" t="s">
        <v>3351</v>
      </c>
      <c r="T97" s="10"/>
      <c r="U97" s="10"/>
      <c r="V97" s="10"/>
      <c r="W97" s="10"/>
      <c r="X97" s="10"/>
      <c r="Y97" s="10"/>
      <c r="Z97" s="10"/>
      <c r="AA97" s="10"/>
      <c r="AB97" s="10"/>
      <c r="AC97" s="10"/>
      <c r="AD97" s="10"/>
      <c r="AE97" s="10"/>
      <c r="AF97" s="10"/>
      <c r="AG97" s="10"/>
      <c r="AH97" s="10"/>
      <c r="AI97" s="10"/>
      <c r="AJ97" s="11"/>
    </row>
    <row r="98" ht="14.4" customHeight="1" spans="1:36">
      <c r="A98" s="13"/>
      <c r="B98" s="2"/>
      <c r="C98" s="2"/>
      <c r="D98" s="2"/>
      <c r="E98" s="2"/>
      <c r="F98" s="2"/>
      <c r="G98" s="2"/>
      <c r="H98" s="2"/>
      <c r="I98" s="2"/>
      <c r="J98" s="2"/>
      <c r="K98" s="2"/>
      <c r="L98" s="2"/>
      <c r="M98" s="2"/>
      <c r="N98" s="2"/>
      <c r="O98" s="2"/>
      <c r="P98" s="2"/>
      <c r="Q98" s="2"/>
      <c r="R98" s="3"/>
      <c r="S98" s="13"/>
      <c r="T98" s="2"/>
      <c r="U98" s="2"/>
      <c r="V98" s="2"/>
      <c r="W98" s="2"/>
      <c r="X98" s="2"/>
      <c r="Y98" s="2"/>
      <c r="Z98" s="2"/>
      <c r="AA98" s="2"/>
      <c r="AB98" s="2"/>
      <c r="AC98" s="2"/>
      <c r="AD98" s="2"/>
      <c r="AE98" s="2"/>
      <c r="AF98" s="2"/>
      <c r="AG98" s="2"/>
      <c r="AH98" s="2"/>
      <c r="AI98" s="2"/>
      <c r="AJ98" s="3"/>
    </row>
    <row r="99" ht="14.4" customHeight="1" spans="1:36">
      <c r="A99" s="4"/>
      <c r="R99" s="5"/>
      <c r="S99" s="4"/>
      <c r="AJ99" s="5"/>
    </row>
    <row r="100" ht="14.4" customHeight="1" spans="1:36">
      <c r="A100" s="6"/>
      <c r="B100" s="7"/>
      <c r="C100" s="7"/>
      <c r="D100" s="7"/>
      <c r="E100" s="7"/>
      <c r="F100" s="7"/>
      <c r="G100" s="7"/>
      <c r="H100" s="7"/>
      <c r="I100" s="7"/>
      <c r="J100" s="7"/>
      <c r="K100" s="7"/>
      <c r="L100" s="7"/>
      <c r="M100" s="7"/>
      <c r="N100" s="7"/>
      <c r="O100" s="7"/>
      <c r="P100" s="7"/>
      <c r="Q100" s="7"/>
      <c r="R100" s="8"/>
      <c r="S100" s="6"/>
      <c r="T100" s="7"/>
      <c r="U100" s="7"/>
      <c r="V100" s="7"/>
      <c r="W100" s="7"/>
      <c r="X100" s="7"/>
      <c r="Y100" s="7"/>
      <c r="Z100" s="7"/>
      <c r="AA100" s="7"/>
      <c r="AB100" s="7"/>
      <c r="AC100" s="7"/>
      <c r="AD100" s="7"/>
      <c r="AE100" s="7"/>
      <c r="AF100" s="7"/>
      <c r="AG100" s="7"/>
      <c r="AH100" s="7"/>
      <c r="AI100" s="7"/>
      <c r="AJ100" s="8"/>
    </row>
    <row r="101" ht="14.4" customHeight="1" spans="1:36">
      <c r="A101" s="28" t="s">
        <v>3352</v>
      </c>
      <c r="B101" s="2"/>
      <c r="C101" s="2"/>
      <c r="D101" s="2"/>
      <c r="E101" s="2"/>
      <c r="F101" s="2"/>
      <c r="G101" s="3"/>
      <c r="H101" s="29" t="s">
        <v>3353</v>
      </c>
      <c r="I101" s="2"/>
      <c r="J101" s="2"/>
      <c r="K101" s="2"/>
      <c r="L101" s="2"/>
      <c r="M101" s="3"/>
      <c r="N101" s="30" t="s">
        <v>3354</v>
      </c>
      <c r="O101" s="2"/>
      <c r="P101" s="2"/>
      <c r="Q101" s="2"/>
      <c r="R101" s="2"/>
      <c r="S101" s="2"/>
      <c r="T101" s="2"/>
      <c r="U101" s="2"/>
      <c r="V101" s="2"/>
      <c r="W101" s="2"/>
      <c r="X101" s="2"/>
      <c r="Y101" s="2"/>
      <c r="Z101" s="2"/>
      <c r="AA101" s="2"/>
      <c r="AB101" s="2"/>
      <c r="AC101" s="3"/>
      <c r="AD101" s="31" t="s">
        <v>3355</v>
      </c>
      <c r="AE101" s="2"/>
      <c r="AF101" s="2"/>
      <c r="AG101" s="2"/>
      <c r="AH101" s="2"/>
      <c r="AI101" s="2"/>
      <c r="AJ101" s="3"/>
    </row>
    <row r="102" ht="14.4" customHeight="1" spans="1:36">
      <c r="A102" s="6"/>
      <c r="B102" s="7"/>
      <c r="C102" s="7"/>
      <c r="D102" s="7"/>
      <c r="E102" s="7"/>
      <c r="F102" s="7"/>
      <c r="G102" s="8"/>
      <c r="H102" s="6"/>
      <c r="I102" s="7"/>
      <c r="J102" s="7"/>
      <c r="K102" s="7"/>
      <c r="L102" s="7"/>
      <c r="M102" s="8"/>
      <c r="N102" s="6"/>
      <c r="O102" s="7"/>
      <c r="P102" s="7"/>
      <c r="Q102" s="7"/>
      <c r="R102" s="7"/>
      <c r="S102" s="7"/>
      <c r="T102" s="7"/>
      <c r="U102" s="7"/>
      <c r="V102" s="7"/>
      <c r="W102" s="7"/>
      <c r="X102" s="7"/>
      <c r="Y102" s="7"/>
      <c r="Z102" s="7"/>
      <c r="AA102" s="7"/>
      <c r="AB102" s="7"/>
      <c r="AC102" s="8"/>
      <c r="AD102" s="6"/>
      <c r="AE102" s="7"/>
      <c r="AF102" s="7"/>
      <c r="AG102" s="7"/>
      <c r="AH102" s="7"/>
      <c r="AI102" s="7"/>
      <c r="AJ102" s="8"/>
    </row>
    <row r="103" ht="14.4" customHeight="1" spans="1:36">
      <c r="A103" s="24" t="s">
        <v>3356</v>
      </c>
    </row>
    <row r="104" ht="14.4" customHeight="1" spans="1:36">
      <c r="A104" s="24" t="s">
        <v>3357</v>
      </c>
    </row>
  </sheetData>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T11:AF11"/>
    <mergeCell ref="AG11:AJ11"/>
    <mergeCell ref="A12:F12"/>
    <mergeCell ref="G12:I12"/>
    <mergeCell ref="J12:L12"/>
    <mergeCell ref="M12:S12"/>
    <mergeCell ref="T12:AF12"/>
    <mergeCell ref="AG12:AJ12"/>
    <mergeCell ref="A13:F13"/>
    <mergeCell ref="G13:I13"/>
    <mergeCell ref="J13:L13"/>
    <mergeCell ref="M13:S13"/>
    <mergeCell ref="T13:AF13"/>
    <mergeCell ref="AG13:AJ13"/>
    <mergeCell ref="A14:F14"/>
    <mergeCell ref="G14:I14"/>
    <mergeCell ref="J14:L14"/>
    <mergeCell ref="M14:S14"/>
    <mergeCell ref="T14:AF14"/>
    <mergeCell ref="AG14:AJ14"/>
    <mergeCell ref="A15:F15"/>
    <mergeCell ref="G15:I15"/>
    <mergeCell ref="J15:L15"/>
    <mergeCell ref="M15:S15"/>
    <mergeCell ref="T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T25:AJ25"/>
    <mergeCell ref="T26:AB26"/>
    <mergeCell ref="AC26:AJ26"/>
    <mergeCell ref="A27:J27"/>
    <mergeCell ref="K27:L27"/>
    <mergeCell ref="M27:V27"/>
    <mergeCell ref="W27:X27"/>
    <mergeCell ref="Y27:AH27"/>
    <mergeCell ref="AI27:AJ27"/>
    <mergeCell ref="B28:J28"/>
    <mergeCell ref="K28:L28"/>
    <mergeCell ref="N28:V28"/>
    <mergeCell ref="W28:X28"/>
    <mergeCell ref="Z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A50:AJ50"/>
    <mergeCell ref="A51:S51"/>
    <mergeCell ref="T51:AJ51"/>
    <mergeCell ref="A52:AJ52"/>
    <mergeCell ref="A56:AJ56"/>
    <mergeCell ref="A62:AJ62"/>
    <mergeCell ref="A63:AJ63"/>
    <mergeCell ref="A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B74"/>
    <mergeCell ref="C74:H74"/>
    <mergeCell ref="I74:L74"/>
    <mergeCell ref="M74:Q74"/>
    <mergeCell ref="R74:V74"/>
    <mergeCell ref="W74:AA74"/>
    <mergeCell ref="AB74:AE74"/>
    <mergeCell ref="AF74:AH74"/>
    <mergeCell ref="AI74:AJ74"/>
    <mergeCell ref="A75:B75"/>
    <mergeCell ref="C75:H75"/>
    <mergeCell ref="I75:L75"/>
    <mergeCell ref="M75:Q75"/>
    <mergeCell ref="R75:V75"/>
    <mergeCell ref="W75:AA75"/>
    <mergeCell ref="AB75:AE75"/>
    <mergeCell ref="AF75:AH75"/>
    <mergeCell ref="AI75:AJ75"/>
    <mergeCell ref="A76:B76"/>
    <mergeCell ref="C76:H76"/>
    <mergeCell ref="I76:L76"/>
    <mergeCell ref="M76:Q76"/>
    <mergeCell ref="R76:V76"/>
    <mergeCell ref="W76:AA76"/>
    <mergeCell ref="AB76:AE76"/>
    <mergeCell ref="AF76:AH76"/>
    <mergeCell ref="AI76:AJ76"/>
    <mergeCell ref="A77:B77"/>
    <mergeCell ref="C77:H77"/>
    <mergeCell ref="I77:L77"/>
    <mergeCell ref="M77:Q77"/>
    <mergeCell ref="R77:V77"/>
    <mergeCell ref="W77:AA77"/>
    <mergeCell ref="AB77:AE77"/>
    <mergeCell ref="AF77:AH77"/>
    <mergeCell ref="AI77:AJ77"/>
    <mergeCell ref="A78:B78"/>
    <mergeCell ref="C78:H78"/>
    <mergeCell ref="I78:L78"/>
    <mergeCell ref="M78:Q78"/>
    <mergeCell ref="R78:V78"/>
    <mergeCell ref="W78:AA78"/>
    <mergeCell ref="AB78:AE78"/>
    <mergeCell ref="AF78:AH78"/>
    <mergeCell ref="AI78:AJ78"/>
    <mergeCell ref="A79:R79"/>
    <mergeCell ref="S79:AJ79"/>
    <mergeCell ref="S84:AA84"/>
    <mergeCell ref="AB84:AJ84"/>
    <mergeCell ref="S85:AA85"/>
    <mergeCell ref="AB85:AJ85"/>
    <mergeCell ref="S86:AA86"/>
    <mergeCell ref="AB86:AJ86"/>
    <mergeCell ref="S87:AA87"/>
    <mergeCell ref="AB87:AJ87"/>
    <mergeCell ref="S88:AA88"/>
    <mergeCell ref="AB88:AJ88"/>
    <mergeCell ref="S89:AA89"/>
    <mergeCell ref="AB89:AJ89"/>
    <mergeCell ref="S90:AA90"/>
    <mergeCell ref="AB90:AJ90"/>
    <mergeCell ref="S91:AA91"/>
    <mergeCell ref="AB91:AJ91"/>
    <mergeCell ref="S92:AA92"/>
    <mergeCell ref="AB92:AJ92"/>
    <mergeCell ref="S93:AA93"/>
    <mergeCell ref="AB93:AJ93"/>
    <mergeCell ref="A94:N94"/>
    <mergeCell ref="O94:R94"/>
    <mergeCell ref="A95:N95"/>
    <mergeCell ref="O95:R95"/>
    <mergeCell ref="A96:N96"/>
    <mergeCell ref="O96:R96"/>
    <mergeCell ref="A97:R97"/>
    <mergeCell ref="S97:AJ97"/>
    <mergeCell ref="A103:AJ103"/>
    <mergeCell ref="A104:AJ104"/>
    <mergeCell ref="S80:AJ83"/>
    <mergeCell ref="A53:AJ55"/>
    <mergeCell ref="A1:AJ3"/>
    <mergeCell ref="N101:AC102"/>
    <mergeCell ref="A57:AJ61"/>
    <mergeCell ref="AD101:AJ102"/>
    <mergeCell ref="A80:R93"/>
    <mergeCell ref="T18:AJ24"/>
    <mergeCell ref="A101:G102"/>
    <mergeCell ref="A23:S26"/>
    <mergeCell ref="A64:AJ69"/>
    <mergeCell ref="A48:AJ49"/>
    <mergeCell ref="S94:AJ96"/>
    <mergeCell ref="H101:M102"/>
    <mergeCell ref="A98:R100"/>
    <mergeCell ref="S98:AJ100"/>
  </mergeCells>
  <printOptions horizontalCentered="1"/>
  <pageMargins left="0.32" right="0.32" top="0.34" bottom="0.34" header="0.1" footer="0.1"/>
  <pageSetup paperSize="9" fitToHeight="0" orientation="portrait" useFirstPageNumber="1"/>
  <headerFooter>
    <oddFooter>&amp;C&amp;"微软雅黑"&amp;7 绿色三角洲 · v1.10 · 第 &amp;P / &amp;N 页</oddFooter>
  </headerFooter>
  <rowBreaks count="1" manualBreakCount="1">
    <brk id="52" max="35" man="1"/>
  </rowBreaks>
</worksheet>
</file>

<file path=xl/worksheets/sheet13.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精神疾病</x:v>
      </x:c>
      <x:c r="B2" s="592" t="str">
        <x:v>精神疾病</x:v>
      </x:c>
      <x:c r="C2" s="592" t="str">
        <x:v>精神疾病</x:v>
      </x:c>
    </x:row>
    <x:row r="3" ht="42" customHeight="1">
      <x:c r="A3" s="593" t="inlineStr">
        <x:is>
          <x:t xml:space="preserve">“人类不应知道之事”可选下列前8项；其他精神疾病按创伤确定。</x:t>
        </x:is>
      </x:c>
      <x:c r="B3" s="593" t="str">
        <x:v>在人物卡 DR55 为“人类不应知道之事”选择下列前8项之一。其他疾病由玩家与掌局者按创伤商定，记入人生动力及精神疾病栏。选择名称不会自动扣减技能。</x:v>
      </x:c>
      <x:c r="C3" s="593" t="str">
        <x:v>在人物卡 DR55 为“人类不应知道之事”选择下列前8项之一。其他疾病由玩家与掌局者按创伤商定，记入人生动力及精神疾病栏。选择名称不会自动扣减技能。</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参考选项</x:v>
      </x:c>
    </x:row>
    <x:row r="6" ht="8" customHeight="1">
      <x:c r="A6" s="591"/>
      <x:c r="B6" s="591"/>
      <x:c r="C6" s="591"/>
    </x:row>
    <x:row r="7" ht="27" customHeight="1">
      <x:c r="A7" s="595" t="str">
        <x:v>分类</x:v>
      </x:c>
      <x:c r="B7" s="595" t="str">
        <x:v>名称</x:v>
      </x:c>
      <x:c r="C7" s="595" t="inlineStr">
        <x:is>
          <x:t xml:space="preserve">内容</x:t>
        </x:is>
      </x:c>
    </x:row>
    <x:row r="8" ht="28" customHeight="1">
      <x:c r="A8" s="596" t="inlineStr">
        <x:is>
          <x:t xml:space="preserve">非自然相关精神疾病：背景可选8项</x:t>
        </x:is>
      </x:c>
      <x:c r="B8" s="596" t="str">
        <x:v>非自然相关精神疾病：DR55 的8项背景选项</x:v>
      </x:c>
      <x:c r="C8" s="596" t="str">
        <x:v>非自然相关精神疾病：DR55 的8项背景选项</x:v>
      </x:c>
    </x:row>
    <x:row r="9" ht="70" customHeight="1">
      <x:c r="A9" s="597" t="str">
        <x:v>暴力行为
无力感
非自然现象</x:v>
      </x:c>
      <x:c r="B9" s="598" t="str">
        <x:v>抑郁症</x:v>
      </x:c>
      <x:c r="C9" s="597" t="str">
        <x:v>诱因：回想起曾经历过或施于他人的创伤。表现与规则：绝望、无助或难以抑制的愧疚。急性发作时，每次技能或属性检定消耗1D4毅力。</x:v>
      </x:c>
    </x:row>
    <x:row r="10" ht="70" customHeight="1">
      <x:c r="A10" s="599" t="str">
        <x:v>暴力行为
非自然现象</x:v>
      </x:c>
      <x:c r="B10" s="600" t="str">
        <x:v>偏执型人格障碍</x:v>
      </x:c>
      <x:c r="C10" s="599" t="inlineStr">
        <x:is>
          <x:t xml:space="preserve">诱因：单次掷骰损失至少2点理智。表现与规则：无法信任或依赖他人，把事件、分歧和疑点解释成针对自己的阴谋；无统一数值惩罚。
“偏执”是偏执型人格障碍的简称。</x:t>
        </x:is>
      </x:c>
    </x:row>
    <x:row r="11" ht="54" customHeight="1">
      <x:c r="A11" s="597" t="str">
        <x:v>暴力行为
非自然现象</x:v>
      </x:c>
      <x:c r="B11" s="598" t="str">
        <x:v>睡眠障碍</x:v>
      </x:c>
      <x:c r="C11" s="597" t="str">
        <x:v>诱因：每次尝试入睡时进行理智检定，失败即发作。表现与规则：反复惊醒，24小时无法休息或恢复毅力。</x:v>
      </x:c>
    </x:row>
    <x:row r="12" ht="54" customHeight="1">
      <x:c r="A12" s="599" t="str">
        <x:v>无力感
非自然现象</x:v>
      </x:c>
      <x:c r="B12" s="600" t="str">
        <x:v>分离性人格障碍</x:v>
      </x:c>
      <x:c r="C12" s="599" t="str">
        <x:v>诱因：遭受临时疯狂或触及崩溃点。表现与规则：转为拥有独立性格与记忆的人格；可能出现更多人格。是否以及何时能控制特工，由掌局者决定。</x:v>
      </x:c>
    </x:row>
    <x:row r="13" ht="54" customHeight="1">
      <x:c r="A13" s="597" t="str">
        <x:v>非自然现象</x:v>
      </x:c>
      <x:c r="B13" s="598" t="str">
        <x:v>失忆症</x:v>
      </x:c>
      <x:c r="C13" s="597" t="str">
        <x:v>诱因：单次掷骰损失至少2点理智。表现与规则：与发作相关的内容成为记忆空白，除非特工以某种方式找回。</x:v>
      </x:c>
    </x:row>
    <x:row r="14" ht="54" customHeight="1">
      <x:c r="A14" s="599" t="str">
        <x:v>非自然现象</x:v>
      </x:c>
      <x:c r="B14" s="600" t="str">
        <x:v>人格解体障碍</x:v>
      </x:c>
      <x:c r="C14" s="599" t="str">
        <x:v>诱因：单次掷骰损失至少2点理智。表现与规则：与身体、想法、情感失去联系，感觉与自我剥离；全部技能与属性检定−20%。</x:v>
      </x:c>
    </x:row>
    <x:row r="15" ht="54" customHeight="1">
      <x:c r="A15" s="597" t="str">
        <x:v>非自然现象</x:v>
      </x:c>
      <x:c r="B15" s="598" t="str">
        <x:v>漫游症</x:v>
      </x:c>
      <x:c r="C15" s="597" t="str">
        <x:v>诱因：遭受临时疯狂或触及崩溃点。表现与规则：呆立原地或无目的地漫游，对外界毫无反应；无统一数值惩罚。</x:v>
      </x:c>
    </x:row>
    <x:row r="16" ht="54" customHeight="1">
      <x:c r="A16" s="599" t="str">
        <x:v>非自然现象</x:v>
      </x:c>
      <x:c r="B16" s="600" t="str">
        <x:v>自大狂</x:v>
      </x:c>
      <x:c r="C16" s="599" t="str">
        <x:v>诱因：单次掷骰损失至少2点理智。表现与规则：认为自己具有崇高地位，遭到暗指或质疑便暴怒；以属性或技能请求帮助或争取良好印象的检定自动失败。</x:v>
      </x:c>
    </x:row>
    <x:row r="17" ht="28" customHeight="1">
      <x:c r="A17" s="596" t="str">
        <x:v>其他普通精神疾病：暴力行为与无力感范例</x:v>
      </x:c>
      <x:c r="B17" s="596" t="str">
        <x:v>其他普通精神疾病：暴力行为与无力感范例</x:v>
      </x:c>
      <x:c r="C17" s="596" t="str">
        <x:v>其他普通精神疾病：暴力行为与无力感范例</x:v>
      </x:c>
    </x:row>
    <x:row r="18" ht="70" customHeight="1">
      <x:c r="A18" s="599" t="str">
        <x:v>暴力行为
无力感</x:v>
      </x:c>
      <x:c r="B18" s="600" t="str">
        <x:v>成瘾症</x:v>
      </x:c>
      <x:c r="C18" s="599" t="str">
        <x:v>诱因：单次掷骰损失至少2点理智。表现与规则：急切寻求有害习惯或物质；满足瘾症一般使技能与属性检定−20%。24小时未满足即失去1D6毅力且无法恢复，此后每24小时再失去1D6；毅力低于2时可能不顾后果地满足瘾症。</x:v>
      </x:c>
    </x:row>
    <x:row r="19" ht="54" customHeight="1">
      <x:c r="A19" s="597" t="str">
        <x:v>暴力行为</x:v>
      </x:c>
      <x:c r="B19" s="598" t="str">
        <x:v>间歇性暴怒症</x:v>
      </x:c>
      <x:c r="C19" s="597" t="str">
        <x:v>诱因：单次掷骰损失至少2点理智。表现与规则：爆发与实际或感知威胁程度不相称的暴怒，可能不顾一切攻击眼前事物；手册没有统一数值惩罚。</x:v>
      </x:c>
    </x:row>
    <x:row r="20" ht="54" customHeight="1">
      <x:c r="A20" s="599" t="str">
        <x:v>暴力行为</x:v>
      </x:c>
      <x:c r="B20" s="600" t="str">
        <x:v>恐声症</x:v>
      </x:c>
      <x:c r="C20" s="599" t="str">
        <x:v>诱因：巨大噪音，或足以唤起惊恐的日常噪音。表现与规则：对噪音产生强烈恐惧；急性发作时，所有理智检定−20%。</x:v>
      </x:c>
    </x:row>
    <x:row r="21" ht="70" customHeight="1">
      <x:c r="A21" s="597" t="str">
        <x:v>暴力行为</x:v>
      </x:c>
      <x:c r="B21" s="598" t="str">
        <x:v>创伤后应激障碍</x:v>
      </x:c>
      <x:c r="C21" s="597" t="str">
        <x:v>诱因：回想起曾经历过或施于他人的创伤。表现与规则：噩梦、闪回或强烈压力。急性发作时，掌局者选择：对只有特工自己感知的威胁作暴力反应，或陷入急性抑郁（每次技能或属性检定消耗1D4毅力）。</x:v>
      </x:c>
    </x:row>
    <x:row r="22" ht="70" customHeight="1">
      <x:c r="A22" s="599" t="str">
        <x:v>暴力行为</x:v>
      </x:c>
      <x:c r="B22" s="600" t="str">
        <x:v>图腾强迫症</x:v>
      </x:c>
      <x:c r="C22" s="599" t="str">
        <x:v>诱因：丢失或以为丢失图腾、交予他人、被拿走或摧毁，或一小时未能持有。表现与规则：病态依赖创伤中出现的某件物品。技能、属性与理智检定−10%，直到找回图腾或由掌局者认定找到新图腾。</x:v>
      </x:c>
    </x:row>
    <x:row r="23" ht="54" customHeight="1">
      <x:c r="A23" s="597" t="str">
        <x:v>无力感</x:v>
      </x:c>
      <x:c r="B23" s="598" t="str">
        <x:v>焦虑症</x:v>
      </x:c>
      <x:c r="C23" s="597" t="str">
        <x:v>诱因：单次掷骰损失至少2点理智。表现与规则：强烈担忧、疲惫、头痛和急性焦虑；发作时所有技能和属性检定−20%。</x:v>
      </x:c>
    </x:row>
    <x:row r="24" ht="54" customHeight="1">
      <x:c r="A24" s="599" t="str">
        <x:v>无力感</x:v>
      </x:c>
      <x:c r="B24" s="600" t="str">
        <x:v>转换障碍</x:v>
      </x:c>
      <x:c r="C24" s="599" t="str">
        <x:v>诱因：遭受临时疯狂或触及崩溃点。表现与规则：预先选择失明、失聪或瘫痪；发作时突发相应障碍、全身麻木或剧烈颤抖，直到压力源消失。</x:v>
      </x:c>
    </x:row>
    <x:row r="25" ht="54" customHeight="1">
      <x:c r="A25" s="597" t="str">
        <x:v>无力感</x:v>
      </x:c>
      <x:c r="B25" s="598" t="str">
        <x:v>空间相关恐惧症</x:v>
      </x:c>
      <x:c r="C25" s="597" t="str">
        <x:v>诱因：进入极其开放或密闭的空间，依所选类型。表现与规则：选择密闭恐惧症或广场恐惧症；发作时所有理智检定−20%。</x:v>
      </x:c>
    </x:row>
    <x:row r="26" ht="54" customHeight="1">
      <x:c r="A26" s="599" t="str">
        <x:v>无力感</x:v>
      </x:c>
      <x:c r="B26" s="600" t="str">
        <x:v>痴迷</x:v>
      </x:c>
      <x:c r="C26" s="599" t="str">
        <x:v>诱因：单次掷骰损失至少2点理智。表现与规则：对人、地点、事物、行为或想法痴迷，急性发作可能持续数日。耗时超过数小时的行为−20%。</x:v>
      </x:c>
    </x:row>
    <x:row r="27" ht="54" customHeight="1">
      <x:c r="A27" s="597" t="str">
        <x:v>无力感</x:v>
      </x:c>
      <x:c r="B27" s="598" t="str">
        <x:v>强迫症</x:v>
      </x:c>
      <x:c r="C27" s="597" t="str">
        <x:v>诱因：单次掷骰损失至少2点理智。表现与规则：强烈要求将事物整理妥当；全部技能、属性与理智检定−20%，直到整理好所有事物。</x:v>
      </x:c>
    </x:row>
    <x:row r="28" ht="28" customHeight="1">
      <x:c r="A28" s="596" t="str">
        <x:v>疾病细项：按所患疾病再确定表现形式</x:v>
      </x:c>
      <x:c r="B28" s="596" t="str">
        <x:v>疾病细项：按所患疾病再确定表现形式</x:v>
      </x:c>
      <x:c r="C28" s="596" t="str">
        <x:v>疾病细项：按所患疾病再确定表现形式</x:v>
      </x:c>
    </x:row>
    <x:row r="29" ht="54" customHeight="1">
      <x:c r="A29" s="597" t="str">
        <x:v>精神疾病细项</x:v>
      </x:c>
      <x:c r="B29" s="598" t="str">
        <x:v>转换障碍：失明</x:v>
      </x:c>
      <x:c r="C29" s="597" t="str">
        <x:v>转换障碍的视觉丧失形式。随转换障碍急性发作出现，直到压力源消失。</x:v>
      </x:c>
    </x:row>
    <x:row r="30" ht="54" customHeight="1">
      <x:c r="A30" s="599" t="str">
        <x:v>精神疾病细项</x:v>
      </x:c>
      <x:c r="B30" s="600" t="str">
        <x:v>转换障碍：失聪</x:v>
      </x:c>
      <x:c r="C30" s="599" t="str">
        <x:v>转换障碍的听觉丧失形式。随转换障碍急性发作出现，直到压力源消失。</x:v>
      </x:c>
    </x:row>
    <x:row r="31" ht="54" customHeight="1">
      <x:c r="A31" s="597" t="str">
        <x:v>精神疾病细项</x:v>
      </x:c>
      <x:c r="B31" s="598" t="str">
        <x:v>转换障碍：瘫痪</x:v>
      </x:c>
      <x:c r="C31" s="597" t="str">
        <x:v>转换障碍的行动障碍形式。随转换障碍急性发作出现，直到压力源消失。</x:v>
      </x:c>
    </x:row>
    <x:row r="32" ht="54" customHeight="1">
      <x:c r="A32" s="599" t="str">
        <x:v>精神疾病细项</x:v>
      </x:c>
      <x:c r="B32" s="600" t="str">
        <x:v>密闭恐惧症</x:v>
      </x:c>
      <x:c r="C32" s="599" t="str">
        <x:v>恐惧密闭空间，因难以逃脱而发作。急性发作时理智检定−20%。</x:v>
      </x:c>
    </x:row>
    <x:row r="33" ht="54" customHeight="1">
      <x:c r="A33" s="597" t="str">
        <x:v>精神疾病细项</x:v>
      </x:c>
      <x:c r="B33" s="598" t="str">
        <x:v>广场恐惧症</x:v>
      </x:c>
      <x:c r="C33" s="597" t="str">
        <x:v>恐惧开放空间，因范围过大、难以掌控而发作。急性发作时理智检定−20%。</x:v>
      </x:c>
    </x:row>
    <x:row r="34" ht="28" customHeight="1">
      <x:c r="A34" s="596" t="str">
        <x:v>永久疯狂参考：理智归零后的表现，不属于新角色背景选项</x:v>
      </x:c>
      <x:c r="B34" s="596" t="str">
        <x:v>永久疯狂参考：理智归零后的表现，不属于新角色背景选项</x:v>
      </x:c>
      <x:c r="C34" s="596" t="str">
        <x:v>永久疯狂参考：理智归零后的表现，不属于新角色背景选项</x:v>
      </x:c>
    </x:row>
    <x:row r="35" ht="54" customHeight="1">
      <x:c r="A35" s="597" t="str">
        <x:v>永久疯狂参考</x:v>
      </x:c>
      <x:c r="B35" s="598" t="str">
        <x:v>紧张性抑郁障碍</x:v>
      </x:c>
      <x:c r="C35" s="597" t="str">
        <x:v>理智归零后的常见表现：彻底剥离、停止说话及自我照料。属于由掌局者处理的永久疯狂，不能作为新角色的普通疾病直接选取。</x:v>
      </x:c>
    </x:row>
    <x:row r="36" ht="70" customHeight="1">
      <x:c r="A36" s="599" t="str">
        <x:v>永久疯狂参考</x:v>
      </x:c>
      <x:c r="B36" s="600" t="str">
        <x:v>妄想症</x:v>
      </x:c>
      <x:c r="C36" s="599" t="str">
        <x:v>理智归零后的常见表现：坚信妄想、与幻觉互动，无法以正常方式唤回。原文该节小标题为“妄想症”，同页前文的三项总述写“躁狂症”；保留此译文内部命名差异，不把两者扩成两项。</x:v>
      </x:c>
    </x:row>
    <x:row r="37" ht="54" customHeight="1">
      <x:c r="A37" s="597" t="str">
        <x:v>永久疯狂参考</x:v>
      </x:c>
      <x:c r="B37" s="598" t="str">
        <x:v>精神变态</x:v>
      </x:c>
      <x:c r="C37" s="597" t="str">
        <x:v>理智归零后的常见表现：同理心消失、把他人视作取乐物件，有时仍能伪装正常。是否移出游戏由掌局者决定。</x:v>
      </x:c>
    </x:row>
  </x:sheetData>
  <x:mergeCells>
    <x:mergeCell ref="A2:C2"/>
    <x:mergeCell ref="A3:C3"/>
    <x:mergeCell ref="A4:C4"/>
    <x:mergeCell ref="A8:C8"/>
    <x:mergeCell ref="A17:C17"/>
    <x:mergeCell ref="A28:C28"/>
    <x:mergeCell ref="A34:C34"/>
  </x:mergeCells>
  <x:hyperlinks>
    <x:hyperlink ref="A5" location="'人物卡'!A1"/>
    <x:hyperlink ref="B5" location="'规则速查'!A1"/>
    <x:hyperlink ref="C5" location="'参考选项'!A1"/>
  </x:hyperlinks>
  <x:pageMargins left="0.25" right="0.25" top="0.35" bottom="0.35" header="0.15" footer="0.15"/>
  <x:pageSetup paperSize="9" orientation="landscape" fitToWidth="1" fitToHeight="0"/>
</x:worksheet>
</file>

<file path=xl/worksheets/sheet14.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参考选项</x:v>
      </x:c>
      <x:c r="B2" s="592" t="str">
        <x:v>参考选项</x:v>
      </x:c>
      <x:c r="C2" s="592" t="str">
        <x:v>参考选项</x:v>
      </x:c>
    </x:row>
    <x:row r="3" ht="42" customHeight="1">
      <x:c r="A3" s="593" t="inlineStr">
        <x:is>
          <x:t xml:space="preserve">特训、重要关系和人生动力可自行命名。</x:t>
        </x:is>
      </x:c>
      <x:c r="B3" s="593" t="str">
        <x:v>按创建角色和幕间活动查找常用选项。特训、重要关系及人生动力均可自行命名；职业、技能包、武器和技能专攻保留在已有工作表与主卡下拉中。</x:v>
      </x:c>
      <x:c r="C3" s="593" t="str">
        <x:v>按创建角色和幕间活动查找常用选项。特训、重要关系及人生动力均可自行命名；职业、技能包、武器和技能专攻保留在已有工作表与主卡下拉中。</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精神疾病</x:v>
      </x:c>
    </x:row>
    <x:row r="6" ht="8" customHeight="1">
      <x:c r="A6" s="591"/>
      <x:c r="B6" s="591"/>
      <x:c r="C6" s="591"/>
    </x:row>
    <x:row r="7" ht="27" customHeight="1">
      <x:c r="A7" s="595" t="str">
        <x:v>分类</x:v>
      </x:c>
      <x:c r="B7" s="595" t="str">
        <x:v>名称</x:v>
      </x:c>
      <x:c r="C7" s="595" t="inlineStr">
        <x:is>
          <x:t xml:space="preserve">内容</x:t>
        </x:is>
      </x:c>
    </x:row>
    <x:row r="8" ht="28" customHeight="1">
      <x:c r="A8" s="596" t="str">
        <x:v>属性分配</x:v>
      </x:c>
      <x:c r="B8" s="596" t="str">
        <x:v>属性分配</x:v>
      </x:c>
      <x:c r="C8" s="596" t="str">
        <x:v>属性分配</x:v>
      </x:c>
    </x:row>
    <x:row r="9" ht="54" customHeight="1">
      <x:c r="A9" s="597" t="str">
        <x:v>属性分配</x:v>
      </x:c>
      <x:c r="B9" s="598" t="str">
        <x:v>均衡</x:v>
      </x:c>
      <x:c r="C9" s="597" t="inlineStr">
        <x:is>
          <x:t xml:space="preserve">参考购点排列：13、13、12、12、11、11；合计72点，玩家自行分配到六项属性。</x:t>
        </x:is>
      </x:c>
    </x:row>
    <x:row r="10" ht="54" customHeight="1">
      <x:c r="A10" s="599" t="str">
        <x:v>属性分配</x:v>
      </x:c>
      <x:c r="B10" s="600" t="str">
        <x:v>集中</x:v>
      </x:c>
      <x:c r="C10" s="599" t="inlineStr">
        <x:is>
          <x:t xml:space="preserve">参考购点排列：15、14、12、11、10、10；合计72点，玩家自行分配到六项属性。</x:t>
        </x:is>
      </x:c>
    </x:row>
    <x:row r="11" ht="54" customHeight="1">
      <x:c r="A11" s="597" t="str">
        <x:v>属性分配</x:v>
      </x:c>
      <x:c r="B11" s="598" t="str">
        <x:v>高度集中</x:v>
      </x:c>
      <x:c r="C11" s="597" t="inlineStr">
        <x:is>
          <x:t xml:space="preserve">参考购点排列：17、14、12、10、10、9；合计72点，玩家自行分配到六项属性。</x:t>
        </x:is>
      </x:c>
    </x:row>
    <x:row r="12" ht="28" customHeight="1">
      <x:c r="A12" s="596" t="str">
        <x:v>基础属性</x:v>
      </x:c>
      <x:c r="B12" s="596" t="str">
        <x:v>基础属性</x:v>
      </x:c>
      <x:c r="C12" s="596" t="str">
        <x:v>基础属性</x:v>
      </x:c>
    </x:row>
    <x:row r="13" ht="70" customHeight="1">
      <x:c r="A13" s="597" t="str">
        <x:v>基础属性</x:v>
      </x:c>
      <x:c r="B13" s="598" t="str">
        <x:v>力量（STR）</x:v>
      </x:c>
      <x:c r="C13" s="597" t="inlineStr">
        <x:is>
          <x:t xml:space="preserve">肌肉力量与身体魄力。一般属性检定使用当前有效属性×5。</x:t>
        </x:is>
      </x:c>
    </x:row>
    <x:row r="14" ht="70" customHeight="1">
      <x:c r="A14" s="599" t="str">
        <x:v>基础属性</x:v>
      </x:c>
      <x:c r="B14" s="600" t="str">
        <x:v>体质（CON）</x:v>
      </x:c>
      <x:c r="C14" s="599" t="inlineStr">
        <x:is>
          <x:t xml:space="preserve">健康、体魄与身体耐受力。</x:t>
        </x:is>
      </x:c>
    </x:row>
    <x:row r="15" ht="70" customHeight="1">
      <x:c r="A15" s="597" t="str">
        <x:v>基础属性</x:v>
      </x:c>
      <x:c r="B15" s="598" t="str">
        <x:v>敏捷（DEX）</x:v>
      </x:c>
      <x:c r="C15" s="597" t="inlineStr">
        <x:is>
          <x:t xml:space="preserve">身体灵巧、平衡与全身协调性。</x:t>
        </x:is>
      </x:c>
    </x:row>
    <x:row r="16" ht="70" customHeight="1">
      <x:c r="A16" s="599" t="str">
        <x:v>基础属性</x:v>
      </x:c>
      <x:c r="B16" s="600" t="str">
        <x:v>智力（INT）</x:v>
      </x:c>
      <x:c r="C16" s="599" t="inlineStr">
        <x:is>
          <x:t xml:space="preserve">逻辑、创造力、直觉和教育。</x:t>
        </x:is>
      </x:c>
    </x:row>
    <x:row r="17" ht="70" customHeight="1">
      <x:c r="A17" s="597" t="str">
        <x:v>基础属性</x:v>
      </x:c>
      <x:c r="B17" s="598" t="str">
        <x:v>意志（POW）</x:v>
      </x:c>
      <x:c r="C17" s="597" t="inlineStr">
        <x:is>
          <x:t xml:space="preserve">自我强度、动力与精神耐受度。</x:t>
        </x:is>
      </x:c>
    </x:row>
    <x:row r="18" ht="70" customHeight="1">
      <x:c r="A18" s="599" t="str">
        <x:v>基础属性</x:v>
      </x:c>
      <x:c r="B18" s="600" t="str">
        <x:v>魅力（CHA）</x:v>
      </x:c>
      <x:c r="C18" s="599" t="inlineStr">
        <x:is>
          <x:t xml:space="preserve">吸引力、领导力与个人气质，也可能包括外貌。</x:t>
        </x:is>
      </x:c>
    </x:row>
    <x:row r="19" ht="28" customHeight="1">
      <x:c r="A19" s="596" t="str">
        <x:v>特训范例</x:v>
      </x:c>
      <x:c r="B19" s="596" t="str">
        <x:v>特训范例</x:v>
      </x:c>
      <x:c r="C19" s="596" t="str">
        <x:v>特训范例</x:v>
      </x:c>
    </x:row>
    <x:row r="20" ht="70" customHeight="1">
      <x:c r="A20" s="599" t="str">
        <x:v>特训范例</x:v>
      </x:c>
      <x:c r="B20" s="600" t="str">
        <x:v>跳伞</x:v>
      </x:c>
      <x:c r="C20" s="599" t="inlineStr">
        <x:is>
          <x:t xml:space="preserve">对应运动或敏捷。特训通常需10—20小时指导与练习，为现有技能或属性增加用途；不单独增加技能点。</x:t>
        </x:is>
      </x:c>
    </x:row>
    <x:row r="21" ht="70" customHeight="1">
      <x:c r="A21" s="597" t="str">
        <x:v>特训范例</x:v>
      </x:c>
      <x:c r="B21" s="598" t="str">
        <x:v>滑雪</x:v>
      </x:c>
      <x:c r="C21" s="597" t="inlineStr">
        <x:is>
          <x:t xml:space="preserve">对应运动。</x:t>
        </x:is>
      </x:c>
    </x:row>
    <x:row r="22" ht="70" customHeight="1">
      <x:c r="A22" s="599" t="str">
        <x:v>特训范例</x:v>
      </x:c>
      <x:c r="B22" s="600" t="str">
        <x:v>潜水器材</x:v>
      </x:c>
      <x:c r="C22" s="599" t="inlineStr">
        <x:is>
          <x:t xml:space="preserve">对应游泳。</x:t>
        </x:is>
      </x:c>
    </x:row>
    <x:row r="23" ht="70" customHeight="1">
      <x:c r="A23" s="597" t="str">
        <x:v>特训范例</x:v>
      </x:c>
      <x:c r="B23" s="598" t="str">
        <x:v>太空服活动</x:v>
      </x:c>
      <x:c r="C23" s="597" t="inlineStr">
        <x:is>
          <x:t xml:space="preserve">对应智力。</x:t>
        </x:is>
      </x:c>
    </x:row>
    <x:row r="24" ht="70" customHeight="1">
      <x:c r="A24" s="599" t="str">
        <x:v>特训范例</x:v>
      </x:c>
      <x:c r="B24" s="600" t="str">
        <x:v>罕见的近战武器</x:v>
      </x:c>
      <x:c r="C24" s="599" t="inlineStr">
        <x:is>
          <x:t xml:space="preserve">对应近战武器。</x:t>
        </x:is>
      </x:c>
    </x:row>
    <x:row r="25" ht="70" customHeight="1">
      <x:c r="A25" s="597" t="str">
        <x:v>特训范例</x:v>
      </x:c>
      <x:c r="B25" s="598" t="str">
        <x:v>罕见的手枪或步枪</x:v>
      </x:c>
      <x:c r="C25" s="597" t="inlineStr">
        <x:is>
          <x:t xml:space="preserve">对应射击。</x:t>
        </x:is>
      </x:c>
    </x:row>
    <x:row r="26" ht="70" customHeight="1">
      <x:c r="A26" s="599" t="str">
        <x:v>特训范例</x:v>
      </x:c>
      <x:c r="B26" s="600" t="str">
        <x:v>手榴弹</x:v>
      </x:c>
      <x:c r="C26" s="599" t="inlineStr">
        <x:is>
          <x:t xml:space="preserve">对应运动。</x:t>
        </x:is>
      </x:c>
    </x:row>
    <x:row r="27" ht="70" customHeight="1">
      <x:c r="A27" s="597" t="str">
        <x:v>特训范例</x:v>
      </x:c>
      <x:c r="B27" s="598" t="str">
        <x:v>对某个亚文化的深刻了解</x:v>
      </x:c>
      <x:c r="C27" s="597" t="inlineStr">
        <x:is>
          <x:t xml:space="preserve">对应智力。</x:t>
        </x:is>
      </x:c>
    </x:row>
    <x:row r="28" ht="70" customHeight="1">
      <x:c r="A28" s="599" t="str">
        <x:v>特训范例</x:v>
      </x:c>
      <x:c r="B28" s="600" t="str">
        <x:v>其他国家的刑法</x:v>
      </x:c>
      <x:c r="C28" s="599" t="inlineStr">
        <x:is>
          <x:t xml:space="preserve">对应法律。</x:t>
        </x:is>
      </x:c>
    </x:row>
    <x:row r="29" ht="70" customHeight="1">
      <x:c r="A29" s="597" t="str">
        <x:v>特训范例</x:v>
      </x:c>
      <x:c r="B29" s="598" t="str">
        <x:v>开锁工具</x:v>
      </x:c>
      <x:c r="C29" s="597" t="inlineStr">
        <x:is>
          <x:t xml:space="preserve">对应敏捷。</x:t>
        </x:is>
      </x:c>
    </x:row>
    <x:row r="30" ht="70" customHeight="1">
      <x:c r="A30" s="599" t="str">
        <x:v>特训范例</x:v>
      </x:c>
      <x:c r="B30" s="600" t="str">
        <x:v>电子安保系统</x:v>
      </x:c>
      <x:c r="C30" s="599" t="inlineStr">
        <x:is>
          <x:t xml:space="preserve">对应智力。</x:t>
        </x:is>
      </x:c>
    </x:row>
    <x:row r="31" ht="70" customHeight="1">
      <x:c r="A31" s="597" t="str">
        <x:v>特训范例</x:v>
      </x:c>
      <x:c r="B31" s="598" t="str">
        <x:v>对地下团伙内幕的了解</x:v>
      </x:c>
      <x:c r="C31" s="597" t="inlineStr">
        <x:is>
          <x:t xml:space="preserve">对应犯罪学。</x:t>
        </x:is>
      </x:c>
    </x:row>
    <x:row r="32" ht="70" customHeight="1">
      <x:c r="A32" s="599" t="str">
        <x:v>特训范例</x:v>
      </x:c>
      <x:c r="B32" s="600" t="str">
        <x:v>娴熟地使用一门稀有的方言</x:v>
      </x:c>
      <x:c r="C32" s="599" t="inlineStr">
        <x:is>
          <x:t xml:space="preserve">对应外语。</x:t>
        </x:is>
      </x:c>
    </x:row>
    <x:row r="33" ht="70" customHeight="1">
      <x:c r="A33" s="597" t="str">
        <x:v>特训范例</x:v>
      </x:c>
      <x:c r="B33" s="598" t="str">
        <x:v>黑市</x:v>
      </x:c>
      <x:c r="C33" s="597" t="inlineStr">
        <x:is>
          <x:t xml:space="preserve">对应犯罪学或魅力。</x:t>
        </x:is>
      </x:c>
    </x:row>
    <x:row r="34" ht="28" customHeight="1">
      <x:c r="A34" s="596" t="str">
        <x:v>重要关系范例</x:v>
      </x:c>
      <x:c r="B34" s="596" t="str">
        <x:v>重要关系范例</x:v>
      </x:c>
      <x:c r="C34" s="596" t="str">
        <x:v>重要关系范例</x:v>
      </x:c>
    </x:row>
    <x:row r="35" ht="70" customHeight="1">
      <x:c r="A35" s="597" t="str">
        <x:v>重要关系范例</x:v>
      </x:c>
      <x:c r="B35" s="598" t="inlineStr">
        <x:is>
          <x:t>配偶或前配偶</x:t>
        </x:is>
      </x:c>
      <x:c r="C35" s="597" t="inlineStr">
        <x:is>
          <x:t xml:space="preserve">写出具体人物或可互动的小群体。每段初始关系值等于有效魅力，数量由职业决定；与群体的关系也只使用一个关系值。</x:t>
        </x:is>
      </x:c>
    </x:row>
    <x:row r="36" ht="70" customHeight="1">
      <x:c r="A36" s="599" t="str">
        <x:v>重要关系范例</x:v>
      </x:c>
      <x:c r="B36" s="600" t="inlineStr">
        <x:is>
          <x:t>儿子或女儿</x:t>
        </x:is>
      </x:c>
      <x:c r="C36" s="599"/>
    </x:row>
    <x:row r="37" ht="70" customHeight="1">
      <x:c r="A37" s="597" t="str">
        <x:v>重要关系范例</x:v>
      </x:c>
      <x:c r="B37" s="598" t="inlineStr">
        <x:is>
          <x:t>父母或祖父母之一</x:t>
        </x:is>
      </x:c>
      <x:c r="C37" s="597"/>
    </x:row>
    <x:row r="38" ht="70" customHeight="1">
      <x:c r="A38" s="599" t="str">
        <x:v>重要关系范例</x:v>
      </x:c>
      <x:c r="B38" s="600" t="inlineStr">
        <x:is>
          <x:t>挚友</x:t>
        </x:is>
      </x:c>
      <x:c r="C38" s="599"/>
    </x:row>
    <x:row r="39" ht="70" customHeight="1">
      <x:c r="A39" s="597" t="str">
        <x:v>重要关系范例</x:v>
      </x:c>
      <x:c r="B39" s="598" t="inlineStr">
        <x:is>
          <x:t>同事或搭档</x:t>
        </x:is>
      </x:c>
      <x:c r="C39" s="597"/>
    </x:row>
    <x:row r="40" ht="70" customHeight="1">
      <x:c r="A40" s="599" t="str">
        <x:v>重要关系范例</x:v>
      </x:c>
      <x:c r="B40" s="600" t="inlineStr">
        <x:is>
          <x:t>心理医生或治疗师</x:t>
        </x:is>
      </x:c>
      <x:c r="C40" s="599"/>
    </x:row>
    <x:row r="41" ht="70" customHeight="1">
      <x:c r="A41" s="597" t="str">
        <x:v>重要关系范例</x:v>
      </x:c>
      <x:c r="B41" s="598" t="inlineStr">
        <x:is>
          <x:t>配偶和孩子</x:t>
        </x:is>
      </x:c>
      <x:c r="C41" s="597"/>
    </x:row>
    <x:row r="42" ht="70" customHeight="1">
      <x:c r="A42" s="599" t="str">
        <x:v>重要关系范例</x:v>
      </x:c>
      <x:c r="B42" s="600" t="inlineStr">
        <x:is>
          <x:t>父母亲</x:t>
        </x:is>
      </x:c>
      <x:c r="C42" s="599"/>
    </x:row>
    <x:row r="43" ht="70" customHeight="1">
      <x:c r="A43" s="597" t="str">
        <x:v>重要关系范例</x:v>
      </x:c>
      <x:c r="B43" s="598" t="inlineStr">
        <x:is>
          <x:t>兄弟姐妹</x:t>
        </x:is>
      </x:c>
      <x:c r="C43" s="597"/>
    </x:row>
    <x:row r="44" ht="70" customHeight="1">
      <x:c r="A44" s="599" t="str">
        <x:v>重要关系范例</x:v>
      </x:c>
      <x:c r="B44" s="600" t="inlineStr">
        <x:is>
          <x:t>一起执行艰难工作的同事</x:t>
        </x:is>
      </x:c>
      <x:c r="C44" s="599"/>
    </x:row>
    <x:row r="45" ht="70" customHeight="1">
      <x:c r="A45" s="597" t="str">
        <x:v>重要关系范例</x:v>
      </x:c>
      <x:c r="B45" s="598" t="inlineStr">
        <x:is>
          <x:t>教友或互助小组</x:t>
        </x:is>
      </x:c>
      <x:c r="C45" s="597"/>
    </x:row>
    <x:row r="46" ht="70" customHeight="1">
      <x:c r="A46" s="599" t="str">
        <x:v>重要关系范例</x:v>
      </x:c>
      <x:c r="B46" s="600" t="inlineStr">
        <x:is>
          <x:t>受过同一次创伤的幸存者</x:t>
        </x:is>
      </x:c>
      <x:c r="C46" s="599"/>
    </x:row>
    <x:row r="47" ht="28" customHeight="1">
      <x:c r="A47" s="596" t="str">
        <x:v>人生动力范例</x:v>
      </x:c>
      <x:c r="B47" s="596" t="str">
        <x:v>人生动力范例</x:v>
      </x:c>
      <x:c r="C47" s="596" t="str">
        <x:v>人生动力范例</x:v>
      </x:c>
    </x:row>
    <x:row r="48" ht="70" customHeight="1">
      <x:c r="A48" s="599" t="str">
        <x:v>人生动力范例</x:v>
      </x:c>
      <x:c r="B48" s="600" t="str">
        <x:v>信仰</x:v>
      </x:c>
      <x:c r="C48" s="599" t="inlineStr">
        <x:is>
          <x:t xml:space="preserve">角色所信奉的价值或信仰。至多5条人生动力，可自行补充；每当触及崩溃点，去除一条动力并记录相应创伤。</x:t>
        </x:is>
      </x:c>
    </x:row>
    <x:row r="49" ht="70" customHeight="1">
      <x:c r="A49" s="597" t="str">
        <x:v>人生动力范例</x:v>
      </x:c>
      <x:c r="B49" s="598" t="str">
        <x:v>爱国情结</x:v>
      </x:c>
      <x:c r="C49" s="597" t="inlineStr">
        <x:is>
          <x:t xml:space="preserve">保卫国家、履行责任等角色信念。</x:t>
        </x:is>
      </x:c>
    </x:row>
    <x:row r="50" ht="70" customHeight="1">
      <x:c r="A50" s="599" t="str">
        <x:v>人生动力范例</x:v>
      </x:c>
      <x:c r="B50" s="600" t="str">
        <x:v>兴趣爱好</x:v>
      </x:c>
      <x:c r="C50" s="599" t="inlineStr">
        <x:is>
          <x:t xml:space="preserve">角色在工作之外认为有意义的事情。</x:t>
        </x:is>
      </x:c>
    </x:row>
    <x:row r="51" ht="87" customHeight="1">
      <x:c r="A51" s="597" t="str">
        <x:v>人生动力范例</x:v>
      </x:c>
      <x:c r="B51" s="598" t="str">
        <x:v>宠物</x:v>
      </x:c>
      <x:c r="C51" s="597" t="inlineStr">
        <x:is>
          <x:t xml:space="preserve">对宠物的关爱可以成为人生动力，但宠物不能成为重要关系。</x:t>
        </x:is>
      </x:c>
    </x:row>
    <x:row r="52" ht="28" customHeight="1">
      <x:c r="A52" s="596" t="str">
        <x:v>创伤经历</x:v>
      </x:c>
      <x:c r="B52" s="596" t="str">
        <x:v>创伤经历</x:v>
      </x:c>
      <x:c r="C52" s="596" t="str">
        <x:v>创伤经历</x:v>
      </x:c>
    </x:row>
    <x:row r="53" ht="70" customHeight="1">
      <x:c r="A53" s="597" t="str">
        <x:v>创伤经历</x:v>
      </x:c>
      <x:c r="B53" s="598" t="str">
        <x:v>极端暴力</x:v>
      </x:c>
      <x:c r="C53" s="597" t="inlineStr">
        <x:is>
          <x:t xml:space="preserve">神秘学+10；理智−5；魅力−3，各重要关系−3；适应暴力。与掌局者共同补充经历细节。</x:t>
        </x:is>
      </x:c>
    </x:row>
    <x:row r="54" ht="70" customHeight="1">
      <x:c r="A54" s="599" t="str">
        <x:v>创伤经历</x:v>
      </x:c>
      <x:c r="B54" s="600" t="str">
        <x:v>关押或入狱</x:v>
      </x:c>
      <x:c r="C54" s="599" t="inlineStr">
        <x:is>
          <x:t xml:space="preserve">神秘学+10；理智−5；意志−3，该意志下降不再降低理智；适应无力感。与掌局者共同补充经历细节。</x:t>
        </x:is>
      </x:c>
    </x:row>
    <x:row r="55" ht="70" customHeight="1">
      <x:c r="A55" s="597" t="str">
        <x:v>创伤经历</x:v>
      </x:c>
      <x:c r="B55" s="598" t="str">
        <x:v>艰苦经历</x:v>
      </x:c>
      <x:c r="C55" s="597" t="inlineStr">
        <x:is>
          <x:t xml:space="preserve">神秘学及另外5项所选技能各+10，非自然知识除外，最高90%；理智−5；去掉一段重要关系。与掌局者共同补充经历细节。</x:t>
        </x:is>
      </x:c>
    </x:row>
    <x:row r="56" ht="70" customHeight="1">
      <x:c r="A56" s="599" t="str">
        <x:v>创伤经历</x:v>
      </x:c>
      <x:c r="B56" s="600" t="str">
        <x:v>人类不应知道之事</x:v>
      </x:c>
      <x:c r="C56" s="599" t="inlineStr">
        <x:is>
          <x:t xml:space="preserve">非自然知识+10；神秘学+20；理智减去意志；选择一项非自然相关精神疾病；崩溃点重置为新理智−意志。与掌局者共同补充经历细节。</x:t>
        </x:is>
      </x:c>
    </x:row>
    <x:row r="57" ht="28" customHeight="1">
      <x:c r="A57" s="596" t="str">
        <x:v>适应理智损失</x:v>
      </x:c>
      <x:c r="B57" s="596" t="str">
        <x:v>适应理智损失</x:v>
      </x:c>
      <x:c r="C57" s="596" t="str">
        <x:v>适应理智损失</x:v>
      </x:c>
    </x:row>
    <x:row r="58" ht="87" customHeight="1">
      <x:c r="A58" s="599" t="str">
        <x:v>适应理智损失</x:v>
      </x:c>
      <x:c r="B58" s="600" t="str">
        <x:v>暴力行为</x:v>
      </x:c>
      <x:c r="C58" s="599" t="inlineStr">
        <x:is>
          <x:t xml:space="preserve">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x:t>
        </x:is>
      </x:c>
    </x:row>
    <x:row r="59" ht="87" customHeight="1">
      <x:c r="A59" s="597" t="str">
        <x:v>适应理智损失</x:v>
      </x:c>
      <x:c r="B59" s="598" t="str">
        <x:v>无力感</x:v>
      </x:c>
      <x:c r="C59" s="597" t="inlineStr">
        <x:is>
          <x:t xml:space="preserve">连续3次因无力感损失理智、期间未因无力感临时疯狂或触及崩溃点，即获得适应。此后对应理智检定自动成功；获得时意志永久−1D6。这是游戏中获得适应的规则；创建时的创伤背景已规定固定代价，不额外叠加本项1D6损失。</x:t>
        </x:is>
      </x:c>
    </x:row>
    <x:row r="60" ht="28" customHeight="1">
      <x:c r="A60" s="596" t="str">
        <x:v>临时疯狂反应</x:v>
      </x:c>
      <x:c r="B60" s="596" t="str">
        <x:v>临时疯狂反应</x:v>
      </x:c>
      <x:c r="C60" s="596" t="str">
        <x:v>临时疯狂反应</x:v>
      </x:c>
    </x:row>
    <x:row r="61" ht="87" customHeight="1">
      <x:c r="A61" s="597" t="str">
        <x:v>临时疯狂反应</x:v>
      </x:c>
      <x:c r="B61" s="598" t="str">
        <x:v>逃跑</x:v>
      </x:c>
      <x:c r="C61" s="597" t="inlineStr">
        <x:is>
          <x:t xml:space="preserve">单次理智检定损失至少5点时，与掌局者根据情境商定反应。尽快远离理智损失来源，持续体质个战斗轮或直到认为安全（先到者），随后精疲力尽；常见于非自然现象和暴力行为。</x:t>
        </x:is>
      </x:c>
    </x:row>
    <x:row r="62" ht="70" customHeight="1">
      <x:c r="A62" s="599" t="str">
        <x:v>临时疯狂反应</x:v>
      </x:c>
      <x:c r="B62" s="600" t="str">
        <x:v>搏命</x:v>
      </x:c>
      <x:c r="C62" s="599" t="inlineStr">
        <x:is>
          <x:t xml:space="preserve">单次理智检定损失至少5点时，与掌局者根据情境商定反应。攻击最近威胁，不论其强弱，直到昏迷、死亡或受束缚；常见于无力感和暴力行为。</x:t>
        </x:is>
      </x:c>
    </x:row>
    <x:row r="63" ht="87" customHeight="1">
      <x:c r="A63" s="597" t="str">
        <x:v>临时疯狂反应</x:v>
      </x:c>
      <x:c r="B63" s="598" t="str">
        <x:v>屈服</x:v>
      </x:c>
      <x:c r="C63" s="597" t="inlineStr">
        <x:is>
          <x:t xml:space="preserve">单次理智检定损失至少5点时，与掌局者根据情境商定反应。失去知觉或陷入呆滞无反应，直到掌局者认定恢复；回忆创伤细节需智力×5检定并造成压力；常见于非自然现象和无力感。</x:t>
        </x:is>
      </x:c>
    </x:row>
    <x:row r="64" ht="28" customHeight="1">
      <x:c r="A64" s="596" t="str">
        <x:v>幕间私人规划</x:v>
      </x:c>
      <x:c r="B64" s="596" t="str">
        <x:v>幕间私人规划</x:v>
      </x:c>
      <x:c r="C64" s="596" t="str">
        <x:v>幕间私人规划</x:v>
      </x:c>
    </x:row>
    <x:row r="65" ht="70" customHeight="1">
      <x:c r="A65" s="597" t="str">
        <x:v>幕间私人规划</x:v>
      </x:c>
      <x:c r="B65" s="598" t="str">
        <x:v>按部就班</x:v>
      </x:c>
      <x:c r="C65" s="597" t="inlineStr">
        <x:is>
          <x:t xml:space="preserve">维护一项非绿色三角洲关系，理智成功：关系+1D6（不超过魅力）；大成功另加1理智（不超过意志×5）；失败关系+1；大失败关系−1D4、理智−1。</x:t>
        </x:is>
      </x:c>
    </x:row>
    <x:row r="66" ht="70" customHeight="1">
      <x:c r="A66" s="599" t="str">
        <x:v>幕间私人规划</x:v>
      </x:c>
      <x:c r="B66" s="600" t="str">
        <x:v>远离喧嚣</x:v>
      </x:c>
      <x:c r="C66" s="599" t="inlineStr">
        <x:is>
          <x:t xml:space="preserve">一项非绿色三角洲关系−1；理智成功：理智+1D4，大成功改+4，均不超过意志×5；失败+1；大失败−1D4。</x:t>
        </x:is>
      </x:c>
    </x:row>
    <x:row r="67" ht="70" customHeight="1">
      <x:c r="A67" s="597" t="str">
        <x:v>幕间私人规划</x:v>
      </x:c>
      <x:c r="B67" s="598" t="str">
        <x:v>建立新的重要关系</x:v>
      </x:c>
      <x:c r="C67" s="597" t="inlineStr">
        <x:is>
          <x:t xml:space="preserve">魅力×5成功可建立新关系，初始值为魅力一半、向上取整；同时一项旧有的非绿色三角洲关系−1。</x:t>
        </x:is>
      </x:c>
    </x:row>
    <x:row r="68" ht="87" customHeight="1">
      <x:c r="A68" s="599" t="str">
        <x:v>幕间私人规划</x:v>
      </x:c>
      <x:c r="B68" s="600" t="str">
        <x:v>接受心理治疗</x:v>
      </x:c>
      <x:c r="C68" s="599" t="inlineStr">
        <x:is>
          <x:t xml:space="preserve">一项非绿色三角洲关系−1；使用幸运或治疗师的精神治疗检定，恢复量随是否坦白而异。大成功可能治愈疾病并建立治疗师关系；痊愈疾病仍保留记录，之后可能复发。</x:t>
        </x:is>
      </x:c>
    </x:row>
    <x:row r="69" ht="70" customHeight="1">
      <x:c r="A69" s="597" t="str">
        <x:v>幕间私人规划</x:v>
      </x:c>
      <x:c r="B69" s="598" t="str">
        <x:v>提升技能或属性</x:v>
      </x:c>
      <x:c r="C69" s="597" t="inlineStr">
        <x:is>
          <x:t xml:space="preserve">选择两项不同的技能/属性，各进行技能或属性×5检定；失败则技能+3D6（上限99%）或属性+1（上限18）。每提升一项，损失一项非绿色三角洲关系1点。</x:t>
        </x:is>
      </x:c>
    </x:row>
    <x:row r="70" ht="70" customHeight="1">
      <x:c r="A70" s="599" t="str">
        <x:v>幕间私人规划</x:v>
      </x:c>
      <x:c r="B70" s="600" t="str">
        <x:v>重建人生动力</x:v>
      </x:c>
      <x:c r="C70" s="599" t="inlineStr">
        <x:is>
          <x:t xml:space="preserve">理智成功：理智+1，大成功改+1D4，均不超过意志×5，并使一项非绿色三角洲关系−1；大失败理智−1。</x:t>
        </x:is>
      </x:c>
    </x:row>
    <x:row r="71" ht="54" customHeight="1">
      <x:c r="A71" s="597" t="str">
        <x:v>幕间私人规划</x:v>
      </x:c>
      <x:c r="B71" s="598" t="str">
        <x:v>进行特训</x:v>
      </x:c>
      <x:c r="C71" s="597" t="inlineStr">
        <x:is>
          <x:t xml:space="preserve">获得一项新的特训；因忽略责任，使一项非绿色三角洲关系−1。</x:t>
        </x:is>
      </x:c>
    </x:row>
    <x:row r="72" ht="70" customHeight="1">
      <x:c r="A72" s="599" t="str">
        <x:v>幕间私人规划</x:v>
      </x:c>
      <x:c r="B72" s="600" t="str">
        <x:v>回顾案件</x:v>
      </x:c>
      <x:c r="C72" s="599" t="inlineStr">
        <x:is>
          <x:t xml:space="preserve">一项非绿色三角洲关系−1；掌局者暗骰犯罪学或神秘学，决定线索及风险；无论结果如何，理智增减1D6−3。</x:t>
        </x:is>
      </x:c>
    </x:row>
    <x:row r="73" ht="70" customHeight="1">
      <x:c r="A73" s="597" t="str">
        <x:v>幕间私人规划</x:v>
      </x:c>
      <x:c r="B73" s="598" t="str">
        <x:v>研究非自然知识</x:v>
      </x:c>
      <x:c r="C73" s="597" t="inlineStr">
        <x:is>
          <x:t xml:space="preserve">研究禁忌资料，非自然知识的具体增长与发现由掌局者决定；任选一项重要关系损失1D4。</x:t>
        </x:is>
      </x:c>
    </x:row>
    <x:row r="74" ht="28" customHeight="1">
      <x:c r="A74" s="596" t="str">
        <x:v>已有选项入口</x:v>
      </x:c>
      <x:c r="B74" s="596" t="str">
        <x:v>已有选项入口</x:v>
      </x:c>
      <x:c r="C74" s="596" t="str">
        <x:v>已有选项入口</x:v>
      </x:c>
    </x:row>
    <x:row r="75" ht="54" customHeight="1">
      <x:c r="A75" s="597" t="str">
        <x:v>已有选项入口</x:v>
      </x:c>
      <x:c r="B75" s="598" t="str">
        <x:v>职业与子模板</x:v>
      </x:c>
      <x:c r="C75" s="597" t="inlineStr">
        <x:is>
          <x:t xml:space="preserve">选择职业及适用子模板后自动联动。</x:t>
        </x:is>
      </x:c>
    </x:row>
    <x:row r="76" ht="54" customHeight="1">
      <x:c r="A76" s="599" t="str">
        <x:v>已有选项入口</x:v>
      </x:c>
      <x:c r="B76" s="600" t="str">
        <x:v>额外技能包</x:v>
      </x:c>
      <x:c r="C76" s="599" t="inlineStr">
        <x:is>
          <x:t xml:space="preserve">选择技能包，任选项直接在人物卡内选择。</x:t>
        </x:is>
      </x:c>
    </x:row>
    <x:row r="77" ht="70" customHeight="1">
      <x:c r="A77" s="597" t="str">
        <x:v>已有选项入口</x:v>
      </x:c>
      <x:c r="B77" s="598" t="str">
        <x:v>技能专攻</x:v>
      </x:c>
      <x:c r="C77" s="597" t="inlineStr">
        <x:is>
          <x:t xml:space="preserve">艺术、工艺、外语、军事科学、特种载具、科学的专攻范例；可按情境自定。</x:t>
        </x:is>
      </x:c>
    </x:row>
    <x:row r="78" ht="54" customHeight="1">
      <x:c r="A78" s="599" t="str">
        <x:v>已有选项入口</x:v>
      </x:c>
      <x:c r="B78" s="600" t="str">
        <x:v>武器与护甲</x:v>
      </x:c>
      <x:c r="C78" s="599" t="inlineStr">
        <x:is>
          <x:t xml:space="preserve">武器、护甲与特殊效果。</x:t>
        </x:is>
      </x:c>
    </x:row>
  </x:sheetData>
  <x:mergeCells>
    <x:mergeCell ref="A2:C2"/>
    <x:mergeCell ref="A3:C3"/>
    <x:mergeCell ref="A4:C4"/>
    <x:mergeCell ref="A8:C8"/>
    <x:mergeCell ref="A12:C12"/>
    <x:mergeCell ref="A19:C19"/>
    <x:mergeCell ref="A34:C34"/>
    <x:mergeCell ref="A47:C47"/>
    <x:mergeCell ref="A52:C52"/>
    <x:mergeCell ref="A57:C57"/>
    <x:mergeCell ref="A60:C60"/>
    <x:mergeCell ref="A64:C64"/>
    <x:mergeCell ref="A74:C74"/>
  </x:mergeCells>
  <x:hyperlinks>
    <x:hyperlink ref="A5" location="'人物卡'!A1"/>
    <x:hyperlink ref="B5" location="'规则速查'!A1"/>
    <x:hyperlink ref="C5" location="'精神疾病'!A1"/>
  </x:hyperlinks>
  <x:pageMargins left="0.25" right="0.25" top="0.35" bottom="0.35" header="0.15" footer="0.15"/>
  <x:pageSetup paperSize="9" orientation="landscape" fitToWidth="1" fitToHeight="0"/>
</x:worksheet>
</file>

<file path=xl/worksheets/sheet15.xml><?xml version="1.0" encoding="utf-8"?>
<x:worksheet xmlns:x="http://schemas.openxmlformats.org/spreadsheetml/2006/main">
  <x:sheetPr>
    <x:tabColor rgb="FFB4C6E7"/>
    <x:pageSetUpPr fitToPage="1"/>
  </x:sheetPr>
  <x:sheetViews>
    <x:sheetView showGridLines="0" workbookViewId="0">
      <x:pane xSplit="2" ySplit="7" topLeftCell="C8" activePane="bottomRight" state="frozen"/>
    </x:sheetView>
  </x:sheetViews>
  <x:sheetFormatPr defaultRowHeight="15"/>
  <x:cols>
    <x:col min="1" max="1" width="7" hidden="0" customWidth="1"/>
    <x:col min="2" max="2" width="13" hidden="0" customWidth="1"/>
    <x:col min="3" max="3" width="25" hidden="0" customWidth="1"/>
    <x:col min="4" max="4" width="19" hidden="0" customWidth="1"/>
    <x:col min="5" max="5" width="22" hidden="0" customWidth="1"/>
    <x:col min="6" max="6" width="42" hidden="0" customWidth="1"/>
    <x:col min="7" max="7" width="40" hidden="0" customWidth="1"/>
    <x:col min="8" max="8" width="42" hidden="0" customWidth="1"/>
  </x:cols>
  <x:sheetData>
    <x:row r="1" ht="30" customHeight="1">
      <x:c r="A1" s="601" t="str">
        <x:v>绿色三角洲｜模组经历备忘录　v1.10</x:v>
      </x:c>
      <x:c r="B1" s="601" t="str">
        <x:v>绿色三角洲｜模组经历备忘录　v1.10</x:v>
      </x:c>
      <x:c r="C1" s="601" t="str">
        <x:v>绿色三角洲｜模组经历备忘录　v1.10</x:v>
      </x:c>
      <x:c r="D1" s="601" t="str">
        <x:v>绿色三角洲｜模组经历备忘录　v1.10</x:v>
      </x:c>
      <x:c r="E1" s="601" t="str">
        <x:v>绿色三角洲｜模组经历备忘录　v1.10</x:v>
      </x:c>
      <x:c r="F1" s="601" t="str">
        <x:v>绿色三角洲｜模组经历备忘录　v1.10</x:v>
      </x:c>
      <x:c r="G1" s="601" t="str">
        <x:v>绿色三角洲｜模组经历备忘录　v1.10</x:v>
      </x:c>
      <x:c r="H1" s="601" t="str">
        <x:v>绿色三角洲｜模组经历备忘录　v1.10</x:v>
      </x:c>
    </x:row>
    <x:row r="2" ht="25" customHeight="1">
      <x:c r="A2" s="602" t="inlineStr">
        <x:is>
          <x:t xml:space="preserve">每场游戏或行动结束后记录一条。</x:t>
        </x:is>
      </x:c>
      <x:c r="B2" s="602" t="str">
        <x:v>每场或每次行动结束后记一条。可记录任务结果、重要人物、角色变化和下次开局要处理的事项。</x:v>
      </x:c>
      <x:c r="C2" s="602" t="str">
        <x:v>每场或每次行动结束后记一条。可记录任务结果、重要人物、角色变化和下次开局要处理的事项。</x:v>
      </x:c>
      <x:c r="D2" s="602" t="str">
        <x:v>每场或每次行动结束后记一条。可记录任务结果、重要人物、角色变化和下次开局要处理的事项。</x:v>
      </x:c>
      <x:c r="E2" s="602" t="str">
        <x:v>每场或每次行动结束后记一条。可记录任务结果、重要人物、角色变化和下次开局要处理的事项。</x:v>
      </x:c>
      <x:c r="F2" s="602" t="str">
        <x:v>每场或每次行动结束后记一条。可记录任务结果、重要人物、角色变化和下次开局要处理的事项。</x:v>
      </x:c>
      <x:c r="G2" s="602" t="str">
        <x:v>每场或每次行动结束后记一条。可记录任务结果、重要人物、角色变化和下次开局要处理的事项。</x:v>
      </x:c>
      <x:c r="H2" s="602" t="str">
        <x:v>每场或每次行动结束后记一条。可记录任务结果、重要人物、角色变化和下次开局要处理的事项。</x:v>
      </x:c>
    </x:row>
    <x:row r="3" ht="25" customHeight="1">
      <x:c r="A3" s="602"/>
      <x:c r="B3" s="602" t="str">
        <x:v>角色变化可记技能成长、理智与崩溃点、创伤、重要关系、装备及幕间活动；人物卡中的当前数值仍在对应栏目填写。</x:v>
      </x:c>
      <x:c r="C3" s="602" t="str">
        <x:v>角色变化可记技能成长、理智与崩溃点、创伤、重要关系、装备及幕间活动；人物卡中的当前数值仍在对应栏目填写。</x:v>
      </x:c>
      <x:c r="D3" s="602" t="str">
        <x:v>角色变化可记技能成长、理智与崩溃点、创伤、重要关系、装备及幕间活动；人物卡中的当前数值仍在对应栏目填写。</x:v>
      </x:c>
      <x:c r="E3" s="602" t="str">
        <x:v>角色变化可记技能成长、理智与崩溃点、创伤、重要关系、装备及幕间活动；人物卡中的当前数值仍在对应栏目填写。</x:v>
      </x:c>
      <x:c r="F3" s="602" t="str">
        <x:v>角色变化可记技能成长、理智与崩溃点、创伤、重要关系、装备及幕间活动；人物卡中的当前数值仍在对应栏目填写。</x:v>
      </x:c>
      <x:c r="G3" s="602" t="str">
        <x:v>角色变化可记技能成长、理智与崩溃点、创伤、重要关系、装备及幕间活动；人物卡中的当前数值仍在对应栏目填写。</x:v>
      </x:c>
      <x:c r="H3" s="602" t="str">
        <x:v>角色变化可记技能成长、理智与崩溃点、创伤、重要关系、装备及幕间活动；人物卡中的当前数值仍在对应栏目填写。</x:v>
      </x:c>
    </x:row>
    <x:row r="4" ht="8" customHeight="1">
      <x:c r="A4" s="602"/>
      <x:c r="B4" s="602"/>
      <x:c r="C4" s="602"/>
      <x:c r="D4" s="602"/>
      <x:c r="E4" s="602"/>
      <x:c r="F4" s="602"/>
      <x:c r="G4" s="602"/>
      <x:c r="H4" s="602"/>
    </x:row>
    <x:row r="5" ht="24" customHeight="1">
      <x:c r="A5" s="582" t="inlineStr">
        <x:is>
          <x:t xml:space="preserve">返回人物卡</x:t>
        </x:is>
      </x:c>
      <x:c r="B5" s="602" t="str">
        <x:v>返回人物卡</x:v>
      </x:c>
      <x:c r="C5" s="582" t="inlineStr">
        <x:is>
          <x:t xml:space="preserve">规则速查</x:t>
        </x:is>
      </x:c>
      <x:c r="D5" s="602" t="str">
        <x:v>规则速查</x:v>
      </x:c>
      <x:c r="E5" s="582" t="inlineStr">
        <x:is>
          <x:t xml:space="preserve">绿箱生成器</x:t>
        </x:is>
      </x:c>
      <x:c r="F5" s="602" t="str">
        <x:v>绿箱生成器</x:v>
      </x:c>
      <x:c r="G5" s="582" t="inlineStr">
        <x:is>
          <x:t xml:space="preserve">版本与更新</x:t>
        </x:is>
      </x:c>
      <x:c r="H5" s="582" t="inlineStr">
        <x:is>
          <x:t>幕间与结算</x:t>
        </x:is>
      </x:c>
    </x:row>
    <x:row r="6" ht="8" customHeight="1">
      <x:c r="A6" s="602"/>
      <x:c r="B6" s="602"/>
      <x:c r="C6" s="602"/>
      <x:c r="D6" s="602"/>
      <x:c r="E6" s="602"/>
      <x:c r="F6" s="602"/>
      <x:c r="G6" s="602"/>
      <x:c r="H6" s="602"/>
    </x:row>
    <x:row r="7" ht="28" customHeight="1">
      <x:c r="A7" s="603" t="str">
        <x:v>序号</x:v>
      </x:c>
      <x:c r="B7" s="603" t="str">
        <x:v>游戏日期</x:v>
      </x:c>
      <x:c r="C7" s="603" t="str">
        <x:v>模组／行动名称</x:v>
      </x:c>
      <x:c r="D7" s="603" t="str">
        <x:v>场次／掌局者</x:v>
      </x:c>
      <x:c r="E7" s="603" t="str">
        <x:v>同行特工</x:v>
      </x:c>
      <x:c r="F7" s="603" t="str">
        <x:v>经历与行动结果</x:v>
      </x:c>
      <x:c r="G7" s="603" t="str">
        <x:v>角色变化／幕间事项</x:v>
      </x:c>
      <x:c r="H7" s="603" t="str">
        <x:v>线索与下次备忘</x:v>
      </x:c>
    </x:row>
    <x:row r="8" ht="74" customHeight="1">
      <x:c r="A8" s="604" t="n">
        <x:v>1</x:v>
      </x:c>
      <x:c r="B8" s="605"/>
      <x:c r="C8" s="604"/>
      <x:c r="D8" s="604"/>
      <x:c r="E8" s="604"/>
      <x:c r="F8" s="604"/>
      <x:c r="G8" s="604"/>
      <x:c r="H8" s="604"/>
    </x:row>
    <x:row r="9" ht="74" customHeight="1">
      <x:c r="A9" s="606" t="n">
        <x:v>2</x:v>
      </x:c>
      <x:c r="B9" s="607"/>
      <x:c r="C9" s="606"/>
      <x:c r="D9" s="606"/>
      <x:c r="E9" s="606"/>
      <x:c r="F9" s="606"/>
      <x:c r="G9" s="606"/>
      <x:c r="H9" s="606"/>
    </x:row>
    <x:row r="10" ht="74" customHeight="1">
      <x:c r="A10" s="604" t="n">
        <x:v>3</x:v>
      </x:c>
      <x:c r="B10" s="605"/>
      <x:c r="C10" s="604"/>
      <x:c r="D10" s="604"/>
      <x:c r="E10" s="604"/>
      <x:c r="F10" s="604"/>
      <x:c r="G10" s="604"/>
      <x:c r="H10" s="604"/>
    </x:row>
    <x:row r="11" ht="74" customHeight="1">
      <x:c r="A11" s="606" t="n">
        <x:v>4</x:v>
      </x:c>
      <x:c r="B11" s="607"/>
      <x:c r="C11" s="606"/>
      <x:c r="D11" s="606"/>
      <x:c r="E11" s="606"/>
      <x:c r="F11" s="606"/>
      <x:c r="G11" s="606"/>
      <x:c r="H11" s="606"/>
    </x:row>
    <x:row r="12" ht="74" customHeight="1">
      <x:c r="A12" s="604" t="n">
        <x:v>5</x:v>
      </x:c>
      <x:c r="B12" s="605"/>
      <x:c r="C12" s="604"/>
      <x:c r="D12" s="604"/>
      <x:c r="E12" s="604"/>
      <x:c r="F12" s="604"/>
      <x:c r="G12" s="604"/>
      <x:c r="H12" s="604"/>
    </x:row>
    <x:row r="13" ht="74" customHeight="1">
      <x:c r="A13" s="606" t="n">
        <x:v>6</x:v>
      </x:c>
      <x:c r="B13" s="607"/>
      <x:c r="C13" s="606"/>
      <x:c r="D13" s="606"/>
      <x:c r="E13" s="606"/>
      <x:c r="F13" s="606"/>
      <x:c r="G13" s="606"/>
      <x:c r="H13" s="606"/>
    </x:row>
    <x:row r="14" ht="74" customHeight="1">
      <x:c r="A14" s="604" t="n">
        <x:v>7</x:v>
      </x:c>
      <x:c r="B14" s="605"/>
      <x:c r="C14" s="604"/>
      <x:c r="D14" s="604"/>
      <x:c r="E14" s="604"/>
      <x:c r="F14" s="604"/>
      <x:c r="G14" s="604"/>
      <x:c r="H14" s="604"/>
    </x:row>
    <x:row r="15" ht="74" customHeight="1">
      <x:c r="A15" s="606" t="n">
        <x:v>8</x:v>
      </x:c>
      <x:c r="B15" s="607"/>
      <x:c r="C15" s="606"/>
      <x:c r="D15" s="606"/>
      <x:c r="E15" s="606"/>
      <x:c r="F15" s="606"/>
      <x:c r="G15" s="606"/>
      <x:c r="H15" s="606"/>
    </x:row>
    <x:row r="16" ht="74" customHeight="1">
      <x:c r="A16" s="604" t="n">
        <x:v>9</x:v>
      </x:c>
      <x:c r="B16" s="605"/>
      <x:c r="C16" s="604"/>
      <x:c r="D16" s="604"/>
      <x:c r="E16" s="604"/>
      <x:c r="F16" s="604"/>
      <x:c r="G16" s="604"/>
      <x:c r="H16" s="604"/>
    </x:row>
    <x:row r="17" ht="74" customHeight="1">
      <x:c r="A17" s="606" t="n">
        <x:v>10</x:v>
      </x:c>
      <x:c r="B17" s="607"/>
      <x:c r="C17" s="606"/>
      <x:c r="D17" s="606"/>
      <x:c r="E17" s="606"/>
      <x:c r="F17" s="606"/>
      <x:c r="G17" s="606"/>
      <x:c r="H17" s="606"/>
    </x:row>
    <x:row r="18" ht="74" customHeight="1">
      <x:c r="A18" s="604" t="n">
        <x:v>11</x:v>
      </x:c>
      <x:c r="B18" s="605"/>
      <x:c r="C18" s="604"/>
      <x:c r="D18" s="604"/>
      <x:c r="E18" s="604"/>
      <x:c r="F18" s="604"/>
      <x:c r="G18" s="604"/>
      <x:c r="H18" s="604"/>
    </x:row>
    <x:row r="19" ht="74" customHeight="1">
      <x:c r="A19" s="606" t="n">
        <x:v>12</x:v>
      </x:c>
      <x:c r="B19" s="607"/>
      <x:c r="C19" s="606"/>
      <x:c r="D19" s="606"/>
      <x:c r="E19" s="606"/>
      <x:c r="F19" s="606"/>
      <x:c r="G19" s="606"/>
      <x:c r="H19" s="606"/>
    </x:row>
    <x:row r="20" ht="74" customHeight="1">
      <x:c r="A20" s="604" t="n">
        <x:v>13</x:v>
      </x:c>
      <x:c r="B20" s="605"/>
      <x:c r="C20" s="604"/>
      <x:c r="D20" s="604"/>
      <x:c r="E20" s="604"/>
      <x:c r="F20" s="604"/>
      <x:c r="G20" s="604"/>
      <x:c r="H20" s="604"/>
    </x:row>
    <x:row r="21" ht="74" customHeight="1">
      <x:c r="A21" s="606" t="n">
        <x:v>14</x:v>
      </x:c>
      <x:c r="B21" s="607"/>
      <x:c r="C21" s="606"/>
      <x:c r="D21" s="606"/>
      <x:c r="E21" s="606"/>
      <x:c r="F21" s="606"/>
      <x:c r="G21" s="606"/>
      <x:c r="H21" s="606"/>
    </x:row>
    <x:row r="22" ht="74" customHeight="1">
      <x:c r="A22" s="604" t="n">
        <x:v>15</x:v>
      </x:c>
      <x:c r="B22" s="605"/>
      <x:c r="C22" s="604"/>
      <x:c r="D22" s="604"/>
      <x:c r="E22" s="604"/>
      <x:c r="F22" s="604"/>
      <x:c r="G22" s="604"/>
      <x:c r="H22" s="604"/>
    </x:row>
    <x:row r="23" ht="74" customHeight="1">
      <x:c r="A23" s="606" t="n">
        <x:v>16</x:v>
      </x:c>
      <x:c r="B23" s="607"/>
      <x:c r="C23" s="606"/>
      <x:c r="D23" s="606"/>
      <x:c r="E23" s="606"/>
      <x:c r="F23" s="606"/>
      <x:c r="G23" s="606"/>
      <x:c r="H23" s="606"/>
    </x:row>
    <x:row r="24" ht="74" customHeight="1">
      <x:c r="A24" s="604" t="n">
        <x:v>17</x:v>
      </x:c>
      <x:c r="B24" s="605"/>
      <x:c r="C24" s="604"/>
      <x:c r="D24" s="604"/>
      <x:c r="E24" s="604"/>
      <x:c r="F24" s="604"/>
      <x:c r="G24" s="604"/>
      <x:c r="H24" s="604"/>
    </x:row>
    <x:row r="25" ht="74" customHeight="1">
      <x:c r="A25" s="606" t="n">
        <x:v>18</x:v>
      </x:c>
      <x:c r="B25" s="607"/>
      <x:c r="C25" s="606"/>
      <x:c r="D25" s="606"/>
      <x:c r="E25" s="606"/>
      <x:c r="F25" s="606"/>
      <x:c r="G25" s="606"/>
      <x:c r="H25" s="606"/>
    </x:row>
    <x:row r="26" ht="74" customHeight="1">
      <x:c r="A26" s="604" t="n">
        <x:v>19</x:v>
      </x:c>
      <x:c r="B26" s="605"/>
      <x:c r="C26" s="604"/>
      <x:c r="D26" s="604"/>
      <x:c r="E26" s="604"/>
      <x:c r="F26" s="604"/>
      <x:c r="G26" s="604"/>
      <x:c r="H26" s="604"/>
    </x:row>
    <x:row r="27" ht="74" customHeight="1">
      <x:c r="A27" s="606" t="n">
        <x:v>20</x:v>
      </x:c>
      <x:c r="B27" s="607"/>
      <x:c r="C27" s="606"/>
      <x:c r="D27" s="606"/>
      <x:c r="E27" s="606"/>
      <x:c r="F27" s="606"/>
      <x:c r="G27" s="606"/>
      <x:c r="H27" s="606"/>
    </x:row>
  </x:sheetData>
  <x:autoFilter ref="A7:H27"/>
  <x:mergeCells>
    <x:mergeCell ref="A1:H1"/>
    <x:mergeCell ref="A2:H2"/>
    <x:mergeCell ref="A3:H3"/>
    <x:mergeCell ref="A5:B5"/>
    <x:mergeCell ref="C5:D5"/>
    <x:mergeCell ref="E5:F5"/>
    <x:mergeCell ref="G5:H5"/>
  </x:mergeCells>
  <x:hyperlinks>
    <x:hyperlink ref="A5" location="'人物卡'!B2"/>
    <x:hyperlink ref="C5" location="'规则速查'!A1"/>
    <x:hyperlink xmlns:r="http://schemas.openxmlformats.org/officeDocument/2006/relationships" ref="E5" r:id="rIdV16Link3"/>
    <x:hyperlink ref="G5" location="'更新记录'!A1"/>
    <x:hyperlink ref="H5" location="'幕间与结算'!A1"/>
  </x:hyperlinks>
  <x:pageMargins left="0.25" right="0.25" top="0.35" bottom="0.35" header="0.15" footer="0.15"/>
  <x:pageSetup paperSize="9" orientation="landscape" fitToWidth="1" fitToHeight="0"/>
</x:worksheet>
</file>

<file path=xl/worksheets/sheet16.xml><?xml version="1.0" encoding="utf-8"?>
<x:worksheet xmlns:x="http://schemas.openxmlformats.org/spreadsheetml/2006/main">
  <x:sheetPr>
    <x:tabColor rgb="FF1F4D3A"/>
  </x:sheetPr>
  <x:sheetViews>
    <x:sheetView showGridLines="0" workbookViewId="0">
      <x:pane ySplit="9" topLeftCell="A10" activePane="bottomLeft" state="frozen"/>
    </x:sheetView>
  </x:sheetViews>
  <x:sheetFormatPr defaultRowHeight="15"/>
  <x:cols>
    <x:col min="1" max="1" width="9" hidden="0" customWidth="1"/>
    <x:col min="2" max="2" width="13" hidden="0" customWidth="1"/>
    <x:col min="3" max="3" width="16" hidden="0" customWidth="1"/>
    <x:col min="4" max="4" width="28" hidden="0" customWidth="1"/>
    <x:col min="5" max="5" width="10" hidden="0" customWidth="1"/>
    <x:col min="6" max="6" width="9" hidden="0" customWidth="1"/>
    <x:col min="7" max="7" width="10" hidden="0" customWidth="1"/>
    <x:col min="8" max="8" width="25" hidden="0" customWidth="1"/>
    <x:col min="9" max="9" width="27" hidden="0" customWidth="1"/>
    <x:col min="10" max="10" width="9" hidden="0" customWidth="1"/>
    <x:col min="11" max="11" width="20" hidden="0" customWidth="1"/>
  </x:cols>
  <x:sheetData>
    <x:row r="1" ht="28" customHeight="1">
      <x:c r="A1" s="744" t="str">
        <x:v>幕间与结算</x:v>
      </x:c>
      <x:c r="B1" s="744"/>
      <x:c r="C1" s="744"/>
      <x:c r="D1" s="744"/>
      <x:c r="E1" s="744"/>
      <x:c r="F1" s="744"/>
      <x:c r="G1" s="744"/>
      <x:c r="H1" s="744"/>
      <x:c r="I1" s="744"/>
      <x:c r="J1" s="744"/>
      <x:c r="K1" s="744"/>
    </x:row>
    <x:row r="2" ht="25" customHeight="1">
      <x:c r="A2" s="745" t="str">
        <x:v>返回人物卡</x:v>
      </x:c>
      <x:c r="B2" s="745"/>
      <x:c r="C2" s="745" t="str">
        <x:v>模组经历</x:v>
      </x:c>
      <x:c r="D2" s="745"/>
      <x:c r="E2" s="745" t="str">
        <x:v>幕间活动</x:v>
      </x:c>
      <x:c r="F2" s="745"/>
      <x:c r="G2" s="745"/>
      <x:c r="H2" s="745" t="str">
        <x:v>归档记录</x:v>
      </x:c>
      <x:c r="I2" s="745"/>
      <x:c r="J2" s="745" t="str">
        <x:v>选择失败标记</x:v>
      </x:c>
      <x:c r="K2" s="745"/>
    </x:row>
    <x:row r="3" ht="25" customHeight="1">
      <x:c r="A3" s="742" t="str">
        <x:v>模组</x:v>
      </x:c>
      <x:c r="B3" s="747" t="inlineStr">
        <x:is>
          <x:t>01</x:t>
        </x:is>
      </x:c>
      <x:c r="C3" s="742" t="str">
        <x:f>IFERROR(INDEX('幕间计算'!$T$2:$T$21,VALUE(B3)),"")</x:f>
        <x:v>待命名模组</x:v>
      </x:c>
      <x:c r="D3" s="742"/>
      <x:c r="E3" s="742" t="str">
        <x:v>游戏日期</x:v>
      </x:c>
      <x:c r="F3" s="747"/>
      <x:c r="G3" s="747"/>
      <x:c r="H3" s="747"/>
      <x:c r="I3" s="742" t="str">
        <x:f>"标记 "&amp;'幕间计算'!AO2&amp;" 项；待填骰点 "&amp;'幕间计算'!AO3&amp;" 项"</x:f>
        <x:v>标记 0 项；待填骰点 0 项</x:v>
      </x:c>
      <x:c r="J3" s="742"/>
      <x:c r="K3" s="742"/>
    </x:row>
    <x:row r="4" ht="25" customHeight="1">
      <x:c r="A4" s="748" t="str">
        <x:v>力量</x:v>
      </x:c>
      <x:c r="B4" s="748" t="str">
        <x:v>体质</x:v>
      </x:c>
      <x:c r="C4" s="748" t="str">
        <x:v>敏捷</x:v>
      </x:c>
      <x:c r="D4" s="748" t="str">
        <x:v>智力</x:v>
      </x:c>
      <x:c r="E4" s="748" t="str">
        <x:v>意志</x:v>
      </x:c>
      <x:c r="F4" s="748" t="str">
        <x:v>魅力</x:v>
      </x:c>
      <x:c r="G4" s="748" t="str">
        <x:v>初始体力</x:v>
      </x:c>
      <x:c r="H4" s="748" t="str">
        <x:v>初始毅力</x:v>
      </x:c>
      <x:c r="I4" s="748" t="str">
        <x:v>初始理智</x:v>
      </x:c>
      <x:c r="J4" s="748" t="str">
        <x:v>崩溃点</x:v>
      </x:c>
      <x:c r="K4" s="742"/>
    </x:row>
    <x:row r="5" ht="25" customHeight="1">
      <x:c r="A5" s="747"/>
      <x:c r="B5" s="747"/>
      <x:c r="C5" s="747"/>
      <x:c r="D5" s="747"/>
      <x:c r="E5" s="747"/>
      <x:c r="F5" s="747"/>
      <x:c r="G5" s="747"/>
      <x:c r="H5" s="747"/>
      <x:c r="I5" s="747"/>
      <x:c r="J5" s="747"/>
      <x:c r="K5" s="742"/>
    </x:row>
    <x:row r="6" ht="25" customHeight="1">
      <x:c r="A6" s="749" t="str">
        <x:v>蓝色格可填写。主卡勾选后自动生成清单；归档时复制前九列，粘贴为值到下方空行。</x:v>
      </x:c>
      <x:c r="B6" s="749"/>
      <x:c r="C6" s="749"/>
      <x:c r="D6" s="749"/>
      <x:c r="E6" s="749"/>
      <x:c r="F6" s="749"/>
      <x:c r="G6" s="749"/>
      <x:c r="H6" s="749"/>
      <x:c r="I6" s="749"/>
      <x:c r="J6" s="749"/>
      <x:c r="K6" s="749"/>
    </x:row>
    <x:row r="7" ht="28" customHeight="1">
      <x:c r="A7" s="751" t="str">
        <x:v>模组结束：失败技能统一结算</x:v>
      </x:c>
      <x:c r="B7" s="751"/>
      <x:c r="C7" s="751"/>
      <x:c r="D7" s="751"/>
      <x:c r="E7" s="751"/>
      <x:c r="F7" s="751"/>
      <x:c r="G7" s="751"/>
      <x:c r="H7" s="751"/>
      <x:c r="I7" s="751"/>
      <x:c r="J7" s="751"/>
      <x:c r="K7" s="751"/>
    </x:row>
    <x:row r="8" ht="25" customHeight="1">
      <x:c r="A8" s="749" t="str">
        <x:v>先完成主卡勾选，再填写各项1D4。归档后清空主卡失败标记与本页骰点；下一模组换编号。</x:v>
      </x:c>
      <x:c r="B8" s="749"/>
      <x:c r="C8" s="749"/>
      <x:c r="D8" s="749"/>
      <x:c r="E8" s="749"/>
      <x:c r="F8" s="749"/>
      <x:c r="G8" s="749"/>
      <x:c r="H8" s="749"/>
      <x:c r="I8" s="749"/>
      <x:c r="J8" s="749"/>
      <x:c r="K8" s="749"/>
    </x:row>
    <x:row r="9" ht="28" customHeight="1">
      <x:c r="A9" s="752" t="str">
        <x:v>模组</x:v>
      </x:c>
      <x:c r="B9" s="752" t="str">
        <x:v>阶段</x:v>
      </x:c>
      <x:c r="C9" s="752" t="str">
        <x:v>游戏内日期</x:v>
      </x:c>
      <x:c r="D9" s="752" t="str">
        <x:v>目标</x:v>
      </x:c>
      <x:c r="E9" s="752" t="str">
        <x:v>变更前</x:v>
      </x:c>
      <x:c r="F9" s="752" t="str">
        <x:v>增减</x:v>
      </x:c>
      <x:c r="G9" s="752" t="str">
        <x:v>变更后</x:v>
      </x:c>
      <x:c r="H9" s="752" t="str">
        <x:v>事件／活动</x:v>
      </x:c>
      <x:c r="I9" s="752" t="str">
        <x:v>记录编号</x:v>
      </x:c>
      <x:c r="J9" s="752" t="str">
        <x:v>1D4</x:v>
      </x:c>
      <x:c r="K9" s="752" t="str">
        <x:v>状态</x:v>
      </x:c>
    </x:row>
    <x:row r="10" ht="25" customHeight="1">
      <x:c r="A10" s="753" t="str">
        <x:f>IF(D10="","",'幕间计算'!$AO$5)</x:f>
        <x:v/>
      </x:c>
      <x:c r="B10" s="753" t="str">
        <x:f>IF(D10="","","成长")</x:f>
        <x:v/>
      </x:c>
      <x:c r="C10" s="756" t="str">
        <x:f>IF(D10="","",IF($F$3="","",$F$3))</x:f>
        <x:v/>
      </x:c>
      <x:c r="D10" s="753" t="str">
        <x:f>'幕间计算'!AL2</x:f>
        <x:v/>
      </x:c>
      <x:c r="E10" s="753" t="str">
        <x:f>IF(D10="","",IF('幕间计算'!AM2&gt;0,INDEX($E$107:$E$1106,'幕间计算'!AM2),INDEX('幕间计算'!$C$2:$C$61,'幕间计算'!AK2)))</x:f>
        <x:v/>
      </x:c>
      <x:c r="F10" s="753" t="str">
        <x:f>IF(D10="","",IF('幕间计算'!AM2&gt;0,INDEX($J$107:$J$1106,'幕间计算'!AM2),IF(K10="可归档",MIN(J10,99-E10),"")))</x:f>
        <x:v/>
      </x:c>
      <x:c r="G10" s="753" t="str">
        <x:f>IF(F10="","",E10+F10)</x:f>
        <x:v/>
      </x:c>
      <x:c r="H10" s="753" t="str">
        <x:f>IF(D10="","",IF('幕间计算'!AM2&gt;0,INDEX($H$107:$H$1106,'幕间计算'!AM2),"失败技能成长"&amp;IF(ISNUMBER(J10),"（1D4="&amp;J10&amp;"）","")))</x:f>
        <x:v/>
      </x:c>
      <x:c r="I10" s="753" t="str">
        <x:f>IF(AND(D10&lt;&gt;"",'幕间计算'!$AO$3=0),'幕间计算'!$AO$5&amp;"-成长-"&amp;D10,"")</x:f>
        <x:v/>
      </x:c>
      <x:c r="J10" s="747"/>
      <x:c r="K10" s="753" t="str">
        <x:f>IF(D10="","",IF('幕间计算'!AM2&gt;0,"已归档",IF(AND(ISNUMBER(J10),J10&gt;=1,J10&lt;=4,MOD(J10,1)=0),"可归档","待填1D4")))</x:f>
        <x:v/>
      </x:c>
    </x:row>
    <x:row r="11" ht="25" customHeight="1">
      <x:c r="A11" s="753" t="str">
        <x:f>IF(D11="","",'幕间计算'!$AO$5)</x:f>
        <x:v/>
      </x:c>
      <x:c r="B11" s="753" t="str">
        <x:f>IF(D11="","","成长")</x:f>
        <x:v/>
      </x:c>
      <x:c r="C11" s="756" t="str">
        <x:f>IF(D11="","",IF($F$3="","",$F$3))</x:f>
        <x:v/>
      </x:c>
      <x:c r="D11" s="753" t="str">
        <x:f>'幕间计算'!AL3</x:f>
        <x:v/>
      </x:c>
      <x:c r="E11" s="753" t="str">
        <x:f>IF(D11="","",IF('幕间计算'!AM3&gt;0,INDEX($E$107:$E$1106,'幕间计算'!AM3),INDEX('幕间计算'!$C$2:$C$61,'幕间计算'!AK3)))</x:f>
        <x:v/>
      </x:c>
      <x:c r="F11" s="753" t="str">
        <x:f>IF(D11="","",IF('幕间计算'!AM3&gt;0,INDEX($J$107:$J$1106,'幕间计算'!AM3),IF(K11="可归档",MIN(J11,99-E11),"")))</x:f>
        <x:v/>
      </x:c>
      <x:c r="G11" s="753" t="str">
        <x:f>IF(F11="","",E11+F11)</x:f>
        <x:v/>
      </x:c>
      <x:c r="H11" s="753" t="str">
        <x:f>IF(D11="","",IF('幕间计算'!AM3&gt;0,INDEX($H$107:$H$1106,'幕间计算'!AM3),"失败技能成长"&amp;IF(ISNUMBER(J11),"（1D4="&amp;J11&amp;"）","")))</x:f>
        <x:v/>
      </x:c>
      <x:c r="I11" s="753" t="str">
        <x:f>IF(AND(D11&lt;&gt;"",'幕间计算'!$AO$3=0),'幕间计算'!$AO$5&amp;"-成长-"&amp;D11,"")</x:f>
        <x:v/>
      </x:c>
      <x:c r="J11" s="747"/>
      <x:c r="K11" s="753" t="str">
        <x:f>IF(D11="","",IF('幕间计算'!AM3&gt;0,"已归档",IF(AND(ISNUMBER(J11),J11&gt;=1,J11&lt;=4,MOD(J11,1)=0),"可归档","待填1D4")))</x:f>
        <x:v/>
      </x:c>
    </x:row>
    <x:row r="12" ht="25" customHeight="1">
      <x:c r="A12" s="753" t="str">
        <x:f>IF(D12="","",'幕间计算'!$AO$5)</x:f>
        <x:v/>
      </x:c>
      <x:c r="B12" s="753" t="str">
        <x:f>IF(D12="","","成长")</x:f>
        <x:v/>
      </x:c>
      <x:c r="C12" s="756" t="str">
        <x:f>IF(D12="","",IF($F$3="","",$F$3))</x:f>
        <x:v/>
      </x:c>
      <x:c r="D12" s="753" t="str">
        <x:f>'幕间计算'!AL4</x:f>
        <x:v/>
      </x:c>
      <x:c r="E12" s="753" t="str">
        <x:f>IF(D12="","",IF('幕间计算'!AM4&gt;0,INDEX($E$107:$E$1106,'幕间计算'!AM4),INDEX('幕间计算'!$C$2:$C$61,'幕间计算'!AK4)))</x:f>
        <x:v/>
      </x:c>
      <x:c r="F12" s="753" t="str">
        <x:f>IF(D12="","",IF('幕间计算'!AM4&gt;0,INDEX($J$107:$J$1106,'幕间计算'!AM4),IF(K12="可归档",MIN(J12,99-E12),"")))</x:f>
        <x:v/>
      </x:c>
      <x:c r="G12" s="753" t="str">
        <x:f>IF(F12="","",E12+F12)</x:f>
        <x:v/>
      </x:c>
      <x:c r="H12" s="753" t="str">
        <x:f>IF(D12="","",IF('幕间计算'!AM4&gt;0,INDEX($H$107:$H$1106,'幕间计算'!AM4),"失败技能成长"&amp;IF(ISNUMBER(J12),"（1D4="&amp;J12&amp;"）","")))</x:f>
        <x:v/>
      </x:c>
      <x:c r="I12" s="753" t="str">
        <x:f>IF(AND(D12&lt;&gt;"",'幕间计算'!$AO$3=0),'幕间计算'!$AO$5&amp;"-成长-"&amp;D12,"")</x:f>
        <x:v/>
      </x:c>
      <x:c r="J12" s="747"/>
      <x:c r="K12" s="753" t="str">
        <x:f>IF(D12="","",IF('幕间计算'!AM4&gt;0,"已归档",IF(AND(ISNUMBER(J12),J12&gt;=1,J12&lt;=4,MOD(J12,1)=0),"可归档","待填1D4")))</x:f>
        <x:v/>
      </x:c>
    </x:row>
    <x:row r="13" ht="25" customHeight="1">
      <x:c r="A13" s="753" t="str">
        <x:f>IF(D13="","",'幕间计算'!$AO$5)</x:f>
        <x:v/>
      </x:c>
      <x:c r="B13" s="753" t="str">
        <x:f>IF(D13="","","成长")</x:f>
        <x:v/>
      </x:c>
      <x:c r="C13" s="756" t="str">
        <x:f>IF(D13="","",IF($F$3="","",$F$3))</x:f>
        <x:v/>
      </x:c>
      <x:c r="D13" s="753" t="str">
        <x:f>'幕间计算'!AL5</x:f>
        <x:v/>
      </x:c>
      <x:c r="E13" s="753" t="str">
        <x:f>IF(D13="","",IF('幕间计算'!AM5&gt;0,INDEX($E$107:$E$1106,'幕间计算'!AM5),INDEX('幕间计算'!$C$2:$C$61,'幕间计算'!AK5)))</x:f>
        <x:v/>
      </x:c>
      <x:c r="F13" s="753" t="str">
        <x:f>IF(D13="","",IF('幕间计算'!AM5&gt;0,INDEX($J$107:$J$1106,'幕间计算'!AM5),IF(K13="可归档",MIN(J13,99-E13),"")))</x:f>
        <x:v/>
      </x:c>
      <x:c r="G13" s="753" t="str">
        <x:f>IF(F13="","",E13+F13)</x:f>
        <x:v/>
      </x:c>
      <x:c r="H13" s="753" t="str">
        <x:f>IF(D13="","",IF('幕间计算'!AM5&gt;0,INDEX($H$107:$H$1106,'幕间计算'!AM5),"失败技能成长"&amp;IF(ISNUMBER(J13),"（1D4="&amp;J13&amp;"）","")))</x:f>
        <x:v/>
      </x:c>
      <x:c r="I13" s="753" t="str">
        <x:f>IF(AND(D13&lt;&gt;"",'幕间计算'!$AO$3=0),'幕间计算'!$AO$5&amp;"-成长-"&amp;D13,"")</x:f>
        <x:v/>
      </x:c>
      <x:c r="J13" s="747"/>
      <x:c r="K13" s="753" t="str">
        <x:f>IF(D13="","",IF('幕间计算'!AM5&gt;0,"已归档",IF(AND(ISNUMBER(J13),J13&gt;=1,J13&lt;=4,MOD(J13,1)=0),"可归档","待填1D4")))</x:f>
        <x:v/>
      </x:c>
    </x:row>
    <x:row r="14" ht="25" customHeight="1">
      <x:c r="A14" s="753" t="str">
        <x:f>IF(D14="","",'幕间计算'!$AO$5)</x:f>
        <x:v/>
      </x:c>
      <x:c r="B14" s="753" t="str">
        <x:f>IF(D14="","","成长")</x:f>
        <x:v/>
      </x:c>
      <x:c r="C14" s="756" t="str">
        <x:f>IF(D14="","",IF($F$3="","",$F$3))</x:f>
        <x:v/>
      </x:c>
      <x:c r="D14" s="753" t="str">
        <x:f>'幕间计算'!AL6</x:f>
        <x:v/>
      </x:c>
      <x:c r="E14" s="753" t="str">
        <x:f>IF(D14="","",IF('幕间计算'!AM6&gt;0,INDEX($E$107:$E$1106,'幕间计算'!AM6),INDEX('幕间计算'!$C$2:$C$61,'幕间计算'!AK6)))</x:f>
        <x:v/>
      </x:c>
      <x:c r="F14" s="753" t="str">
        <x:f>IF(D14="","",IF('幕间计算'!AM6&gt;0,INDEX($J$107:$J$1106,'幕间计算'!AM6),IF(K14="可归档",MIN(J14,99-E14),"")))</x:f>
        <x:v/>
      </x:c>
      <x:c r="G14" s="753" t="str">
        <x:f>IF(F14="","",E14+F14)</x:f>
        <x:v/>
      </x:c>
      <x:c r="H14" s="753" t="str">
        <x:f>IF(D14="","",IF('幕间计算'!AM6&gt;0,INDEX($H$107:$H$1106,'幕间计算'!AM6),"失败技能成长"&amp;IF(ISNUMBER(J14),"（1D4="&amp;J14&amp;"）","")))</x:f>
        <x:v/>
      </x:c>
      <x:c r="I14" s="753" t="str">
        <x:f>IF(AND(D14&lt;&gt;"",'幕间计算'!$AO$3=0),'幕间计算'!$AO$5&amp;"-成长-"&amp;D14,"")</x:f>
        <x:v/>
      </x:c>
      <x:c r="J14" s="747"/>
      <x:c r="K14" s="753" t="str">
        <x:f>IF(D14="","",IF('幕间计算'!AM6&gt;0,"已归档",IF(AND(ISNUMBER(J14),J14&gt;=1,J14&lt;=4,MOD(J14,1)=0),"可归档","待填1D4")))</x:f>
        <x:v/>
      </x:c>
    </x:row>
    <x:row r="15" ht="25" customHeight="1">
      <x:c r="A15" s="753" t="str">
        <x:f>IF(D15="","",'幕间计算'!$AO$5)</x:f>
        <x:v/>
      </x:c>
      <x:c r="B15" s="753" t="str">
        <x:f>IF(D15="","","成长")</x:f>
        <x:v/>
      </x:c>
      <x:c r="C15" s="756" t="str">
        <x:f>IF(D15="","",IF($F$3="","",$F$3))</x:f>
        <x:v/>
      </x:c>
      <x:c r="D15" s="753" t="str">
        <x:f>'幕间计算'!AL7</x:f>
        <x:v/>
      </x:c>
      <x:c r="E15" s="753" t="str">
        <x:f>IF(D15="","",IF('幕间计算'!AM7&gt;0,INDEX($E$107:$E$1106,'幕间计算'!AM7),INDEX('幕间计算'!$C$2:$C$61,'幕间计算'!AK7)))</x:f>
        <x:v/>
      </x:c>
      <x:c r="F15" s="753" t="str">
        <x:f>IF(D15="","",IF('幕间计算'!AM7&gt;0,INDEX($J$107:$J$1106,'幕间计算'!AM7),IF(K15="可归档",MIN(J15,99-E15),"")))</x:f>
        <x:v/>
      </x:c>
      <x:c r="G15" s="753" t="str">
        <x:f>IF(F15="","",E15+F15)</x:f>
        <x:v/>
      </x:c>
      <x:c r="H15" s="753" t="str">
        <x:f>IF(D15="","",IF('幕间计算'!AM7&gt;0,INDEX($H$107:$H$1106,'幕间计算'!AM7),"失败技能成长"&amp;IF(ISNUMBER(J15),"（1D4="&amp;J15&amp;"）","")))</x:f>
        <x:v/>
      </x:c>
      <x:c r="I15" s="753" t="str">
        <x:f>IF(AND(D15&lt;&gt;"",'幕间计算'!$AO$3=0),'幕间计算'!$AO$5&amp;"-成长-"&amp;D15,"")</x:f>
        <x:v/>
      </x:c>
      <x:c r="J15" s="747"/>
      <x:c r="K15" s="753" t="str">
        <x:f>IF(D15="","",IF('幕间计算'!AM7&gt;0,"已归档",IF(AND(ISNUMBER(J15),J15&gt;=1,J15&lt;=4,MOD(J15,1)=0),"可归档","待填1D4")))</x:f>
        <x:v/>
      </x:c>
    </x:row>
    <x:row r="16" ht="25" customHeight="1">
      <x:c r="A16" s="753" t="str">
        <x:f>IF(D16="","",'幕间计算'!$AO$5)</x:f>
        <x:v/>
      </x:c>
      <x:c r="B16" s="753" t="str">
        <x:f>IF(D16="","","成长")</x:f>
        <x:v/>
      </x:c>
      <x:c r="C16" s="756" t="str">
        <x:f>IF(D16="","",IF($F$3="","",$F$3))</x:f>
        <x:v/>
      </x:c>
      <x:c r="D16" s="753" t="str">
        <x:f>'幕间计算'!AL8</x:f>
        <x:v/>
      </x:c>
      <x:c r="E16" s="753" t="str">
        <x:f>IF(D16="","",IF('幕间计算'!AM8&gt;0,INDEX($E$107:$E$1106,'幕间计算'!AM8),INDEX('幕间计算'!$C$2:$C$61,'幕间计算'!AK8)))</x:f>
        <x:v/>
      </x:c>
      <x:c r="F16" s="753" t="str">
        <x:f>IF(D16="","",IF('幕间计算'!AM8&gt;0,INDEX($J$107:$J$1106,'幕间计算'!AM8),IF(K16="可归档",MIN(J16,99-E16),"")))</x:f>
        <x:v/>
      </x:c>
      <x:c r="G16" s="753" t="str">
        <x:f>IF(F16="","",E16+F16)</x:f>
        <x:v/>
      </x:c>
      <x:c r="H16" s="753" t="str">
        <x:f>IF(D16="","",IF('幕间计算'!AM8&gt;0,INDEX($H$107:$H$1106,'幕间计算'!AM8),"失败技能成长"&amp;IF(ISNUMBER(J16),"（1D4="&amp;J16&amp;"）","")))</x:f>
        <x:v/>
      </x:c>
      <x:c r="I16" s="753" t="str">
        <x:f>IF(AND(D16&lt;&gt;"",'幕间计算'!$AO$3=0),'幕间计算'!$AO$5&amp;"-成长-"&amp;D16,"")</x:f>
        <x:v/>
      </x:c>
      <x:c r="J16" s="747"/>
      <x:c r="K16" s="753" t="str">
        <x:f>IF(D16="","",IF('幕间计算'!AM8&gt;0,"已归档",IF(AND(ISNUMBER(J16),J16&gt;=1,J16&lt;=4,MOD(J16,1)=0),"可归档","待填1D4")))</x:f>
        <x:v/>
      </x:c>
    </x:row>
    <x:row r="17" ht="25" customHeight="1">
      <x:c r="A17" s="753" t="str">
        <x:f>IF(D17="","",'幕间计算'!$AO$5)</x:f>
        <x:v/>
      </x:c>
      <x:c r="B17" s="753" t="str">
        <x:f>IF(D17="","","成长")</x:f>
        <x:v/>
      </x:c>
      <x:c r="C17" s="756" t="str">
        <x:f>IF(D17="","",IF($F$3="","",$F$3))</x:f>
        <x:v/>
      </x:c>
      <x:c r="D17" s="753" t="str">
        <x:f>'幕间计算'!AL9</x:f>
        <x:v/>
      </x:c>
      <x:c r="E17" s="753" t="str">
        <x:f>IF(D17="","",IF('幕间计算'!AM9&gt;0,INDEX($E$107:$E$1106,'幕间计算'!AM9),INDEX('幕间计算'!$C$2:$C$61,'幕间计算'!AK9)))</x:f>
        <x:v/>
      </x:c>
      <x:c r="F17" s="753" t="str">
        <x:f>IF(D17="","",IF('幕间计算'!AM9&gt;0,INDEX($J$107:$J$1106,'幕间计算'!AM9),IF(K17="可归档",MIN(J17,99-E17),"")))</x:f>
        <x:v/>
      </x:c>
      <x:c r="G17" s="753" t="str">
        <x:f>IF(F17="","",E17+F17)</x:f>
        <x:v/>
      </x:c>
      <x:c r="H17" s="753" t="str">
        <x:f>IF(D17="","",IF('幕间计算'!AM9&gt;0,INDEX($H$107:$H$1106,'幕间计算'!AM9),"失败技能成长"&amp;IF(ISNUMBER(J17),"（1D4="&amp;J17&amp;"）","")))</x:f>
        <x:v/>
      </x:c>
      <x:c r="I17" s="753" t="str">
        <x:f>IF(AND(D17&lt;&gt;"",'幕间计算'!$AO$3=0),'幕间计算'!$AO$5&amp;"-成长-"&amp;D17,"")</x:f>
        <x:v/>
      </x:c>
      <x:c r="J17" s="747"/>
      <x:c r="K17" s="753" t="str">
        <x:f>IF(D17="","",IF('幕间计算'!AM9&gt;0,"已归档",IF(AND(ISNUMBER(J17),J17&gt;=1,J17&lt;=4,MOD(J17,1)=0),"可归档","待填1D4")))</x:f>
        <x:v/>
      </x:c>
    </x:row>
    <x:row r="18" ht="25" customHeight="1">
      <x:c r="A18" s="753" t="str">
        <x:f>IF(D18="","",'幕间计算'!$AO$5)</x:f>
        <x:v/>
      </x:c>
      <x:c r="B18" s="753" t="str">
        <x:f>IF(D18="","","成长")</x:f>
        <x:v/>
      </x:c>
      <x:c r="C18" s="756" t="str">
        <x:f>IF(D18="","",IF($F$3="","",$F$3))</x:f>
        <x:v/>
      </x:c>
      <x:c r="D18" s="753" t="str">
        <x:f>'幕间计算'!AL10</x:f>
        <x:v/>
      </x:c>
      <x:c r="E18" s="753" t="str">
        <x:f>IF(D18="","",IF('幕间计算'!AM10&gt;0,INDEX($E$107:$E$1106,'幕间计算'!AM10),INDEX('幕间计算'!$C$2:$C$61,'幕间计算'!AK10)))</x:f>
        <x:v/>
      </x:c>
      <x:c r="F18" s="753" t="str">
        <x:f>IF(D18="","",IF('幕间计算'!AM10&gt;0,INDEX($J$107:$J$1106,'幕间计算'!AM10),IF(K18="可归档",MIN(J18,99-E18),"")))</x:f>
        <x:v/>
      </x:c>
      <x:c r="G18" s="753" t="str">
        <x:f>IF(F18="","",E18+F18)</x:f>
        <x:v/>
      </x:c>
      <x:c r="H18" s="753" t="str">
        <x:f>IF(D18="","",IF('幕间计算'!AM10&gt;0,INDEX($H$107:$H$1106,'幕间计算'!AM10),"失败技能成长"&amp;IF(ISNUMBER(J18),"（1D4="&amp;J18&amp;"）","")))</x:f>
        <x:v/>
      </x:c>
      <x:c r="I18" s="753" t="str">
        <x:f>IF(AND(D18&lt;&gt;"",'幕间计算'!$AO$3=0),'幕间计算'!$AO$5&amp;"-成长-"&amp;D18,"")</x:f>
        <x:v/>
      </x:c>
      <x:c r="J18" s="747"/>
      <x:c r="K18" s="753" t="str">
        <x:f>IF(D18="","",IF('幕间计算'!AM10&gt;0,"已归档",IF(AND(ISNUMBER(J18),J18&gt;=1,J18&lt;=4,MOD(J18,1)=0),"可归档","待填1D4")))</x:f>
        <x:v/>
      </x:c>
    </x:row>
    <x:row r="19" ht="25" customHeight="1">
      <x:c r="A19" s="753" t="str">
        <x:f>IF(D19="","",'幕间计算'!$AO$5)</x:f>
        <x:v/>
      </x:c>
      <x:c r="B19" s="753" t="str">
        <x:f>IF(D19="","","成长")</x:f>
        <x:v/>
      </x:c>
      <x:c r="C19" s="756" t="str">
        <x:f>IF(D19="","",IF($F$3="","",$F$3))</x:f>
        <x:v/>
      </x:c>
      <x:c r="D19" s="753" t="str">
        <x:f>'幕间计算'!AL11</x:f>
        <x:v/>
      </x:c>
      <x:c r="E19" s="753" t="str">
        <x:f>IF(D19="","",IF('幕间计算'!AM11&gt;0,INDEX($E$107:$E$1106,'幕间计算'!AM11),INDEX('幕间计算'!$C$2:$C$61,'幕间计算'!AK11)))</x:f>
        <x:v/>
      </x:c>
      <x:c r="F19" s="753" t="str">
        <x:f>IF(D19="","",IF('幕间计算'!AM11&gt;0,INDEX($J$107:$J$1106,'幕间计算'!AM11),IF(K19="可归档",MIN(J19,99-E19),"")))</x:f>
        <x:v/>
      </x:c>
      <x:c r="G19" s="753" t="str">
        <x:f>IF(F19="","",E19+F19)</x:f>
        <x:v/>
      </x:c>
      <x:c r="H19" s="753" t="str">
        <x:f>IF(D19="","",IF('幕间计算'!AM11&gt;0,INDEX($H$107:$H$1106,'幕间计算'!AM11),"失败技能成长"&amp;IF(ISNUMBER(J19),"（1D4="&amp;J19&amp;"）","")))</x:f>
        <x:v/>
      </x:c>
      <x:c r="I19" s="753" t="str">
        <x:f>IF(AND(D19&lt;&gt;"",'幕间计算'!$AO$3=0),'幕间计算'!$AO$5&amp;"-成长-"&amp;D19,"")</x:f>
        <x:v/>
      </x:c>
      <x:c r="J19" s="747"/>
      <x:c r="K19" s="753" t="str">
        <x:f>IF(D19="","",IF('幕间计算'!AM11&gt;0,"已归档",IF(AND(ISNUMBER(J19),J19&gt;=1,J19&lt;=4,MOD(J19,1)=0),"可归档","待填1D4")))</x:f>
        <x:v/>
      </x:c>
    </x:row>
    <x:row r="20" ht="25" customHeight="1">
      <x:c r="A20" s="753" t="str">
        <x:f>IF(D20="","",'幕间计算'!$AO$5)</x:f>
        <x:v/>
      </x:c>
      <x:c r="B20" s="753" t="str">
        <x:f>IF(D20="","","成长")</x:f>
        <x:v/>
      </x:c>
      <x:c r="C20" s="756" t="str">
        <x:f>IF(D20="","",IF($F$3="","",$F$3))</x:f>
        <x:v/>
      </x:c>
      <x:c r="D20" s="753" t="str">
        <x:f>'幕间计算'!AL12</x:f>
        <x:v/>
      </x:c>
      <x:c r="E20" s="753" t="str">
        <x:f>IF(D20="","",IF('幕间计算'!AM12&gt;0,INDEX($E$107:$E$1106,'幕间计算'!AM12),INDEX('幕间计算'!$C$2:$C$61,'幕间计算'!AK12)))</x:f>
        <x:v/>
      </x:c>
      <x:c r="F20" s="753" t="str">
        <x:f>IF(D20="","",IF('幕间计算'!AM12&gt;0,INDEX($J$107:$J$1106,'幕间计算'!AM12),IF(K20="可归档",MIN(J20,99-E20),"")))</x:f>
        <x:v/>
      </x:c>
      <x:c r="G20" s="753" t="str">
        <x:f>IF(F20="","",E20+F20)</x:f>
        <x:v/>
      </x:c>
      <x:c r="H20" s="753" t="str">
        <x:f>IF(D20="","",IF('幕间计算'!AM12&gt;0,INDEX($H$107:$H$1106,'幕间计算'!AM12),"失败技能成长"&amp;IF(ISNUMBER(J20),"（1D4="&amp;J20&amp;"）","")))</x:f>
        <x:v/>
      </x:c>
      <x:c r="I20" s="753" t="str">
        <x:f>IF(AND(D20&lt;&gt;"",'幕间计算'!$AO$3=0),'幕间计算'!$AO$5&amp;"-成长-"&amp;D20,"")</x:f>
        <x:v/>
      </x:c>
      <x:c r="J20" s="747"/>
      <x:c r="K20" s="753" t="str">
        <x:f>IF(D20="","",IF('幕间计算'!AM12&gt;0,"已归档",IF(AND(ISNUMBER(J20),J20&gt;=1,J20&lt;=4,MOD(J20,1)=0),"可归档","待填1D4")))</x:f>
        <x:v/>
      </x:c>
    </x:row>
    <x:row r="21" ht="25" customHeight="1">
      <x:c r="A21" s="753" t="str">
        <x:f>IF(D21="","",'幕间计算'!$AO$5)</x:f>
        <x:v/>
      </x:c>
      <x:c r="B21" s="753" t="str">
        <x:f>IF(D21="","","成长")</x:f>
        <x:v/>
      </x:c>
      <x:c r="C21" s="756" t="str">
        <x:f>IF(D21="","",IF($F$3="","",$F$3))</x:f>
        <x:v/>
      </x:c>
      <x:c r="D21" s="753" t="str">
        <x:f>'幕间计算'!AL13</x:f>
        <x:v/>
      </x:c>
      <x:c r="E21" s="753" t="str">
        <x:f>IF(D21="","",IF('幕间计算'!AM13&gt;0,INDEX($E$107:$E$1106,'幕间计算'!AM13),INDEX('幕间计算'!$C$2:$C$61,'幕间计算'!AK13)))</x:f>
        <x:v/>
      </x:c>
      <x:c r="F21" s="753" t="str">
        <x:f>IF(D21="","",IF('幕间计算'!AM13&gt;0,INDEX($J$107:$J$1106,'幕间计算'!AM13),IF(K21="可归档",MIN(J21,99-E21),"")))</x:f>
        <x:v/>
      </x:c>
      <x:c r="G21" s="753" t="str">
        <x:f>IF(F21="","",E21+F21)</x:f>
        <x:v/>
      </x:c>
      <x:c r="H21" s="753" t="str">
        <x:f>IF(D21="","",IF('幕间计算'!AM13&gt;0,INDEX($H$107:$H$1106,'幕间计算'!AM13),"失败技能成长"&amp;IF(ISNUMBER(J21),"（1D4="&amp;J21&amp;"）","")))</x:f>
        <x:v/>
      </x:c>
      <x:c r="I21" s="753" t="str">
        <x:f>IF(AND(D21&lt;&gt;"",'幕间计算'!$AO$3=0),'幕间计算'!$AO$5&amp;"-成长-"&amp;D21,"")</x:f>
        <x:v/>
      </x:c>
      <x:c r="J21" s="747"/>
      <x:c r="K21" s="753" t="str">
        <x:f>IF(D21="","",IF('幕间计算'!AM13&gt;0,"已归档",IF(AND(ISNUMBER(J21),J21&gt;=1,J21&lt;=4,MOD(J21,1)=0),"可归档","待填1D4")))</x:f>
        <x:v/>
      </x:c>
    </x:row>
    <x:row r="22" ht="25" customHeight="1">
      <x:c r="A22" s="753" t="str">
        <x:f>IF(D22="","",'幕间计算'!$AO$5)</x:f>
        <x:v/>
      </x:c>
      <x:c r="B22" s="753" t="str">
        <x:f>IF(D22="","","成长")</x:f>
        <x:v/>
      </x:c>
      <x:c r="C22" s="756" t="str">
        <x:f>IF(D22="","",IF($F$3="","",$F$3))</x:f>
        <x:v/>
      </x:c>
      <x:c r="D22" s="753" t="str">
        <x:f>'幕间计算'!AL14</x:f>
        <x:v/>
      </x:c>
      <x:c r="E22" s="753" t="str">
        <x:f>IF(D22="","",IF('幕间计算'!AM14&gt;0,INDEX($E$107:$E$1106,'幕间计算'!AM14),INDEX('幕间计算'!$C$2:$C$61,'幕间计算'!AK14)))</x:f>
        <x:v/>
      </x:c>
      <x:c r="F22" s="753" t="str">
        <x:f>IF(D22="","",IF('幕间计算'!AM14&gt;0,INDEX($J$107:$J$1106,'幕间计算'!AM14),IF(K22="可归档",MIN(J22,99-E22),"")))</x:f>
        <x:v/>
      </x:c>
      <x:c r="G22" s="753" t="str">
        <x:f>IF(F22="","",E22+F22)</x:f>
        <x:v/>
      </x:c>
      <x:c r="H22" s="753" t="str">
        <x:f>IF(D22="","",IF('幕间计算'!AM14&gt;0,INDEX($H$107:$H$1106,'幕间计算'!AM14),"失败技能成长"&amp;IF(ISNUMBER(J22),"（1D4="&amp;J22&amp;"）","")))</x:f>
        <x:v/>
      </x:c>
      <x:c r="I22" s="753" t="str">
        <x:f>IF(AND(D22&lt;&gt;"",'幕间计算'!$AO$3=0),'幕间计算'!$AO$5&amp;"-成长-"&amp;D22,"")</x:f>
        <x:v/>
      </x:c>
      <x:c r="J22" s="747"/>
      <x:c r="K22" s="753" t="str">
        <x:f>IF(D22="","",IF('幕间计算'!AM14&gt;0,"已归档",IF(AND(ISNUMBER(J22),J22&gt;=1,J22&lt;=4,MOD(J22,1)=0),"可归档","待填1D4")))</x:f>
        <x:v/>
      </x:c>
    </x:row>
    <x:row r="23" ht="25" customHeight="1">
      <x:c r="A23" s="753" t="str">
        <x:f>IF(D23="","",'幕间计算'!$AO$5)</x:f>
        <x:v/>
      </x:c>
      <x:c r="B23" s="753" t="str">
        <x:f>IF(D23="","","成长")</x:f>
        <x:v/>
      </x:c>
      <x:c r="C23" s="756" t="str">
        <x:f>IF(D23="","",IF($F$3="","",$F$3))</x:f>
        <x:v/>
      </x:c>
      <x:c r="D23" s="753" t="str">
        <x:f>'幕间计算'!AL15</x:f>
        <x:v/>
      </x:c>
      <x:c r="E23" s="753" t="str">
        <x:f>IF(D23="","",IF('幕间计算'!AM15&gt;0,INDEX($E$107:$E$1106,'幕间计算'!AM15),INDEX('幕间计算'!$C$2:$C$61,'幕间计算'!AK15)))</x:f>
        <x:v/>
      </x:c>
      <x:c r="F23" s="753" t="str">
        <x:f>IF(D23="","",IF('幕间计算'!AM15&gt;0,INDEX($J$107:$J$1106,'幕间计算'!AM15),IF(K23="可归档",MIN(J23,99-E23),"")))</x:f>
        <x:v/>
      </x:c>
      <x:c r="G23" s="753" t="str">
        <x:f>IF(F23="","",E23+F23)</x:f>
        <x:v/>
      </x:c>
      <x:c r="H23" s="753" t="str">
        <x:f>IF(D23="","",IF('幕间计算'!AM15&gt;0,INDEX($H$107:$H$1106,'幕间计算'!AM15),"失败技能成长"&amp;IF(ISNUMBER(J23),"（1D4="&amp;J23&amp;"）","")))</x:f>
        <x:v/>
      </x:c>
      <x:c r="I23" s="753" t="str">
        <x:f>IF(AND(D23&lt;&gt;"",'幕间计算'!$AO$3=0),'幕间计算'!$AO$5&amp;"-成长-"&amp;D23,"")</x:f>
        <x:v/>
      </x:c>
      <x:c r="J23" s="747"/>
      <x:c r="K23" s="753" t="str">
        <x:f>IF(D23="","",IF('幕间计算'!AM15&gt;0,"已归档",IF(AND(ISNUMBER(J23),J23&gt;=1,J23&lt;=4,MOD(J23,1)=0),"可归档","待填1D4")))</x:f>
        <x:v/>
      </x:c>
    </x:row>
    <x:row r="24" ht="25" customHeight="1">
      <x:c r="A24" s="753" t="str">
        <x:f>IF(D24="","",'幕间计算'!$AO$5)</x:f>
        <x:v/>
      </x:c>
      <x:c r="B24" s="753" t="str">
        <x:f>IF(D24="","","成长")</x:f>
        <x:v/>
      </x:c>
      <x:c r="C24" s="756" t="str">
        <x:f>IF(D24="","",IF($F$3="","",$F$3))</x:f>
        <x:v/>
      </x:c>
      <x:c r="D24" s="753" t="str">
        <x:f>'幕间计算'!AL16</x:f>
        <x:v/>
      </x:c>
      <x:c r="E24" s="753" t="str">
        <x:f>IF(D24="","",IF('幕间计算'!AM16&gt;0,INDEX($E$107:$E$1106,'幕间计算'!AM16),INDEX('幕间计算'!$C$2:$C$61,'幕间计算'!AK16)))</x:f>
        <x:v/>
      </x:c>
      <x:c r="F24" s="753" t="str">
        <x:f>IF(D24="","",IF('幕间计算'!AM16&gt;0,INDEX($J$107:$J$1106,'幕间计算'!AM16),IF(K24="可归档",MIN(J24,99-E24),"")))</x:f>
        <x:v/>
      </x:c>
      <x:c r="G24" s="753" t="str">
        <x:f>IF(F24="","",E24+F24)</x:f>
        <x:v/>
      </x:c>
      <x:c r="H24" s="753" t="str">
        <x:f>IF(D24="","",IF('幕间计算'!AM16&gt;0,INDEX($H$107:$H$1106,'幕间计算'!AM16),"失败技能成长"&amp;IF(ISNUMBER(J24),"（1D4="&amp;J24&amp;"）","")))</x:f>
        <x:v/>
      </x:c>
      <x:c r="I24" s="753" t="str">
        <x:f>IF(AND(D24&lt;&gt;"",'幕间计算'!$AO$3=0),'幕间计算'!$AO$5&amp;"-成长-"&amp;D24,"")</x:f>
        <x:v/>
      </x:c>
      <x:c r="J24" s="747"/>
      <x:c r="K24" s="753" t="str">
        <x:f>IF(D24="","",IF('幕间计算'!AM16&gt;0,"已归档",IF(AND(ISNUMBER(J24),J24&gt;=1,J24&lt;=4,MOD(J24,1)=0),"可归档","待填1D4")))</x:f>
        <x:v/>
      </x:c>
    </x:row>
    <x:row r="25" ht="25" customHeight="1">
      <x:c r="A25" s="753" t="str">
        <x:f>IF(D25="","",'幕间计算'!$AO$5)</x:f>
        <x:v/>
      </x:c>
      <x:c r="B25" s="753" t="str">
        <x:f>IF(D25="","","成长")</x:f>
        <x:v/>
      </x:c>
      <x:c r="C25" s="756" t="str">
        <x:f>IF(D25="","",IF($F$3="","",$F$3))</x:f>
        <x:v/>
      </x:c>
      <x:c r="D25" s="753" t="str">
        <x:f>'幕间计算'!AL17</x:f>
        <x:v/>
      </x:c>
      <x:c r="E25" s="753" t="str">
        <x:f>IF(D25="","",IF('幕间计算'!AM17&gt;0,INDEX($E$107:$E$1106,'幕间计算'!AM17),INDEX('幕间计算'!$C$2:$C$61,'幕间计算'!AK17)))</x:f>
        <x:v/>
      </x:c>
      <x:c r="F25" s="753" t="str">
        <x:f>IF(D25="","",IF('幕间计算'!AM17&gt;0,INDEX($J$107:$J$1106,'幕间计算'!AM17),IF(K25="可归档",MIN(J25,99-E25),"")))</x:f>
        <x:v/>
      </x:c>
      <x:c r="G25" s="753" t="str">
        <x:f>IF(F25="","",E25+F25)</x:f>
        <x:v/>
      </x:c>
      <x:c r="H25" s="753" t="str">
        <x:f>IF(D25="","",IF('幕间计算'!AM17&gt;0,INDEX($H$107:$H$1106,'幕间计算'!AM17),"失败技能成长"&amp;IF(ISNUMBER(J25),"（1D4="&amp;J25&amp;"）","")))</x:f>
        <x:v/>
      </x:c>
      <x:c r="I25" s="753" t="str">
        <x:f>IF(AND(D25&lt;&gt;"",'幕间计算'!$AO$3=0),'幕间计算'!$AO$5&amp;"-成长-"&amp;D25,"")</x:f>
        <x:v/>
      </x:c>
      <x:c r="J25" s="747"/>
      <x:c r="K25" s="753" t="str">
        <x:f>IF(D25="","",IF('幕间计算'!AM17&gt;0,"已归档",IF(AND(ISNUMBER(J25),J25&gt;=1,J25&lt;=4,MOD(J25,1)=0),"可归档","待填1D4")))</x:f>
        <x:v/>
      </x:c>
    </x:row>
    <x:row r="26" ht="25" customHeight="1">
      <x:c r="A26" s="753" t="str">
        <x:f>IF(D26="","",'幕间计算'!$AO$5)</x:f>
        <x:v/>
      </x:c>
      <x:c r="B26" s="753" t="str">
        <x:f>IF(D26="","","成长")</x:f>
        <x:v/>
      </x:c>
      <x:c r="C26" s="756" t="str">
        <x:f>IF(D26="","",IF($F$3="","",$F$3))</x:f>
        <x:v/>
      </x:c>
      <x:c r="D26" s="753" t="str">
        <x:f>'幕间计算'!AL18</x:f>
        <x:v/>
      </x:c>
      <x:c r="E26" s="753" t="str">
        <x:f>IF(D26="","",IF('幕间计算'!AM18&gt;0,INDEX($E$107:$E$1106,'幕间计算'!AM18),INDEX('幕间计算'!$C$2:$C$61,'幕间计算'!AK18)))</x:f>
        <x:v/>
      </x:c>
      <x:c r="F26" s="753" t="str">
        <x:f>IF(D26="","",IF('幕间计算'!AM18&gt;0,INDEX($J$107:$J$1106,'幕间计算'!AM18),IF(K26="可归档",MIN(J26,99-E26),"")))</x:f>
        <x:v/>
      </x:c>
      <x:c r="G26" s="753" t="str">
        <x:f>IF(F26="","",E26+F26)</x:f>
        <x:v/>
      </x:c>
      <x:c r="H26" s="753" t="str">
        <x:f>IF(D26="","",IF('幕间计算'!AM18&gt;0,INDEX($H$107:$H$1106,'幕间计算'!AM18),"失败技能成长"&amp;IF(ISNUMBER(J26),"（1D4="&amp;J26&amp;"）","")))</x:f>
        <x:v/>
      </x:c>
      <x:c r="I26" s="753" t="str">
        <x:f>IF(AND(D26&lt;&gt;"",'幕间计算'!$AO$3=0),'幕间计算'!$AO$5&amp;"-成长-"&amp;D26,"")</x:f>
        <x:v/>
      </x:c>
      <x:c r="J26" s="747"/>
      <x:c r="K26" s="753" t="str">
        <x:f>IF(D26="","",IF('幕间计算'!AM18&gt;0,"已归档",IF(AND(ISNUMBER(J26),J26&gt;=1,J26&lt;=4,MOD(J26,1)=0),"可归档","待填1D4")))</x:f>
        <x:v/>
      </x:c>
    </x:row>
    <x:row r="27" ht="25" customHeight="1">
      <x:c r="A27" s="753" t="str">
        <x:f>IF(D27="","",'幕间计算'!$AO$5)</x:f>
        <x:v/>
      </x:c>
      <x:c r="B27" s="753" t="str">
        <x:f>IF(D27="","","成长")</x:f>
        <x:v/>
      </x:c>
      <x:c r="C27" s="756" t="str">
        <x:f>IF(D27="","",IF($F$3="","",$F$3))</x:f>
        <x:v/>
      </x:c>
      <x:c r="D27" s="753" t="str">
        <x:f>'幕间计算'!AL19</x:f>
        <x:v/>
      </x:c>
      <x:c r="E27" s="753" t="str">
        <x:f>IF(D27="","",IF('幕间计算'!AM19&gt;0,INDEX($E$107:$E$1106,'幕间计算'!AM19),INDEX('幕间计算'!$C$2:$C$61,'幕间计算'!AK19)))</x:f>
        <x:v/>
      </x:c>
      <x:c r="F27" s="753" t="str">
        <x:f>IF(D27="","",IF('幕间计算'!AM19&gt;0,INDEX($J$107:$J$1106,'幕间计算'!AM19),IF(K27="可归档",MIN(J27,99-E27),"")))</x:f>
        <x:v/>
      </x:c>
      <x:c r="G27" s="753" t="str">
        <x:f>IF(F27="","",E27+F27)</x:f>
        <x:v/>
      </x:c>
      <x:c r="H27" s="753" t="str">
        <x:f>IF(D27="","",IF('幕间计算'!AM19&gt;0,INDEX($H$107:$H$1106,'幕间计算'!AM19),"失败技能成长"&amp;IF(ISNUMBER(J27),"（1D4="&amp;J27&amp;"）","")))</x:f>
        <x:v/>
      </x:c>
      <x:c r="I27" s="753" t="str">
        <x:f>IF(AND(D27&lt;&gt;"",'幕间计算'!$AO$3=0),'幕间计算'!$AO$5&amp;"-成长-"&amp;D27,"")</x:f>
        <x:v/>
      </x:c>
      <x:c r="J27" s="747"/>
      <x:c r="K27" s="753" t="str">
        <x:f>IF(D27="","",IF('幕间计算'!AM19&gt;0,"已归档",IF(AND(ISNUMBER(J27),J27&gt;=1,J27&lt;=4,MOD(J27,1)=0),"可归档","待填1D4")))</x:f>
        <x:v/>
      </x:c>
    </x:row>
    <x:row r="28" ht="25" customHeight="1">
      <x:c r="A28" s="753" t="str">
        <x:f>IF(D28="","",'幕间计算'!$AO$5)</x:f>
        <x:v/>
      </x:c>
      <x:c r="B28" s="753" t="str">
        <x:f>IF(D28="","","成长")</x:f>
        <x:v/>
      </x:c>
      <x:c r="C28" s="756" t="str">
        <x:f>IF(D28="","",IF($F$3="","",$F$3))</x:f>
        <x:v/>
      </x:c>
      <x:c r="D28" s="753" t="str">
        <x:f>'幕间计算'!AL20</x:f>
        <x:v/>
      </x:c>
      <x:c r="E28" s="753" t="str">
        <x:f>IF(D28="","",IF('幕间计算'!AM20&gt;0,INDEX($E$107:$E$1106,'幕间计算'!AM20),INDEX('幕间计算'!$C$2:$C$61,'幕间计算'!AK20)))</x:f>
        <x:v/>
      </x:c>
      <x:c r="F28" s="753" t="str">
        <x:f>IF(D28="","",IF('幕间计算'!AM20&gt;0,INDEX($J$107:$J$1106,'幕间计算'!AM20),IF(K28="可归档",MIN(J28,99-E28),"")))</x:f>
        <x:v/>
      </x:c>
      <x:c r="G28" s="753" t="str">
        <x:f>IF(F28="","",E28+F28)</x:f>
        <x:v/>
      </x:c>
      <x:c r="H28" s="753" t="str">
        <x:f>IF(D28="","",IF('幕间计算'!AM20&gt;0,INDEX($H$107:$H$1106,'幕间计算'!AM20),"失败技能成长"&amp;IF(ISNUMBER(J28),"（1D4="&amp;J28&amp;"）","")))</x:f>
        <x:v/>
      </x:c>
      <x:c r="I28" s="753" t="str">
        <x:f>IF(AND(D28&lt;&gt;"",'幕间计算'!$AO$3=0),'幕间计算'!$AO$5&amp;"-成长-"&amp;D28,"")</x:f>
        <x:v/>
      </x:c>
      <x:c r="J28" s="747"/>
      <x:c r="K28" s="753" t="str">
        <x:f>IF(D28="","",IF('幕间计算'!AM20&gt;0,"已归档",IF(AND(ISNUMBER(J28),J28&gt;=1,J28&lt;=4,MOD(J28,1)=0),"可归档","待填1D4")))</x:f>
        <x:v/>
      </x:c>
    </x:row>
    <x:row r="29" ht="25" customHeight="1">
      <x:c r="A29" s="753" t="str">
        <x:f>IF(D29="","",'幕间计算'!$AO$5)</x:f>
        <x:v/>
      </x:c>
      <x:c r="B29" s="753" t="str">
        <x:f>IF(D29="","","成长")</x:f>
        <x:v/>
      </x:c>
      <x:c r="C29" s="756" t="str">
        <x:f>IF(D29="","",IF($F$3="","",$F$3))</x:f>
        <x:v/>
      </x:c>
      <x:c r="D29" s="753" t="str">
        <x:f>'幕间计算'!AL21</x:f>
        <x:v/>
      </x:c>
      <x:c r="E29" s="753" t="str">
        <x:f>IF(D29="","",IF('幕间计算'!AM21&gt;0,INDEX($E$107:$E$1106,'幕间计算'!AM21),INDEX('幕间计算'!$C$2:$C$61,'幕间计算'!AK21)))</x:f>
        <x:v/>
      </x:c>
      <x:c r="F29" s="753" t="str">
        <x:f>IF(D29="","",IF('幕间计算'!AM21&gt;0,INDEX($J$107:$J$1106,'幕间计算'!AM21),IF(K29="可归档",MIN(J29,99-E29),"")))</x:f>
        <x:v/>
      </x:c>
      <x:c r="G29" s="753" t="str">
        <x:f>IF(F29="","",E29+F29)</x:f>
        <x:v/>
      </x:c>
      <x:c r="H29" s="753" t="str">
        <x:f>IF(D29="","",IF('幕间计算'!AM21&gt;0,INDEX($H$107:$H$1106,'幕间计算'!AM21),"失败技能成长"&amp;IF(ISNUMBER(J29),"（1D4="&amp;J29&amp;"）","")))</x:f>
        <x:v/>
      </x:c>
      <x:c r="I29" s="753" t="str">
        <x:f>IF(AND(D29&lt;&gt;"",'幕间计算'!$AO$3=0),'幕间计算'!$AO$5&amp;"-成长-"&amp;D29,"")</x:f>
        <x:v/>
      </x:c>
      <x:c r="J29" s="747"/>
      <x:c r="K29" s="753" t="str">
        <x:f>IF(D29="","",IF('幕间计算'!AM21&gt;0,"已归档",IF(AND(ISNUMBER(J29),J29&gt;=1,J29&lt;=4,MOD(J29,1)=0),"可归档","待填1D4")))</x:f>
        <x:v/>
      </x:c>
    </x:row>
    <x:row r="30" ht="25" customHeight="1">
      <x:c r="A30" s="753" t="str">
        <x:f>IF(D30="","",'幕间计算'!$AO$5)</x:f>
        <x:v/>
      </x:c>
      <x:c r="B30" s="753" t="str">
        <x:f>IF(D30="","","成长")</x:f>
        <x:v/>
      </x:c>
      <x:c r="C30" s="756" t="str">
        <x:f>IF(D30="","",IF($F$3="","",$F$3))</x:f>
        <x:v/>
      </x:c>
      <x:c r="D30" s="753" t="str">
        <x:f>'幕间计算'!AL22</x:f>
        <x:v/>
      </x:c>
      <x:c r="E30" s="753" t="str">
        <x:f>IF(D30="","",IF('幕间计算'!AM22&gt;0,INDEX($E$107:$E$1106,'幕间计算'!AM22),INDEX('幕间计算'!$C$2:$C$61,'幕间计算'!AK22)))</x:f>
        <x:v/>
      </x:c>
      <x:c r="F30" s="753" t="str">
        <x:f>IF(D30="","",IF('幕间计算'!AM22&gt;0,INDEX($J$107:$J$1106,'幕间计算'!AM22),IF(K30="可归档",MIN(J30,99-E30),"")))</x:f>
        <x:v/>
      </x:c>
      <x:c r="G30" s="753" t="str">
        <x:f>IF(F30="","",E30+F30)</x:f>
        <x:v/>
      </x:c>
      <x:c r="H30" s="753" t="str">
        <x:f>IF(D30="","",IF('幕间计算'!AM22&gt;0,INDEX($H$107:$H$1106,'幕间计算'!AM22),"失败技能成长"&amp;IF(ISNUMBER(J30),"（1D4="&amp;J30&amp;"）","")))</x:f>
        <x:v/>
      </x:c>
      <x:c r="I30" s="753" t="str">
        <x:f>IF(AND(D30&lt;&gt;"",'幕间计算'!$AO$3=0),'幕间计算'!$AO$5&amp;"-成长-"&amp;D30,"")</x:f>
        <x:v/>
      </x:c>
      <x:c r="J30" s="747"/>
      <x:c r="K30" s="753" t="str">
        <x:f>IF(D30="","",IF('幕间计算'!AM22&gt;0,"已归档",IF(AND(ISNUMBER(J30),J30&gt;=1,J30&lt;=4,MOD(J30,1)=0),"可归档","待填1D4")))</x:f>
        <x:v/>
      </x:c>
    </x:row>
    <x:row r="31" ht="25" customHeight="1">
      <x:c r="A31" s="753" t="str">
        <x:f>IF(D31="","",'幕间计算'!$AO$5)</x:f>
        <x:v/>
      </x:c>
      <x:c r="B31" s="753" t="str">
        <x:f>IF(D31="","","成长")</x:f>
        <x:v/>
      </x:c>
      <x:c r="C31" s="756" t="str">
        <x:f>IF(D31="","",IF($F$3="","",$F$3))</x:f>
        <x:v/>
      </x:c>
      <x:c r="D31" s="753" t="str">
        <x:f>'幕间计算'!AL23</x:f>
        <x:v/>
      </x:c>
      <x:c r="E31" s="753" t="str">
        <x:f>IF(D31="","",IF('幕间计算'!AM23&gt;0,INDEX($E$107:$E$1106,'幕间计算'!AM23),INDEX('幕间计算'!$C$2:$C$61,'幕间计算'!AK23)))</x:f>
        <x:v/>
      </x:c>
      <x:c r="F31" s="753" t="str">
        <x:f>IF(D31="","",IF('幕间计算'!AM23&gt;0,INDEX($J$107:$J$1106,'幕间计算'!AM23),IF(K31="可归档",MIN(J31,99-E31),"")))</x:f>
        <x:v/>
      </x:c>
      <x:c r="G31" s="753" t="str">
        <x:f>IF(F31="","",E31+F31)</x:f>
        <x:v/>
      </x:c>
      <x:c r="H31" s="753" t="str">
        <x:f>IF(D31="","",IF('幕间计算'!AM23&gt;0,INDEX($H$107:$H$1106,'幕间计算'!AM23),"失败技能成长"&amp;IF(ISNUMBER(J31),"（1D4="&amp;J31&amp;"）","")))</x:f>
        <x:v/>
      </x:c>
      <x:c r="I31" s="753" t="str">
        <x:f>IF(AND(D31&lt;&gt;"",'幕间计算'!$AO$3=0),'幕间计算'!$AO$5&amp;"-成长-"&amp;D31,"")</x:f>
        <x:v/>
      </x:c>
      <x:c r="J31" s="747"/>
      <x:c r="K31" s="753" t="str">
        <x:f>IF(D31="","",IF('幕间计算'!AM23&gt;0,"已归档",IF(AND(ISNUMBER(J31),J31&gt;=1,J31&lt;=4,MOD(J31,1)=0),"可归档","待填1D4")))</x:f>
        <x:v/>
      </x:c>
    </x:row>
    <x:row r="32" ht="25" customHeight="1">
      <x:c r="A32" s="753" t="str">
        <x:f>IF(D32="","",'幕间计算'!$AO$5)</x:f>
        <x:v/>
      </x:c>
      <x:c r="B32" s="753" t="str">
        <x:f>IF(D32="","","成长")</x:f>
        <x:v/>
      </x:c>
      <x:c r="C32" s="756" t="str">
        <x:f>IF(D32="","",IF($F$3="","",$F$3))</x:f>
        <x:v/>
      </x:c>
      <x:c r="D32" s="753" t="str">
        <x:f>'幕间计算'!AL24</x:f>
        <x:v/>
      </x:c>
      <x:c r="E32" s="753" t="str">
        <x:f>IF(D32="","",IF('幕间计算'!AM24&gt;0,INDEX($E$107:$E$1106,'幕间计算'!AM24),INDEX('幕间计算'!$C$2:$C$61,'幕间计算'!AK24)))</x:f>
        <x:v/>
      </x:c>
      <x:c r="F32" s="753" t="str">
        <x:f>IF(D32="","",IF('幕间计算'!AM24&gt;0,INDEX($J$107:$J$1106,'幕间计算'!AM24),IF(K32="可归档",MIN(J32,99-E32),"")))</x:f>
        <x:v/>
      </x:c>
      <x:c r="G32" s="753" t="str">
        <x:f>IF(F32="","",E32+F32)</x:f>
        <x:v/>
      </x:c>
      <x:c r="H32" s="753" t="str">
        <x:f>IF(D32="","",IF('幕间计算'!AM24&gt;0,INDEX($H$107:$H$1106,'幕间计算'!AM24),"失败技能成长"&amp;IF(ISNUMBER(J32),"（1D4="&amp;J32&amp;"）","")))</x:f>
        <x:v/>
      </x:c>
      <x:c r="I32" s="753" t="str">
        <x:f>IF(AND(D32&lt;&gt;"",'幕间计算'!$AO$3=0),'幕间计算'!$AO$5&amp;"-成长-"&amp;D32,"")</x:f>
        <x:v/>
      </x:c>
      <x:c r="J32" s="747"/>
      <x:c r="K32" s="753" t="str">
        <x:f>IF(D32="","",IF('幕间计算'!AM24&gt;0,"已归档",IF(AND(ISNUMBER(J32),J32&gt;=1,J32&lt;=4,MOD(J32,1)=0),"可归档","待填1D4")))</x:f>
        <x:v/>
      </x:c>
    </x:row>
    <x:row r="33" ht="25" customHeight="1">
      <x:c r="A33" s="753" t="str">
        <x:f>IF(D33="","",'幕间计算'!$AO$5)</x:f>
        <x:v/>
      </x:c>
      <x:c r="B33" s="753" t="str">
        <x:f>IF(D33="","","成长")</x:f>
        <x:v/>
      </x:c>
      <x:c r="C33" s="756" t="str">
        <x:f>IF(D33="","",IF($F$3="","",$F$3))</x:f>
        <x:v/>
      </x:c>
      <x:c r="D33" s="753" t="str">
        <x:f>'幕间计算'!AL25</x:f>
        <x:v/>
      </x:c>
      <x:c r="E33" s="753" t="str">
        <x:f>IF(D33="","",IF('幕间计算'!AM25&gt;0,INDEX($E$107:$E$1106,'幕间计算'!AM25),INDEX('幕间计算'!$C$2:$C$61,'幕间计算'!AK25)))</x:f>
        <x:v/>
      </x:c>
      <x:c r="F33" s="753" t="str">
        <x:f>IF(D33="","",IF('幕间计算'!AM25&gt;0,INDEX($J$107:$J$1106,'幕间计算'!AM25),IF(K33="可归档",MIN(J33,99-E33),"")))</x:f>
        <x:v/>
      </x:c>
      <x:c r="G33" s="753" t="str">
        <x:f>IF(F33="","",E33+F33)</x:f>
        <x:v/>
      </x:c>
      <x:c r="H33" s="753" t="str">
        <x:f>IF(D33="","",IF('幕间计算'!AM25&gt;0,INDEX($H$107:$H$1106,'幕间计算'!AM25),"失败技能成长"&amp;IF(ISNUMBER(J33),"（1D4="&amp;J33&amp;"）","")))</x:f>
        <x:v/>
      </x:c>
      <x:c r="I33" s="753" t="str">
        <x:f>IF(AND(D33&lt;&gt;"",'幕间计算'!$AO$3=0),'幕间计算'!$AO$5&amp;"-成长-"&amp;D33,"")</x:f>
        <x:v/>
      </x:c>
      <x:c r="J33" s="747"/>
      <x:c r="K33" s="753" t="str">
        <x:f>IF(D33="","",IF('幕间计算'!AM25&gt;0,"已归档",IF(AND(ISNUMBER(J33),J33&gt;=1,J33&lt;=4,MOD(J33,1)=0),"可归档","待填1D4")))</x:f>
        <x:v/>
      </x:c>
    </x:row>
    <x:row r="34" ht="25" customHeight="1">
      <x:c r="A34" s="753" t="str">
        <x:f>IF(D34="","",'幕间计算'!$AO$5)</x:f>
        <x:v/>
      </x:c>
      <x:c r="B34" s="753" t="str">
        <x:f>IF(D34="","","成长")</x:f>
        <x:v/>
      </x:c>
      <x:c r="C34" s="756" t="str">
        <x:f>IF(D34="","",IF($F$3="","",$F$3))</x:f>
        <x:v/>
      </x:c>
      <x:c r="D34" s="753" t="str">
        <x:f>'幕间计算'!AL26</x:f>
        <x:v/>
      </x:c>
      <x:c r="E34" s="753" t="str">
        <x:f>IF(D34="","",IF('幕间计算'!AM26&gt;0,INDEX($E$107:$E$1106,'幕间计算'!AM26),INDEX('幕间计算'!$C$2:$C$61,'幕间计算'!AK26)))</x:f>
        <x:v/>
      </x:c>
      <x:c r="F34" s="753" t="str">
        <x:f>IF(D34="","",IF('幕间计算'!AM26&gt;0,INDEX($J$107:$J$1106,'幕间计算'!AM26),IF(K34="可归档",MIN(J34,99-E34),"")))</x:f>
        <x:v/>
      </x:c>
      <x:c r="G34" s="753" t="str">
        <x:f>IF(F34="","",E34+F34)</x:f>
        <x:v/>
      </x:c>
      <x:c r="H34" s="753" t="str">
        <x:f>IF(D34="","",IF('幕间计算'!AM26&gt;0,INDEX($H$107:$H$1106,'幕间计算'!AM26),"失败技能成长"&amp;IF(ISNUMBER(J34),"（1D4="&amp;J34&amp;"）","")))</x:f>
        <x:v/>
      </x:c>
      <x:c r="I34" s="753" t="str">
        <x:f>IF(AND(D34&lt;&gt;"",'幕间计算'!$AO$3=0),'幕间计算'!$AO$5&amp;"-成长-"&amp;D34,"")</x:f>
        <x:v/>
      </x:c>
      <x:c r="J34" s="747"/>
      <x:c r="K34" s="753" t="str">
        <x:f>IF(D34="","",IF('幕间计算'!AM26&gt;0,"已归档",IF(AND(ISNUMBER(J34),J34&gt;=1,J34&lt;=4,MOD(J34,1)=0),"可归档","待填1D4")))</x:f>
        <x:v/>
      </x:c>
    </x:row>
    <x:row r="35" ht="25" customHeight="1">
      <x:c r="A35" s="753" t="str">
        <x:f>IF(D35="","",'幕间计算'!$AO$5)</x:f>
        <x:v/>
      </x:c>
      <x:c r="B35" s="753" t="str">
        <x:f>IF(D35="","","成长")</x:f>
        <x:v/>
      </x:c>
      <x:c r="C35" s="756" t="str">
        <x:f>IF(D35="","",IF($F$3="","",$F$3))</x:f>
        <x:v/>
      </x:c>
      <x:c r="D35" s="753" t="str">
        <x:f>'幕间计算'!AL27</x:f>
        <x:v/>
      </x:c>
      <x:c r="E35" s="753" t="str">
        <x:f>IF(D35="","",IF('幕间计算'!AM27&gt;0,INDEX($E$107:$E$1106,'幕间计算'!AM27),INDEX('幕间计算'!$C$2:$C$61,'幕间计算'!AK27)))</x:f>
        <x:v/>
      </x:c>
      <x:c r="F35" s="753" t="str">
        <x:f>IF(D35="","",IF('幕间计算'!AM27&gt;0,INDEX($J$107:$J$1106,'幕间计算'!AM27),IF(K35="可归档",MIN(J35,99-E35),"")))</x:f>
        <x:v/>
      </x:c>
      <x:c r="G35" s="753" t="str">
        <x:f>IF(F35="","",E35+F35)</x:f>
        <x:v/>
      </x:c>
      <x:c r="H35" s="753" t="str">
        <x:f>IF(D35="","",IF('幕间计算'!AM27&gt;0,INDEX($H$107:$H$1106,'幕间计算'!AM27),"失败技能成长"&amp;IF(ISNUMBER(J35),"（1D4="&amp;J35&amp;"）","")))</x:f>
        <x:v/>
      </x:c>
      <x:c r="I35" s="753" t="str">
        <x:f>IF(AND(D35&lt;&gt;"",'幕间计算'!$AO$3=0),'幕间计算'!$AO$5&amp;"-成长-"&amp;D35,"")</x:f>
        <x:v/>
      </x:c>
      <x:c r="J35" s="747"/>
      <x:c r="K35" s="753" t="str">
        <x:f>IF(D35="","",IF('幕间计算'!AM27&gt;0,"已归档",IF(AND(ISNUMBER(J35),J35&gt;=1,J35&lt;=4,MOD(J35,1)=0),"可归档","待填1D4")))</x:f>
        <x:v/>
      </x:c>
    </x:row>
    <x:row r="36" ht="25" customHeight="1">
      <x:c r="A36" s="753" t="str">
        <x:f>IF(D36="","",'幕间计算'!$AO$5)</x:f>
        <x:v/>
      </x:c>
      <x:c r="B36" s="753" t="str">
        <x:f>IF(D36="","","成长")</x:f>
        <x:v/>
      </x:c>
      <x:c r="C36" s="756" t="str">
        <x:f>IF(D36="","",IF($F$3="","",$F$3))</x:f>
        <x:v/>
      </x:c>
      <x:c r="D36" s="753" t="str">
        <x:f>'幕间计算'!AL28</x:f>
        <x:v/>
      </x:c>
      <x:c r="E36" s="753" t="str">
        <x:f>IF(D36="","",IF('幕间计算'!AM28&gt;0,INDEX($E$107:$E$1106,'幕间计算'!AM28),INDEX('幕间计算'!$C$2:$C$61,'幕间计算'!AK28)))</x:f>
        <x:v/>
      </x:c>
      <x:c r="F36" s="753" t="str">
        <x:f>IF(D36="","",IF('幕间计算'!AM28&gt;0,INDEX($J$107:$J$1106,'幕间计算'!AM28),IF(K36="可归档",MIN(J36,99-E36),"")))</x:f>
        <x:v/>
      </x:c>
      <x:c r="G36" s="753" t="str">
        <x:f>IF(F36="","",E36+F36)</x:f>
        <x:v/>
      </x:c>
      <x:c r="H36" s="753" t="str">
        <x:f>IF(D36="","",IF('幕间计算'!AM28&gt;0,INDEX($H$107:$H$1106,'幕间计算'!AM28),"失败技能成长"&amp;IF(ISNUMBER(J36),"（1D4="&amp;J36&amp;"）","")))</x:f>
        <x:v/>
      </x:c>
      <x:c r="I36" s="753" t="str">
        <x:f>IF(AND(D36&lt;&gt;"",'幕间计算'!$AO$3=0),'幕间计算'!$AO$5&amp;"-成长-"&amp;D36,"")</x:f>
        <x:v/>
      </x:c>
      <x:c r="J36" s="747"/>
      <x:c r="K36" s="753" t="str">
        <x:f>IF(D36="","",IF('幕间计算'!AM28&gt;0,"已归档",IF(AND(ISNUMBER(J36),J36&gt;=1,J36&lt;=4,MOD(J36,1)=0),"可归档","待填1D4")))</x:f>
        <x:v/>
      </x:c>
    </x:row>
    <x:row r="37" ht="25" customHeight="1">
      <x:c r="A37" s="753" t="str">
        <x:f>IF(D37="","",'幕间计算'!$AO$5)</x:f>
        <x:v/>
      </x:c>
      <x:c r="B37" s="753" t="str">
        <x:f>IF(D37="","","成长")</x:f>
        <x:v/>
      </x:c>
      <x:c r="C37" s="756" t="str">
        <x:f>IF(D37="","",IF($F$3="","",$F$3))</x:f>
        <x:v/>
      </x:c>
      <x:c r="D37" s="753" t="str">
        <x:f>'幕间计算'!AL29</x:f>
        <x:v/>
      </x:c>
      <x:c r="E37" s="753" t="str">
        <x:f>IF(D37="","",IF('幕间计算'!AM29&gt;0,INDEX($E$107:$E$1106,'幕间计算'!AM29),INDEX('幕间计算'!$C$2:$C$61,'幕间计算'!AK29)))</x:f>
        <x:v/>
      </x:c>
      <x:c r="F37" s="753" t="str">
        <x:f>IF(D37="","",IF('幕间计算'!AM29&gt;0,INDEX($J$107:$J$1106,'幕间计算'!AM29),IF(K37="可归档",MIN(J37,99-E37),"")))</x:f>
        <x:v/>
      </x:c>
      <x:c r="G37" s="753" t="str">
        <x:f>IF(F37="","",E37+F37)</x:f>
        <x:v/>
      </x:c>
      <x:c r="H37" s="753" t="str">
        <x:f>IF(D37="","",IF('幕间计算'!AM29&gt;0,INDEX($H$107:$H$1106,'幕间计算'!AM29),"失败技能成长"&amp;IF(ISNUMBER(J37),"（1D4="&amp;J37&amp;"）","")))</x:f>
        <x:v/>
      </x:c>
      <x:c r="I37" s="753" t="str">
        <x:f>IF(AND(D37&lt;&gt;"",'幕间计算'!$AO$3=0),'幕间计算'!$AO$5&amp;"-成长-"&amp;D37,"")</x:f>
        <x:v/>
      </x:c>
      <x:c r="J37" s="747"/>
      <x:c r="K37" s="753" t="str">
        <x:f>IF(D37="","",IF('幕间计算'!AM29&gt;0,"已归档",IF(AND(ISNUMBER(J37),J37&gt;=1,J37&lt;=4,MOD(J37,1)=0),"可归档","待填1D4")))</x:f>
        <x:v/>
      </x:c>
    </x:row>
    <x:row r="38" ht="25" customHeight="1">
      <x:c r="A38" s="753" t="str">
        <x:f>IF(D38="","",'幕间计算'!$AO$5)</x:f>
        <x:v/>
      </x:c>
      <x:c r="B38" s="753" t="str">
        <x:f>IF(D38="","","成长")</x:f>
        <x:v/>
      </x:c>
      <x:c r="C38" s="756" t="str">
        <x:f>IF(D38="","",IF($F$3="","",$F$3))</x:f>
        <x:v/>
      </x:c>
      <x:c r="D38" s="753" t="str">
        <x:f>'幕间计算'!AL30</x:f>
        <x:v/>
      </x:c>
      <x:c r="E38" s="753" t="str">
        <x:f>IF(D38="","",IF('幕间计算'!AM30&gt;0,INDEX($E$107:$E$1106,'幕间计算'!AM30),INDEX('幕间计算'!$C$2:$C$61,'幕间计算'!AK30)))</x:f>
        <x:v/>
      </x:c>
      <x:c r="F38" s="753" t="str">
        <x:f>IF(D38="","",IF('幕间计算'!AM30&gt;0,INDEX($J$107:$J$1106,'幕间计算'!AM30),IF(K38="可归档",MIN(J38,99-E38),"")))</x:f>
        <x:v/>
      </x:c>
      <x:c r="G38" s="753" t="str">
        <x:f>IF(F38="","",E38+F38)</x:f>
        <x:v/>
      </x:c>
      <x:c r="H38" s="753" t="str">
        <x:f>IF(D38="","",IF('幕间计算'!AM30&gt;0,INDEX($H$107:$H$1106,'幕间计算'!AM30),"失败技能成长"&amp;IF(ISNUMBER(J38),"（1D4="&amp;J38&amp;"）","")))</x:f>
        <x:v/>
      </x:c>
      <x:c r="I38" s="753" t="str">
        <x:f>IF(AND(D38&lt;&gt;"",'幕间计算'!$AO$3=0),'幕间计算'!$AO$5&amp;"-成长-"&amp;D38,"")</x:f>
        <x:v/>
      </x:c>
      <x:c r="J38" s="747"/>
      <x:c r="K38" s="753" t="str">
        <x:f>IF(D38="","",IF('幕间计算'!AM30&gt;0,"已归档",IF(AND(ISNUMBER(J38),J38&gt;=1,J38&lt;=4,MOD(J38,1)=0),"可归档","待填1D4")))</x:f>
        <x:v/>
      </x:c>
    </x:row>
    <x:row r="39" ht="25" customHeight="1">
      <x:c r="A39" s="753" t="str">
        <x:f>IF(D39="","",'幕间计算'!$AO$5)</x:f>
        <x:v/>
      </x:c>
      <x:c r="B39" s="753" t="str">
        <x:f>IF(D39="","","成长")</x:f>
        <x:v/>
      </x:c>
      <x:c r="C39" s="756" t="str">
        <x:f>IF(D39="","",IF($F$3="","",$F$3))</x:f>
        <x:v/>
      </x:c>
      <x:c r="D39" s="753" t="str">
        <x:f>'幕间计算'!AL31</x:f>
        <x:v/>
      </x:c>
      <x:c r="E39" s="753" t="str">
        <x:f>IF(D39="","",IF('幕间计算'!AM31&gt;0,INDEX($E$107:$E$1106,'幕间计算'!AM31),INDEX('幕间计算'!$C$2:$C$61,'幕间计算'!AK31)))</x:f>
        <x:v/>
      </x:c>
      <x:c r="F39" s="753" t="str">
        <x:f>IF(D39="","",IF('幕间计算'!AM31&gt;0,INDEX($J$107:$J$1106,'幕间计算'!AM31),IF(K39="可归档",MIN(J39,99-E39),"")))</x:f>
        <x:v/>
      </x:c>
      <x:c r="G39" s="753" t="str">
        <x:f>IF(F39="","",E39+F39)</x:f>
        <x:v/>
      </x:c>
      <x:c r="H39" s="753" t="str">
        <x:f>IF(D39="","",IF('幕间计算'!AM31&gt;0,INDEX($H$107:$H$1106,'幕间计算'!AM31),"失败技能成长"&amp;IF(ISNUMBER(J39),"（1D4="&amp;J39&amp;"）","")))</x:f>
        <x:v/>
      </x:c>
      <x:c r="I39" s="753" t="str">
        <x:f>IF(AND(D39&lt;&gt;"",'幕间计算'!$AO$3=0),'幕间计算'!$AO$5&amp;"-成长-"&amp;D39,"")</x:f>
        <x:v/>
      </x:c>
      <x:c r="J39" s="747"/>
      <x:c r="K39" s="753" t="str">
        <x:f>IF(D39="","",IF('幕间计算'!AM31&gt;0,"已归档",IF(AND(ISNUMBER(J39),J39&gt;=1,J39&lt;=4,MOD(J39,1)=0),"可归档","待填1D4")))</x:f>
        <x:v/>
      </x:c>
    </x:row>
    <x:row r="40" ht="25" customHeight="1">
      <x:c r="A40" s="753" t="str">
        <x:f>IF(D40="","",'幕间计算'!$AO$5)</x:f>
        <x:v/>
      </x:c>
      <x:c r="B40" s="753" t="str">
        <x:f>IF(D40="","","成长")</x:f>
        <x:v/>
      </x:c>
      <x:c r="C40" s="756" t="str">
        <x:f>IF(D40="","",IF($F$3="","",$F$3))</x:f>
        <x:v/>
      </x:c>
      <x:c r="D40" s="753" t="str">
        <x:f>'幕间计算'!AL32</x:f>
        <x:v/>
      </x:c>
      <x:c r="E40" s="753" t="str">
        <x:f>IF(D40="","",IF('幕间计算'!AM32&gt;0,INDEX($E$107:$E$1106,'幕间计算'!AM32),INDEX('幕间计算'!$C$2:$C$61,'幕间计算'!AK32)))</x:f>
        <x:v/>
      </x:c>
      <x:c r="F40" s="753" t="str">
        <x:f>IF(D40="","",IF('幕间计算'!AM32&gt;0,INDEX($J$107:$J$1106,'幕间计算'!AM32),IF(K40="可归档",MIN(J40,99-E40),"")))</x:f>
        <x:v/>
      </x:c>
      <x:c r="G40" s="753" t="str">
        <x:f>IF(F40="","",E40+F40)</x:f>
        <x:v/>
      </x:c>
      <x:c r="H40" s="753" t="str">
        <x:f>IF(D40="","",IF('幕间计算'!AM32&gt;0,INDEX($H$107:$H$1106,'幕间计算'!AM32),"失败技能成长"&amp;IF(ISNUMBER(J40),"（1D4="&amp;J40&amp;"）","")))</x:f>
        <x:v/>
      </x:c>
      <x:c r="I40" s="753" t="str">
        <x:f>IF(AND(D40&lt;&gt;"",'幕间计算'!$AO$3=0),'幕间计算'!$AO$5&amp;"-成长-"&amp;D40,"")</x:f>
        <x:v/>
      </x:c>
      <x:c r="J40" s="747"/>
      <x:c r="K40" s="753" t="str">
        <x:f>IF(D40="","",IF('幕间计算'!AM32&gt;0,"已归档",IF(AND(ISNUMBER(J40),J40&gt;=1,J40&lt;=4,MOD(J40,1)=0),"可归档","待填1D4")))</x:f>
        <x:v/>
      </x:c>
    </x:row>
    <x:row r="41" ht="25" customHeight="1">
      <x:c r="A41" s="753" t="str">
        <x:f>IF(D41="","",'幕间计算'!$AO$5)</x:f>
        <x:v/>
      </x:c>
      <x:c r="B41" s="753" t="str">
        <x:f>IF(D41="","","成长")</x:f>
        <x:v/>
      </x:c>
      <x:c r="C41" s="756" t="str">
        <x:f>IF(D41="","",IF($F$3="","",$F$3))</x:f>
        <x:v/>
      </x:c>
      <x:c r="D41" s="753" t="str">
        <x:f>'幕间计算'!AL33</x:f>
        <x:v/>
      </x:c>
      <x:c r="E41" s="753" t="str">
        <x:f>IF(D41="","",IF('幕间计算'!AM33&gt;0,INDEX($E$107:$E$1106,'幕间计算'!AM33),INDEX('幕间计算'!$C$2:$C$61,'幕间计算'!AK33)))</x:f>
        <x:v/>
      </x:c>
      <x:c r="F41" s="753" t="str">
        <x:f>IF(D41="","",IF('幕间计算'!AM33&gt;0,INDEX($J$107:$J$1106,'幕间计算'!AM33),IF(K41="可归档",MIN(J41,99-E41),"")))</x:f>
        <x:v/>
      </x:c>
      <x:c r="G41" s="753" t="str">
        <x:f>IF(F41="","",E41+F41)</x:f>
        <x:v/>
      </x:c>
      <x:c r="H41" s="753" t="str">
        <x:f>IF(D41="","",IF('幕间计算'!AM33&gt;0,INDEX($H$107:$H$1106,'幕间计算'!AM33),"失败技能成长"&amp;IF(ISNUMBER(J41),"（1D4="&amp;J41&amp;"）","")))</x:f>
        <x:v/>
      </x:c>
      <x:c r="I41" s="753" t="str">
        <x:f>IF(AND(D41&lt;&gt;"",'幕间计算'!$AO$3=0),'幕间计算'!$AO$5&amp;"-成长-"&amp;D41,"")</x:f>
        <x:v/>
      </x:c>
      <x:c r="J41" s="747"/>
      <x:c r="K41" s="753" t="str">
        <x:f>IF(D41="","",IF('幕间计算'!AM33&gt;0,"已归档",IF(AND(ISNUMBER(J41),J41&gt;=1,J41&lt;=4,MOD(J41,1)=0),"可归档","待填1D4")))</x:f>
        <x:v/>
      </x:c>
    </x:row>
    <x:row r="42" ht="25" customHeight="1">
      <x:c r="A42" s="753" t="str">
        <x:f>IF(D42="","",'幕间计算'!$AO$5)</x:f>
        <x:v/>
      </x:c>
      <x:c r="B42" s="753" t="str">
        <x:f>IF(D42="","","成长")</x:f>
        <x:v/>
      </x:c>
      <x:c r="C42" s="756" t="str">
        <x:f>IF(D42="","",IF($F$3="","",$F$3))</x:f>
        <x:v/>
      </x:c>
      <x:c r="D42" s="753" t="str">
        <x:f>'幕间计算'!AL34</x:f>
        <x:v/>
      </x:c>
      <x:c r="E42" s="753" t="str">
        <x:f>IF(D42="","",IF('幕间计算'!AM34&gt;0,INDEX($E$107:$E$1106,'幕间计算'!AM34),INDEX('幕间计算'!$C$2:$C$61,'幕间计算'!AK34)))</x:f>
        <x:v/>
      </x:c>
      <x:c r="F42" s="753" t="str">
        <x:f>IF(D42="","",IF('幕间计算'!AM34&gt;0,INDEX($J$107:$J$1106,'幕间计算'!AM34),IF(K42="可归档",MIN(J42,99-E42),"")))</x:f>
        <x:v/>
      </x:c>
      <x:c r="G42" s="753" t="str">
        <x:f>IF(F42="","",E42+F42)</x:f>
        <x:v/>
      </x:c>
      <x:c r="H42" s="753" t="str">
        <x:f>IF(D42="","",IF('幕间计算'!AM34&gt;0,INDEX($H$107:$H$1106,'幕间计算'!AM34),"失败技能成长"&amp;IF(ISNUMBER(J42),"（1D4="&amp;J42&amp;"）","")))</x:f>
        <x:v/>
      </x:c>
      <x:c r="I42" s="753" t="str">
        <x:f>IF(AND(D42&lt;&gt;"",'幕间计算'!$AO$3=0),'幕间计算'!$AO$5&amp;"-成长-"&amp;D42,"")</x:f>
        <x:v/>
      </x:c>
      <x:c r="J42" s="747"/>
      <x:c r="K42" s="753" t="str">
        <x:f>IF(D42="","",IF('幕间计算'!AM34&gt;0,"已归档",IF(AND(ISNUMBER(J42),J42&gt;=1,J42&lt;=4,MOD(J42,1)=0),"可归档","待填1D4")))</x:f>
        <x:v/>
      </x:c>
    </x:row>
    <x:row r="43" ht="25" customHeight="1">
      <x:c r="A43" s="753" t="str">
        <x:f>IF(D43="","",'幕间计算'!$AO$5)</x:f>
        <x:v/>
      </x:c>
      <x:c r="B43" s="753" t="str">
        <x:f>IF(D43="","","成长")</x:f>
        <x:v/>
      </x:c>
      <x:c r="C43" s="756" t="str">
        <x:f>IF(D43="","",IF($F$3="","",$F$3))</x:f>
        <x:v/>
      </x:c>
      <x:c r="D43" s="753" t="str">
        <x:f>'幕间计算'!AL35</x:f>
        <x:v/>
      </x:c>
      <x:c r="E43" s="753" t="str">
        <x:f>IF(D43="","",IF('幕间计算'!AM35&gt;0,INDEX($E$107:$E$1106,'幕间计算'!AM35),INDEX('幕间计算'!$C$2:$C$61,'幕间计算'!AK35)))</x:f>
        <x:v/>
      </x:c>
      <x:c r="F43" s="753" t="str">
        <x:f>IF(D43="","",IF('幕间计算'!AM35&gt;0,INDEX($J$107:$J$1106,'幕间计算'!AM35),IF(K43="可归档",MIN(J43,99-E43),"")))</x:f>
        <x:v/>
      </x:c>
      <x:c r="G43" s="753" t="str">
        <x:f>IF(F43="","",E43+F43)</x:f>
        <x:v/>
      </x:c>
      <x:c r="H43" s="753" t="str">
        <x:f>IF(D43="","",IF('幕间计算'!AM35&gt;0,INDEX($H$107:$H$1106,'幕间计算'!AM35),"失败技能成长"&amp;IF(ISNUMBER(J43),"（1D4="&amp;J43&amp;"）","")))</x:f>
        <x:v/>
      </x:c>
      <x:c r="I43" s="753" t="str">
        <x:f>IF(AND(D43&lt;&gt;"",'幕间计算'!$AO$3=0),'幕间计算'!$AO$5&amp;"-成长-"&amp;D43,"")</x:f>
        <x:v/>
      </x:c>
      <x:c r="J43" s="747"/>
      <x:c r="K43" s="753" t="str">
        <x:f>IF(D43="","",IF('幕间计算'!AM35&gt;0,"已归档",IF(AND(ISNUMBER(J43),J43&gt;=1,J43&lt;=4,MOD(J43,1)=0),"可归档","待填1D4")))</x:f>
        <x:v/>
      </x:c>
    </x:row>
    <x:row r="44" ht="25" customHeight="1">
      <x:c r="A44" s="753" t="str">
        <x:f>IF(D44="","",'幕间计算'!$AO$5)</x:f>
        <x:v/>
      </x:c>
      <x:c r="B44" s="753" t="str">
        <x:f>IF(D44="","","成长")</x:f>
        <x:v/>
      </x:c>
      <x:c r="C44" s="756" t="str">
        <x:f>IF(D44="","",IF($F$3="","",$F$3))</x:f>
        <x:v/>
      </x:c>
      <x:c r="D44" s="753" t="str">
        <x:f>'幕间计算'!AL36</x:f>
        <x:v/>
      </x:c>
      <x:c r="E44" s="753" t="str">
        <x:f>IF(D44="","",IF('幕间计算'!AM36&gt;0,INDEX($E$107:$E$1106,'幕间计算'!AM36),INDEX('幕间计算'!$C$2:$C$61,'幕间计算'!AK36)))</x:f>
        <x:v/>
      </x:c>
      <x:c r="F44" s="753" t="str">
        <x:f>IF(D44="","",IF('幕间计算'!AM36&gt;0,INDEX($J$107:$J$1106,'幕间计算'!AM36),IF(K44="可归档",MIN(J44,99-E44),"")))</x:f>
        <x:v/>
      </x:c>
      <x:c r="G44" s="753" t="str">
        <x:f>IF(F44="","",E44+F44)</x:f>
        <x:v/>
      </x:c>
      <x:c r="H44" s="753" t="str">
        <x:f>IF(D44="","",IF('幕间计算'!AM36&gt;0,INDEX($H$107:$H$1106,'幕间计算'!AM36),"失败技能成长"&amp;IF(ISNUMBER(J44),"（1D4="&amp;J44&amp;"）","")))</x:f>
        <x:v/>
      </x:c>
      <x:c r="I44" s="753" t="str">
        <x:f>IF(AND(D44&lt;&gt;"",'幕间计算'!$AO$3=0),'幕间计算'!$AO$5&amp;"-成长-"&amp;D44,"")</x:f>
        <x:v/>
      </x:c>
      <x:c r="J44" s="747"/>
      <x:c r="K44" s="753" t="str">
        <x:f>IF(D44="","",IF('幕间计算'!AM36&gt;0,"已归档",IF(AND(ISNUMBER(J44),J44&gt;=1,J44&lt;=4,MOD(J44,1)=0),"可归档","待填1D4")))</x:f>
        <x:v/>
      </x:c>
    </x:row>
    <x:row r="45" ht="25" customHeight="1">
      <x:c r="A45" s="753" t="str">
        <x:f>IF(D45="","",'幕间计算'!$AO$5)</x:f>
        <x:v/>
      </x:c>
      <x:c r="B45" s="753" t="str">
        <x:f>IF(D45="","","成长")</x:f>
        <x:v/>
      </x:c>
      <x:c r="C45" s="756" t="str">
        <x:f>IF(D45="","",IF($F$3="","",$F$3))</x:f>
        <x:v/>
      </x:c>
      <x:c r="D45" s="753" t="str">
        <x:f>'幕间计算'!AL37</x:f>
        <x:v/>
      </x:c>
      <x:c r="E45" s="753" t="str">
        <x:f>IF(D45="","",IF('幕间计算'!AM37&gt;0,INDEX($E$107:$E$1106,'幕间计算'!AM37),INDEX('幕间计算'!$C$2:$C$61,'幕间计算'!AK37)))</x:f>
        <x:v/>
      </x:c>
      <x:c r="F45" s="753" t="str">
        <x:f>IF(D45="","",IF('幕间计算'!AM37&gt;0,INDEX($J$107:$J$1106,'幕间计算'!AM37),IF(K45="可归档",MIN(J45,99-E45),"")))</x:f>
        <x:v/>
      </x:c>
      <x:c r="G45" s="753" t="str">
        <x:f>IF(F45="","",E45+F45)</x:f>
        <x:v/>
      </x:c>
      <x:c r="H45" s="753" t="str">
        <x:f>IF(D45="","",IF('幕间计算'!AM37&gt;0,INDEX($H$107:$H$1106,'幕间计算'!AM37),"失败技能成长"&amp;IF(ISNUMBER(J45),"（1D4="&amp;J45&amp;"）","")))</x:f>
        <x:v/>
      </x:c>
      <x:c r="I45" s="753" t="str">
        <x:f>IF(AND(D45&lt;&gt;"",'幕间计算'!$AO$3=0),'幕间计算'!$AO$5&amp;"-成长-"&amp;D45,"")</x:f>
        <x:v/>
      </x:c>
      <x:c r="J45" s="747"/>
      <x:c r="K45" s="753" t="str">
        <x:f>IF(D45="","",IF('幕间计算'!AM37&gt;0,"已归档",IF(AND(ISNUMBER(J45),J45&gt;=1,J45&lt;=4,MOD(J45,1)=0),"可归档","待填1D4")))</x:f>
        <x:v/>
      </x:c>
    </x:row>
    <x:row r="46" ht="25" customHeight="1">
      <x:c r="A46" s="753" t="str">
        <x:f>IF(D46="","",'幕间计算'!$AO$5)</x:f>
        <x:v/>
      </x:c>
      <x:c r="B46" s="753" t="str">
        <x:f>IF(D46="","","成长")</x:f>
        <x:v/>
      </x:c>
      <x:c r="C46" s="756" t="str">
        <x:f>IF(D46="","",IF($F$3="","",$F$3))</x:f>
        <x:v/>
      </x:c>
      <x:c r="D46" s="753" t="str">
        <x:f>'幕间计算'!AL38</x:f>
        <x:v/>
      </x:c>
      <x:c r="E46" s="753" t="str">
        <x:f>IF(D46="","",IF('幕间计算'!AM38&gt;0,INDEX($E$107:$E$1106,'幕间计算'!AM38),INDEX('幕间计算'!$C$2:$C$61,'幕间计算'!AK38)))</x:f>
        <x:v/>
      </x:c>
      <x:c r="F46" s="753" t="str">
        <x:f>IF(D46="","",IF('幕间计算'!AM38&gt;0,INDEX($J$107:$J$1106,'幕间计算'!AM38),IF(K46="可归档",MIN(J46,99-E46),"")))</x:f>
        <x:v/>
      </x:c>
      <x:c r="G46" s="753" t="str">
        <x:f>IF(F46="","",E46+F46)</x:f>
        <x:v/>
      </x:c>
      <x:c r="H46" s="753" t="str">
        <x:f>IF(D46="","",IF('幕间计算'!AM38&gt;0,INDEX($H$107:$H$1106,'幕间计算'!AM38),"失败技能成长"&amp;IF(ISNUMBER(J46),"（1D4="&amp;J46&amp;"）","")))</x:f>
        <x:v/>
      </x:c>
      <x:c r="I46" s="753" t="str">
        <x:f>IF(AND(D46&lt;&gt;"",'幕间计算'!$AO$3=0),'幕间计算'!$AO$5&amp;"-成长-"&amp;D46,"")</x:f>
        <x:v/>
      </x:c>
      <x:c r="J46" s="747"/>
      <x:c r="K46" s="753" t="str">
        <x:f>IF(D46="","",IF('幕间计算'!AM38&gt;0,"已归档",IF(AND(ISNUMBER(J46),J46&gt;=1,J46&lt;=4,MOD(J46,1)=0),"可归档","待填1D4")))</x:f>
        <x:v/>
      </x:c>
    </x:row>
    <x:row r="47" ht="25" customHeight="1">
      <x:c r="A47" s="753" t="str">
        <x:f>IF(D47="","",'幕间计算'!$AO$5)</x:f>
        <x:v/>
      </x:c>
      <x:c r="B47" s="753" t="str">
        <x:f>IF(D47="","","成长")</x:f>
        <x:v/>
      </x:c>
      <x:c r="C47" s="756" t="str">
        <x:f>IF(D47="","",IF($F$3="","",$F$3))</x:f>
        <x:v/>
      </x:c>
      <x:c r="D47" s="753" t="str">
        <x:f>'幕间计算'!AL39</x:f>
        <x:v/>
      </x:c>
      <x:c r="E47" s="753" t="str">
        <x:f>IF(D47="","",IF('幕间计算'!AM39&gt;0,INDEX($E$107:$E$1106,'幕间计算'!AM39),INDEX('幕间计算'!$C$2:$C$61,'幕间计算'!AK39)))</x:f>
        <x:v/>
      </x:c>
      <x:c r="F47" s="753" t="str">
        <x:f>IF(D47="","",IF('幕间计算'!AM39&gt;0,INDEX($J$107:$J$1106,'幕间计算'!AM39),IF(K47="可归档",MIN(J47,99-E47),"")))</x:f>
        <x:v/>
      </x:c>
      <x:c r="G47" s="753" t="str">
        <x:f>IF(F47="","",E47+F47)</x:f>
        <x:v/>
      </x:c>
      <x:c r="H47" s="753" t="str">
        <x:f>IF(D47="","",IF('幕间计算'!AM39&gt;0,INDEX($H$107:$H$1106,'幕间计算'!AM39),"失败技能成长"&amp;IF(ISNUMBER(J47),"（1D4="&amp;J47&amp;"）","")))</x:f>
        <x:v/>
      </x:c>
      <x:c r="I47" s="753" t="str">
        <x:f>IF(AND(D47&lt;&gt;"",'幕间计算'!$AO$3=0),'幕间计算'!$AO$5&amp;"-成长-"&amp;D47,"")</x:f>
        <x:v/>
      </x:c>
      <x:c r="J47" s="747"/>
      <x:c r="K47" s="753" t="str">
        <x:f>IF(D47="","",IF('幕间计算'!AM39&gt;0,"已归档",IF(AND(ISNUMBER(J47),J47&gt;=1,J47&lt;=4,MOD(J47,1)=0),"可归档","待填1D4")))</x:f>
        <x:v/>
      </x:c>
    </x:row>
    <x:row r="48" ht="25" customHeight="1">
      <x:c r="A48" s="753" t="str">
        <x:f>IF(D48="","",'幕间计算'!$AO$5)</x:f>
        <x:v/>
      </x:c>
      <x:c r="B48" s="753" t="str">
        <x:f>IF(D48="","","成长")</x:f>
        <x:v/>
      </x:c>
      <x:c r="C48" s="756" t="str">
        <x:f>IF(D48="","",IF($F$3="","",$F$3))</x:f>
        <x:v/>
      </x:c>
      <x:c r="D48" s="753" t="str">
        <x:f>'幕间计算'!AL40</x:f>
        <x:v/>
      </x:c>
      <x:c r="E48" s="753" t="str">
        <x:f>IF(D48="","",IF('幕间计算'!AM40&gt;0,INDEX($E$107:$E$1106,'幕间计算'!AM40),INDEX('幕间计算'!$C$2:$C$61,'幕间计算'!AK40)))</x:f>
        <x:v/>
      </x:c>
      <x:c r="F48" s="753" t="str">
        <x:f>IF(D48="","",IF('幕间计算'!AM40&gt;0,INDEX($J$107:$J$1106,'幕间计算'!AM40),IF(K48="可归档",MIN(J48,99-E48),"")))</x:f>
        <x:v/>
      </x:c>
      <x:c r="G48" s="753" t="str">
        <x:f>IF(F48="","",E48+F48)</x:f>
        <x:v/>
      </x:c>
      <x:c r="H48" s="753" t="str">
        <x:f>IF(D48="","",IF('幕间计算'!AM40&gt;0,INDEX($H$107:$H$1106,'幕间计算'!AM40),"失败技能成长"&amp;IF(ISNUMBER(J48),"（1D4="&amp;J48&amp;"）","")))</x:f>
        <x:v/>
      </x:c>
      <x:c r="I48" s="753" t="str">
        <x:f>IF(AND(D48&lt;&gt;"",'幕间计算'!$AO$3=0),'幕间计算'!$AO$5&amp;"-成长-"&amp;D48,"")</x:f>
        <x:v/>
      </x:c>
      <x:c r="J48" s="747"/>
      <x:c r="K48" s="753" t="str">
        <x:f>IF(D48="","",IF('幕间计算'!AM40&gt;0,"已归档",IF(AND(ISNUMBER(J48),J48&gt;=1,J48&lt;=4,MOD(J48,1)=0),"可归档","待填1D4")))</x:f>
        <x:v/>
      </x:c>
    </x:row>
    <x:row r="49" ht="25" customHeight="1">
      <x:c r="A49" s="753" t="str">
        <x:f>IF(D49="","",'幕间计算'!$AO$5)</x:f>
        <x:v/>
      </x:c>
      <x:c r="B49" s="753" t="str">
        <x:f>IF(D49="","","成长")</x:f>
        <x:v/>
      </x:c>
      <x:c r="C49" s="756" t="str">
        <x:f>IF(D49="","",IF($F$3="","",$F$3))</x:f>
        <x:v/>
      </x:c>
      <x:c r="D49" s="753" t="str">
        <x:f>'幕间计算'!AL41</x:f>
        <x:v/>
      </x:c>
      <x:c r="E49" s="753" t="str">
        <x:f>IF(D49="","",IF('幕间计算'!AM41&gt;0,INDEX($E$107:$E$1106,'幕间计算'!AM41),INDEX('幕间计算'!$C$2:$C$61,'幕间计算'!AK41)))</x:f>
        <x:v/>
      </x:c>
      <x:c r="F49" s="753" t="str">
        <x:f>IF(D49="","",IF('幕间计算'!AM41&gt;0,INDEX($J$107:$J$1106,'幕间计算'!AM41),IF(K49="可归档",MIN(J49,99-E49),"")))</x:f>
        <x:v/>
      </x:c>
      <x:c r="G49" s="753" t="str">
        <x:f>IF(F49="","",E49+F49)</x:f>
        <x:v/>
      </x:c>
      <x:c r="H49" s="753" t="str">
        <x:f>IF(D49="","",IF('幕间计算'!AM41&gt;0,INDEX($H$107:$H$1106,'幕间计算'!AM41),"失败技能成长"&amp;IF(ISNUMBER(J49),"（1D4="&amp;J49&amp;"）","")))</x:f>
        <x:v/>
      </x:c>
      <x:c r="I49" s="753" t="str">
        <x:f>IF(AND(D49&lt;&gt;"",'幕间计算'!$AO$3=0),'幕间计算'!$AO$5&amp;"-成长-"&amp;D49,"")</x:f>
        <x:v/>
      </x:c>
      <x:c r="J49" s="747"/>
      <x:c r="K49" s="753" t="str">
        <x:f>IF(D49="","",IF('幕间计算'!AM41&gt;0,"已归档",IF(AND(ISNUMBER(J49),J49&gt;=1,J49&lt;=4,MOD(J49,1)=0),"可归档","待填1D4")))</x:f>
        <x:v/>
      </x:c>
    </x:row>
    <x:row r="50" ht="25" customHeight="1">
      <x:c r="A50" s="753" t="str">
        <x:f>IF(D50="","",'幕间计算'!$AO$5)</x:f>
        <x:v/>
      </x:c>
      <x:c r="B50" s="753" t="str">
        <x:f>IF(D50="","","成长")</x:f>
        <x:v/>
      </x:c>
      <x:c r="C50" s="756" t="str">
        <x:f>IF(D50="","",IF($F$3="","",$F$3))</x:f>
        <x:v/>
      </x:c>
      <x:c r="D50" s="753" t="str">
        <x:f>'幕间计算'!AL42</x:f>
        <x:v/>
      </x:c>
      <x:c r="E50" s="753" t="str">
        <x:f>IF(D50="","",IF('幕间计算'!AM42&gt;0,INDEX($E$107:$E$1106,'幕间计算'!AM42),INDEX('幕间计算'!$C$2:$C$61,'幕间计算'!AK42)))</x:f>
        <x:v/>
      </x:c>
      <x:c r="F50" s="753" t="str">
        <x:f>IF(D50="","",IF('幕间计算'!AM42&gt;0,INDEX($J$107:$J$1106,'幕间计算'!AM42),IF(K50="可归档",MIN(J50,99-E50),"")))</x:f>
        <x:v/>
      </x:c>
      <x:c r="G50" s="753" t="str">
        <x:f>IF(F50="","",E50+F50)</x:f>
        <x:v/>
      </x:c>
      <x:c r="H50" s="753" t="str">
        <x:f>IF(D50="","",IF('幕间计算'!AM42&gt;0,INDEX($H$107:$H$1106,'幕间计算'!AM42),"失败技能成长"&amp;IF(ISNUMBER(J50),"（1D4="&amp;J50&amp;"）","")))</x:f>
        <x:v/>
      </x:c>
      <x:c r="I50" s="753" t="str">
        <x:f>IF(AND(D50&lt;&gt;"",'幕间计算'!$AO$3=0),'幕间计算'!$AO$5&amp;"-成长-"&amp;D50,"")</x:f>
        <x:v/>
      </x:c>
      <x:c r="J50" s="747"/>
      <x:c r="K50" s="753" t="str">
        <x:f>IF(D50="","",IF('幕间计算'!AM42&gt;0,"已归档",IF(AND(ISNUMBER(J50),J50&gt;=1,J50&lt;=4,MOD(J50,1)=0),"可归档","待填1D4")))</x:f>
        <x:v/>
      </x:c>
    </x:row>
    <x:row r="51" ht="25" customHeight="1">
      <x:c r="A51" s="753" t="str">
        <x:f>IF(D51="","",'幕间计算'!$AO$5)</x:f>
        <x:v/>
      </x:c>
      <x:c r="B51" s="753" t="str">
        <x:f>IF(D51="","","成长")</x:f>
        <x:v/>
      </x:c>
      <x:c r="C51" s="756" t="str">
        <x:f>IF(D51="","",IF($F$3="","",$F$3))</x:f>
        <x:v/>
      </x:c>
      <x:c r="D51" s="753" t="str">
        <x:f>'幕间计算'!AL43</x:f>
        <x:v/>
      </x:c>
      <x:c r="E51" s="753" t="str">
        <x:f>IF(D51="","",IF('幕间计算'!AM43&gt;0,INDEX($E$107:$E$1106,'幕间计算'!AM43),INDEX('幕间计算'!$C$2:$C$61,'幕间计算'!AK43)))</x:f>
        <x:v/>
      </x:c>
      <x:c r="F51" s="753" t="str">
        <x:f>IF(D51="","",IF('幕间计算'!AM43&gt;0,INDEX($J$107:$J$1106,'幕间计算'!AM43),IF(K51="可归档",MIN(J51,99-E51),"")))</x:f>
        <x:v/>
      </x:c>
      <x:c r="G51" s="753" t="str">
        <x:f>IF(F51="","",E51+F51)</x:f>
        <x:v/>
      </x:c>
      <x:c r="H51" s="753" t="str">
        <x:f>IF(D51="","",IF('幕间计算'!AM43&gt;0,INDEX($H$107:$H$1106,'幕间计算'!AM43),"失败技能成长"&amp;IF(ISNUMBER(J51),"（1D4="&amp;J51&amp;"）","")))</x:f>
        <x:v/>
      </x:c>
      <x:c r="I51" s="753" t="str">
        <x:f>IF(AND(D51&lt;&gt;"",'幕间计算'!$AO$3=0),'幕间计算'!$AO$5&amp;"-成长-"&amp;D51,"")</x:f>
        <x:v/>
      </x:c>
      <x:c r="J51" s="747"/>
      <x:c r="K51" s="753" t="str">
        <x:f>IF(D51="","",IF('幕间计算'!AM43&gt;0,"已归档",IF(AND(ISNUMBER(J51),J51&gt;=1,J51&lt;=4,MOD(J51,1)=0),"可归档","待填1D4")))</x:f>
        <x:v/>
      </x:c>
    </x:row>
    <x:row r="52" ht="25" customHeight="1">
      <x:c r="A52" s="753" t="str">
        <x:f>IF(D52="","",'幕间计算'!$AO$5)</x:f>
        <x:v/>
      </x:c>
      <x:c r="B52" s="753" t="str">
        <x:f>IF(D52="","","成长")</x:f>
        <x:v/>
      </x:c>
      <x:c r="C52" s="756" t="str">
        <x:f>IF(D52="","",IF($F$3="","",$F$3))</x:f>
        <x:v/>
      </x:c>
      <x:c r="D52" s="753" t="str">
        <x:f>'幕间计算'!AL44</x:f>
        <x:v/>
      </x:c>
      <x:c r="E52" s="753" t="str">
        <x:f>IF(D52="","",IF('幕间计算'!AM44&gt;0,INDEX($E$107:$E$1106,'幕间计算'!AM44),INDEX('幕间计算'!$C$2:$C$61,'幕间计算'!AK44)))</x:f>
        <x:v/>
      </x:c>
      <x:c r="F52" s="753" t="str">
        <x:f>IF(D52="","",IF('幕间计算'!AM44&gt;0,INDEX($J$107:$J$1106,'幕间计算'!AM44),IF(K52="可归档",MIN(J52,99-E52),"")))</x:f>
        <x:v/>
      </x:c>
      <x:c r="G52" s="753" t="str">
        <x:f>IF(F52="","",E52+F52)</x:f>
        <x:v/>
      </x:c>
      <x:c r="H52" s="753" t="str">
        <x:f>IF(D52="","",IF('幕间计算'!AM44&gt;0,INDEX($H$107:$H$1106,'幕间计算'!AM44),"失败技能成长"&amp;IF(ISNUMBER(J52),"（1D4="&amp;J52&amp;"）","")))</x:f>
        <x:v/>
      </x:c>
      <x:c r="I52" s="753" t="str">
        <x:f>IF(AND(D52&lt;&gt;"",'幕间计算'!$AO$3=0),'幕间计算'!$AO$5&amp;"-成长-"&amp;D52,"")</x:f>
        <x:v/>
      </x:c>
      <x:c r="J52" s="747"/>
      <x:c r="K52" s="753" t="str">
        <x:f>IF(D52="","",IF('幕间计算'!AM44&gt;0,"已归档",IF(AND(ISNUMBER(J52),J52&gt;=1,J52&lt;=4,MOD(J52,1)=0),"可归档","待填1D4")))</x:f>
        <x:v/>
      </x:c>
    </x:row>
    <x:row r="53" ht="25" customHeight="1">
      <x:c r="A53" s="753" t="str">
        <x:f>IF(D53="","",'幕间计算'!$AO$5)</x:f>
        <x:v/>
      </x:c>
      <x:c r="B53" s="753" t="str">
        <x:f>IF(D53="","","成长")</x:f>
        <x:v/>
      </x:c>
      <x:c r="C53" s="756" t="str">
        <x:f>IF(D53="","",IF($F$3="","",$F$3))</x:f>
        <x:v/>
      </x:c>
      <x:c r="D53" s="753" t="str">
        <x:f>'幕间计算'!AL45</x:f>
        <x:v/>
      </x:c>
      <x:c r="E53" s="753" t="str">
        <x:f>IF(D53="","",IF('幕间计算'!AM45&gt;0,INDEX($E$107:$E$1106,'幕间计算'!AM45),INDEX('幕间计算'!$C$2:$C$61,'幕间计算'!AK45)))</x:f>
        <x:v/>
      </x:c>
      <x:c r="F53" s="753" t="str">
        <x:f>IF(D53="","",IF('幕间计算'!AM45&gt;0,INDEX($J$107:$J$1106,'幕间计算'!AM45),IF(K53="可归档",MIN(J53,99-E53),"")))</x:f>
        <x:v/>
      </x:c>
      <x:c r="G53" s="753" t="str">
        <x:f>IF(F53="","",E53+F53)</x:f>
        <x:v/>
      </x:c>
      <x:c r="H53" s="753" t="str">
        <x:f>IF(D53="","",IF('幕间计算'!AM45&gt;0,INDEX($H$107:$H$1106,'幕间计算'!AM45),"失败技能成长"&amp;IF(ISNUMBER(J53),"（1D4="&amp;J53&amp;"）","")))</x:f>
        <x:v/>
      </x:c>
      <x:c r="I53" s="753" t="str">
        <x:f>IF(AND(D53&lt;&gt;"",'幕间计算'!$AO$3=0),'幕间计算'!$AO$5&amp;"-成长-"&amp;D53,"")</x:f>
        <x:v/>
      </x:c>
      <x:c r="J53" s="747"/>
      <x:c r="K53" s="753" t="str">
        <x:f>IF(D53="","",IF('幕间计算'!AM45&gt;0,"已归档",IF(AND(ISNUMBER(J53),J53&gt;=1,J53&lt;=4,MOD(J53,1)=0),"可归档","待填1D4")))</x:f>
        <x:v/>
      </x:c>
    </x:row>
    <x:row r="54" ht="25" customHeight="1">
      <x:c r="A54" s="753" t="str">
        <x:f>IF(D54="","",'幕间计算'!$AO$5)</x:f>
        <x:v/>
      </x:c>
      <x:c r="B54" s="753" t="str">
        <x:f>IF(D54="","","成长")</x:f>
        <x:v/>
      </x:c>
      <x:c r="C54" s="756" t="str">
        <x:f>IF(D54="","",IF($F$3="","",$F$3))</x:f>
        <x:v/>
      </x:c>
      <x:c r="D54" s="753" t="str">
        <x:f>'幕间计算'!AL46</x:f>
        <x:v/>
      </x:c>
      <x:c r="E54" s="753" t="str">
        <x:f>IF(D54="","",IF('幕间计算'!AM46&gt;0,INDEX($E$107:$E$1106,'幕间计算'!AM46),INDEX('幕间计算'!$C$2:$C$61,'幕间计算'!AK46)))</x:f>
        <x:v/>
      </x:c>
      <x:c r="F54" s="753" t="str">
        <x:f>IF(D54="","",IF('幕间计算'!AM46&gt;0,INDEX($J$107:$J$1106,'幕间计算'!AM46),IF(K54="可归档",MIN(J54,99-E54),"")))</x:f>
        <x:v/>
      </x:c>
      <x:c r="G54" s="753" t="str">
        <x:f>IF(F54="","",E54+F54)</x:f>
        <x:v/>
      </x:c>
      <x:c r="H54" s="753" t="str">
        <x:f>IF(D54="","",IF('幕间计算'!AM46&gt;0,INDEX($H$107:$H$1106,'幕间计算'!AM46),"失败技能成长"&amp;IF(ISNUMBER(J54),"（1D4="&amp;J54&amp;"）","")))</x:f>
        <x:v/>
      </x:c>
      <x:c r="I54" s="753" t="str">
        <x:f>IF(AND(D54&lt;&gt;"",'幕间计算'!$AO$3=0),'幕间计算'!$AO$5&amp;"-成长-"&amp;D54,"")</x:f>
        <x:v/>
      </x:c>
      <x:c r="J54" s="747"/>
      <x:c r="K54" s="753" t="str">
        <x:f>IF(D54="","",IF('幕间计算'!AM46&gt;0,"已归档",IF(AND(ISNUMBER(J54),J54&gt;=1,J54&lt;=4,MOD(J54,1)=0),"可归档","待填1D4")))</x:f>
        <x:v/>
      </x:c>
    </x:row>
    <x:row r="55" ht="25" customHeight="1">
      <x:c r="A55" s="753" t="str">
        <x:f>IF(D55="","",'幕间计算'!$AO$5)</x:f>
        <x:v/>
      </x:c>
      <x:c r="B55" s="753" t="str">
        <x:f>IF(D55="","","成长")</x:f>
        <x:v/>
      </x:c>
      <x:c r="C55" s="756" t="str">
        <x:f>IF(D55="","",IF($F$3="","",$F$3))</x:f>
        <x:v/>
      </x:c>
      <x:c r="D55" s="753" t="str">
        <x:f>'幕间计算'!AL47</x:f>
        <x:v/>
      </x:c>
      <x:c r="E55" s="753" t="str">
        <x:f>IF(D55="","",IF('幕间计算'!AM47&gt;0,INDEX($E$107:$E$1106,'幕间计算'!AM47),INDEX('幕间计算'!$C$2:$C$61,'幕间计算'!AK47)))</x:f>
        <x:v/>
      </x:c>
      <x:c r="F55" s="753" t="str">
        <x:f>IF(D55="","",IF('幕间计算'!AM47&gt;0,INDEX($J$107:$J$1106,'幕间计算'!AM47),IF(K55="可归档",MIN(J55,99-E55),"")))</x:f>
        <x:v/>
      </x:c>
      <x:c r="G55" s="753" t="str">
        <x:f>IF(F55="","",E55+F55)</x:f>
        <x:v/>
      </x:c>
      <x:c r="H55" s="753" t="str">
        <x:f>IF(D55="","",IF('幕间计算'!AM47&gt;0,INDEX($H$107:$H$1106,'幕间计算'!AM47),"失败技能成长"&amp;IF(ISNUMBER(J55),"（1D4="&amp;J55&amp;"）","")))</x:f>
        <x:v/>
      </x:c>
      <x:c r="I55" s="753" t="str">
        <x:f>IF(AND(D55&lt;&gt;"",'幕间计算'!$AO$3=0),'幕间计算'!$AO$5&amp;"-成长-"&amp;D55,"")</x:f>
        <x:v/>
      </x:c>
      <x:c r="J55" s="747"/>
      <x:c r="K55" s="753" t="str">
        <x:f>IF(D55="","",IF('幕间计算'!AM47&gt;0,"已归档",IF(AND(ISNUMBER(J55),J55&gt;=1,J55&lt;=4,MOD(J55,1)=0),"可归档","待填1D4")))</x:f>
        <x:v/>
      </x:c>
    </x:row>
    <x:row r="56" ht="25" customHeight="1">
      <x:c r="A56" s="753" t="str">
        <x:f>IF(D56="","",'幕间计算'!$AO$5)</x:f>
        <x:v/>
      </x:c>
      <x:c r="B56" s="753" t="str">
        <x:f>IF(D56="","","成长")</x:f>
        <x:v/>
      </x:c>
      <x:c r="C56" s="756" t="str">
        <x:f>IF(D56="","",IF($F$3="","",$F$3))</x:f>
        <x:v/>
      </x:c>
      <x:c r="D56" s="753" t="str">
        <x:f>'幕间计算'!AL48</x:f>
        <x:v/>
      </x:c>
      <x:c r="E56" s="753" t="str">
        <x:f>IF(D56="","",IF('幕间计算'!AM48&gt;0,INDEX($E$107:$E$1106,'幕间计算'!AM48),INDEX('幕间计算'!$C$2:$C$61,'幕间计算'!AK48)))</x:f>
        <x:v/>
      </x:c>
      <x:c r="F56" s="753" t="str">
        <x:f>IF(D56="","",IF('幕间计算'!AM48&gt;0,INDEX($J$107:$J$1106,'幕间计算'!AM48),IF(K56="可归档",MIN(J56,99-E56),"")))</x:f>
        <x:v/>
      </x:c>
      <x:c r="G56" s="753" t="str">
        <x:f>IF(F56="","",E56+F56)</x:f>
        <x:v/>
      </x:c>
      <x:c r="H56" s="753" t="str">
        <x:f>IF(D56="","",IF('幕间计算'!AM48&gt;0,INDEX($H$107:$H$1106,'幕间计算'!AM48),"失败技能成长"&amp;IF(ISNUMBER(J56),"（1D4="&amp;J56&amp;"）","")))</x:f>
        <x:v/>
      </x:c>
      <x:c r="I56" s="753" t="str">
        <x:f>IF(AND(D56&lt;&gt;"",'幕间计算'!$AO$3=0),'幕间计算'!$AO$5&amp;"-成长-"&amp;D56,"")</x:f>
        <x:v/>
      </x:c>
      <x:c r="J56" s="747"/>
      <x:c r="K56" s="753" t="str">
        <x:f>IF(D56="","",IF('幕间计算'!AM48&gt;0,"已归档",IF(AND(ISNUMBER(J56),J56&gt;=1,J56&lt;=4,MOD(J56,1)=0),"可归档","待填1D4")))</x:f>
        <x:v/>
      </x:c>
    </x:row>
    <x:row r="57" ht="25" customHeight="1">
      <x:c r="A57" s="753" t="str">
        <x:f>IF(D57="","",'幕间计算'!$AO$5)</x:f>
        <x:v/>
      </x:c>
      <x:c r="B57" s="753" t="str">
        <x:f>IF(D57="","","成长")</x:f>
        <x:v/>
      </x:c>
      <x:c r="C57" s="756" t="str">
        <x:f>IF(D57="","",IF($F$3="","",$F$3))</x:f>
        <x:v/>
      </x:c>
      <x:c r="D57" s="753" t="str">
        <x:f>'幕间计算'!AL49</x:f>
        <x:v/>
      </x:c>
      <x:c r="E57" s="753" t="str">
        <x:f>IF(D57="","",IF('幕间计算'!AM49&gt;0,INDEX($E$107:$E$1106,'幕间计算'!AM49),INDEX('幕间计算'!$C$2:$C$61,'幕间计算'!AK49)))</x:f>
        <x:v/>
      </x:c>
      <x:c r="F57" s="753" t="str">
        <x:f>IF(D57="","",IF('幕间计算'!AM49&gt;0,INDEX($J$107:$J$1106,'幕间计算'!AM49),IF(K57="可归档",MIN(J57,99-E57),"")))</x:f>
        <x:v/>
      </x:c>
      <x:c r="G57" s="753" t="str">
        <x:f>IF(F57="","",E57+F57)</x:f>
        <x:v/>
      </x:c>
      <x:c r="H57" s="753" t="str">
        <x:f>IF(D57="","",IF('幕间计算'!AM49&gt;0,INDEX($H$107:$H$1106,'幕间计算'!AM49),"失败技能成长"&amp;IF(ISNUMBER(J57),"（1D4="&amp;J57&amp;"）","")))</x:f>
        <x:v/>
      </x:c>
      <x:c r="I57" s="753" t="str">
        <x:f>IF(AND(D57&lt;&gt;"",'幕间计算'!$AO$3=0),'幕间计算'!$AO$5&amp;"-成长-"&amp;D57,"")</x:f>
        <x:v/>
      </x:c>
      <x:c r="J57" s="747"/>
      <x:c r="K57" s="753" t="str">
        <x:f>IF(D57="","",IF('幕间计算'!AM49&gt;0,"已归档",IF(AND(ISNUMBER(J57),J57&gt;=1,J57&lt;=4,MOD(J57,1)=0),"可归档","待填1D4")))</x:f>
        <x:v/>
      </x:c>
    </x:row>
    <x:row r="58" ht="25" customHeight="1">
      <x:c r="A58" s="753" t="str">
        <x:f>IF(D58="","",'幕间计算'!$AO$5)</x:f>
        <x:v/>
      </x:c>
      <x:c r="B58" s="753" t="str">
        <x:f>IF(D58="","","成长")</x:f>
        <x:v/>
      </x:c>
      <x:c r="C58" s="756" t="str">
        <x:f>IF(D58="","",IF($F$3="","",$F$3))</x:f>
        <x:v/>
      </x:c>
      <x:c r="D58" s="753" t="str">
        <x:f>'幕间计算'!AL50</x:f>
        <x:v/>
      </x:c>
      <x:c r="E58" s="753" t="str">
        <x:f>IF(D58="","",IF('幕间计算'!AM50&gt;0,INDEX($E$107:$E$1106,'幕间计算'!AM50),INDEX('幕间计算'!$C$2:$C$61,'幕间计算'!AK50)))</x:f>
        <x:v/>
      </x:c>
      <x:c r="F58" s="753" t="str">
        <x:f>IF(D58="","",IF('幕间计算'!AM50&gt;0,INDEX($J$107:$J$1106,'幕间计算'!AM50),IF(K58="可归档",MIN(J58,99-E58),"")))</x:f>
        <x:v/>
      </x:c>
      <x:c r="G58" s="753" t="str">
        <x:f>IF(F58="","",E58+F58)</x:f>
        <x:v/>
      </x:c>
      <x:c r="H58" s="753" t="str">
        <x:f>IF(D58="","",IF('幕间计算'!AM50&gt;0,INDEX($H$107:$H$1106,'幕间计算'!AM50),"失败技能成长"&amp;IF(ISNUMBER(J58),"（1D4="&amp;J58&amp;"）","")))</x:f>
        <x:v/>
      </x:c>
      <x:c r="I58" s="753" t="str">
        <x:f>IF(AND(D58&lt;&gt;"",'幕间计算'!$AO$3=0),'幕间计算'!$AO$5&amp;"-成长-"&amp;D58,"")</x:f>
        <x:v/>
      </x:c>
      <x:c r="J58" s="747"/>
      <x:c r="K58" s="753" t="str">
        <x:f>IF(D58="","",IF('幕间计算'!AM50&gt;0,"已归档",IF(AND(ISNUMBER(J58),J58&gt;=1,J58&lt;=4,MOD(J58,1)=0),"可归档","待填1D4")))</x:f>
        <x:v/>
      </x:c>
    </x:row>
    <x:row r="59" ht="25" customHeight="1">
      <x:c r="A59" s="753" t="str">
        <x:f>IF(D59="","",'幕间计算'!$AO$5)</x:f>
        <x:v/>
      </x:c>
      <x:c r="B59" s="753" t="str">
        <x:f>IF(D59="","","成长")</x:f>
        <x:v/>
      </x:c>
      <x:c r="C59" s="756" t="str">
        <x:f>IF(D59="","",IF($F$3="","",$F$3))</x:f>
        <x:v/>
      </x:c>
      <x:c r="D59" s="753" t="str">
        <x:f>'幕间计算'!AL51</x:f>
        <x:v/>
      </x:c>
      <x:c r="E59" s="753" t="str">
        <x:f>IF(D59="","",IF('幕间计算'!AM51&gt;0,INDEX($E$107:$E$1106,'幕间计算'!AM51),INDEX('幕间计算'!$C$2:$C$61,'幕间计算'!AK51)))</x:f>
        <x:v/>
      </x:c>
      <x:c r="F59" s="753" t="str">
        <x:f>IF(D59="","",IF('幕间计算'!AM51&gt;0,INDEX($J$107:$J$1106,'幕间计算'!AM51),IF(K59="可归档",MIN(J59,99-E59),"")))</x:f>
        <x:v/>
      </x:c>
      <x:c r="G59" s="753" t="str">
        <x:f>IF(F59="","",E59+F59)</x:f>
        <x:v/>
      </x:c>
      <x:c r="H59" s="753" t="str">
        <x:f>IF(D59="","",IF('幕间计算'!AM51&gt;0,INDEX($H$107:$H$1106,'幕间计算'!AM51),"失败技能成长"&amp;IF(ISNUMBER(J59),"（1D4="&amp;J59&amp;"）","")))</x:f>
        <x:v/>
      </x:c>
      <x:c r="I59" s="753" t="str">
        <x:f>IF(AND(D59&lt;&gt;"",'幕间计算'!$AO$3=0),'幕间计算'!$AO$5&amp;"-成长-"&amp;D59,"")</x:f>
        <x:v/>
      </x:c>
      <x:c r="J59" s="747"/>
      <x:c r="K59" s="753" t="str">
        <x:f>IF(D59="","",IF('幕间计算'!AM51&gt;0,"已归档",IF(AND(ISNUMBER(J59),J59&gt;=1,J59&lt;=4,MOD(J59,1)=0),"可归档","待填1D4")))</x:f>
        <x:v/>
      </x:c>
    </x:row>
    <x:row r="60" ht="25" customHeight="1">
      <x:c r="A60" s="753" t="str">
        <x:f>IF(D60="","",'幕间计算'!$AO$5)</x:f>
        <x:v/>
      </x:c>
      <x:c r="B60" s="753" t="str">
        <x:f>IF(D60="","","成长")</x:f>
        <x:v/>
      </x:c>
      <x:c r="C60" s="756" t="str">
        <x:f>IF(D60="","",IF($F$3="","",$F$3))</x:f>
        <x:v/>
      </x:c>
      <x:c r="D60" s="753" t="str">
        <x:f>'幕间计算'!AL52</x:f>
        <x:v/>
      </x:c>
      <x:c r="E60" s="753" t="str">
        <x:f>IF(D60="","",IF('幕间计算'!AM52&gt;0,INDEX($E$107:$E$1106,'幕间计算'!AM52),INDEX('幕间计算'!$C$2:$C$61,'幕间计算'!AK52)))</x:f>
        <x:v/>
      </x:c>
      <x:c r="F60" s="753" t="str">
        <x:f>IF(D60="","",IF('幕间计算'!AM52&gt;0,INDEX($J$107:$J$1106,'幕间计算'!AM52),IF(K60="可归档",MIN(J60,99-E60),"")))</x:f>
        <x:v/>
      </x:c>
      <x:c r="G60" s="753" t="str">
        <x:f>IF(F60="","",E60+F60)</x:f>
        <x:v/>
      </x:c>
      <x:c r="H60" s="753" t="str">
        <x:f>IF(D60="","",IF('幕间计算'!AM52&gt;0,INDEX($H$107:$H$1106,'幕间计算'!AM52),"失败技能成长"&amp;IF(ISNUMBER(J60),"（1D4="&amp;J60&amp;"）","")))</x:f>
        <x:v/>
      </x:c>
      <x:c r="I60" s="753" t="str">
        <x:f>IF(AND(D60&lt;&gt;"",'幕间计算'!$AO$3=0),'幕间计算'!$AO$5&amp;"-成长-"&amp;D60,"")</x:f>
        <x:v/>
      </x:c>
      <x:c r="J60" s="747"/>
      <x:c r="K60" s="753" t="str">
        <x:f>IF(D60="","",IF('幕间计算'!AM52&gt;0,"已归档",IF(AND(ISNUMBER(J60),J60&gt;=1,J60&lt;=4,MOD(J60,1)=0),"可归档","待填1D4")))</x:f>
        <x:v/>
      </x:c>
    </x:row>
    <x:row r="61" ht="25" customHeight="1">
      <x:c r="A61" s="753" t="str">
        <x:f>IF(D61="","",'幕间计算'!$AO$5)</x:f>
        <x:v/>
      </x:c>
      <x:c r="B61" s="753" t="str">
        <x:f>IF(D61="","","成长")</x:f>
        <x:v/>
      </x:c>
      <x:c r="C61" s="756" t="str">
        <x:f>IF(D61="","",IF($F$3="","",$F$3))</x:f>
        <x:v/>
      </x:c>
      <x:c r="D61" s="753" t="str">
        <x:f>'幕间计算'!AL53</x:f>
        <x:v/>
      </x:c>
      <x:c r="E61" s="753" t="str">
        <x:f>IF(D61="","",IF('幕间计算'!AM53&gt;0,INDEX($E$107:$E$1106,'幕间计算'!AM53),INDEX('幕间计算'!$C$2:$C$61,'幕间计算'!AK53)))</x:f>
        <x:v/>
      </x:c>
      <x:c r="F61" s="753" t="str">
        <x:f>IF(D61="","",IF('幕间计算'!AM53&gt;0,INDEX($J$107:$J$1106,'幕间计算'!AM53),IF(K61="可归档",MIN(J61,99-E61),"")))</x:f>
        <x:v/>
      </x:c>
      <x:c r="G61" s="753" t="str">
        <x:f>IF(F61="","",E61+F61)</x:f>
        <x:v/>
      </x:c>
      <x:c r="H61" s="753" t="str">
        <x:f>IF(D61="","",IF('幕间计算'!AM53&gt;0,INDEX($H$107:$H$1106,'幕间计算'!AM53),"失败技能成长"&amp;IF(ISNUMBER(J61),"（1D4="&amp;J61&amp;"）","")))</x:f>
        <x:v/>
      </x:c>
      <x:c r="I61" s="753" t="str">
        <x:f>IF(AND(D61&lt;&gt;"",'幕间计算'!$AO$3=0),'幕间计算'!$AO$5&amp;"-成长-"&amp;D61,"")</x:f>
        <x:v/>
      </x:c>
      <x:c r="J61" s="747"/>
      <x:c r="K61" s="753" t="str">
        <x:f>IF(D61="","",IF('幕间计算'!AM53&gt;0,"已归档",IF(AND(ISNUMBER(J61),J61&gt;=1,J61&lt;=4,MOD(J61,1)=0),"可归档","待填1D4")))</x:f>
        <x:v/>
      </x:c>
    </x:row>
    <x:row r="62" ht="25" customHeight="1">
      <x:c r="A62" s="753" t="str">
        <x:f>IF(D62="","",'幕间计算'!$AO$5)</x:f>
        <x:v/>
      </x:c>
      <x:c r="B62" s="753" t="str">
        <x:f>IF(D62="","","成长")</x:f>
        <x:v/>
      </x:c>
      <x:c r="C62" s="756" t="str">
        <x:f>IF(D62="","",IF($F$3="","",$F$3))</x:f>
        <x:v/>
      </x:c>
      <x:c r="D62" s="753" t="str">
        <x:f>'幕间计算'!AL54</x:f>
        <x:v/>
      </x:c>
      <x:c r="E62" s="753" t="str">
        <x:f>IF(D62="","",IF('幕间计算'!AM54&gt;0,INDEX($E$107:$E$1106,'幕间计算'!AM54),INDEX('幕间计算'!$C$2:$C$61,'幕间计算'!AK54)))</x:f>
        <x:v/>
      </x:c>
      <x:c r="F62" s="753" t="str">
        <x:f>IF(D62="","",IF('幕间计算'!AM54&gt;0,INDEX($J$107:$J$1106,'幕间计算'!AM54),IF(K62="可归档",MIN(J62,99-E62),"")))</x:f>
        <x:v/>
      </x:c>
      <x:c r="G62" s="753" t="str">
        <x:f>IF(F62="","",E62+F62)</x:f>
        <x:v/>
      </x:c>
      <x:c r="H62" s="753" t="str">
        <x:f>IF(D62="","",IF('幕间计算'!AM54&gt;0,INDEX($H$107:$H$1106,'幕间计算'!AM54),"失败技能成长"&amp;IF(ISNUMBER(J62),"（1D4="&amp;J62&amp;"）","")))</x:f>
        <x:v/>
      </x:c>
      <x:c r="I62" s="753" t="str">
        <x:f>IF(AND(D62&lt;&gt;"",'幕间计算'!$AO$3=0),'幕间计算'!$AO$5&amp;"-成长-"&amp;D62,"")</x:f>
        <x:v/>
      </x:c>
      <x:c r="J62" s="747"/>
      <x:c r="K62" s="753" t="str">
        <x:f>IF(D62="","",IF('幕间计算'!AM54&gt;0,"已归档",IF(AND(ISNUMBER(J62),J62&gt;=1,J62&lt;=4,MOD(J62,1)=0),"可归档","待填1D4")))</x:f>
        <x:v/>
      </x:c>
    </x:row>
    <x:row r="63" ht="25" customHeight="1">
      <x:c r="A63" s="753" t="str">
        <x:f>IF(D63="","",'幕间计算'!$AO$5)</x:f>
        <x:v/>
      </x:c>
      <x:c r="B63" s="753" t="str">
        <x:f>IF(D63="","","成长")</x:f>
        <x:v/>
      </x:c>
      <x:c r="C63" s="756" t="str">
        <x:f>IF(D63="","",IF($F$3="","",$F$3))</x:f>
        <x:v/>
      </x:c>
      <x:c r="D63" s="753" t="str">
        <x:f>'幕间计算'!AL55</x:f>
        <x:v/>
      </x:c>
      <x:c r="E63" s="753" t="str">
        <x:f>IF(D63="","",IF('幕间计算'!AM55&gt;0,INDEX($E$107:$E$1106,'幕间计算'!AM55),INDEX('幕间计算'!$C$2:$C$61,'幕间计算'!AK55)))</x:f>
        <x:v/>
      </x:c>
      <x:c r="F63" s="753" t="str">
        <x:f>IF(D63="","",IF('幕间计算'!AM55&gt;0,INDEX($J$107:$J$1106,'幕间计算'!AM55),IF(K63="可归档",MIN(J63,99-E63),"")))</x:f>
        <x:v/>
      </x:c>
      <x:c r="G63" s="753" t="str">
        <x:f>IF(F63="","",E63+F63)</x:f>
        <x:v/>
      </x:c>
      <x:c r="H63" s="753" t="str">
        <x:f>IF(D63="","",IF('幕间计算'!AM55&gt;0,INDEX($H$107:$H$1106,'幕间计算'!AM55),"失败技能成长"&amp;IF(ISNUMBER(J63),"（1D4="&amp;J63&amp;"）","")))</x:f>
        <x:v/>
      </x:c>
      <x:c r="I63" s="753" t="str">
        <x:f>IF(AND(D63&lt;&gt;"",'幕间计算'!$AO$3=0),'幕间计算'!$AO$5&amp;"-成长-"&amp;D63,"")</x:f>
        <x:v/>
      </x:c>
      <x:c r="J63" s="747"/>
      <x:c r="K63" s="753" t="str">
        <x:f>IF(D63="","",IF('幕间计算'!AM55&gt;0,"已归档",IF(AND(ISNUMBER(J63),J63&gt;=1,J63&lt;=4,MOD(J63,1)=0),"可归档","待填1D4")))</x:f>
        <x:v/>
      </x:c>
    </x:row>
    <x:row r="64" ht="25" customHeight="1">
      <x:c r="A64" s="753" t="str">
        <x:f>IF(D64="","",'幕间计算'!$AO$5)</x:f>
        <x:v/>
      </x:c>
      <x:c r="B64" s="753" t="str">
        <x:f>IF(D64="","","成长")</x:f>
        <x:v/>
      </x:c>
      <x:c r="C64" s="756" t="str">
        <x:f>IF(D64="","",IF($F$3="","",$F$3))</x:f>
        <x:v/>
      </x:c>
      <x:c r="D64" s="753" t="str">
        <x:f>'幕间计算'!AL56</x:f>
        <x:v/>
      </x:c>
      <x:c r="E64" s="753" t="str">
        <x:f>IF(D64="","",IF('幕间计算'!AM56&gt;0,INDEX($E$107:$E$1106,'幕间计算'!AM56),INDEX('幕间计算'!$C$2:$C$61,'幕间计算'!AK56)))</x:f>
        <x:v/>
      </x:c>
      <x:c r="F64" s="753" t="str">
        <x:f>IF(D64="","",IF('幕间计算'!AM56&gt;0,INDEX($J$107:$J$1106,'幕间计算'!AM56),IF(K64="可归档",MIN(J64,99-E64),"")))</x:f>
        <x:v/>
      </x:c>
      <x:c r="G64" s="753" t="str">
        <x:f>IF(F64="","",E64+F64)</x:f>
        <x:v/>
      </x:c>
      <x:c r="H64" s="753" t="str">
        <x:f>IF(D64="","",IF('幕间计算'!AM56&gt;0,INDEX($H$107:$H$1106,'幕间计算'!AM56),"失败技能成长"&amp;IF(ISNUMBER(J64),"（1D4="&amp;J64&amp;"）","")))</x:f>
        <x:v/>
      </x:c>
      <x:c r="I64" s="753" t="str">
        <x:f>IF(AND(D64&lt;&gt;"",'幕间计算'!$AO$3=0),'幕间计算'!$AO$5&amp;"-成长-"&amp;D64,"")</x:f>
        <x:v/>
      </x:c>
      <x:c r="J64" s="747"/>
      <x:c r="K64" s="753" t="str">
        <x:f>IF(D64="","",IF('幕间计算'!AM56&gt;0,"已归档",IF(AND(ISNUMBER(J64),J64&gt;=1,J64&lt;=4,MOD(J64,1)=0),"可归档","待填1D4")))</x:f>
        <x:v/>
      </x:c>
    </x:row>
    <x:row r="65" ht="25" customHeight="1">
      <x:c r="A65" s="753" t="str">
        <x:f>IF(D65="","",'幕间计算'!$AO$5)</x:f>
        <x:v/>
      </x:c>
      <x:c r="B65" s="753" t="str">
        <x:f>IF(D65="","","成长")</x:f>
        <x:v/>
      </x:c>
      <x:c r="C65" s="756" t="str">
        <x:f>IF(D65="","",IF($F$3="","",$F$3))</x:f>
        <x:v/>
      </x:c>
      <x:c r="D65" s="753" t="str">
        <x:f>'幕间计算'!AL57</x:f>
        <x:v/>
      </x:c>
      <x:c r="E65" s="753" t="str">
        <x:f>IF(D65="","",IF('幕间计算'!AM57&gt;0,INDEX($E$107:$E$1106,'幕间计算'!AM57),INDEX('幕间计算'!$C$2:$C$61,'幕间计算'!AK57)))</x:f>
        <x:v/>
      </x:c>
      <x:c r="F65" s="753" t="str">
        <x:f>IF(D65="","",IF('幕间计算'!AM57&gt;0,INDEX($J$107:$J$1106,'幕间计算'!AM57),IF(K65="可归档",MIN(J65,99-E65),"")))</x:f>
        <x:v/>
      </x:c>
      <x:c r="G65" s="753" t="str">
        <x:f>IF(F65="","",E65+F65)</x:f>
        <x:v/>
      </x:c>
      <x:c r="H65" s="753" t="str">
        <x:f>IF(D65="","",IF('幕间计算'!AM57&gt;0,INDEX($H$107:$H$1106,'幕间计算'!AM57),"失败技能成长"&amp;IF(ISNUMBER(J65),"（1D4="&amp;J65&amp;"）","")))</x:f>
        <x:v/>
      </x:c>
      <x:c r="I65" s="753" t="str">
        <x:f>IF(AND(D65&lt;&gt;"",'幕间计算'!$AO$3=0),'幕间计算'!$AO$5&amp;"-成长-"&amp;D65,"")</x:f>
        <x:v/>
      </x:c>
      <x:c r="J65" s="747"/>
      <x:c r="K65" s="753" t="str">
        <x:f>IF(D65="","",IF('幕间计算'!AM57&gt;0,"已归档",IF(AND(ISNUMBER(J65),J65&gt;=1,J65&lt;=4,MOD(J65,1)=0),"可归档","待填1D4")))</x:f>
        <x:v/>
      </x:c>
    </x:row>
    <x:row r="66" ht="25" customHeight="1">
      <x:c r="A66" s="753" t="str">
        <x:f>IF(D66="","",'幕间计算'!$AO$5)</x:f>
        <x:v/>
      </x:c>
      <x:c r="B66" s="753" t="str">
        <x:f>IF(D66="","","成长")</x:f>
        <x:v/>
      </x:c>
      <x:c r="C66" s="756" t="str">
        <x:f>IF(D66="","",IF($F$3="","",$F$3))</x:f>
        <x:v/>
      </x:c>
      <x:c r="D66" s="753" t="str">
        <x:f>'幕间计算'!AL58</x:f>
        <x:v/>
      </x:c>
      <x:c r="E66" s="753" t="str">
        <x:f>IF(D66="","",IF('幕间计算'!AM58&gt;0,INDEX($E$107:$E$1106,'幕间计算'!AM58),INDEX('幕间计算'!$C$2:$C$61,'幕间计算'!AK58)))</x:f>
        <x:v/>
      </x:c>
      <x:c r="F66" s="753" t="str">
        <x:f>IF(D66="","",IF('幕间计算'!AM58&gt;0,INDEX($J$107:$J$1106,'幕间计算'!AM58),IF(K66="可归档",MIN(J66,99-E66),"")))</x:f>
        <x:v/>
      </x:c>
      <x:c r="G66" s="753" t="str">
        <x:f>IF(F66="","",E66+F66)</x:f>
        <x:v/>
      </x:c>
      <x:c r="H66" s="753" t="str">
        <x:f>IF(D66="","",IF('幕间计算'!AM58&gt;0,INDEX($H$107:$H$1106,'幕间计算'!AM58),"失败技能成长"&amp;IF(ISNUMBER(J66),"（1D4="&amp;J66&amp;"）","")))</x:f>
        <x:v/>
      </x:c>
      <x:c r="I66" s="753" t="str">
        <x:f>IF(AND(D66&lt;&gt;"",'幕间计算'!$AO$3=0),'幕间计算'!$AO$5&amp;"-成长-"&amp;D66,"")</x:f>
        <x:v/>
      </x:c>
      <x:c r="J66" s="747"/>
      <x:c r="K66" s="753" t="str">
        <x:f>IF(D66="","",IF('幕间计算'!AM58&gt;0,"已归档",IF(AND(ISNUMBER(J66),J66&gt;=1,J66&lt;=4,MOD(J66,1)=0),"可归档","待填1D4")))</x:f>
        <x:v/>
      </x:c>
    </x:row>
    <x:row r="67" ht="25" customHeight="1">
      <x:c r="A67" s="753" t="str">
        <x:f>IF(D67="","",'幕间计算'!$AO$5)</x:f>
        <x:v/>
      </x:c>
      <x:c r="B67" s="753" t="str">
        <x:f>IF(D67="","","成长")</x:f>
        <x:v/>
      </x:c>
      <x:c r="C67" s="756" t="str">
        <x:f>IF(D67="","",IF($F$3="","",$F$3))</x:f>
        <x:v/>
      </x:c>
      <x:c r="D67" s="753" t="str">
        <x:f>'幕间计算'!AL59</x:f>
        <x:v/>
      </x:c>
      <x:c r="E67" s="753" t="str">
        <x:f>IF(D67="","",IF('幕间计算'!AM59&gt;0,INDEX($E$107:$E$1106,'幕间计算'!AM59),INDEX('幕间计算'!$C$2:$C$61,'幕间计算'!AK59)))</x:f>
        <x:v/>
      </x:c>
      <x:c r="F67" s="753" t="str">
        <x:f>IF(D67="","",IF('幕间计算'!AM59&gt;0,INDEX($J$107:$J$1106,'幕间计算'!AM59),IF(K67="可归档",MIN(J67,99-E67),"")))</x:f>
        <x:v/>
      </x:c>
      <x:c r="G67" s="753" t="str">
        <x:f>IF(F67="","",E67+F67)</x:f>
        <x:v/>
      </x:c>
      <x:c r="H67" s="753" t="str">
        <x:f>IF(D67="","",IF('幕间计算'!AM59&gt;0,INDEX($H$107:$H$1106,'幕间计算'!AM59),"失败技能成长"&amp;IF(ISNUMBER(J67),"（1D4="&amp;J67&amp;"）","")))</x:f>
        <x:v/>
      </x:c>
      <x:c r="I67" s="753" t="str">
        <x:f>IF(AND(D67&lt;&gt;"",'幕间计算'!$AO$3=0),'幕间计算'!$AO$5&amp;"-成长-"&amp;D67,"")</x:f>
        <x:v/>
      </x:c>
      <x:c r="J67" s="747"/>
      <x:c r="K67" s="753" t="str">
        <x:f>IF(D67="","",IF('幕间计算'!AM59&gt;0,"已归档",IF(AND(ISNUMBER(J67),J67&gt;=1,J67&lt;=4,MOD(J67,1)=0),"可归档","待填1D4")))</x:f>
        <x:v/>
      </x:c>
    </x:row>
    <x:row r="68" ht="25" customHeight="1">
      <x:c r="A68" s="753" t="str">
        <x:f>IF(D68="","",'幕间计算'!$AO$5)</x:f>
        <x:v/>
      </x:c>
      <x:c r="B68" s="753" t="str">
        <x:f>IF(D68="","","成长")</x:f>
        <x:v/>
      </x:c>
      <x:c r="C68" s="756" t="str">
        <x:f>IF(D68="","",IF($F$3="","",$F$3))</x:f>
        <x:v/>
      </x:c>
      <x:c r="D68" s="753" t="str">
        <x:f>'幕间计算'!AL60</x:f>
        <x:v/>
      </x:c>
      <x:c r="E68" s="753" t="str">
        <x:f>IF(D68="","",IF('幕间计算'!AM60&gt;0,INDEX($E$107:$E$1106,'幕间计算'!AM60),INDEX('幕间计算'!$C$2:$C$61,'幕间计算'!AK60)))</x:f>
        <x:v/>
      </x:c>
      <x:c r="F68" s="753" t="str">
        <x:f>IF(D68="","",IF('幕间计算'!AM60&gt;0,INDEX($J$107:$J$1106,'幕间计算'!AM60),IF(K68="可归档",MIN(J68,99-E68),"")))</x:f>
        <x:v/>
      </x:c>
      <x:c r="G68" s="753" t="str">
        <x:f>IF(F68="","",E68+F68)</x:f>
        <x:v/>
      </x:c>
      <x:c r="H68" s="753" t="str">
        <x:f>IF(D68="","",IF('幕间计算'!AM60&gt;0,INDEX($H$107:$H$1106,'幕间计算'!AM60),"失败技能成长"&amp;IF(ISNUMBER(J68),"（1D4="&amp;J68&amp;"）","")))</x:f>
        <x:v/>
      </x:c>
      <x:c r="I68" s="753" t="str">
        <x:f>IF(AND(D68&lt;&gt;"",'幕间计算'!$AO$3=0),'幕间计算'!$AO$5&amp;"-成长-"&amp;D68,"")</x:f>
        <x:v/>
      </x:c>
      <x:c r="J68" s="747"/>
      <x:c r="K68" s="753" t="str">
        <x:f>IF(D68="","",IF('幕间计算'!AM60&gt;0,"已归档",IF(AND(ISNUMBER(J68),J68&gt;=1,J68&lt;=4,MOD(J68,1)=0),"可归档","待填1D4")))</x:f>
        <x:v/>
      </x:c>
    </x:row>
    <x:row r="69" ht="25" customHeight="1">
      <x:c r="A69" s="754" t="str">
        <x:f>IF(D69="","",'幕间计算'!$AO$5)</x:f>
        <x:v/>
      </x:c>
      <x:c r="B69" s="754" t="str">
        <x:f>IF(D69="","","成长")</x:f>
        <x:v/>
      </x:c>
      <x:c r="C69" s="757" t="str">
        <x:f>IF(D69="","",IF($F$3="","",$F$3))</x:f>
        <x:v/>
      </x:c>
      <x:c r="D69" s="754" t="str">
        <x:f>'幕间计算'!AL61</x:f>
        <x:v/>
      </x:c>
      <x:c r="E69" s="754" t="str">
        <x:f>IF(D69="","",IF('幕间计算'!AM61&gt;0,INDEX($E$107:$E$1106,'幕间计算'!AM61),INDEX('幕间计算'!$C$2:$C$61,'幕间计算'!AK61)))</x:f>
        <x:v/>
      </x:c>
      <x:c r="F69" s="754" t="str">
        <x:f>IF(D69="","",IF('幕间计算'!AM61&gt;0,INDEX($J$107:$J$1106,'幕间计算'!AM61),IF(K69="可归档",MIN(J69,99-E69),"")))</x:f>
        <x:v/>
      </x:c>
      <x:c r="G69" s="754" t="str">
        <x:f>IF(F69="","",E69+F69)</x:f>
        <x:v/>
      </x:c>
      <x:c r="H69" s="754" t="str">
        <x:f>IF(D69="","",IF('幕间计算'!AM61&gt;0,INDEX($H$107:$H$1106,'幕间计算'!AM61),"失败技能成长"&amp;IF(ISNUMBER(J69),"（1D4="&amp;J69&amp;"）","")))</x:f>
        <x:v/>
      </x:c>
      <x:c r="I69" s="754" t="str">
        <x:f>IF(AND(D69&lt;&gt;"",'幕间计算'!$AO$3=0),'幕间计算'!$AO$5&amp;"-成长-"&amp;D69,"")</x:f>
        <x:v/>
      </x:c>
      <x:c r="J69" s="755"/>
      <x:c r="K69" s="754" t="str">
        <x:f>IF(D69="","",IF('幕间计算'!AM61&gt;0,"已归档",IF(AND(ISNUMBER(J69),J69&gt;=1,J69&lt;=4,MOD(J69,1)=0),"可归档","待填1D4")))</x:f>
        <x:v/>
      </x:c>
    </x:row>
    <x:row r="70" ht="25" customHeight="1">
      <x:c r="A70" s="742"/>
      <x:c r="B70" s="742"/>
      <x:c r="C70" s="758"/>
      <x:c r="D70" s="742"/>
      <x:c r="E70" s="742"/>
      <x:c r="F70" s="742"/>
      <x:c r="G70" s="742"/>
      <x:c r="H70" s="742"/>
      <x:c r="I70" s="742"/>
      <x:c r="J70" s="742"/>
      <x:c r="K70" s="742"/>
    </x:row>
    <x:row r="71" ht="25" customHeight="1">
      <x:c r="A71" s="742"/>
      <x:c r="B71" s="742"/>
      <x:c r="C71" s="758"/>
      <x:c r="D71" s="742"/>
      <x:c r="E71" s="742"/>
      <x:c r="F71" s="742"/>
      <x:c r="G71" s="742"/>
      <x:c r="H71" s="742"/>
      <x:c r="I71" s="742"/>
      <x:c r="J71" s="742"/>
      <x:c r="K71" s="742"/>
    </x:row>
    <x:row r="72" ht="25" customHeight="1">
      <x:c r="A72" s="742"/>
      <x:c r="B72" s="742"/>
      <x:c r="C72" s="758"/>
      <x:c r="D72" s="742"/>
      <x:c r="E72" s="742"/>
      <x:c r="F72" s="742"/>
      <x:c r="G72" s="742"/>
      <x:c r="H72" s="742"/>
      <x:c r="I72" s="742"/>
      <x:c r="J72" s="742"/>
      <x:c r="K72" s="742"/>
    </x:row>
    <x:row r="73" ht="28" customHeight="1">
      <x:c r="A73" s="751" t="str">
        <x:v>第1次幕间</x:v>
      </x:c>
      <x:c r="B73" s="751"/>
      <x:c r="C73" s="759"/>
      <x:c r="D73" s="751"/>
      <x:c r="E73" s="751"/>
      <x:c r="F73" s="751"/>
      <x:c r="G73" s="751"/>
      <x:c r="H73" s="751"/>
      <x:c r="I73" s="751"/>
      <x:c r="J73" s="751"/>
      <x:c r="K73" s="751"/>
    </x:row>
    <x:row r="74" ht="25" customHeight="1">
      <x:c r="A74" s="742" t="str">
        <x:v>事项</x:v>
      </x:c>
      <x:c r="B74" s="747"/>
      <x:c r="C74" s="760"/>
      <x:c r="D74" s="747"/>
      <x:c r="E74" s="742" t="str">
        <x:v>结果</x:v>
      </x:c>
      <x:c r="F74" s="747"/>
      <x:c r="G74" s="747"/>
      <x:c r="H74" s="742" t="str">
        <x:v>治疗方式</x:v>
      </x:c>
      <x:c r="I74" s="747" t="inlineStr">
        <x:is>
          <x:t>如实告知</x:t>
        </x:is>
      </x:c>
      <x:c r="J74" s="747"/>
      <x:c r="K74" s="747"/>
    </x:row>
    <x:row r="75" ht="25" customHeight="1">
      <x:c r="A75" s="742" t="str">
        <x:v>目标1</x:v>
      </x:c>
      <x:c r="B75" s="747"/>
      <x:c r="C75" s="760"/>
      <x:c r="D75" s="747"/>
      <x:c r="E75" s="742" t="str">
        <x:v>当前值</x:v>
      </x:c>
      <x:c r="F75" s="742" t="str">
        <x:f>IF('幕间计算'!A100="","",'幕间计算'!B100)</x:f>
        <x:v/>
      </x:c>
      <x:c r="G75" s="742"/>
      <x:c r="H75" s="742" t="str">
        <x:v>骰点／批准增长</x:v>
      </x:c>
      <x:c r="I75" s="747"/>
      <x:c r="J75" s="747"/>
      <x:c r="K75" s="747"/>
    </x:row>
    <x:row r="76" ht="25" customHeight="1">
      <x:c r="A76" s="742" t="str">
        <x:v>目标2</x:v>
      </x:c>
      <x:c r="B76" s="747"/>
      <x:c r="C76" s="760"/>
      <x:c r="D76" s="747"/>
      <x:c r="E76" s="742" t="str">
        <x:v>结果2</x:v>
      </x:c>
      <x:c r="F76" s="747"/>
      <x:c r="G76" s="747"/>
      <x:c r="H76" s="742" t="str">
        <x:v>目标2骰点</x:v>
      </x:c>
      <x:c r="I76" s="747"/>
      <x:c r="J76" s="747"/>
      <x:c r="K76" s="747"/>
    </x:row>
    <x:row r="77" ht="25" customHeight="1">
      <x:c r="A77" s="742" t="str">
        <x:v>代价关系</x:v>
      </x:c>
      <x:c r="B77" s="747"/>
      <x:c r="C77" s="760"/>
      <x:c r="D77" s="747"/>
      <x:c r="E77" s="742" t="str">
        <x:v>代价关系2</x:v>
      </x:c>
      <x:c r="F77" s="747"/>
      <x:c r="G77" s="747"/>
      <x:c r="H77" s="742" t="str">
        <x:v>关系代价骰点</x:v>
      </x:c>
      <x:c r="I77" s="747"/>
      <x:c r="J77" s="747"/>
      <x:c r="K77" s="747"/>
    </x:row>
    <x:row r="78" ht="25" customHeight="1">
      <x:c r="A78" s="742" t="str">
        <x:v>事件</x:v>
      </x:c>
      <x:c r="B78" s="747"/>
      <x:c r="C78" s="760"/>
      <x:c r="D78" s="747"/>
      <x:c r="E78" s="747"/>
      <x:c r="F78" s="747"/>
      <x:c r="G78" s="747"/>
      <x:c r="H78" s="747"/>
      <x:c r="I78" s="747"/>
      <x:c r="J78" s="747"/>
      <x:c r="K78" s="747"/>
    </x:row>
    <x:row r="79" ht="28" customHeight="1">
      <x:c r="A79" s="752" t="str">
        <x:v>模组</x:v>
      </x:c>
      <x:c r="B79" s="752" t="str">
        <x:v>阶段</x:v>
      </x:c>
      <x:c r="C79" s="761" t="str">
        <x:v>游戏内日期</x:v>
      </x:c>
      <x:c r="D79" s="752" t="str">
        <x:v>目标</x:v>
      </x:c>
      <x:c r="E79" s="752" t="str">
        <x:v>变更前</x:v>
      </x:c>
      <x:c r="F79" s="752" t="str">
        <x:v>增减</x:v>
      </x:c>
      <x:c r="G79" s="752" t="str">
        <x:v>变更后</x:v>
      </x:c>
      <x:c r="H79" s="752" t="str">
        <x:v>事件／活动</x:v>
      </x:c>
      <x:c r="I79" s="752" t="str">
        <x:v>记录编号</x:v>
      </x:c>
      <x:c r="J79" s="752" t="str"/>
      <x:c r="K79" s="752" t="str">
        <x:v>状态</x:v>
      </x:c>
    </x:row>
    <x:row r="80" ht="25" customHeight="1">
      <x:c r="A80" s="753" t="str">
        <x:f>IF('幕间计算'!V100&gt;0,INDEX($A$107:$A$1106,'幕间计算'!V100),IF('幕间计算'!A100="","",'幕间计算'!$AO$5))</x:f>
        <x:v/>
      </x:c>
      <x:c r="B80" s="753" t="str">
        <x:f>IF('幕间计算'!V100&gt;0,INDEX($B$107:$B$1106,'幕间计算'!V100),IF('幕间计算'!A100="","","幕间1"))</x:f>
        <x:v/>
      </x:c>
      <x:c r="C80" s="756" t="str">
        <x:f>IF('幕间计算'!V100&gt;0,INDEX($C$107:$C$1106,'幕间计算'!V100),IF('幕间计算'!A100="","",IF($F$3="","",$F$3)))</x:f>
        <x:v/>
      </x:c>
      <x:c r="D80" s="753" t="str">
        <x:f>IF('幕间计算'!V100&gt;0,INDEX($D$107:$D$1106,'幕间计算'!V100),IF('幕间计算'!A100="","",'幕间计算'!A100))</x:f>
        <x:v/>
      </x:c>
      <x:c r="E80" s="753" t="str">
        <x:f>IF('幕间计算'!V100&gt;0,INDEX($E$107:$E$1106,'幕间计算'!V100),IF('幕间计算'!A100="","",'幕间计算'!B100))</x:f>
        <x:v/>
      </x:c>
      <x:c r="F80" s="753" t="str">
        <x:f>IF('幕间计算'!V100&gt;0,INDEX($F$107:$F$1106,'幕间计算'!V100),IF('幕间计算'!A100="","",'幕间计算'!D100))</x:f>
        <x:v/>
      </x:c>
      <x:c r="G80" s="753" t="str">
        <x:f>IF('幕间计算'!V100&gt;0,INDEX($G$107:$G$1106,'幕间计算'!V100),IF('幕间计算'!A100="","",'幕间计算'!B100+'幕间计算'!D100))</x:f>
        <x:v/>
      </x:c>
      <x:c r="H80" s="753" t="str">
        <x:f>IF('幕间计算'!V100&gt;0,INDEX($H$107:$H$1106,'幕间计算'!V100),IF('幕间计算'!A100="","",'幕间与结算'!$B$74&amp;IF('幕间与结算'!$B$78="","","："&amp;'幕间与结算'!$B$78)))</x:f>
        <x:v/>
      </x:c>
      <x:c r="I80" s="753" t="str">
        <x:f>IF('幕间计算'!V100&gt;0,INDEX($I$107:$I$1106,'幕间计算'!V100),IF('幕间计算'!A100="","",IF('幕间计算'!$T$100="可归档",'幕间计算'!$AO$5&amp;"-幕间1-1","")))</x:f>
        <x:v/>
      </x:c>
      <x:c r="J80" s="753"/>
      <x:c r="K80" s="753" t="str">
        <x:f>IF(D80="","",'幕间计算'!$T$100)</x:f>
        <x:v/>
      </x:c>
    </x:row>
    <x:row r="81" ht="25" customHeight="1">
      <x:c r="A81" s="753" t="str">
        <x:f>IF('幕间计算'!V101&gt;0,INDEX($A$107:$A$1106,'幕间计算'!V101),IF('幕间计算'!A101="","",'幕间计算'!$AO$5))</x:f>
        <x:v/>
      </x:c>
      <x:c r="B81" s="753" t="str">
        <x:f>IF('幕间计算'!V101&gt;0,INDEX($B$107:$B$1106,'幕间计算'!V101),IF('幕间计算'!A101="","","幕间1"))</x:f>
        <x:v/>
      </x:c>
      <x:c r="C81" s="756" t="str">
        <x:f>IF('幕间计算'!V101&gt;0,INDEX($C$107:$C$1106,'幕间计算'!V101),IF('幕间计算'!A101="","",IF($F$3="","",$F$3)))</x:f>
        <x:v/>
      </x:c>
      <x:c r="D81" s="753" t="str">
        <x:f>IF('幕间计算'!V101&gt;0,INDEX($D$107:$D$1106,'幕间计算'!V101),IF('幕间计算'!A101="","",'幕间计算'!A101))</x:f>
        <x:v/>
      </x:c>
      <x:c r="E81" s="753" t="str">
        <x:f>IF('幕间计算'!V101&gt;0,INDEX($E$107:$E$1106,'幕间计算'!V101),IF('幕间计算'!A101="","",'幕间计算'!B101))</x:f>
        <x:v/>
      </x:c>
      <x:c r="F81" s="753" t="str">
        <x:f>IF('幕间计算'!V101&gt;0,INDEX($F$107:$F$1106,'幕间计算'!V101),IF('幕间计算'!A101="","",'幕间计算'!D101))</x:f>
        <x:v/>
      </x:c>
      <x:c r="G81" s="753" t="str">
        <x:f>IF('幕间计算'!V101&gt;0,INDEX($G$107:$G$1106,'幕间计算'!V101),IF('幕间计算'!A101="","",'幕间计算'!B101+'幕间计算'!D101))</x:f>
        <x:v/>
      </x:c>
      <x:c r="H81" s="753" t="str">
        <x:f>IF('幕间计算'!V101&gt;0,INDEX($H$107:$H$1106,'幕间计算'!V101),IF('幕间计算'!A101="","",'幕间与结算'!$B$74&amp;IF('幕间与结算'!$B$78="","","："&amp;'幕间与结算'!$B$78)))</x:f>
        <x:v/>
      </x:c>
      <x:c r="I81" s="753" t="str">
        <x:f>IF('幕间计算'!V101&gt;0,INDEX($I$107:$I$1106,'幕间计算'!V101),IF('幕间计算'!A101="","",IF('幕间计算'!$T$100="可归档",'幕间计算'!$AO$5&amp;"-幕间1-2","")))</x:f>
        <x:v/>
      </x:c>
      <x:c r="J81" s="753"/>
      <x:c r="K81" s="753" t="str">
        <x:f>IF(D81="","",'幕间计算'!$T$100)</x:f>
        <x:v/>
      </x:c>
    </x:row>
    <x:row r="82" ht="25" customHeight="1">
      <x:c r="A82" s="753" t="str">
        <x:f>IF('幕间计算'!V102&gt;0,INDEX($A$107:$A$1106,'幕间计算'!V102),IF('幕间计算'!A102="","",'幕间计算'!$AO$5))</x:f>
        <x:v/>
      </x:c>
      <x:c r="B82" s="753" t="str">
        <x:f>IF('幕间计算'!V102&gt;0,INDEX($B$107:$B$1106,'幕间计算'!V102),IF('幕间计算'!A102="","","幕间1"))</x:f>
        <x:v/>
      </x:c>
      <x:c r="C82" s="756" t="str">
        <x:f>IF('幕间计算'!V102&gt;0,INDEX($C$107:$C$1106,'幕间计算'!V102),IF('幕间计算'!A102="","",IF($F$3="","",$F$3)))</x:f>
        <x:v/>
      </x:c>
      <x:c r="D82" s="753" t="str">
        <x:f>IF('幕间计算'!V102&gt;0,INDEX($D$107:$D$1106,'幕间计算'!V102),IF('幕间计算'!A102="","",'幕间计算'!A102))</x:f>
        <x:v/>
      </x:c>
      <x:c r="E82" s="753" t="str">
        <x:f>IF('幕间计算'!V102&gt;0,INDEX($E$107:$E$1106,'幕间计算'!V102),IF('幕间计算'!A102="","",'幕间计算'!B102))</x:f>
        <x:v/>
      </x:c>
      <x:c r="F82" s="753" t="str">
        <x:f>IF('幕间计算'!V102&gt;0,INDEX($F$107:$F$1106,'幕间计算'!V102),IF('幕间计算'!A102="","",'幕间计算'!D102))</x:f>
        <x:v/>
      </x:c>
      <x:c r="G82" s="753" t="str">
        <x:f>IF('幕间计算'!V102&gt;0,INDEX($G$107:$G$1106,'幕间计算'!V102),IF('幕间计算'!A102="","",'幕间计算'!B102+'幕间计算'!D102))</x:f>
        <x:v/>
      </x:c>
      <x:c r="H82" s="753" t="str">
        <x:f>IF('幕间计算'!V102&gt;0,INDEX($H$107:$H$1106,'幕间计算'!V102),IF('幕间计算'!A102="","",'幕间与结算'!$B$74&amp;IF('幕间与结算'!$B$78="","","："&amp;'幕间与结算'!$B$78)))</x:f>
        <x:v/>
      </x:c>
      <x:c r="I82" s="753" t="str">
        <x:f>IF('幕间计算'!V102&gt;0,INDEX($I$107:$I$1106,'幕间计算'!V102),IF('幕间计算'!A102="","",IF('幕间计算'!$T$100="可归档",'幕间计算'!$AO$5&amp;"-幕间1-3","")))</x:f>
        <x:v/>
      </x:c>
      <x:c r="J82" s="753"/>
      <x:c r="K82" s="753" t="str">
        <x:f>IF(D82="","",'幕间计算'!$T$100)</x:f>
        <x:v/>
      </x:c>
    </x:row>
    <x:row r="83" ht="25" customHeight="1">
      <x:c r="A83" s="753" t="str">
        <x:f>IF('幕间计算'!V103&gt;0,INDEX($A$107:$A$1106,'幕间计算'!V103),IF('幕间计算'!A103="","",'幕间计算'!$AO$5))</x:f>
        <x:v/>
      </x:c>
      <x:c r="B83" s="753" t="str">
        <x:f>IF('幕间计算'!V103&gt;0,INDEX($B$107:$B$1106,'幕间计算'!V103),IF('幕间计算'!A103="","","幕间1"))</x:f>
        <x:v/>
      </x:c>
      <x:c r="C83" s="756" t="str">
        <x:f>IF('幕间计算'!V103&gt;0,INDEX($C$107:$C$1106,'幕间计算'!V103),IF('幕间计算'!A103="","",IF($F$3="","",$F$3)))</x:f>
        <x:v/>
      </x:c>
      <x:c r="D83" s="753" t="str">
        <x:f>IF('幕间计算'!V103&gt;0,INDEX($D$107:$D$1106,'幕间计算'!V103),IF('幕间计算'!A103="","",'幕间计算'!A103))</x:f>
        <x:v/>
      </x:c>
      <x:c r="E83" s="753" t="str">
        <x:f>IF('幕间计算'!V103&gt;0,INDEX($E$107:$E$1106,'幕间计算'!V103),IF('幕间计算'!A103="","",'幕间计算'!B103))</x:f>
        <x:v/>
      </x:c>
      <x:c r="F83" s="753" t="str">
        <x:f>IF('幕间计算'!V103&gt;0,INDEX($F$107:$F$1106,'幕间计算'!V103),IF('幕间计算'!A103="","",'幕间计算'!D103))</x:f>
        <x:v/>
      </x:c>
      <x:c r="G83" s="753" t="str">
        <x:f>IF('幕间计算'!V103&gt;0,INDEX($G$107:$G$1106,'幕间计算'!V103),IF('幕间计算'!A103="","",'幕间计算'!B103+'幕间计算'!D103))</x:f>
        <x:v/>
      </x:c>
      <x:c r="H83" s="753" t="str">
        <x:f>IF('幕间计算'!V103&gt;0,INDEX($H$107:$H$1106,'幕间计算'!V103),IF('幕间计算'!A103="","",'幕间与结算'!$B$74&amp;IF('幕间与结算'!$B$78="","","："&amp;'幕间与结算'!$B$78)))</x:f>
        <x:v/>
      </x:c>
      <x:c r="I83" s="753" t="str">
        <x:f>IF('幕间计算'!V103&gt;0,INDEX($I$107:$I$1106,'幕间计算'!V103),IF('幕间计算'!A103="","",IF('幕间计算'!$T$100="可归档",'幕间计算'!$AO$5&amp;"-幕间1-4","")))</x:f>
        <x:v/>
      </x:c>
      <x:c r="J83" s="753"/>
      <x:c r="K83" s="753" t="str">
        <x:f>IF(D83="","",'幕间计算'!$T$100)</x:f>
        <x:v/>
      </x:c>
    </x:row>
    <x:row r="84" ht="25" customHeight="1">
      <x:c r="A84" s="753" t="str">
        <x:f>IF('幕间计算'!V104&gt;0,INDEX($A$107:$A$1106,'幕间计算'!V104),IF('幕间计算'!A104="","",'幕间计算'!$AO$5))</x:f>
        <x:v/>
      </x:c>
      <x:c r="B84" s="753" t="str">
        <x:f>IF('幕间计算'!V104&gt;0,INDEX($B$107:$B$1106,'幕间计算'!V104),IF('幕间计算'!A104="","","幕间1"))</x:f>
        <x:v/>
      </x:c>
      <x:c r="C84" s="756" t="str">
        <x:f>IF('幕间计算'!V104&gt;0,INDEX($C$107:$C$1106,'幕间计算'!V104),IF('幕间计算'!A104="","",IF($F$3="","",$F$3)))</x:f>
        <x:v/>
      </x:c>
      <x:c r="D84" s="753" t="str">
        <x:f>IF('幕间计算'!V104&gt;0,INDEX($D$107:$D$1106,'幕间计算'!V104),IF('幕间计算'!A104="","",'幕间计算'!A104))</x:f>
        <x:v/>
      </x:c>
      <x:c r="E84" s="753" t="str">
        <x:f>IF('幕间计算'!V104&gt;0,INDEX($E$107:$E$1106,'幕间计算'!V104),IF('幕间计算'!A104="","",'幕间计算'!B104))</x:f>
        <x:v/>
      </x:c>
      <x:c r="F84" s="753" t="str">
        <x:f>IF('幕间计算'!V104&gt;0,INDEX($F$107:$F$1106,'幕间计算'!V104),IF('幕间计算'!A104="","",'幕间计算'!D104))</x:f>
        <x:v/>
      </x:c>
      <x:c r="G84" s="753" t="str">
        <x:f>IF('幕间计算'!V104&gt;0,INDEX($G$107:$G$1106,'幕间计算'!V104),IF('幕间计算'!A104="","",'幕间计算'!B104+'幕间计算'!D104))</x:f>
        <x:v/>
      </x:c>
      <x:c r="H84" s="753" t="str">
        <x:f>IF('幕间计算'!V104&gt;0,INDEX($H$107:$H$1106,'幕间计算'!V104),IF('幕间计算'!A104="","",'幕间与结算'!$B$74&amp;IF('幕间与结算'!$B$78="","","："&amp;'幕间与结算'!$B$78)))</x:f>
        <x:v/>
      </x:c>
      <x:c r="I84" s="753" t="str">
        <x:f>IF('幕间计算'!V104&gt;0,INDEX($I$107:$I$1106,'幕间计算'!V104),IF('幕间计算'!A104="","",IF('幕间计算'!$T$100="可归档",'幕间计算'!$AO$5&amp;"-幕间1-5","")))</x:f>
        <x:v/>
      </x:c>
      <x:c r="J84" s="753"/>
      <x:c r="K84" s="753" t="str">
        <x:f>IF(D84="","",'幕间计算'!$T$100)</x:f>
        <x:v/>
      </x:c>
    </x:row>
    <x:row r="85" ht="25" customHeight="1">
      <x:c r="A85" s="749" t="str">
        <x:f>'幕间计算'!T100</x:f>
        <x:v/>
      </x:c>
      <x:c r="B85" s="749"/>
      <x:c r="C85" s="762"/>
      <x:c r="D85" s="749"/>
      <x:c r="E85" s="749"/>
      <x:c r="F85" s="749"/>
      <x:c r="G85" s="749"/>
      <x:c r="H85" s="749"/>
      <x:c r="I85" s="749"/>
      <x:c r="J85" s="749"/>
      <x:c r="K85" s="749"/>
    </x:row>
    <x:row r="86" ht="25" customHeight="1">
      <x:c r="A86" s="742"/>
      <x:c r="B86" s="742"/>
      <x:c r="C86" s="758"/>
      <x:c r="D86" s="742"/>
      <x:c r="E86" s="742"/>
      <x:c r="F86" s="742"/>
      <x:c r="G86" s="742"/>
      <x:c r="H86" s="742"/>
      <x:c r="I86" s="742"/>
      <x:c r="J86" s="742"/>
      <x:c r="K86" s="742"/>
    </x:row>
    <x:row r="87" ht="25" customHeight="1">
      <x:c r="A87" s="742"/>
      <x:c r="B87" s="742"/>
      <x:c r="C87" s="758"/>
      <x:c r="D87" s="742"/>
      <x:c r="E87" s="742"/>
      <x:c r="F87" s="742"/>
      <x:c r="G87" s="742"/>
      <x:c r="H87" s="742"/>
      <x:c r="I87" s="742"/>
      <x:c r="J87" s="742"/>
      <x:c r="K87" s="742"/>
    </x:row>
    <x:row r="88" ht="25" customHeight="1">
      <x:c r="A88" s="742"/>
      <x:c r="B88" s="742"/>
      <x:c r="C88" s="758"/>
      <x:c r="D88" s="742"/>
      <x:c r="E88" s="742"/>
      <x:c r="F88" s="742"/>
      <x:c r="G88" s="742"/>
      <x:c r="H88" s="742"/>
      <x:c r="I88" s="742"/>
      <x:c r="J88" s="742"/>
      <x:c r="K88" s="742"/>
    </x:row>
    <x:row r="89" ht="28" customHeight="1">
      <x:c r="A89" s="751" t="str">
        <x:v>第2次幕间</x:v>
      </x:c>
      <x:c r="B89" s="751"/>
      <x:c r="C89" s="759"/>
      <x:c r="D89" s="751"/>
      <x:c r="E89" s="751"/>
      <x:c r="F89" s="751"/>
      <x:c r="G89" s="751"/>
      <x:c r="H89" s="751"/>
      <x:c r="I89" s="751"/>
      <x:c r="J89" s="751"/>
      <x:c r="K89" s="751"/>
    </x:row>
    <x:row r="90" ht="25" customHeight="1">
      <x:c r="A90" s="742" t="str">
        <x:v>事项</x:v>
      </x:c>
      <x:c r="B90" s="747"/>
      <x:c r="C90" s="760"/>
      <x:c r="D90" s="747"/>
      <x:c r="E90" s="742" t="str">
        <x:v>结果</x:v>
      </x:c>
      <x:c r="F90" s="747"/>
      <x:c r="G90" s="747"/>
      <x:c r="H90" s="742" t="str">
        <x:v>治疗方式</x:v>
      </x:c>
      <x:c r="I90" s="747" t="inlineStr">
        <x:is>
          <x:t>如实告知</x:t>
        </x:is>
      </x:c>
      <x:c r="J90" s="747"/>
      <x:c r="K90" s="747"/>
    </x:row>
    <x:row r="91" ht="25" customHeight="1">
      <x:c r="A91" s="742" t="str">
        <x:v>目标1</x:v>
      </x:c>
      <x:c r="B91" s="747"/>
      <x:c r="C91" s="760"/>
      <x:c r="D91" s="747"/>
      <x:c r="E91" s="742" t="str">
        <x:v>当前值</x:v>
      </x:c>
      <x:c r="F91" s="742" t="str">
        <x:f>IF('幕间计算'!A110="","",'幕间计算'!B110)</x:f>
        <x:v/>
      </x:c>
      <x:c r="G91" s="742"/>
      <x:c r="H91" s="742" t="str">
        <x:v>骰点／批准增长</x:v>
      </x:c>
      <x:c r="I91" s="747"/>
      <x:c r="J91" s="747"/>
      <x:c r="K91" s="747"/>
    </x:row>
    <x:row r="92" ht="25" customHeight="1">
      <x:c r="A92" s="742" t="str">
        <x:v>目标2</x:v>
      </x:c>
      <x:c r="B92" s="747"/>
      <x:c r="C92" s="760"/>
      <x:c r="D92" s="747"/>
      <x:c r="E92" s="742" t="str">
        <x:v>结果2</x:v>
      </x:c>
      <x:c r="F92" s="747"/>
      <x:c r="G92" s="747"/>
      <x:c r="H92" s="742" t="str">
        <x:v>目标2骰点</x:v>
      </x:c>
      <x:c r="I92" s="747"/>
      <x:c r="J92" s="747"/>
      <x:c r="K92" s="747"/>
    </x:row>
    <x:row r="93" ht="25" customHeight="1">
      <x:c r="A93" s="742" t="str">
        <x:v>代价关系</x:v>
      </x:c>
      <x:c r="B93" s="747"/>
      <x:c r="C93" s="760"/>
      <x:c r="D93" s="747"/>
      <x:c r="E93" s="742" t="str">
        <x:v>代价关系2</x:v>
      </x:c>
      <x:c r="F93" s="747"/>
      <x:c r="G93" s="747"/>
      <x:c r="H93" s="742" t="str">
        <x:v>关系代价骰点</x:v>
      </x:c>
      <x:c r="I93" s="747"/>
      <x:c r="J93" s="747"/>
      <x:c r="K93" s="747"/>
    </x:row>
    <x:row r="94" ht="25" customHeight="1">
      <x:c r="A94" s="742" t="str">
        <x:v>事件</x:v>
      </x:c>
      <x:c r="B94" s="747"/>
      <x:c r="C94" s="760"/>
      <x:c r="D94" s="747"/>
      <x:c r="E94" s="747"/>
      <x:c r="F94" s="747"/>
      <x:c r="G94" s="747"/>
      <x:c r="H94" s="747"/>
      <x:c r="I94" s="747"/>
      <x:c r="J94" s="747"/>
      <x:c r="K94" s="747"/>
    </x:row>
    <x:row r="95" ht="28" customHeight="1">
      <x:c r="A95" s="752" t="str">
        <x:v>模组</x:v>
      </x:c>
      <x:c r="B95" s="752" t="str">
        <x:v>阶段</x:v>
      </x:c>
      <x:c r="C95" s="761" t="str">
        <x:v>游戏内日期</x:v>
      </x:c>
      <x:c r="D95" s="752" t="str">
        <x:v>目标</x:v>
      </x:c>
      <x:c r="E95" s="752" t="str">
        <x:v>变更前</x:v>
      </x:c>
      <x:c r="F95" s="752" t="str">
        <x:v>增减</x:v>
      </x:c>
      <x:c r="G95" s="752" t="str">
        <x:v>变更后</x:v>
      </x:c>
      <x:c r="H95" s="752" t="str">
        <x:v>事件／活动</x:v>
      </x:c>
      <x:c r="I95" s="752" t="str">
        <x:v>记录编号</x:v>
      </x:c>
      <x:c r="J95" s="752" t="str"/>
      <x:c r="K95" s="752" t="str">
        <x:v>状态</x:v>
      </x:c>
    </x:row>
    <x:row r="96" ht="25" customHeight="1">
      <x:c r="A96" s="753" t="str">
        <x:f>IF('幕间计算'!V110&gt;0,INDEX($A$107:$A$1106,'幕间计算'!V110),IF('幕间计算'!A110="","",'幕间计算'!$AO$5))</x:f>
        <x:v/>
      </x:c>
      <x:c r="B96" s="753" t="str">
        <x:f>IF('幕间计算'!V110&gt;0,INDEX($B$107:$B$1106,'幕间计算'!V110),IF('幕间计算'!A110="","","幕间2"))</x:f>
        <x:v/>
      </x:c>
      <x:c r="C96" s="756" t="str">
        <x:f>IF('幕间计算'!V110&gt;0,INDEX($C$107:$C$1106,'幕间计算'!V110),IF('幕间计算'!A110="","",IF($F$3="","",$F$3)))</x:f>
        <x:v/>
      </x:c>
      <x:c r="D96" s="753" t="str">
        <x:f>IF('幕间计算'!V110&gt;0,INDEX($D$107:$D$1106,'幕间计算'!V110),IF('幕间计算'!A110="","",'幕间计算'!A110))</x:f>
        <x:v/>
      </x:c>
      <x:c r="E96" s="753" t="str">
        <x:f>IF('幕间计算'!V110&gt;0,INDEX($E$107:$E$1106,'幕间计算'!V110),IF('幕间计算'!A110="","",'幕间计算'!B110))</x:f>
        <x:v/>
      </x:c>
      <x:c r="F96" s="753" t="str">
        <x:f>IF('幕间计算'!V110&gt;0,INDEX($F$107:$F$1106,'幕间计算'!V110),IF('幕间计算'!A110="","",'幕间计算'!D110))</x:f>
        <x:v/>
      </x:c>
      <x:c r="G96" s="753" t="str">
        <x:f>IF('幕间计算'!V110&gt;0,INDEX($G$107:$G$1106,'幕间计算'!V110),IF('幕间计算'!A110="","",'幕间计算'!B110+'幕间计算'!D110))</x:f>
        <x:v/>
      </x:c>
      <x:c r="H96" s="753" t="str">
        <x:f>IF('幕间计算'!V110&gt;0,INDEX($H$107:$H$1106,'幕间计算'!V110),IF('幕间计算'!A110="","",'幕间与结算'!$B$90&amp;IF('幕间与结算'!$B$94="","","："&amp;'幕间与结算'!$B$94)))</x:f>
        <x:v/>
      </x:c>
      <x:c r="I96" s="753" t="str">
        <x:f>IF('幕间计算'!V110&gt;0,INDEX($I$107:$I$1106,'幕间计算'!V110),IF('幕间计算'!A110="","",IF('幕间计算'!$T$110="可归档",'幕间计算'!$AO$5&amp;"-幕间2-1","")))</x:f>
        <x:v/>
      </x:c>
      <x:c r="J96" s="753"/>
      <x:c r="K96" s="753" t="str">
        <x:f>IF(D96="","",'幕间计算'!$T$110)</x:f>
        <x:v/>
      </x:c>
    </x:row>
    <x:row r="97" ht="25" customHeight="1">
      <x:c r="A97" s="753" t="str">
        <x:f>IF('幕间计算'!V111&gt;0,INDEX($A$107:$A$1106,'幕间计算'!V111),IF('幕间计算'!A111="","",'幕间计算'!$AO$5))</x:f>
        <x:v/>
      </x:c>
      <x:c r="B97" s="753" t="str">
        <x:f>IF('幕间计算'!V111&gt;0,INDEX($B$107:$B$1106,'幕间计算'!V111),IF('幕间计算'!A111="","","幕间2"))</x:f>
        <x:v/>
      </x:c>
      <x:c r="C97" s="756" t="str">
        <x:f>IF('幕间计算'!V111&gt;0,INDEX($C$107:$C$1106,'幕间计算'!V111),IF('幕间计算'!A111="","",IF($F$3="","",$F$3)))</x:f>
        <x:v/>
      </x:c>
      <x:c r="D97" s="753" t="str">
        <x:f>IF('幕间计算'!V111&gt;0,INDEX($D$107:$D$1106,'幕间计算'!V111),IF('幕间计算'!A111="","",'幕间计算'!A111))</x:f>
        <x:v/>
      </x:c>
      <x:c r="E97" s="753" t="str">
        <x:f>IF('幕间计算'!V111&gt;0,INDEX($E$107:$E$1106,'幕间计算'!V111),IF('幕间计算'!A111="","",'幕间计算'!B111))</x:f>
        <x:v/>
      </x:c>
      <x:c r="F97" s="753" t="str">
        <x:f>IF('幕间计算'!V111&gt;0,INDEX($F$107:$F$1106,'幕间计算'!V111),IF('幕间计算'!A111="","",'幕间计算'!D111))</x:f>
        <x:v/>
      </x:c>
      <x:c r="G97" s="753" t="str">
        <x:f>IF('幕间计算'!V111&gt;0,INDEX($G$107:$G$1106,'幕间计算'!V111),IF('幕间计算'!A111="","",'幕间计算'!B111+'幕间计算'!D111))</x:f>
        <x:v/>
      </x:c>
      <x:c r="H97" s="753" t="str">
        <x:f>IF('幕间计算'!V111&gt;0,INDEX($H$107:$H$1106,'幕间计算'!V111),IF('幕间计算'!A111="","",'幕间与结算'!$B$90&amp;IF('幕间与结算'!$B$94="","","："&amp;'幕间与结算'!$B$94)))</x:f>
        <x:v/>
      </x:c>
      <x:c r="I97" s="753" t="str">
        <x:f>IF('幕间计算'!V111&gt;0,INDEX($I$107:$I$1106,'幕间计算'!V111),IF('幕间计算'!A111="","",IF('幕间计算'!$T$110="可归档",'幕间计算'!$AO$5&amp;"-幕间2-2","")))</x:f>
        <x:v/>
      </x:c>
      <x:c r="J97" s="753"/>
      <x:c r="K97" s="753" t="str">
        <x:f>IF(D97="","",'幕间计算'!$T$110)</x:f>
        <x:v/>
      </x:c>
    </x:row>
    <x:row r="98" ht="25" customHeight="1">
      <x:c r="A98" s="753" t="str">
        <x:f>IF('幕间计算'!V112&gt;0,INDEX($A$107:$A$1106,'幕间计算'!V112),IF('幕间计算'!A112="","",'幕间计算'!$AO$5))</x:f>
        <x:v/>
      </x:c>
      <x:c r="B98" s="753" t="str">
        <x:f>IF('幕间计算'!V112&gt;0,INDEX($B$107:$B$1106,'幕间计算'!V112),IF('幕间计算'!A112="","","幕间2"))</x:f>
        <x:v/>
      </x:c>
      <x:c r="C98" s="756" t="str">
        <x:f>IF('幕间计算'!V112&gt;0,INDEX($C$107:$C$1106,'幕间计算'!V112),IF('幕间计算'!A112="","",IF($F$3="","",$F$3)))</x:f>
        <x:v/>
      </x:c>
      <x:c r="D98" s="753" t="str">
        <x:f>IF('幕间计算'!V112&gt;0,INDEX($D$107:$D$1106,'幕间计算'!V112),IF('幕间计算'!A112="","",'幕间计算'!A112))</x:f>
        <x:v/>
      </x:c>
      <x:c r="E98" s="753" t="str">
        <x:f>IF('幕间计算'!V112&gt;0,INDEX($E$107:$E$1106,'幕间计算'!V112),IF('幕间计算'!A112="","",'幕间计算'!B112))</x:f>
        <x:v/>
      </x:c>
      <x:c r="F98" s="753" t="str">
        <x:f>IF('幕间计算'!V112&gt;0,INDEX($F$107:$F$1106,'幕间计算'!V112),IF('幕间计算'!A112="","",'幕间计算'!D112))</x:f>
        <x:v/>
      </x:c>
      <x:c r="G98" s="753" t="str">
        <x:f>IF('幕间计算'!V112&gt;0,INDEX($G$107:$G$1106,'幕间计算'!V112),IF('幕间计算'!A112="","",'幕间计算'!B112+'幕间计算'!D112))</x:f>
        <x:v/>
      </x:c>
      <x:c r="H98" s="753" t="str">
        <x:f>IF('幕间计算'!V112&gt;0,INDEX($H$107:$H$1106,'幕间计算'!V112),IF('幕间计算'!A112="","",'幕间与结算'!$B$90&amp;IF('幕间与结算'!$B$94="","","："&amp;'幕间与结算'!$B$94)))</x:f>
        <x:v/>
      </x:c>
      <x:c r="I98" s="753" t="str">
        <x:f>IF('幕间计算'!V112&gt;0,INDEX($I$107:$I$1106,'幕间计算'!V112),IF('幕间计算'!A112="","",IF('幕间计算'!$T$110="可归档",'幕间计算'!$AO$5&amp;"-幕间2-3","")))</x:f>
        <x:v/>
      </x:c>
      <x:c r="J98" s="753"/>
      <x:c r="K98" s="753" t="str">
        <x:f>IF(D98="","",'幕间计算'!$T$110)</x:f>
        <x:v/>
      </x:c>
    </x:row>
    <x:row r="99" ht="25" customHeight="1">
      <x:c r="A99" s="753" t="str">
        <x:f>IF('幕间计算'!V113&gt;0,INDEX($A$107:$A$1106,'幕间计算'!V113),IF('幕间计算'!A113="","",'幕间计算'!$AO$5))</x:f>
        <x:v/>
      </x:c>
      <x:c r="B99" s="753" t="str">
        <x:f>IF('幕间计算'!V113&gt;0,INDEX($B$107:$B$1106,'幕间计算'!V113),IF('幕间计算'!A113="","","幕间2"))</x:f>
        <x:v/>
      </x:c>
      <x:c r="C99" s="756" t="str">
        <x:f>IF('幕间计算'!V113&gt;0,INDEX($C$107:$C$1106,'幕间计算'!V113),IF('幕间计算'!A113="","",IF($F$3="","",$F$3)))</x:f>
        <x:v/>
      </x:c>
      <x:c r="D99" s="753" t="str">
        <x:f>IF('幕间计算'!V113&gt;0,INDEX($D$107:$D$1106,'幕间计算'!V113),IF('幕间计算'!A113="","",'幕间计算'!A113))</x:f>
        <x:v/>
      </x:c>
      <x:c r="E99" s="753" t="str">
        <x:f>IF('幕间计算'!V113&gt;0,INDEX($E$107:$E$1106,'幕间计算'!V113),IF('幕间计算'!A113="","",'幕间计算'!B113))</x:f>
        <x:v/>
      </x:c>
      <x:c r="F99" s="753" t="str">
        <x:f>IF('幕间计算'!V113&gt;0,INDEX($F$107:$F$1106,'幕间计算'!V113),IF('幕间计算'!A113="","",'幕间计算'!D113))</x:f>
        <x:v/>
      </x:c>
      <x:c r="G99" s="753" t="str">
        <x:f>IF('幕间计算'!V113&gt;0,INDEX($G$107:$G$1106,'幕间计算'!V113),IF('幕间计算'!A113="","",'幕间计算'!B113+'幕间计算'!D113))</x:f>
        <x:v/>
      </x:c>
      <x:c r="H99" s="753" t="str">
        <x:f>IF('幕间计算'!V113&gt;0,INDEX($H$107:$H$1106,'幕间计算'!V113),IF('幕间计算'!A113="","",'幕间与结算'!$B$90&amp;IF('幕间与结算'!$B$94="","","："&amp;'幕间与结算'!$B$94)))</x:f>
        <x:v/>
      </x:c>
      <x:c r="I99" s="753" t="str">
        <x:f>IF('幕间计算'!V113&gt;0,INDEX($I$107:$I$1106,'幕间计算'!V113),IF('幕间计算'!A113="","",IF('幕间计算'!$T$110="可归档",'幕间计算'!$AO$5&amp;"-幕间2-4","")))</x:f>
        <x:v/>
      </x:c>
      <x:c r="J99" s="753"/>
      <x:c r="K99" s="753" t="str">
        <x:f>IF(D99="","",'幕间计算'!$T$110)</x:f>
        <x:v/>
      </x:c>
    </x:row>
    <x:row r="100" ht="25" customHeight="1">
      <x:c r="A100" s="753" t="str">
        <x:f>IF('幕间计算'!V114&gt;0,INDEX($A$107:$A$1106,'幕间计算'!V114),IF('幕间计算'!A114="","",'幕间计算'!$AO$5))</x:f>
        <x:v/>
      </x:c>
      <x:c r="B100" s="753" t="str">
        <x:f>IF('幕间计算'!V114&gt;0,INDEX($B$107:$B$1106,'幕间计算'!V114),IF('幕间计算'!A114="","","幕间2"))</x:f>
        <x:v/>
      </x:c>
      <x:c r="C100" s="756" t="str">
        <x:f>IF('幕间计算'!V114&gt;0,INDEX($C$107:$C$1106,'幕间计算'!V114),IF('幕间计算'!A114="","",IF($F$3="","",$F$3)))</x:f>
        <x:v/>
      </x:c>
      <x:c r="D100" s="753" t="str">
        <x:f>IF('幕间计算'!V114&gt;0,INDEX($D$107:$D$1106,'幕间计算'!V114),IF('幕间计算'!A114="","",'幕间计算'!A114))</x:f>
        <x:v/>
      </x:c>
      <x:c r="E100" s="753" t="str">
        <x:f>IF('幕间计算'!V114&gt;0,INDEX($E$107:$E$1106,'幕间计算'!V114),IF('幕间计算'!A114="","",'幕间计算'!B114))</x:f>
        <x:v/>
      </x:c>
      <x:c r="F100" s="753" t="str">
        <x:f>IF('幕间计算'!V114&gt;0,INDEX($F$107:$F$1106,'幕间计算'!V114),IF('幕间计算'!A114="","",'幕间计算'!D114))</x:f>
        <x:v/>
      </x:c>
      <x:c r="G100" s="753" t="str">
        <x:f>IF('幕间计算'!V114&gt;0,INDEX($G$107:$G$1106,'幕间计算'!V114),IF('幕间计算'!A114="","",'幕间计算'!B114+'幕间计算'!D114))</x:f>
        <x:v/>
      </x:c>
      <x:c r="H100" s="753" t="str">
        <x:f>IF('幕间计算'!V114&gt;0,INDEX($H$107:$H$1106,'幕间计算'!V114),IF('幕间计算'!A114="","",'幕间与结算'!$B$90&amp;IF('幕间与结算'!$B$94="","","："&amp;'幕间与结算'!$B$94)))</x:f>
        <x:v/>
      </x:c>
      <x:c r="I100" s="753" t="str">
        <x:f>IF('幕间计算'!V114&gt;0,INDEX($I$107:$I$1106,'幕间计算'!V114),IF('幕间计算'!A114="","",IF('幕间计算'!$T$110="可归档",'幕间计算'!$AO$5&amp;"-幕间2-5","")))</x:f>
        <x:v/>
      </x:c>
      <x:c r="J100" s="753"/>
      <x:c r="K100" s="753" t="str">
        <x:f>IF(D100="","",'幕间计算'!$T$110)</x:f>
        <x:v/>
      </x:c>
    </x:row>
    <x:row r="101" ht="25" customHeight="1">
      <x:c r="A101" s="749" t="str">
        <x:f>'幕间计算'!T110</x:f>
        <x:v/>
      </x:c>
      <x:c r="B101" s="749"/>
      <x:c r="C101" s="762"/>
      <x:c r="D101" s="749"/>
      <x:c r="E101" s="749"/>
      <x:c r="F101" s="749"/>
      <x:c r="G101" s="749"/>
      <x:c r="H101" s="749"/>
      <x:c r="I101" s="749"/>
      <x:c r="J101" s="749"/>
      <x:c r="K101" s="749"/>
    </x:row>
    <x:row r="102" ht="25" customHeight="1">
      <x:c r="A102" s="742"/>
      <x:c r="B102" s="742"/>
      <x:c r="C102" s="758"/>
      <x:c r="D102" s="742"/>
      <x:c r="E102" s="742"/>
      <x:c r="F102" s="742"/>
      <x:c r="G102" s="742"/>
      <x:c r="H102" s="742"/>
      <x:c r="I102" s="742"/>
      <x:c r="J102" s="742"/>
      <x:c r="K102" s="742"/>
    </x:row>
    <x:row r="103" ht="25" customHeight="1">
      <x:c r="A103" s="742"/>
      <x:c r="B103" s="742"/>
      <x:c r="C103" s="758"/>
      <x:c r="D103" s="742"/>
      <x:c r="E103" s="742"/>
      <x:c r="F103" s="742"/>
      <x:c r="G103" s="742"/>
      <x:c r="H103" s="742"/>
      <x:c r="I103" s="742"/>
      <x:c r="J103" s="742"/>
      <x:c r="K103" s="742"/>
    </x:row>
    <x:row r="104" ht="28" customHeight="1">
      <x:c r="A104" s="751" t="str">
        <x:v>归档记录</x:v>
      </x:c>
      <x:c r="B104" s="751"/>
      <x:c r="C104" s="759"/>
      <x:c r="D104" s="751"/>
      <x:c r="E104" s="751"/>
      <x:c r="F104" s="751"/>
      <x:c r="G104" s="751"/>
      <x:c r="H104" s="751"/>
      <x:c r="I104" s="751"/>
      <x:c r="J104" s="751"/>
      <x:c r="K104" s="751"/>
    </x:row>
    <x:row r="105" ht="25" customHeight="1">
      <x:c r="A105" s="749" t="str">
        <x:v>只在空行粘贴为值（前九列）。有效记录立即计入主卡；重复记录不再计入。</x:v>
      </x:c>
      <x:c r="B105" s="749"/>
      <x:c r="C105" s="762"/>
      <x:c r="D105" s="749"/>
      <x:c r="E105" s="749"/>
      <x:c r="F105" s="749"/>
      <x:c r="G105" s="749"/>
      <x:c r="H105" s="749"/>
      <x:c r="I105" s="749"/>
      <x:c r="J105" s="749"/>
      <x:c r="K105" s="749"/>
    </x:row>
    <x:row r="106" ht="28" customHeight="1">
      <x:c r="A106" s="752" t="str">
        <x:v>模组</x:v>
      </x:c>
      <x:c r="B106" s="752" t="str">
        <x:v>阶段</x:v>
      </x:c>
      <x:c r="C106" s="761" t="str">
        <x:v>游戏内日期</x:v>
      </x:c>
      <x:c r="D106" s="752" t="str">
        <x:v>目标</x:v>
      </x:c>
      <x:c r="E106" s="752" t="str">
        <x:v>变更前</x:v>
      </x:c>
      <x:c r="F106" s="752" t="str">
        <x:v>增减</x:v>
      </x:c>
      <x:c r="G106" s="752" t="str">
        <x:v>变更后</x:v>
      </x:c>
      <x:c r="H106" s="752" t="str">
        <x:v>事件／活动</x:v>
      </x:c>
      <x:c r="I106" s="752" t="str">
        <x:v>记录编号</x:v>
      </x:c>
      <x:c r="J106" s="752" t="str">
        <x:v>已计变化</x:v>
      </x:c>
      <x:c r="K106" s="752" t="str">
        <x:v>校验</x:v>
      </x:c>
    </x:row>
    <x:row r="107" ht="25" customHeight="1">
      <x:c r="A107" s="747"/>
      <x:c r="B107" s="747"/>
      <x:c r="C107" s="760"/>
      <x:c r="D107" s="747"/>
      <x:c r="E107" s="747"/>
      <x:c r="F107" s="747"/>
      <x:c r="G107" s="747"/>
      <x:c r="H107" s="747"/>
      <x:c r="I107" s="747"/>
      <x:c r="J107" s="753">
        <x:f>'幕间计算'!E200</x:f>
        <x:v>0</x:v>
      </x:c>
      <x:c r="K107" s="753" t="str">
        <x:f>'幕间计算'!F200</x:f>
        <x:v/>
      </x:c>
    </x:row>
    <x:row r="108" ht="25" customHeight="1">
      <x:c r="A108" s="747"/>
      <x:c r="B108" s="747"/>
      <x:c r="C108" s="760"/>
      <x:c r="D108" s="747"/>
      <x:c r="E108" s="747"/>
      <x:c r="F108" s="747"/>
      <x:c r="G108" s="747"/>
      <x:c r="H108" s="747"/>
      <x:c r="I108" s="747"/>
      <x:c r="J108" s="753">
        <x:f>'幕间计算'!E201</x:f>
        <x:v>0</x:v>
      </x:c>
      <x:c r="K108" s="753" t="str">
        <x:f>'幕间计算'!F201</x:f>
        <x:v/>
      </x:c>
    </x:row>
    <x:row r="109" ht="25" customHeight="1">
      <x:c r="A109" s="747"/>
      <x:c r="B109" s="747"/>
      <x:c r="C109" s="760"/>
      <x:c r="D109" s="747"/>
      <x:c r="E109" s="747"/>
      <x:c r="F109" s="747"/>
      <x:c r="G109" s="747"/>
      <x:c r="H109" s="747"/>
      <x:c r="I109" s="747"/>
      <x:c r="J109" s="753">
        <x:f>'幕间计算'!E202</x:f>
        <x:v>0</x:v>
      </x:c>
      <x:c r="K109" s="753" t="str">
        <x:f>'幕间计算'!F202</x:f>
        <x:v/>
      </x:c>
    </x:row>
    <x:row r="110" ht="25" customHeight="1">
      <x:c r="A110" s="747"/>
      <x:c r="B110" s="747"/>
      <x:c r="C110" s="760"/>
      <x:c r="D110" s="747"/>
      <x:c r="E110" s="747"/>
      <x:c r="F110" s="747"/>
      <x:c r="G110" s="747"/>
      <x:c r="H110" s="747"/>
      <x:c r="I110" s="747"/>
      <x:c r="J110" s="753">
        <x:f>'幕间计算'!E203</x:f>
        <x:v>0</x:v>
      </x:c>
      <x:c r="K110" s="753" t="str">
        <x:f>'幕间计算'!F203</x:f>
        <x:v/>
      </x:c>
    </x:row>
    <x:row r="111" ht="25" customHeight="1">
      <x:c r="A111" s="747"/>
      <x:c r="B111" s="747"/>
      <x:c r="C111" s="760"/>
      <x:c r="D111" s="747"/>
      <x:c r="E111" s="747"/>
      <x:c r="F111" s="747"/>
      <x:c r="G111" s="747"/>
      <x:c r="H111" s="747"/>
      <x:c r="I111" s="747"/>
      <x:c r="J111" s="753">
        <x:f>'幕间计算'!E204</x:f>
        <x:v>0</x:v>
      </x:c>
      <x:c r="K111" s="753" t="str">
        <x:f>'幕间计算'!F204</x:f>
        <x:v/>
      </x:c>
    </x:row>
    <x:row r="112" ht="25" customHeight="1">
      <x:c r="A112" s="747"/>
      <x:c r="B112" s="747"/>
      <x:c r="C112" s="760"/>
      <x:c r="D112" s="747"/>
      <x:c r="E112" s="747"/>
      <x:c r="F112" s="747"/>
      <x:c r="G112" s="747"/>
      <x:c r="H112" s="747"/>
      <x:c r="I112" s="747"/>
      <x:c r="J112" s="753">
        <x:f>'幕间计算'!E205</x:f>
        <x:v>0</x:v>
      </x:c>
      <x:c r="K112" s="753" t="str">
        <x:f>'幕间计算'!F205</x:f>
        <x:v/>
      </x:c>
    </x:row>
    <x:row r="113" ht="25" customHeight="1">
      <x:c r="A113" s="747"/>
      <x:c r="B113" s="747"/>
      <x:c r="C113" s="760"/>
      <x:c r="D113" s="747"/>
      <x:c r="E113" s="747"/>
      <x:c r="F113" s="747"/>
      <x:c r="G113" s="747"/>
      <x:c r="H113" s="747"/>
      <x:c r="I113" s="747"/>
      <x:c r="J113" s="753">
        <x:f>'幕间计算'!E206</x:f>
        <x:v>0</x:v>
      </x:c>
      <x:c r="K113" s="753" t="str">
        <x:f>'幕间计算'!F206</x:f>
        <x:v/>
      </x:c>
    </x:row>
    <x:row r="114" ht="25" customHeight="1">
      <x:c r="A114" s="747"/>
      <x:c r="B114" s="747"/>
      <x:c r="C114" s="760"/>
      <x:c r="D114" s="747"/>
      <x:c r="E114" s="747"/>
      <x:c r="F114" s="747"/>
      <x:c r="G114" s="747"/>
      <x:c r="H114" s="747"/>
      <x:c r="I114" s="747"/>
      <x:c r="J114" s="753">
        <x:f>'幕间计算'!E207</x:f>
        <x:v>0</x:v>
      </x:c>
      <x:c r="K114" s="753" t="str">
        <x:f>'幕间计算'!F207</x:f>
        <x:v/>
      </x:c>
    </x:row>
    <x:row r="115" ht="25" customHeight="1">
      <x:c r="A115" s="747"/>
      <x:c r="B115" s="747"/>
      <x:c r="C115" s="760"/>
      <x:c r="D115" s="747"/>
      <x:c r="E115" s="747"/>
      <x:c r="F115" s="747"/>
      <x:c r="G115" s="747"/>
      <x:c r="H115" s="747"/>
      <x:c r="I115" s="747"/>
      <x:c r="J115" s="753">
        <x:f>'幕间计算'!E208</x:f>
        <x:v>0</x:v>
      </x:c>
      <x:c r="K115" s="753" t="str">
        <x:f>'幕间计算'!F208</x:f>
        <x:v/>
      </x:c>
    </x:row>
    <x:row r="116" ht="25" customHeight="1">
      <x:c r="A116" s="747"/>
      <x:c r="B116" s="747"/>
      <x:c r="C116" s="760"/>
      <x:c r="D116" s="747"/>
      <x:c r="E116" s="747"/>
      <x:c r="F116" s="747"/>
      <x:c r="G116" s="747"/>
      <x:c r="H116" s="747"/>
      <x:c r="I116" s="747"/>
      <x:c r="J116" s="753">
        <x:f>'幕间计算'!E209</x:f>
        <x:v>0</x:v>
      </x:c>
      <x:c r="K116" s="753" t="str">
        <x:f>'幕间计算'!F209</x:f>
        <x:v/>
      </x:c>
    </x:row>
    <x:row r="117" ht="25" customHeight="1">
      <x:c r="A117" s="747"/>
      <x:c r="B117" s="747"/>
      <x:c r="C117" s="760"/>
      <x:c r="D117" s="747"/>
      <x:c r="E117" s="747"/>
      <x:c r="F117" s="747"/>
      <x:c r="G117" s="747"/>
      <x:c r="H117" s="747"/>
      <x:c r="I117" s="747"/>
      <x:c r="J117" s="753">
        <x:f>'幕间计算'!E210</x:f>
        <x:v>0</x:v>
      </x:c>
      <x:c r="K117" s="753" t="str">
        <x:f>'幕间计算'!F210</x:f>
        <x:v/>
      </x:c>
    </x:row>
    <x:row r="118" ht="25" customHeight="1">
      <x:c r="A118" s="747"/>
      <x:c r="B118" s="747"/>
      <x:c r="C118" s="760"/>
      <x:c r="D118" s="747"/>
      <x:c r="E118" s="747"/>
      <x:c r="F118" s="747"/>
      <x:c r="G118" s="747"/>
      <x:c r="H118" s="747"/>
      <x:c r="I118" s="747"/>
      <x:c r="J118" s="753">
        <x:f>'幕间计算'!E211</x:f>
        <x:v>0</x:v>
      </x:c>
      <x:c r="K118" s="753" t="str">
        <x:f>'幕间计算'!F211</x:f>
        <x:v/>
      </x:c>
    </x:row>
    <x:row r="119" ht="25" customHeight="1">
      <x:c r="A119" s="747"/>
      <x:c r="B119" s="747"/>
      <x:c r="C119" s="760"/>
      <x:c r="D119" s="747"/>
      <x:c r="E119" s="747"/>
      <x:c r="F119" s="747"/>
      <x:c r="G119" s="747"/>
      <x:c r="H119" s="747"/>
      <x:c r="I119" s="747"/>
      <x:c r="J119" s="753">
        <x:f>'幕间计算'!E212</x:f>
        <x:v>0</x:v>
      </x:c>
      <x:c r="K119" s="753" t="str">
        <x:f>'幕间计算'!F212</x:f>
        <x:v/>
      </x:c>
    </x:row>
    <x:row r="120" ht="25" customHeight="1">
      <x:c r="A120" s="747"/>
      <x:c r="B120" s="747"/>
      <x:c r="C120" s="760"/>
      <x:c r="D120" s="747"/>
      <x:c r="E120" s="747"/>
      <x:c r="F120" s="747"/>
      <x:c r="G120" s="747"/>
      <x:c r="H120" s="747"/>
      <x:c r="I120" s="747"/>
      <x:c r="J120" s="753">
        <x:f>'幕间计算'!E213</x:f>
        <x:v>0</x:v>
      </x:c>
      <x:c r="K120" s="753" t="str">
        <x:f>'幕间计算'!F213</x:f>
        <x:v/>
      </x:c>
    </x:row>
    <x:row r="121" ht="25" customHeight="1">
      <x:c r="A121" s="747"/>
      <x:c r="B121" s="747"/>
      <x:c r="C121" s="760"/>
      <x:c r="D121" s="747"/>
      <x:c r="E121" s="747"/>
      <x:c r="F121" s="747"/>
      <x:c r="G121" s="747"/>
      <x:c r="H121" s="747"/>
      <x:c r="I121" s="747"/>
      <x:c r="J121" s="753">
        <x:f>'幕间计算'!E214</x:f>
        <x:v>0</x:v>
      </x:c>
      <x:c r="K121" s="753" t="str">
        <x:f>'幕间计算'!F214</x:f>
        <x:v/>
      </x:c>
    </x:row>
    <x:row r="122" ht="25" customHeight="1">
      <x:c r="A122" s="747"/>
      <x:c r="B122" s="747"/>
      <x:c r="C122" s="760"/>
      <x:c r="D122" s="747"/>
      <x:c r="E122" s="747"/>
      <x:c r="F122" s="747"/>
      <x:c r="G122" s="747"/>
      <x:c r="H122" s="747"/>
      <x:c r="I122" s="747"/>
      <x:c r="J122" s="753">
        <x:f>'幕间计算'!E215</x:f>
        <x:v>0</x:v>
      </x:c>
      <x:c r="K122" s="753" t="str">
        <x:f>'幕间计算'!F215</x:f>
        <x:v/>
      </x:c>
    </x:row>
    <x:row r="123" ht="25" customHeight="1">
      <x:c r="A123" s="747"/>
      <x:c r="B123" s="747"/>
      <x:c r="C123" s="760"/>
      <x:c r="D123" s="747"/>
      <x:c r="E123" s="747"/>
      <x:c r="F123" s="747"/>
      <x:c r="G123" s="747"/>
      <x:c r="H123" s="747"/>
      <x:c r="I123" s="747"/>
      <x:c r="J123" s="753">
        <x:f>'幕间计算'!E216</x:f>
        <x:v>0</x:v>
      </x:c>
      <x:c r="K123" s="753" t="str">
        <x:f>'幕间计算'!F216</x:f>
        <x:v/>
      </x:c>
    </x:row>
    <x:row r="124" ht="25" customHeight="1">
      <x:c r="A124" s="747"/>
      <x:c r="B124" s="747"/>
      <x:c r="C124" s="760"/>
      <x:c r="D124" s="747"/>
      <x:c r="E124" s="747"/>
      <x:c r="F124" s="747"/>
      <x:c r="G124" s="747"/>
      <x:c r="H124" s="747"/>
      <x:c r="I124" s="747"/>
      <x:c r="J124" s="753">
        <x:f>'幕间计算'!E217</x:f>
        <x:v>0</x:v>
      </x:c>
      <x:c r="K124" s="753" t="str">
        <x:f>'幕间计算'!F217</x:f>
        <x:v/>
      </x:c>
    </x:row>
    <x:row r="125" ht="25" customHeight="1">
      <x:c r="A125" s="747"/>
      <x:c r="B125" s="747"/>
      <x:c r="C125" s="760"/>
      <x:c r="D125" s="747"/>
      <x:c r="E125" s="747"/>
      <x:c r="F125" s="747"/>
      <x:c r="G125" s="747"/>
      <x:c r="H125" s="747"/>
      <x:c r="I125" s="747"/>
      <x:c r="J125" s="753">
        <x:f>'幕间计算'!E218</x:f>
        <x:v>0</x:v>
      </x:c>
      <x:c r="K125" s="753" t="str">
        <x:f>'幕间计算'!F218</x:f>
        <x:v/>
      </x:c>
    </x:row>
    <x:row r="126" ht="25" customHeight="1">
      <x:c r="A126" s="747"/>
      <x:c r="B126" s="747"/>
      <x:c r="C126" s="760"/>
      <x:c r="D126" s="747"/>
      <x:c r="E126" s="747"/>
      <x:c r="F126" s="747"/>
      <x:c r="G126" s="747"/>
      <x:c r="H126" s="747"/>
      <x:c r="I126" s="747"/>
      <x:c r="J126" s="753">
        <x:f>'幕间计算'!E219</x:f>
        <x:v>0</x:v>
      </x:c>
      <x:c r="K126" s="753" t="str">
        <x:f>'幕间计算'!F219</x:f>
        <x:v/>
      </x:c>
    </x:row>
    <x:row r="127" ht="25" customHeight="1">
      <x:c r="A127" s="747"/>
      <x:c r="B127" s="747"/>
      <x:c r="C127" s="760"/>
      <x:c r="D127" s="747"/>
      <x:c r="E127" s="747"/>
      <x:c r="F127" s="747"/>
      <x:c r="G127" s="747"/>
      <x:c r="H127" s="747"/>
      <x:c r="I127" s="747"/>
      <x:c r="J127" s="753">
        <x:f>'幕间计算'!E220</x:f>
        <x:v>0</x:v>
      </x:c>
      <x:c r="K127" s="753" t="str">
        <x:f>'幕间计算'!F220</x:f>
        <x:v/>
      </x:c>
    </x:row>
    <x:row r="128" ht="25" customHeight="1">
      <x:c r="A128" s="747"/>
      <x:c r="B128" s="747"/>
      <x:c r="C128" s="760"/>
      <x:c r="D128" s="747"/>
      <x:c r="E128" s="747"/>
      <x:c r="F128" s="747"/>
      <x:c r="G128" s="747"/>
      <x:c r="H128" s="747"/>
      <x:c r="I128" s="747"/>
      <x:c r="J128" s="753">
        <x:f>'幕间计算'!E221</x:f>
        <x:v>0</x:v>
      </x:c>
      <x:c r="K128" s="753" t="str">
        <x:f>'幕间计算'!F221</x:f>
        <x:v/>
      </x:c>
    </x:row>
    <x:row r="129" ht="25" customHeight="1">
      <x:c r="A129" s="747"/>
      <x:c r="B129" s="747"/>
      <x:c r="C129" s="760"/>
      <x:c r="D129" s="747"/>
      <x:c r="E129" s="747"/>
      <x:c r="F129" s="747"/>
      <x:c r="G129" s="747"/>
      <x:c r="H129" s="747"/>
      <x:c r="I129" s="747"/>
      <x:c r="J129" s="753">
        <x:f>'幕间计算'!E222</x:f>
        <x:v>0</x:v>
      </x:c>
      <x:c r="K129" s="753" t="str">
        <x:f>'幕间计算'!F222</x:f>
        <x:v/>
      </x:c>
    </x:row>
    <x:row r="130" ht="25" customHeight="1">
      <x:c r="A130" s="747"/>
      <x:c r="B130" s="747"/>
      <x:c r="C130" s="760"/>
      <x:c r="D130" s="747"/>
      <x:c r="E130" s="747"/>
      <x:c r="F130" s="747"/>
      <x:c r="G130" s="747"/>
      <x:c r="H130" s="747"/>
      <x:c r="I130" s="747"/>
      <x:c r="J130" s="753">
        <x:f>'幕间计算'!E223</x:f>
        <x:v>0</x:v>
      </x:c>
      <x:c r="K130" s="753" t="str">
        <x:f>'幕间计算'!F223</x:f>
        <x:v/>
      </x:c>
    </x:row>
    <x:row r="131" ht="25" customHeight="1">
      <x:c r="A131" s="747"/>
      <x:c r="B131" s="747"/>
      <x:c r="C131" s="760"/>
      <x:c r="D131" s="747"/>
      <x:c r="E131" s="747"/>
      <x:c r="F131" s="747"/>
      <x:c r="G131" s="747"/>
      <x:c r="H131" s="747"/>
      <x:c r="I131" s="747"/>
      <x:c r="J131" s="753">
        <x:f>'幕间计算'!E224</x:f>
        <x:v>0</x:v>
      </x:c>
      <x:c r="K131" s="753" t="str">
        <x:f>'幕间计算'!F224</x:f>
        <x:v/>
      </x:c>
    </x:row>
    <x:row r="132" ht="25" customHeight="1">
      <x:c r="A132" s="747"/>
      <x:c r="B132" s="747"/>
      <x:c r="C132" s="760"/>
      <x:c r="D132" s="747"/>
      <x:c r="E132" s="747"/>
      <x:c r="F132" s="747"/>
      <x:c r="G132" s="747"/>
      <x:c r="H132" s="747"/>
      <x:c r="I132" s="747"/>
      <x:c r="J132" s="753">
        <x:f>'幕间计算'!E225</x:f>
        <x:v>0</x:v>
      </x:c>
      <x:c r="K132" s="753" t="str">
        <x:f>'幕间计算'!F225</x:f>
        <x:v/>
      </x:c>
    </x:row>
    <x:row r="133" ht="25" customHeight="1">
      <x:c r="A133" s="747"/>
      <x:c r="B133" s="747"/>
      <x:c r="C133" s="760"/>
      <x:c r="D133" s="747"/>
      <x:c r="E133" s="747"/>
      <x:c r="F133" s="747"/>
      <x:c r="G133" s="747"/>
      <x:c r="H133" s="747"/>
      <x:c r="I133" s="747"/>
      <x:c r="J133" s="753">
        <x:f>'幕间计算'!E226</x:f>
        <x:v>0</x:v>
      </x:c>
      <x:c r="K133" s="753" t="str">
        <x:f>'幕间计算'!F226</x:f>
        <x:v/>
      </x:c>
    </x:row>
    <x:row r="134" ht="25" customHeight="1">
      <x:c r="A134" s="747"/>
      <x:c r="B134" s="747"/>
      <x:c r="C134" s="760"/>
      <x:c r="D134" s="747"/>
      <x:c r="E134" s="747"/>
      <x:c r="F134" s="747"/>
      <x:c r="G134" s="747"/>
      <x:c r="H134" s="747"/>
      <x:c r="I134" s="747"/>
      <x:c r="J134" s="753">
        <x:f>'幕间计算'!E227</x:f>
        <x:v>0</x:v>
      </x:c>
      <x:c r="K134" s="753" t="str">
        <x:f>'幕间计算'!F227</x:f>
        <x:v/>
      </x:c>
    </x:row>
    <x:row r="135" ht="25" customHeight="1">
      <x:c r="A135" s="747"/>
      <x:c r="B135" s="747"/>
      <x:c r="C135" s="760"/>
      <x:c r="D135" s="747"/>
      <x:c r="E135" s="747"/>
      <x:c r="F135" s="747"/>
      <x:c r="G135" s="747"/>
      <x:c r="H135" s="747"/>
      <x:c r="I135" s="747"/>
      <x:c r="J135" s="753">
        <x:f>'幕间计算'!E228</x:f>
        <x:v>0</x:v>
      </x:c>
      <x:c r="K135" s="753" t="str">
        <x:f>'幕间计算'!F228</x:f>
        <x:v/>
      </x:c>
    </x:row>
    <x:row r="136" ht="25" customHeight="1">
      <x:c r="A136" s="747"/>
      <x:c r="B136" s="747"/>
      <x:c r="C136" s="760"/>
      <x:c r="D136" s="747"/>
      <x:c r="E136" s="747"/>
      <x:c r="F136" s="747"/>
      <x:c r="G136" s="747"/>
      <x:c r="H136" s="747"/>
      <x:c r="I136" s="747"/>
      <x:c r="J136" s="753">
        <x:f>'幕间计算'!E229</x:f>
        <x:v>0</x:v>
      </x:c>
      <x:c r="K136" s="753" t="str">
        <x:f>'幕间计算'!F229</x:f>
        <x:v/>
      </x:c>
    </x:row>
    <x:row r="137" ht="25" customHeight="1">
      <x:c r="A137" s="747"/>
      <x:c r="B137" s="747"/>
      <x:c r="C137" s="760"/>
      <x:c r="D137" s="747"/>
      <x:c r="E137" s="747"/>
      <x:c r="F137" s="747"/>
      <x:c r="G137" s="747"/>
      <x:c r="H137" s="747"/>
      <x:c r="I137" s="747"/>
      <x:c r="J137" s="753">
        <x:f>'幕间计算'!E230</x:f>
        <x:v>0</x:v>
      </x:c>
      <x:c r="K137" s="753" t="str">
        <x:f>'幕间计算'!F230</x:f>
        <x:v/>
      </x:c>
    </x:row>
    <x:row r="138" ht="25" customHeight="1">
      <x:c r="A138" s="747"/>
      <x:c r="B138" s="747"/>
      <x:c r="C138" s="760"/>
      <x:c r="D138" s="747"/>
      <x:c r="E138" s="747"/>
      <x:c r="F138" s="747"/>
      <x:c r="G138" s="747"/>
      <x:c r="H138" s="747"/>
      <x:c r="I138" s="747"/>
      <x:c r="J138" s="753">
        <x:f>'幕间计算'!E231</x:f>
        <x:v>0</x:v>
      </x:c>
      <x:c r="K138" s="753" t="str">
        <x:f>'幕间计算'!F231</x:f>
        <x:v/>
      </x:c>
    </x:row>
    <x:row r="139" ht="25" customHeight="1">
      <x:c r="A139" s="747"/>
      <x:c r="B139" s="747"/>
      <x:c r="C139" s="760"/>
      <x:c r="D139" s="747"/>
      <x:c r="E139" s="747"/>
      <x:c r="F139" s="747"/>
      <x:c r="G139" s="747"/>
      <x:c r="H139" s="747"/>
      <x:c r="I139" s="747"/>
      <x:c r="J139" s="753">
        <x:f>'幕间计算'!E232</x:f>
        <x:v>0</x:v>
      </x:c>
      <x:c r="K139" s="753" t="str">
        <x:f>'幕间计算'!F232</x:f>
        <x:v/>
      </x:c>
    </x:row>
    <x:row r="140" ht="25" customHeight="1">
      <x:c r="A140" s="747"/>
      <x:c r="B140" s="747"/>
      <x:c r="C140" s="760"/>
      <x:c r="D140" s="747"/>
      <x:c r="E140" s="747"/>
      <x:c r="F140" s="747"/>
      <x:c r="G140" s="747"/>
      <x:c r="H140" s="747"/>
      <x:c r="I140" s="747"/>
      <x:c r="J140" s="753">
        <x:f>'幕间计算'!E233</x:f>
        <x:v>0</x:v>
      </x:c>
      <x:c r="K140" s="753" t="str">
        <x:f>'幕间计算'!F233</x:f>
        <x:v/>
      </x:c>
    </x:row>
    <x:row r="141" ht="25" customHeight="1">
      <x:c r="A141" s="747"/>
      <x:c r="B141" s="747"/>
      <x:c r="C141" s="760"/>
      <x:c r="D141" s="747"/>
      <x:c r="E141" s="747"/>
      <x:c r="F141" s="747"/>
      <x:c r="G141" s="747"/>
      <x:c r="H141" s="747"/>
      <x:c r="I141" s="747"/>
      <x:c r="J141" s="753">
        <x:f>'幕间计算'!E234</x:f>
        <x:v>0</x:v>
      </x:c>
      <x:c r="K141" s="753" t="str">
        <x:f>'幕间计算'!F234</x:f>
        <x:v/>
      </x:c>
    </x:row>
    <x:row r="142" ht="25" customHeight="1">
      <x:c r="A142" s="747"/>
      <x:c r="B142" s="747"/>
      <x:c r="C142" s="760"/>
      <x:c r="D142" s="747"/>
      <x:c r="E142" s="747"/>
      <x:c r="F142" s="747"/>
      <x:c r="G142" s="747"/>
      <x:c r="H142" s="747"/>
      <x:c r="I142" s="747"/>
      <x:c r="J142" s="753">
        <x:f>'幕间计算'!E235</x:f>
        <x:v>0</x:v>
      </x:c>
      <x:c r="K142" s="753" t="str">
        <x:f>'幕间计算'!F235</x:f>
        <x:v/>
      </x:c>
    </x:row>
    <x:row r="143" ht="25" customHeight="1">
      <x:c r="A143" s="747"/>
      <x:c r="B143" s="747"/>
      <x:c r="C143" s="760"/>
      <x:c r="D143" s="747"/>
      <x:c r="E143" s="747"/>
      <x:c r="F143" s="747"/>
      <x:c r="G143" s="747"/>
      <x:c r="H143" s="747"/>
      <x:c r="I143" s="747"/>
      <x:c r="J143" s="753">
        <x:f>'幕间计算'!E236</x:f>
        <x:v>0</x:v>
      </x:c>
      <x:c r="K143" s="753" t="str">
        <x:f>'幕间计算'!F236</x:f>
        <x:v/>
      </x:c>
    </x:row>
    <x:row r="144" ht="25" customHeight="1">
      <x:c r="A144" s="747"/>
      <x:c r="B144" s="747"/>
      <x:c r="C144" s="760"/>
      <x:c r="D144" s="747"/>
      <x:c r="E144" s="747"/>
      <x:c r="F144" s="747"/>
      <x:c r="G144" s="747"/>
      <x:c r="H144" s="747"/>
      <x:c r="I144" s="747"/>
      <x:c r="J144" s="753">
        <x:f>'幕间计算'!E237</x:f>
        <x:v>0</x:v>
      </x:c>
      <x:c r="K144" s="753" t="str">
        <x:f>'幕间计算'!F237</x:f>
        <x:v/>
      </x:c>
    </x:row>
    <x:row r="145" ht="25" customHeight="1">
      <x:c r="A145" s="747"/>
      <x:c r="B145" s="747"/>
      <x:c r="C145" s="760"/>
      <x:c r="D145" s="747"/>
      <x:c r="E145" s="747"/>
      <x:c r="F145" s="747"/>
      <x:c r="G145" s="747"/>
      <x:c r="H145" s="747"/>
      <x:c r="I145" s="747"/>
      <x:c r="J145" s="753">
        <x:f>'幕间计算'!E238</x:f>
        <x:v>0</x:v>
      </x:c>
      <x:c r="K145" s="753" t="str">
        <x:f>'幕间计算'!F238</x:f>
        <x:v/>
      </x:c>
    </x:row>
    <x:row r="146" ht="25" customHeight="1">
      <x:c r="A146" s="747"/>
      <x:c r="B146" s="747"/>
      <x:c r="C146" s="760"/>
      <x:c r="D146" s="747"/>
      <x:c r="E146" s="747"/>
      <x:c r="F146" s="747"/>
      <x:c r="G146" s="747"/>
      <x:c r="H146" s="747"/>
      <x:c r="I146" s="747"/>
      <x:c r="J146" s="753">
        <x:f>'幕间计算'!E239</x:f>
        <x:v>0</x:v>
      </x:c>
      <x:c r="K146" s="753" t="str">
        <x:f>'幕间计算'!F239</x:f>
        <x:v/>
      </x:c>
    </x:row>
    <x:row r="147" ht="25" customHeight="1">
      <x:c r="A147" s="747"/>
      <x:c r="B147" s="747"/>
      <x:c r="C147" s="760"/>
      <x:c r="D147" s="747"/>
      <x:c r="E147" s="747"/>
      <x:c r="F147" s="747"/>
      <x:c r="G147" s="747"/>
      <x:c r="H147" s="747"/>
      <x:c r="I147" s="747"/>
      <x:c r="J147" s="753">
        <x:f>'幕间计算'!E240</x:f>
        <x:v>0</x:v>
      </x:c>
      <x:c r="K147" s="753" t="str">
        <x:f>'幕间计算'!F240</x:f>
        <x:v/>
      </x:c>
    </x:row>
    <x:row r="148" ht="25" customHeight="1">
      <x:c r="A148" s="747"/>
      <x:c r="B148" s="747"/>
      <x:c r="C148" s="760"/>
      <x:c r="D148" s="747"/>
      <x:c r="E148" s="747"/>
      <x:c r="F148" s="747"/>
      <x:c r="G148" s="747"/>
      <x:c r="H148" s="747"/>
      <x:c r="I148" s="747"/>
      <x:c r="J148" s="753">
        <x:f>'幕间计算'!E241</x:f>
        <x:v>0</x:v>
      </x:c>
      <x:c r="K148" s="753" t="str">
        <x:f>'幕间计算'!F241</x:f>
        <x:v/>
      </x:c>
    </x:row>
    <x:row r="149" ht="25" customHeight="1">
      <x:c r="A149" s="747"/>
      <x:c r="B149" s="747"/>
      <x:c r="C149" s="760"/>
      <x:c r="D149" s="747"/>
      <x:c r="E149" s="747"/>
      <x:c r="F149" s="747"/>
      <x:c r="G149" s="747"/>
      <x:c r="H149" s="747"/>
      <x:c r="I149" s="747"/>
      <x:c r="J149" s="753">
        <x:f>'幕间计算'!E242</x:f>
        <x:v>0</x:v>
      </x:c>
      <x:c r="K149" s="753" t="str">
        <x:f>'幕间计算'!F242</x:f>
        <x:v/>
      </x:c>
    </x:row>
    <x:row r="150" ht="25" customHeight="1">
      <x:c r="A150" s="747"/>
      <x:c r="B150" s="747"/>
      <x:c r="C150" s="760"/>
      <x:c r="D150" s="747"/>
      <x:c r="E150" s="747"/>
      <x:c r="F150" s="747"/>
      <x:c r="G150" s="747"/>
      <x:c r="H150" s="747"/>
      <x:c r="I150" s="747"/>
      <x:c r="J150" s="753">
        <x:f>'幕间计算'!E243</x:f>
        <x:v>0</x:v>
      </x:c>
      <x:c r="K150" s="753" t="str">
        <x:f>'幕间计算'!F243</x:f>
        <x:v/>
      </x:c>
    </x:row>
    <x:row r="151" ht="25" customHeight="1">
      <x:c r="A151" s="747"/>
      <x:c r="B151" s="747"/>
      <x:c r="C151" s="760"/>
      <x:c r="D151" s="747"/>
      <x:c r="E151" s="747"/>
      <x:c r="F151" s="747"/>
      <x:c r="G151" s="747"/>
      <x:c r="H151" s="747"/>
      <x:c r="I151" s="747"/>
      <x:c r="J151" s="753">
        <x:f>'幕间计算'!E244</x:f>
        <x:v>0</x:v>
      </x:c>
      <x:c r="K151" s="753" t="str">
        <x:f>'幕间计算'!F244</x:f>
        <x:v/>
      </x:c>
    </x:row>
    <x:row r="152" ht="25" customHeight="1">
      <x:c r="A152" s="747"/>
      <x:c r="B152" s="747"/>
      <x:c r="C152" s="760"/>
      <x:c r="D152" s="747"/>
      <x:c r="E152" s="747"/>
      <x:c r="F152" s="747"/>
      <x:c r="G152" s="747"/>
      <x:c r="H152" s="747"/>
      <x:c r="I152" s="747"/>
      <x:c r="J152" s="753">
        <x:f>'幕间计算'!E245</x:f>
        <x:v>0</x:v>
      </x:c>
      <x:c r="K152" s="753" t="str">
        <x:f>'幕间计算'!F245</x:f>
        <x:v/>
      </x:c>
    </x:row>
    <x:row r="153" ht="25" customHeight="1">
      <x:c r="A153" s="747"/>
      <x:c r="B153" s="747"/>
      <x:c r="C153" s="760"/>
      <x:c r="D153" s="747"/>
      <x:c r="E153" s="747"/>
      <x:c r="F153" s="747"/>
      <x:c r="G153" s="747"/>
      <x:c r="H153" s="747"/>
      <x:c r="I153" s="747"/>
      <x:c r="J153" s="753">
        <x:f>'幕间计算'!E246</x:f>
        <x:v>0</x:v>
      </x:c>
      <x:c r="K153" s="753" t="str">
        <x:f>'幕间计算'!F246</x:f>
        <x:v/>
      </x:c>
    </x:row>
    <x:row r="154" ht="25" customHeight="1">
      <x:c r="A154" s="747"/>
      <x:c r="B154" s="747"/>
      <x:c r="C154" s="760"/>
      <x:c r="D154" s="747"/>
      <x:c r="E154" s="747"/>
      <x:c r="F154" s="747"/>
      <x:c r="G154" s="747"/>
      <x:c r="H154" s="747"/>
      <x:c r="I154" s="747"/>
      <x:c r="J154" s="753">
        <x:f>'幕间计算'!E247</x:f>
        <x:v>0</x:v>
      </x:c>
      <x:c r="K154" s="753" t="str">
        <x:f>'幕间计算'!F247</x:f>
        <x:v/>
      </x:c>
    </x:row>
    <x:row r="155" ht="25" customHeight="1">
      <x:c r="A155" s="747"/>
      <x:c r="B155" s="747"/>
      <x:c r="C155" s="760"/>
      <x:c r="D155" s="747"/>
      <x:c r="E155" s="747"/>
      <x:c r="F155" s="747"/>
      <x:c r="G155" s="747"/>
      <x:c r="H155" s="747"/>
      <x:c r="I155" s="747"/>
      <x:c r="J155" s="753">
        <x:f>'幕间计算'!E248</x:f>
        <x:v>0</x:v>
      </x:c>
      <x:c r="K155" s="753" t="str">
        <x:f>'幕间计算'!F248</x:f>
        <x:v/>
      </x:c>
    </x:row>
    <x:row r="156" ht="25" customHeight="1">
      <x:c r="A156" s="747"/>
      <x:c r="B156" s="747"/>
      <x:c r="C156" s="760"/>
      <x:c r="D156" s="747"/>
      <x:c r="E156" s="747"/>
      <x:c r="F156" s="747"/>
      <x:c r="G156" s="747"/>
      <x:c r="H156" s="747"/>
      <x:c r="I156" s="747"/>
      <x:c r="J156" s="753">
        <x:f>'幕间计算'!E249</x:f>
        <x:v>0</x:v>
      </x:c>
      <x:c r="K156" s="753" t="str">
        <x:f>'幕间计算'!F249</x:f>
        <x:v/>
      </x:c>
    </x:row>
    <x:row r="157" ht="25" customHeight="1">
      <x:c r="A157" s="747"/>
      <x:c r="B157" s="747"/>
      <x:c r="C157" s="760"/>
      <x:c r="D157" s="747"/>
      <x:c r="E157" s="747"/>
      <x:c r="F157" s="747"/>
      <x:c r="G157" s="747"/>
      <x:c r="H157" s="747"/>
      <x:c r="I157" s="747"/>
      <x:c r="J157" s="753">
        <x:f>'幕间计算'!E250</x:f>
        <x:v>0</x:v>
      </x:c>
      <x:c r="K157" s="753" t="str">
        <x:f>'幕间计算'!F250</x:f>
        <x:v/>
      </x:c>
    </x:row>
    <x:row r="158" ht="25" customHeight="1">
      <x:c r="A158" s="747"/>
      <x:c r="B158" s="747"/>
      <x:c r="C158" s="760"/>
      <x:c r="D158" s="747"/>
      <x:c r="E158" s="747"/>
      <x:c r="F158" s="747"/>
      <x:c r="G158" s="747"/>
      <x:c r="H158" s="747"/>
      <x:c r="I158" s="747"/>
      <x:c r="J158" s="753">
        <x:f>'幕间计算'!E251</x:f>
        <x:v>0</x:v>
      </x:c>
      <x:c r="K158" s="753" t="str">
        <x:f>'幕间计算'!F251</x:f>
        <x:v/>
      </x:c>
    </x:row>
    <x:row r="159" ht="25" customHeight="1">
      <x:c r="A159" s="747"/>
      <x:c r="B159" s="747"/>
      <x:c r="C159" s="760"/>
      <x:c r="D159" s="747"/>
      <x:c r="E159" s="747"/>
      <x:c r="F159" s="747"/>
      <x:c r="G159" s="747"/>
      <x:c r="H159" s="747"/>
      <x:c r="I159" s="747"/>
      <x:c r="J159" s="753">
        <x:f>'幕间计算'!E252</x:f>
        <x:v>0</x:v>
      </x:c>
      <x:c r="K159" s="753" t="str">
        <x:f>'幕间计算'!F252</x:f>
        <x:v/>
      </x:c>
    </x:row>
    <x:row r="160" ht="25" customHeight="1">
      <x:c r="A160" s="747"/>
      <x:c r="B160" s="747"/>
      <x:c r="C160" s="760"/>
      <x:c r="D160" s="747"/>
      <x:c r="E160" s="747"/>
      <x:c r="F160" s="747"/>
      <x:c r="G160" s="747"/>
      <x:c r="H160" s="747"/>
      <x:c r="I160" s="747"/>
      <x:c r="J160" s="753">
        <x:f>'幕间计算'!E253</x:f>
        <x:v>0</x:v>
      </x:c>
      <x:c r="K160" s="753" t="str">
        <x:f>'幕间计算'!F253</x:f>
        <x:v/>
      </x:c>
    </x:row>
    <x:row r="161" ht="25" customHeight="1">
      <x:c r="A161" s="747"/>
      <x:c r="B161" s="747"/>
      <x:c r="C161" s="760"/>
      <x:c r="D161" s="747"/>
      <x:c r="E161" s="747"/>
      <x:c r="F161" s="747"/>
      <x:c r="G161" s="747"/>
      <x:c r="H161" s="747"/>
      <x:c r="I161" s="747"/>
      <x:c r="J161" s="753">
        <x:f>'幕间计算'!E254</x:f>
        <x:v>0</x:v>
      </x:c>
      <x:c r="K161" s="753" t="str">
        <x:f>'幕间计算'!F254</x:f>
        <x:v/>
      </x:c>
    </x:row>
    <x:row r="162" ht="25" customHeight="1">
      <x:c r="A162" s="747"/>
      <x:c r="B162" s="747"/>
      <x:c r="C162" s="760"/>
      <x:c r="D162" s="747"/>
      <x:c r="E162" s="747"/>
      <x:c r="F162" s="747"/>
      <x:c r="G162" s="747"/>
      <x:c r="H162" s="747"/>
      <x:c r="I162" s="747"/>
      <x:c r="J162" s="753">
        <x:f>'幕间计算'!E255</x:f>
        <x:v>0</x:v>
      </x:c>
      <x:c r="K162" s="753" t="str">
        <x:f>'幕间计算'!F255</x:f>
        <x:v/>
      </x:c>
    </x:row>
    <x:row r="163" ht="25" customHeight="1">
      <x:c r="A163" s="747"/>
      <x:c r="B163" s="747"/>
      <x:c r="C163" s="760"/>
      <x:c r="D163" s="747"/>
      <x:c r="E163" s="747"/>
      <x:c r="F163" s="747"/>
      <x:c r="G163" s="747"/>
      <x:c r="H163" s="747"/>
      <x:c r="I163" s="747"/>
      <x:c r="J163" s="753">
        <x:f>'幕间计算'!E256</x:f>
        <x:v>0</x:v>
      </x:c>
      <x:c r="K163" s="753" t="str">
        <x:f>'幕间计算'!F256</x:f>
        <x:v/>
      </x:c>
    </x:row>
    <x:row r="164" ht="25" customHeight="1">
      <x:c r="A164" s="747"/>
      <x:c r="B164" s="747"/>
      <x:c r="C164" s="760"/>
      <x:c r="D164" s="747"/>
      <x:c r="E164" s="747"/>
      <x:c r="F164" s="747"/>
      <x:c r="G164" s="747"/>
      <x:c r="H164" s="747"/>
      <x:c r="I164" s="747"/>
      <x:c r="J164" s="753">
        <x:f>'幕间计算'!E257</x:f>
        <x:v>0</x:v>
      </x:c>
      <x:c r="K164" s="753" t="str">
        <x:f>'幕间计算'!F257</x:f>
        <x:v/>
      </x:c>
    </x:row>
    <x:row r="165" ht="25" customHeight="1">
      <x:c r="A165" s="747"/>
      <x:c r="B165" s="747"/>
      <x:c r="C165" s="760"/>
      <x:c r="D165" s="747"/>
      <x:c r="E165" s="747"/>
      <x:c r="F165" s="747"/>
      <x:c r="G165" s="747"/>
      <x:c r="H165" s="747"/>
      <x:c r="I165" s="747"/>
      <x:c r="J165" s="753">
        <x:f>'幕间计算'!E258</x:f>
        <x:v>0</x:v>
      </x:c>
      <x:c r="K165" s="753" t="str">
        <x:f>'幕间计算'!F258</x:f>
        <x:v/>
      </x:c>
    </x:row>
    <x:row r="166" ht="25" customHeight="1">
      <x:c r="A166" s="747"/>
      <x:c r="B166" s="747"/>
      <x:c r="C166" s="760"/>
      <x:c r="D166" s="747"/>
      <x:c r="E166" s="747"/>
      <x:c r="F166" s="747"/>
      <x:c r="G166" s="747"/>
      <x:c r="H166" s="747"/>
      <x:c r="I166" s="747"/>
      <x:c r="J166" s="753">
        <x:f>'幕间计算'!E259</x:f>
        <x:v>0</x:v>
      </x:c>
      <x:c r="K166" s="753" t="str">
        <x:f>'幕间计算'!F259</x:f>
        <x:v/>
      </x:c>
    </x:row>
    <x:row r="167" ht="25" customHeight="1">
      <x:c r="A167" s="747"/>
      <x:c r="B167" s="747"/>
      <x:c r="C167" s="760"/>
      <x:c r="D167" s="747"/>
      <x:c r="E167" s="747"/>
      <x:c r="F167" s="747"/>
      <x:c r="G167" s="747"/>
      <x:c r="H167" s="747"/>
      <x:c r="I167" s="747"/>
      <x:c r="J167" s="753">
        <x:f>'幕间计算'!E260</x:f>
        <x:v>0</x:v>
      </x:c>
      <x:c r="K167" s="753" t="str">
        <x:f>'幕间计算'!F260</x:f>
        <x:v/>
      </x:c>
    </x:row>
    <x:row r="168" ht="25" customHeight="1">
      <x:c r="A168" s="747"/>
      <x:c r="B168" s="747"/>
      <x:c r="C168" s="760"/>
      <x:c r="D168" s="747"/>
      <x:c r="E168" s="747"/>
      <x:c r="F168" s="747"/>
      <x:c r="G168" s="747"/>
      <x:c r="H168" s="747"/>
      <x:c r="I168" s="747"/>
      <x:c r="J168" s="753">
        <x:f>'幕间计算'!E261</x:f>
        <x:v>0</x:v>
      </x:c>
      <x:c r="K168" s="753" t="str">
        <x:f>'幕间计算'!F261</x:f>
        <x:v/>
      </x:c>
    </x:row>
    <x:row r="169" ht="25" customHeight="1">
      <x:c r="A169" s="747"/>
      <x:c r="B169" s="747"/>
      <x:c r="C169" s="760"/>
      <x:c r="D169" s="747"/>
      <x:c r="E169" s="747"/>
      <x:c r="F169" s="747"/>
      <x:c r="G169" s="747"/>
      <x:c r="H169" s="747"/>
      <x:c r="I169" s="747"/>
      <x:c r="J169" s="753">
        <x:f>'幕间计算'!E262</x:f>
        <x:v>0</x:v>
      </x:c>
      <x:c r="K169" s="753" t="str">
        <x:f>'幕间计算'!F262</x:f>
        <x:v/>
      </x:c>
    </x:row>
    <x:row r="170" ht="25" customHeight="1">
      <x:c r="A170" s="747"/>
      <x:c r="B170" s="747"/>
      <x:c r="C170" s="760"/>
      <x:c r="D170" s="747"/>
      <x:c r="E170" s="747"/>
      <x:c r="F170" s="747"/>
      <x:c r="G170" s="747"/>
      <x:c r="H170" s="747"/>
      <x:c r="I170" s="747"/>
      <x:c r="J170" s="753">
        <x:f>'幕间计算'!E263</x:f>
        <x:v>0</x:v>
      </x:c>
      <x:c r="K170" s="753" t="str">
        <x:f>'幕间计算'!F263</x:f>
        <x:v/>
      </x:c>
    </x:row>
    <x:row r="171" ht="25" customHeight="1">
      <x:c r="A171" s="747"/>
      <x:c r="B171" s="747"/>
      <x:c r="C171" s="760"/>
      <x:c r="D171" s="747"/>
      <x:c r="E171" s="747"/>
      <x:c r="F171" s="747"/>
      <x:c r="G171" s="747"/>
      <x:c r="H171" s="747"/>
      <x:c r="I171" s="747"/>
      <x:c r="J171" s="753">
        <x:f>'幕间计算'!E264</x:f>
        <x:v>0</x:v>
      </x:c>
      <x:c r="K171" s="753" t="str">
        <x:f>'幕间计算'!F264</x:f>
        <x:v/>
      </x:c>
    </x:row>
    <x:row r="172" ht="25" customHeight="1">
      <x:c r="A172" s="747"/>
      <x:c r="B172" s="747"/>
      <x:c r="C172" s="760"/>
      <x:c r="D172" s="747"/>
      <x:c r="E172" s="747"/>
      <x:c r="F172" s="747"/>
      <x:c r="G172" s="747"/>
      <x:c r="H172" s="747"/>
      <x:c r="I172" s="747"/>
      <x:c r="J172" s="753">
        <x:f>'幕间计算'!E265</x:f>
        <x:v>0</x:v>
      </x:c>
      <x:c r="K172" s="753" t="str">
        <x:f>'幕间计算'!F265</x:f>
        <x:v/>
      </x:c>
    </x:row>
    <x:row r="173" ht="25" customHeight="1">
      <x:c r="A173" s="747"/>
      <x:c r="B173" s="747"/>
      <x:c r="C173" s="760"/>
      <x:c r="D173" s="747"/>
      <x:c r="E173" s="747"/>
      <x:c r="F173" s="747"/>
      <x:c r="G173" s="747"/>
      <x:c r="H173" s="747"/>
      <x:c r="I173" s="747"/>
      <x:c r="J173" s="753">
        <x:f>'幕间计算'!E266</x:f>
        <x:v>0</x:v>
      </x:c>
      <x:c r="K173" s="753" t="str">
        <x:f>'幕间计算'!F266</x:f>
        <x:v/>
      </x:c>
    </x:row>
    <x:row r="174" ht="25" customHeight="1">
      <x:c r="A174" s="747"/>
      <x:c r="B174" s="747"/>
      <x:c r="C174" s="760"/>
      <x:c r="D174" s="747"/>
      <x:c r="E174" s="747"/>
      <x:c r="F174" s="747"/>
      <x:c r="G174" s="747"/>
      <x:c r="H174" s="747"/>
      <x:c r="I174" s="747"/>
      <x:c r="J174" s="753">
        <x:f>'幕间计算'!E267</x:f>
        <x:v>0</x:v>
      </x:c>
      <x:c r="K174" s="753" t="str">
        <x:f>'幕间计算'!F267</x:f>
        <x:v/>
      </x:c>
    </x:row>
    <x:row r="175" ht="25" customHeight="1">
      <x:c r="A175" s="747"/>
      <x:c r="B175" s="747"/>
      <x:c r="C175" s="760"/>
      <x:c r="D175" s="747"/>
      <x:c r="E175" s="747"/>
      <x:c r="F175" s="747"/>
      <x:c r="G175" s="747"/>
      <x:c r="H175" s="747"/>
      <x:c r="I175" s="747"/>
      <x:c r="J175" s="753">
        <x:f>'幕间计算'!E268</x:f>
        <x:v>0</x:v>
      </x:c>
      <x:c r="K175" s="753" t="str">
        <x:f>'幕间计算'!F268</x:f>
        <x:v/>
      </x:c>
    </x:row>
    <x:row r="176" ht="25" customHeight="1">
      <x:c r="A176" s="747"/>
      <x:c r="B176" s="747"/>
      <x:c r="C176" s="760"/>
      <x:c r="D176" s="747"/>
      <x:c r="E176" s="747"/>
      <x:c r="F176" s="747"/>
      <x:c r="G176" s="747"/>
      <x:c r="H176" s="747"/>
      <x:c r="I176" s="747"/>
      <x:c r="J176" s="753">
        <x:f>'幕间计算'!E269</x:f>
        <x:v>0</x:v>
      </x:c>
      <x:c r="K176" s="753" t="str">
        <x:f>'幕间计算'!F269</x:f>
        <x:v/>
      </x:c>
    </x:row>
    <x:row r="177" ht="25" customHeight="1">
      <x:c r="A177" s="747"/>
      <x:c r="B177" s="747"/>
      <x:c r="C177" s="760"/>
      <x:c r="D177" s="747"/>
      <x:c r="E177" s="747"/>
      <x:c r="F177" s="747"/>
      <x:c r="G177" s="747"/>
      <x:c r="H177" s="747"/>
      <x:c r="I177" s="747"/>
      <x:c r="J177" s="753">
        <x:f>'幕间计算'!E270</x:f>
        <x:v>0</x:v>
      </x:c>
      <x:c r="K177" s="753" t="str">
        <x:f>'幕间计算'!F270</x:f>
        <x:v/>
      </x:c>
    </x:row>
    <x:row r="178" ht="25" customHeight="1">
      <x:c r="A178" s="747"/>
      <x:c r="B178" s="747"/>
      <x:c r="C178" s="760"/>
      <x:c r="D178" s="747"/>
      <x:c r="E178" s="747"/>
      <x:c r="F178" s="747"/>
      <x:c r="G178" s="747"/>
      <x:c r="H178" s="747"/>
      <x:c r="I178" s="747"/>
      <x:c r="J178" s="753">
        <x:f>'幕间计算'!E271</x:f>
        <x:v>0</x:v>
      </x:c>
      <x:c r="K178" s="753" t="str">
        <x:f>'幕间计算'!F271</x:f>
        <x:v/>
      </x:c>
    </x:row>
    <x:row r="179" ht="25" customHeight="1">
      <x:c r="A179" s="747"/>
      <x:c r="B179" s="747"/>
      <x:c r="C179" s="760"/>
      <x:c r="D179" s="747"/>
      <x:c r="E179" s="747"/>
      <x:c r="F179" s="747"/>
      <x:c r="G179" s="747"/>
      <x:c r="H179" s="747"/>
      <x:c r="I179" s="747"/>
      <x:c r="J179" s="753">
        <x:f>'幕间计算'!E272</x:f>
        <x:v>0</x:v>
      </x:c>
      <x:c r="K179" s="753" t="str">
        <x:f>'幕间计算'!F272</x:f>
        <x:v/>
      </x:c>
    </x:row>
    <x:row r="180" ht="25" customHeight="1">
      <x:c r="A180" s="747"/>
      <x:c r="B180" s="747"/>
      <x:c r="C180" s="760"/>
      <x:c r="D180" s="747"/>
      <x:c r="E180" s="747"/>
      <x:c r="F180" s="747"/>
      <x:c r="G180" s="747"/>
      <x:c r="H180" s="747"/>
      <x:c r="I180" s="747"/>
      <x:c r="J180" s="753">
        <x:f>'幕间计算'!E273</x:f>
        <x:v>0</x:v>
      </x:c>
      <x:c r="K180" s="753" t="str">
        <x:f>'幕间计算'!F273</x:f>
        <x:v/>
      </x:c>
    </x:row>
    <x:row r="181" ht="25" customHeight="1">
      <x:c r="A181" s="747"/>
      <x:c r="B181" s="747"/>
      <x:c r="C181" s="760"/>
      <x:c r="D181" s="747"/>
      <x:c r="E181" s="747"/>
      <x:c r="F181" s="747"/>
      <x:c r="G181" s="747"/>
      <x:c r="H181" s="747"/>
      <x:c r="I181" s="747"/>
      <x:c r="J181" s="753">
        <x:f>'幕间计算'!E274</x:f>
        <x:v>0</x:v>
      </x:c>
      <x:c r="K181" s="753" t="str">
        <x:f>'幕间计算'!F274</x:f>
        <x:v/>
      </x:c>
    </x:row>
    <x:row r="182" ht="25" customHeight="1">
      <x:c r="A182" s="747"/>
      <x:c r="B182" s="747"/>
      <x:c r="C182" s="760"/>
      <x:c r="D182" s="747"/>
      <x:c r="E182" s="747"/>
      <x:c r="F182" s="747"/>
      <x:c r="G182" s="747"/>
      <x:c r="H182" s="747"/>
      <x:c r="I182" s="747"/>
      <x:c r="J182" s="753">
        <x:f>'幕间计算'!E275</x:f>
        <x:v>0</x:v>
      </x:c>
      <x:c r="K182" s="753" t="str">
        <x:f>'幕间计算'!F275</x:f>
        <x:v/>
      </x:c>
    </x:row>
    <x:row r="183" ht="25" customHeight="1">
      <x:c r="A183" s="747"/>
      <x:c r="B183" s="747"/>
      <x:c r="C183" s="760"/>
      <x:c r="D183" s="747"/>
      <x:c r="E183" s="747"/>
      <x:c r="F183" s="747"/>
      <x:c r="G183" s="747"/>
      <x:c r="H183" s="747"/>
      <x:c r="I183" s="747"/>
      <x:c r="J183" s="753">
        <x:f>'幕间计算'!E276</x:f>
        <x:v>0</x:v>
      </x:c>
      <x:c r="K183" s="753" t="str">
        <x:f>'幕间计算'!F276</x:f>
        <x:v/>
      </x:c>
    </x:row>
    <x:row r="184" ht="25" customHeight="1">
      <x:c r="A184" s="747"/>
      <x:c r="B184" s="747"/>
      <x:c r="C184" s="760"/>
      <x:c r="D184" s="747"/>
      <x:c r="E184" s="747"/>
      <x:c r="F184" s="747"/>
      <x:c r="G184" s="747"/>
      <x:c r="H184" s="747"/>
      <x:c r="I184" s="747"/>
      <x:c r="J184" s="753">
        <x:f>'幕间计算'!E277</x:f>
        <x:v>0</x:v>
      </x:c>
      <x:c r="K184" s="753" t="str">
        <x:f>'幕间计算'!F277</x:f>
        <x:v/>
      </x:c>
    </x:row>
    <x:row r="185" ht="25" customHeight="1">
      <x:c r="A185" s="747"/>
      <x:c r="B185" s="747"/>
      <x:c r="C185" s="760"/>
      <x:c r="D185" s="747"/>
      <x:c r="E185" s="747"/>
      <x:c r="F185" s="747"/>
      <x:c r="G185" s="747"/>
      <x:c r="H185" s="747"/>
      <x:c r="I185" s="747"/>
      <x:c r="J185" s="753">
        <x:f>'幕间计算'!E278</x:f>
        <x:v>0</x:v>
      </x:c>
      <x:c r="K185" s="753" t="str">
        <x:f>'幕间计算'!F278</x:f>
        <x:v/>
      </x:c>
    </x:row>
    <x:row r="186" ht="25" customHeight="1">
      <x:c r="A186" s="747"/>
      <x:c r="B186" s="747"/>
      <x:c r="C186" s="760"/>
      <x:c r="D186" s="747"/>
      <x:c r="E186" s="747"/>
      <x:c r="F186" s="747"/>
      <x:c r="G186" s="747"/>
      <x:c r="H186" s="747"/>
      <x:c r="I186" s="747"/>
      <x:c r="J186" s="753">
        <x:f>'幕间计算'!E279</x:f>
        <x:v>0</x:v>
      </x:c>
      <x:c r="K186" s="753" t="str">
        <x:f>'幕间计算'!F279</x:f>
        <x:v/>
      </x:c>
    </x:row>
    <x:row r="187" ht="25" customHeight="1">
      <x:c r="A187" s="747"/>
      <x:c r="B187" s="747"/>
      <x:c r="C187" s="760"/>
      <x:c r="D187" s="747"/>
      <x:c r="E187" s="747"/>
      <x:c r="F187" s="747"/>
      <x:c r="G187" s="747"/>
      <x:c r="H187" s="747"/>
      <x:c r="I187" s="747"/>
      <x:c r="J187" s="753">
        <x:f>'幕间计算'!E280</x:f>
        <x:v>0</x:v>
      </x:c>
      <x:c r="K187" s="753" t="str">
        <x:f>'幕间计算'!F280</x:f>
        <x:v/>
      </x:c>
    </x:row>
    <x:row r="188" ht="25" customHeight="1">
      <x:c r="A188" s="747"/>
      <x:c r="B188" s="747"/>
      <x:c r="C188" s="760"/>
      <x:c r="D188" s="747"/>
      <x:c r="E188" s="747"/>
      <x:c r="F188" s="747"/>
      <x:c r="G188" s="747"/>
      <x:c r="H188" s="747"/>
      <x:c r="I188" s="747"/>
      <x:c r="J188" s="753">
        <x:f>'幕间计算'!E281</x:f>
        <x:v>0</x:v>
      </x:c>
      <x:c r="K188" s="753" t="str">
        <x:f>'幕间计算'!F281</x:f>
        <x:v/>
      </x:c>
    </x:row>
    <x:row r="189" ht="25" customHeight="1">
      <x:c r="A189" s="747"/>
      <x:c r="B189" s="747"/>
      <x:c r="C189" s="760"/>
      <x:c r="D189" s="747"/>
      <x:c r="E189" s="747"/>
      <x:c r="F189" s="747"/>
      <x:c r="G189" s="747"/>
      <x:c r="H189" s="747"/>
      <x:c r="I189" s="747"/>
      <x:c r="J189" s="753">
        <x:f>'幕间计算'!E282</x:f>
        <x:v>0</x:v>
      </x:c>
      <x:c r="K189" s="753" t="str">
        <x:f>'幕间计算'!F282</x:f>
        <x:v/>
      </x:c>
    </x:row>
    <x:row r="190" ht="25" customHeight="1">
      <x:c r="A190" s="747"/>
      <x:c r="B190" s="747"/>
      <x:c r="C190" s="760"/>
      <x:c r="D190" s="747"/>
      <x:c r="E190" s="747"/>
      <x:c r="F190" s="747"/>
      <x:c r="G190" s="747"/>
      <x:c r="H190" s="747"/>
      <x:c r="I190" s="747"/>
      <x:c r="J190" s="753">
        <x:f>'幕间计算'!E283</x:f>
        <x:v>0</x:v>
      </x:c>
      <x:c r="K190" s="753" t="str">
        <x:f>'幕间计算'!F283</x:f>
        <x:v/>
      </x:c>
    </x:row>
    <x:row r="191" ht="25" customHeight="1">
      <x:c r="A191" s="747"/>
      <x:c r="B191" s="747"/>
      <x:c r="C191" s="760"/>
      <x:c r="D191" s="747"/>
      <x:c r="E191" s="747"/>
      <x:c r="F191" s="747"/>
      <x:c r="G191" s="747"/>
      <x:c r="H191" s="747"/>
      <x:c r="I191" s="747"/>
      <x:c r="J191" s="753">
        <x:f>'幕间计算'!E284</x:f>
        <x:v>0</x:v>
      </x:c>
      <x:c r="K191" s="753" t="str">
        <x:f>'幕间计算'!F284</x:f>
        <x:v/>
      </x:c>
    </x:row>
    <x:row r="192" ht="25" customHeight="1">
      <x:c r="A192" s="747"/>
      <x:c r="B192" s="747"/>
      <x:c r="C192" s="760"/>
      <x:c r="D192" s="747"/>
      <x:c r="E192" s="747"/>
      <x:c r="F192" s="747"/>
      <x:c r="G192" s="747"/>
      <x:c r="H192" s="747"/>
      <x:c r="I192" s="747"/>
      <x:c r="J192" s="753">
        <x:f>'幕间计算'!E285</x:f>
        <x:v>0</x:v>
      </x:c>
      <x:c r="K192" s="753" t="str">
        <x:f>'幕间计算'!F285</x:f>
        <x:v/>
      </x:c>
    </x:row>
    <x:row r="193" ht="25" customHeight="1">
      <x:c r="A193" s="747"/>
      <x:c r="B193" s="747"/>
      <x:c r="C193" s="760"/>
      <x:c r="D193" s="747"/>
      <x:c r="E193" s="747"/>
      <x:c r="F193" s="747"/>
      <x:c r="G193" s="747"/>
      <x:c r="H193" s="747"/>
      <x:c r="I193" s="747"/>
      <x:c r="J193" s="753">
        <x:f>'幕间计算'!E286</x:f>
        <x:v>0</x:v>
      </x:c>
      <x:c r="K193" s="753" t="str">
        <x:f>'幕间计算'!F286</x:f>
        <x:v/>
      </x:c>
    </x:row>
    <x:row r="194" ht="25" customHeight="1">
      <x:c r="A194" s="747"/>
      <x:c r="B194" s="747"/>
      <x:c r="C194" s="760"/>
      <x:c r="D194" s="747"/>
      <x:c r="E194" s="747"/>
      <x:c r="F194" s="747"/>
      <x:c r="G194" s="747"/>
      <x:c r="H194" s="747"/>
      <x:c r="I194" s="747"/>
      <x:c r="J194" s="753">
        <x:f>'幕间计算'!E287</x:f>
        <x:v>0</x:v>
      </x:c>
      <x:c r="K194" s="753" t="str">
        <x:f>'幕间计算'!F287</x:f>
        <x:v/>
      </x:c>
    </x:row>
    <x:row r="195" ht="25" customHeight="1">
      <x:c r="A195" s="747"/>
      <x:c r="B195" s="747"/>
      <x:c r="C195" s="760"/>
      <x:c r="D195" s="747"/>
      <x:c r="E195" s="747"/>
      <x:c r="F195" s="747"/>
      <x:c r="G195" s="747"/>
      <x:c r="H195" s="747"/>
      <x:c r="I195" s="747"/>
      <x:c r="J195" s="753">
        <x:f>'幕间计算'!E288</x:f>
        <x:v>0</x:v>
      </x:c>
      <x:c r="K195" s="753" t="str">
        <x:f>'幕间计算'!F288</x:f>
        <x:v/>
      </x:c>
    </x:row>
    <x:row r="196" ht="25" customHeight="1">
      <x:c r="A196" s="747"/>
      <x:c r="B196" s="747"/>
      <x:c r="C196" s="760"/>
      <x:c r="D196" s="747"/>
      <x:c r="E196" s="747"/>
      <x:c r="F196" s="747"/>
      <x:c r="G196" s="747"/>
      <x:c r="H196" s="747"/>
      <x:c r="I196" s="747"/>
      <x:c r="J196" s="753">
        <x:f>'幕间计算'!E289</x:f>
        <x:v>0</x:v>
      </x:c>
      <x:c r="K196" s="753" t="str">
        <x:f>'幕间计算'!F289</x:f>
        <x:v/>
      </x:c>
    </x:row>
    <x:row r="197" ht="25" customHeight="1">
      <x:c r="A197" s="747"/>
      <x:c r="B197" s="747"/>
      <x:c r="C197" s="760"/>
      <x:c r="D197" s="747"/>
      <x:c r="E197" s="747"/>
      <x:c r="F197" s="747"/>
      <x:c r="G197" s="747"/>
      <x:c r="H197" s="747"/>
      <x:c r="I197" s="747"/>
      <x:c r="J197" s="753">
        <x:f>'幕间计算'!E290</x:f>
        <x:v>0</x:v>
      </x:c>
      <x:c r="K197" s="753" t="str">
        <x:f>'幕间计算'!F290</x:f>
        <x:v/>
      </x:c>
    </x:row>
    <x:row r="198" ht="25" customHeight="1">
      <x:c r="A198" s="747"/>
      <x:c r="B198" s="747"/>
      <x:c r="C198" s="760"/>
      <x:c r="D198" s="747"/>
      <x:c r="E198" s="747"/>
      <x:c r="F198" s="747"/>
      <x:c r="G198" s="747"/>
      <x:c r="H198" s="747"/>
      <x:c r="I198" s="747"/>
      <x:c r="J198" s="753">
        <x:f>'幕间计算'!E291</x:f>
        <x:v>0</x:v>
      </x:c>
      <x:c r="K198" s="753" t="str">
        <x:f>'幕间计算'!F291</x:f>
        <x:v/>
      </x:c>
    </x:row>
    <x:row r="199" ht="25" customHeight="1">
      <x:c r="A199" s="747"/>
      <x:c r="B199" s="747"/>
      <x:c r="C199" s="760"/>
      <x:c r="D199" s="747"/>
      <x:c r="E199" s="747"/>
      <x:c r="F199" s="747"/>
      <x:c r="G199" s="747"/>
      <x:c r="H199" s="747"/>
      <x:c r="I199" s="747"/>
      <x:c r="J199" s="753">
        <x:f>'幕间计算'!E292</x:f>
        <x:v>0</x:v>
      </x:c>
      <x:c r="K199" s="753" t="str">
        <x:f>'幕间计算'!F292</x:f>
        <x:v/>
      </x:c>
    </x:row>
    <x:row r="200" ht="25" customHeight="1">
      <x:c r="A200" s="747"/>
      <x:c r="B200" s="747"/>
      <x:c r="C200" s="760"/>
      <x:c r="D200" s="747"/>
      <x:c r="E200" s="747"/>
      <x:c r="F200" s="747"/>
      <x:c r="G200" s="747"/>
      <x:c r="H200" s="747"/>
      <x:c r="I200" s="747"/>
      <x:c r="J200" s="753">
        <x:f>'幕间计算'!E293</x:f>
        <x:v>0</x:v>
      </x:c>
      <x:c r="K200" s="753" t="str">
        <x:f>'幕间计算'!F293</x:f>
        <x:v/>
      </x:c>
    </x:row>
    <x:row r="201" ht="25" customHeight="1">
      <x:c r="A201" s="747"/>
      <x:c r="B201" s="747"/>
      <x:c r="C201" s="760"/>
      <x:c r="D201" s="747"/>
      <x:c r="E201" s="747"/>
      <x:c r="F201" s="747"/>
      <x:c r="G201" s="747"/>
      <x:c r="H201" s="747"/>
      <x:c r="I201" s="747"/>
      <x:c r="J201" s="753">
        <x:f>'幕间计算'!E294</x:f>
        <x:v>0</x:v>
      </x:c>
      <x:c r="K201" s="753" t="str">
        <x:f>'幕间计算'!F294</x:f>
        <x:v/>
      </x:c>
    </x:row>
    <x:row r="202" ht="25" customHeight="1">
      <x:c r="A202" s="747"/>
      <x:c r="B202" s="747"/>
      <x:c r="C202" s="760"/>
      <x:c r="D202" s="747"/>
      <x:c r="E202" s="747"/>
      <x:c r="F202" s="747"/>
      <x:c r="G202" s="747"/>
      <x:c r="H202" s="747"/>
      <x:c r="I202" s="747"/>
      <x:c r="J202" s="753">
        <x:f>'幕间计算'!E295</x:f>
        <x:v>0</x:v>
      </x:c>
      <x:c r="K202" s="753" t="str">
        <x:f>'幕间计算'!F295</x:f>
        <x:v/>
      </x:c>
    </x:row>
    <x:row r="203" ht="25" customHeight="1">
      <x:c r="A203" s="747"/>
      <x:c r="B203" s="747"/>
      <x:c r="C203" s="760"/>
      <x:c r="D203" s="747"/>
      <x:c r="E203" s="747"/>
      <x:c r="F203" s="747"/>
      <x:c r="G203" s="747"/>
      <x:c r="H203" s="747"/>
      <x:c r="I203" s="747"/>
      <x:c r="J203" s="753">
        <x:f>'幕间计算'!E296</x:f>
        <x:v>0</x:v>
      </x:c>
      <x:c r="K203" s="753" t="str">
        <x:f>'幕间计算'!F296</x:f>
        <x:v/>
      </x:c>
    </x:row>
    <x:row r="204" ht="25" customHeight="1">
      <x:c r="A204" s="747"/>
      <x:c r="B204" s="747"/>
      <x:c r="C204" s="760"/>
      <x:c r="D204" s="747"/>
      <x:c r="E204" s="747"/>
      <x:c r="F204" s="747"/>
      <x:c r="G204" s="747"/>
      <x:c r="H204" s="747"/>
      <x:c r="I204" s="747"/>
      <x:c r="J204" s="753">
        <x:f>'幕间计算'!E297</x:f>
        <x:v>0</x:v>
      </x:c>
      <x:c r="K204" s="753" t="str">
        <x:f>'幕间计算'!F297</x:f>
        <x:v/>
      </x:c>
    </x:row>
    <x:row r="205" ht="25" customHeight="1">
      <x:c r="A205" s="747"/>
      <x:c r="B205" s="747"/>
      <x:c r="C205" s="760"/>
      <x:c r="D205" s="747"/>
      <x:c r="E205" s="747"/>
      <x:c r="F205" s="747"/>
      <x:c r="G205" s="747"/>
      <x:c r="H205" s="747"/>
      <x:c r="I205" s="747"/>
      <x:c r="J205" s="753">
        <x:f>'幕间计算'!E298</x:f>
        <x:v>0</x:v>
      </x:c>
      <x:c r="K205" s="753" t="str">
        <x:f>'幕间计算'!F298</x:f>
        <x:v/>
      </x:c>
    </x:row>
    <x:row r="206" ht="25" customHeight="1">
      <x:c r="A206" s="747"/>
      <x:c r="B206" s="747"/>
      <x:c r="C206" s="760"/>
      <x:c r="D206" s="747"/>
      <x:c r="E206" s="747"/>
      <x:c r="F206" s="747"/>
      <x:c r="G206" s="747"/>
      <x:c r="H206" s="747"/>
      <x:c r="I206" s="747"/>
      <x:c r="J206" s="753">
        <x:f>'幕间计算'!E299</x:f>
        <x:v>0</x:v>
      </x:c>
      <x:c r="K206" s="753" t="str">
        <x:f>'幕间计算'!F299</x:f>
        <x:v/>
      </x:c>
    </x:row>
    <x:row r="207" ht="25" customHeight="1">
      <x:c r="A207" s="747"/>
      <x:c r="B207" s="747"/>
      <x:c r="C207" s="760"/>
      <x:c r="D207" s="747"/>
      <x:c r="E207" s="747"/>
      <x:c r="F207" s="747"/>
      <x:c r="G207" s="747"/>
      <x:c r="H207" s="747"/>
      <x:c r="I207" s="747"/>
      <x:c r="J207" s="753">
        <x:f>'幕间计算'!E300</x:f>
        <x:v>0</x:v>
      </x:c>
      <x:c r="K207" s="753" t="str">
        <x:f>'幕间计算'!F300</x:f>
        <x:v/>
      </x:c>
    </x:row>
    <x:row r="208" ht="25" customHeight="1">
      <x:c r="A208" s="747"/>
      <x:c r="B208" s="747"/>
      <x:c r="C208" s="760"/>
      <x:c r="D208" s="747"/>
      <x:c r="E208" s="747"/>
      <x:c r="F208" s="747"/>
      <x:c r="G208" s="747"/>
      <x:c r="H208" s="747"/>
      <x:c r="I208" s="747"/>
      <x:c r="J208" s="753">
        <x:f>'幕间计算'!E301</x:f>
        <x:v>0</x:v>
      </x:c>
      <x:c r="K208" s="753" t="str">
        <x:f>'幕间计算'!F301</x:f>
        <x:v/>
      </x:c>
    </x:row>
    <x:row r="209" ht="25" customHeight="1">
      <x:c r="A209" s="747"/>
      <x:c r="B209" s="747"/>
      <x:c r="C209" s="760"/>
      <x:c r="D209" s="747"/>
      <x:c r="E209" s="747"/>
      <x:c r="F209" s="747"/>
      <x:c r="G209" s="747"/>
      <x:c r="H209" s="747"/>
      <x:c r="I209" s="747"/>
      <x:c r="J209" s="753">
        <x:f>'幕间计算'!E302</x:f>
        <x:v>0</x:v>
      </x:c>
      <x:c r="K209" s="753" t="str">
        <x:f>'幕间计算'!F302</x:f>
        <x:v/>
      </x:c>
    </x:row>
    <x:row r="210" ht="25" customHeight="1">
      <x:c r="A210" s="747"/>
      <x:c r="B210" s="747"/>
      <x:c r="C210" s="760"/>
      <x:c r="D210" s="747"/>
      <x:c r="E210" s="747"/>
      <x:c r="F210" s="747"/>
      <x:c r="G210" s="747"/>
      <x:c r="H210" s="747"/>
      <x:c r="I210" s="747"/>
      <x:c r="J210" s="753">
        <x:f>'幕间计算'!E303</x:f>
        <x:v>0</x:v>
      </x:c>
      <x:c r="K210" s="753" t="str">
        <x:f>'幕间计算'!F303</x:f>
        <x:v/>
      </x:c>
    </x:row>
    <x:row r="211" ht="25" customHeight="1">
      <x:c r="A211" s="747"/>
      <x:c r="B211" s="747"/>
      <x:c r="C211" s="760"/>
      <x:c r="D211" s="747"/>
      <x:c r="E211" s="747"/>
      <x:c r="F211" s="747"/>
      <x:c r="G211" s="747"/>
      <x:c r="H211" s="747"/>
      <x:c r="I211" s="747"/>
      <x:c r="J211" s="753">
        <x:f>'幕间计算'!E304</x:f>
        <x:v>0</x:v>
      </x:c>
      <x:c r="K211" s="753" t="str">
        <x:f>'幕间计算'!F304</x:f>
        <x:v/>
      </x:c>
    </x:row>
    <x:row r="212" ht="25" customHeight="1">
      <x:c r="A212" s="747"/>
      <x:c r="B212" s="747"/>
      <x:c r="C212" s="760"/>
      <x:c r="D212" s="747"/>
      <x:c r="E212" s="747"/>
      <x:c r="F212" s="747"/>
      <x:c r="G212" s="747"/>
      <x:c r="H212" s="747"/>
      <x:c r="I212" s="747"/>
      <x:c r="J212" s="753">
        <x:f>'幕间计算'!E305</x:f>
        <x:v>0</x:v>
      </x:c>
      <x:c r="K212" s="753" t="str">
        <x:f>'幕间计算'!F305</x:f>
        <x:v/>
      </x:c>
    </x:row>
    <x:row r="213" ht="25" customHeight="1">
      <x:c r="A213" s="747"/>
      <x:c r="B213" s="747"/>
      <x:c r="C213" s="760"/>
      <x:c r="D213" s="747"/>
      <x:c r="E213" s="747"/>
      <x:c r="F213" s="747"/>
      <x:c r="G213" s="747"/>
      <x:c r="H213" s="747"/>
      <x:c r="I213" s="747"/>
      <x:c r="J213" s="753">
        <x:f>'幕间计算'!E306</x:f>
        <x:v>0</x:v>
      </x:c>
      <x:c r="K213" s="753" t="str">
        <x:f>'幕间计算'!F306</x:f>
        <x:v/>
      </x:c>
    </x:row>
    <x:row r="214" ht="25" customHeight="1">
      <x:c r="A214" s="747"/>
      <x:c r="B214" s="747"/>
      <x:c r="C214" s="760"/>
      <x:c r="D214" s="747"/>
      <x:c r="E214" s="747"/>
      <x:c r="F214" s="747"/>
      <x:c r="G214" s="747"/>
      <x:c r="H214" s="747"/>
      <x:c r="I214" s="747"/>
      <x:c r="J214" s="753">
        <x:f>'幕间计算'!E307</x:f>
        <x:v>0</x:v>
      </x:c>
      <x:c r="K214" s="753" t="str">
        <x:f>'幕间计算'!F307</x:f>
        <x:v/>
      </x:c>
    </x:row>
    <x:row r="215" ht="25" customHeight="1">
      <x:c r="A215" s="747"/>
      <x:c r="B215" s="747"/>
      <x:c r="C215" s="760"/>
      <x:c r="D215" s="747"/>
      <x:c r="E215" s="747"/>
      <x:c r="F215" s="747"/>
      <x:c r="G215" s="747"/>
      <x:c r="H215" s="747"/>
      <x:c r="I215" s="747"/>
      <x:c r="J215" s="753">
        <x:f>'幕间计算'!E308</x:f>
        <x:v>0</x:v>
      </x:c>
      <x:c r="K215" s="753" t="str">
        <x:f>'幕间计算'!F308</x:f>
        <x:v/>
      </x:c>
    </x:row>
    <x:row r="216" ht="25" customHeight="1">
      <x:c r="A216" s="747"/>
      <x:c r="B216" s="747"/>
      <x:c r="C216" s="760"/>
      <x:c r="D216" s="747"/>
      <x:c r="E216" s="747"/>
      <x:c r="F216" s="747"/>
      <x:c r="G216" s="747"/>
      <x:c r="H216" s="747"/>
      <x:c r="I216" s="747"/>
      <x:c r="J216" s="753">
        <x:f>'幕间计算'!E309</x:f>
        <x:v>0</x:v>
      </x:c>
      <x:c r="K216" s="753" t="str">
        <x:f>'幕间计算'!F309</x:f>
        <x:v/>
      </x:c>
    </x:row>
    <x:row r="217" ht="25" customHeight="1">
      <x:c r="A217" s="747"/>
      <x:c r="B217" s="747"/>
      <x:c r="C217" s="760"/>
      <x:c r="D217" s="747"/>
      <x:c r="E217" s="747"/>
      <x:c r="F217" s="747"/>
      <x:c r="G217" s="747"/>
      <x:c r="H217" s="747"/>
      <x:c r="I217" s="747"/>
      <x:c r="J217" s="753">
        <x:f>'幕间计算'!E310</x:f>
        <x:v>0</x:v>
      </x:c>
      <x:c r="K217" s="753" t="str">
        <x:f>'幕间计算'!F310</x:f>
        <x:v/>
      </x:c>
    </x:row>
    <x:row r="218" ht="25" customHeight="1">
      <x:c r="A218" s="747"/>
      <x:c r="B218" s="747"/>
      <x:c r="C218" s="760"/>
      <x:c r="D218" s="747"/>
      <x:c r="E218" s="747"/>
      <x:c r="F218" s="747"/>
      <x:c r="G218" s="747"/>
      <x:c r="H218" s="747"/>
      <x:c r="I218" s="747"/>
      <x:c r="J218" s="753">
        <x:f>'幕间计算'!E311</x:f>
        <x:v>0</x:v>
      </x:c>
      <x:c r="K218" s="753" t="str">
        <x:f>'幕间计算'!F311</x:f>
        <x:v/>
      </x:c>
    </x:row>
    <x:row r="219" ht="25" customHeight="1">
      <x:c r="A219" s="747"/>
      <x:c r="B219" s="747"/>
      <x:c r="C219" s="760"/>
      <x:c r="D219" s="747"/>
      <x:c r="E219" s="747"/>
      <x:c r="F219" s="747"/>
      <x:c r="G219" s="747"/>
      <x:c r="H219" s="747"/>
      <x:c r="I219" s="747"/>
      <x:c r="J219" s="753">
        <x:f>'幕间计算'!E312</x:f>
        <x:v>0</x:v>
      </x:c>
      <x:c r="K219" s="753" t="str">
        <x:f>'幕间计算'!F312</x:f>
        <x:v/>
      </x:c>
    </x:row>
    <x:row r="220" ht="25" customHeight="1">
      <x:c r="A220" s="747"/>
      <x:c r="B220" s="747"/>
      <x:c r="C220" s="760"/>
      <x:c r="D220" s="747"/>
      <x:c r="E220" s="747"/>
      <x:c r="F220" s="747"/>
      <x:c r="G220" s="747"/>
      <x:c r="H220" s="747"/>
      <x:c r="I220" s="747"/>
      <x:c r="J220" s="753">
        <x:f>'幕间计算'!E313</x:f>
        <x:v>0</x:v>
      </x:c>
      <x:c r="K220" s="753" t="str">
        <x:f>'幕间计算'!F313</x:f>
        <x:v/>
      </x:c>
    </x:row>
    <x:row r="221" ht="25" customHeight="1">
      <x:c r="A221" s="747"/>
      <x:c r="B221" s="747"/>
      <x:c r="C221" s="760"/>
      <x:c r="D221" s="747"/>
      <x:c r="E221" s="747"/>
      <x:c r="F221" s="747"/>
      <x:c r="G221" s="747"/>
      <x:c r="H221" s="747"/>
      <x:c r="I221" s="747"/>
      <x:c r="J221" s="753">
        <x:f>'幕间计算'!E314</x:f>
        <x:v>0</x:v>
      </x:c>
      <x:c r="K221" s="753" t="str">
        <x:f>'幕间计算'!F314</x:f>
        <x:v/>
      </x:c>
    </x:row>
    <x:row r="222" ht="25" customHeight="1">
      <x:c r="A222" s="747"/>
      <x:c r="B222" s="747"/>
      <x:c r="C222" s="760"/>
      <x:c r="D222" s="747"/>
      <x:c r="E222" s="747"/>
      <x:c r="F222" s="747"/>
      <x:c r="G222" s="747"/>
      <x:c r="H222" s="747"/>
      <x:c r="I222" s="747"/>
      <x:c r="J222" s="753">
        <x:f>'幕间计算'!E315</x:f>
        <x:v>0</x:v>
      </x:c>
      <x:c r="K222" s="753" t="str">
        <x:f>'幕间计算'!F315</x:f>
        <x:v/>
      </x:c>
    </x:row>
    <x:row r="223" ht="25" customHeight="1">
      <x:c r="A223" s="747"/>
      <x:c r="B223" s="747"/>
      <x:c r="C223" s="760"/>
      <x:c r="D223" s="747"/>
      <x:c r="E223" s="747"/>
      <x:c r="F223" s="747"/>
      <x:c r="G223" s="747"/>
      <x:c r="H223" s="747"/>
      <x:c r="I223" s="747"/>
      <x:c r="J223" s="753">
        <x:f>'幕间计算'!E316</x:f>
        <x:v>0</x:v>
      </x:c>
      <x:c r="K223" s="753" t="str">
        <x:f>'幕间计算'!F316</x:f>
        <x:v/>
      </x:c>
    </x:row>
    <x:row r="224" ht="25" customHeight="1">
      <x:c r="A224" s="747"/>
      <x:c r="B224" s="747"/>
      <x:c r="C224" s="760"/>
      <x:c r="D224" s="747"/>
      <x:c r="E224" s="747"/>
      <x:c r="F224" s="747"/>
      <x:c r="G224" s="747"/>
      <x:c r="H224" s="747"/>
      <x:c r="I224" s="747"/>
      <x:c r="J224" s="753">
        <x:f>'幕间计算'!E317</x:f>
        <x:v>0</x:v>
      </x:c>
      <x:c r="K224" s="753" t="str">
        <x:f>'幕间计算'!F317</x:f>
        <x:v/>
      </x:c>
    </x:row>
    <x:row r="225" ht="25" customHeight="1">
      <x:c r="A225" s="747"/>
      <x:c r="B225" s="747"/>
      <x:c r="C225" s="760"/>
      <x:c r="D225" s="747"/>
      <x:c r="E225" s="747"/>
      <x:c r="F225" s="747"/>
      <x:c r="G225" s="747"/>
      <x:c r="H225" s="747"/>
      <x:c r="I225" s="747"/>
      <x:c r="J225" s="753">
        <x:f>'幕间计算'!E318</x:f>
        <x:v>0</x:v>
      </x:c>
      <x:c r="K225" s="753" t="str">
        <x:f>'幕间计算'!F318</x:f>
        <x:v/>
      </x:c>
    </x:row>
    <x:row r="226" ht="25" customHeight="1">
      <x:c r="A226" s="747"/>
      <x:c r="B226" s="747"/>
      <x:c r="C226" s="760"/>
      <x:c r="D226" s="747"/>
      <x:c r="E226" s="747"/>
      <x:c r="F226" s="747"/>
      <x:c r="G226" s="747"/>
      <x:c r="H226" s="747"/>
      <x:c r="I226" s="747"/>
      <x:c r="J226" s="753">
        <x:f>'幕间计算'!E319</x:f>
        <x:v>0</x:v>
      </x:c>
      <x:c r="K226" s="753" t="str">
        <x:f>'幕间计算'!F319</x:f>
        <x:v/>
      </x:c>
    </x:row>
    <x:row r="227" ht="25" customHeight="1">
      <x:c r="A227" s="747"/>
      <x:c r="B227" s="747"/>
      <x:c r="C227" s="760"/>
      <x:c r="D227" s="747"/>
      <x:c r="E227" s="747"/>
      <x:c r="F227" s="747"/>
      <x:c r="G227" s="747"/>
      <x:c r="H227" s="747"/>
      <x:c r="I227" s="747"/>
      <x:c r="J227" s="753">
        <x:f>'幕间计算'!E320</x:f>
        <x:v>0</x:v>
      </x:c>
      <x:c r="K227" s="753" t="str">
        <x:f>'幕间计算'!F320</x:f>
        <x:v/>
      </x:c>
    </x:row>
    <x:row r="228" ht="25" customHeight="1">
      <x:c r="A228" s="747"/>
      <x:c r="B228" s="747"/>
      <x:c r="C228" s="760"/>
      <x:c r="D228" s="747"/>
      <x:c r="E228" s="747"/>
      <x:c r="F228" s="747"/>
      <x:c r="G228" s="747"/>
      <x:c r="H228" s="747"/>
      <x:c r="I228" s="747"/>
      <x:c r="J228" s="753">
        <x:f>'幕间计算'!E321</x:f>
        <x:v>0</x:v>
      </x:c>
      <x:c r="K228" s="753" t="str">
        <x:f>'幕间计算'!F321</x:f>
        <x:v/>
      </x:c>
    </x:row>
    <x:row r="229" ht="25" customHeight="1">
      <x:c r="A229" s="747"/>
      <x:c r="B229" s="747"/>
      <x:c r="C229" s="760"/>
      <x:c r="D229" s="747"/>
      <x:c r="E229" s="747"/>
      <x:c r="F229" s="747"/>
      <x:c r="G229" s="747"/>
      <x:c r="H229" s="747"/>
      <x:c r="I229" s="747"/>
      <x:c r="J229" s="753">
        <x:f>'幕间计算'!E322</x:f>
        <x:v>0</x:v>
      </x:c>
      <x:c r="K229" s="753" t="str">
        <x:f>'幕间计算'!F322</x:f>
        <x:v/>
      </x:c>
    </x:row>
    <x:row r="230" ht="25" customHeight="1">
      <x:c r="A230" s="747"/>
      <x:c r="B230" s="747"/>
      <x:c r="C230" s="760"/>
      <x:c r="D230" s="747"/>
      <x:c r="E230" s="747"/>
      <x:c r="F230" s="747"/>
      <x:c r="G230" s="747"/>
      <x:c r="H230" s="747"/>
      <x:c r="I230" s="747"/>
      <x:c r="J230" s="753">
        <x:f>'幕间计算'!E323</x:f>
        <x:v>0</x:v>
      </x:c>
      <x:c r="K230" s="753" t="str">
        <x:f>'幕间计算'!F323</x:f>
        <x:v/>
      </x:c>
    </x:row>
    <x:row r="231" ht="25" customHeight="1">
      <x:c r="A231" s="747"/>
      <x:c r="B231" s="747"/>
      <x:c r="C231" s="760"/>
      <x:c r="D231" s="747"/>
      <x:c r="E231" s="747"/>
      <x:c r="F231" s="747"/>
      <x:c r="G231" s="747"/>
      <x:c r="H231" s="747"/>
      <x:c r="I231" s="747"/>
      <x:c r="J231" s="753">
        <x:f>'幕间计算'!E324</x:f>
        <x:v>0</x:v>
      </x:c>
      <x:c r="K231" s="753" t="str">
        <x:f>'幕间计算'!F324</x:f>
        <x:v/>
      </x:c>
    </x:row>
    <x:row r="232" ht="25" customHeight="1">
      <x:c r="A232" s="747"/>
      <x:c r="B232" s="747"/>
      <x:c r="C232" s="760"/>
      <x:c r="D232" s="747"/>
      <x:c r="E232" s="747"/>
      <x:c r="F232" s="747"/>
      <x:c r="G232" s="747"/>
      <x:c r="H232" s="747"/>
      <x:c r="I232" s="747"/>
      <x:c r="J232" s="753">
        <x:f>'幕间计算'!E325</x:f>
        <x:v>0</x:v>
      </x:c>
      <x:c r="K232" s="753" t="str">
        <x:f>'幕间计算'!F325</x:f>
        <x:v/>
      </x:c>
    </x:row>
    <x:row r="233" ht="25" customHeight="1">
      <x:c r="A233" s="747"/>
      <x:c r="B233" s="747"/>
      <x:c r="C233" s="760"/>
      <x:c r="D233" s="747"/>
      <x:c r="E233" s="747"/>
      <x:c r="F233" s="747"/>
      <x:c r="G233" s="747"/>
      <x:c r="H233" s="747"/>
      <x:c r="I233" s="747"/>
      <x:c r="J233" s="753">
        <x:f>'幕间计算'!E326</x:f>
        <x:v>0</x:v>
      </x:c>
      <x:c r="K233" s="753" t="str">
        <x:f>'幕间计算'!F326</x:f>
        <x:v/>
      </x:c>
    </x:row>
    <x:row r="234" ht="25" customHeight="1">
      <x:c r="A234" s="747"/>
      <x:c r="B234" s="747"/>
      <x:c r="C234" s="760"/>
      <x:c r="D234" s="747"/>
      <x:c r="E234" s="747"/>
      <x:c r="F234" s="747"/>
      <x:c r="G234" s="747"/>
      <x:c r="H234" s="747"/>
      <x:c r="I234" s="747"/>
      <x:c r="J234" s="753">
        <x:f>'幕间计算'!E327</x:f>
        <x:v>0</x:v>
      </x:c>
      <x:c r="K234" s="753" t="str">
        <x:f>'幕间计算'!F327</x:f>
        <x:v/>
      </x:c>
    </x:row>
    <x:row r="235" ht="25" customHeight="1">
      <x:c r="A235" s="747"/>
      <x:c r="B235" s="747"/>
      <x:c r="C235" s="760"/>
      <x:c r="D235" s="747"/>
      <x:c r="E235" s="747"/>
      <x:c r="F235" s="747"/>
      <x:c r="G235" s="747"/>
      <x:c r="H235" s="747"/>
      <x:c r="I235" s="747"/>
      <x:c r="J235" s="753">
        <x:f>'幕间计算'!E328</x:f>
        <x:v>0</x:v>
      </x:c>
      <x:c r="K235" s="753" t="str">
        <x:f>'幕间计算'!F328</x:f>
        <x:v/>
      </x:c>
    </x:row>
    <x:row r="236" ht="25" customHeight="1">
      <x:c r="A236" s="747"/>
      <x:c r="B236" s="747"/>
      <x:c r="C236" s="760"/>
      <x:c r="D236" s="747"/>
      <x:c r="E236" s="747"/>
      <x:c r="F236" s="747"/>
      <x:c r="G236" s="747"/>
      <x:c r="H236" s="747"/>
      <x:c r="I236" s="747"/>
      <x:c r="J236" s="753">
        <x:f>'幕间计算'!E329</x:f>
        <x:v>0</x:v>
      </x:c>
      <x:c r="K236" s="753" t="str">
        <x:f>'幕间计算'!F329</x:f>
        <x:v/>
      </x:c>
    </x:row>
    <x:row r="237" ht="25" customHeight="1">
      <x:c r="A237" s="747"/>
      <x:c r="B237" s="747"/>
      <x:c r="C237" s="760"/>
      <x:c r="D237" s="747"/>
      <x:c r="E237" s="747"/>
      <x:c r="F237" s="747"/>
      <x:c r="G237" s="747"/>
      <x:c r="H237" s="747"/>
      <x:c r="I237" s="747"/>
      <x:c r="J237" s="753">
        <x:f>'幕间计算'!E330</x:f>
        <x:v>0</x:v>
      </x:c>
      <x:c r="K237" s="753" t="str">
        <x:f>'幕间计算'!F330</x:f>
        <x:v/>
      </x:c>
    </x:row>
    <x:row r="238" ht="25" customHeight="1">
      <x:c r="A238" s="747"/>
      <x:c r="B238" s="747"/>
      <x:c r="C238" s="760"/>
      <x:c r="D238" s="747"/>
      <x:c r="E238" s="747"/>
      <x:c r="F238" s="747"/>
      <x:c r="G238" s="747"/>
      <x:c r="H238" s="747"/>
      <x:c r="I238" s="747"/>
      <x:c r="J238" s="753">
        <x:f>'幕间计算'!E331</x:f>
        <x:v>0</x:v>
      </x:c>
      <x:c r="K238" s="753" t="str">
        <x:f>'幕间计算'!F331</x:f>
        <x:v/>
      </x:c>
    </x:row>
    <x:row r="239" ht="25" customHeight="1">
      <x:c r="A239" s="747"/>
      <x:c r="B239" s="747"/>
      <x:c r="C239" s="760"/>
      <x:c r="D239" s="747"/>
      <x:c r="E239" s="747"/>
      <x:c r="F239" s="747"/>
      <x:c r="G239" s="747"/>
      <x:c r="H239" s="747"/>
      <x:c r="I239" s="747"/>
      <x:c r="J239" s="753">
        <x:f>'幕间计算'!E332</x:f>
        <x:v>0</x:v>
      </x:c>
      <x:c r="K239" s="753" t="str">
        <x:f>'幕间计算'!F332</x:f>
        <x:v/>
      </x:c>
    </x:row>
    <x:row r="240" ht="25" customHeight="1">
      <x:c r="A240" s="747"/>
      <x:c r="B240" s="747"/>
      <x:c r="C240" s="760"/>
      <x:c r="D240" s="747"/>
      <x:c r="E240" s="747"/>
      <x:c r="F240" s="747"/>
      <x:c r="G240" s="747"/>
      <x:c r="H240" s="747"/>
      <x:c r="I240" s="747"/>
      <x:c r="J240" s="753">
        <x:f>'幕间计算'!E333</x:f>
        <x:v>0</x:v>
      </x:c>
      <x:c r="K240" s="753" t="str">
        <x:f>'幕间计算'!F333</x:f>
        <x:v/>
      </x:c>
    </x:row>
    <x:row r="241" ht="25" customHeight="1">
      <x:c r="A241" s="747"/>
      <x:c r="B241" s="747"/>
      <x:c r="C241" s="760"/>
      <x:c r="D241" s="747"/>
      <x:c r="E241" s="747"/>
      <x:c r="F241" s="747"/>
      <x:c r="G241" s="747"/>
      <x:c r="H241" s="747"/>
      <x:c r="I241" s="747"/>
      <x:c r="J241" s="753">
        <x:f>'幕间计算'!E334</x:f>
        <x:v>0</x:v>
      </x:c>
      <x:c r="K241" s="753" t="str">
        <x:f>'幕间计算'!F334</x:f>
        <x:v/>
      </x:c>
    </x:row>
    <x:row r="242" ht="25" customHeight="1">
      <x:c r="A242" s="747"/>
      <x:c r="B242" s="747"/>
      <x:c r="C242" s="760"/>
      <x:c r="D242" s="747"/>
      <x:c r="E242" s="747"/>
      <x:c r="F242" s="747"/>
      <x:c r="G242" s="747"/>
      <x:c r="H242" s="747"/>
      <x:c r="I242" s="747"/>
      <x:c r="J242" s="753">
        <x:f>'幕间计算'!E335</x:f>
        <x:v>0</x:v>
      </x:c>
      <x:c r="K242" s="753" t="str">
        <x:f>'幕间计算'!F335</x:f>
        <x:v/>
      </x:c>
    </x:row>
    <x:row r="243" ht="25" customHeight="1">
      <x:c r="A243" s="747"/>
      <x:c r="B243" s="747"/>
      <x:c r="C243" s="760"/>
      <x:c r="D243" s="747"/>
      <x:c r="E243" s="747"/>
      <x:c r="F243" s="747"/>
      <x:c r="G243" s="747"/>
      <x:c r="H243" s="747"/>
      <x:c r="I243" s="747"/>
      <x:c r="J243" s="753">
        <x:f>'幕间计算'!E336</x:f>
        <x:v>0</x:v>
      </x:c>
      <x:c r="K243" s="753" t="str">
        <x:f>'幕间计算'!F336</x:f>
        <x:v/>
      </x:c>
    </x:row>
    <x:row r="244" ht="25" customHeight="1">
      <x:c r="A244" s="747"/>
      <x:c r="B244" s="747"/>
      <x:c r="C244" s="760"/>
      <x:c r="D244" s="747"/>
      <x:c r="E244" s="747"/>
      <x:c r="F244" s="747"/>
      <x:c r="G244" s="747"/>
      <x:c r="H244" s="747"/>
      <x:c r="I244" s="747"/>
      <x:c r="J244" s="753">
        <x:f>'幕间计算'!E337</x:f>
        <x:v>0</x:v>
      </x:c>
      <x:c r="K244" s="753" t="str">
        <x:f>'幕间计算'!F337</x:f>
        <x:v/>
      </x:c>
    </x:row>
    <x:row r="245" ht="25" customHeight="1">
      <x:c r="A245" s="747"/>
      <x:c r="B245" s="747"/>
      <x:c r="C245" s="760"/>
      <x:c r="D245" s="747"/>
      <x:c r="E245" s="747"/>
      <x:c r="F245" s="747"/>
      <x:c r="G245" s="747"/>
      <x:c r="H245" s="747"/>
      <x:c r="I245" s="747"/>
      <x:c r="J245" s="753">
        <x:f>'幕间计算'!E338</x:f>
        <x:v>0</x:v>
      </x:c>
      <x:c r="K245" s="753" t="str">
        <x:f>'幕间计算'!F338</x:f>
        <x:v/>
      </x:c>
    </x:row>
    <x:row r="246" ht="25" customHeight="1">
      <x:c r="A246" s="747"/>
      <x:c r="B246" s="747"/>
      <x:c r="C246" s="760"/>
      <x:c r="D246" s="747"/>
      <x:c r="E246" s="747"/>
      <x:c r="F246" s="747"/>
      <x:c r="G246" s="747"/>
      <x:c r="H246" s="747"/>
      <x:c r="I246" s="747"/>
      <x:c r="J246" s="753">
        <x:f>'幕间计算'!E339</x:f>
        <x:v>0</x:v>
      </x:c>
      <x:c r="K246" s="753" t="str">
        <x:f>'幕间计算'!F339</x:f>
        <x:v/>
      </x:c>
    </x:row>
    <x:row r="247" ht="25" customHeight="1">
      <x:c r="A247" s="747"/>
      <x:c r="B247" s="747"/>
      <x:c r="C247" s="760"/>
      <x:c r="D247" s="747"/>
      <x:c r="E247" s="747"/>
      <x:c r="F247" s="747"/>
      <x:c r="G247" s="747"/>
      <x:c r="H247" s="747"/>
      <x:c r="I247" s="747"/>
      <x:c r="J247" s="753">
        <x:f>'幕间计算'!E340</x:f>
        <x:v>0</x:v>
      </x:c>
      <x:c r="K247" s="753" t="str">
        <x:f>'幕间计算'!F340</x:f>
        <x:v/>
      </x:c>
    </x:row>
    <x:row r="248" ht="25" customHeight="1">
      <x:c r="A248" s="747"/>
      <x:c r="B248" s="747"/>
      <x:c r="C248" s="760"/>
      <x:c r="D248" s="747"/>
      <x:c r="E248" s="747"/>
      <x:c r="F248" s="747"/>
      <x:c r="G248" s="747"/>
      <x:c r="H248" s="747"/>
      <x:c r="I248" s="747"/>
      <x:c r="J248" s="753">
        <x:f>'幕间计算'!E341</x:f>
        <x:v>0</x:v>
      </x:c>
      <x:c r="K248" s="753" t="str">
        <x:f>'幕间计算'!F341</x:f>
        <x:v/>
      </x:c>
    </x:row>
    <x:row r="249" ht="25" customHeight="1">
      <x:c r="A249" s="747"/>
      <x:c r="B249" s="747"/>
      <x:c r="C249" s="760"/>
      <x:c r="D249" s="747"/>
      <x:c r="E249" s="747"/>
      <x:c r="F249" s="747"/>
      <x:c r="G249" s="747"/>
      <x:c r="H249" s="747"/>
      <x:c r="I249" s="747"/>
      <x:c r="J249" s="753">
        <x:f>'幕间计算'!E342</x:f>
        <x:v>0</x:v>
      </x:c>
      <x:c r="K249" s="753" t="str">
        <x:f>'幕间计算'!F342</x:f>
        <x:v/>
      </x:c>
    </x:row>
    <x:row r="250" ht="25" customHeight="1">
      <x:c r="A250" s="747"/>
      <x:c r="B250" s="747"/>
      <x:c r="C250" s="760"/>
      <x:c r="D250" s="747"/>
      <x:c r="E250" s="747"/>
      <x:c r="F250" s="747"/>
      <x:c r="G250" s="747"/>
      <x:c r="H250" s="747"/>
      <x:c r="I250" s="747"/>
      <x:c r="J250" s="753">
        <x:f>'幕间计算'!E343</x:f>
        <x:v>0</x:v>
      </x:c>
      <x:c r="K250" s="753" t="str">
        <x:f>'幕间计算'!F343</x:f>
        <x:v/>
      </x:c>
    </x:row>
    <x:row r="251" ht="25" customHeight="1">
      <x:c r="A251" s="747"/>
      <x:c r="B251" s="747"/>
      <x:c r="C251" s="760"/>
      <x:c r="D251" s="747"/>
      <x:c r="E251" s="747"/>
      <x:c r="F251" s="747"/>
      <x:c r="G251" s="747"/>
      <x:c r="H251" s="747"/>
      <x:c r="I251" s="747"/>
      <x:c r="J251" s="753">
        <x:f>'幕间计算'!E344</x:f>
        <x:v>0</x:v>
      </x:c>
      <x:c r="K251" s="753" t="str">
        <x:f>'幕间计算'!F344</x:f>
        <x:v/>
      </x:c>
    </x:row>
    <x:row r="252" ht="25" customHeight="1">
      <x:c r="A252" s="747"/>
      <x:c r="B252" s="747"/>
      <x:c r="C252" s="760"/>
      <x:c r="D252" s="747"/>
      <x:c r="E252" s="747"/>
      <x:c r="F252" s="747"/>
      <x:c r="G252" s="747"/>
      <x:c r="H252" s="747"/>
      <x:c r="I252" s="747"/>
      <x:c r="J252" s="753">
        <x:f>'幕间计算'!E345</x:f>
        <x:v>0</x:v>
      </x:c>
      <x:c r="K252" s="753" t="str">
        <x:f>'幕间计算'!F345</x:f>
        <x:v/>
      </x:c>
    </x:row>
    <x:row r="253" ht="25" customHeight="1">
      <x:c r="A253" s="747"/>
      <x:c r="B253" s="747"/>
      <x:c r="C253" s="760"/>
      <x:c r="D253" s="747"/>
      <x:c r="E253" s="747"/>
      <x:c r="F253" s="747"/>
      <x:c r="G253" s="747"/>
      <x:c r="H253" s="747"/>
      <x:c r="I253" s="747"/>
      <x:c r="J253" s="753">
        <x:f>'幕间计算'!E346</x:f>
        <x:v>0</x:v>
      </x:c>
      <x:c r="K253" s="753" t="str">
        <x:f>'幕间计算'!F346</x:f>
        <x:v/>
      </x:c>
    </x:row>
    <x:row r="254" ht="25" customHeight="1">
      <x:c r="A254" s="747"/>
      <x:c r="B254" s="747"/>
      <x:c r="C254" s="760"/>
      <x:c r="D254" s="747"/>
      <x:c r="E254" s="747"/>
      <x:c r="F254" s="747"/>
      <x:c r="G254" s="747"/>
      <x:c r="H254" s="747"/>
      <x:c r="I254" s="747"/>
      <x:c r="J254" s="753">
        <x:f>'幕间计算'!E347</x:f>
        <x:v>0</x:v>
      </x:c>
      <x:c r="K254" s="753" t="str">
        <x:f>'幕间计算'!F347</x:f>
        <x:v/>
      </x:c>
    </x:row>
    <x:row r="255" ht="25" customHeight="1">
      <x:c r="A255" s="747"/>
      <x:c r="B255" s="747"/>
      <x:c r="C255" s="760"/>
      <x:c r="D255" s="747"/>
      <x:c r="E255" s="747"/>
      <x:c r="F255" s="747"/>
      <x:c r="G255" s="747"/>
      <x:c r="H255" s="747"/>
      <x:c r="I255" s="747"/>
      <x:c r="J255" s="753">
        <x:f>'幕间计算'!E348</x:f>
        <x:v>0</x:v>
      </x:c>
      <x:c r="K255" s="753" t="str">
        <x:f>'幕间计算'!F348</x:f>
        <x:v/>
      </x:c>
    </x:row>
    <x:row r="256" ht="25" customHeight="1">
      <x:c r="A256" s="747"/>
      <x:c r="B256" s="747"/>
      <x:c r="C256" s="760"/>
      <x:c r="D256" s="747"/>
      <x:c r="E256" s="747"/>
      <x:c r="F256" s="747"/>
      <x:c r="G256" s="747"/>
      <x:c r="H256" s="747"/>
      <x:c r="I256" s="747"/>
      <x:c r="J256" s="753">
        <x:f>'幕间计算'!E349</x:f>
        <x:v>0</x:v>
      </x:c>
      <x:c r="K256" s="753" t="str">
        <x:f>'幕间计算'!F349</x:f>
        <x:v/>
      </x:c>
    </x:row>
    <x:row r="257" ht="25" customHeight="1">
      <x:c r="A257" s="747"/>
      <x:c r="B257" s="747"/>
      <x:c r="C257" s="760"/>
      <x:c r="D257" s="747"/>
      <x:c r="E257" s="747"/>
      <x:c r="F257" s="747"/>
      <x:c r="G257" s="747"/>
      <x:c r="H257" s="747"/>
      <x:c r="I257" s="747"/>
      <x:c r="J257" s="753">
        <x:f>'幕间计算'!E350</x:f>
        <x:v>0</x:v>
      </x:c>
      <x:c r="K257" s="753" t="str">
        <x:f>'幕间计算'!F350</x:f>
        <x:v/>
      </x:c>
    </x:row>
    <x:row r="258" ht="25" customHeight="1">
      <x:c r="A258" s="747"/>
      <x:c r="B258" s="747"/>
      <x:c r="C258" s="760"/>
      <x:c r="D258" s="747"/>
      <x:c r="E258" s="747"/>
      <x:c r="F258" s="747"/>
      <x:c r="G258" s="747"/>
      <x:c r="H258" s="747"/>
      <x:c r="I258" s="747"/>
      <x:c r="J258" s="753">
        <x:f>'幕间计算'!E351</x:f>
        <x:v>0</x:v>
      </x:c>
      <x:c r="K258" s="753" t="str">
        <x:f>'幕间计算'!F351</x:f>
        <x:v/>
      </x:c>
    </x:row>
    <x:row r="259" ht="25" customHeight="1">
      <x:c r="A259" s="747"/>
      <x:c r="B259" s="747"/>
      <x:c r="C259" s="760"/>
      <x:c r="D259" s="747"/>
      <x:c r="E259" s="747"/>
      <x:c r="F259" s="747"/>
      <x:c r="G259" s="747"/>
      <x:c r="H259" s="747"/>
      <x:c r="I259" s="747"/>
      <x:c r="J259" s="753">
        <x:f>'幕间计算'!E352</x:f>
        <x:v>0</x:v>
      </x:c>
      <x:c r="K259" s="753" t="str">
        <x:f>'幕间计算'!F352</x:f>
        <x:v/>
      </x:c>
    </x:row>
    <x:row r="260" ht="25" customHeight="1">
      <x:c r="A260" s="747"/>
      <x:c r="B260" s="747"/>
      <x:c r="C260" s="760"/>
      <x:c r="D260" s="747"/>
      <x:c r="E260" s="747"/>
      <x:c r="F260" s="747"/>
      <x:c r="G260" s="747"/>
      <x:c r="H260" s="747"/>
      <x:c r="I260" s="747"/>
      <x:c r="J260" s="753">
        <x:f>'幕间计算'!E353</x:f>
        <x:v>0</x:v>
      </x:c>
      <x:c r="K260" s="753" t="str">
        <x:f>'幕间计算'!F353</x:f>
        <x:v/>
      </x:c>
    </x:row>
    <x:row r="261" ht="25" customHeight="1">
      <x:c r="A261" s="747"/>
      <x:c r="B261" s="747"/>
      <x:c r="C261" s="760"/>
      <x:c r="D261" s="747"/>
      <x:c r="E261" s="747"/>
      <x:c r="F261" s="747"/>
      <x:c r="G261" s="747"/>
      <x:c r="H261" s="747"/>
      <x:c r="I261" s="747"/>
      <x:c r="J261" s="753">
        <x:f>'幕间计算'!E354</x:f>
        <x:v>0</x:v>
      </x:c>
      <x:c r="K261" s="753" t="str">
        <x:f>'幕间计算'!F354</x:f>
        <x:v/>
      </x:c>
    </x:row>
    <x:row r="262" ht="25" customHeight="1">
      <x:c r="A262" s="747"/>
      <x:c r="B262" s="747"/>
      <x:c r="C262" s="760"/>
      <x:c r="D262" s="747"/>
      <x:c r="E262" s="747"/>
      <x:c r="F262" s="747"/>
      <x:c r="G262" s="747"/>
      <x:c r="H262" s="747"/>
      <x:c r="I262" s="747"/>
      <x:c r="J262" s="753">
        <x:f>'幕间计算'!E355</x:f>
        <x:v>0</x:v>
      </x:c>
      <x:c r="K262" s="753" t="str">
        <x:f>'幕间计算'!F355</x:f>
        <x:v/>
      </x:c>
    </x:row>
    <x:row r="263" ht="25" customHeight="1">
      <x:c r="A263" s="747"/>
      <x:c r="B263" s="747"/>
      <x:c r="C263" s="760"/>
      <x:c r="D263" s="747"/>
      <x:c r="E263" s="747"/>
      <x:c r="F263" s="747"/>
      <x:c r="G263" s="747"/>
      <x:c r="H263" s="747"/>
      <x:c r="I263" s="747"/>
      <x:c r="J263" s="753">
        <x:f>'幕间计算'!E356</x:f>
        <x:v>0</x:v>
      </x:c>
      <x:c r="K263" s="753" t="str">
        <x:f>'幕间计算'!F356</x:f>
        <x:v/>
      </x:c>
    </x:row>
    <x:row r="264" ht="25" customHeight="1">
      <x:c r="A264" s="747"/>
      <x:c r="B264" s="747"/>
      <x:c r="C264" s="760"/>
      <x:c r="D264" s="747"/>
      <x:c r="E264" s="747"/>
      <x:c r="F264" s="747"/>
      <x:c r="G264" s="747"/>
      <x:c r="H264" s="747"/>
      <x:c r="I264" s="747"/>
      <x:c r="J264" s="753">
        <x:f>'幕间计算'!E357</x:f>
        <x:v>0</x:v>
      </x:c>
      <x:c r="K264" s="753" t="str">
        <x:f>'幕间计算'!F357</x:f>
        <x:v/>
      </x:c>
    </x:row>
    <x:row r="265" ht="25" customHeight="1">
      <x:c r="A265" s="747"/>
      <x:c r="B265" s="747"/>
      <x:c r="C265" s="760"/>
      <x:c r="D265" s="747"/>
      <x:c r="E265" s="747"/>
      <x:c r="F265" s="747"/>
      <x:c r="G265" s="747"/>
      <x:c r="H265" s="747"/>
      <x:c r="I265" s="747"/>
      <x:c r="J265" s="753">
        <x:f>'幕间计算'!E358</x:f>
        <x:v>0</x:v>
      </x:c>
      <x:c r="K265" s="753" t="str">
        <x:f>'幕间计算'!F358</x:f>
        <x:v/>
      </x:c>
    </x:row>
    <x:row r="266" ht="25" customHeight="1">
      <x:c r="A266" s="747"/>
      <x:c r="B266" s="747"/>
      <x:c r="C266" s="760"/>
      <x:c r="D266" s="747"/>
      <x:c r="E266" s="747"/>
      <x:c r="F266" s="747"/>
      <x:c r="G266" s="747"/>
      <x:c r="H266" s="747"/>
      <x:c r="I266" s="747"/>
      <x:c r="J266" s="753">
        <x:f>'幕间计算'!E359</x:f>
        <x:v>0</x:v>
      </x:c>
      <x:c r="K266" s="753" t="str">
        <x:f>'幕间计算'!F359</x:f>
        <x:v/>
      </x:c>
    </x:row>
    <x:row r="267" ht="25" customHeight="1">
      <x:c r="A267" s="747"/>
      <x:c r="B267" s="747"/>
      <x:c r="C267" s="760"/>
      <x:c r="D267" s="747"/>
      <x:c r="E267" s="747"/>
      <x:c r="F267" s="747"/>
      <x:c r="G267" s="747"/>
      <x:c r="H267" s="747"/>
      <x:c r="I267" s="747"/>
      <x:c r="J267" s="753">
        <x:f>'幕间计算'!E360</x:f>
        <x:v>0</x:v>
      </x:c>
      <x:c r="K267" s="753" t="str">
        <x:f>'幕间计算'!F360</x:f>
        <x:v/>
      </x:c>
    </x:row>
    <x:row r="268" ht="25" customHeight="1">
      <x:c r="A268" s="747"/>
      <x:c r="B268" s="747"/>
      <x:c r="C268" s="760"/>
      <x:c r="D268" s="747"/>
      <x:c r="E268" s="747"/>
      <x:c r="F268" s="747"/>
      <x:c r="G268" s="747"/>
      <x:c r="H268" s="747"/>
      <x:c r="I268" s="747"/>
      <x:c r="J268" s="753">
        <x:f>'幕间计算'!E361</x:f>
        <x:v>0</x:v>
      </x:c>
      <x:c r="K268" s="753" t="str">
        <x:f>'幕间计算'!F361</x:f>
        <x:v/>
      </x:c>
    </x:row>
    <x:row r="269" ht="25" customHeight="1">
      <x:c r="A269" s="747"/>
      <x:c r="B269" s="747"/>
      <x:c r="C269" s="760"/>
      <x:c r="D269" s="747"/>
      <x:c r="E269" s="747"/>
      <x:c r="F269" s="747"/>
      <x:c r="G269" s="747"/>
      <x:c r="H269" s="747"/>
      <x:c r="I269" s="747"/>
      <x:c r="J269" s="753">
        <x:f>'幕间计算'!E362</x:f>
        <x:v>0</x:v>
      </x:c>
      <x:c r="K269" s="753" t="str">
        <x:f>'幕间计算'!F362</x:f>
        <x:v/>
      </x:c>
    </x:row>
    <x:row r="270" ht="25" customHeight="1">
      <x:c r="A270" s="747"/>
      <x:c r="B270" s="747"/>
      <x:c r="C270" s="760"/>
      <x:c r="D270" s="747"/>
      <x:c r="E270" s="747"/>
      <x:c r="F270" s="747"/>
      <x:c r="G270" s="747"/>
      <x:c r="H270" s="747"/>
      <x:c r="I270" s="747"/>
      <x:c r="J270" s="753">
        <x:f>'幕间计算'!E363</x:f>
        <x:v>0</x:v>
      </x:c>
      <x:c r="K270" s="753" t="str">
        <x:f>'幕间计算'!F363</x:f>
        <x:v/>
      </x:c>
    </x:row>
    <x:row r="271" ht="25" customHeight="1">
      <x:c r="A271" s="747"/>
      <x:c r="B271" s="747"/>
      <x:c r="C271" s="760"/>
      <x:c r="D271" s="747"/>
      <x:c r="E271" s="747"/>
      <x:c r="F271" s="747"/>
      <x:c r="G271" s="747"/>
      <x:c r="H271" s="747"/>
      <x:c r="I271" s="747"/>
      <x:c r="J271" s="753">
        <x:f>'幕间计算'!E364</x:f>
        <x:v>0</x:v>
      </x:c>
      <x:c r="K271" s="753" t="str">
        <x:f>'幕间计算'!F364</x:f>
        <x:v/>
      </x:c>
    </x:row>
    <x:row r="272" ht="25" customHeight="1">
      <x:c r="A272" s="747"/>
      <x:c r="B272" s="747"/>
      <x:c r="C272" s="760"/>
      <x:c r="D272" s="747"/>
      <x:c r="E272" s="747"/>
      <x:c r="F272" s="747"/>
      <x:c r="G272" s="747"/>
      <x:c r="H272" s="747"/>
      <x:c r="I272" s="747"/>
      <x:c r="J272" s="753">
        <x:f>'幕间计算'!E365</x:f>
        <x:v>0</x:v>
      </x:c>
      <x:c r="K272" s="753" t="str">
        <x:f>'幕间计算'!F365</x:f>
        <x:v/>
      </x:c>
    </x:row>
    <x:row r="273" ht="25" customHeight="1">
      <x:c r="A273" s="747"/>
      <x:c r="B273" s="747"/>
      <x:c r="C273" s="760"/>
      <x:c r="D273" s="747"/>
      <x:c r="E273" s="747"/>
      <x:c r="F273" s="747"/>
      <x:c r="G273" s="747"/>
      <x:c r="H273" s="747"/>
      <x:c r="I273" s="747"/>
      <x:c r="J273" s="753">
        <x:f>'幕间计算'!E366</x:f>
        <x:v>0</x:v>
      </x:c>
      <x:c r="K273" s="753" t="str">
        <x:f>'幕间计算'!F366</x:f>
        <x:v/>
      </x:c>
    </x:row>
    <x:row r="274" ht="25" customHeight="1">
      <x:c r="A274" s="747"/>
      <x:c r="B274" s="747"/>
      <x:c r="C274" s="760"/>
      <x:c r="D274" s="747"/>
      <x:c r="E274" s="747"/>
      <x:c r="F274" s="747"/>
      <x:c r="G274" s="747"/>
      <x:c r="H274" s="747"/>
      <x:c r="I274" s="747"/>
      <x:c r="J274" s="753">
        <x:f>'幕间计算'!E367</x:f>
        <x:v>0</x:v>
      </x:c>
      <x:c r="K274" s="753" t="str">
        <x:f>'幕间计算'!F367</x:f>
        <x:v/>
      </x:c>
    </x:row>
    <x:row r="275" ht="25" customHeight="1">
      <x:c r="A275" s="747"/>
      <x:c r="B275" s="747"/>
      <x:c r="C275" s="760"/>
      <x:c r="D275" s="747"/>
      <x:c r="E275" s="747"/>
      <x:c r="F275" s="747"/>
      <x:c r="G275" s="747"/>
      <x:c r="H275" s="747"/>
      <x:c r="I275" s="747"/>
      <x:c r="J275" s="753">
        <x:f>'幕间计算'!E368</x:f>
        <x:v>0</x:v>
      </x:c>
      <x:c r="K275" s="753" t="str">
        <x:f>'幕间计算'!F368</x:f>
        <x:v/>
      </x:c>
    </x:row>
    <x:row r="276" ht="25" customHeight="1">
      <x:c r="A276" s="747"/>
      <x:c r="B276" s="747"/>
      <x:c r="C276" s="760"/>
      <x:c r="D276" s="747"/>
      <x:c r="E276" s="747"/>
      <x:c r="F276" s="747"/>
      <x:c r="G276" s="747"/>
      <x:c r="H276" s="747"/>
      <x:c r="I276" s="747"/>
      <x:c r="J276" s="753">
        <x:f>'幕间计算'!E369</x:f>
        <x:v>0</x:v>
      </x:c>
      <x:c r="K276" s="753" t="str">
        <x:f>'幕间计算'!F369</x:f>
        <x:v/>
      </x:c>
    </x:row>
    <x:row r="277" ht="25" customHeight="1">
      <x:c r="A277" s="747"/>
      <x:c r="B277" s="747"/>
      <x:c r="C277" s="760"/>
      <x:c r="D277" s="747"/>
      <x:c r="E277" s="747"/>
      <x:c r="F277" s="747"/>
      <x:c r="G277" s="747"/>
      <x:c r="H277" s="747"/>
      <x:c r="I277" s="747"/>
      <x:c r="J277" s="753">
        <x:f>'幕间计算'!E370</x:f>
        <x:v>0</x:v>
      </x:c>
      <x:c r="K277" s="753" t="str">
        <x:f>'幕间计算'!F370</x:f>
        <x:v/>
      </x:c>
    </x:row>
    <x:row r="278" ht="25" customHeight="1">
      <x:c r="A278" s="747"/>
      <x:c r="B278" s="747"/>
      <x:c r="C278" s="760"/>
      <x:c r="D278" s="747"/>
      <x:c r="E278" s="747"/>
      <x:c r="F278" s="747"/>
      <x:c r="G278" s="747"/>
      <x:c r="H278" s="747"/>
      <x:c r="I278" s="747"/>
      <x:c r="J278" s="753">
        <x:f>'幕间计算'!E371</x:f>
        <x:v>0</x:v>
      </x:c>
      <x:c r="K278" s="753" t="str">
        <x:f>'幕间计算'!F371</x:f>
        <x:v/>
      </x:c>
    </x:row>
    <x:row r="279" ht="25" customHeight="1">
      <x:c r="A279" s="747"/>
      <x:c r="B279" s="747"/>
      <x:c r="C279" s="760"/>
      <x:c r="D279" s="747"/>
      <x:c r="E279" s="747"/>
      <x:c r="F279" s="747"/>
      <x:c r="G279" s="747"/>
      <x:c r="H279" s="747"/>
      <x:c r="I279" s="747"/>
      <x:c r="J279" s="753">
        <x:f>'幕间计算'!E372</x:f>
        <x:v>0</x:v>
      </x:c>
      <x:c r="K279" s="753" t="str">
        <x:f>'幕间计算'!F372</x:f>
        <x:v/>
      </x:c>
    </x:row>
    <x:row r="280" ht="25" customHeight="1">
      <x:c r="A280" s="747"/>
      <x:c r="B280" s="747"/>
      <x:c r="C280" s="760"/>
      <x:c r="D280" s="747"/>
      <x:c r="E280" s="747"/>
      <x:c r="F280" s="747"/>
      <x:c r="G280" s="747"/>
      <x:c r="H280" s="747"/>
      <x:c r="I280" s="747"/>
      <x:c r="J280" s="753">
        <x:f>'幕间计算'!E373</x:f>
        <x:v>0</x:v>
      </x:c>
      <x:c r="K280" s="753" t="str">
        <x:f>'幕间计算'!F373</x:f>
        <x:v/>
      </x:c>
    </x:row>
    <x:row r="281" ht="25" customHeight="1">
      <x:c r="A281" s="747"/>
      <x:c r="B281" s="747"/>
      <x:c r="C281" s="760"/>
      <x:c r="D281" s="747"/>
      <x:c r="E281" s="747"/>
      <x:c r="F281" s="747"/>
      <x:c r="G281" s="747"/>
      <x:c r="H281" s="747"/>
      <x:c r="I281" s="747"/>
      <x:c r="J281" s="753">
        <x:f>'幕间计算'!E374</x:f>
        <x:v>0</x:v>
      </x:c>
      <x:c r="K281" s="753" t="str">
        <x:f>'幕间计算'!F374</x:f>
        <x:v/>
      </x:c>
    </x:row>
    <x:row r="282" ht="25" customHeight="1">
      <x:c r="A282" s="747"/>
      <x:c r="B282" s="747"/>
      <x:c r="C282" s="760"/>
      <x:c r="D282" s="747"/>
      <x:c r="E282" s="747"/>
      <x:c r="F282" s="747"/>
      <x:c r="G282" s="747"/>
      <x:c r="H282" s="747"/>
      <x:c r="I282" s="747"/>
      <x:c r="J282" s="753">
        <x:f>'幕间计算'!E375</x:f>
        <x:v>0</x:v>
      </x:c>
      <x:c r="K282" s="753" t="str">
        <x:f>'幕间计算'!F375</x:f>
        <x:v/>
      </x:c>
    </x:row>
    <x:row r="283" ht="25" customHeight="1">
      <x:c r="A283" s="747"/>
      <x:c r="B283" s="747"/>
      <x:c r="C283" s="760"/>
      <x:c r="D283" s="747"/>
      <x:c r="E283" s="747"/>
      <x:c r="F283" s="747"/>
      <x:c r="G283" s="747"/>
      <x:c r="H283" s="747"/>
      <x:c r="I283" s="747"/>
      <x:c r="J283" s="753">
        <x:f>'幕间计算'!E376</x:f>
        <x:v>0</x:v>
      </x:c>
      <x:c r="K283" s="753" t="str">
        <x:f>'幕间计算'!F376</x:f>
        <x:v/>
      </x:c>
    </x:row>
    <x:row r="284" ht="25" customHeight="1">
      <x:c r="A284" s="747"/>
      <x:c r="B284" s="747"/>
      <x:c r="C284" s="760"/>
      <x:c r="D284" s="747"/>
      <x:c r="E284" s="747"/>
      <x:c r="F284" s="747"/>
      <x:c r="G284" s="747"/>
      <x:c r="H284" s="747"/>
      <x:c r="I284" s="747"/>
      <x:c r="J284" s="753">
        <x:f>'幕间计算'!E377</x:f>
        <x:v>0</x:v>
      </x:c>
      <x:c r="K284" s="753" t="str">
        <x:f>'幕间计算'!F377</x:f>
        <x:v/>
      </x:c>
    </x:row>
    <x:row r="285" ht="25" customHeight="1">
      <x:c r="A285" s="747"/>
      <x:c r="B285" s="747"/>
      <x:c r="C285" s="760"/>
      <x:c r="D285" s="747"/>
      <x:c r="E285" s="747"/>
      <x:c r="F285" s="747"/>
      <x:c r="G285" s="747"/>
      <x:c r="H285" s="747"/>
      <x:c r="I285" s="747"/>
      <x:c r="J285" s="753">
        <x:f>'幕间计算'!E378</x:f>
        <x:v>0</x:v>
      </x:c>
      <x:c r="K285" s="753" t="str">
        <x:f>'幕间计算'!F378</x:f>
        <x:v/>
      </x:c>
    </x:row>
    <x:row r="286" ht="25" customHeight="1">
      <x:c r="A286" s="747"/>
      <x:c r="B286" s="747"/>
      <x:c r="C286" s="760"/>
      <x:c r="D286" s="747"/>
      <x:c r="E286" s="747"/>
      <x:c r="F286" s="747"/>
      <x:c r="G286" s="747"/>
      <x:c r="H286" s="747"/>
      <x:c r="I286" s="747"/>
      <x:c r="J286" s="753">
        <x:f>'幕间计算'!E379</x:f>
        <x:v>0</x:v>
      </x:c>
      <x:c r="K286" s="753" t="str">
        <x:f>'幕间计算'!F379</x:f>
        <x:v/>
      </x:c>
    </x:row>
    <x:row r="287" ht="25" customHeight="1">
      <x:c r="A287" s="747"/>
      <x:c r="B287" s="747"/>
      <x:c r="C287" s="760"/>
      <x:c r="D287" s="747"/>
      <x:c r="E287" s="747"/>
      <x:c r="F287" s="747"/>
      <x:c r="G287" s="747"/>
      <x:c r="H287" s="747"/>
      <x:c r="I287" s="747"/>
      <x:c r="J287" s="753">
        <x:f>'幕间计算'!E380</x:f>
        <x:v>0</x:v>
      </x:c>
      <x:c r="K287" s="753" t="str">
        <x:f>'幕间计算'!F380</x:f>
        <x:v/>
      </x:c>
    </x:row>
    <x:row r="288" ht="25" customHeight="1">
      <x:c r="A288" s="747"/>
      <x:c r="B288" s="747"/>
      <x:c r="C288" s="760"/>
      <x:c r="D288" s="747"/>
      <x:c r="E288" s="747"/>
      <x:c r="F288" s="747"/>
      <x:c r="G288" s="747"/>
      <x:c r="H288" s="747"/>
      <x:c r="I288" s="747"/>
      <x:c r="J288" s="753">
        <x:f>'幕间计算'!E381</x:f>
        <x:v>0</x:v>
      </x:c>
      <x:c r="K288" s="753" t="str">
        <x:f>'幕间计算'!F381</x:f>
        <x:v/>
      </x:c>
    </x:row>
    <x:row r="289" ht="25" customHeight="1">
      <x:c r="A289" s="747"/>
      <x:c r="B289" s="747"/>
      <x:c r="C289" s="760"/>
      <x:c r="D289" s="747"/>
      <x:c r="E289" s="747"/>
      <x:c r="F289" s="747"/>
      <x:c r="G289" s="747"/>
      <x:c r="H289" s="747"/>
      <x:c r="I289" s="747"/>
      <x:c r="J289" s="753">
        <x:f>'幕间计算'!E382</x:f>
        <x:v>0</x:v>
      </x:c>
      <x:c r="K289" s="753" t="str">
        <x:f>'幕间计算'!F382</x:f>
        <x:v/>
      </x:c>
    </x:row>
    <x:row r="290" ht="25" customHeight="1">
      <x:c r="A290" s="747"/>
      <x:c r="B290" s="747"/>
      <x:c r="C290" s="760"/>
      <x:c r="D290" s="747"/>
      <x:c r="E290" s="747"/>
      <x:c r="F290" s="747"/>
      <x:c r="G290" s="747"/>
      <x:c r="H290" s="747"/>
      <x:c r="I290" s="747"/>
      <x:c r="J290" s="753">
        <x:f>'幕间计算'!E383</x:f>
        <x:v>0</x:v>
      </x:c>
      <x:c r="K290" s="753" t="str">
        <x:f>'幕间计算'!F383</x:f>
        <x:v/>
      </x:c>
    </x:row>
    <x:row r="291" ht="25" customHeight="1">
      <x:c r="A291" s="747"/>
      <x:c r="B291" s="747"/>
      <x:c r="C291" s="760"/>
      <x:c r="D291" s="747"/>
      <x:c r="E291" s="747"/>
      <x:c r="F291" s="747"/>
      <x:c r="G291" s="747"/>
      <x:c r="H291" s="747"/>
      <x:c r="I291" s="747"/>
      <x:c r="J291" s="753">
        <x:f>'幕间计算'!E384</x:f>
        <x:v>0</x:v>
      </x:c>
      <x:c r="K291" s="753" t="str">
        <x:f>'幕间计算'!F384</x:f>
        <x:v/>
      </x:c>
    </x:row>
    <x:row r="292" ht="25" customHeight="1">
      <x:c r="A292" s="747"/>
      <x:c r="B292" s="747"/>
      <x:c r="C292" s="760"/>
      <x:c r="D292" s="747"/>
      <x:c r="E292" s="747"/>
      <x:c r="F292" s="747"/>
      <x:c r="G292" s="747"/>
      <x:c r="H292" s="747"/>
      <x:c r="I292" s="747"/>
      <x:c r="J292" s="753">
        <x:f>'幕间计算'!E385</x:f>
        <x:v>0</x:v>
      </x:c>
      <x:c r="K292" s="753" t="str">
        <x:f>'幕间计算'!F385</x:f>
        <x:v/>
      </x:c>
    </x:row>
    <x:row r="293" ht="25" customHeight="1">
      <x:c r="A293" s="747"/>
      <x:c r="B293" s="747"/>
      <x:c r="C293" s="760"/>
      <x:c r="D293" s="747"/>
      <x:c r="E293" s="747"/>
      <x:c r="F293" s="747"/>
      <x:c r="G293" s="747"/>
      <x:c r="H293" s="747"/>
      <x:c r="I293" s="747"/>
      <x:c r="J293" s="753">
        <x:f>'幕间计算'!E386</x:f>
        <x:v>0</x:v>
      </x:c>
      <x:c r="K293" s="753" t="str">
        <x:f>'幕间计算'!F386</x:f>
        <x:v/>
      </x:c>
    </x:row>
    <x:row r="294" ht="25" customHeight="1">
      <x:c r="A294" s="747"/>
      <x:c r="B294" s="747"/>
      <x:c r="C294" s="760"/>
      <x:c r="D294" s="747"/>
      <x:c r="E294" s="747"/>
      <x:c r="F294" s="747"/>
      <x:c r="G294" s="747"/>
      <x:c r="H294" s="747"/>
      <x:c r="I294" s="747"/>
      <x:c r="J294" s="753">
        <x:f>'幕间计算'!E387</x:f>
        <x:v>0</x:v>
      </x:c>
      <x:c r="K294" s="753" t="str">
        <x:f>'幕间计算'!F387</x:f>
        <x:v/>
      </x:c>
    </x:row>
    <x:row r="295" ht="25" customHeight="1">
      <x:c r="A295" s="747"/>
      <x:c r="B295" s="747"/>
      <x:c r="C295" s="760"/>
      <x:c r="D295" s="747"/>
      <x:c r="E295" s="747"/>
      <x:c r="F295" s="747"/>
      <x:c r="G295" s="747"/>
      <x:c r="H295" s="747"/>
      <x:c r="I295" s="747"/>
      <x:c r="J295" s="753">
        <x:f>'幕间计算'!E388</x:f>
        <x:v>0</x:v>
      </x:c>
      <x:c r="K295" s="753" t="str">
        <x:f>'幕间计算'!F388</x:f>
        <x:v/>
      </x:c>
    </x:row>
    <x:row r="296" ht="25" customHeight="1">
      <x:c r="A296" s="747"/>
      <x:c r="B296" s="747"/>
      <x:c r="C296" s="760"/>
      <x:c r="D296" s="747"/>
      <x:c r="E296" s="747"/>
      <x:c r="F296" s="747"/>
      <x:c r="G296" s="747"/>
      <x:c r="H296" s="747"/>
      <x:c r="I296" s="747"/>
      <x:c r="J296" s="753">
        <x:f>'幕间计算'!E389</x:f>
        <x:v>0</x:v>
      </x:c>
      <x:c r="K296" s="753" t="str">
        <x:f>'幕间计算'!F389</x:f>
        <x:v/>
      </x:c>
    </x:row>
    <x:row r="297" ht="25" customHeight="1">
      <x:c r="A297" s="747"/>
      <x:c r="B297" s="747"/>
      <x:c r="C297" s="760"/>
      <x:c r="D297" s="747"/>
      <x:c r="E297" s="747"/>
      <x:c r="F297" s="747"/>
      <x:c r="G297" s="747"/>
      <x:c r="H297" s="747"/>
      <x:c r="I297" s="747"/>
      <x:c r="J297" s="753">
        <x:f>'幕间计算'!E390</x:f>
        <x:v>0</x:v>
      </x:c>
      <x:c r="K297" s="753" t="str">
        <x:f>'幕间计算'!F390</x:f>
        <x:v/>
      </x:c>
    </x:row>
    <x:row r="298" ht="25" customHeight="1">
      <x:c r="A298" s="747"/>
      <x:c r="B298" s="747"/>
      <x:c r="C298" s="760"/>
      <x:c r="D298" s="747"/>
      <x:c r="E298" s="747"/>
      <x:c r="F298" s="747"/>
      <x:c r="G298" s="747"/>
      <x:c r="H298" s="747"/>
      <x:c r="I298" s="747"/>
      <x:c r="J298" s="753">
        <x:f>'幕间计算'!E391</x:f>
        <x:v>0</x:v>
      </x:c>
      <x:c r="K298" s="753" t="str">
        <x:f>'幕间计算'!F391</x:f>
        <x:v/>
      </x:c>
    </x:row>
    <x:row r="299" ht="25" customHeight="1">
      <x:c r="A299" s="747"/>
      <x:c r="B299" s="747"/>
      <x:c r="C299" s="760"/>
      <x:c r="D299" s="747"/>
      <x:c r="E299" s="747"/>
      <x:c r="F299" s="747"/>
      <x:c r="G299" s="747"/>
      <x:c r="H299" s="747"/>
      <x:c r="I299" s="747"/>
      <x:c r="J299" s="753">
        <x:f>'幕间计算'!E392</x:f>
        <x:v>0</x:v>
      </x:c>
      <x:c r="K299" s="753" t="str">
        <x:f>'幕间计算'!F392</x:f>
        <x:v/>
      </x:c>
    </x:row>
    <x:row r="300" ht="25" customHeight="1">
      <x:c r="A300" s="747"/>
      <x:c r="B300" s="747"/>
      <x:c r="C300" s="760"/>
      <x:c r="D300" s="747"/>
      <x:c r="E300" s="747"/>
      <x:c r="F300" s="747"/>
      <x:c r="G300" s="747"/>
      <x:c r="H300" s="747"/>
      <x:c r="I300" s="747"/>
      <x:c r="J300" s="753">
        <x:f>'幕间计算'!E393</x:f>
        <x:v>0</x:v>
      </x:c>
      <x:c r="K300" s="753" t="str">
        <x:f>'幕间计算'!F393</x:f>
        <x:v/>
      </x:c>
    </x:row>
    <x:row r="301" ht="25" customHeight="1">
      <x:c r="A301" s="747"/>
      <x:c r="B301" s="747"/>
      <x:c r="C301" s="760"/>
      <x:c r="D301" s="747"/>
      <x:c r="E301" s="747"/>
      <x:c r="F301" s="747"/>
      <x:c r="G301" s="747"/>
      <x:c r="H301" s="747"/>
      <x:c r="I301" s="747"/>
      <x:c r="J301" s="753">
        <x:f>'幕间计算'!E394</x:f>
        <x:v>0</x:v>
      </x:c>
      <x:c r="K301" s="753" t="str">
        <x:f>'幕间计算'!F394</x:f>
        <x:v/>
      </x:c>
    </x:row>
    <x:row r="302" ht="25" customHeight="1">
      <x:c r="A302" s="747"/>
      <x:c r="B302" s="747"/>
      <x:c r="C302" s="760"/>
      <x:c r="D302" s="747"/>
      <x:c r="E302" s="747"/>
      <x:c r="F302" s="747"/>
      <x:c r="G302" s="747"/>
      <x:c r="H302" s="747"/>
      <x:c r="I302" s="747"/>
      <x:c r="J302" s="753">
        <x:f>'幕间计算'!E395</x:f>
        <x:v>0</x:v>
      </x:c>
      <x:c r="K302" s="753" t="str">
        <x:f>'幕间计算'!F395</x:f>
        <x:v/>
      </x:c>
    </x:row>
    <x:row r="303" ht="25" customHeight="1">
      <x:c r="A303" s="747"/>
      <x:c r="B303" s="747"/>
      <x:c r="C303" s="760"/>
      <x:c r="D303" s="747"/>
      <x:c r="E303" s="747"/>
      <x:c r="F303" s="747"/>
      <x:c r="G303" s="747"/>
      <x:c r="H303" s="747"/>
      <x:c r="I303" s="747"/>
      <x:c r="J303" s="753">
        <x:f>'幕间计算'!E396</x:f>
        <x:v>0</x:v>
      </x:c>
      <x:c r="K303" s="753" t="str">
        <x:f>'幕间计算'!F396</x:f>
        <x:v/>
      </x:c>
    </x:row>
    <x:row r="304" ht="25" customHeight="1">
      <x:c r="A304" s="747"/>
      <x:c r="B304" s="747"/>
      <x:c r="C304" s="760"/>
      <x:c r="D304" s="747"/>
      <x:c r="E304" s="747"/>
      <x:c r="F304" s="747"/>
      <x:c r="G304" s="747"/>
      <x:c r="H304" s="747"/>
      <x:c r="I304" s="747"/>
      <x:c r="J304" s="753">
        <x:f>'幕间计算'!E397</x:f>
        <x:v>0</x:v>
      </x:c>
      <x:c r="K304" s="753" t="str">
        <x:f>'幕间计算'!F397</x:f>
        <x:v/>
      </x:c>
    </x:row>
    <x:row r="305" ht="25" customHeight="1">
      <x:c r="A305" s="747"/>
      <x:c r="B305" s="747"/>
      <x:c r="C305" s="760"/>
      <x:c r="D305" s="747"/>
      <x:c r="E305" s="747"/>
      <x:c r="F305" s="747"/>
      <x:c r="G305" s="747"/>
      <x:c r="H305" s="747"/>
      <x:c r="I305" s="747"/>
      <x:c r="J305" s="753">
        <x:f>'幕间计算'!E398</x:f>
        <x:v>0</x:v>
      </x:c>
      <x:c r="K305" s="753" t="str">
        <x:f>'幕间计算'!F398</x:f>
        <x:v/>
      </x:c>
    </x:row>
    <x:row r="306" ht="25" customHeight="1">
      <x:c r="A306" s="747"/>
      <x:c r="B306" s="747"/>
      <x:c r="C306" s="760"/>
      <x:c r="D306" s="747"/>
      <x:c r="E306" s="747"/>
      <x:c r="F306" s="747"/>
      <x:c r="G306" s="747"/>
      <x:c r="H306" s="747"/>
      <x:c r="I306" s="747"/>
      <x:c r="J306" s="753">
        <x:f>'幕间计算'!E399</x:f>
        <x:v>0</x:v>
      </x:c>
      <x:c r="K306" s="753" t="str">
        <x:f>'幕间计算'!F399</x:f>
        <x:v/>
      </x:c>
    </x:row>
    <x:row r="307" ht="25" customHeight="1">
      <x:c r="A307" s="747"/>
      <x:c r="B307" s="747"/>
      <x:c r="C307" s="760"/>
      <x:c r="D307" s="747"/>
      <x:c r="E307" s="747"/>
      <x:c r="F307" s="747"/>
      <x:c r="G307" s="747"/>
      <x:c r="H307" s="747"/>
      <x:c r="I307" s="747"/>
      <x:c r="J307" s="753">
        <x:f>'幕间计算'!E400</x:f>
        <x:v>0</x:v>
      </x:c>
      <x:c r="K307" s="753" t="str">
        <x:f>'幕间计算'!F400</x:f>
        <x:v/>
      </x:c>
    </x:row>
    <x:row r="308" ht="25" customHeight="1">
      <x:c r="A308" s="747"/>
      <x:c r="B308" s="747"/>
      <x:c r="C308" s="760"/>
      <x:c r="D308" s="747"/>
      <x:c r="E308" s="747"/>
      <x:c r="F308" s="747"/>
      <x:c r="G308" s="747"/>
      <x:c r="H308" s="747"/>
      <x:c r="I308" s="747"/>
      <x:c r="J308" s="753">
        <x:f>'幕间计算'!E401</x:f>
        <x:v>0</x:v>
      </x:c>
      <x:c r="K308" s="753" t="str">
        <x:f>'幕间计算'!F401</x:f>
        <x:v/>
      </x:c>
    </x:row>
    <x:row r="309" ht="25" customHeight="1">
      <x:c r="A309" s="747"/>
      <x:c r="B309" s="747"/>
      <x:c r="C309" s="760"/>
      <x:c r="D309" s="747"/>
      <x:c r="E309" s="747"/>
      <x:c r="F309" s="747"/>
      <x:c r="G309" s="747"/>
      <x:c r="H309" s="747"/>
      <x:c r="I309" s="747"/>
      <x:c r="J309" s="753">
        <x:f>'幕间计算'!E402</x:f>
        <x:v>0</x:v>
      </x:c>
      <x:c r="K309" s="753" t="str">
        <x:f>'幕间计算'!F402</x:f>
        <x:v/>
      </x:c>
    </x:row>
    <x:row r="310" ht="25" customHeight="1">
      <x:c r="A310" s="747"/>
      <x:c r="B310" s="747"/>
      <x:c r="C310" s="760"/>
      <x:c r="D310" s="747"/>
      <x:c r="E310" s="747"/>
      <x:c r="F310" s="747"/>
      <x:c r="G310" s="747"/>
      <x:c r="H310" s="747"/>
      <x:c r="I310" s="747"/>
      <x:c r="J310" s="753">
        <x:f>'幕间计算'!E403</x:f>
        <x:v>0</x:v>
      </x:c>
      <x:c r="K310" s="753" t="str">
        <x:f>'幕间计算'!F403</x:f>
        <x:v/>
      </x:c>
    </x:row>
    <x:row r="311" ht="25" customHeight="1">
      <x:c r="A311" s="747"/>
      <x:c r="B311" s="747"/>
      <x:c r="C311" s="760"/>
      <x:c r="D311" s="747"/>
      <x:c r="E311" s="747"/>
      <x:c r="F311" s="747"/>
      <x:c r="G311" s="747"/>
      <x:c r="H311" s="747"/>
      <x:c r="I311" s="747"/>
      <x:c r="J311" s="753">
        <x:f>'幕间计算'!E404</x:f>
        <x:v>0</x:v>
      </x:c>
      <x:c r="K311" s="753" t="str">
        <x:f>'幕间计算'!F404</x:f>
        <x:v/>
      </x:c>
    </x:row>
    <x:row r="312" ht="25" customHeight="1">
      <x:c r="A312" s="747"/>
      <x:c r="B312" s="747"/>
      <x:c r="C312" s="760"/>
      <x:c r="D312" s="747"/>
      <x:c r="E312" s="747"/>
      <x:c r="F312" s="747"/>
      <x:c r="G312" s="747"/>
      <x:c r="H312" s="747"/>
      <x:c r="I312" s="747"/>
      <x:c r="J312" s="753">
        <x:f>'幕间计算'!E405</x:f>
        <x:v>0</x:v>
      </x:c>
      <x:c r="K312" s="753" t="str">
        <x:f>'幕间计算'!F405</x:f>
        <x:v/>
      </x:c>
    </x:row>
    <x:row r="313" ht="25" customHeight="1">
      <x:c r="A313" s="747"/>
      <x:c r="B313" s="747"/>
      <x:c r="C313" s="760"/>
      <x:c r="D313" s="747"/>
      <x:c r="E313" s="747"/>
      <x:c r="F313" s="747"/>
      <x:c r="G313" s="747"/>
      <x:c r="H313" s="747"/>
      <x:c r="I313" s="747"/>
      <x:c r="J313" s="753">
        <x:f>'幕间计算'!E406</x:f>
        <x:v>0</x:v>
      </x:c>
      <x:c r="K313" s="753" t="str">
        <x:f>'幕间计算'!F406</x:f>
        <x:v/>
      </x:c>
    </x:row>
    <x:row r="314" ht="25" customHeight="1">
      <x:c r="A314" s="747"/>
      <x:c r="B314" s="747"/>
      <x:c r="C314" s="760"/>
      <x:c r="D314" s="747"/>
      <x:c r="E314" s="747"/>
      <x:c r="F314" s="747"/>
      <x:c r="G314" s="747"/>
      <x:c r="H314" s="747"/>
      <x:c r="I314" s="747"/>
      <x:c r="J314" s="753">
        <x:f>'幕间计算'!E407</x:f>
        <x:v>0</x:v>
      </x:c>
      <x:c r="K314" s="753" t="str">
        <x:f>'幕间计算'!F407</x:f>
        <x:v/>
      </x:c>
    </x:row>
    <x:row r="315" ht="25" customHeight="1">
      <x:c r="A315" s="747"/>
      <x:c r="B315" s="747"/>
      <x:c r="C315" s="760"/>
      <x:c r="D315" s="747"/>
      <x:c r="E315" s="747"/>
      <x:c r="F315" s="747"/>
      <x:c r="G315" s="747"/>
      <x:c r="H315" s="747"/>
      <x:c r="I315" s="747"/>
      <x:c r="J315" s="753">
        <x:f>'幕间计算'!E408</x:f>
        <x:v>0</x:v>
      </x:c>
      <x:c r="K315" s="753" t="str">
        <x:f>'幕间计算'!F408</x:f>
        <x:v/>
      </x:c>
    </x:row>
    <x:row r="316" ht="25" customHeight="1">
      <x:c r="A316" s="747"/>
      <x:c r="B316" s="747"/>
      <x:c r="C316" s="760"/>
      <x:c r="D316" s="747"/>
      <x:c r="E316" s="747"/>
      <x:c r="F316" s="747"/>
      <x:c r="G316" s="747"/>
      <x:c r="H316" s="747"/>
      <x:c r="I316" s="747"/>
      <x:c r="J316" s="753">
        <x:f>'幕间计算'!E409</x:f>
        <x:v>0</x:v>
      </x:c>
      <x:c r="K316" s="753" t="str">
        <x:f>'幕间计算'!F409</x:f>
        <x:v/>
      </x:c>
    </x:row>
    <x:row r="317" ht="25" customHeight="1">
      <x:c r="A317" s="747"/>
      <x:c r="B317" s="747"/>
      <x:c r="C317" s="760"/>
      <x:c r="D317" s="747"/>
      <x:c r="E317" s="747"/>
      <x:c r="F317" s="747"/>
      <x:c r="G317" s="747"/>
      <x:c r="H317" s="747"/>
      <x:c r="I317" s="747"/>
      <x:c r="J317" s="753">
        <x:f>'幕间计算'!E410</x:f>
        <x:v>0</x:v>
      </x:c>
      <x:c r="K317" s="753" t="str">
        <x:f>'幕间计算'!F410</x:f>
        <x:v/>
      </x:c>
    </x:row>
    <x:row r="318" ht="25" customHeight="1">
      <x:c r="A318" s="747"/>
      <x:c r="B318" s="747"/>
      <x:c r="C318" s="760"/>
      <x:c r="D318" s="747"/>
      <x:c r="E318" s="747"/>
      <x:c r="F318" s="747"/>
      <x:c r="G318" s="747"/>
      <x:c r="H318" s="747"/>
      <x:c r="I318" s="747"/>
      <x:c r="J318" s="753">
        <x:f>'幕间计算'!E411</x:f>
        <x:v>0</x:v>
      </x:c>
      <x:c r="K318" s="753" t="str">
        <x:f>'幕间计算'!F411</x:f>
        <x:v/>
      </x:c>
    </x:row>
    <x:row r="319" ht="25" customHeight="1">
      <x:c r="A319" s="747"/>
      <x:c r="B319" s="747"/>
      <x:c r="C319" s="760"/>
      <x:c r="D319" s="747"/>
      <x:c r="E319" s="747"/>
      <x:c r="F319" s="747"/>
      <x:c r="G319" s="747"/>
      <x:c r="H319" s="747"/>
      <x:c r="I319" s="747"/>
      <x:c r="J319" s="753">
        <x:f>'幕间计算'!E412</x:f>
        <x:v>0</x:v>
      </x:c>
      <x:c r="K319" s="753" t="str">
        <x:f>'幕间计算'!F412</x:f>
        <x:v/>
      </x:c>
    </x:row>
    <x:row r="320" ht="25" customHeight="1">
      <x:c r="A320" s="747"/>
      <x:c r="B320" s="747"/>
      <x:c r="C320" s="760"/>
      <x:c r="D320" s="747"/>
      <x:c r="E320" s="747"/>
      <x:c r="F320" s="747"/>
      <x:c r="G320" s="747"/>
      <x:c r="H320" s="747"/>
      <x:c r="I320" s="747"/>
      <x:c r="J320" s="753">
        <x:f>'幕间计算'!E413</x:f>
        <x:v>0</x:v>
      </x:c>
      <x:c r="K320" s="753" t="str">
        <x:f>'幕间计算'!F413</x:f>
        <x:v/>
      </x:c>
    </x:row>
    <x:row r="321" ht="25" customHeight="1">
      <x:c r="A321" s="747"/>
      <x:c r="B321" s="747"/>
      <x:c r="C321" s="760"/>
      <x:c r="D321" s="747"/>
      <x:c r="E321" s="747"/>
      <x:c r="F321" s="747"/>
      <x:c r="G321" s="747"/>
      <x:c r="H321" s="747"/>
      <x:c r="I321" s="747"/>
      <x:c r="J321" s="753">
        <x:f>'幕间计算'!E414</x:f>
        <x:v>0</x:v>
      </x:c>
      <x:c r="K321" s="753" t="str">
        <x:f>'幕间计算'!F414</x:f>
        <x:v/>
      </x:c>
    </x:row>
    <x:row r="322" ht="25" customHeight="1">
      <x:c r="A322" s="747"/>
      <x:c r="B322" s="747"/>
      <x:c r="C322" s="760"/>
      <x:c r="D322" s="747"/>
      <x:c r="E322" s="747"/>
      <x:c r="F322" s="747"/>
      <x:c r="G322" s="747"/>
      <x:c r="H322" s="747"/>
      <x:c r="I322" s="747"/>
      <x:c r="J322" s="753">
        <x:f>'幕间计算'!E415</x:f>
        <x:v>0</x:v>
      </x:c>
      <x:c r="K322" s="753" t="str">
        <x:f>'幕间计算'!F415</x:f>
        <x:v/>
      </x:c>
    </x:row>
    <x:row r="323" ht="25" customHeight="1">
      <x:c r="A323" s="747"/>
      <x:c r="B323" s="747"/>
      <x:c r="C323" s="760"/>
      <x:c r="D323" s="747"/>
      <x:c r="E323" s="747"/>
      <x:c r="F323" s="747"/>
      <x:c r="G323" s="747"/>
      <x:c r="H323" s="747"/>
      <x:c r="I323" s="747"/>
      <x:c r="J323" s="753">
        <x:f>'幕间计算'!E416</x:f>
        <x:v>0</x:v>
      </x:c>
      <x:c r="K323" s="753" t="str">
        <x:f>'幕间计算'!F416</x:f>
        <x:v/>
      </x:c>
    </x:row>
    <x:row r="324" ht="25" customHeight="1">
      <x:c r="A324" s="747"/>
      <x:c r="B324" s="747"/>
      <x:c r="C324" s="760"/>
      <x:c r="D324" s="747"/>
      <x:c r="E324" s="747"/>
      <x:c r="F324" s="747"/>
      <x:c r="G324" s="747"/>
      <x:c r="H324" s="747"/>
      <x:c r="I324" s="747"/>
      <x:c r="J324" s="753">
        <x:f>'幕间计算'!E417</x:f>
        <x:v>0</x:v>
      </x:c>
      <x:c r="K324" s="753" t="str">
        <x:f>'幕间计算'!F417</x:f>
        <x:v/>
      </x:c>
    </x:row>
    <x:row r="325" ht="25" customHeight="1">
      <x:c r="A325" s="747"/>
      <x:c r="B325" s="747"/>
      <x:c r="C325" s="760"/>
      <x:c r="D325" s="747"/>
      <x:c r="E325" s="747"/>
      <x:c r="F325" s="747"/>
      <x:c r="G325" s="747"/>
      <x:c r="H325" s="747"/>
      <x:c r="I325" s="747"/>
      <x:c r="J325" s="753">
        <x:f>'幕间计算'!E418</x:f>
        <x:v>0</x:v>
      </x:c>
      <x:c r="K325" s="753" t="str">
        <x:f>'幕间计算'!F418</x:f>
        <x:v/>
      </x:c>
    </x:row>
    <x:row r="326" ht="25" customHeight="1">
      <x:c r="A326" s="747"/>
      <x:c r="B326" s="747"/>
      <x:c r="C326" s="760"/>
      <x:c r="D326" s="747"/>
      <x:c r="E326" s="747"/>
      <x:c r="F326" s="747"/>
      <x:c r="G326" s="747"/>
      <x:c r="H326" s="747"/>
      <x:c r="I326" s="747"/>
      <x:c r="J326" s="753">
        <x:f>'幕间计算'!E419</x:f>
        <x:v>0</x:v>
      </x:c>
      <x:c r="K326" s="753" t="str">
        <x:f>'幕间计算'!F419</x:f>
        <x:v/>
      </x:c>
    </x:row>
    <x:row r="327" ht="25" customHeight="1">
      <x:c r="A327" s="747"/>
      <x:c r="B327" s="747"/>
      <x:c r="C327" s="760"/>
      <x:c r="D327" s="747"/>
      <x:c r="E327" s="747"/>
      <x:c r="F327" s="747"/>
      <x:c r="G327" s="747"/>
      <x:c r="H327" s="747"/>
      <x:c r="I327" s="747"/>
      <x:c r="J327" s="753">
        <x:f>'幕间计算'!E420</x:f>
        <x:v>0</x:v>
      </x:c>
      <x:c r="K327" s="753" t="str">
        <x:f>'幕间计算'!F420</x:f>
        <x:v/>
      </x:c>
    </x:row>
    <x:row r="328" ht="25" customHeight="1">
      <x:c r="A328" s="747"/>
      <x:c r="B328" s="747"/>
      <x:c r="C328" s="760"/>
      <x:c r="D328" s="747"/>
      <x:c r="E328" s="747"/>
      <x:c r="F328" s="747"/>
      <x:c r="G328" s="747"/>
      <x:c r="H328" s="747"/>
      <x:c r="I328" s="747"/>
      <x:c r="J328" s="753">
        <x:f>'幕间计算'!E421</x:f>
        <x:v>0</x:v>
      </x:c>
      <x:c r="K328" s="753" t="str">
        <x:f>'幕间计算'!F421</x:f>
        <x:v/>
      </x:c>
    </x:row>
    <x:row r="329" ht="25" customHeight="1">
      <x:c r="A329" s="747"/>
      <x:c r="B329" s="747"/>
      <x:c r="C329" s="760"/>
      <x:c r="D329" s="747"/>
      <x:c r="E329" s="747"/>
      <x:c r="F329" s="747"/>
      <x:c r="G329" s="747"/>
      <x:c r="H329" s="747"/>
      <x:c r="I329" s="747"/>
      <x:c r="J329" s="753">
        <x:f>'幕间计算'!E422</x:f>
        <x:v>0</x:v>
      </x:c>
      <x:c r="K329" s="753" t="str">
        <x:f>'幕间计算'!F422</x:f>
        <x:v/>
      </x:c>
    </x:row>
    <x:row r="330" ht="25" customHeight="1">
      <x:c r="A330" s="747"/>
      <x:c r="B330" s="747"/>
      <x:c r="C330" s="760"/>
      <x:c r="D330" s="747"/>
      <x:c r="E330" s="747"/>
      <x:c r="F330" s="747"/>
      <x:c r="G330" s="747"/>
      <x:c r="H330" s="747"/>
      <x:c r="I330" s="747"/>
      <x:c r="J330" s="753">
        <x:f>'幕间计算'!E423</x:f>
        <x:v>0</x:v>
      </x:c>
      <x:c r="K330" s="753" t="str">
        <x:f>'幕间计算'!F423</x:f>
        <x:v/>
      </x:c>
    </x:row>
    <x:row r="331" ht="25" customHeight="1">
      <x:c r="A331" s="747"/>
      <x:c r="B331" s="747"/>
      <x:c r="C331" s="760"/>
      <x:c r="D331" s="747"/>
      <x:c r="E331" s="747"/>
      <x:c r="F331" s="747"/>
      <x:c r="G331" s="747"/>
      <x:c r="H331" s="747"/>
      <x:c r="I331" s="747"/>
      <x:c r="J331" s="753">
        <x:f>'幕间计算'!E424</x:f>
        <x:v>0</x:v>
      </x:c>
      <x:c r="K331" s="753" t="str">
        <x:f>'幕间计算'!F424</x:f>
        <x:v/>
      </x:c>
    </x:row>
    <x:row r="332" ht="25" customHeight="1">
      <x:c r="A332" s="747"/>
      <x:c r="B332" s="747"/>
      <x:c r="C332" s="760"/>
      <x:c r="D332" s="747"/>
      <x:c r="E332" s="747"/>
      <x:c r="F332" s="747"/>
      <x:c r="G332" s="747"/>
      <x:c r="H332" s="747"/>
      <x:c r="I332" s="747"/>
      <x:c r="J332" s="753">
        <x:f>'幕间计算'!E425</x:f>
        <x:v>0</x:v>
      </x:c>
      <x:c r="K332" s="753" t="str">
        <x:f>'幕间计算'!F425</x:f>
        <x:v/>
      </x:c>
    </x:row>
    <x:row r="333" ht="25" customHeight="1">
      <x:c r="A333" s="747"/>
      <x:c r="B333" s="747"/>
      <x:c r="C333" s="760"/>
      <x:c r="D333" s="747"/>
      <x:c r="E333" s="747"/>
      <x:c r="F333" s="747"/>
      <x:c r="G333" s="747"/>
      <x:c r="H333" s="747"/>
      <x:c r="I333" s="747"/>
      <x:c r="J333" s="753">
        <x:f>'幕间计算'!E426</x:f>
        <x:v>0</x:v>
      </x:c>
      <x:c r="K333" s="753" t="str">
        <x:f>'幕间计算'!F426</x:f>
        <x:v/>
      </x:c>
    </x:row>
    <x:row r="334" ht="25" customHeight="1">
      <x:c r="A334" s="747"/>
      <x:c r="B334" s="747"/>
      <x:c r="C334" s="760"/>
      <x:c r="D334" s="747"/>
      <x:c r="E334" s="747"/>
      <x:c r="F334" s="747"/>
      <x:c r="G334" s="747"/>
      <x:c r="H334" s="747"/>
      <x:c r="I334" s="747"/>
      <x:c r="J334" s="753">
        <x:f>'幕间计算'!E427</x:f>
        <x:v>0</x:v>
      </x:c>
      <x:c r="K334" s="753" t="str">
        <x:f>'幕间计算'!F427</x:f>
        <x:v/>
      </x:c>
    </x:row>
    <x:row r="335" ht="25" customHeight="1">
      <x:c r="A335" s="747"/>
      <x:c r="B335" s="747"/>
      <x:c r="C335" s="760"/>
      <x:c r="D335" s="747"/>
      <x:c r="E335" s="747"/>
      <x:c r="F335" s="747"/>
      <x:c r="G335" s="747"/>
      <x:c r="H335" s="747"/>
      <x:c r="I335" s="747"/>
      <x:c r="J335" s="753">
        <x:f>'幕间计算'!E428</x:f>
        <x:v>0</x:v>
      </x:c>
      <x:c r="K335" s="753" t="str">
        <x:f>'幕间计算'!F428</x:f>
        <x:v/>
      </x:c>
    </x:row>
    <x:row r="336" ht="25" customHeight="1">
      <x:c r="A336" s="747"/>
      <x:c r="B336" s="747"/>
      <x:c r="C336" s="760"/>
      <x:c r="D336" s="747"/>
      <x:c r="E336" s="747"/>
      <x:c r="F336" s="747"/>
      <x:c r="G336" s="747"/>
      <x:c r="H336" s="747"/>
      <x:c r="I336" s="747"/>
      <x:c r="J336" s="753">
        <x:f>'幕间计算'!E429</x:f>
        <x:v>0</x:v>
      </x:c>
      <x:c r="K336" s="753" t="str">
        <x:f>'幕间计算'!F429</x:f>
        <x:v/>
      </x:c>
    </x:row>
    <x:row r="337" ht="25" customHeight="1">
      <x:c r="A337" s="747"/>
      <x:c r="B337" s="747"/>
      <x:c r="C337" s="760"/>
      <x:c r="D337" s="747"/>
      <x:c r="E337" s="747"/>
      <x:c r="F337" s="747"/>
      <x:c r="G337" s="747"/>
      <x:c r="H337" s="747"/>
      <x:c r="I337" s="747"/>
      <x:c r="J337" s="753">
        <x:f>'幕间计算'!E430</x:f>
        <x:v>0</x:v>
      </x:c>
      <x:c r="K337" s="753" t="str">
        <x:f>'幕间计算'!F430</x:f>
        <x:v/>
      </x:c>
    </x:row>
    <x:row r="338" ht="25" customHeight="1">
      <x:c r="A338" s="747"/>
      <x:c r="B338" s="747"/>
      <x:c r="C338" s="760"/>
      <x:c r="D338" s="747"/>
      <x:c r="E338" s="747"/>
      <x:c r="F338" s="747"/>
      <x:c r="G338" s="747"/>
      <x:c r="H338" s="747"/>
      <x:c r="I338" s="747"/>
      <x:c r="J338" s="753">
        <x:f>'幕间计算'!E431</x:f>
        <x:v>0</x:v>
      </x:c>
      <x:c r="K338" s="753" t="str">
        <x:f>'幕间计算'!F431</x:f>
        <x:v/>
      </x:c>
    </x:row>
    <x:row r="339" ht="25" customHeight="1">
      <x:c r="A339" s="747"/>
      <x:c r="B339" s="747"/>
      <x:c r="C339" s="760"/>
      <x:c r="D339" s="747"/>
      <x:c r="E339" s="747"/>
      <x:c r="F339" s="747"/>
      <x:c r="G339" s="747"/>
      <x:c r="H339" s="747"/>
      <x:c r="I339" s="747"/>
      <x:c r="J339" s="753">
        <x:f>'幕间计算'!E432</x:f>
        <x:v>0</x:v>
      </x:c>
      <x:c r="K339" s="753" t="str">
        <x:f>'幕间计算'!F432</x:f>
        <x:v/>
      </x:c>
    </x:row>
    <x:row r="340" ht="25" customHeight="1">
      <x:c r="A340" s="747"/>
      <x:c r="B340" s="747"/>
      <x:c r="C340" s="760"/>
      <x:c r="D340" s="747"/>
      <x:c r="E340" s="747"/>
      <x:c r="F340" s="747"/>
      <x:c r="G340" s="747"/>
      <x:c r="H340" s="747"/>
      <x:c r="I340" s="747"/>
      <x:c r="J340" s="753">
        <x:f>'幕间计算'!E433</x:f>
        <x:v>0</x:v>
      </x:c>
      <x:c r="K340" s="753" t="str">
        <x:f>'幕间计算'!F433</x:f>
        <x:v/>
      </x:c>
    </x:row>
    <x:row r="341" ht="25" customHeight="1">
      <x:c r="A341" s="747"/>
      <x:c r="B341" s="747"/>
      <x:c r="C341" s="760"/>
      <x:c r="D341" s="747"/>
      <x:c r="E341" s="747"/>
      <x:c r="F341" s="747"/>
      <x:c r="G341" s="747"/>
      <x:c r="H341" s="747"/>
      <x:c r="I341" s="747"/>
      <x:c r="J341" s="753">
        <x:f>'幕间计算'!E434</x:f>
        <x:v>0</x:v>
      </x:c>
      <x:c r="K341" s="753" t="str">
        <x:f>'幕间计算'!F434</x:f>
        <x:v/>
      </x:c>
    </x:row>
    <x:row r="342" ht="25" customHeight="1">
      <x:c r="A342" s="747"/>
      <x:c r="B342" s="747"/>
      <x:c r="C342" s="760"/>
      <x:c r="D342" s="747"/>
      <x:c r="E342" s="747"/>
      <x:c r="F342" s="747"/>
      <x:c r="G342" s="747"/>
      <x:c r="H342" s="747"/>
      <x:c r="I342" s="747"/>
      <x:c r="J342" s="753">
        <x:f>'幕间计算'!E435</x:f>
        <x:v>0</x:v>
      </x:c>
      <x:c r="K342" s="753" t="str">
        <x:f>'幕间计算'!F435</x:f>
        <x:v/>
      </x:c>
    </x:row>
    <x:row r="343" ht="25" customHeight="1">
      <x:c r="A343" s="747"/>
      <x:c r="B343" s="747"/>
      <x:c r="C343" s="760"/>
      <x:c r="D343" s="747"/>
      <x:c r="E343" s="747"/>
      <x:c r="F343" s="747"/>
      <x:c r="G343" s="747"/>
      <x:c r="H343" s="747"/>
      <x:c r="I343" s="747"/>
      <x:c r="J343" s="753">
        <x:f>'幕间计算'!E436</x:f>
        <x:v>0</x:v>
      </x:c>
      <x:c r="K343" s="753" t="str">
        <x:f>'幕间计算'!F436</x:f>
        <x:v/>
      </x:c>
    </x:row>
    <x:row r="344" ht="25" customHeight="1">
      <x:c r="A344" s="747"/>
      <x:c r="B344" s="747"/>
      <x:c r="C344" s="760"/>
      <x:c r="D344" s="747"/>
      <x:c r="E344" s="747"/>
      <x:c r="F344" s="747"/>
      <x:c r="G344" s="747"/>
      <x:c r="H344" s="747"/>
      <x:c r="I344" s="747"/>
      <x:c r="J344" s="753">
        <x:f>'幕间计算'!E437</x:f>
        <x:v>0</x:v>
      </x:c>
      <x:c r="K344" s="753" t="str">
        <x:f>'幕间计算'!F437</x:f>
        <x:v/>
      </x:c>
    </x:row>
    <x:row r="345" ht="25" customHeight="1">
      <x:c r="A345" s="747"/>
      <x:c r="B345" s="747"/>
      <x:c r="C345" s="760"/>
      <x:c r="D345" s="747"/>
      <x:c r="E345" s="747"/>
      <x:c r="F345" s="747"/>
      <x:c r="G345" s="747"/>
      <x:c r="H345" s="747"/>
      <x:c r="I345" s="747"/>
      <x:c r="J345" s="753">
        <x:f>'幕间计算'!E438</x:f>
        <x:v>0</x:v>
      </x:c>
      <x:c r="K345" s="753" t="str">
        <x:f>'幕间计算'!F438</x:f>
        <x:v/>
      </x:c>
    </x:row>
    <x:row r="346" ht="25" customHeight="1">
      <x:c r="A346" s="747"/>
      <x:c r="B346" s="747"/>
      <x:c r="C346" s="760"/>
      <x:c r="D346" s="747"/>
      <x:c r="E346" s="747"/>
      <x:c r="F346" s="747"/>
      <x:c r="G346" s="747"/>
      <x:c r="H346" s="747"/>
      <x:c r="I346" s="747"/>
      <x:c r="J346" s="753">
        <x:f>'幕间计算'!E439</x:f>
        <x:v>0</x:v>
      </x:c>
      <x:c r="K346" s="753" t="str">
        <x:f>'幕间计算'!F439</x:f>
        <x:v/>
      </x:c>
    </x:row>
    <x:row r="347" ht="25" customHeight="1">
      <x:c r="A347" s="747"/>
      <x:c r="B347" s="747"/>
      <x:c r="C347" s="760"/>
      <x:c r="D347" s="747"/>
      <x:c r="E347" s="747"/>
      <x:c r="F347" s="747"/>
      <x:c r="G347" s="747"/>
      <x:c r="H347" s="747"/>
      <x:c r="I347" s="747"/>
      <x:c r="J347" s="753">
        <x:f>'幕间计算'!E440</x:f>
        <x:v>0</x:v>
      </x:c>
      <x:c r="K347" s="753" t="str">
        <x:f>'幕间计算'!F440</x:f>
        <x:v/>
      </x:c>
    </x:row>
    <x:row r="348" ht="25" customHeight="1">
      <x:c r="A348" s="747"/>
      <x:c r="B348" s="747"/>
      <x:c r="C348" s="760"/>
      <x:c r="D348" s="747"/>
      <x:c r="E348" s="747"/>
      <x:c r="F348" s="747"/>
      <x:c r="G348" s="747"/>
      <x:c r="H348" s="747"/>
      <x:c r="I348" s="747"/>
      <x:c r="J348" s="753">
        <x:f>'幕间计算'!E441</x:f>
        <x:v>0</x:v>
      </x:c>
      <x:c r="K348" s="753" t="str">
        <x:f>'幕间计算'!F441</x:f>
        <x:v/>
      </x:c>
    </x:row>
    <x:row r="349" ht="25" customHeight="1">
      <x:c r="A349" s="747"/>
      <x:c r="B349" s="747"/>
      <x:c r="C349" s="760"/>
      <x:c r="D349" s="747"/>
      <x:c r="E349" s="747"/>
      <x:c r="F349" s="747"/>
      <x:c r="G349" s="747"/>
      <x:c r="H349" s="747"/>
      <x:c r="I349" s="747"/>
      <x:c r="J349" s="753">
        <x:f>'幕间计算'!E442</x:f>
        <x:v>0</x:v>
      </x:c>
      <x:c r="K349" s="753" t="str">
        <x:f>'幕间计算'!F442</x:f>
        <x:v/>
      </x:c>
    </x:row>
    <x:row r="350" ht="25" customHeight="1">
      <x:c r="A350" s="747"/>
      <x:c r="B350" s="747"/>
      <x:c r="C350" s="760"/>
      <x:c r="D350" s="747"/>
      <x:c r="E350" s="747"/>
      <x:c r="F350" s="747"/>
      <x:c r="G350" s="747"/>
      <x:c r="H350" s="747"/>
      <x:c r="I350" s="747"/>
      <x:c r="J350" s="753">
        <x:f>'幕间计算'!E443</x:f>
        <x:v>0</x:v>
      </x:c>
      <x:c r="K350" s="753" t="str">
        <x:f>'幕间计算'!F443</x:f>
        <x:v/>
      </x:c>
    </x:row>
    <x:row r="351" ht="25" customHeight="1">
      <x:c r="A351" s="747"/>
      <x:c r="B351" s="747"/>
      <x:c r="C351" s="760"/>
      <x:c r="D351" s="747"/>
      <x:c r="E351" s="747"/>
      <x:c r="F351" s="747"/>
      <x:c r="G351" s="747"/>
      <x:c r="H351" s="747"/>
      <x:c r="I351" s="747"/>
      <x:c r="J351" s="753">
        <x:f>'幕间计算'!E444</x:f>
        <x:v>0</x:v>
      </x:c>
      <x:c r="K351" s="753" t="str">
        <x:f>'幕间计算'!F444</x:f>
        <x:v/>
      </x:c>
    </x:row>
    <x:row r="352" ht="25" customHeight="1">
      <x:c r="A352" s="747"/>
      <x:c r="B352" s="747"/>
      <x:c r="C352" s="760"/>
      <x:c r="D352" s="747"/>
      <x:c r="E352" s="747"/>
      <x:c r="F352" s="747"/>
      <x:c r="G352" s="747"/>
      <x:c r="H352" s="747"/>
      <x:c r="I352" s="747"/>
      <x:c r="J352" s="753">
        <x:f>'幕间计算'!E445</x:f>
        <x:v>0</x:v>
      </x:c>
      <x:c r="K352" s="753" t="str">
        <x:f>'幕间计算'!F445</x:f>
        <x:v/>
      </x:c>
    </x:row>
    <x:row r="353" ht="25" customHeight="1">
      <x:c r="A353" s="747"/>
      <x:c r="B353" s="747"/>
      <x:c r="C353" s="760"/>
      <x:c r="D353" s="747"/>
      <x:c r="E353" s="747"/>
      <x:c r="F353" s="747"/>
      <x:c r="G353" s="747"/>
      <x:c r="H353" s="747"/>
      <x:c r="I353" s="747"/>
      <x:c r="J353" s="753">
        <x:f>'幕间计算'!E446</x:f>
        <x:v>0</x:v>
      </x:c>
      <x:c r="K353" s="753" t="str">
        <x:f>'幕间计算'!F446</x:f>
        <x:v/>
      </x:c>
    </x:row>
    <x:row r="354" ht="25" customHeight="1">
      <x:c r="A354" s="747"/>
      <x:c r="B354" s="747"/>
      <x:c r="C354" s="760"/>
      <x:c r="D354" s="747"/>
      <x:c r="E354" s="747"/>
      <x:c r="F354" s="747"/>
      <x:c r="G354" s="747"/>
      <x:c r="H354" s="747"/>
      <x:c r="I354" s="747"/>
      <x:c r="J354" s="753">
        <x:f>'幕间计算'!E447</x:f>
        <x:v>0</x:v>
      </x:c>
      <x:c r="K354" s="753" t="str">
        <x:f>'幕间计算'!F447</x:f>
        <x:v/>
      </x:c>
    </x:row>
    <x:row r="355" ht="25" customHeight="1">
      <x:c r="A355" s="747"/>
      <x:c r="B355" s="747"/>
      <x:c r="C355" s="760"/>
      <x:c r="D355" s="747"/>
      <x:c r="E355" s="747"/>
      <x:c r="F355" s="747"/>
      <x:c r="G355" s="747"/>
      <x:c r="H355" s="747"/>
      <x:c r="I355" s="747"/>
      <x:c r="J355" s="753">
        <x:f>'幕间计算'!E448</x:f>
        <x:v>0</x:v>
      </x:c>
      <x:c r="K355" s="753" t="str">
        <x:f>'幕间计算'!F448</x:f>
        <x:v/>
      </x:c>
    </x:row>
    <x:row r="356" ht="25" customHeight="1">
      <x:c r="A356" s="747"/>
      <x:c r="B356" s="747"/>
      <x:c r="C356" s="760"/>
      <x:c r="D356" s="747"/>
      <x:c r="E356" s="747"/>
      <x:c r="F356" s="747"/>
      <x:c r="G356" s="747"/>
      <x:c r="H356" s="747"/>
      <x:c r="I356" s="747"/>
      <x:c r="J356" s="753">
        <x:f>'幕间计算'!E449</x:f>
        <x:v>0</x:v>
      </x:c>
      <x:c r="K356" s="753" t="str">
        <x:f>'幕间计算'!F449</x:f>
        <x:v/>
      </x:c>
    </x:row>
    <x:row r="357" ht="25" customHeight="1">
      <x:c r="A357" s="747"/>
      <x:c r="B357" s="747"/>
      <x:c r="C357" s="760"/>
      <x:c r="D357" s="747"/>
      <x:c r="E357" s="747"/>
      <x:c r="F357" s="747"/>
      <x:c r="G357" s="747"/>
      <x:c r="H357" s="747"/>
      <x:c r="I357" s="747"/>
      <x:c r="J357" s="753">
        <x:f>'幕间计算'!E450</x:f>
        <x:v>0</x:v>
      </x:c>
      <x:c r="K357" s="753" t="str">
        <x:f>'幕间计算'!F450</x:f>
        <x:v/>
      </x:c>
    </x:row>
    <x:row r="358" ht="25" customHeight="1">
      <x:c r="A358" s="747"/>
      <x:c r="B358" s="747"/>
      <x:c r="C358" s="760"/>
      <x:c r="D358" s="747"/>
      <x:c r="E358" s="747"/>
      <x:c r="F358" s="747"/>
      <x:c r="G358" s="747"/>
      <x:c r="H358" s="747"/>
      <x:c r="I358" s="747"/>
      <x:c r="J358" s="753">
        <x:f>'幕间计算'!E451</x:f>
        <x:v>0</x:v>
      </x:c>
      <x:c r="K358" s="753" t="str">
        <x:f>'幕间计算'!F451</x:f>
        <x:v/>
      </x:c>
    </x:row>
    <x:row r="359" ht="25" customHeight="1">
      <x:c r="A359" s="747"/>
      <x:c r="B359" s="747"/>
      <x:c r="C359" s="760"/>
      <x:c r="D359" s="747"/>
      <x:c r="E359" s="747"/>
      <x:c r="F359" s="747"/>
      <x:c r="G359" s="747"/>
      <x:c r="H359" s="747"/>
      <x:c r="I359" s="747"/>
      <x:c r="J359" s="753">
        <x:f>'幕间计算'!E452</x:f>
        <x:v>0</x:v>
      </x:c>
      <x:c r="K359" s="753" t="str">
        <x:f>'幕间计算'!F452</x:f>
        <x:v/>
      </x:c>
    </x:row>
    <x:row r="360" ht="25" customHeight="1">
      <x:c r="A360" s="747"/>
      <x:c r="B360" s="747"/>
      <x:c r="C360" s="760"/>
      <x:c r="D360" s="747"/>
      <x:c r="E360" s="747"/>
      <x:c r="F360" s="747"/>
      <x:c r="G360" s="747"/>
      <x:c r="H360" s="747"/>
      <x:c r="I360" s="747"/>
      <x:c r="J360" s="753">
        <x:f>'幕间计算'!E453</x:f>
        <x:v>0</x:v>
      </x:c>
      <x:c r="K360" s="753" t="str">
        <x:f>'幕间计算'!F453</x:f>
        <x:v/>
      </x:c>
    </x:row>
    <x:row r="361" ht="25" customHeight="1">
      <x:c r="A361" s="747"/>
      <x:c r="B361" s="747"/>
      <x:c r="C361" s="760"/>
      <x:c r="D361" s="747"/>
      <x:c r="E361" s="747"/>
      <x:c r="F361" s="747"/>
      <x:c r="G361" s="747"/>
      <x:c r="H361" s="747"/>
      <x:c r="I361" s="747"/>
      <x:c r="J361" s="753">
        <x:f>'幕间计算'!E454</x:f>
        <x:v>0</x:v>
      </x:c>
      <x:c r="K361" s="753" t="str">
        <x:f>'幕间计算'!F454</x:f>
        <x:v/>
      </x:c>
    </x:row>
    <x:row r="362" ht="25" customHeight="1">
      <x:c r="A362" s="747"/>
      <x:c r="B362" s="747"/>
      <x:c r="C362" s="760"/>
      <x:c r="D362" s="747"/>
      <x:c r="E362" s="747"/>
      <x:c r="F362" s="747"/>
      <x:c r="G362" s="747"/>
      <x:c r="H362" s="747"/>
      <x:c r="I362" s="747"/>
      <x:c r="J362" s="753">
        <x:f>'幕间计算'!E455</x:f>
        <x:v>0</x:v>
      </x:c>
      <x:c r="K362" s="753" t="str">
        <x:f>'幕间计算'!F455</x:f>
        <x:v/>
      </x:c>
    </x:row>
    <x:row r="363" ht="25" customHeight="1">
      <x:c r="A363" s="747"/>
      <x:c r="B363" s="747"/>
      <x:c r="C363" s="760"/>
      <x:c r="D363" s="747"/>
      <x:c r="E363" s="747"/>
      <x:c r="F363" s="747"/>
      <x:c r="G363" s="747"/>
      <x:c r="H363" s="747"/>
      <x:c r="I363" s="747"/>
      <x:c r="J363" s="753">
        <x:f>'幕间计算'!E456</x:f>
        <x:v>0</x:v>
      </x:c>
      <x:c r="K363" s="753" t="str">
        <x:f>'幕间计算'!F456</x:f>
        <x:v/>
      </x:c>
    </x:row>
    <x:row r="364" ht="25" customHeight="1">
      <x:c r="A364" s="747"/>
      <x:c r="B364" s="747"/>
      <x:c r="C364" s="760"/>
      <x:c r="D364" s="747"/>
      <x:c r="E364" s="747"/>
      <x:c r="F364" s="747"/>
      <x:c r="G364" s="747"/>
      <x:c r="H364" s="747"/>
      <x:c r="I364" s="747"/>
      <x:c r="J364" s="753">
        <x:f>'幕间计算'!E457</x:f>
        <x:v>0</x:v>
      </x:c>
      <x:c r="K364" s="753" t="str">
        <x:f>'幕间计算'!F457</x:f>
        <x:v/>
      </x:c>
    </x:row>
    <x:row r="365" ht="25" customHeight="1">
      <x:c r="A365" s="747"/>
      <x:c r="B365" s="747"/>
      <x:c r="C365" s="760"/>
      <x:c r="D365" s="747"/>
      <x:c r="E365" s="747"/>
      <x:c r="F365" s="747"/>
      <x:c r="G365" s="747"/>
      <x:c r="H365" s="747"/>
      <x:c r="I365" s="747"/>
      <x:c r="J365" s="753">
        <x:f>'幕间计算'!E458</x:f>
        <x:v>0</x:v>
      </x:c>
      <x:c r="K365" s="753" t="str">
        <x:f>'幕间计算'!F458</x:f>
        <x:v/>
      </x:c>
    </x:row>
    <x:row r="366" ht="25" customHeight="1">
      <x:c r="A366" s="747"/>
      <x:c r="B366" s="747"/>
      <x:c r="C366" s="760"/>
      <x:c r="D366" s="747"/>
      <x:c r="E366" s="747"/>
      <x:c r="F366" s="747"/>
      <x:c r="G366" s="747"/>
      <x:c r="H366" s="747"/>
      <x:c r="I366" s="747"/>
      <x:c r="J366" s="753">
        <x:f>'幕间计算'!E459</x:f>
        <x:v>0</x:v>
      </x:c>
      <x:c r="K366" s="753" t="str">
        <x:f>'幕间计算'!F459</x:f>
        <x:v/>
      </x:c>
    </x:row>
    <x:row r="367" ht="25" customHeight="1">
      <x:c r="A367" s="747"/>
      <x:c r="B367" s="747"/>
      <x:c r="C367" s="760"/>
      <x:c r="D367" s="747"/>
      <x:c r="E367" s="747"/>
      <x:c r="F367" s="747"/>
      <x:c r="G367" s="747"/>
      <x:c r="H367" s="747"/>
      <x:c r="I367" s="747"/>
      <x:c r="J367" s="753">
        <x:f>'幕间计算'!E460</x:f>
        <x:v>0</x:v>
      </x:c>
      <x:c r="K367" s="753" t="str">
        <x:f>'幕间计算'!F460</x:f>
        <x:v/>
      </x:c>
    </x:row>
    <x:row r="368" ht="25" customHeight="1">
      <x:c r="A368" s="747"/>
      <x:c r="B368" s="747"/>
      <x:c r="C368" s="760"/>
      <x:c r="D368" s="747"/>
      <x:c r="E368" s="747"/>
      <x:c r="F368" s="747"/>
      <x:c r="G368" s="747"/>
      <x:c r="H368" s="747"/>
      <x:c r="I368" s="747"/>
      <x:c r="J368" s="753">
        <x:f>'幕间计算'!E461</x:f>
        <x:v>0</x:v>
      </x:c>
      <x:c r="K368" s="753" t="str">
        <x:f>'幕间计算'!F461</x:f>
        <x:v/>
      </x:c>
    </x:row>
    <x:row r="369" ht="25" customHeight="1">
      <x:c r="A369" s="747"/>
      <x:c r="B369" s="747"/>
      <x:c r="C369" s="760"/>
      <x:c r="D369" s="747"/>
      <x:c r="E369" s="747"/>
      <x:c r="F369" s="747"/>
      <x:c r="G369" s="747"/>
      <x:c r="H369" s="747"/>
      <x:c r="I369" s="747"/>
      <x:c r="J369" s="753">
        <x:f>'幕间计算'!E462</x:f>
        <x:v>0</x:v>
      </x:c>
      <x:c r="K369" s="753" t="str">
        <x:f>'幕间计算'!F462</x:f>
        <x:v/>
      </x:c>
    </x:row>
    <x:row r="370" ht="25" customHeight="1">
      <x:c r="A370" s="747"/>
      <x:c r="B370" s="747"/>
      <x:c r="C370" s="760"/>
      <x:c r="D370" s="747"/>
      <x:c r="E370" s="747"/>
      <x:c r="F370" s="747"/>
      <x:c r="G370" s="747"/>
      <x:c r="H370" s="747"/>
      <x:c r="I370" s="747"/>
      <x:c r="J370" s="753">
        <x:f>'幕间计算'!E463</x:f>
        <x:v>0</x:v>
      </x:c>
      <x:c r="K370" s="753" t="str">
        <x:f>'幕间计算'!F463</x:f>
        <x:v/>
      </x:c>
    </x:row>
    <x:row r="371" ht="25" customHeight="1">
      <x:c r="A371" s="747"/>
      <x:c r="B371" s="747"/>
      <x:c r="C371" s="760"/>
      <x:c r="D371" s="747"/>
      <x:c r="E371" s="747"/>
      <x:c r="F371" s="747"/>
      <x:c r="G371" s="747"/>
      <x:c r="H371" s="747"/>
      <x:c r="I371" s="747"/>
      <x:c r="J371" s="753">
        <x:f>'幕间计算'!E464</x:f>
        <x:v>0</x:v>
      </x:c>
      <x:c r="K371" s="753" t="str">
        <x:f>'幕间计算'!F464</x:f>
        <x:v/>
      </x:c>
    </x:row>
    <x:row r="372" ht="25" customHeight="1">
      <x:c r="A372" s="747"/>
      <x:c r="B372" s="747"/>
      <x:c r="C372" s="760"/>
      <x:c r="D372" s="747"/>
      <x:c r="E372" s="747"/>
      <x:c r="F372" s="747"/>
      <x:c r="G372" s="747"/>
      <x:c r="H372" s="747"/>
      <x:c r="I372" s="747"/>
      <x:c r="J372" s="753">
        <x:f>'幕间计算'!E465</x:f>
        <x:v>0</x:v>
      </x:c>
      <x:c r="K372" s="753" t="str">
        <x:f>'幕间计算'!F465</x:f>
        <x:v/>
      </x:c>
    </x:row>
    <x:row r="373" ht="25" customHeight="1">
      <x:c r="A373" s="747"/>
      <x:c r="B373" s="747"/>
      <x:c r="C373" s="760"/>
      <x:c r="D373" s="747"/>
      <x:c r="E373" s="747"/>
      <x:c r="F373" s="747"/>
      <x:c r="G373" s="747"/>
      <x:c r="H373" s="747"/>
      <x:c r="I373" s="747"/>
      <x:c r="J373" s="753">
        <x:f>'幕间计算'!E466</x:f>
        <x:v>0</x:v>
      </x:c>
      <x:c r="K373" s="753" t="str">
        <x:f>'幕间计算'!F466</x:f>
        <x:v/>
      </x:c>
    </x:row>
    <x:row r="374" ht="25" customHeight="1">
      <x:c r="A374" s="747"/>
      <x:c r="B374" s="747"/>
      <x:c r="C374" s="760"/>
      <x:c r="D374" s="747"/>
      <x:c r="E374" s="747"/>
      <x:c r="F374" s="747"/>
      <x:c r="G374" s="747"/>
      <x:c r="H374" s="747"/>
      <x:c r="I374" s="747"/>
      <x:c r="J374" s="753">
        <x:f>'幕间计算'!E467</x:f>
        <x:v>0</x:v>
      </x:c>
      <x:c r="K374" s="753" t="str">
        <x:f>'幕间计算'!F467</x:f>
        <x:v/>
      </x:c>
    </x:row>
    <x:row r="375" ht="25" customHeight="1">
      <x:c r="A375" s="747"/>
      <x:c r="B375" s="747"/>
      <x:c r="C375" s="760"/>
      <x:c r="D375" s="747"/>
      <x:c r="E375" s="747"/>
      <x:c r="F375" s="747"/>
      <x:c r="G375" s="747"/>
      <x:c r="H375" s="747"/>
      <x:c r="I375" s="747"/>
      <x:c r="J375" s="753">
        <x:f>'幕间计算'!E468</x:f>
        <x:v>0</x:v>
      </x:c>
      <x:c r="K375" s="753" t="str">
        <x:f>'幕间计算'!F468</x:f>
        <x:v/>
      </x:c>
    </x:row>
    <x:row r="376" ht="25" customHeight="1">
      <x:c r="A376" s="747"/>
      <x:c r="B376" s="747"/>
      <x:c r="C376" s="760"/>
      <x:c r="D376" s="747"/>
      <x:c r="E376" s="747"/>
      <x:c r="F376" s="747"/>
      <x:c r="G376" s="747"/>
      <x:c r="H376" s="747"/>
      <x:c r="I376" s="747"/>
      <x:c r="J376" s="753">
        <x:f>'幕间计算'!E469</x:f>
        <x:v>0</x:v>
      </x:c>
      <x:c r="K376" s="753" t="str">
        <x:f>'幕间计算'!F469</x:f>
        <x:v/>
      </x:c>
    </x:row>
    <x:row r="377" ht="25" customHeight="1">
      <x:c r="A377" s="747"/>
      <x:c r="B377" s="747"/>
      <x:c r="C377" s="760"/>
      <x:c r="D377" s="747"/>
      <x:c r="E377" s="747"/>
      <x:c r="F377" s="747"/>
      <x:c r="G377" s="747"/>
      <x:c r="H377" s="747"/>
      <x:c r="I377" s="747"/>
      <x:c r="J377" s="753">
        <x:f>'幕间计算'!E470</x:f>
        <x:v>0</x:v>
      </x:c>
      <x:c r="K377" s="753" t="str">
        <x:f>'幕间计算'!F470</x:f>
        <x:v/>
      </x:c>
    </x:row>
    <x:row r="378" ht="25" customHeight="1">
      <x:c r="A378" s="747"/>
      <x:c r="B378" s="747"/>
      <x:c r="C378" s="760"/>
      <x:c r="D378" s="747"/>
      <x:c r="E378" s="747"/>
      <x:c r="F378" s="747"/>
      <x:c r="G378" s="747"/>
      <x:c r="H378" s="747"/>
      <x:c r="I378" s="747"/>
      <x:c r="J378" s="753">
        <x:f>'幕间计算'!E471</x:f>
        <x:v>0</x:v>
      </x:c>
      <x:c r="K378" s="753" t="str">
        <x:f>'幕间计算'!F471</x:f>
        <x:v/>
      </x:c>
    </x:row>
    <x:row r="379" ht="25" customHeight="1">
      <x:c r="A379" s="747"/>
      <x:c r="B379" s="747"/>
      <x:c r="C379" s="760"/>
      <x:c r="D379" s="747"/>
      <x:c r="E379" s="747"/>
      <x:c r="F379" s="747"/>
      <x:c r="G379" s="747"/>
      <x:c r="H379" s="747"/>
      <x:c r="I379" s="747"/>
      <x:c r="J379" s="753">
        <x:f>'幕间计算'!E472</x:f>
        <x:v>0</x:v>
      </x:c>
      <x:c r="K379" s="753" t="str">
        <x:f>'幕间计算'!F472</x:f>
        <x:v/>
      </x:c>
    </x:row>
    <x:row r="380" ht="25" customHeight="1">
      <x:c r="A380" s="747"/>
      <x:c r="B380" s="747"/>
      <x:c r="C380" s="760"/>
      <x:c r="D380" s="747"/>
      <x:c r="E380" s="747"/>
      <x:c r="F380" s="747"/>
      <x:c r="G380" s="747"/>
      <x:c r="H380" s="747"/>
      <x:c r="I380" s="747"/>
      <x:c r="J380" s="753">
        <x:f>'幕间计算'!E473</x:f>
        <x:v>0</x:v>
      </x:c>
      <x:c r="K380" s="753" t="str">
        <x:f>'幕间计算'!F473</x:f>
        <x:v/>
      </x:c>
    </x:row>
    <x:row r="381" ht="25" customHeight="1">
      <x:c r="A381" s="747"/>
      <x:c r="B381" s="747"/>
      <x:c r="C381" s="760"/>
      <x:c r="D381" s="747"/>
      <x:c r="E381" s="747"/>
      <x:c r="F381" s="747"/>
      <x:c r="G381" s="747"/>
      <x:c r="H381" s="747"/>
      <x:c r="I381" s="747"/>
      <x:c r="J381" s="753">
        <x:f>'幕间计算'!E474</x:f>
        <x:v>0</x:v>
      </x:c>
      <x:c r="K381" s="753" t="str">
        <x:f>'幕间计算'!F474</x:f>
        <x:v/>
      </x:c>
    </x:row>
    <x:row r="382" ht="25" customHeight="1">
      <x:c r="A382" s="747"/>
      <x:c r="B382" s="747"/>
      <x:c r="C382" s="760"/>
      <x:c r="D382" s="747"/>
      <x:c r="E382" s="747"/>
      <x:c r="F382" s="747"/>
      <x:c r="G382" s="747"/>
      <x:c r="H382" s="747"/>
      <x:c r="I382" s="747"/>
      <x:c r="J382" s="753">
        <x:f>'幕间计算'!E475</x:f>
        <x:v>0</x:v>
      </x:c>
      <x:c r="K382" s="753" t="str">
        <x:f>'幕间计算'!F475</x:f>
        <x:v/>
      </x:c>
    </x:row>
    <x:row r="383" ht="25" customHeight="1">
      <x:c r="A383" s="747"/>
      <x:c r="B383" s="747"/>
      <x:c r="C383" s="760"/>
      <x:c r="D383" s="747"/>
      <x:c r="E383" s="747"/>
      <x:c r="F383" s="747"/>
      <x:c r="G383" s="747"/>
      <x:c r="H383" s="747"/>
      <x:c r="I383" s="747"/>
      <x:c r="J383" s="753">
        <x:f>'幕间计算'!E476</x:f>
        <x:v>0</x:v>
      </x:c>
      <x:c r="K383" s="753" t="str">
        <x:f>'幕间计算'!F476</x:f>
        <x:v/>
      </x:c>
    </x:row>
    <x:row r="384" ht="25" customHeight="1">
      <x:c r="A384" s="747"/>
      <x:c r="B384" s="747"/>
      <x:c r="C384" s="760"/>
      <x:c r="D384" s="747"/>
      <x:c r="E384" s="747"/>
      <x:c r="F384" s="747"/>
      <x:c r="G384" s="747"/>
      <x:c r="H384" s="747"/>
      <x:c r="I384" s="747"/>
      <x:c r="J384" s="753">
        <x:f>'幕间计算'!E477</x:f>
        <x:v>0</x:v>
      </x:c>
      <x:c r="K384" s="753" t="str">
        <x:f>'幕间计算'!F477</x:f>
        <x:v/>
      </x:c>
    </x:row>
    <x:row r="385" ht="25" customHeight="1">
      <x:c r="A385" s="747"/>
      <x:c r="B385" s="747"/>
      <x:c r="C385" s="760"/>
      <x:c r="D385" s="747"/>
      <x:c r="E385" s="747"/>
      <x:c r="F385" s="747"/>
      <x:c r="G385" s="747"/>
      <x:c r="H385" s="747"/>
      <x:c r="I385" s="747"/>
      <x:c r="J385" s="753">
        <x:f>'幕间计算'!E478</x:f>
        <x:v>0</x:v>
      </x:c>
      <x:c r="K385" s="753" t="str">
        <x:f>'幕间计算'!F478</x:f>
        <x:v/>
      </x:c>
    </x:row>
    <x:row r="386" ht="25" customHeight="1">
      <x:c r="A386" s="747"/>
      <x:c r="B386" s="747"/>
      <x:c r="C386" s="760"/>
      <x:c r="D386" s="747"/>
      <x:c r="E386" s="747"/>
      <x:c r="F386" s="747"/>
      <x:c r="G386" s="747"/>
      <x:c r="H386" s="747"/>
      <x:c r="I386" s="747"/>
      <x:c r="J386" s="753">
        <x:f>'幕间计算'!E479</x:f>
        <x:v>0</x:v>
      </x:c>
      <x:c r="K386" s="753" t="str">
        <x:f>'幕间计算'!F479</x:f>
        <x:v/>
      </x:c>
    </x:row>
    <x:row r="387" ht="25" customHeight="1">
      <x:c r="A387" s="747"/>
      <x:c r="B387" s="747"/>
      <x:c r="C387" s="760"/>
      <x:c r="D387" s="747"/>
      <x:c r="E387" s="747"/>
      <x:c r="F387" s="747"/>
      <x:c r="G387" s="747"/>
      <x:c r="H387" s="747"/>
      <x:c r="I387" s="747"/>
      <x:c r="J387" s="753">
        <x:f>'幕间计算'!E480</x:f>
        <x:v>0</x:v>
      </x:c>
      <x:c r="K387" s="753" t="str">
        <x:f>'幕间计算'!F480</x:f>
        <x:v/>
      </x:c>
    </x:row>
    <x:row r="388" ht="25" customHeight="1">
      <x:c r="A388" s="747"/>
      <x:c r="B388" s="747"/>
      <x:c r="C388" s="760"/>
      <x:c r="D388" s="747"/>
      <x:c r="E388" s="747"/>
      <x:c r="F388" s="747"/>
      <x:c r="G388" s="747"/>
      <x:c r="H388" s="747"/>
      <x:c r="I388" s="747"/>
      <x:c r="J388" s="753">
        <x:f>'幕间计算'!E481</x:f>
        <x:v>0</x:v>
      </x:c>
      <x:c r="K388" s="753" t="str">
        <x:f>'幕间计算'!F481</x:f>
        <x:v/>
      </x:c>
    </x:row>
    <x:row r="389" ht="25" customHeight="1">
      <x:c r="A389" s="747"/>
      <x:c r="B389" s="747"/>
      <x:c r="C389" s="760"/>
      <x:c r="D389" s="747"/>
      <x:c r="E389" s="747"/>
      <x:c r="F389" s="747"/>
      <x:c r="G389" s="747"/>
      <x:c r="H389" s="747"/>
      <x:c r="I389" s="747"/>
      <x:c r="J389" s="753">
        <x:f>'幕间计算'!E482</x:f>
        <x:v>0</x:v>
      </x:c>
      <x:c r="K389" s="753" t="str">
        <x:f>'幕间计算'!F482</x:f>
        <x:v/>
      </x:c>
    </x:row>
    <x:row r="390" ht="25" customHeight="1">
      <x:c r="A390" s="747"/>
      <x:c r="B390" s="747"/>
      <x:c r="C390" s="760"/>
      <x:c r="D390" s="747"/>
      <x:c r="E390" s="747"/>
      <x:c r="F390" s="747"/>
      <x:c r="G390" s="747"/>
      <x:c r="H390" s="747"/>
      <x:c r="I390" s="747"/>
      <x:c r="J390" s="753">
        <x:f>'幕间计算'!E483</x:f>
        <x:v>0</x:v>
      </x:c>
      <x:c r="K390" s="753" t="str">
        <x:f>'幕间计算'!F483</x:f>
        <x:v/>
      </x:c>
    </x:row>
    <x:row r="391" ht="25" customHeight="1">
      <x:c r="A391" s="747"/>
      <x:c r="B391" s="747"/>
      <x:c r="C391" s="760"/>
      <x:c r="D391" s="747"/>
      <x:c r="E391" s="747"/>
      <x:c r="F391" s="747"/>
      <x:c r="G391" s="747"/>
      <x:c r="H391" s="747"/>
      <x:c r="I391" s="747"/>
      <x:c r="J391" s="753">
        <x:f>'幕间计算'!E484</x:f>
        <x:v>0</x:v>
      </x:c>
      <x:c r="K391" s="753" t="str">
        <x:f>'幕间计算'!F484</x:f>
        <x:v/>
      </x:c>
    </x:row>
    <x:row r="392" ht="25" customHeight="1">
      <x:c r="A392" s="747"/>
      <x:c r="B392" s="747"/>
      <x:c r="C392" s="760"/>
      <x:c r="D392" s="747"/>
      <x:c r="E392" s="747"/>
      <x:c r="F392" s="747"/>
      <x:c r="G392" s="747"/>
      <x:c r="H392" s="747"/>
      <x:c r="I392" s="747"/>
      <x:c r="J392" s="753">
        <x:f>'幕间计算'!E485</x:f>
        <x:v>0</x:v>
      </x:c>
      <x:c r="K392" s="753" t="str">
        <x:f>'幕间计算'!F485</x:f>
        <x:v/>
      </x:c>
    </x:row>
    <x:row r="393" ht="25" customHeight="1">
      <x:c r="A393" s="747"/>
      <x:c r="B393" s="747"/>
      <x:c r="C393" s="760"/>
      <x:c r="D393" s="747"/>
      <x:c r="E393" s="747"/>
      <x:c r="F393" s="747"/>
      <x:c r="G393" s="747"/>
      <x:c r="H393" s="747"/>
      <x:c r="I393" s="747"/>
      <x:c r="J393" s="753">
        <x:f>'幕间计算'!E486</x:f>
        <x:v>0</x:v>
      </x:c>
      <x:c r="K393" s="753" t="str">
        <x:f>'幕间计算'!F486</x:f>
        <x:v/>
      </x:c>
    </x:row>
    <x:row r="394" ht="25" customHeight="1">
      <x:c r="A394" s="747"/>
      <x:c r="B394" s="747"/>
      <x:c r="C394" s="760"/>
      <x:c r="D394" s="747"/>
      <x:c r="E394" s="747"/>
      <x:c r="F394" s="747"/>
      <x:c r="G394" s="747"/>
      <x:c r="H394" s="747"/>
      <x:c r="I394" s="747"/>
      <x:c r="J394" s="753">
        <x:f>'幕间计算'!E487</x:f>
        <x:v>0</x:v>
      </x:c>
      <x:c r="K394" s="753" t="str">
        <x:f>'幕间计算'!F487</x:f>
        <x:v/>
      </x:c>
    </x:row>
    <x:row r="395" ht="25" customHeight="1">
      <x:c r="A395" s="747"/>
      <x:c r="B395" s="747"/>
      <x:c r="C395" s="760"/>
      <x:c r="D395" s="747"/>
      <x:c r="E395" s="747"/>
      <x:c r="F395" s="747"/>
      <x:c r="G395" s="747"/>
      <x:c r="H395" s="747"/>
      <x:c r="I395" s="747"/>
      <x:c r="J395" s="753">
        <x:f>'幕间计算'!E488</x:f>
        <x:v>0</x:v>
      </x:c>
      <x:c r="K395" s="753" t="str">
        <x:f>'幕间计算'!F488</x:f>
        <x:v/>
      </x:c>
    </x:row>
    <x:row r="396" ht="25" customHeight="1">
      <x:c r="A396" s="747"/>
      <x:c r="B396" s="747"/>
      <x:c r="C396" s="760"/>
      <x:c r="D396" s="747"/>
      <x:c r="E396" s="747"/>
      <x:c r="F396" s="747"/>
      <x:c r="G396" s="747"/>
      <x:c r="H396" s="747"/>
      <x:c r="I396" s="747"/>
      <x:c r="J396" s="753">
        <x:f>'幕间计算'!E489</x:f>
        <x:v>0</x:v>
      </x:c>
      <x:c r="K396" s="753" t="str">
        <x:f>'幕间计算'!F489</x:f>
        <x:v/>
      </x:c>
    </x:row>
    <x:row r="397" ht="25" customHeight="1">
      <x:c r="A397" s="747"/>
      <x:c r="B397" s="747"/>
      <x:c r="C397" s="760"/>
      <x:c r="D397" s="747"/>
      <x:c r="E397" s="747"/>
      <x:c r="F397" s="747"/>
      <x:c r="G397" s="747"/>
      <x:c r="H397" s="747"/>
      <x:c r="I397" s="747"/>
      <x:c r="J397" s="753">
        <x:f>'幕间计算'!E490</x:f>
        <x:v>0</x:v>
      </x:c>
      <x:c r="K397" s="753" t="str">
        <x:f>'幕间计算'!F490</x:f>
        <x:v/>
      </x:c>
    </x:row>
    <x:row r="398" ht="25" customHeight="1">
      <x:c r="A398" s="747"/>
      <x:c r="B398" s="747"/>
      <x:c r="C398" s="760"/>
      <x:c r="D398" s="747"/>
      <x:c r="E398" s="747"/>
      <x:c r="F398" s="747"/>
      <x:c r="G398" s="747"/>
      <x:c r="H398" s="747"/>
      <x:c r="I398" s="747"/>
      <x:c r="J398" s="753">
        <x:f>'幕间计算'!E491</x:f>
        <x:v>0</x:v>
      </x:c>
      <x:c r="K398" s="753" t="str">
        <x:f>'幕间计算'!F491</x:f>
        <x:v/>
      </x:c>
    </x:row>
    <x:row r="399" ht="25" customHeight="1">
      <x:c r="A399" s="747"/>
      <x:c r="B399" s="747"/>
      <x:c r="C399" s="760"/>
      <x:c r="D399" s="747"/>
      <x:c r="E399" s="747"/>
      <x:c r="F399" s="747"/>
      <x:c r="G399" s="747"/>
      <x:c r="H399" s="747"/>
      <x:c r="I399" s="747"/>
      <x:c r="J399" s="753">
        <x:f>'幕间计算'!E492</x:f>
        <x:v>0</x:v>
      </x:c>
      <x:c r="K399" s="753" t="str">
        <x:f>'幕间计算'!F492</x:f>
        <x:v/>
      </x:c>
    </x:row>
    <x:row r="400" ht="25" customHeight="1">
      <x:c r="A400" s="747"/>
      <x:c r="B400" s="747"/>
      <x:c r="C400" s="760"/>
      <x:c r="D400" s="747"/>
      <x:c r="E400" s="747"/>
      <x:c r="F400" s="747"/>
      <x:c r="G400" s="747"/>
      <x:c r="H400" s="747"/>
      <x:c r="I400" s="747"/>
      <x:c r="J400" s="753">
        <x:f>'幕间计算'!E493</x:f>
        <x:v>0</x:v>
      </x:c>
      <x:c r="K400" s="753" t="str">
        <x:f>'幕间计算'!F493</x:f>
        <x:v/>
      </x:c>
    </x:row>
    <x:row r="401" ht="25" customHeight="1">
      <x:c r="A401" s="747"/>
      <x:c r="B401" s="747"/>
      <x:c r="C401" s="760"/>
      <x:c r="D401" s="747"/>
      <x:c r="E401" s="747"/>
      <x:c r="F401" s="747"/>
      <x:c r="G401" s="747"/>
      <x:c r="H401" s="747"/>
      <x:c r="I401" s="747"/>
      <x:c r="J401" s="753">
        <x:f>'幕间计算'!E494</x:f>
        <x:v>0</x:v>
      </x:c>
      <x:c r="K401" s="753" t="str">
        <x:f>'幕间计算'!F494</x:f>
        <x:v/>
      </x:c>
    </x:row>
    <x:row r="402" ht="25" customHeight="1">
      <x:c r="A402" s="747"/>
      <x:c r="B402" s="747"/>
      <x:c r="C402" s="760"/>
      <x:c r="D402" s="747"/>
      <x:c r="E402" s="747"/>
      <x:c r="F402" s="747"/>
      <x:c r="G402" s="747"/>
      <x:c r="H402" s="747"/>
      <x:c r="I402" s="747"/>
      <x:c r="J402" s="753">
        <x:f>'幕间计算'!E495</x:f>
        <x:v>0</x:v>
      </x:c>
      <x:c r="K402" s="753" t="str">
        <x:f>'幕间计算'!F495</x:f>
        <x:v/>
      </x:c>
    </x:row>
    <x:row r="403" ht="25" customHeight="1">
      <x:c r="A403" s="747"/>
      <x:c r="B403" s="747"/>
      <x:c r="C403" s="760"/>
      <x:c r="D403" s="747"/>
      <x:c r="E403" s="747"/>
      <x:c r="F403" s="747"/>
      <x:c r="G403" s="747"/>
      <x:c r="H403" s="747"/>
      <x:c r="I403" s="747"/>
      <x:c r="J403" s="753">
        <x:f>'幕间计算'!E496</x:f>
        <x:v>0</x:v>
      </x:c>
      <x:c r="K403" s="753" t="str">
        <x:f>'幕间计算'!F496</x:f>
        <x:v/>
      </x:c>
    </x:row>
    <x:row r="404" ht="25" customHeight="1">
      <x:c r="A404" s="747"/>
      <x:c r="B404" s="747"/>
      <x:c r="C404" s="760"/>
      <x:c r="D404" s="747"/>
      <x:c r="E404" s="747"/>
      <x:c r="F404" s="747"/>
      <x:c r="G404" s="747"/>
      <x:c r="H404" s="747"/>
      <x:c r="I404" s="747"/>
      <x:c r="J404" s="753">
        <x:f>'幕间计算'!E497</x:f>
        <x:v>0</x:v>
      </x:c>
      <x:c r="K404" s="753" t="str">
        <x:f>'幕间计算'!F497</x:f>
        <x:v/>
      </x:c>
    </x:row>
    <x:row r="405" ht="25" customHeight="1">
      <x:c r="A405" s="747"/>
      <x:c r="B405" s="747"/>
      <x:c r="C405" s="760"/>
      <x:c r="D405" s="747"/>
      <x:c r="E405" s="747"/>
      <x:c r="F405" s="747"/>
      <x:c r="G405" s="747"/>
      <x:c r="H405" s="747"/>
      <x:c r="I405" s="747"/>
      <x:c r="J405" s="753">
        <x:f>'幕间计算'!E498</x:f>
        <x:v>0</x:v>
      </x:c>
      <x:c r="K405" s="753" t="str">
        <x:f>'幕间计算'!F498</x:f>
        <x:v/>
      </x:c>
    </x:row>
    <x:row r="406" ht="25" customHeight="1">
      <x:c r="A406" s="747"/>
      <x:c r="B406" s="747"/>
      <x:c r="C406" s="760"/>
      <x:c r="D406" s="747"/>
      <x:c r="E406" s="747"/>
      <x:c r="F406" s="747"/>
      <x:c r="G406" s="747"/>
      <x:c r="H406" s="747"/>
      <x:c r="I406" s="747"/>
      <x:c r="J406" s="753">
        <x:f>'幕间计算'!E499</x:f>
        <x:v>0</x:v>
      </x:c>
      <x:c r="K406" s="753" t="str">
        <x:f>'幕间计算'!F499</x:f>
        <x:v/>
      </x:c>
    </x:row>
    <x:row r="407" ht="25" customHeight="1">
      <x:c r="A407" s="747"/>
      <x:c r="B407" s="747"/>
      <x:c r="C407" s="760"/>
      <x:c r="D407" s="747"/>
      <x:c r="E407" s="747"/>
      <x:c r="F407" s="747"/>
      <x:c r="G407" s="747"/>
      <x:c r="H407" s="747"/>
      <x:c r="I407" s="747"/>
      <x:c r="J407" s="753">
        <x:f>'幕间计算'!E500</x:f>
        <x:v>0</x:v>
      </x:c>
      <x:c r="K407" s="753" t="str">
        <x:f>'幕间计算'!F500</x:f>
        <x:v/>
      </x:c>
    </x:row>
    <x:row r="408" ht="25" customHeight="1">
      <x:c r="A408" s="747"/>
      <x:c r="B408" s="747"/>
      <x:c r="C408" s="760"/>
      <x:c r="D408" s="747"/>
      <x:c r="E408" s="747"/>
      <x:c r="F408" s="747"/>
      <x:c r="G408" s="747"/>
      <x:c r="H408" s="747"/>
      <x:c r="I408" s="747"/>
      <x:c r="J408" s="753">
        <x:f>'幕间计算'!E501</x:f>
        <x:v>0</x:v>
      </x:c>
      <x:c r="K408" s="753" t="str">
        <x:f>'幕间计算'!F501</x:f>
        <x:v/>
      </x:c>
    </x:row>
    <x:row r="409" ht="25" customHeight="1">
      <x:c r="A409" s="747"/>
      <x:c r="B409" s="747"/>
      <x:c r="C409" s="760"/>
      <x:c r="D409" s="747"/>
      <x:c r="E409" s="747"/>
      <x:c r="F409" s="747"/>
      <x:c r="G409" s="747"/>
      <x:c r="H409" s="747"/>
      <x:c r="I409" s="747"/>
      <x:c r="J409" s="753">
        <x:f>'幕间计算'!E502</x:f>
        <x:v>0</x:v>
      </x:c>
      <x:c r="K409" s="753" t="str">
        <x:f>'幕间计算'!F502</x:f>
        <x:v/>
      </x:c>
    </x:row>
    <x:row r="410" ht="25" customHeight="1">
      <x:c r="A410" s="747"/>
      <x:c r="B410" s="747"/>
      <x:c r="C410" s="760"/>
      <x:c r="D410" s="747"/>
      <x:c r="E410" s="747"/>
      <x:c r="F410" s="747"/>
      <x:c r="G410" s="747"/>
      <x:c r="H410" s="747"/>
      <x:c r="I410" s="747"/>
      <x:c r="J410" s="753">
        <x:f>'幕间计算'!E503</x:f>
        <x:v>0</x:v>
      </x:c>
      <x:c r="K410" s="753" t="str">
        <x:f>'幕间计算'!F503</x:f>
        <x:v/>
      </x:c>
    </x:row>
    <x:row r="411" ht="25" customHeight="1">
      <x:c r="A411" s="747"/>
      <x:c r="B411" s="747"/>
      <x:c r="C411" s="760"/>
      <x:c r="D411" s="747"/>
      <x:c r="E411" s="747"/>
      <x:c r="F411" s="747"/>
      <x:c r="G411" s="747"/>
      <x:c r="H411" s="747"/>
      <x:c r="I411" s="747"/>
      <x:c r="J411" s="753">
        <x:f>'幕间计算'!E504</x:f>
        <x:v>0</x:v>
      </x:c>
      <x:c r="K411" s="753" t="str">
        <x:f>'幕间计算'!F504</x:f>
        <x:v/>
      </x:c>
    </x:row>
    <x:row r="412" ht="25" customHeight="1">
      <x:c r="A412" s="747"/>
      <x:c r="B412" s="747"/>
      <x:c r="C412" s="760"/>
      <x:c r="D412" s="747"/>
      <x:c r="E412" s="747"/>
      <x:c r="F412" s="747"/>
      <x:c r="G412" s="747"/>
      <x:c r="H412" s="747"/>
      <x:c r="I412" s="747"/>
      <x:c r="J412" s="753">
        <x:f>'幕间计算'!E505</x:f>
        <x:v>0</x:v>
      </x:c>
      <x:c r="K412" s="753" t="str">
        <x:f>'幕间计算'!F505</x:f>
        <x:v/>
      </x:c>
    </x:row>
    <x:row r="413" ht="25" customHeight="1">
      <x:c r="A413" s="747"/>
      <x:c r="B413" s="747"/>
      <x:c r="C413" s="760"/>
      <x:c r="D413" s="747"/>
      <x:c r="E413" s="747"/>
      <x:c r="F413" s="747"/>
      <x:c r="G413" s="747"/>
      <x:c r="H413" s="747"/>
      <x:c r="I413" s="747"/>
      <x:c r="J413" s="753">
        <x:f>'幕间计算'!E506</x:f>
        <x:v>0</x:v>
      </x:c>
      <x:c r="K413" s="753" t="str">
        <x:f>'幕间计算'!F506</x:f>
        <x:v/>
      </x:c>
    </x:row>
    <x:row r="414" ht="25" customHeight="1">
      <x:c r="A414" s="747"/>
      <x:c r="B414" s="747"/>
      <x:c r="C414" s="760"/>
      <x:c r="D414" s="747"/>
      <x:c r="E414" s="747"/>
      <x:c r="F414" s="747"/>
      <x:c r="G414" s="747"/>
      <x:c r="H414" s="747"/>
      <x:c r="I414" s="747"/>
      <x:c r="J414" s="753">
        <x:f>'幕间计算'!E507</x:f>
        <x:v>0</x:v>
      </x:c>
      <x:c r="K414" s="753" t="str">
        <x:f>'幕间计算'!F507</x:f>
        <x:v/>
      </x:c>
    </x:row>
    <x:row r="415" ht="25" customHeight="1">
      <x:c r="A415" s="747"/>
      <x:c r="B415" s="747"/>
      <x:c r="C415" s="760"/>
      <x:c r="D415" s="747"/>
      <x:c r="E415" s="747"/>
      <x:c r="F415" s="747"/>
      <x:c r="G415" s="747"/>
      <x:c r="H415" s="747"/>
      <x:c r="I415" s="747"/>
      <x:c r="J415" s="753">
        <x:f>'幕间计算'!E508</x:f>
        <x:v>0</x:v>
      </x:c>
      <x:c r="K415" s="753" t="str">
        <x:f>'幕间计算'!F508</x:f>
        <x:v/>
      </x:c>
    </x:row>
    <x:row r="416" ht="25" customHeight="1">
      <x:c r="A416" s="747"/>
      <x:c r="B416" s="747"/>
      <x:c r="C416" s="760"/>
      <x:c r="D416" s="747"/>
      <x:c r="E416" s="747"/>
      <x:c r="F416" s="747"/>
      <x:c r="G416" s="747"/>
      <x:c r="H416" s="747"/>
      <x:c r="I416" s="747"/>
      <x:c r="J416" s="753">
        <x:f>'幕间计算'!E509</x:f>
        <x:v>0</x:v>
      </x:c>
      <x:c r="K416" s="753" t="str">
        <x:f>'幕间计算'!F509</x:f>
        <x:v/>
      </x:c>
    </x:row>
    <x:row r="417" ht="25" customHeight="1">
      <x:c r="A417" s="747"/>
      <x:c r="B417" s="747"/>
      <x:c r="C417" s="760"/>
      <x:c r="D417" s="747"/>
      <x:c r="E417" s="747"/>
      <x:c r="F417" s="747"/>
      <x:c r="G417" s="747"/>
      <x:c r="H417" s="747"/>
      <x:c r="I417" s="747"/>
      <x:c r="J417" s="753">
        <x:f>'幕间计算'!E510</x:f>
        <x:v>0</x:v>
      </x:c>
      <x:c r="K417" s="753" t="str">
        <x:f>'幕间计算'!F510</x:f>
        <x:v/>
      </x:c>
    </x:row>
    <x:row r="418" ht="25" customHeight="1">
      <x:c r="A418" s="747"/>
      <x:c r="B418" s="747"/>
      <x:c r="C418" s="760"/>
      <x:c r="D418" s="747"/>
      <x:c r="E418" s="747"/>
      <x:c r="F418" s="747"/>
      <x:c r="G418" s="747"/>
      <x:c r="H418" s="747"/>
      <x:c r="I418" s="747"/>
      <x:c r="J418" s="753">
        <x:f>'幕间计算'!E511</x:f>
        <x:v>0</x:v>
      </x:c>
      <x:c r="K418" s="753" t="str">
        <x:f>'幕间计算'!F511</x:f>
        <x:v/>
      </x:c>
    </x:row>
    <x:row r="419" ht="25" customHeight="1">
      <x:c r="A419" s="747"/>
      <x:c r="B419" s="747"/>
      <x:c r="C419" s="760"/>
      <x:c r="D419" s="747"/>
      <x:c r="E419" s="747"/>
      <x:c r="F419" s="747"/>
      <x:c r="G419" s="747"/>
      <x:c r="H419" s="747"/>
      <x:c r="I419" s="747"/>
      <x:c r="J419" s="753">
        <x:f>'幕间计算'!E512</x:f>
        <x:v>0</x:v>
      </x:c>
      <x:c r="K419" s="753" t="str">
        <x:f>'幕间计算'!F512</x:f>
        <x:v/>
      </x:c>
    </x:row>
    <x:row r="420" ht="25" customHeight="1">
      <x:c r="A420" s="747"/>
      <x:c r="B420" s="747"/>
      <x:c r="C420" s="760"/>
      <x:c r="D420" s="747"/>
      <x:c r="E420" s="747"/>
      <x:c r="F420" s="747"/>
      <x:c r="G420" s="747"/>
      <x:c r="H420" s="747"/>
      <x:c r="I420" s="747"/>
      <x:c r="J420" s="753">
        <x:f>'幕间计算'!E513</x:f>
        <x:v>0</x:v>
      </x:c>
      <x:c r="K420" s="753" t="str">
        <x:f>'幕间计算'!F513</x:f>
        <x:v/>
      </x:c>
    </x:row>
    <x:row r="421" ht="25" customHeight="1">
      <x:c r="A421" s="747"/>
      <x:c r="B421" s="747"/>
      <x:c r="C421" s="760"/>
      <x:c r="D421" s="747"/>
      <x:c r="E421" s="747"/>
      <x:c r="F421" s="747"/>
      <x:c r="G421" s="747"/>
      <x:c r="H421" s="747"/>
      <x:c r="I421" s="747"/>
      <x:c r="J421" s="753">
        <x:f>'幕间计算'!E514</x:f>
        <x:v>0</x:v>
      </x:c>
      <x:c r="K421" s="753" t="str">
        <x:f>'幕间计算'!F514</x:f>
        <x:v/>
      </x:c>
    </x:row>
    <x:row r="422" ht="25" customHeight="1">
      <x:c r="A422" s="747"/>
      <x:c r="B422" s="747"/>
      <x:c r="C422" s="760"/>
      <x:c r="D422" s="747"/>
      <x:c r="E422" s="747"/>
      <x:c r="F422" s="747"/>
      <x:c r="G422" s="747"/>
      <x:c r="H422" s="747"/>
      <x:c r="I422" s="747"/>
      <x:c r="J422" s="753">
        <x:f>'幕间计算'!E515</x:f>
        <x:v>0</x:v>
      </x:c>
      <x:c r="K422" s="753" t="str">
        <x:f>'幕间计算'!F515</x:f>
        <x:v/>
      </x:c>
    </x:row>
    <x:row r="423" ht="25" customHeight="1">
      <x:c r="A423" s="747"/>
      <x:c r="B423" s="747"/>
      <x:c r="C423" s="760"/>
      <x:c r="D423" s="747"/>
      <x:c r="E423" s="747"/>
      <x:c r="F423" s="747"/>
      <x:c r="G423" s="747"/>
      <x:c r="H423" s="747"/>
      <x:c r="I423" s="747"/>
      <x:c r="J423" s="753">
        <x:f>'幕间计算'!E516</x:f>
        <x:v>0</x:v>
      </x:c>
      <x:c r="K423" s="753" t="str">
        <x:f>'幕间计算'!F516</x:f>
        <x:v/>
      </x:c>
    </x:row>
    <x:row r="424" ht="25" customHeight="1">
      <x:c r="A424" s="747"/>
      <x:c r="B424" s="747"/>
      <x:c r="C424" s="760"/>
      <x:c r="D424" s="747"/>
      <x:c r="E424" s="747"/>
      <x:c r="F424" s="747"/>
      <x:c r="G424" s="747"/>
      <x:c r="H424" s="747"/>
      <x:c r="I424" s="747"/>
      <x:c r="J424" s="753">
        <x:f>'幕间计算'!E517</x:f>
        <x:v>0</x:v>
      </x:c>
      <x:c r="K424" s="753" t="str">
        <x:f>'幕间计算'!F517</x:f>
        <x:v/>
      </x:c>
    </x:row>
    <x:row r="425" ht="25" customHeight="1">
      <x:c r="A425" s="747"/>
      <x:c r="B425" s="747"/>
      <x:c r="C425" s="760"/>
      <x:c r="D425" s="747"/>
      <x:c r="E425" s="747"/>
      <x:c r="F425" s="747"/>
      <x:c r="G425" s="747"/>
      <x:c r="H425" s="747"/>
      <x:c r="I425" s="747"/>
      <x:c r="J425" s="753">
        <x:f>'幕间计算'!E518</x:f>
        <x:v>0</x:v>
      </x:c>
      <x:c r="K425" s="753" t="str">
        <x:f>'幕间计算'!F518</x:f>
        <x:v/>
      </x:c>
    </x:row>
    <x:row r="426" ht="25" customHeight="1">
      <x:c r="A426" s="747"/>
      <x:c r="B426" s="747"/>
      <x:c r="C426" s="760"/>
      <x:c r="D426" s="747"/>
      <x:c r="E426" s="747"/>
      <x:c r="F426" s="747"/>
      <x:c r="G426" s="747"/>
      <x:c r="H426" s="747"/>
      <x:c r="I426" s="747"/>
      <x:c r="J426" s="753">
        <x:f>'幕间计算'!E519</x:f>
        <x:v>0</x:v>
      </x:c>
      <x:c r="K426" s="753" t="str">
        <x:f>'幕间计算'!F519</x:f>
        <x:v/>
      </x:c>
    </x:row>
    <x:row r="427" ht="25" customHeight="1">
      <x:c r="A427" s="747"/>
      <x:c r="B427" s="747"/>
      <x:c r="C427" s="760"/>
      <x:c r="D427" s="747"/>
      <x:c r="E427" s="747"/>
      <x:c r="F427" s="747"/>
      <x:c r="G427" s="747"/>
      <x:c r="H427" s="747"/>
      <x:c r="I427" s="747"/>
      <x:c r="J427" s="753">
        <x:f>'幕间计算'!E520</x:f>
        <x:v>0</x:v>
      </x:c>
      <x:c r="K427" s="753" t="str">
        <x:f>'幕间计算'!F520</x:f>
        <x:v/>
      </x:c>
    </x:row>
    <x:row r="428" ht="25" customHeight="1">
      <x:c r="A428" s="747"/>
      <x:c r="B428" s="747"/>
      <x:c r="C428" s="760"/>
      <x:c r="D428" s="747"/>
      <x:c r="E428" s="747"/>
      <x:c r="F428" s="747"/>
      <x:c r="G428" s="747"/>
      <x:c r="H428" s="747"/>
      <x:c r="I428" s="747"/>
      <x:c r="J428" s="753">
        <x:f>'幕间计算'!E521</x:f>
        <x:v>0</x:v>
      </x:c>
      <x:c r="K428" s="753" t="str">
        <x:f>'幕间计算'!F521</x:f>
        <x:v/>
      </x:c>
    </x:row>
    <x:row r="429" ht="25" customHeight="1">
      <x:c r="A429" s="747"/>
      <x:c r="B429" s="747"/>
      <x:c r="C429" s="760"/>
      <x:c r="D429" s="747"/>
      <x:c r="E429" s="747"/>
      <x:c r="F429" s="747"/>
      <x:c r="G429" s="747"/>
      <x:c r="H429" s="747"/>
      <x:c r="I429" s="747"/>
      <x:c r="J429" s="753">
        <x:f>'幕间计算'!E522</x:f>
        <x:v>0</x:v>
      </x:c>
      <x:c r="K429" s="753" t="str">
        <x:f>'幕间计算'!F522</x:f>
        <x:v/>
      </x:c>
    </x:row>
    <x:row r="430" ht="25" customHeight="1">
      <x:c r="A430" s="747"/>
      <x:c r="B430" s="747"/>
      <x:c r="C430" s="760"/>
      <x:c r="D430" s="747"/>
      <x:c r="E430" s="747"/>
      <x:c r="F430" s="747"/>
      <x:c r="G430" s="747"/>
      <x:c r="H430" s="747"/>
      <x:c r="I430" s="747"/>
      <x:c r="J430" s="753">
        <x:f>'幕间计算'!E523</x:f>
        <x:v>0</x:v>
      </x:c>
      <x:c r="K430" s="753" t="str">
        <x:f>'幕间计算'!F523</x:f>
        <x:v/>
      </x:c>
    </x:row>
    <x:row r="431" ht="25" customHeight="1">
      <x:c r="A431" s="747"/>
      <x:c r="B431" s="747"/>
      <x:c r="C431" s="760"/>
      <x:c r="D431" s="747"/>
      <x:c r="E431" s="747"/>
      <x:c r="F431" s="747"/>
      <x:c r="G431" s="747"/>
      <x:c r="H431" s="747"/>
      <x:c r="I431" s="747"/>
      <x:c r="J431" s="753">
        <x:f>'幕间计算'!E524</x:f>
        <x:v>0</x:v>
      </x:c>
      <x:c r="K431" s="753" t="str">
        <x:f>'幕间计算'!F524</x:f>
        <x:v/>
      </x:c>
    </x:row>
    <x:row r="432" ht="25" customHeight="1">
      <x:c r="A432" s="747"/>
      <x:c r="B432" s="747"/>
      <x:c r="C432" s="760"/>
      <x:c r="D432" s="747"/>
      <x:c r="E432" s="747"/>
      <x:c r="F432" s="747"/>
      <x:c r="G432" s="747"/>
      <x:c r="H432" s="747"/>
      <x:c r="I432" s="747"/>
      <x:c r="J432" s="753">
        <x:f>'幕间计算'!E525</x:f>
        <x:v>0</x:v>
      </x:c>
      <x:c r="K432" s="753" t="str">
        <x:f>'幕间计算'!F525</x:f>
        <x:v/>
      </x:c>
    </x:row>
    <x:row r="433" ht="25" customHeight="1">
      <x:c r="A433" s="747"/>
      <x:c r="B433" s="747"/>
      <x:c r="C433" s="760"/>
      <x:c r="D433" s="747"/>
      <x:c r="E433" s="747"/>
      <x:c r="F433" s="747"/>
      <x:c r="G433" s="747"/>
      <x:c r="H433" s="747"/>
      <x:c r="I433" s="747"/>
      <x:c r="J433" s="753">
        <x:f>'幕间计算'!E526</x:f>
        <x:v>0</x:v>
      </x:c>
      <x:c r="K433" s="753" t="str">
        <x:f>'幕间计算'!F526</x:f>
        <x:v/>
      </x:c>
    </x:row>
    <x:row r="434" ht="25" customHeight="1">
      <x:c r="A434" s="747"/>
      <x:c r="B434" s="747"/>
      <x:c r="C434" s="760"/>
      <x:c r="D434" s="747"/>
      <x:c r="E434" s="747"/>
      <x:c r="F434" s="747"/>
      <x:c r="G434" s="747"/>
      <x:c r="H434" s="747"/>
      <x:c r="I434" s="747"/>
      <x:c r="J434" s="753">
        <x:f>'幕间计算'!E527</x:f>
        <x:v>0</x:v>
      </x:c>
      <x:c r="K434" s="753" t="str">
        <x:f>'幕间计算'!F527</x:f>
        <x:v/>
      </x:c>
    </x:row>
    <x:row r="435" ht="25" customHeight="1">
      <x:c r="A435" s="747"/>
      <x:c r="B435" s="747"/>
      <x:c r="C435" s="760"/>
      <x:c r="D435" s="747"/>
      <x:c r="E435" s="747"/>
      <x:c r="F435" s="747"/>
      <x:c r="G435" s="747"/>
      <x:c r="H435" s="747"/>
      <x:c r="I435" s="747"/>
      <x:c r="J435" s="753">
        <x:f>'幕间计算'!E528</x:f>
        <x:v>0</x:v>
      </x:c>
      <x:c r="K435" s="753" t="str">
        <x:f>'幕间计算'!F528</x:f>
        <x:v/>
      </x:c>
    </x:row>
    <x:row r="436" ht="25" customHeight="1">
      <x:c r="A436" s="747"/>
      <x:c r="B436" s="747"/>
      <x:c r="C436" s="760"/>
      <x:c r="D436" s="747"/>
      <x:c r="E436" s="747"/>
      <x:c r="F436" s="747"/>
      <x:c r="G436" s="747"/>
      <x:c r="H436" s="747"/>
      <x:c r="I436" s="747"/>
      <x:c r="J436" s="753">
        <x:f>'幕间计算'!E529</x:f>
        <x:v>0</x:v>
      </x:c>
      <x:c r="K436" s="753" t="str">
        <x:f>'幕间计算'!F529</x:f>
        <x:v/>
      </x:c>
    </x:row>
    <x:row r="437" ht="25" customHeight="1">
      <x:c r="A437" s="747"/>
      <x:c r="B437" s="747"/>
      <x:c r="C437" s="760"/>
      <x:c r="D437" s="747"/>
      <x:c r="E437" s="747"/>
      <x:c r="F437" s="747"/>
      <x:c r="G437" s="747"/>
      <x:c r="H437" s="747"/>
      <x:c r="I437" s="747"/>
      <x:c r="J437" s="753">
        <x:f>'幕间计算'!E530</x:f>
        <x:v>0</x:v>
      </x:c>
      <x:c r="K437" s="753" t="str">
        <x:f>'幕间计算'!F530</x:f>
        <x:v/>
      </x:c>
    </x:row>
    <x:row r="438" ht="25" customHeight="1">
      <x:c r="A438" s="747"/>
      <x:c r="B438" s="747"/>
      <x:c r="C438" s="760"/>
      <x:c r="D438" s="747"/>
      <x:c r="E438" s="747"/>
      <x:c r="F438" s="747"/>
      <x:c r="G438" s="747"/>
      <x:c r="H438" s="747"/>
      <x:c r="I438" s="747"/>
      <x:c r="J438" s="753">
        <x:f>'幕间计算'!E531</x:f>
        <x:v>0</x:v>
      </x:c>
      <x:c r="K438" s="753" t="str">
        <x:f>'幕间计算'!F531</x:f>
        <x:v/>
      </x:c>
    </x:row>
    <x:row r="439" ht="25" customHeight="1">
      <x:c r="A439" s="747"/>
      <x:c r="B439" s="747"/>
      <x:c r="C439" s="760"/>
      <x:c r="D439" s="747"/>
      <x:c r="E439" s="747"/>
      <x:c r="F439" s="747"/>
      <x:c r="G439" s="747"/>
      <x:c r="H439" s="747"/>
      <x:c r="I439" s="747"/>
      <x:c r="J439" s="753">
        <x:f>'幕间计算'!E532</x:f>
        <x:v>0</x:v>
      </x:c>
      <x:c r="K439" s="753" t="str">
        <x:f>'幕间计算'!F532</x:f>
        <x:v/>
      </x:c>
    </x:row>
    <x:row r="440" ht="25" customHeight="1">
      <x:c r="A440" s="747"/>
      <x:c r="B440" s="747"/>
      <x:c r="C440" s="760"/>
      <x:c r="D440" s="747"/>
      <x:c r="E440" s="747"/>
      <x:c r="F440" s="747"/>
      <x:c r="G440" s="747"/>
      <x:c r="H440" s="747"/>
      <x:c r="I440" s="747"/>
      <x:c r="J440" s="753">
        <x:f>'幕间计算'!E533</x:f>
        <x:v>0</x:v>
      </x:c>
      <x:c r="K440" s="753" t="str">
        <x:f>'幕间计算'!F533</x:f>
        <x:v/>
      </x:c>
    </x:row>
    <x:row r="441" ht="25" customHeight="1">
      <x:c r="A441" s="747"/>
      <x:c r="B441" s="747"/>
      <x:c r="C441" s="760"/>
      <x:c r="D441" s="747"/>
      <x:c r="E441" s="747"/>
      <x:c r="F441" s="747"/>
      <x:c r="G441" s="747"/>
      <x:c r="H441" s="747"/>
      <x:c r="I441" s="747"/>
      <x:c r="J441" s="753">
        <x:f>'幕间计算'!E534</x:f>
        <x:v>0</x:v>
      </x:c>
      <x:c r="K441" s="753" t="str">
        <x:f>'幕间计算'!F534</x:f>
        <x:v/>
      </x:c>
    </x:row>
    <x:row r="442" ht="25" customHeight="1">
      <x:c r="A442" s="747"/>
      <x:c r="B442" s="747"/>
      <x:c r="C442" s="760"/>
      <x:c r="D442" s="747"/>
      <x:c r="E442" s="747"/>
      <x:c r="F442" s="747"/>
      <x:c r="G442" s="747"/>
      <x:c r="H442" s="747"/>
      <x:c r="I442" s="747"/>
      <x:c r="J442" s="753">
        <x:f>'幕间计算'!E535</x:f>
        <x:v>0</x:v>
      </x:c>
      <x:c r="K442" s="753" t="str">
        <x:f>'幕间计算'!F535</x:f>
        <x:v/>
      </x:c>
    </x:row>
    <x:row r="443" ht="25" customHeight="1">
      <x:c r="A443" s="747"/>
      <x:c r="B443" s="747"/>
      <x:c r="C443" s="760"/>
      <x:c r="D443" s="747"/>
      <x:c r="E443" s="747"/>
      <x:c r="F443" s="747"/>
      <x:c r="G443" s="747"/>
      <x:c r="H443" s="747"/>
      <x:c r="I443" s="747"/>
      <x:c r="J443" s="753">
        <x:f>'幕间计算'!E536</x:f>
        <x:v>0</x:v>
      </x:c>
      <x:c r="K443" s="753" t="str">
        <x:f>'幕间计算'!F536</x:f>
        <x:v/>
      </x:c>
    </x:row>
    <x:row r="444" ht="25" customHeight="1">
      <x:c r="A444" s="747"/>
      <x:c r="B444" s="747"/>
      <x:c r="C444" s="760"/>
      <x:c r="D444" s="747"/>
      <x:c r="E444" s="747"/>
      <x:c r="F444" s="747"/>
      <x:c r="G444" s="747"/>
      <x:c r="H444" s="747"/>
      <x:c r="I444" s="747"/>
      <x:c r="J444" s="753">
        <x:f>'幕间计算'!E537</x:f>
        <x:v>0</x:v>
      </x:c>
      <x:c r="K444" s="753" t="str">
        <x:f>'幕间计算'!F537</x:f>
        <x:v/>
      </x:c>
    </x:row>
    <x:row r="445" ht="25" customHeight="1">
      <x:c r="A445" s="747"/>
      <x:c r="B445" s="747"/>
      <x:c r="C445" s="760"/>
      <x:c r="D445" s="747"/>
      <x:c r="E445" s="747"/>
      <x:c r="F445" s="747"/>
      <x:c r="G445" s="747"/>
      <x:c r="H445" s="747"/>
      <x:c r="I445" s="747"/>
      <x:c r="J445" s="753">
        <x:f>'幕间计算'!E538</x:f>
        <x:v>0</x:v>
      </x:c>
      <x:c r="K445" s="753" t="str">
        <x:f>'幕间计算'!F538</x:f>
        <x:v/>
      </x:c>
    </x:row>
    <x:row r="446" ht="25" customHeight="1">
      <x:c r="A446" s="747"/>
      <x:c r="B446" s="747"/>
      <x:c r="C446" s="760"/>
      <x:c r="D446" s="747"/>
      <x:c r="E446" s="747"/>
      <x:c r="F446" s="747"/>
      <x:c r="G446" s="747"/>
      <x:c r="H446" s="747"/>
      <x:c r="I446" s="747"/>
      <x:c r="J446" s="753">
        <x:f>'幕间计算'!E539</x:f>
        <x:v>0</x:v>
      </x:c>
      <x:c r="K446" s="753" t="str">
        <x:f>'幕间计算'!F539</x:f>
        <x:v/>
      </x:c>
    </x:row>
    <x:row r="447" ht="25" customHeight="1">
      <x:c r="A447" s="747"/>
      <x:c r="B447" s="747"/>
      <x:c r="C447" s="760"/>
      <x:c r="D447" s="747"/>
      <x:c r="E447" s="747"/>
      <x:c r="F447" s="747"/>
      <x:c r="G447" s="747"/>
      <x:c r="H447" s="747"/>
      <x:c r="I447" s="747"/>
      <x:c r="J447" s="753">
        <x:f>'幕间计算'!E540</x:f>
        <x:v>0</x:v>
      </x:c>
      <x:c r="K447" s="753" t="str">
        <x:f>'幕间计算'!F540</x:f>
        <x:v/>
      </x:c>
    </x:row>
    <x:row r="448" ht="25" customHeight="1">
      <x:c r="A448" s="747"/>
      <x:c r="B448" s="747"/>
      <x:c r="C448" s="760"/>
      <x:c r="D448" s="747"/>
      <x:c r="E448" s="747"/>
      <x:c r="F448" s="747"/>
      <x:c r="G448" s="747"/>
      <x:c r="H448" s="747"/>
      <x:c r="I448" s="747"/>
      <x:c r="J448" s="753">
        <x:f>'幕间计算'!E541</x:f>
        <x:v>0</x:v>
      </x:c>
      <x:c r="K448" s="753" t="str">
        <x:f>'幕间计算'!F541</x:f>
        <x:v/>
      </x:c>
    </x:row>
    <x:row r="449" ht="25" customHeight="1">
      <x:c r="A449" s="747"/>
      <x:c r="B449" s="747"/>
      <x:c r="C449" s="760"/>
      <x:c r="D449" s="747"/>
      <x:c r="E449" s="747"/>
      <x:c r="F449" s="747"/>
      <x:c r="G449" s="747"/>
      <x:c r="H449" s="747"/>
      <x:c r="I449" s="747"/>
      <x:c r="J449" s="753">
        <x:f>'幕间计算'!E542</x:f>
        <x:v>0</x:v>
      </x:c>
      <x:c r="K449" s="753" t="str">
        <x:f>'幕间计算'!F542</x:f>
        <x:v/>
      </x:c>
    </x:row>
    <x:row r="450" ht="25" customHeight="1">
      <x:c r="A450" s="747"/>
      <x:c r="B450" s="747"/>
      <x:c r="C450" s="760"/>
      <x:c r="D450" s="747"/>
      <x:c r="E450" s="747"/>
      <x:c r="F450" s="747"/>
      <x:c r="G450" s="747"/>
      <x:c r="H450" s="747"/>
      <x:c r="I450" s="747"/>
      <x:c r="J450" s="753">
        <x:f>'幕间计算'!E543</x:f>
        <x:v>0</x:v>
      </x:c>
      <x:c r="K450" s="753" t="str">
        <x:f>'幕间计算'!F543</x:f>
        <x:v/>
      </x:c>
    </x:row>
    <x:row r="451" ht="25" customHeight="1">
      <x:c r="A451" s="747"/>
      <x:c r="B451" s="747"/>
      <x:c r="C451" s="760"/>
      <x:c r="D451" s="747"/>
      <x:c r="E451" s="747"/>
      <x:c r="F451" s="747"/>
      <x:c r="G451" s="747"/>
      <x:c r="H451" s="747"/>
      <x:c r="I451" s="747"/>
      <x:c r="J451" s="753">
        <x:f>'幕间计算'!E544</x:f>
        <x:v>0</x:v>
      </x:c>
      <x:c r="K451" s="753" t="str">
        <x:f>'幕间计算'!F544</x:f>
        <x:v/>
      </x:c>
    </x:row>
    <x:row r="452" ht="25" customHeight="1">
      <x:c r="A452" s="747"/>
      <x:c r="B452" s="747"/>
      <x:c r="C452" s="760"/>
      <x:c r="D452" s="747"/>
      <x:c r="E452" s="747"/>
      <x:c r="F452" s="747"/>
      <x:c r="G452" s="747"/>
      <x:c r="H452" s="747"/>
      <x:c r="I452" s="747"/>
      <x:c r="J452" s="753">
        <x:f>'幕间计算'!E545</x:f>
        <x:v>0</x:v>
      </x:c>
      <x:c r="K452" s="753" t="str">
        <x:f>'幕间计算'!F545</x:f>
        <x:v/>
      </x:c>
    </x:row>
    <x:row r="453" ht="25" customHeight="1">
      <x:c r="A453" s="747"/>
      <x:c r="B453" s="747"/>
      <x:c r="C453" s="760"/>
      <x:c r="D453" s="747"/>
      <x:c r="E453" s="747"/>
      <x:c r="F453" s="747"/>
      <x:c r="G453" s="747"/>
      <x:c r="H453" s="747"/>
      <x:c r="I453" s="747"/>
      <x:c r="J453" s="753">
        <x:f>'幕间计算'!E546</x:f>
        <x:v>0</x:v>
      </x:c>
      <x:c r="K453" s="753" t="str">
        <x:f>'幕间计算'!F546</x:f>
        <x:v/>
      </x:c>
    </x:row>
    <x:row r="454" ht="25" customHeight="1">
      <x:c r="A454" s="747"/>
      <x:c r="B454" s="747"/>
      <x:c r="C454" s="760"/>
      <x:c r="D454" s="747"/>
      <x:c r="E454" s="747"/>
      <x:c r="F454" s="747"/>
      <x:c r="G454" s="747"/>
      <x:c r="H454" s="747"/>
      <x:c r="I454" s="747"/>
      <x:c r="J454" s="753">
        <x:f>'幕间计算'!E547</x:f>
        <x:v>0</x:v>
      </x:c>
      <x:c r="K454" s="753" t="str">
        <x:f>'幕间计算'!F547</x:f>
        <x:v/>
      </x:c>
    </x:row>
    <x:row r="455" ht="25" customHeight="1">
      <x:c r="A455" s="747"/>
      <x:c r="B455" s="747"/>
      <x:c r="C455" s="760"/>
      <x:c r="D455" s="747"/>
      <x:c r="E455" s="747"/>
      <x:c r="F455" s="747"/>
      <x:c r="G455" s="747"/>
      <x:c r="H455" s="747"/>
      <x:c r="I455" s="747"/>
      <x:c r="J455" s="753">
        <x:f>'幕间计算'!E548</x:f>
        <x:v>0</x:v>
      </x:c>
      <x:c r="K455" s="753" t="str">
        <x:f>'幕间计算'!F548</x:f>
        <x:v/>
      </x:c>
    </x:row>
    <x:row r="456" ht="25" customHeight="1">
      <x:c r="A456" s="747"/>
      <x:c r="B456" s="747"/>
      <x:c r="C456" s="760"/>
      <x:c r="D456" s="747"/>
      <x:c r="E456" s="747"/>
      <x:c r="F456" s="747"/>
      <x:c r="G456" s="747"/>
      <x:c r="H456" s="747"/>
      <x:c r="I456" s="747"/>
      <x:c r="J456" s="753">
        <x:f>'幕间计算'!E549</x:f>
        <x:v>0</x:v>
      </x:c>
      <x:c r="K456" s="753" t="str">
        <x:f>'幕间计算'!F549</x:f>
        <x:v/>
      </x:c>
    </x:row>
    <x:row r="457" ht="25" customHeight="1">
      <x:c r="A457" s="747"/>
      <x:c r="B457" s="747"/>
      <x:c r="C457" s="760"/>
      <x:c r="D457" s="747"/>
      <x:c r="E457" s="747"/>
      <x:c r="F457" s="747"/>
      <x:c r="G457" s="747"/>
      <x:c r="H457" s="747"/>
      <x:c r="I457" s="747"/>
      <x:c r="J457" s="753">
        <x:f>'幕间计算'!E550</x:f>
        <x:v>0</x:v>
      </x:c>
      <x:c r="K457" s="753" t="str">
        <x:f>'幕间计算'!F550</x:f>
        <x:v/>
      </x:c>
    </x:row>
    <x:row r="458" ht="25" customHeight="1">
      <x:c r="A458" s="747"/>
      <x:c r="B458" s="747"/>
      <x:c r="C458" s="760"/>
      <x:c r="D458" s="747"/>
      <x:c r="E458" s="747"/>
      <x:c r="F458" s="747"/>
      <x:c r="G458" s="747"/>
      <x:c r="H458" s="747"/>
      <x:c r="I458" s="747"/>
      <x:c r="J458" s="753">
        <x:f>'幕间计算'!E551</x:f>
        <x:v>0</x:v>
      </x:c>
      <x:c r="K458" s="753" t="str">
        <x:f>'幕间计算'!F551</x:f>
        <x:v/>
      </x:c>
    </x:row>
    <x:row r="459" ht="25" customHeight="1">
      <x:c r="A459" s="747"/>
      <x:c r="B459" s="747"/>
      <x:c r="C459" s="760"/>
      <x:c r="D459" s="747"/>
      <x:c r="E459" s="747"/>
      <x:c r="F459" s="747"/>
      <x:c r="G459" s="747"/>
      <x:c r="H459" s="747"/>
      <x:c r="I459" s="747"/>
      <x:c r="J459" s="753">
        <x:f>'幕间计算'!E552</x:f>
        <x:v>0</x:v>
      </x:c>
      <x:c r="K459" s="753" t="str">
        <x:f>'幕间计算'!F552</x:f>
        <x:v/>
      </x:c>
    </x:row>
    <x:row r="460" ht="25" customHeight="1">
      <x:c r="A460" s="747"/>
      <x:c r="B460" s="747"/>
      <x:c r="C460" s="760"/>
      <x:c r="D460" s="747"/>
      <x:c r="E460" s="747"/>
      <x:c r="F460" s="747"/>
      <x:c r="G460" s="747"/>
      <x:c r="H460" s="747"/>
      <x:c r="I460" s="747"/>
      <x:c r="J460" s="753">
        <x:f>'幕间计算'!E553</x:f>
        <x:v>0</x:v>
      </x:c>
      <x:c r="K460" s="753" t="str">
        <x:f>'幕间计算'!F553</x:f>
        <x:v/>
      </x:c>
    </x:row>
    <x:row r="461" ht="25" customHeight="1">
      <x:c r="A461" s="747"/>
      <x:c r="B461" s="747"/>
      <x:c r="C461" s="760"/>
      <x:c r="D461" s="747"/>
      <x:c r="E461" s="747"/>
      <x:c r="F461" s="747"/>
      <x:c r="G461" s="747"/>
      <x:c r="H461" s="747"/>
      <x:c r="I461" s="747"/>
      <x:c r="J461" s="753">
        <x:f>'幕间计算'!E554</x:f>
        <x:v>0</x:v>
      </x:c>
      <x:c r="K461" s="753" t="str">
        <x:f>'幕间计算'!F554</x:f>
        <x:v/>
      </x:c>
    </x:row>
    <x:row r="462" ht="25" customHeight="1">
      <x:c r="A462" s="747"/>
      <x:c r="B462" s="747"/>
      <x:c r="C462" s="760"/>
      <x:c r="D462" s="747"/>
      <x:c r="E462" s="747"/>
      <x:c r="F462" s="747"/>
      <x:c r="G462" s="747"/>
      <x:c r="H462" s="747"/>
      <x:c r="I462" s="747"/>
      <x:c r="J462" s="753">
        <x:f>'幕间计算'!E555</x:f>
        <x:v>0</x:v>
      </x:c>
      <x:c r="K462" s="753" t="str">
        <x:f>'幕间计算'!F555</x:f>
        <x:v/>
      </x:c>
    </x:row>
    <x:row r="463" ht="25" customHeight="1">
      <x:c r="A463" s="747"/>
      <x:c r="B463" s="747"/>
      <x:c r="C463" s="760"/>
      <x:c r="D463" s="747"/>
      <x:c r="E463" s="747"/>
      <x:c r="F463" s="747"/>
      <x:c r="G463" s="747"/>
      <x:c r="H463" s="747"/>
      <x:c r="I463" s="747"/>
      <x:c r="J463" s="753">
        <x:f>'幕间计算'!E556</x:f>
        <x:v>0</x:v>
      </x:c>
      <x:c r="K463" s="753" t="str">
        <x:f>'幕间计算'!F556</x:f>
        <x:v/>
      </x:c>
    </x:row>
    <x:row r="464" ht="25" customHeight="1">
      <x:c r="A464" s="747"/>
      <x:c r="B464" s="747"/>
      <x:c r="C464" s="760"/>
      <x:c r="D464" s="747"/>
      <x:c r="E464" s="747"/>
      <x:c r="F464" s="747"/>
      <x:c r="G464" s="747"/>
      <x:c r="H464" s="747"/>
      <x:c r="I464" s="747"/>
      <x:c r="J464" s="753">
        <x:f>'幕间计算'!E557</x:f>
        <x:v>0</x:v>
      </x:c>
      <x:c r="K464" s="753" t="str">
        <x:f>'幕间计算'!F557</x:f>
        <x:v/>
      </x:c>
    </x:row>
    <x:row r="465" ht="25" customHeight="1">
      <x:c r="A465" s="747"/>
      <x:c r="B465" s="747"/>
      <x:c r="C465" s="760"/>
      <x:c r="D465" s="747"/>
      <x:c r="E465" s="747"/>
      <x:c r="F465" s="747"/>
      <x:c r="G465" s="747"/>
      <x:c r="H465" s="747"/>
      <x:c r="I465" s="747"/>
      <x:c r="J465" s="753">
        <x:f>'幕间计算'!E558</x:f>
        <x:v>0</x:v>
      </x:c>
      <x:c r="K465" s="753" t="str">
        <x:f>'幕间计算'!F558</x:f>
        <x:v/>
      </x:c>
    </x:row>
    <x:row r="466" ht="25" customHeight="1">
      <x:c r="A466" s="747"/>
      <x:c r="B466" s="747"/>
      <x:c r="C466" s="760"/>
      <x:c r="D466" s="747"/>
      <x:c r="E466" s="747"/>
      <x:c r="F466" s="747"/>
      <x:c r="G466" s="747"/>
      <x:c r="H466" s="747"/>
      <x:c r="I466" s="747"/>
      <x:c r="J466" s="753">
        <x:f>'幕间计算'!E559</x:f>
        <x:v>0</x:v>
      </x:c>
      <x:c r="K466" s="753" t="str">
        <x:f>'幕间计算'!F559</x:f>
        <x:v/>
      </x:c>
    </x:row>
    <x:row r="467" ht="25" customHeight="1">
      <x:c r="A467" s="747"/>
      <x:c r="B467" s="747"/>
      <x:c r="C467" s="760"/>
      <x:c r="D467" s="747"/>
      <x:c r="E467" s="747"/>
      <x:c r="F467" s="747"/>
      <x:c r="G467" s="747"/>
      <x:c r="H467" s="747"/>
      <x:c r="I467" s="747"/>
      <x:c r="J467" s="753">
        <x:f>'幕间计算'!E560</x:f>
        <x:v>0</x:v>
      </x:c>
      <x:c r="K467" s="753" t="str">
        <x:f>'幕间计算'!F560</x:f>
        <x:v/>
      </x:c>
    </x:row>
    <x:row r="468" ht="25" customHeight="1">
      <x:c r="A468" s="747"/>
      <x:c r="B468" s="747"/>
      <x:c r="C468" s="760"/>
      <x:c r="D468" s="747"/>
      <x:c r="E468" s="747"/>
      <x:c r="F468" s="747"/>
      <x:c r="G468" s="747"/>
      <x:c r="H468" s="747"/>
      <x:c r="I468" s="747"/>
      <x:c r="J468" s="753">
        <x:f>'幕间计算'!E561</x:f>
        <x:v>0</x:v>
      </x:c>
      <x:c r="K468" s="753" t="str">
        <x:f>'幕间计算'!F561</x:f>
        <x:v/>
      </x:c>
    </x:row>
    <x:row r="469" ht="25" customHeight="1">
      <x:c r="A469" s="747"/>
      <x:c r="B469" s="747"/>
      <x:c r="C469" s="760"/>
      <x:c r="D469" s="747"/>
      <x:c r="E469" s="747"/>
      <x:c r="F469" s="747"/>
      <x:c r="G469" s="747"/>
      <x:c r="H469" s="747"/>
      <x:c r="I469" s="747"/>
      <x:c r="J469" s="753">
        <x:f>'幕间计算'!E562</x:f>
        <x:v>0</x:v>
      </x:c>
      <x:c r="K469" s="753" t="str">
        <x:f>'幕间计算'!F562</x:f>
        <x:v/>
      </x:c>
    </x:row>
    <x:row r="470" ht="25" customHeight="1">
      <x:c r="A470" s="747"/>
      <x:c r="B470" s="747"/>
      <x:c r="C470" s="760"/>
      <x:c r="D470" s="747"/>
      <x:c r="E470" s="747"/>
      <x:c r="F470" s="747"/>
      <x:c r="G470" s="747"/>
      <x:c r="H470" s="747"/>
      <x:c r="I470" s="747"/>
      <x:c r="J470" s="753">
        <x:f>'幕间计算'!E563</x:f>
        <x:v>0</x:v>
      </x:c>
      <x:c r="K470" s="753" t="str">
        <x:f>'幕间计算'!F563</x:f>
        <x:v/>
      </x:c>
    </x:row>
    <x:row r="471" ht="25" customHeight="1">
      <x:c r="A471" s="747"/>
      <x:c r="B471" s="747"/>
      <x:c r="C471" s="760"/>
      <x:c r="D471" s="747"/>
      <x:c r="E471" s="747"/>
      <x:c r="F471" s="747"/>
      <x:c r="G471" s="747"/>
      <x:c r="H471" s="747"/>
      <x:c r="I471" s="747"/>
      <x:c r="J471" s="753">
        <x:f>'幕间计算'!E564</x:f>
        <x:v>0</x:v>
      </x:c>
      <x:c r="K471" s="753" t="str">
        <x:f>'幕间计算'!F564</x:f>
        <x:v/>
      </x:c>
    </x:row>
    <x:row r="472" ht="25" customHeight="1">
      <x:c r="A472" s="747"/>
      <x:c r="B472" s="747"/>
      <x:c r="C472" s="760"/>
      <x:c r="D472" s="747"/>
      <x:c r="E472" s="747"/>
      <x:c r="F472" s="747"/>
      <x:c r="G472" s="747"/>
      <x:c r="H472" s="747"/>
      <x:c r="I472" s="747"/>
      <x:c r="J472" s="753">
        <x:f>'幕间计算'!E565</x:f>
        <x:v>0</x:v>
      </x:c>
      <x:c r="K472" s="753" t="str">
        <x:f>'幕间计算'!F565</x:f>
        <x:v/>
      </x:c>
    </x:row>
    <x:row r="473" ht="25" customHeight="1">
      <x:c r="A473" s="747"/>
      <x:c r="B473" s="747"/>
      <x:c r="C473" s="760"/>
      <x:c r="D473" s="747"/>
      <x:c r="E473" s="747"/>
      <x:c r="F473" s="747"/>
      <x:c r="G473" s="747"/>
      <x:c r="H473" s="747"/>
      <x:c r="I473" s="747"/>
      <x:c r="J473" s="753">
        <x:f>'幕间计算'!E566</x:f>
        <x:v>0</x:v>
      </x:c>
      <x:c r="K473" s="753" t="str">
        <x:f>'幕间计算'!F566</x:f>
        <x:v/>
      </x:c>
    </x:row>
    <x:row r="474" ht="25" customHeight="1">
      <x:c r="A474" s="747"/>
      <x:c r="B474" s="747"/>
      <x:c r="C474" s="760"/>
      <x:c r="D474" s="747"/>
      <x:c r="E474" s="747"/>
      <x:c r="F474" s="747"/>
      <x:c r="G474" s="747"/>
      <x:c r="H474" s="747"/>
      <x:c r="I474" s="747"/>
      <x:c r="J474" s="753">
        <x:f>'幕间计算'!E567</x:f>
        <x:v>0</x:v>
      </x:c>
      <x:c r="K474" s="753" t="str">
        <x:f>'幕间计算'!F567</x:f>
        <x:v/>
      </x:c>
    </x:row>
    <x:row r="475" ht="25" customHeight="1">
      <x:c r="A475" s="747"/>
      <x:c r="B475" s="747"/>
      <x:c r="C475" s="760"/>
      <x:c r="D475" s="747"/>
      <x:c r="E475" s="747"/>
      <x:c r="F475" s="747"/>
      <x:c r="G475" s="747"/>
      <x:c r="H475" s="747"/>
      <x:c r="I475" s="747"/>
      <x:c r="J475" s="753">
        <x:f>'幕间计算'!E568</x:f>
        <x:v>0</x:v>
      </x:c>
      <x:c r="K475" s="753" t="str">
        <x:f>'幕间计算'!F568</x:f>
        <x:v/>
      </x:c>
    </x:row>
    <x:row r="476" ht="25" customHeight="1">
      <x:c r="A476" s="747"/>
      <x:c r="B476" s="747"/>
      <x:c r="C476" s="760"/>
      <x:c r="D476" s="747"/>
      <x:c r="E476" s="747"/>
      <x:c r="F476" s="747"/>
      <x:c r="G476" s="747"/>
      <x:c r="H476" s="747"/>
      <x:c r="I476" s="747"/>
      <x:c r="J476" s="753">
        <x:f>'幕间计算'!E569</x:f>
        <x:v>0</x:v>
      </x:c>
      <x:c r="K476" s="753" t="str">
        <x:f>'幕间计算'!F569</x:f>
        <x:v/>
      </x:c>
    </x:row>
    <x:row r="477" ht="25" customHeight="1">
      <x:c r="A477" s="747"/>
      <x:c r="B477" s="747"/>
      <x:c r="C477" s="760"/>
      <x:c r="D477" s="747"/>
      <x:c r="E477" s="747"/>
      <x:c r="F477" s="747"/>
      <x:c r="G477" s="747"/>
      <x:c r="H477" s="747"/>
      <x:c r="I477" s="747"/>
      <x:c r="J477" s="753">
        <x:f>'幕间计算'!E570</x:f>
        <x:v>0</x:v>
      </x:c>
      <x:c r="K477" s="753" t="str">
        <x:f>'幕间计算'!F570</x:f>
        <x:v/>
      </x:c>
    </x:row>
    <x:row r="478" ht="25" customHeight="1">
      <x:c r="A478" s="747"/>
      <x:c r="B478" s="747"/>
      <x:c r="C478" s="760"/>
      <x:c r="D478" s="747"/>
      <x:c r="E478" s="747"/>
      <x:c r="F478" s="747"/>
      <x:c r="G478" s="747"/>
      <x:c r="H478" s="747"/>
      <x:c r="I478" s="747"/>
      <x:c r="J478" s="753">
        <x:f>'幕间计算'!E571</x:f>
        <x:v>0</x:v>
      </x:c>
      <x:c r="K478" s="753" t="str">
        <x:f>'幕间计算'!F571</x:f>
        <x:v/>
      </x:c>
    </x:row>
    <x:row r="479" ht="25" customHeight="1">
      <x:c r="A479" s="747"/>
      <x:c r="B479" s="747"/>
      <x:c r="C479" s="760"/>
      <x:c r="D479" s="747"/>
      <x:c r="E479" s="747"/>
      <x:c r="F479" s="747"/>
      <x:c r="G479" s="747"/>
      <x:c r="H479" s="747"/>
      <x:c r="I479" s="747"/>
      <x:c r="J479" s="753">
        <x:f>'幕间计算'!E572</x:f>
        <x:v>0</x:v>
      </x:c>
      <x:c r="K479" s="753" t="str">
        <x:f>'幕间计算'!F572</x:f>
        <x:v/>
      </x:c>
    </x:row>
    <x:row r="480" ht="25" customHeight="1">
      <x:c r="A480" s="747"/>
      <x:c r="B480" s="747"/>
      <x:c r="C480" s="760"/>
      <x:c r="D480" s="747"/>
      <x:c r="E480" s="747"/>
      <x:c r="F480" s="747"/>
      <x:c r="G480" s="747"/>
      <x:c r="H480" s="747"/>
      <x:c r="I480" s="747"/>
      <x:c r="J480" s="753">
        <x:f>'幕间计算'!E573</x:f>
        <x:v>0</x:v>
      </x:c>
      <x:c r="K480" s="753" t="str">
        <x:f>'幕间计算'!F573</x:f>
        <x:v/>
      </x:c>
    </x:row>
    <x:row r="481" ht="25" customHeight="1">
      <x:c r="A481" s="747"/>
      <x:c r="B481" s="747"/>
      <x:c r="C481" s="760"/>
      <x:c r="D481" s="747"/>
      <x:c r="E481" s="747"/>
      <x:c r="F481" s="747"/>
      <x:c r="G481" s="747"/>
      <x:c r="H481" s="747"/>
      <x:c r="I481" s="747"/>
      <x:c r="J481" s="753">
        <x:f>'幕间计算'!E574</x:f>
        <x:v>0</x:v>
      </x:c>
      <x:c r="K481" s="753" t="str">
        <x:f>'幕间计算'!F574</x:f>
        <x:v/>
      </x:c>
    </x:row>
    <x:row r="482" ht="25" customHeight="1">
      <x:c r="A482" s="747"/>
      <x:c r="B482" s="747"/>
      <x:c r="C482" s="760"/>
      <x:c r="D482" s="747"/>
      <x:c r="E482" s="747"/>
      <x:c r="F482" s="747"/>
      <x:c r="G482" s="747"/>
      <x:c r="H482" s="747"/>
      <x:c r="I482" s="747"/>
      <x:c r="J482" s="753">
        <x:f>'幕间计算'!E575</x:f>
        <x:v>0</x:v>
      </x:c>
      <x:c r="K482" s="753" t="str">
        <x:f>'幕间计算'!F575</x:f>
        <x:v/>
      </x:c>
    </x:row>
    <x:row r="483" ht="25" customHeight="1">
      <x:c r="A483" s="747"/>
      <x:c r="B483" s="747"/>
      <x:c r="C483" s="760"/>
      <x:c r="D483" s="747"/>
      <x:c r="E483" s="747"/>
      <x:c r="F483" s="747"/>
      <x:c r="G483" s="747"/>
      <x:c r="H483" s="747"/>
      <x:c r="I483" s="747"/>
      <x:c r="J483" s="753">
        <x:f>'幕间计算'!E576</x:f>
        <x:v>0</x:v>
      </x:c>
      <x:c r="K483" s="753" t="str">
        <x:f>'幕间计算'!F576</x:f>
        <x:v/>
      </x:c>
    </x:row>
    <x:row r="484" ht="25" customHeight="1">
      <x:c r="A484" s="747"/>
      <x:c r="B484" s="747"/>
      <x:c r="C484" s="760"/>
      <x:c r="D484" s="747"/>
      <x:c r="E484" s="747"/>
      <x:c r="F484" s="747"/>
      <x:c r="G484" s="747"/>
      <x:c r="H484" s="747"/>
      <x:c r="I484" s="747"/>
      <x:c r="J484" s="753">
        <x:f>'幕间计算'!E577</x:f>
        <x:v>0</x:v>
      </x:c>
      <x:c r="K484" s="753" t="str">
        <x:f>'幕间计算'!F577</x:f>
        <x:v/>
      </x:c>
    </x:row>
    <x:row r="485" ht="25" customHeight="1">
      <x:c r="A485" s="747"/>
      <x:c r="B485" s="747"/>
      <x:c r="C485" s="760"/>
      <x:c r="D485" s="747"/>
      <x:c r="E485" s="747"/>
      <x:c r="F485" s="747"/>
      <x:c r="G485" s="747"/>
      <x:c r="H485" s="747"/>
      <x:c r="I485" s="747"/>
      <x:c r="J485" s="753">
        <x:f>'幕间计算'!E578</x:f>
        <x:v>0</x:v>
      </x:c>
      <x:c r="K485" s="753" t="str">
        <x:f>'幕间计算'!F578</x:f>
        <x:v/>
      </x:c>
    </x:row>
    <x:row r="486" ht="25" customHeight="1">
      <x:c r="A486" s="747"/>
      <x:c r="B486" s="747"/>
      <x:c r="C486" s="760"/>
      <x:c r="D486" s="747"/>
      <x:c r="E486" s="747"/>
      <x:c r="F486" s="747"/>
      <x:c r="G486" s="747"/>
      <x:c r="H486" s="747"/>
      <x:c r="I486" s="747"/>
      <x:c r="J486" s="753">
        <x:f>'幕间计算'!E579</x:f>
        <x:v>0</x:v>
      </x:c>
      <x:c r="K486" s="753" t="str">
        <x:f>'幕间计算'!F579</x:f>
        <x:v/>
      </x:c>
    </x:row>
    <x:row r="487" ht="25" customHeight="1">
      <x:c r="A487" s="747"/>
      <x:c r="B487" s="747"/>
      <x:c r="C487" s="760"/>
      <x:c r="D487" s="747"/>
      <x:c r="E487" s="747"/>
      <x:c r="F487" s="747"/>
      <x:c r="G487" s="747"/>
      <x:c r="H487" s="747"/>
      <x:c r="I487" s="747"/>
      <x:c r="J487" s="753">
        <x:f>'幕间计算'!E580</x:f>
        <x:v>0</x:v>
      </x:c>
      <x:c r="K487" s="753" t="str">
        <x:f>'幕间计算'!F580</x:f>
        <x:v/>
      </x:c>
    </x:row>
    <x:row r="488" ht="25" customHeight="1">
      <x:c r="A488" s="747"/>
      <x:c r="B488" s="747"/>
      <x:c r="C488" s="760"/>
      <x:c r="D488" s="747"/>
      <x:c r="E488" s="747"/>
      <x:c r="F488" s="747"/>
      <x:c r="G488" s="747"/>
      <x:c r="H488" s="747"/>
      <x:c r="I488" s="747"/>
      <x:c r="J488" s="753">
        <x:f>'幕间计算'!E581</x:f>
        <x:v>0</x:v>
      </x:c>
      <x:c r="K488" s="753" t="str">
        <x:f>'幕间计算'!F581</x:f>
        <x:v/>
      </x:c>
    </x:row>
    <x:row r="489" ht="25" customHeight="1">
      <x:c r="A489" s="747"/>
      <x:c r="B489" s="747"/>
      <x:c r="C489" s="760"/>
      <x:c r="D489" s="747"/>
      <x:c r="E489" s="747"/>
      <x:c r="F489" s="747"/>
      <x:c r="G489" s="747"/>
      <x:c r="H489" s="747"/>
      <x:c r="I489" s="747"/>
      <x:c r="J489" s="753">
        <x:f>'幕间计算'!E582</x:f>
        <x:v>0</x:v>
      </x:c>
      <x:c r="K489" s="753" t="str">
        <x:f>'幕间计算'!F582</x:f>
        <x:v/>
      </x:c>
    </x:row>
    <x:row r="490" ht="25" customHeight="1">
      <x:c r="A490" s="747"/>
      <x:c r="B490" s="747"/>
      <x:c r="C490" s="760"/>
      <x:c r="D490" s="747"/>
      <x:c r="E490" s="747"/>
      <x:c r="F490" s="747"/>
      <x:c r="G490" s="747"/>
      <x:c r="H490" s="747"/>
      <x:c r="I490" s="747"/>
      <x:c r="J490" s="753">
        <x:f>'幕间计算'!E583</x:f>
        <x:v>0</x:v>
      </x:c>
      <x:c r="K490" s="753" t="str">
        <x:f>'幕间计算'!F583</x:f>
        <x:v/>
      </x:c>
    </x:row>
    <x:row r="491" ht="25" customHeight="1">
      <x:c r="A491" s="747"/>
      <x:c r="B491" s="747"/>
      <x:c r="C491" s="760"/>
      <x:c r="D491" s="747"/>
      <x:c r="E491" s="747"/>
      <x:c r="F491" s="747"/>
      <x:c r="G491" s="747"/>
      <x:c r="H491" s="747"/>
      <x:c r="I491" s="747"/>
      <x:c r="J491" s="753">
        <x:f>'幕间计算'!E584</x:f>
        <x:v>0</x:v>
      </x:c>
      <x:c r="K491" s="753" t="str">
        <x:f>'幕间计算'!F584</x:f>
        <x:v/>
      </x:c>
    </x:row>
    <x:row r="492" ht="25" customHeight="1">
      <x:c r="A492" s="747"/>
      <x:c r="B492" s="747"/>
      <x:c r="C492" s="760"/>
      <x:c r="D492" s="747"/>
      <x:c r="E492" s="747"/>
      <x:c r="F492" s="747"/>
      <x:c r="G492" s="747"/>
      <x:c r="H492" s="747"/>
      <x:c r="I492" s="747"/>
      <x:c r="J492" s="753">
        <x:f>'幕间计算'!E585</x:f>
        <x:v>0</x:v>
      </x:c>
      <x:c r="K492" s="753" t="str">
        <x:f>'幕间计算'!F585</x:f>
        <x:v/>
      </x:c>
    </x:row>
    <x:row r="493" ht="25" customHeight="1">
      <x:c r="A493" s="747"/>
      <x:c r="B493" s="747"/>
      <x:c r="C493" s="760"/>
      <x:c r="D493" s="747"/>
      <x:c r="E493" s="747"/>
      <x:c r="F493" s="747"/>
      <x:c r="G493" s="747"/>
      <x:c r="H493" s="747"/>
      <x:c r="I493" s="747"/>
      <x:c r="J493" s="753">
        <x:f>'幕间计算'!E586</x:f>
        <x:v>0</x:v>
      </x:c>
      <x:c r="K493" s="753" t="str">
        <x:f>'幕间计算'!F586</x:f>
        <x:v/>
      </x:c>
    </x:row>
    <x:row r="494" ht="25" customHeight="1">
      <x:c r="A494" s="747"/>
      <x:c r="B494" s="747"/>
      <x:c r="C494" s="760"/>
      <x:c r="D494" s="747"/>
      <x:c r="E494" s="747"/>
      <x:c r="F494" s="747"/>
      <x:c r="G494" s="747"/>
      <x:c r="H494" s="747"/>
      <x:c r="I494" s="747"/>
      <x:c r="J494" s="753">
        <x:f>'幕间计算'!E587</x:f>
        <x:v>0</x:v>
      </x:c>
      <x:c r="K494" s="753" t="str">
        <x:f>'幕间计算'!F587</x:f>
        <x:v/>
      </x:c>
    </x:row>
    <x:row r="495" ht="25" customHeight="1">
      <x:c r="A495" s="747"/>
      <x:c r="B495" s="747"/>
      <x:c r="C495" s="760"/>
      <x:c r="D495" s="747"/>
      <x:c r="E495" s="747"/>
      <x:c r="F495" s="747"/>
      <x:c r="G495" s="747"/>
      <x:c r="H495" s="747"/>
      <x:c r="I495" s="747"/>
      <x:c r="J495" s="753">
        <x:f>'幕间计算'!E588</x:f>
        <x:v>0</x:v>
      </x:c>
      <x:c r="K495" s="753" t="str">
        <x:f>'幕间计算'!F588</x:f>
        <x:v/>
      </x:c>
    </x:row>
    <x:row r="496" ht="25" customHeight="1">
      <x:c r="A496" s="747"/>
      <x:c r="B496" s="747"/>
      <x:c r="C496" s="760"/>
      <x:c r="D496" s="747"/>
      <x:c r="E496" s="747"/>
      <x:c r="F496" s="747"/>
      <x:c r="G496" s="747"/>
      <x:c r="H496" s="747"/>
      <x:c r="I496" s="747"/>
      <x:c r="J496" s="753">
        <x:f>'幕间计算'!E589</x:f>
        <x:v>0</x:v>
      </x:c>
      <x:c r="K496" s="753" t="str">
        <x:f>'幕间计算'!F589</x:f>
        <x:v/>
      </x:c>
    </x:row>
    <x:row r="497" ht="25" customHeight="1">
      <x:c r="A497" s="747"/>
      <x:c r="B497" s="747"/>
      <x:c r="C497" s="760"/>
      <x:c r="D497" s="747"/>
      <x:c r="E497" s="747"/>
      <x:c r="F497" s="747"/>
      <x:c r="G497" s="747"/>
      <x:c r="H497" s="747"/>
      <x:c r="I497" s="747"/>
      <x:c r="J497" s="753">
        <x:f>'幕间计算'!E590</x:f>
        <x:v>0</x:v>
      </x:c>
      <x:c r="K497" s="753" t="str">
        <x:f>'幕间计算'!F590</x:f>
        <x:v/>
      </x:c>
    </x:row>
    <x:row r="498" ht="25" customHeight="1">
      <x:c r="A498" s="747"/>
      <x:c r="B498" s="747"/>
      <x:c r="C498" s="760"/>
      <x:c r="D498" s="747"/>
      <x:c r="E498" s="747"/>
      <x:c r="F498" s="747"/>
      <x:c r="G498" s="747"/>
      <x:c r="H498" s="747"/>
      <x:c r="I498" s="747"/>
      <x:c r="J498" s="753">
        <x:f>'幕间计算'!E591</x:f>
        <x:v>0</x:v>
      </x:c>
      <x:c r="K498" s="753" t="str">
        <x:f>'幕间计算'!F591</x:f>
        <x:v/>
      </x:c>
    </x:row>
    <x:row r="499" ht="25" customHeight="1">
      <x:c r="A499" s="747"/>
      <x:c r="B499" s="747"/>
      <x:c r="C499" s="760"/>
      <x:c r="D499" s="747"/>
      <x:c r="E499" s="747"/>
      <x:c r="F499" s="747"/>
      <x:c r="G499" s="747"/>
      <x:c r="H499" s="747"/>
      <x:c r="I499" s="747"/>
      <x:c r="J499" s="753">
        <x:f>'幕间计算'!E592</x:f>
        <x:v>0</x:v>
      </x:c>
      <x:c r="K499" s="753" t="str">
        <x:f>'幕间计算'!F592</x:f>
        <x:v/>
      </x:c>
    </x:row>
    <x:row r="500" ht="25" customHeight="1">
      <x:c r="A500" s="747"/>
      <x:c r="B500" s="747"/>
      <x:c r="C500" s="760"/>
      <x:c r="D500" s="747"/>
      <x:c r="E500" s="747"/>
      <x:c r="F500" s="747"/>
      <x:c r="G500" s="747"/>
      <x:c r="H500" s="747"/>
      <x:c r="I500" s="747"/>
      <x:c r="J500" s="753">
        <x:f>'幕间计算'!E593</x:f>
        <x:v>0</x:v>
      </x:c>
      <x:c r="K500" s="753" t="str">
        <x:f>'幕间计算'!F593</x:f>
        <x:v/>
      </x:c>
    </x:row>
    <x:row r="501" ht="25" customHeight="1">
      <x:c r="A501" s="747"/>
      <x:c r="B501" s="747"/>
      <x:c r="C501" s="760"/>
      <x:c r="D501" s="747"/>
      <x:c r="E501" s="747"/>
      <x:c r="F501" s="747"/>
      <x:c r="G501" s="747"/>
      <x:c r="H501" s="747"/>
      <x:c r="I501" s="747"/>
      <x:c r="J501" s="753">
        <x:f>'幕间计算'!E594</x:f>
        <x:v>0</x:v>
      </x:c>
      <x:c r="K501" s="753" t="str">
        <x:f>'幕间计算'!F594</x:f>
        <x:v/>
      </x:c>
    </x:row>
    <x:row r="502" ht="25" customHeight="1">
      <x:c r="A502" s="747"/>
      <x:c r="B502" s="747"/>
      <x:c r="C502" s="760"/>
      <x:c r="D502" s="747"/>
      <x:c r="E502" s="747"/>
      <x:c r="F502" s="747"/>
      <x:c r="G502" s="747"/>
      <x:c r="H502" s="747"/>
      <x:c r="I502" s="747"/>
      <x:c r="J502" s="753">
        <x:f>'幕间计算'!E595</x:f>
        <x:v>0</x:v>
      </x:c>
      <x:c r="K502" s="753" t="str">
        <x:f>'幕间计算'!F595</x:f>
        <x:v/>
      </x:c>
    </x:row>
    <x:row r="503" ht="25" customHeight="1">
      <x:c r="A503" s="747"/>
      <x:c r="B503" s="747"/>
      <x:c r="C503" s="760"/>
      <x:c r="D503" s="747"/>
      <x:c r="E503" s="747"/>
      <x:c r="F503" s="747"/>
      <x:c r="G503" s="747"/>
      <x:c r="H503" s="747"/>
      <x:c r="I503" s="747"/>
      <x:c r="J503" s="753">
        <x:f>'幕间计算'!E596</x:f>
        <x:v>0</x:v>
      </x:c>
      <x:c r="K503" s="753" t="str">
        <x:f>'幕间计算'!F596</x:f>
        <x:v/>
      </x:c>
    </x:row>
    <x:row r="504" ht="25" customHeight="1">
      <x:c r="A504" s="747"/>
      <x:c r="B504" s="747"/>
      <x:c r="C504" s="760"/>
      <x:c r="D504" s="747"/>
      <x:c r="E504" s="747"/>
      <x:c r="F504" s="747"/>
      <x:c r="G504" s="747"/>
      <x:c r="H504" s="747"/>
      <x:c r="I504" s="747"/>
      <x:c r="J504" s="753">
        <x:f>'幕间计算'!E597</x:f>
        <x:v>0</x:v>
      </x:c>
      <x:c r="K504" s="753" t="str">
        <x:f>'幕间计算'!F597</x:f>
        <x:v/>
      </x:c>
    </x:row>
    <x:row r="505" ht="25" customHeight="1">
      <x:c r="A505" s="747"/>
      <x:c r="B505" s="747"/>
      <x:c r="C505" s="760"/>
      <x:c r="D505" s="747"/>
      <x:c r="E505" s="747"/>
      <x:c r="F505" s="747"/>
      <x:c r="G505" s="747"/>
      <x:c r="H505" s="747"/>
      <x:c r="I505" s="747"/>
      <x:c r="J505" s="753">
        <x:f>'幕间计算'!E598</x:f>
        <x:v>0</x:v>
      </x:c>
      <x:c r="K505" s="753" t="str">
        <x:f>'幕间计算'!F598</x:f>
        <x:v/>
      </x:c>
    </x:row>
    <x:row r="506" ht="25" customHeight="1">
      <x:c r="A506" s="747"/>
      <x:c r="B506" s="747"/>
      <x:c r="C506" s="760"/>
      <x:c r="D506" s="747"/>
      <x:c r="E506" s="747"/>
      <x:c r="F506" s="747"/>
      <x:c r="G506" s="747"/>
      <x:c r="H506" s="747"/>
      <x:c r="I506" s="747"/>
      <x:c r="J506" s="753">
        <x:f>'幕间计算'!E599</x:f>
        <x:v>0</x:v>
      </x:c>
      <x:c r="K506" s="753" t="str">
        <x:f>'幕间计算'!F599</x:f>
        <x:v/>
      </x:c>
    </x:row>
    <x:row r="507" ht="25" customHeight="1">
      <x:c r="A507" s="747"/>
      <x:c r="B507" s="747"/>
      <x:c r="C507" s="760"/>
      <x:c r="D507" s="747"/>
      <x:c r="E507" s="747"/>
      <x:c r="F507" s="747"/>
      <x:c r="G507" s="747"/>
      <x:c r="H507" s="747"/>
      <x:c r="I507" s="747"/>
      <x:c r="J507" s="753">
        <x:f>'幕间计算'!E600</x:f>
        <x:v>0</x:v>
      </x:c>
      <x:c r="K507" s="753" t="str">
        <x:f>'幕间计算'!F600</x:f>
        <x:v/>
      </x:c>
    </x:row>
    <x:row r="508" ht="25" customHeight="1">
      <x:c r="A508" s="747"/>
      <x:c r="B508" s="747"/>
      <x:c r="C508" s="760"/>
      <x:c r="D508" s="747"/>
      <x:c r="E508" s="747"/>
      <x:c r="F508" s="747"/>
      <x:c r="G508" s="747"/>
      <x:c r="H508" s="747"/>
      <x:c r="I508" s="747"/>
      <x:c r="J508" s="753">
        <x:f>'幕间计算'!E601</x:f>
        <x:v>0</x:v>
      </x:c>
      <x:c r="K508" s="753" t="str">
        <x:f>'幕间计算'!F601</x:f>
        <x:v/>
      </x:c>
    </x:row>
    <x:row r="509" ht="25" customHeight="1">
      <x:c r="A509" s="747"/>
      <x:c r="B509" s="747"/>
      <x:c r="C509" s="760"/>
      <x:c r="D509" s="747"/>
      <x:c r="E509" s="747"/>
      <x:c r="F509" s="747"/>
      <x:c r="G509" s="747"/>
      <x:c r="H509" s="747"/>
      <x:c r="I509" s="747"/>
      <x:c r="J509" s="753">
        <x:f>'幕间计算'!E602</x:f>
        <x:v>0</x:v>
      </x:c>
      <x:c r="K509" s="753" t="str">
        <x:f>'幕间计算'!F602</x:f>
        <x:v/>
      </x:c>
    </x:row>
    <x:row r="510" ht="25" customHeight="1">
      <x:c r="A510" s="747"/>
      <x:c r="B510" s="747"/>
      <x:c r="C510" s="760"/>
      <x:c r="D510" s="747"/>
      <x:c r="E510" s="747"/>
      <x:c r="F510" s="747"/>
      <x:c r="G510" s="747"/>
      <x:c r="H510" s="747"/>
      <x:c r="I510" s="747"/>
      <x:c r="J510" s="753">
        <x:f>'幕间计算'!E603</x:f>
        <x:v>0</x:v>
      </x:c>
      <x:c r="K510" s="753" t="str">
        <x:f>'幕间计算'!F603</x:f>
        <x:v/>
      </x:c>
    </x:row>
    <x:row r="511" ht="25" customHeight="1">
      <x:c r="A511" s="747"/>
      <x:c r="B511" s="747"/>
      <x:c r="C511" s="760"/>
      <x:c r="D511" s="747"/>
      <x:c r="E511" s="747"/>
      <x:c r="F511" s="747"/>
      <x:c r="G511" s="747"/>
      <x:c r="H511" s="747"/>
      <x:c r="I511" s="747"/>
      <x:c r="J511" s="753">
        <x:f>'幕间计算'!E604</x:f>
        <x:v>0</x:v>
      </x:c>
      <x:c r="K511" s="753" t="str">
        <x:f>'幕间计算'!F604</x:f>
        <x:v/>
      </x:c>
    </x:row>
    <x:row r="512" ht="25" customHeight="1">
      <x:c r="A512" s="747"/>
      <x:c r="B512" s="747"/>
      <x:c r="C512" s="760"/>
      <x:c r="D512" s="747"/>
      <x:c r="E512" s="747"/>
      <x:c r="F512" s="747"/>
      <x:c r="G512" s="747"/>
      <x:c r="H512" s="747"/>
      <x:c r="I512" s="747"/>
      <x:c r="J512" s="753">
        <x:f>'幕间计算'!E605</x:f>
        <x:v>0</x:v>
      </x:c>
      <x:c r="K512" s="753" t="str">
        <x:f>'幕间计算'!F605</x:f>
        <x:v/>
      </x:c>
    </x:row>
    <x:row r="513" ht="25" customHeight="1">
      <x:c r="A513" s="747"/>
      <x:c r="B513" s="747"/>
      <x:c r="C513" s="760"/>
      <x:c r="D513" s="747"/>
      <x:c r="E513" s="747"/>
      <x:c r="F513" s="747"/>
      <x:c r="G513" s="747"/>
      <x:c r="H513" s="747"/>
      <x:c r="I513" s="747"/>
      <x:c r="J513" s="753">
        <x:f>'幕间计算'!E606</x:f>
        <x:v>0</x:v>
      </x:c>
      <x:c r="K513" s="753" t="str">
        <x:f>'幕间计算'!F606</x:f>
        <x:v/>
      </x:c>
    </x:row>
    <x:row r="514" ht="25" customHeight="1">
      <x:c r="A514" s="747"/>
      <x:c r="B514" s="747"/>
      <x:c r="C514" s="760"/>
      <x:c r="D514" s="747"/>
      <x:c r="E514" s="747"/>
      <x:c r="F514" s="747"/>
      <x:c r="G514" s="747"/>
      <x:c r="H514" s="747"/>
      <x:c r="I514" s="747"/>
      <x:c r="J514" s="753">
        <x:f>'幕间计算'!E607</x:f>
        <x:v>0</x:v>
      </x:c>
      <x:c r="K514" s="753" t="str">
        <x:f>'幕间计算'!F607</x:f>
        <x:v/>
      </x:c>
    </x:row>
    <x:row r="515" ht="25" customHeight="1">
      <x:c r="A515" s="747"/>
      <x:c r="B515" s="747"/>
      <x:c r="C515" s="760"/>
      <x:c r="D515" s="747"/>
      <x:c r="E515" s="747"/>
      <x:c r="F515" s="747"/>
      <x:c r="G515" s="747"/>
      <x:c r="H515" s="747"/>
      <x:c r="I515" s="747"/>
      <x:c r="J515" s="753">
        <x:f>'幕间计算'!E608</x:f>
        <x:v>0</x:v>
      </x:c>
      <x:c r="K515" s="753" t="str">
        <x:f>'幕间计算'!F608</x:f>
        <x:v/>
      </x:c>
    </x:row>
    <x:row r="516" ht="25" customHeight="1">
      <x:c r="A516" s="747"/>
      <x:c r="B516" s="747"/>
      <x:c r="C516" s="760"/>
      <x:c r="D516" s="747"/>
      <x:c r="E516" s="747"/>
      <x:c r="F516" s="747"/>
      <x:c r="G516" s="747"/>
      <x:c r="H516" s="747"/>
      <x:c r="I516" s="747"/>
      <x:c r="J516" s="753">
        <x:f>'幕间计算'!E609</x:f>
        <x:v>0</x:v>
      </x:c>
      <x:c r="K516" s="753" t="str">
        <x:f>'幕间计算'!F609</x:f>
        <x:v/>
      </x:c>
    </x:row>
    <x:row r="517" ht="25" customHeight="1">
      <x:c r="A517" s="747"/>
      <x:c r="B517" s="747"/>
      <x:c r="C517" s="760"/>
      <x:c r="D517" s="747"/>
      <x:c r="E517" s="747"/>
      <x:c r="F517" s="747"/>
      <x:c r="G517" s="747"/>
      <x:c r="H517" s="747"/>
      <x:c r="I517" s="747"/>
      <x:c r="J517" s="753">
        <x:f>'幕间计算'!E610</x:f>
        <x:v>0</x:v>
      </x:c>
      <x:c r="K517" s="753" t="str">
        <x:f>'幕间计算'!F610</x:f>
        <x:v/>
      </x:c>
    </x:row>
    <x:row r="518" ht="25" customHeight="1">
      <x:c r="A518" s="747"/>
      <x:c r="B518" s="747"/>
      <x:c r="C518" s="760"/>
      <x:c r="D518" s="747"/>
      <x:c r="E518" s="747"/>
      <x:c r="F518" s="747"/>
      <x:c r="G518" s="747"/>
      <x:c r="H518" s="747"/>
      <x:c r="I518" s="747"/>
      <x:c r="J518" s="753">
        <x:f>'幕间计算'!E611</x:f>
        <x:v>0</x:v>
      </x:c>
      <x:c r="K518" s="753" t="str">
        <x:f>'幕间计算'!F611</x:f>
        <x:v/>
      </x:c>
    </x:row>
    <x:row r="519" ht="25" customHeight="1">
      <x:c r="A519" s="747"/>
      <x:c r="B519" s="747"/>
      <x:c r="C519" s="760"/>
      <x:c r="D519" s="747"/>
      <x:c r="E519" s="747"/>
      <x:c r="F519" s="747"/>
      <x:c r="G519" s="747"/>
      <x:c r="H519" s="747"/>
      <x:c r="I519" s="747"/>
      <x:c r="J519" s="753">
        <x:f>'幕间计算'!E612</x:f>
        <x:v>0</x:v>
      </x:c>
      <x:c r="K519" s="753" t="str">
        <x:f>'幕间计算'!F612</x:f>
        <x:v/>
      </x:c>
    </x:row>
    <x:row r="520" ht="25" customHeight="1">
      <x:c r="A520" s="747"/>
      <x:c r="B520" s="747"/>
      <x:c r="C520" s="760"/>
      <x:c r="D520" s="747"/>
      <x:c r="E520" s="747"/>
      <x:c r="F520" s="747"/>
      <x:c r="G520" s="747"/>
      <x:c r="H520" s="747"/>
      <x:c r="I520" s="747"/>
      <x:c r="J520" s="753">
        <x:f>'幕间计算'!E613</x:f>
        <x:v>0</x:v>
      </x:c>
      <x:c r="K520" s="753" t="str">
        <x:f>'幕间计算'!F613</x:f>
        <x:v/>
      </x:c>
    </x:row>
    <x:row r="521" ht="25" customHeight="1">
      <x:c r="A521" s="747"/>
      <x:c r="B521" s="747"/>
      <x:c r="C521" s="760"/>
      <x:c r="D521" s="747"/>
      <x:c r="E521" s="747"/>
      <x:c r="F521" s="747"/>
      <x:c r="G521" s="747"/>
      <x:c r="H521" s="747"/>
      <x:c r="I521" s="747"/>
      <x:c r="J521" s="753">
        <x:f>'幕间计算'!E614</x:f>
        <x:v>0</x:v>
      </x:c>
      <x:c r="K521" s="753" t="str">
        <x:f>'幕间计算'!F614</x:f>
        <x:v/>
      </x:c>
    </x:row>
    <x:row r="522" ht="25" customHeight="1">
      <x:c r="A522" s="747"/>
      <x:c r="B522" s="747"/>
      <x:c r="C522" s="760"/>
      <x:c r="D522" s="747"/>
      <x:c r="E522" s="747"/>
      <x:c r="F522" s="747"/>
      <x:c r="G522" s="747"/>
      <x:c r="H522" s="747"/>
      <x:c r="I522" s="747"/>
      <x:c r="J522" s="753">
        <x:f>'幕间计算'!E615</x:f>
        <x:v>0</x:v>
      </x:c>
      <x:c r="K522" s="753" t="str">
        <x:f>'幕间计算'!F615</x:f>
        <x:v/>
      </x:c>
    </x:row>
    <x:row r="523" ht="25" customHeight="1">
      <x:c r="A523" s="747"/>
      <x:c r="B523" s="747"/>
      <x:c r="C523" s="760"/>
      <x:c r="D523" s="747"/>
      <x:c r="E523" s="747"/>
      <x:c r="F523" s="747"/>
      <x:c r="G523" s="747"/>
      <x:c r="H523" s="747"/>
      <x:c r="I523" s="747"/>
      <x:c r="J523" s="753">
        <x:f>'幕间计算'!E616</x:f>
        <x:v>0</x:v>
      </x:c>
      <x:c r="K523" s="753" t="str">
        <x:f>'幕间计算'!F616</x:f>
        <x:v/>
      </x:c>
    </x:row>
    <x:row r="524" ht="25" customHeight="1">
      <x:c r="A524" s="747"/>
      <x:c r="B524" s="747"/>
      <x:c r="C524" s="760"/>
      <x:c r="D524" s="747"/>
      <x:c r="E524" s="747"/>
      <x:c r="F524" s="747"/>
      <x:c r="G524" s="747"/>
      <x:c r="H524" s="747"/>
      <x:c r="I524" s="747"/>
      <x:c r="J524" s="753">
        <x:f>'幕间计算'!E617</x:f>
        <x:v>0</x:v>
      </x:c>
      <x:c r="K524" s="753" t="str">
        <x:f>'幕间计算'!F617</x:f>
        <x:v/>
      </x:c>
    </x:row>
    <x:row r="525" ht="25" customHeight="1">
      <x:c r="A525" s="747"/>
      <x:c r="B525" s="747"/>
      <x:c r="C525" s="760"/>
      <x:c r="D525" s="747"/>
      <x:c r="E525" s="747"/>
      <x:c r="F525" s="747"/>
      <x:c r="G525" s="747"/>
      <x:c r="H525" s="747"/>
      <x:c r="I525" s="747"/>
      <x:c r="J525" s="753">
        <x:f>'幕间计算'!E618</x:f>
        <x:v>0</x:v>
      </x:c>
      <x:c r="K525" s="753" t="str">
        <x:f>'幕间计算'!F618</x:f>
        <x:v/>
      </x:c>
    </x:row>
    <x:row r="526" ht="25" customHeight="1">
      <x:c r="A526" s="747"/>
      <x:c r="B526" s="747"/>
      <x:c r="C526" s="760"/>
      <x:c r="D526" s="747"/>
      <x:c r="E526" s="747"/>
      <x:c r="F526" s="747"/>
      <x:c r="G526" s="747"/>
      <x:c r="H526" s="747"/>
      <x:c r="I526" s="747"/>
      <x:c r="J526" s="753">
        <x:f>'幕间计算'!E619</x:f>
        <x:v>0</x:v>
      </x:c>
      <x:c r="K526" s="753" t="str">
        <x:f>'幕间计算'!F619</x:f>
        <x:v/>
      </x:c>
    </x:row>
    <x:row r="527" ht="25" customHeight="1">
      <x:c r="A527" s="747"/>
      <x:c r="B527" s="747"/>
      <x:c r="C527" s="760"/>
      <x:c r="D527" s="747"/>
      <x:c r="E527" s="747"/>
      <x:c r="F527" s="747"/>
      <x:c r="G527" s="747"/>
      <x:c r="H527" s="747"/>
      <x:c r="I527" s="747"/>
      <x:c r="J527" s="753">
        <x:f>'幕间计算'!E620</x:f>
        <x:v>0</x:v>
      </x:c>
      <x:c r="K527" s="753" t="str">
        <x:f>'幕间计算'!F620</x:f>
        <x:v/>
      </x:c>
    </x:row>
    <x:row r="528" ht="25" customHeight="1">
      <x:c r="A528" s="747"/>
      <x:c r="B528" s="747"/>
      <x:c r="C528" s="760"/>
      <x:c r="D528" s="747"/>
      <x:c r="E528" s="747"/>
      <x:c r="F528" s="747"/>
      <x:c r="G528" s="747"/>
      <x:c r="H528" s="747"/>
      <x:c r="I528" s="747"/>
      <x:c r="J528" s="753">
        <x:f>'幕间计算'!E621</x:f>
        <x:v>0</x:v>
      </x:c>
      <x:c r="K528" s="753" t="str">
        <x:f>'幕间计算'!F621</x:f>
        <x:v/>
      </x:c>
    </x:row>
    <x:row r="529" ht="25" customHeight="1">
      <x:c r="A529" s="747"/>
      <x:c r="B529" s="747"/>
      <x:c r="C529" s="760"/>
      <x:c r="D529" s="747"/>
      <x:c r="E529" s="747"/>
      <x:c r="F529" s="747"/>
      <x:c r="G529" s="747"/>
      <x:c r="H529" s="747"/>
      <x:c r="I529" s="747"/>
      <x:c r="J529" s="753">
        <x:f>'幕间计算'!E622</x:f>
        <x:v>0</x:v>
      </x:c>
      <x:c r="K529" s="753" t="str">
        <x:f>'幕间计算'!F622</x:f>
        <x:v/>
      </x:c>
    </x:row>
    <x:row r="530" ht="25" customHeight="1">
      <x:c r="A530" s="747"/>
      <x:c r="B530" s="747"/>
      <x:c r="C530" s="760"/>
      <x:c r="D530" s="747"/>
      <x:c r="E530" s="747"/>
      <x:c r="F530" s="747"/>
      <x:c r="G530" s="747"/>
      <x:c r="H530" s="747"/>
      <x:c r="I530" s="747"/>
      <x:c r="J530" s="753">
        <x:f>'幕间计算'!E623</x:f>
        <x:v>0</x:v>
      </x:c>
      <x:c r="K530" s="753" t="str">
        <x:f>'幕间计算'!F623</x:f>
        <x:v/>
      </x:c>
    </x:row>
    <x:row r="531" ht="25" customHeight="1">
      <x:c r="A531" s="747"/>
      <x:c r="B531" s="747"/>
      <x:c r="C531" s="760"/>
      <x:c r="D531" s="747"/>
      <x:c r="E531" s="747"/>
      <x:c r="F531" s="747"/>
      <x:c r="G531" s="747"/>
      <x:c r="H531" s="747"/>
      <x:c r="I531" s="747"/>
      <x:c r="J531" s="753">
        <x:f>'幕间计算'!E624</x:f>
        <x:v>0</x:v>
      </x:c>
      <x:c r="K531" s="753" t="str">
        <x:f>'幕间计算'!F624</x:f>
        <x:v/>
      </x:c>
    </x:row>
    <x:row r="532" ht="25" customHeight="1">
      <x:c r="A532" s="747"/>
      <x:c r="B532" s="747"/>
      <x:c r="C532" s="760"/>
      <x:c r="D532" s="747"/>
      <x:c r="E532" s="747"/>
      <x:c r="F532" s="747"/>
      <x:c r="G532" s="747"/>
      <x:c r="H532" s="747"/>
      <x:c r="I532" s="747"/>
      <x:c r="J532" s="753">
        <x:f>'幕间计算'!E625</x:f>
        <x:v>0</x:v>
      </x:c>
      <x:c r="K532" s="753" t="str">
        <x:f>'幕间计算'!F625</x:f>
        <x:v/>
      </x:c>
    </x:row>
    <x:row r="533" ht="25" customHeight="1">
      <x:c r="A533" s="747"/>
      <x:c r="B533" s="747"/>
      <x:c r="C533" s="760"/>
      <x:c r="D533" s="747"/>
      <x:c r="E533" s="747"/>
      <x:c r="F533" s="747"/>
      <x:c r="G533" s="747"/>
      <x:c r="H533" s="747"/>
      <x:c r="I533" s="747"/>
      <x:c r="J533" s="753">
        <x:f>'幕间计算'!E626</x:f>
        <x:v>0</x:v>
      </x:c>
      <x:c r="K533" s="753" t="str">
        <x:f>'幕间计算'!F626</x:f>
        <x:v/>
      </x:c>
    </x:row>
    <x:row r="534" ht="25" customHeight="1">
      <x:c r="A534" s="747"/>
      <x:c r="B534" s="747"/>
      <x:c r="C534" s="760"/>
      <x:c r="D534" s="747"/>
      <x:c r="E534" s="747"/>
      <x:c r="F534" s="747"/>
      <x:c r="G534" s="747"/>
      <x:c r="H534" s="747"/>
      <x:c r="I534" s="747"/>
      <x:c r="J534" s="753">
        <x:f>'幕间计算'!E627</x:f>
        <x:v>0</x:v>
      </x:c>
      <x:c r="K534" s="753" t="str">
        <x:f>'幕间计算'!F627</x:f>
        <x:v/>
      </x:c>
    </x:row>
    <x:row r="535" ht="25" customHeight="1">
      <x:c r="A535" s="747"/>
      <x:c r="B535" s="747"/>
      <x:c r="C535" s="760"/>
      <x:c r="D535" s="747"/>
      <x:c r="E535" s="747"/>
      <x:c r="F535" s="747"/>
      <x:c r="G535" s="747"/>
      <x:c r="H535" s="747"/>
      <x:c r="I535" s="747"/>
      <x:c r="J535" s="753">
        <x:f>'幕间计算'!E628</x:f>
        <x:v>0</x:v>
      </x:c>
      <x:c r="K535" s="753" t="str">
        <x:f>'幕间计算'!F628</x:f>
        <x:v/>
      </x:c>
    </x:row>
    <x:row r="536" ht="25" customHeight="1">
      <x:c r="A536" s="747"/>
      <x:c r="B536" s="747"/>
      <x:c r="C536" s="760"/>
      <x:c r="D536" s="747"/>
      <x:c r="E536" s="747"/>
      <x:c r="F536" s="747"/>
      <x:c r="G536" s="747"/>
      <x:c r="H536" s="747"/>
      <x:c r="I536" s="747"/>
      <x:c r="J536" s="753">
        <x:f>'幕间计算'!E629</x:f>
        <x:v>0</x:v>
      </x:c>
      <x:c r="K536" s="753" t="str">
        <x:f>'幕间计算'!F629</x:f>
        <x:v/>
      </x:c>
    </x:row>
    <x:row r="537" ht="25" customHeight="1">
      <x:c r="A537" s="747"/>
      <x:c r="B537" s="747"/>
      <x:c r="C537" s="760"/>
      <x:c r="D537" s="747"/>
      <x:c r="E537" s="747"/>
      <x:c r="F537" s="747"/>
      <x:c r="G537" s="747"/>
      <x:c r="H537" s="747"/>
      <x:c r="I537" s="747"/>
      <x:c r="J537" s="753">
        <x:f>'幕间计算'!E630</x:f>
        <x:v>0</x:v>
      </x:c>
      <x:c r="K537" s="753" t="str">
        <x:f>'幕间计算'!F630</x:f>
        <x:v/>
      </x:c>
    </x:row>
    <x:row r="538" ht="25" customHeight="1">
      <x:c r="A538" s="747"/>
      <x:c r="B538" s="747"/>
      <x:c r="C538" s="760"/>
      <x:c r="D538" s="747"/>
      <x:c r="E538" s="747"/>
      <x:c r="F538" s="747"/>
      <x:c r="G538" s="747"/>
      <x:c r="H538" s="747"/>
      <x:c r="I538" s="747"/>
      <x:c r="J538" s="753">
        <x:f>'幕间计算'!E631</x:f>
        <x:v>0</x:v>
      </x:c>
      <x:c r="K538" s="753" t="str">
        <x:f>'幕间计算'!F631</x:f>
        <x:v/>
      </x:c>
    </x:row>
    <x:row r="539" ht="25" customHeight="1">
      <x:c r="A539" s="747"/>
      <x:c r="B539" s="747"/>
      <x:c r="C539" s="760"/>
      <x:c r="D539" s="747"/>
      <x:c r="E539" s="747"/>
      <x:c r="F539" s="747"/>
      <x:c r="G539" s="747"/>
      <x:c r="H539" s="747"/>
      <x:c r="I539" s="747"/>
      <x:c r="J539" s="753">
        <x:f>'幕间计算'!E632</x:f>
        <x:v>0</x:v>
      </x:c>
      <x:c r="K539" s="753" t="str">
        <x:f>'幕间计算'!F632</x:f>
        <x:v/>
      </x:c>
    </x:row>
    <x:row r="540" ht="25" customHeight="1">
      <x:c r="A540" s="747"/>
      <x:c r="B540" s="747"/>
      <x:c r="C540" s="760"/>
      <x:c r="D540" s="747"/>
      <x:c r="E540" s="747"/>
      <x:c r="F540" s="747"/>
      <x:c r="G540" s="747"/>
      <x:c r="H540" s="747"/>
      <x:c r="I540" s="747"/>
      <x:c r="J540" s="753">
        <x:f>'幕间计算'!E633</x:f>
        <x:v>0</x:v>
      </x:c>
      <x:c r="K540" s="753" t="str">
        <x:f>'幕间计算'!F633</x:f>
        <x:v/>
      </x:c>
    </x:row>
    <x:row r="541" ht="25" customHeight="1">
      <x:c r="A541" s="747"/>
      <x:c r="B541" s="747"/>
      <x:c r="C541" s="760"/>
      <x:c r="D541" s="747"/>
      <x:c r="E541" s="747"/>
      <x:c r="F541" s="747"/>
      <x:c r="G541" s="747"/>
      <x:c r="H541" s="747"/>
      <x:c r="I541" s="747"/>
      <x:c r="J541" s="753">
        <x:f>'幕间计算'!E634</x:f>
        <x:v>0</x:v>
      </x:c>
      <x:c r="K541" s="753" t="str">
        <x:f>'幕间计算'!F634</x:f>
        <x:v/>
      </x:c>
    </x:row>
    <x:row r="542" ht="25" customHeight="1">
      <x:c r="A542" s="747"/>
      <x:c r="B542" s="747"/>
      <x:c r="C542" s="760"/>
      <x:c r="D542" s="747"/>
      <x:c r="E542" s="747"/>
      <x:c r="F542" s="747"/>
      <x:c r="G542" s="747"/>
      <x:c r="H542" s="747"/>
      <x:c r="I542" s="747"/>
      <x:c r="J542" s="753">
        <x:f>'幕间计算'!E635</x:f>
        <x:v>0</x:v>
      </x:c>
      <x:c r="K542" s="753" t="str">
        <x:f>'幕间计算'!F635</x:f>
        <x:v/>
      </x:c>
    </x:row>
    <x:row r="543" ht="25" customHeight="1">
      <x:c r="A543" s="747"/>
      <x:c r="B543" s="747"/>
      <x:c r="C543" s="760"/>
      <x:c r="D543" s="747"/>
      <x:c r="E543" s="747"/>
      <x:c r="F543" s="747"/>
      <x:c r="G543" s="747"/>
      <x:c r="H543" s="747"/>
      <x:c r="I543" s="747"/>
      <x:c r="J543" s="753">
        <x:f>'幕间计算'!E636</x:f>
        <x:v>0</x:v>
      </x:c>
      <x:c r="K543" s="753" t="str">
        <x:f>'幕间计算'!F636</x:f>
        <x:v/>
      </x:c>
    </x:row>
    <x:row r="544" ht="25" customHeight="1">
      <x:c r="A544" s="747"/>
      <x:c r="B544" s="747"/>
      <x:c r="C544" s="760"/>
      <x:c r="D544" s="747"/>
      <x:c r="E544" s="747"/>
      <x:c r="F544" s="747"/>
      <x:c r="G544" s="747"/>
      <x:c r="H544" s="747"/>
      <x:c r="I544" s="747"/>
      <x:c r="J544" s="753">
        <x:f>'幕间计算'!E637</x:f>
        <x:v>0</x:v>
      </x:c>
      <x:c r="K544" s="753" t="str">
        <x:f>'幕间计算'!F637</x:f>
        <x:v/>
      </x:c>
    </x:row>
    <x:row r="545" ht="25" customHeight="1">
      <x:c r="A545" s="747"/>
      <x:c r="B545" s="747"/>
      <x:c r="C545" s="760"/>
      <x:c r="D545" s="747"/>
      <x:c r="E545" s="747"/>
      <x:c r="F545" s="747"/>
      <x:c r="G545" s="747"/>
      <x:c r="H545" s="747"/>
      <x:c r="I545" s="747"/>
      <x:c r="J545" s="753">
        <x:f>'幕间计算'!E638</x:f>
        <x:v>0</x:v>
      </x:c>
      <x:c r="K545" s="753" t="str">
        <x:f>'幕间计算'!F638</x:f>
        <x:v/>
      </x:c>
    </x:row>
    <x:row r="546" ht="25" customHeight="1">
      <x:c r="A546" s="747"/>
      <x:c r="B546" s="747"/>
      <x:c r="C546" s="760"/>
      <x:c r="D546" s="747"/>
      <x:c r="E546" s="747"/>
      <x:c r="F546" s="747"/>
      <x:c r="G546" s="747"/>
      <x:c r="H546" s="747"/>
      <x:c r="I546" s="747"/>
      <x:c r="J546" s="753">
        <x:f>'幕间计算'!E639</x:f>
        <x:v>0</x:v>
      </x:c>
      <x:c r="K546" s="753" t="str">
        <x:f>'幕间计算'!F639</x:f>
        <x:v/>
      </x:c>
    </x:row>
    <x:row r="547" ht="25" customHeight="1">
      <x:c r="A547" s="747"/>
      <x:c r="B547" s="747"/>
      <x:c r="C547" s="760"/>
      <x:c r="D547" s="747"/>
      <x:c r="E547" s="747"/>
      <x:c r="F547" s="747"/>
      <x:c r="G547" s="747"/>
      <x:c r="H547" s="747"/>
      <x:c r="I547" s="747"/>
      <x:c r="J547" s="753">
        <x:f>'幕间计算'!E640</x:f>
        <x:v>0</x:v>
      </x:c>
      <x:c r="K547" s="753" t="str">
        <x:f>'幕间计算'!F640</x:f>
        <x:v/>
      </x:c>
    </x:row>
    <x:row r="548" ht="25" customHeight="1">
      <x:c r="A548" s="747"/>
      <x:c r="B548" s="747"/>
      <x:c r="C548" s="760"/>
      <x:c r="D548" s="747"/>
      <x:c r="E548" s="747"/>
      <x:c r="F548" s="747"/>
      <x:c r="G548" s="747"/>
      <x:c r="H548" s="747"/>
      <x:c r="I548" s="747"/>
      <x:c r="J548" s="753">
        <x:f>'幕间计算'!E641</x:f>
        <x:v>0</x:v>
      </x:c>
      <x:c r="K548" s="753" t="str">
        <x:f>'幕间计算'!F641</x:f>
        <x:v/>
      </x:c>
    </x:row>
    <x:row r="549" ht="25" customHeight="1">
      <x:c r="A549" s="747"/>
      <x:c r="B549" s="747"/>
      <x:c r="C549" s="760"/>
      <x:c r="D549" s="747"/>
      <x:c r="E549" s="747"/>
      <x:c r="F549" s="747"/>
      <x:c r="G549" s="747"/>
      <x:c r="H549" s="747"/>
      <x:c r="I549" s="747"/>
      <x:c r="J549" s="753">
        <x:f>'幕间计算'!E642</x:f>
        <x:v>0</x:v>
      </x:c>
      <x:c r="K549" s="753" t="str">
        <x:f>'幕间计算'!F642</x:f>
        <x:v/>
      </x:c>
    </x:row>
    <x:row r="550" ht="25" customHeight="1">
      <x:c r="A550" s="747"/>
      <x:c r="B550" s="747"/>
      <x:c r="C550" s="760"/>
      <x:c r="D550" s="747"/>
      <x:c r="E550" s="747"/>
      <x:c r="F550" s="747"/>
      <x:c r="G550" s="747"/>
      <x:c r="H550" s="747"/>
      <x:c r="I550" s="747"/>
      <x:c r="J550" s="753">
        <x:f>'幕间计算'!E643</x:f>
        <x:v>0</x:v>
      </x:c>
      <x:c r="K550" s="753" t="str">
        <x:f>'幕间计算'!F643</x:f>
        <x:v/>
      </x:c>
    </x:row>
    <x:row r="551" ht="25" customHeight="1">
      <x:c r="A551" s="747"/>
      <x:c r="B551" s="747"/>
      <x:c r="C551" s="760"/>
      <x:c r="D551" s="747"/>
      <x:c r="E551" s="747"/>
      <x:c r="F551" s="747"/>
      <x:c r="G551" s="747"/>
      <x:c r="H551" s="747"/>
      <x:c r="I551" s="747"/>
      <x:c r="J551" s="753">
        <x:f>'幕间计算'!E644</x:f>
        <x:v>0</x:v>
      </x:c>
      <x:c r="K551" s="753" t="str">
        <x:f>'幕间计算'!F644</x:f>
        <x:v/>
      </x:c>
    </x:row>
    <x:row r="552" ht="25" customHeight="1">
      <x:c r="A552" s="747"/>
      <x:c r="B552" s="747"/>
      <x:c r="C552" s="760"/>
      <x:c r="D552" s="747"/>
      <x:c r="E552" s="747"/>
      <x:c r="F552" s="747"/>
      <x:c r="G552" s="747"/>
      <x:c r="H552" s="747"/>
      <x:c r="I552" s="747"/>
      <x:c r="J552" s="753">
        <x:f>'幕间计算'!E645</x:f>
        <x:v>0</x:v>
      </x:c>
      <x:c r="K552" s="753" t="str">
        <x:f>'幕间计算'!F645</x:f>
        <x:v/>
      </x:c>
    </x:row>
    <x:row r="553" ht="25" customHeight="1">
      <x:c r="A553" s="747"/>
      <x:c r="B553" s="747"/>
      <x:c r="C553" s="760"/>
      <x:c r="D553" s="747"/>
      <x:c r="E553" s="747"/>
      <x:c r="F553" s="747"/>
      <x:c r="G553" s="747"/>
      <x:c r="H553" s="747"/>
      <x:c r="I553" s="747"/>
      <x:c r="J553" s="753">
        <x:f>'幕间计算'!E646</x:f>
        <x:v>0</x:v>
      </x:c>
      <x:c r="K553" s="753" t="str">
        <x:f>'幕间计算'!F646</x:f>
        <x:v/>
      </x:c>
    </x:row>
    <x:row r="554" ht="25" customHeight="1">
      <x:c r="A554" s="747"/>
      <x:c r="B554" s="747"/>
      <x:c r="C554" s="760"/>
      <x:c r="D554" s="747"/>
      <x:c r="E554" s="747"/>
      <x:c r="F554" s="747"/>
      <x:c r="G554" s="747"/>
      <x:c r="H554" s="747"/>
      <x:c r="I554" s="747"/>
      <x:c r="J554" s="753">
        <x:f>'幕间计算'!E647</x:f>
        <x:v>0</x:v>
      </x:c>
      <x:c r="K554" s="753" t="str">
        <x:f>'幕间计算'!F647</x:f>
        <x:v/>
      </x:c>
    </x:row>
    <x:row r="555" ht="25" customHeight="1">
      <x:c r="A555" s="747"/>
      <x:c r="B555" s="747"/>
      <x:c r="C555" s="760"/>
      <x:c r="D555" s="747"/>
      <x:c r="E555" s="747"/>
      <x:c r="F555" s="747"/>
      <x:c r="G555" s="747"/>
      <x:c r="H555" s="747"/>
      <x:c r="I555" s="747"/>
      <x:c r="J555" s="753">
        <x:f>'幕间计算'!E648</x:f>
        <x:v>0</x:v>
      </x:c>
      <x:c r="K555" s="753" t="str">
        <x:f>'幕间计算'!F648</x:f>
        <x:v/>
      </x:c>
    </x:row>
    <x:row r="556" ht="25" customHeight="1">
      <x:c r="A556" s="747"/>
      <x:c r="B556" s="747"/>
      <x:c r="C556" s="760"/>
      <x:c r="D556" s="747"/>
      <x:c r="E556" s="747"/>
      <x:c r="F556" s="747"/>
      <x:c r="G556" s="747"/>
      <x:c r="H556" s="747"/>
      <x:c r="I556" s="747"/>
      <x:c r="J556" s="753">
        <x:f>'幕间计算'!E649</x:f>
        <x:v>0</x:v>
      </x:c>
      <x:c r="K556" s="753" t="str">
        <x:f>'幕间计算'!F649</x:f>
        <x:v/>
      </x:c>
    </x:row>
    <x:row r="557" ht="25" customHeight="1">
      <x:c r="A557" s="747"/>
      <x:c r="B557" s="747"/>
      <x:c r="C557" s="760"/>
      <x:c r="D557" s="747"/>
      <x:c r="E557" s="747"/>
      <x:c r="F557" s="747"/>
      <x:c r="G557" s="747"/>
      <x:c r="H557" s="747"/>
      <x:c r="I557" s="747"/>
      <x:c r="J557" s="753">
        <x:f>'幕间计算'!E650</x:f>
        <x:v>0</x:v>
      </x:c>
      <x:c r="K557" s="753" t="str">
        <x:f>'幕间计算'!F650</x:f>
        <x:v/>
      </x:c>
    </x:row>
    <x:row r="558" ht="25" customHeight="1">
      <x:c r="A558" s="747"/>
      <x:c r="B558" s="747"/>
      <x:c r="C558" s="760"/>
      <x:c r="D558" s="747"/>
      <x:c r="E558" s="747"/>
      <x:c r="F558" s="747"/>
      <x:c r="G558" s="747"/>
      <x:c r="H558" s="747"/>
      <x:c r="I558" s="747"/>
      <x:c r="J558" s="753">
        <x:f>'幕间计算'!E651</x:f>
        <x:v>0</x:v>
      </x:c>
      <x:c r="K558" s="753" t="str">
        <x:f>'幕间计算'!F651</x:f>
        <x:v/>
      </x:c>
    </x:row>
    <x:row r="559" ht="25" customHeight="1">
      <x:c r="A559" s="747"/>
      <x:c r="B559" s="747"/>
      <x:c r="C559" s="760"/>
      <x:c r="D559" s="747"/>
      <x:c r="E559" s="747"/>
      <x:c r="F559" s="747"/>
      <x:c r="G559" s="747"/>
      <x:c r="H559" s="747"/>
      <x:c r="I559" s="747"/>
      <x:c r="J559" s="753">
        <x:f>'幕间计算'!E652</x:f>
        <x:v>0</x:v>
      </x:c>
      <x:c r="K559" s="753" t="str">
        <x:f>'幕间计算'!F652</x:f>
        <x:v/>
      </x:c>
    </x:row>
    <x:row r="560" ht="25" customHeight="1">
      <x:c r="A560" s="747"/>
      <x:c r="B560" s="747"/>
      <x:c r="C560" s="760"/>
      <x:c r="D560" s="747"/>
      <x:c r="E560" s="747"/>
      <x:c r="F560" s="747"/>
      <x:c r="G560" s="747"/>
      <x:c r="H560" s="747"/>
      <x:c r="I560" s="747"/>
      <x:c r="J560" s="753">
        <x:f>'幕间计算'!E653</x:f>
        <x:v>0</x:v>
      </x:c>
      <x:c r="K560" s="753" t="str">
        <x:f>'幕间计算'!F653</x:f>
        <x:v/>
      </x:c>
    </x:row>
    <x:row r="561" ht="25" customHeight="1">
      <x:c r="A561" s="747"/>
      <x:c r="B561" s="747"/>
      <x:c r="C561" s="760"/>
      <x:c r="D561" s="747"/>
      <x:c r="E561" s="747"/>
      <x:c r="F561" s="747"/>
      <x:c r="G561" s="747"/>
      <x:c r="H561" s="747"/>
      <x:c r="I561" s="747"/>
      <x:c r="J561" s="753">
        <x:f>'幕间计算'!E654</x:f>
        <x:v>0</x:v>
      </x:c>
      <x:c r="K561" s="753" t="str">
        <x:f>'幕间计算'!F654</x:f>
        <x:v/>
      </x:c>
    </x:row>
    <x:row r="562" ht="25" customHeight="1">
      <x:c r="A562" s="747"/>
      <x:c r="B562" s="747"/>
      <x:c r="C562" s="760"/>
      <x:c r="D562" s="747"/>
      <x:c r="E562" s="747"/>
      <x:c r="F562" s="747"/>
      <x:c r="G562" s="747"/>
      <x:c r="H562" s="747"/>
      <x:c r="I562" s="747"/>
      <x:c r="J562" s="753">
        <x:f>'幕间计算'!E655</x:f>
        <x:v>0</x:v>
      </x:c>
      <x:c r="K562" s="753" t="str">
        <x:f>'幕间计算'!F655</x:f>
        <x:v/>
      </x:c>
    </x:row>
    <x:row r="563" ht="25" customHeight="1">
      <x:c r="A563" s="747"/>
      <x:c r="B563" s="747"/>
      <x:c r="C563" s="760"/>
      <x:c r="D563" s="747"/>
      <x:c r="E563" s="747"/>
      <x:c r="F563" s="747"/>
      <x:c r="G563" s="747"/>
      <x:c r="H563" s="747"/>
      <x:c r="I563" s="747"/>
      <x:c r="J563" s="753">
        <x:f>'幕间计算'!E656</x:f>
        <x:v>0</x:v>
      </x:c>
      <x:c r="K563" s="753" t="str">
        <x:f>'幕间计算'!F656</x:f>
        <x:v/>
      </x:c>
    </x:row>
    <x:row r="564" ht="25" customHeight="1">
      <x:c r="A564" s="747"/>
      <x:c r="B564" s="747"/>
      <x:c r="C564" s="760"/>
      <x:c r="D564" s="747"/>
      <x:c r="E564" s="747"/>
      <x:c r="F564" s="747"/>
      <x:c r="G564" s="747"/>
      <x:c r="H564" s="747"/>
      <x:c r="I564" s="747"/>
      <x:c r="J564" s="753">
        <x:f>'幕间计算'!E657</x:f>
        <x:v>0</x:v>
      </x:c>
      <x:c r="K564" s="753" t="str">
        <x:f>'幕间计算'!F657</x:f>
        <x:v/>
      </x:c>
    </x:row>
    <x:row r="565" ht="25" customHeight="1">
      <x:c r="A565" s="747"/>
      <x:c r="B565" s="747"/>
      <x:c r="C565" s="760"/>
      <x:c r="D565" s="747"/>
      <x:c r="E565" s="747"/>
      <x:c r="F565" s="747"/>
      <x:c r="G565" s="747"/>
      <x:c r="H565" s="747"/>
      <x:c r="I565" s="747"/>
      <x:c r="J565" s="753">
        <x:f>'幕间计算'!E658</x:f>
        <x:v>0</x:v>
      </x:c>
      <x:c r="K565" s="753" t="str">
        <x:f>'幕间计算'!F658</x:f>
        <x:v/>
      </x:c>
    </x:row>
    <x:row r="566" ht="25" customHeight="1">
      <x:c r="A566" s="747"/>
      <x:c r="B566" s="747"/>
      <x:c r="C566" s="760"/>
      <x:c r="D566" s="747"/>
      <x:c r="E566" s="747"/>
      <x:c r="F566" s="747"/>
      <x:c r="G566" s="747"/>
      <x:c r="H566" s="747"/>
      <x:c r="I566" s="747"/>
      <x:c r="J566" s="753">
        <x:f>'幕间计算'!E659</x:f>
        <x:v>0</x:v>
      </x:c>
      <x:c r="K566" s="753" t="str">
        <x:f>'幕间计算'!F659</x:f>
        <x:v/>
      </x:c>
    </x:row>
    <x:row r="567" ht="25" customHeight="1">
      <x:c r="A567" s="747"/>
      <x:c r="B567" s="747"/>
      <x:c r="C567" s="760"/>
      <x:c r="D567" s="747"/>
      <x:c r="E567" s="747"/>
      <x:c r="F567" s="747"/>
      <x:c r="G567" s="747"/>
      <x:c r="H567" s="747"/>
      <x:c r="I567" s="747"/>
      <x:c r="J567" s="753">
        <x:f>'幕间计算'!E660</x:f>
        <x:v>0</x:v>
      </x:c>
      <x:c r="K567" s="753" t="str">
        <x:f>'幕间计算'!F660</x:f>
        <x:v/>
      </x:c>
    </x:row>
    <x:row r="568" ht="25" customHeight="1">
      <x:c r="A568" s="747"/>
      <x:c r="B568" s="747"/>
      <x:c r="C568" s="760"/>
      <x:c r="D568" s="747"/>
      <x:c r="E568" s="747"/>
      <x:c r="F568" s="747"/>
      <x:c r="G568" s="747"/>
      <x:c r="H568" s="747"/>
      <x:c r="I568" s="747"/>
      <x:c r="J568" s="753">
        <x:f>'幕间计算'!E661</x:f>
        <x:v>0</x:v>
      </x:c>
      <x:c r="K568" s="753" t="str">
        <x:f>'幕间计算'!F661</x:f>
        <x:v/>
      </x:c>
    </x:row>
    <x:row r="569" ht="25" customHeight="1">
      <x:c r="A569" s="747"/>
      <x:c r="B569" s="747"/>
      <x:c r="C569" s="760"/>
      <x:c r="D569" s="747"/>
      <x:c r="E569" s="747"/>
      <x:c r="F569" s="747"/>
      <x:c r="G569" s="747"/>
      <x:c r="H569" s="747"/>
      <x:c r="I569" s="747"/>
      <x:c r="J569" s="753">
        <x:f>'幕间计算'!E662</x:f>
        <x:v>0</x:v>
      </x:c>
      <x:c r="K569" s="753" t="str">
        <x:f>'幕间计算'!F662</x:f>
        <x:v/>
      </x:c>
    </x:row>
    <x:row r="570" ht="25" customHeight="1">
      <x:c r="A570" s="747"/>
      <x:c r="B570" s="747"/>
      <x:c r="C570" s="760"/>
      <x:c r="D570" s="747"/>
      <x:c r="E570" s="747"/>
      <x:c r="F570" s="747"/>
      <x:c r="G570" s="747"/>
      <x:c r="H570" s="747"/>
      <x:c r="I570" s="747"/>
      <x:c r="J570" s="753">
        <x:f>'幕间计算'!E663</x:f>
        <x:v>0</x:v>
      </x:c>
      <x:c r="K570" s="753" t="str">
        <x:f>'幕间计算'!F663</x:f>
        <x:v/>
      </x:c>
    </x:row>
    <x:row r="571" ht="25" customHeight="1">
      <x:c r="A571" s="747"/>
      <x:c r="B571" s="747"/>
      <x:c r="C571" s="760"/>
      <x:c r="D571" s="747"/>
      <x:c r="E571" s="747"/>
      <x:c r="F571" s="747"/>
      <x:c r="G571" s="747"/>
      <x:c r="H571" s="747"/>
      <x:c r="I571" s="747"/>
      <x:c r="J571" s="753">
        <x:f>'幕间计算'!E664</x:f>
        <x:v>0</x:v>
      </x:c>
      <x:c r="K571" s="753" t="str">
        <x:f>'幕间计算'!F664</x:f>
        <x:v/>
      </x:c>
    </x:row>
    <x:row r="572" ht="25" customHeight="1">
      <x:c r="A572" s="747"/>
      <x:c r="B572" s="747"/>
      <x:c r="C572" s="760"/>
      <x:c r="D572" s="747"/>
      <x:c r="E572" s="747"/>
      <x:c r="F572" s="747"/>
      <x:c r="G572" s="747"/>
      <x:c r="H572" s="747"/>
      <x:c r="I572" s="747"/>
      <x:c r="J572" s="753">
        <x:f>'幕间计算'!E665</x:f>
        <x:v>0</x:v>
      </x:c>
      <x:c r="K572" s="753" t="str">
        <x:f>'幕间计算'!F665</x:f>
        <x:v/>
      </x:c>
    </x:row>
    <x:row r="573" ht="25" customHeight="1">
      <x:c r="A573" s="747"/>
      <x:c r="B573" s="747"/>
      <x:c r="C573" s="760"/>
      <x:c r="D573" s="747"/>
      <x:c r="E573" s="747"/>
      <x:c r="F573" s="747"/>
      <x:c r="G573" s="747"/>
      <x:c r="H573" s="747"/>
      <x:c r="I573" s="747"/>
      <x:c r="J573" s="753">
        <x:f>'幕间计算'!E666</x:f>
        <x:v>0</x:v>
      </x:c>
      <x:c r="K573" s="753" t="str">
        <x:f>'幕间计算'!F666</x:f>
        <x:v/>
      </x:c>
    </x:row>
    <x:row r="574" ht="25" customHeight="1">
      <x:c r="A574" s="747"/>
      <x:c r="B574" s="747"/>
      <x:c r="C574" s="760"/>
      <x:c r="D574" s="747"/>
      <x:c r="E574" s="747"/>
      <x:c r="F574" s="747"/>
      <x:c r="G574" s="747"/>
      <x:c r="H574" s="747"/>
      <x:c r="I574" s="747"/>
      <x:c r="J574" s="753">
        <x:f>'幕间计算'!E667</x:f>
        <x:v>0</x:v>
      </x:c>
      <x:c r="K574" s="753" t="str">
        <x:f>'幕间计算'!F667</x:f>
        <x:v/>
      </x:c>
    </x:row>
    <x:row r="575" ht="25" customHeight="1">
      <x:c r="A575" s="747"/>
      <x:c r="B575" s="747"/>
      <x:c r="C575" s="760"/>
      <x:c r="D575" s="747"/>
      <x:c r="E575" s="747"/>
      <x:c r="F575" s="747"/>
      <x:c r="G575" s="747"/>
      <x:c r="H575" s="747"/>
      <x:c r="I575" s="747"/>
      <x:c r="J575" s="753">
        <x:f>'幕间计算'!E668</x:f>
        <x:v>0</x:v>
      </x:c>
      <x:c r="K575" s="753" t="str">
        <x:f>'幕间计算'!F668</x:f>
        <x:v/>
      </x:c>
    </x:row>
    <x:row r="576" ht="25" customHeight="1">
      <x:c r="A576" s="747"/>
      <x:c r="B576" s="747"/>
      <x:c r="C576" s="760"/>
      <x:c r="D576" s="747"/>
      <x:c r="E576" s="747"/>
      <x:c r="F576" s="747"/>
      <x:c r="G576" s="747"/>
      <x:c r="H576" s="747"/>
      <x:c r="I576" s="747"/>
      <x:c r="J576" s="753">
        <x:f>'幕间计算'!E669</x:f>
        <x:v>0</x:v>
      </x:c>
      <x:c r="K576" s="753" t="str">
        <x:f>'幕间计算'!F669</x:f>
        <x:v/>
      </x:c>
    </x:row>
    <x:row r="577" ht="25" customHeight="1">
      <x:c r="A577" s="747"/>
      <x:c r="B577" s="747"/>
      <x:c r="C577" s="760"/>
      <x:c r="D577" s="747"/>
      <x:c r="E577" s="747"/>
      <x:c r="F577" s="747"/>
      <x:c r="G577" s="747"/>
      <x:c r="H577" s="747"/>
      <x:c r="I577" s="747"/>
      <x:c r="J577" s="753">
        <x:f>'幕间计算'!E670</x:f>
        <x:v>0</x:v>
      </x:c>
      <x:c r="K577" s="753" t="str">
        <x:f>'幕间计算'!F670</x:f>
        <x:v/>
      </x:c>
    </x:row>
    <x:row r="578" ht="25" customHeight="1">
      <x:c r="A578" s="747"/>
      <x:c r="B578" s="747"/>
      <x:c r="C578" s="760"/>
      <x:c r="D578" s="747"/>
      <x:c r="E578" s="747"/>
      <x:c r="F578" s="747"/>
      <x:c r="G578" s="747"/>
      <x:c r="H578" s="747"/>
      <x:c r="I578" s="747"/>
      <x:c r="J578" s="753">
        <x:f>'幕间计算'!E671</x:f>
        <x:v>0</x:v>
      </x:c>
      <x:c r="K578" s="753" t="str">
        <x:f>'幕间计算'!F671</x:f>
        <x:v/>
      </x:c>
    </x:row>
    <x:row r="579" ht="25" customHeight="1">
      <x:c r="A579" s="747"/>
      <x:c r="B579" s="747"/>
      <x:c r="C579" s="760"/>
      <x:c r="D579" s="747"/>
      <x:c r="E579" s="747"/>
      <x:c r="F579" s="747"/>
      <x:c r="G579" s="747"/>
      <x:c r="H579" s="747"/>
      <x:c r="I579" s="747"/>
      <x:c r="J579" s="753">
        <x:f>'幕间计算'!E672</x:f>
        <x:v>0</x:v>
      </x:c>
      <x:c r="K579" s="753" t="str">
        <x:f>'幕间计算'!F672</x:f>
        <x:v/>
      </x:c>
    </x:row>
    <x:row r="580" ht="25" customHeight="1">
      <x:c r="A580" s="747"/>
      <x:c r="B580" s="747"/>
      <x:c r="C580" s="760"/>
      <x:c r="D580" s="747"/>
      <x:c r="E580" s="747"/>
      <x:c r="F580" s="747"/>
      <x:c r="G580" s="747"/>
      <x:c r="H580" s="747"/>
      <x:c r="I580" s="747"/>
      <x:c r="J580" s="753">
        <x:f>'幕间计算'!E673</x:f>
        <x:v>0</x:v>
      </x:c>
      <x:c r="K580" s="753" t="str">
        <x:f>'幕间计算'!F673</x:f>
        <x:v/>
      </x:c>
    </x:row>
    <x:row r="581" ht="25" customHeight="1">
      <x:c r="A581" s="747"/>
      <x:c r="B581" s="747"/>
      <x:c r="C581" s="760"/>
      <x:c r="D581" s="747"/>
      <x:c r="E581" s="747"/>
      <x:c r="F581" s="747"/>
      <x:c r="G581" s="747"/>
      <x:c r="H581" s="747"/>
      <x:c r="I581" s="747"/>
      <x:c r="J581" s="753">
        <x:f>'幕间计算'!E674</x:f>
        <x:v>0</x:v>
      </x:c>
      <x:c r="K581" s="753" t="str">
        <x:f>'幕间计算'!F674</x:f>
        <x:v/>
      </x:c>
    </x:row>
    <x:row r="582" ht="25" customHeight="1">
      <x:c r="A582" s="747"/>
      <x:c r="B582" s="747"/>
      <x:c r="C582" s="760"/>
      <x:c r="D582" s="747"/>
      <x:c r="E582" s="747"/>
      <x:c r="F582" s="747"/>
      <x:c r="G582" s="747"/>
      <x:c r="H582" s="747"/>
      <x:c r="I582" s="747"/>
      <x:c r="J582" s="753">
        <x:f>'幕间计算'!E675</x:f>
        <x:v>0</x:v>
      </x:c>
      <x:c r="K582" s="753" t="str">
        <x:f>'幕间计算'!F675</x:f>
        <x:v/>
      </x:c>
    </x:row>
    <x:row r="583" ht="25" customHeight="1">
      <x:c r="A583" s="747"/>
      <x:c r="B583" s="747"/>
      <x:c r="C583" s="760"/>
      <x:c r="D583" s="747"/>
      <x:c r="E583" s="747"/>
      <x:c r="F583" s="747"/>
      <x:c r="G583" s="747"/>
      <x:c r="H583" s="747"/>
      <x:c r="I583" s="747"/>
      <x:c r="J583" s="753">
        <x:f>'幕间计算'!E676</x:f>
        <x:v>0</x:v>
      </x:c>
      <x:c r="K583" s="753" t="str">
        <x:f>'幕间计算'!F676</x:f>
        <x:v/>
      </x:c>
    </x:row>
    <x:row r="584" ht="25" customHeight="1">
      <x:c r="A584" s="747"/>
      <x:c r="B584" s="747"/>
      <x:c r="C584" s="760"/>
      <x:c r="D584" s="747"/>
      <x:c r="E584" s="747"/>
      <x:c r="F584" s="747"/>
      <x:c r="G584" s="747"/>
      <x:c r="H584" s="747"/>
      <x:c r="I584" s="747"/>
      <x:c r="J584" s="753">
        <x:f>'幕间计算'!E677</x:f>
        <x:v>0</x:v>
      </x:c>
      <x:c r="K584" s="753" t="str">
        <x:f>'幕间计算'!F677</x:f>
        <x:v/>
      </x:c>
    </x:row>
    <x:row r="585" ht="25" customHeight="1">
      <x:c r="A585" s="747"/>
      <x:c r="B585" s="747"/>
      <x:c r="C585" s="760"/>
      <x:c r="D585" s="747"/>
      <x:c r="E585" s="747"/>
      <x:c r="F585" s="747"/>
      <x:c r="G585" s="747"/>
      <x:c r="H585" s="747"/>
      <x:c r="I585" s="747"/>
      <x:c r="J585" s="753">
        <x:f>'幕间计算'!E678</x:f>
        <x:v>0</x:v>
      </x:c>
      <x:c r="K585" s="753" t="str">
        <x:f>'幕间计算'!F678</x:f>
        <x:v/>
      </x:c>
    </x:row>
    <x:row r="586" ht="25" customHeight="1">
      <x:c r="A586" s="747"/>
      <x:c r="B586" s="747"/>
      <x:c r="C586" s="760"/>
      <x:c r="D586" s="747"/>
      <x:c r="E586" s="747"/>
      <x:c r="F586" s="747"/>
      <x:c r="G586" s="747"/>
      <x:c r="H586" s="747"/>
      <x:c r="I586" s="747"/>
      <x:c r="J586" s="753">
        <x:f>'幕间计算'!E679</x:f>
        <x:v>0</x:v>
      </x:c>
      <x:c r="K586" s="753" t="str">
        <x:f>'幕间计算'!F679</x:f>
        <x:v/>
      </x:c>
    </x:row>
    <x:row r="587" ht="25" customHeight="1">
      <x:c r="A587" s="747"/>
      <x:c r="B587" s="747"/>
      <x:c r="C587" s="760"/>
      <x:c r="D587" s="747"/>
      <x:c r="E587" s="747"/>
      <x:c r="F587" s="747"/>
      <x:c r="G587" s="747"/>
      <x:c r="H587" s="747"/>
      <x:c r="I587" s="747"/>
      <x:c r="J587" s="753">
        <x:f>'幕间计算'!E680</x:f>
        <x:v>0</x:v>
      </x:c>
      <x:c r="K587" s="753" t="str">
        <x:f>'幕间计算'!F680</x:f>
        <x:v/>
      </x:c>
    </x:row>
    <x:row r="588" ht="25" customHeight="1">
      <x:c r="A588" s="747"/>
      <x:c r="B588" s="747"/>
      <x:c r="C588" s="760"/>
      <x:c r="D588" s="747"/>
      <x:c r="E588" s="747"/>
      <x:c r="F588" s="747"/>
      <x:c r="G588" s="747"/>
      <x:c r="H588" s="747"/>
      <x:c r="I588" s="747"/>
      <x:c r="J588" s="753">
        <x:f>'幕间计算'!E681</x:f>
        <x:v>0</x:v>
      </x:c>
      <x:c r="K588" s="753" t="str">
        <x:f>'幕间计算'!F681</x:f>
        <x:v/>
      </x:c>
    </x:row>
    <x:row r="589" ht="25" customHeight="1">
      <x:c r="A589" s="747"/>
      <x:c r="B589" s="747"/>
      <x:c r="C589" s="760"/>
      <x:c r="D589" s="747"/>
      <x:c r="E589" s="747"/>
      <x:c r="F589" s="747"/>
      <x:c r="G589" s="747"/>
      <x:c r="H589" s="747"/>
      <x:c r="I589" s="747"/>
      <x:c r="J589" s="753">
        <x:f>'幕间计算'!E682</x:f>
        <x:v>0</x:v>
      </x:c>
      <x:c r="K589" s="753" t="str">
        <x:f>'幕间计算'!F682</x:f>
        <x:v/>
      </x:c>
    </x:row>
    <x:row r="590" ht="25" customHeight="1">
      <x:c r="A590" s="747"/>
      <x:c r="B590" s="747"/>
      <x:c r="C590" s="760"/>
      <x:c r="D590" s="747"/>
      <x:c r="E590" s="747"/>
      <x:c r="F590" s="747"/>
      <x:c r="G590" s="747"/>
      <x:c r="H590" s="747"/>
      <x:c r="I590" s="747"/>
      <x:c r="J590" s="753">
        <x:f>'幕间计算'!E683</x:f>
        <x:v>0</x:v>
      </x:c>
      <x:c r="K590" s="753" t="str">
        <x:f>'幕间计算'!F683</x:f>
        <x:v/>
      </x:c>
    </x:row>
    <x:row r="591" ht="25" customHeight="1">
      <x:c r="A591" s="747"/>
      <x:c r="B591" s="747"/>
      <x:c r="C591" s="760"/>
      <x:c r="D591" s="747"/>
      <x:c r="E591" s="747"/>
      <x:c r="F591" s="747"/>
      <x:c r="G591" s="747"/>
      <x:c r="H591" s="747"/>
      <x:c r="I591" s="747"/>
      <x:c r="J591" s="753">
        <x:f>'幕间计算'!E684</x:f>
        <x:v>0</x:v>
      </x:c>
      <x:c r="K591" s="753" t="str">
        <x:f>'幕间计算'!F684</x:f>
        <x:v/>
      </x:c>
    </x:row>
    <x:row r="592" ht="25" customHeight="1">
      <x:c r="A592" s="747"/>
      <x:c r="B592" s="747"/>
      <x:c r="C592" s="760"/>
      <x:c r="D592" s="747"/>
      <x:c r="E592" s="747"/>
      <x:c r="F592" s="747"/>
      <x:c r="G592" s="747"/>
      <x:c r="H592" s="747"/>
      <x:c r="I592" s="747"/>
      <x:c r="J592" s="753">
        <x:f>'幕间计算'!E685</x:f>
        <x:v>0</x:v>
      </x:c>
      <x:c r="K592" s="753" t="str">
        <x:f>'幕间计算'!F685</x:f>
        <x:v/>
      </x:c>
    </x:row>
    <x:row r="593" ht="25" customHeight="1">
      <x:c r="A593" s="747"/>
      <x:c r="B593" s="747"/>
      <x:c r="C593" s="760"/>
      <x:c r="D593" s="747"/>
      <x:c r="E593" s="747"/>
      <x:c r="F593" s="747"/>
      <x:c r="G593" s="747"/>
      <x:c r="H593" s="747"/>
      <x:c r="I593" s="747"/>
      <x:c r="J593" s="753">
        <x:f>'幕间计算'!E686</x:f>
        <x:v>0</x:v>
      </x:c>
      <x:c r="K593" s="753" t="str">
        <x:f>'幕间计算'!F686</x:f>
        <x:v/>
      </x:c>
    </x:row>
    <x:row r="594" ht="25" customHeight="1">
      <x:c r="A594" s="747"/>
      <x:c r="B594" s="747"/>
      <x:c r="C594" s="760"/>
      <x:c r="D594" s="747"/>
      <x:c r="E594" s="747"/>
      <x:c r="F594" s="747"/>
      <x:c r="G594" s="747"/>
      <x:c r="H594" s="747"/>
      <x:c r="I594" s="747"/>
      <x:c r="J594" s="753">
        <x:f>'幕间计算'!E687</x:f>
        <x:v>0</x:v>
      </x:c>
      <x:c r="K594" s="753" t="str">
        <x:f>'幕间计算'!F687</x:f>
        <x:v/>
      </x:c>
    </x:row>
    <x:row r="595" ht="25" customHeight="1">
      <x:c r="A595" s="747"/>
      <x:c r="B595" s="747"/>
      <x:c r="C595" s="760"/>
      <x:c r="D595" s="747"/>
      <x:c r="E595" s="747"/>
      <x:c r="F595" s="747"/>
      <x:c r="G595" s="747"/>
      <x:c r="H595" s="747"/>
      <x:c r="I595" s="747"/>
      <x:c r="J595" s="753">
        <x:f>'幕间计算'!E688</x:f>
        <x:v>0</x:v>
      </x:c>
      <x:c r="K595" s="753" t="str">
        <x:f>'幕间计算'!F688</x:f>
        <x:v/>
      </x:c>
    </x:row>
    <x:row r="596" ht="25" customHeight="1">
      <x:c r="A596" s="747"/>
      <x:c r="B596" s="747"/>
      <x:c r="C596" s="760"/>
      <x:c r="D596" s="747"/>
      <x:c r="E596" s="747"/>
      <x:c r="F596" s="747"/>
      <x:c r="G596" s="747"/>
      <x:c r="H596" s="747"/>
      <x:c r="I596" s="747"/>
      <x:c r="J596" s="753">
        <x:f>'幕间计算'!E689</x:f>
        <x:v>0</x:v>
      </x:c>
      <x:c r="K596" s="753" t="str">
        <x:f>'幕间计算'!F689</x:f>
        <x:v/>
      </x:c>
    </x:row>
    <x:row r="597" ht="25" customHeight="1">
      <x:c r="A597" s="747"/>
      <x:c r="B597" s="747"/>
      <x:c r="C597" s="760"/>
      <x:c r="D597" s="747"/>
      <x:c r="E597" s="747"/>
      <x:c r="F597" s="747"/>
      <x:c r="G597" s="747"/>
      <x:c r="H597" s="747"/>
      <x:c r="I597" s="747"/>
      <x:c r="J597" s="753">
        <x:f>'幕间计算'!E690</x:f>
        <x:v>0</x:v>
      </x:c>
      <x:c r="K597" s="753" t="str">
        <x:f>'幕间计算'!F690</x:f>
        <x:v/>
      </x:c>
    </x:row>
    <x:row r="598" ht="25" customHeight="1">
      <x:c r="A598" s="747"/>
      <x:c r="B598" s="747"/>
      <x:c r="C598" s="760"/>
      <x:c r="D598" s="747"/>
      <x:c r="E598" s="747"/>
      <x:c r="F598" s="747"/>
      <x:c r="G598" s="747"/>
      <x:c r="H598" s="747"/>
      <x:c r="I598" s="747"/>
      <x:c r="J598" s="753">
        <x:f>'幕间计算'!E691</x:f>
        <x:v>0</x:v>
      </x:c>
      <x:c r="K598" s="753" t="str">
        <x:f>'幕间计算'!F691</x:f>
        <x:v/>
      </x:c>
    </x:row>
    <x:row r="599" ht="25" customHeight="1">
      <x:c r="A599" s="747"/>
      <x:c r="B599" s="747"/>
      <x:c r="C599" s="760"/>
      <x:c r="D599" s="747"/>
      <x:c r="E599" s="747"/>
      <x:c r="F599" s="747"/>
      <x:c r="G599" s="747"/>
      <x:c r="H599" s="747"/>
      <x:c r="I599" s="747"/>
      <x:c r="J599" s="753">
        <x:f>'幕间计算'!E692</x:f>
        <x:v>0</x:v>
      </x:c>
      <x:c r="K599" s="753" t="str">
        <x:f>'幕间计算'!F692</x:f>
        <x:v/>
      </x:c>
    </x:row>
    <x:row r="600" ht="25" customHeight="1">
      <x:c r="A600" s="747"/>
      <x:c r="B600" s="747"/>
      <x:c r="C600" s="760"/>
      <x:c r="D600" s="747"/>
      <x:c r="E600" s="747"/>
      <x:c r="F600" s="747"/>
      <x:c r="G600" s="747"/>
      <x:c r="H600" s="747"/>
      <x:c r="I600" s="747"/>
      <x:c r="J600" s="753">
        <x:f>'幕间计算'!E693</x:f>
        <x:v>0</x:v>
      </x:c>
      <x:c r="K600" s="753" t="str">
        <x:f>'幕间计算'!F693</x:f>
        <x:v/>
      </x:c>
    </x:row>
    <x:row r="601" ht="25" customHeight="1">
      <x:c r="A601" s="747"/>
      <x:c r="B601" s="747"/>
      <x:c r="C601" s="760"/>
      <x:c r="D601" s="747"/>
      <x:c r="E601" s="747"/>
      <x:c r="F601" s="747"/>
      <x:c r="G601" s="747"/>
      <x:c r="H601" s="747"/>
      <x:c r="I601" s="747"/>
      <x:c r="J601" s="753">
        <x:f>'幕间计算'!E694</x:f>
        <x:v>0</x:v>
      </x:c>
      <x:c r="K601" s="753" t="str">
        <x:f>'幕间计算'!F694</x:f>
        <x:v/>
      </x:c>
    </x:row>
    <x:row r="602" ht="25" customHeight="1">
      <x:c r="A602" s="747"/>
      <x:c r="B602" s="747"/>
      <x:c r="C602" s="760"/>
      <x:c r="D602" s="747"/>
      <x:c r="E602" s="747"/>
      <x:c r="F602" s="747"/>
      <x:c r="G602" s="747"/>
      <x:c r="H602" s="747"/>
      <x:c r="I602" s="747"/>
      <x:c r="J602" s="753">
        <x:f>'幕间计算'!E695</x:f>
        <x:v>0</x:v>
      </x:c>
      <x:c r="K602" s="753" t="str">
        <x:f>'幕间计算'!F695</x:f>
        <x:v/>
      </x:c>
    </x:row>
    <x:row r="603" ht="25" customHeight="1">
      <x:c r="A603" s="747"/>
      <x:c r="B603" s="747"/>
      <x:c r="C603" s="760"/>
      <x:c r="D603" s="747"/>
      <x:c r="E603" s="747"/>
      <x:c r="F603" s="747"/>
      <x:c r="G603" s="747"/>
      <x:c r="H603" s="747"/>
      <x:c r="I603" s="747"/>
      <x:c r="J603" s="753">
        <x:f>'幕间计算'!E696</x:f>
        <x:v>0</x:v>
      </x:c>
      <x:c r="K603" s="753" t="str">
        <x:f>'幕间计算'!F696</x:f>
        <x:v/>
      </x:c>
    </x:row>
    <x:row r="604" ht="25" customHeight="1">
      <x:c r="A604" s="747"/>
      <x:c r="B604" s="747"/>
      <x:c r="C604" s="760"/>
      <x:c r="D604" s="747"/>
      <x:c r="E604" s="747"/>
      <x:c r="F604" s="747"/>
      <x:c r="G604" s="747"/>
      <x:c r="H604" s="747"/>
      <x:c r="I604" s="747"/>
      <x:c r="J604" s="753">
        <x:f>'幕间计算'!E697</x:f>
        <x:v>0</x:v>
      </x:c>
      <x:c r="K604" s="753" t="str">
        <x:f>'幕间计算'!F697</x:f>
        <x:v/>
      </x:c>
    </x:row>
    <x:row r="605" ht="25" customHeight="1">
      <x:c r="A605" s="747"/>
      <x:c r="B605" s="747"/>
      <x:c r="C605" s="760"/>
      <x:c r="D605" s="747"/>
      <x:c r="E605" s="747"/>
      <x:c r="F605" s="747"/>
      <x:c r="G605" s="747"/>
      <x:c r="H605" s="747"/>
      <x:c r="I605" s="747"/>
      <x:c r="J605" s="753">
        <x:f>'幕间计算'!E698</x:f>
        <x:v>0</x:v>
      </x:c>
      <x:c r="K605" s="753" t="str">
        <x:f>'幕间计算'!F698</x:f>
        <x:v/>
      </x:c>
    </x:row>
    <x:row r="606" ht="25" customHeight="1">
      <x:c r="A606" s="747"/>
      <x:c r="B606" s="747"/>
      <x:c r="C606" s="760"/>
      <x:c r="D606" s="747"/>
      <x:c r="E606" s="747"/>
      <x:c r="F606" s="747"/>
      <x:c r="G606" s="747"/>
      <x:c r="H606" s="747"/>
      <x:c r="I606" s="747"/>
      <x:c r="J606" s="753">
        <x:f>'幕间计算'!E699</x:f>
        <x:v>0</x:v>
      </x:c>
      <x:c r="K606" s="753" t="str">
        <x:f>'幕间计算'!F699</x:f>
        <x:v/>
      </x:c>
    </x:row>
    <x:row r="607" ht="25" customHeight="1">
      <x:c r="A607" s="747"/>
      <x:c r="B607" s="747"/>
      <x:c r="C607" s="760"/>
      <x:c r="D607" s="747"/>
      <x:c r="E607" s="747"/>
      <x:c r="F607" s="747"/>
      <x:c r="G607" s="747"/>
      <x:c r="H607" s="747"/>
      <x:c r="I607" s="747"/>
      <x:c r="J607" s="753">
        <x:f>'幕间计算'!E700</x:f>
        <x:v>0</x:v>
      </x:c>
      <x:c r="K607" s="753" t="str">
        <x:f>'幕间计算'!F700</x:f>
        <x:v/>
      </x:c>
    </x:row>
    <x:row r="608" ht="25" customHeight="1">
      <x:c r="A608" s="747"/>
      <x:c r="B608" s="747"/>
      <x:c r="C608" s="760"/>
      <x:c r="D608" s="747"/>
      <x:c r="E608" s="747"/>
      <x:c r="F608" s="747"/>
      <x:c r="G608" s="747"/>
      <x:c r="H608" s="747"/>
      <x:c r="I608" s="747"/>
      <x:c r="J608" s="753">
        <x:f>'幕间计算'!E701</x:f>
        <x:v>0</x:v>
      </x:c>
      <x:c r="K608" s="753" t="str">
        <x:f>'幕间计算'!F701</x:f>
        <x:v/>
      </x:c>
    </x:row>
    <x:row r="609" ht="25" customHeight="1">
      <x:c r="A609" s="747"/>
      <x:c r="B609" s="747"/>
      <x:c r="C609" s="760"/>
      <x:c r="D609" s="747"/>
      <x:c r="E609" s="747"/>
      <x:c r="F609" s="747"/>
      <x:c r="G609" s="747"/>
      <x:c r="H609" s="747"/>
      <x:c r="I609" s="747"/>
      <x:c r="J609" s="753">
        <x:f>'幕间计算'!E702</x:f>
        <x:v>0</x:v>
      </x:c>
      <x:c r="K609" s="753" t="str">
        <x:f>'幕间计算'!F702</x:f>
        <x:v/>
      </x:c>
    </x:row>
    <x:row r="610" ht="25" customHeight="1">
      <x:c r="A610" s="747"/>
      <x:c r="B610" s="747"/>
      <x:c r="C610" s="760"/>
      <x:c r="D610" s="747"/>
      <x:c r="E610" s="747"/>
      <x:c r="F610" s="747"/>
      <x:c r="G610" s="747"/>
      <x:c r="H610" s="747"/>
      <x:c r="I610" s="747"/>
      <x:c r="J610" s="753">
        <x:f>'幕间计算'!E703</x:f>
        <x:v>0</x:v>
      </x:c>
      <x:c r="K610" s="753" t="str">
        <x:f>'幕间计算'!F703</x:f>
        <x:v/>
      </x:c>
    </x:row>
    <x:row r="611" ht="25" customHeight="1">
      <x:c r="A611" s="747"/>
      <x:c r="B611" s="747"/>
      <x:c r="C611" s="760"/>
      <x:c r="D611" s="747"/>
      <x:c r="E611" s="747"/>
      <x:c r="F611" s="747"/>
      <x:c r="G611" s="747"/>
      <x:c r="H611" s="747"/>
      <x:c r="I611" s="747"/>
      <x:c r="J611" s="753">
        <x:f>'幕间计算'!E704</x:f>
        <x:v>0</x:v>
      </x:c>
      <x:c r="K611" s="753" t="str">
        <x:f>'幕间计算'!F704</x:f>
        <x:v/>
      </x:c>
    </x:row>
    <x:row r="612" ht="25" customHeight="1">
      <x:c r="A612" s="747"/>
      <x:c r="B612" s="747"/>
      <x:c r="C612" s="760"/>
      <x:c r="D612" s="747"/>
      <x:c r="E612" s="747"/>
      <x:c r="F612" s="747"/>
      <x:c r="G612" s="747"/>
      <x:c r="H612" s="747"/>
      <x:c r="I612" s="747"/>
      <x:c r="J612" s="753">
        <x:f>'幕间计算'!E705</x:f>
        <x:v>0</x:v>
      </x:c>
      <x:c r="K612" s="753" t="str">
        <x:f>'幕间计算'!F705</x:f>
        <x:v/>
      </x:c>
    </x:row>
    <x:row r="613" ht="25" customHeight="1">
      <x:c r="A613" s="747"/>
      <x:c r="B613" s="747"/>
      <x:c r="C613" s="760"/>
      <x:c r="D613" s="747"/>
      <x:c r="E613" s="747"/>
      <x:c r="F613" s="747"/>
      <x:c r="G613" s="747"/>
      <x:c r="H613" s="747"/>
      <x:c r="I613" s="747"/>
      <x:c r="J613" s="753">
        <x:f>'幕间计算'!E706</x:f>
        <x:v>0</x:v>
      </x:c>
      <x:c r="K613" s="753" t="str">
        <x:f>'幕间计算'!F706</x:f>
        <x:v/>
      </x:c>
    </x:row>
    <x:row r="614" ht="25" customHeight="1">
      <x:c r="A614" s="747"/>
      <x:c r="B614" s="747"/>
      <x:c r="C614" s="760"/>
      <x:c r="D614" s="747"/>
      <x:c r="E614" s="747"/>
      <x:c r="F614" s="747"/>
      <x:c r="G614" s="747"/>
      <x:c r="H614" s="747"/>
      <x:c r="I614" s="747"/>
      <x:c r="J614" s="753">
        <x:f>'幕间计算'!E707</x:f>
        <x:v>0</x:v>
      </x:c>
      <x:c r="K614" s="753" t="str">
        <x:f>'幕间计算'!F707</x:f>
        <x:v/>
      </x:c>
    </x:row>
    <x:row r="615" ht="25" customHeight="1">
      <x:c r="A615" s="747"/>
      <x:c r="B615" s="747"/>
      <x:c r="C615" s="760"/>
      <x:c r="D615" s="747"/>
      <x:c r="E615" s="747"/>
      <x:c r="F615" s="747"/>
      <x:c r="G615" s="747"/>
      <x:c r="H615" s="747"/>
      <x:c r="I615" s="747"/>
      <x:c r="J615" s="753">
        <x:f>'幕间计算'!E708</x:f>
        <x:v>0</x:v>
      </x:c>
      <x:c r="K615" s="753" t="str">
        <x:f>'幕间计算'!F708</x:f>
        <x:v/>
      </x:c>
    </x:row>
    <x:row r="616" ht="25" customHeight="1">
      <x:c r="A616" s="747"/>
      <x:c r="B616" s="747"/>
      <x:c r="C616" s="760"/>
      <x:c r="D616" s="747"/>
      <x:c r="E616" s="747"/>
      <x:c r="F616" s="747"/>
      <x:c r="G616" s="747"/>
      <x:c r="H616" s="747"/>
      <x:c r="I616" s="747"/>
      <x:c r="J616" s="753">
        <x:f>'幕间计算'!E709</x:f>
        <x:v>0</x:v>
      </x:c>
      <x:c r="K616" s="753" t="str">
        <x:f>'幕间计算'!F709</x:f>
        <x:v/>
      </x:c>
    </x:row>
    <x:row r="617" ht="25" customHeight="1">
      <x:c r="A617" s="747"/>
      <x:c r="B617" s="747"/>
      <x:c r="C617" s="760"/>
      <x:c r="D617" s="747"/>
      <x:c r="E617" s="747"/>
      <x:c r="F617" s="747"/>
      <x:c r="G617" s="747"/>
      <x:c r="H617" s="747"/>
      <x:c r="I617" s="747"/>
      <x:c r="J617" s="753">
        <x:f>'幕间计算'!E710</x:f>
        <x:v>0</x:v>
      </x:c>
      <x:c r="K617" s="753" t="str">
        <x:f>'幕间计算'!F710</x:f>
        <x:v/>
      </x:c>
    </x:row>
    <x:row r="618" ht="25" customHeight="1">
      <x:c r="A618" s="747"/>
      <x:c r="B618" s="747"/>
      <x:c r="C618" s="760"/>
      <x:c r="D618" s="747"/>
      <x:c r="E618" s="747"/>
      <x:c r="F618" s="747"/>
      <x:c r="G618" s="747"/>
      <x:c r="H618" s="747"/>
      <x:c r="I618" s="747"/>
      <x:c r="J618" s="753">
        <x:f>'幕间计算'!E711</x:f>
        <x:v>0</x:v>
      </x:c>
      <x:c r="K618" s="753" t="str">
        <x:f>'幕间计算'!F711</x:f>
        <x:v/>
      </x:c>
    </x:row>
    <x:row r="619" ht="25" customHeight="1">
      <x:c r="A619" s="747"/>
      <x:c r="B619" s="747"/>
      <x:c r="C619" s="760"/>
      <x:c r="D619" s="747"/>
      <x:c r="E619" s="747"/>
      <x:c r="F619" s="747"/>
      <x:c r="G619" s="747"/>
      <x:c r="H619" s="747"/>
      <x:c r="I619" s="747"/>
      <x:c r="J619" s="753">
        <x:f>'幕间计算'!E712</x:f>
        <x:v>0</x:v>
      </x:c>
      <x:c r="K619" s="753" t="str">
        <x:f>'幕间计算'!F712</x:f>
        <x:v/>
      </x:c>
    </x:row>
    <x:row r="620" ht="25" customHeight="1">
      <x:c r="A620" s="747"/>
      <x:c r="B620" s="747"/>
      <x:c r="C620" s="760"/>
      <x:c r="D620" s="747"/>
      <x:c r="E620" s="747"/>
      <x:c r="F620" s="747"/>
      <x:c r="G620" s="747"/>
      <x:c r="H620" s="747"/>
      <x:c r="I620" s="747"/>
      <x:c r="J620" s="753">
        <x:f>'幕间计算'!E713</x:f>
        <x:v>0</x:v>
      </x:c>
      <x:c r="K620" s="753" t="str">
        <x:f>'幕间计算'!F713</x:f>
        <x:v/>
      </x:c>
    </x:row>
    <x:row r="621" ht="25" customHeight="1">
      <x:c r="A621" s="747"/>
      <x:c r="B621" s="747"/>
      <x:c r="C621" s="760"/>
      <x:c r="D621" s="747"/>
      <x:c r="E621" s="747"/>
      <x:c r="F621" s="747"/>
      <x:c r="G621" s="747"/>
      <x:c r="H621" s="747"/>
      <x:c r="I621" s="747"/>
      <x:c r="J621" s="753">
        <x:f>'幕间计算'!E714</x:f>
        <x:v>0</x:v>
      </x:c>
      <x:c r="K621" s="753" t="str">
        <x:f>'幕间计算'!F714</x:f>
        <x:v/>
      </x:c>
    </x:row>
    <x:row r="622" ht="25" customHeight="1">
      <x:c r="A622" s="747"/>
      <x:c r="B622" s="747"/>
      <x:c r="C622" s="760"/>
      <x:c r="D622" s="747"/>
      <x:c r="E622" s="747"/>
      <x:c r="F622" s="747"/>
      <x:c r="G622" s="747"/>
      <x:c r="H622" s="747"/>
      <x:c r="I622" s="747"/>
      <x:c r="J622" s="753">
        <x:f>'幕间计算'!E715</x:f>
        <x:v>0</x:v>
      </x:c>
      <x:c r="K622" s="753" t="str">
        <x:f>'幕间计算'!F715</x:f>
        <x:v/>
      </x:c>
    </x:row>
    <x:row r="623" ht="25" customHeight="1">
      <x:c r="A623" s="747"/>
      <x:c r="B623" s="747"/>
      <x:c r="C623" s="760"/>
      <x:c r="D623" s="747"/>
      <x:c r="E623" s="747"/>
      <x:c r="F623" s="747"/>
      <x:c r="G623" s="747"/>
      <x:c r="H623" s="747"/>
      <x:c r="I623" s="747"/>
      <x:c r="J623" s="753">
        <x:f>'幕间计算'!E716</x:f>
        <x:v>0</x:v>
      </x:c>
      <x:c r="K623" s="753" t="str">
        <x:f>'幕间计算'!F716</x:f>
        <x:v/>
      </x:c>
    </x:row>
    <x:row r="624" ht="25" customHeight="1">
      <x:c r="A624" s="747"/>
      <x:c r="B624" s="747"/>
      <x:c r="C624" s="760"/>
      <x:c r="D624" s="747"/>
      <x:c r="E624" s="747"/>
      <x:c r="F624" s="747"/>
      <x:c r="G624" s="747"/>
      <x:c r="H624" s="747"/>
      <x:c r="I624" s="747"/>
      <x:c r="J624" s="753">
        <x:f>'幕间计算'!E717</x:f>
        <x:v>0</x:v>
      </x:c>
      <x:c r="K624" s="753" t="str">
        <x:f>'幕间计算'!F717</x:f>
        <x:v/>
      </x:c>
    </x:row>
    <x:row r="625" ht="25" customHeight="1">
      <x:c r="A625" s="747"/>
      <x:c r="B625" s="747"/>
      <x:c r="C625" s="760"/>
      <x:c r="D625" s="747"/>
      <x:c r="E625" s="747"/>
      <x:c r="F625" s="747"/>
      <x:c r="G625" s="747"/>
      <x:c r="H625" s="747"/>
      <x:c r="I625" s="747"/>
      <x:c r="J625" s="753">
        <x:f>'幕间计算'!E718</x:f>
        <x:v>0</x:v>
      </x:c>
      <x:c r="K625" s="753" t="str">
        <x:f>'幕间计算'!F718</x:f>
        <x:v/>
      </x:c>
    </x:row>
    <x:row r="626" ht="25" customHeight="1">
      <x:c r="A626" s="747"/>
      <x:c r="B626" s="747"/>
      <x:c r="C626" s="760"/>
      <x:c r="D626" s="747"/>
      <x:c r="E626" s="747"/>
      <x:c r="F626" s="747"/>
      <x:c r="G626" s="747"/>
      <x:c r="H626" s="747"/>
      <x:c r="I626" s="747"/>
      <x:c r="J626" s="753">
        <x:f>'幕间计算'!E719</x:f>
        <x:v>0</x:v>
      </x:c>
      <x:c r="K626" s="753" t="str">
        <x:f>'幕间计算'!F719</x:f>
        <x:v/>
      </x:c>
    </x:row>
    <x:row r="627" ht="25" customHeight="1">
      <x:c r="A627" s="747"/>
      <x:c r="B627" s="747"/>
      <x:c r="C627" s="760"/>
      <x:c r="D627" s="747"/>
      <x:c r="E627" s="747"/>
      <x:c r="F627" s="747"/>
      <x:c r="G627" s="747"/>
      <x:c r="H627" s="747"/>
      <x:c r="I627" s="747"/>
      <x:c r="J627" s="753">
        <x:f>'幕间计算'!E720</x:f>
        <x:v>0</x:v>
      </x:c>
      <x:c r="K627" s="753" t="str">
        <x:f>'幕间计算'!F720</x:f>
        <x:v/>
      </x:c>
    </x:row>
    <x:row r="628" ht="25" customHeight="1">
      <x:c r="A628" s="747"/>
      <x:c r="B628" s="747"/>
      <x:c r="C628" s="760"/>
      <x:c r="D628" s="747"/>
      <x:c r="E628" s="747"/>
      <x:c r="F628" s="747"/>
      <x:c r="G628" s="747"/>
      <x:c r="H628" s="747"/>
      <x:c r="I628" s="747"/>
      <x:c r="J628" s="753">
        <x:f>'幕间计算'!E721</x:f>
        <x:v>0</x:v>
      </x:c>
      <x:c r="K628" s="753" t="str">
        <x:f>'幕间计算'!F721</x:f>
        <x:v/>
      </x:c>
    </x:row>
    <x:row r="629" ht="25" customHeight="1">
      <x:c r="A629" s="747"/>
      <x:c r="B629" s="747"/>
      <x:c r="C629" s="760"/>
      <x:c r="D629" s="747"/>
      <x:c r="E629" s="747"/>
      <x:c r="F629" s="747"/>
      <x:c r="G629" s="747"/>
      <x:c r="H629" s="747"/>
      <x:c r="I629" s="747"/>
      <x:c r="J629" s="753">
        <x:f>'幕间计算'!E722</x:f>
        <x:v>0</x:v>
      </x:c>
      <x:c r="K629" s="753" t="str">
        <x:f>'幕间计算'!F722</x:f>
        <x:v/>
      </x:c>
    </x:row>
    <x:row r="630" ht="25" customHeight="1">
      <x:c r="A630" s="747"/>
      <x:c r="B630" s="747"/>
      <x:c r="C630" s="760"/>
      <x:c r="D630" s="747"/>
      <x:c r="E630" s="747"/>
      <x:c r="F630" s="747"/>
      <x:c r="G630" s="747"/>
      <x:c r="H630" s="747"/>
      <x:c r="I630" s="747"/>
      <x:c r="J630" s="753">
        <x:f>'幕间计算'!E723</x:f>
        <x:v>0</x:v>
      </x:c>
      <x:c r="K630" s="753" t="str">
        <x:f>'幕间计算'!F723</x:f>
        <x:v/>
      </x:c>
    </x:row>
    <x:row r="631" ht="25" customHeight="1">
      <x:c r="A631" s="747"/>
      <x:c r="B631" s="747"/>
      <x:c r="C631" s="760"/>
      <x:c r="D631" s="747"/>
      <x:c r="E631" s="747"/>
      <x:c r="F631" s="747"/>
      <x:c r="G631" s="747"/>
      <x:c r="H631" s="747"/>
      <x:c r="I631" s="747"/>
      <x:c r="J631" s="753">
        <x:f>'幕间计算'!E724</x:f>
        <x:v>0</x:v>
      </x:c>
      <x:c r="K631" s="753" t="str">
        <x:f>'幕间计算'!F724</x:f>
        <x:v/>
      </x:c>
    </x:row>
    <x:row r="632" ht="25" customHeight="1">
      <x:c r="A632" s="747"/>
      <x:c r="B632" s="747"/>
      <x:c r="C632" s="760"/>
      <x:c r="D632" s="747"/>
      <x:c r="E632" s="747"/>
      <x:c r="F632" s="747"/>
      <x:c r="G632" s="747"/>
      <x:c r="H632" s="747"/>
      <x:c r="I632" s="747"/>
      <x:c r="J632" s="753">
        <x:f>'幕间计算'!E725</x:f>
        <x:v>0</x:v>
      </x:c>
      <x:c r="K632" s="753" t="str">
        <x:f>'幕间计算'!F725</x:f>
        <x:v/>
      </x:c>
    </x:row>
    <x:row r="633" ht="25" customHeight="1">
      <x:c r="A633" s="747"/>
      <x:c r="B633" s="747"/>
      <x:c r="C633" s="760"/>
      <x:c r="D633" s="747"/>
      <x:c r="E633" s="747"/>
      <x:c r="F633" s="747"/>
      <x:c r="G633" s="747"/>
      <x:c r="H633" s="747"/>
      <x:c r="I633" s="747"/>
      <x:c r="J633" s="753">
        <x:f>'幕间计算'!E726</x:f>
        <x:v>0</x:v>
      </x:c>
      <x:c r="K633" s="753" t="str">
        <x:f>'幕间计算'!F726</x:f>
        <x:v/>
      </x:c>
    </x:row>
    <x:row r="634" ht="25" customHeight="1">
      <x:c r="A634" s="747"/>
      <x:c r="B634" s="747"/>
      <x:c r="C634" s="760"/>
      <x:c r="D634" s="747"/>
      <x:c r="E634" s="747"/>
      <x:c r="F634" s="747"/>
      <x:c r="G634" s="747"/>
      <x:c r="H634" s="747"/>
      <x:c r="I634" s="747"/>
      <x:c r="J634" s="753">
        <x:f>'幕间计算'!E727</x:f>
        <x:v>0</x:v>
      </x:c>
      <x:c r="K634" s="753" t="str">
        <x:f>'幕间计算'!F727</x:f>
        <x:v/>
      </x:c>
    </x:row>
    <x:row r="635" ht="25" customHeight="1">
      <x:c r="A635" s="747"/>
      <x:c r="B635" s="747"/>
      <x:c r="C635" s="760"/>
      <x:c r="D635" s="747"/>
      <x:c r="E635" s="747"/>
      <x:c r="F635" s="747"/>
      <x:c r="G635" s="747"/>
      <x:c r="H635" s="747"/>
      <x:c r="I635" s="747"/>
      <x:c r="J635" s="753">
        <x:f>'幕间计算'!E728</x:f>
        <x:v>0</x:v>
      </x:c>
      <x:c r="K635" s="753" t="str">
        <x:f>'幕间计算'!F728</x:f>
        <x:v/>
      </x:c>
    </x:row>
    <x:row r="636" ht="25" customHeight="1">
      <x:c r="A636" s="747"/>
      <x:c r="B636" s="747"/>
      <x:c r="C636" s="760"/>
      <x:c r="D636" s="747"/>
      <x:c r="E636" s="747"/>
      <x:c r="F636" s="747"/>
      <x:c r="G636" s="747"/>
      <x:c r="H636" s="747"/>
      <x:c r="I636" s="747"/>
      <x:c r="J636" s="753">
        <x:f>'幕间计算'!E729</x:f>
        <x:v>0</x:v>
      </x:c>
      <x:c r="K636" s="753" t="str">
        <x:f>'幕间计算'!F729</x:f>
        <x:v/>
      </x:c>
    </x:row>
    <x:row r="637" ht="25" customHeight="1">
      <x:c r="A637" s="747"/>
      <x:c r="B637" s="747"/>
      <x:c r="C637" s="760"/>
      <x:c r="D637" s="747"/>
      <x:c r="E637" s="747"/>
      <x:c r="F637" s="747"/>
      <x:c r="G637" s="747"/>
      <x:c r="H637" s="747"/>
      <x:c r="I637" s="747"/>
      <x:c r="J637" s="753">
        <x:f>'幕间计算'!E730</x:f>
        <x:v>0</x:v>
      </x:c>
      <x:c r="K637" s="753" t="str">
        <x:f>'幕间计算'!F730</x:f>
        <x:v/>
      </x:c>
    </x:row>
    <x:row r="638" ht="25" customHeight="1">
      <x:c r="A638" s="747"/>
      <x:c r="B638" s="747"/>
      <x:c r="C638" s="760"/>
      <x:c r="D638" s="747"/>
      <x:c r="E638" s="747"/>
      <x:c r="F638" s="747"/>
      <x:c r="G638" s="747"/>
      <x:c r="H638" s="747"/>
      <x:c r="I638" s="747"/>
      <x:c r="J638" s="753">
        <x:f>'幕间计算'!E731</x:f>
        <x:v>0</x:v>
      </x:c>
      <x:c r="K638" s="753" t="str">
        <x:f>'幕间计算'!F731</x:f>
        <x:v/>
      </x:c>
    </x:row>
    <x:row r="639" ht="25" customHeight="1">
      <x:c r="A639" s="747"/>
      <x:c r="B639" s="747"/>
      <x:c r="C639" s="760"/>
      <x:c r="D639" s="747"/>
      <x:c r="E639" s="747"/>
      <x:c r="F639" s="747"/>
      <x:c r="G639" s="747"/>
      <x:c r="H639" s="747"/>
      <x:c r="I639" s="747"/>
      <x:c r="J639" s="753">
        <x:f>'幕间计算'!E732</x:f>
        <x:v>0</x:v>
      </x:c>
      <x:c r="K639" s="753" t="str">
        <x:f>'幕间计算'!F732</x:f>
        <x:v/>
      </x:c>
    </x:row>
    <x:row r="640" ht="25" customHeight="1">
      <x:c r="A640" s="747"/>
      <x:c r="B640" s="747"/>
      <x:c r="C640" s="760"/>
      <x:c r="D640" s="747"/>
      <x:c r="E640" s="747"/>
      <x:c r="F640" s="747"/>
      <x:c r="G640" s="747"/>
      <x:c r="H640" s="747"/>
      <x:c r="I640" s="747"/>
      <x:c r="J640" s="753">
        <x:f>'幕间计算'!E733</x:f>
        <x:v>0</x:v>
      </x:c>
      <x:c r="K640" s="753" t="str">
        <x:f>'幕间计算'!F733</x:f>
        <x:v/>
      </x:c>
    </x:row>
    <x:row r="641" ht="25" customHeight="1">
      <x:c r="A641" s="747"/>
      <x:c r="B641" s="747"/>
      <x:c r="C641" s="760"/>
      <x:c r="D641" s="747"/>
      <x:c r="E641" s="747"/>
      <x:c r="F641" s="747"/>
      <x:c r="G641" s="747"/>
      <x:c r="H641" s="747"/>
      <x:c r="I641" s="747"/>
      <x:c r="J641" s="753">
        <x:f>'幕间计算'!E734</x:f>
        <x:v>0</x:v>
      </x:c>
      <x:c r="K641" s="753" t="str">
        <x:f>'幕间计算'!F734</x:f>
        <x:v/>
      </x:c>
    </x:row>
    <x:row r="642" ht="25" customHeight="1">
      <x:c r="A642" s="747"/>
      <x:c r="B642" s="747"/>
      <x:c r="C642" s="760"/>
      <x:c r="D642" s="747"/>
      <x:c r="E642" s="747"/>
      <x:c r="F642" s="747"/>
      <x:c r="G642" s="747"/>
      <x:c r="H642" s="747"/>
      <x:c r="I642" s="747"/>
      <x:c r="J642" s="753">
        <x:f>'幕间计算'!E735</x:f>
        <x:v>0</x:v>
      </x:c>
      <x:c r="K642" s="753" t="str">
        <x:f>'幕间计算'!F735</x:f>
        <x:v/>
      </x:c>
    </x:row>
    <x:row r="643" ht="25" customHeight="1">
      <x:c r="A643" s="747"/>
      <x:c r="B643" s="747"/>
      <x:c r="C643" s="760"/>
      <x:c r="D643" s="747"/>
      <x:c r="E643" s="747"/>
      <x:c r="F643" s="747"/>
      <x:c r="G643" s="747"/>
      <x:c r="H643" s="747"/>
      <x:c r="I643" s="747"/>
      <x:c r="J643" s="753">
        <x:f>'幕间计算'!E736</x:f>
        <x:v>0</x:v>
      </x:c>
      <x:c r="K643" s="753" t="str">
        <x:f>'幕间计算'!F736</x:f>
        <x:v/>
      </x:c>
    </x:row>
    <x:row r="644" ht="25" customHeight="1">
      <x:c r="A644" s="747"/>
      <x:c r="B644" s="747"/>
      <x:c r="C644" s="760"/>
      <x:c r="D644" s="747"/>
      <x:c r="E644" s="747"/>
      <x:c r="F644" s="747"/>
      <x:c r="G644" s="747"/>
      <x:c r="H644" s="747"/>
      <x:c r="I644" s="747"/>
      <x:c r="J644" s="753">
        <x:f>'幕间计算'!E737</x:f>
        <x:v>0</x:v>
      </x:c>
      <x:c r="K644" s="753" t="str">
        <x:f>'幕间计算'!F737</x:f>
        <x:v/>
      </x:c>
    </x:row>
    <x:row r="645" ht="25" customHeight="1">
      <x:c r="A645" s="747"/>
      <x:c r="B645" s="747"/>
      <x:c r="C645" s="760"/>
      <x:c r="D645" s="747"/>
      <x:c r="E645" s="747"/>
      <x:c r="F645" s="747"/>
      <x:c r="G645" s="747"/>
      <x:c r="H645" s="747"/>
      <x:c r="I645" s="747"/>
      <x:c r="J645" s="753">
        <x:f>'幕间计算'!E738</x:f>
        <x:v>0</x:v>
      </x:c>
      <x:c r="K645" s="753" t="str">
        <x:f>'幕间计算'!F738</x:f>
        <x:v/>
      </x:c>
    </x:row>
    <x:row r="646" ht="25" customHeight="1">
      <x:c r="A646" s="747"/>
      <x:c r="B646" s="747"/>
      <x:c r="C646" s="760"/>
      <x:c r="D646" s="747"/>
      <x:c r="E646" s="747"/>
      <x:c r="F646" s="747"/>
      <x:c r="G646" s="747"/>
      <x:c r="H646" s="747"/>
      <x:c r="I646" s="747"/>
      <x:c r="J646" s="753">
        <x:f>'幕间计算'!E739</x:f>
        <x:v>0</x:v>
      </x:c>
      <x:c r="K646" s="753" t="str">
        <x:f>'幕间计算'!F739</x:f>
        <x:v/>
      </x:c>
    </x:row>
    <x:row r="647" ht="25" customHeight="1">
      <x:c r="A647" s="747"/>
      <x:c r="B647" s="747"/>
      <x:c r="C647" s="760"/>
      <x:c r="D647" s="747"/>
      <x:c r="E647" s="747"/>
      <x:c r="F647" s="747"/>
      <x:c r="G647" s="747"/>
      <x:c r="H647" s="747"/>
      <x:c r="I647" s="747"/>
      <x:c r="J647" s="753">
        <x:f>'幕间计算'!E740</x:f>
        <x:v>0</x:v>
      </x:c>
      <x:c r="K647" s="753" t="str">
        <x:f>'幕间计算'!F740</x:f>
        <x:v/>
      </x:c>
    </x:row>
    <x:row r="648" ht="25" customHeight="1">
      <x:c r="A648" s="747"/>
      <x:c r="B648" s="747"/>
      <x:c r="C648" s="760"/>
      <x:c r="D648" s="747"/>
      <x:c r="E648" s="747"/>
      <x:c r="F648" s="747"/>
      <x:c r="G648" s="747"/>
      <x:c r="H648" s="747"/>
      <x:c r="I648" s="747"/>
      <x:c r="J648" s="753">
        <x:f>'幕间计算'!E741</x:f>
        <x:v>0</x:v>
      </x:c>
      <x:c r="K648" s="753" t="str">
        <x:f>'幕间计算'!F741</x:f>
        <x:v/>
      </x:c>
    </x:row>
    <x:row r="649" ht="25" customHeight="1">
      <x:c r="A649" s="747"/>
      <x:c r="B649" s="747"/>
      <x:c r="C649" s="760"/>
      <x:c r="D649" s="747"/>
      <x:c r="E649" s="747"/>
      <x:c r="F649" s="747"/>
      <x:c r="G649" s="747"/>
      <x:c r="H649" s="747"/>
      <x:c r="I649" s="747"/>
      <x:c r="J649" s="753">
        <x:f>'幕间计算'!E742</x:f>
        <x:v>0</x:v>
      </x:c>
      <x:c r="K649" s="753" t="str">
        <x:f>'幕间计算'!F742</x:f>
        <x:v/>
      </x:c>
    </x:row>
    <x:row r="650" ht="25" customHeight="1">
      <x:c r="A650" s="747"/>
      <x:c r="B650" s="747"/>
      <x:c r="C650" s="760"/>
      <x:c r="D650" s="747"/>
      <x:c r="E650" s="747"/>
      <x:c r="F650" s="747"/>
      <x:c r="G650" s="747"/>
      <x:c r="H650" s="747"/>
      <x:c r="I650" s="747"/>
      <x:c r="J650" s="753">
        <x:f>'幕间计算'!E743</x:f>
        <x:v>0</x:v>
      </x:c>
      <x:c r="K650" s="753" t="str">
        <x:f>'幕间计算'!F743</x:f>
        <x:v/>
      </x:c>
    </x:row>
    <x:row r="651" ht="25" customHeight="1">
      <x:c r="A651" s="747"/>
      <x:c r="B651" s="747"/>
      <x:c r="C651" s="760"/>
      <x:c r="D651" s="747"/>
      <x:c r="E651" s="747"/>
      <x:c r="F651" s="747"/>
      <x:c r="G651" s="747"/>
      <x:c r="H651" s="747"/>
      <x:c r="I651" s="747"/>
      <x:c r="J651" s="753">
        <x:f>'幕间计算'!E744</x:f>
        <x:v>0</x:v>
      </x:c>
      <x:c r="K651" s="753" t="str">
        <x:f>'幕间计算'!F744</x:f>
        <x:v/>
      </x:c>
    </x:row>
    <x:row r="652" ht="25" customHeight="1">
      <x:c r="A652" s="747"/>
      <x:c r="B652" s="747"/>
      <x:c r="C652" s="760"/>
      <x:c r="D652" s="747"/>
      <x:c r="E652" s="747"/>
      <x:c r="F652" s="747"/>
      <x:c r="G652" s="747"/>
      <x:c r="H652" s="747"/>
      <x:c r="I652" s="747"/>
      <x:c r="J652" s="753">
        <x:f>'幕间计算'!E745</x:f>
        <x:v>0</x:v>
      </x:c>
      <x:c r="K652" s="753" t="str">
        <x:f>'幕间计算'!F745</x:f>
        <x:v/>
      </x:c>
    </x:row>
    <x:row r="653" ht="25" customHeight="1">
      <x:c r="A653" s="747"/>
      <x:c r="B653" s="747"/>
      <x:c r="C653" s="760"/>
      <x:c r="D653" s="747"/>
      <x:c r="E653" s="747"/>
      <x:c r="F653" s="747"/>
      <x:c r="G653" s="747"/>
      <x:c r="H653" s="747"/>
      <x:c r="I653" s="747"/>
      <x:c r="J653" s="753">
        <x:f>'幕间计算'!E746</x:f>
        <x:v>0</x:v>
      </x:c>
      <x:c r="K653" s="753" t="str">
        <x:f>'幕间计算'!F746</x:f>
        <x:v/>
      </x:c>
    </x:row>
    <x:row r="654" ht="25" customHeight="1">
      <x:c r="A654" s="747"/>
      <x:c r="B654" s="747"/>
      <x:c r="C654" s="760"/>
      <x:c r="D654" s="747"/>
      <x:c r="E654" s="747"/>
      <x:c r="F654" s="747"/>
      <x:c r="G654" s="747"/>
      <x:c r="H654" s="747"/>
      <x:c r="I654" s="747"/>
      <x:c r="J654" s="753">
        <x:f>'幕间计算'!E747</x:f>
        <x:v>0</x:v>
      </x:c>
      <x:c r="K654" s="753" t="str">
        <x:f>'幕间计算'!F747</x:f>
        <x:v/>
      </x:c>
    </x:row>
    <x:row r="655" ht="25" customHeight="1">
      <x:c r="A655" s="747"/>
      <x:c r="B655" s="747"/>
      <x:c r="C655" s="760"/>
      <x:c r="D655" s="747"/>
      <x:c r="E655" s="747"/>
      <x:c r="F655" s="747"/>
      <x:c r="G655" s="747"/>
      <x:c r="H655" s="747"/>
      <x:c r="I655" s="747"/>
      <x:c r="J655" s="753">
        <x:f>'幕间计算'!E748</x:f>
        <x:v>0</x:v>
      </x:c>
      <x:c r="K655" s="753" t="str">
        <x:f>'幕间计算'!F748</x:f>
        <x:v/>
      </x:c>
    </x:row>
    <x:row r="656" ht="25" customHeight="1">
      <x:c r="A656" s="747"/>
      <x:c r="B656" s="747"/>
      <x:c r="C656" s="760"/>
      <x:c r="D656" s="747"/>
      <x:c r="E656" s="747"/>
      <x:c r="F656" s="747"/>
      <x:c r="G656" s="747"/>
      <x:c r="H656" s="747"/>
      <x:c r="I656" s="747"/>
      <x:c r="J656" s="753">
        <x:f>'幕间计算'!E749</x:f>
        <x:v>0</x:v>
      </x:c>
      <x:c r="K656" s="753" t="str">
        <x:f>'幕间计算'!F749</x:f>
        <x:v/>
      </x:c>
    </x:row>
    <x:row r="657" ht="25" customHeight="1">
      <x:c r="A657" s="747"/>
      <x:c r="B657" s="747"/>
      <x:c r="C657" s="760"/>
      <x:c r="D657" s="747"/>
      <x:c r="E657" s="747"/>
      <x:c r="F657" s="747"/>
      <x:c r="G657" s="747"/>
      <x:c r="H657" s="747"/>
      <x:c r="I657" s="747"/>
      <x:c r="J657" s="753">
        <x:f>'幕间计算'!E750</x:f>
        <x:v>0</x:v>
      </x:c>
      <x:c r="K657" s="753" t="str">
        <x:f>'幕间计算'!F750</x:f>
        <x:v/>
      </x:c>
    </x:row>
    <x:row r="658" ht="25" customHeight="1">
      <x:c r="A658" s="747"/>
      <x:c r="B658" s="747"/>
      <x:c r="C658" s="760"/>
      <x:c r="D658" s="747"/>
      <x:c r="E658" s="747"/>
      <x:c r="F658" s="747"/>
      <x:c r="G658" s="747"/>
      <x:c r="H658" s="747"/>
      <x:c r="I658" s="747"/>
      <x:c r="J658" s="753">
        <x:f>'幕间计算'!E751</x:f>
        <x:v>0</x:v>
      </x:c>
      <x:c r="K658" s="753" t="str">
        <x:f>'幕间计算'!F751</x:f>
        <x:v/>
      </x:c>
    </x:row>
    <x:row r="659" ht="25" customHeight="1">
      <x:c r="A659" s="747"/>
      <x:c r="B659" s="747"/>
      <x:c r="C659" s="760"/>
      <x:c r="D659" s="747"/>
      <x:c r="E659" s="747"/>
      <x:c r="F659" s="747"/>
      <x:c r="G659" s="747"/>
      <x:c r="H659" s="747"/>
      <x:c r="I659" s="747"/>
      <x:c r="J659" s="753">
        <x:f>'幕间计算'!E752</x:f>
        <x:v>0</x:v>
      </x:c>
      <x:c r="K659" s="753" t="str">
        <x:f>'幕间计算'!F752</x:f>
        <x:v/>
      </x:c>
    </x:row>
    <x:row r="660" ht="25" customHeight="1">
      <x:c r="A660" s="747"/>
      <x:c r="B660" s="747"/>
      <x:c r="C660" s="760"/>
      <x:c r="D660" s="747"/>
      <x:c r="E660" s="747"/>
      <x:c r="F660" s="747"/>
      <x:c r="G660" s="747"/>
      <x:c r="H660" s="747"/>
      <x:c r="I660" s="747"/>
      <x:c r="J660" s="753">
        <x:f>'幕间计算'!E753</x:f>
        <x:v>0</x:v>
      </x:c>
      <x:c r="K660" s="753" t="str">
        <x:f>'幕间计算'!F753</x:f>
        <x:v/>
      </x:c>
    </x:row>
    <x:row r="661" ht="25" customHeight="1">
      <x:c r="A661" s="747"/>
      <x:c r="B661" s="747"/>
      <x:c r="C661" s="760"/>
      <x:c r="D661" s="747"/>
      <x:c r="E661" s="747"/>
      <x:c r="F661" s="747"/>
      <x:c r="G661" s="747"/>
      <x:c r="H661" s="747"/>
      <x:c r="I661" s="747"/>
      <x:c r="J661" s="753">
        <x:f>'幕间计算'!E754</x:f>
        <x:v>0</x:v>
      </x:c>
      <x:c r="K661" s="753" t="str">
        <x:f>'幕间计算'!F754</x:f>
        <x:v/>
      </x:c>
    </x:row>
    <x:row r="662" ht="25" customHeight="1">
      <x:c r="A662" s="747"/>
      <x:c r="B662" s="747"/>
      <x:c r="C662" s="760"/>
      <x:c r="D662" s="747"/>
      <x:c r="E662" s="747"/>
      <x:c r="F662" s="747"/>
      <x:c r="G662" s="747"/>
      <x:c r="H662" s="747"/>
      <x:c r="I662" s="747"/>
      <x:c r="J662" s="753">
        <x:f>'幕间计算'!E755</x:f>
        <x:v>0</x:v>
      </x:c>
      <x:c r="K662" s="753" t="str">
        <x:f>'幕间计算'!F755</x:f>
        <x:v/>
      </x:c>
    </x:row>
    <x:row r="663" ht="25" customHeight="1">
      <x:c r="A663" s="747"/>
      <x:c r="B663" s="747"/>
      <x:c r="C663" s="760"/>
      <x:c r="D663" s="747"/>
      <x:c r="E663" s="747"/>
      <x:c r="F663" s="747"/>
      <x:c r="G663" s="747"/>
      <x:c r="H663" s="747"/>
      <x:c r="I663" s="747"/>
      <x:c r="J663" s="753">
        <x:f>'幕间计算'!E756</x:f>
        <x:v>0</x:v>
      </x:c>
      <x:c r="K663" s="753" t="str">
        <x:f>'幕间计算'!F756</x:f>
        <x:v/>
      </x:c>
    </x:row>
    <x:row r="664" ht="25" customHeight="1">
      <x:c r="A664" s="747"/>
      <x:c r="B664" s="747"/>
      <x:c r="C664" s="760"/>
      <x:c r="D664" s="747"/>
      <x:c r="E664" s="747"/>
      <x:c r="F664" s="747"/>
      <x:c r="G664" s="747"/>
      <x:c r="H664" s="747"/>
      <x:c r="I664" s="747"/>
      <x:c r="J664" s="753">
        <x:f>'幕间计算'!E757</x:f>
        <x:v>0</x:v>
      </x:c>
      <x:c r="K664" s="753" t="str">
        <x:f>'幕间计算'!F757</x:f>
        <x:v/>
      </x:c>
    </x:row>
    <x:row r="665" ht="25" customHeight="1">
      <x:c r="A665" s="747"/>
      <x:c r="B665" s="747"/>
      <x:c r="C665" s="760"/>
      <x:c r="D665" s="747"/>
      <x:c r="E665" s="747"/>
      <x:c r="F665" s="747"/>
      <x:c r="G665" s="747"/>
      <x:c r="H665" s="747"/>
      <x:c r="I665" s="747"/>
      <x:c r="J665" s="753">
        <x:f>'幕间计算'!E758</x:f>
        <x:v>0</x:v>
      </x:c>
      <x:c r="K665" s="753" t="str">
        <x:f>'幕间计算'!F758</x:f>
        <x:v/>
      </x:c>
    </x:row>
    <x:row r="666" ht="25" customHeight="1">
      <x:c r="A666" s="747"/>
      <x:c r="B666" s="747"/>
      <x:c r="C666" s="760"/>
      <x:c r="D666" s="747"/>
      <x:c r="E666" s="747"/>
      <x:c r="F666" s="747"/>
      <x:c r="G666" s="747"/>
      <x:c r="H666" s="747"/>
      <x:c r="I666" s="747"/>
      <x:c r="J666" s="753">
        <x:f>'幕间计算'!E759</x:f>
        <x:v>0</x:v>
      </x:c>
      <x:c r="K666" s="753" t="str">
        <x:f>'幕间计算'!F759</x:f>
        <x:v/>
      </x:c>
    </x:row>
    <x:row r="667" ht="25" customHeight="1">
      <x:c r="A667" s="747"/>
      <x:c r="B667" s="747"/>
      <x:c r="C667" s="760"/>
      <x:c r="D667" s="747"/>
      <x:c r="E667" s="747"/>
      <x:c r="F667" s="747"/>
      <x:c r="G667" s="747"/>
      <x:c r="H667" s="747"/>
      <x:c r="I667" s="747"/>
      <x:c r="J667" s="753">
        <x:f>'幕间计算'!E760</x:f>
        <x:v>0</x:v>
      </x:c>
      <x:c r="K667" s="753" t="str">
        <x:f>'幕间计算'!F760</x:f>
        <x:v/>
      </x:c>
    </x:row>
    <x:row r="668" ht="25" customHeight="1">
      <x:c r="A668" s="747"/>
      <x:c r="B668" s="747"/>
      <x:c r="C668" s="760"/>
      <x:c r="D668" s="747"/>
      <x:c r="E668" s="747"/>
      <x:c r="F668" s="747"/>
      <x:c r="G668" s="747"/>
      <x:c r="H668" s="747"/>
      <x:c r="I668" s="747"/>
      <x:c r="J668" s="753">
        <x:f>'幕间计算'!E761</x:f>
        <x:v>0</x:v>
      </x:c>
      <x:c r="K668" s="753" t="str">
        <x:f>'幕间计算'!F761</x:f>
        <x:v/>
      </x:c>
    </x:row>
    <x:row r="669" ht="25" customHeight="1">
      <x:c r="A669" s="747"/>
      <x:c r="B669" s="747"/>
      <x:c r="C669" s="760"/>
      <x:c r="D669" s="747"/>
      <x:c r="E669" s="747"/>
      <x:c r="F669" s="747"/>
      <x:c r="G669" s="747"/>
      <x:c r="H669" s="747"/>
      <x:c r="I669" s="747"/>
      <x:c r="J669" s="753">
        <x:f>'幕间计算'!E762</x:f>
        <x:v>0</x:v>
      </x:c>
      <x:c r="K669" s="753" t="str">
        <x:f>'幕间计算'!F762</x:f>
        <x:v/>
      </x:c>
    </x:row>
    <x:row r="670" ht="25" customHeight="1">
      <x:c r="A670" s="747"/>
      <x:c r="B670" s="747"/>
      <x:c r="C670" s="760"/>
      <x:c r="D670" s="747"/>
      <x:c r="E670" s="747"/>
      <x:c r="F670" s="747"/>
      <x:c r="G670" s="747"/>
      <x:c r="H670" s="747"/>
      <x:c r="I670" s="747"/>
      <x:c r="J670" s="753">
        <x:f>'幕间计算'!E763</x:f>
        <x:v>0</x:v>
      </x:c>
      <x:c r="K670" s="753" t="str">
        <x:f>'幕间计算'!F763</x:f>
        <x:v/>
      </x:c>
    </x:row>
    <x:row r="671" ht="25" customHeight="1">
      <x:c r="A671" s="747"/>
      <x:c r="B671" s="747"/>
      <x:c r="C671" s="760"/>
      <x:c r="D671" s="747"/>
      <x:c r="E671" s="747"/>
      <x:c r="F671" s="747"/>
      <x:c r="G671" s="747"/>
      <x:c r="H671" s="747"/>
      <x:c r="I671" s="747"/>
      <x:c r="J671" s="753">
        <x:f>'幕间计算'!E764</x:f>
        <x:v>0</x:v>
      </x:c>
      <x:c r="K671" s="753" t="str">
        <x:f>'幕间计算'!F764</x:f>
        <x:v/>
      </x:c>
    </x:row>
    <x:row r="672" ht="25" customHeight="1">
      <x:c r="A672" s="747"/>
      <x:c r="B672" s="747"/>
      <x:c r="C672" s="760"/>
      <x:c r="D672" s="747"/>
      <x:c r="E672" s="747"/>
      <x:c r="F672" s="747"/>
      <x:c r="G672" s="747"/>
      <x:c r="H672" s="747"/>
      <x:c r="I672" s="747"/>
      <x:c r="J672" s="753">
        <x:f>'幕间计算'!E765</x:f>
        <x:v>0</x:v>
      </x:c>
      <x:c r="K672" s="753" t="str">
        <x:f>'幕间计算'!F765</x:f>
        <x:v/>
      </x:c>
    </x:row>
    <x:row r="673" ht="25" customHeight="1">
      <x:c r="A673" s="747"/>
      <x:c r="B673" s="747"/>
      <x:c r="C673" s="760"/>
      <x:c r="D673" s="747"/>
      <x:c r="E673" s="747"/>
      <x:c r="F673" s="747"/>
      <x:c r="G673" s="747"/>
      <x:c r="H673" s="747"/>
      <x:c r="I673" s="747"/>
      <x:c r="J673" s="753">
        <x:f>'幕间计算'!E766</x:f>
        <x:v>0</x:v>
      </x:c>
      <x:c r="K673" s="753" t="str">
        <x:f>'幕间计算'!F766</x:f>
        <x:v/>
      </x:c>
    </x:row>
    <x:row r="674" ht="25" customHeight="1">
      <x:c r="A674" s="747"/>
      <x:c r="B674" s="747"/>
      <x:c r="C674" s="760"/>
      <x:c r="D674" s="747"/>
      <x:c r="E674" s="747"/>
      <x:c r="F674" s="747"/>
      <x:c r="G674" s="747"/>
      <x:c r="H674" s="747"/>
      <x:c r="I674" s="747"/>
      <x:c r="J674" s="753">
        <x:f>'幕间计算'!E767</x:f>
        <x:v>0</x:v>
      </x:c>
      <x:c r="K674" s="753" t="str">
        <x:f>'幕间计算'!F767</x:f>
        <x:v/>
      </x:c>
    </x:row>
    <x:row r="675" ht="25" customHeight="1">
      <x:c r="A675" s="747"/>
      <x:c r="B675" s="747"/>
      <x:c r="C675" s="760"/>
      <x:c r="D675" s="747"/>
      <x:c r="E675" s="747"/>
      <x:c r="F675" s="747"/>
      <x:c r="G675" s="747"/>
      <x:c r="H675" s="747"/>
      <x:c r="I675" s="747"/>
      <x:c r="J675" s="753">
        <x:f>'幕间计算'!E768</x:f>
        <x:v>0</x:v>
      </x:c>
      <x:c r="K675" s="753" t="str">
        <x:f>'幕间计算'!F768</x:f>
        <x:v/>
      </x:c>
    </x:row>
    <x:row r="676" ht="25" customHeight="1">
      <x:c r="A676" s="747"/>
      <x:c r="B676" s="747"/>
      <x:c r="C676" s="760"/>
      <x:c r="D676" s="747"/>
      <x:c r="E676" s="747"/>
      <x:c r="F676" s="747"/>
      <x:c r="G676" s="747"/>
      <x:c r="H676" s="747"/>
      <x:c r="I676" s="747"/>
      <x:c r="J676" s="753">
        <x:f>'幕间计算'!E769</x:f>
        <x:v>0</x:v>
      </x:c>
      <x:c r="K676" s="753" t="str">
        <x:f>'幕间计算'!F769</x:f>
        <x:v/>
      </x:c>
    </x:row>
    <x:row r="677" ht="25" customHeight="1">
      <x:c r="A677" s="747"/>
      <x:c r="B677" s="747"/>
      <x:c r="C677" s="760"/>
      <x:c r="D677" s="747"/>
      <x:c r="E677" s="747"/>
      <x:c r="F677" s="747"/>
      <x:c r="G677" s="747"/>
      <x:c r="H677" s="747"/>
      <x:c r="I677" s="747"/>
      <x:c r="J677" s="753">
        <x:f>'幕间计算'!E770</x:f>
        <x:v>0</x:v>
      </x:c>
      <x:c r="K677" s="753" t="str">
        <x:f>'幕间计算'!F770</x:f>
        <x:v/>
      </x:c>
    </x:row>
    <x:row r="678" ht="25" customHeight="1">
      <x:c r="A678" s="747"/>
      <x:c r="B678" s="747"/>
      <x:c r="C678" s="760"/>
      <x:c r="D678" s="747"/>
      <x:c r="E678" s="747"/>
      <x:c r="F678" s="747"/>
      <x:c r="G678" s="747"/>
      <x:c r="H678" s="747"/>
      <x:c r="I678" s="747"/>
      <x:c r="J678" s="753">
        <x:f>'幕间计算'!E771</x:f>
        <x:v>0</x:v>
      </x:c>
      <x:c r="K678" s="753" t="str">
        <x:f>'幕间计算'!F771</x:f>
        <x:v/>
      </x:c>
    </x:row>
    <x:row r="679" ht="25" customHeight="1">
      <x:c r="A679" s="747"/>
      <x:c r="B679" s="747"/>
      <x:c r="C679" s="760"/>
      <x:c r="D679" s="747"/>
      <x:c r="E679" s="747"/>
      <x:c r="F679" s="747"/>
      <x:c r="G679" s="747"/>
      <x:c r="H679" s="747"/>
      <x:c r="I679" s="747"/>
      <x:c r="J679" s="753">
        <x:f>'幕间计算'!E772</x:f>
        <x:v>0</x:v>
      </x:c>
      <x:c r="K679" s="753" t="str">
        <x:f>'幕间计算'!F772</x:f>
        <x:v/>
      </x:c>
    </x:row>
    <x:row r="680" ht="25" customHeight="1">
      <x:c r="A680" s="747"/>
      <x:c r="B680" s="747"/>
      <x:c r="C680" s="760"/>
      <x:c r="D680" s="747"/>
      <x:c r="E680" s="747"/>
      <x:c r="F680" s="747"/>
      <x:c r="G680" s="747"/>
      <x:c r="H680" s="747"/>
      <x:c r="I680" s="747"/>
      <x:c r="J680" s="753">
        <x:f>'幕间计算'!E773</x:f>
        <x:v>0</x:v>
      </x:c>
      <x:c r="K680" s="753" t="str">
        <x:f>'幕间计算'!F773</x:f>
        <x:v/>
      </x:c>
    </x:row>
    <x:row r="681" ht="25" customHeight="1">
      <x:c r="A681" s="747"/>
      <x:c r="B681" s="747"/>
      <x:c r="C681" s="760"/>
      <x:c r="D681" s="747"/>
      <x:c r="E681" s="747"/>
      <x:c r="F681" s="747"/>
      <x:c r="G681" s="747"/>
      <x:c r="H681" s="747"/>
      <x:c r="I681" s="747"/>
      <x:c r="J681" s="753">
        <x:f>'幕间计算'!E774</x:f>
        <x:v>0</x:v>
      </x:c>
      <x:c r="K681" s="753" t="str">
        <x:f>'幕间计算'!F774</x:f>
        <x:v/>
      </x:c>
    </x:row>
    <x:row r="682" ht="25" customHeight="1">
      <x:c r="A682" s="747"/>
      <x:c r="B682" s="747"/>
      <x:c r="C682" s="760"/>
      <x:c r="D682" s="747"/>
      <x:c r="E682" s="747"/>
      <x:c r="F682" s="747"/>
      <x:c r="G682" s="747"/>
      <x:c r="H682" s="747"/>
      <x:c r="I682" s="747"/>
      <x:c r="J682" s="753">
        <x:f>'幕间计算'!E775</x:f>
        <x:v>0</x:v>
      </x:c>
      <x:c r="K682" s="753" t="str">
        <x:f>'幕间计算'!F775</x:f>
        <x:v/>
      </x:c>
    </x:row>
    <x:row r="683" ht="25" customHeight="1">
      <x:c r="A683" s="747"/>
      <x:c r="B683" s="747"/>
      <x:c r="C683" s="760"/>
      <x:c r="D683" s="747"/>
      <x:c r="E683" s="747"/>
      <x:c r="F683" s="747"/>
      <x:c r="G683" s="747"/>
      <x:c r="H683" s="747"/>
      <x:c r="I683" s="747"/>
      <x:c r="J683" s="753">
        <x:f>'幕间计算'!E776</x:f>
        <x:v>0</x:v>
      </x:c>
      <x:c r="K683" s="753" t="str">
        <x:f>'幕间计算'!F776</x:f>
        <x:v/>
      </x:c>
    </x:row>
    <x:row r="684" ht="25" customHeight="1">
      <x:c r="A684" s="747"/>
      <x:c r="B684" s="747"/>
      <x:c r="C684" s="760"/>
      <x:c r="D684" s="747"/>
      <x:c r="E684" s="747"/>
      <x:c r="F684" s="747"/>
      <x:c r="G684" s="747"/>
      <x:c r="H684" s="747"/>
      <x:c r="I684" s="747"/>
      <x:c r="J684" s="753">
        <x:f>'幕间计算'!E777</x:f>
        <x:v>0</x:v>
      </x:c>
      <x:c r="K684" s="753" t="str">
        <x:f>'幕间计算'!F777</x:f>
        <x:v/>
      </x:c>
    </x:row>
    <x:row r="685" ht="25" customHeight="1">
      <x:c r="A685" s="747"/>
      <x:c r="B685" s="747"/>
      <x:c r="C685" s="760"/>
      <x:c r="D685" s="747"/>
      <x:c r="E685" s="747"/>
      <x:c r="F685" s="747"/>
      <x:c r="G685" s="747"/>
      <x:c r="H685" s="747"/>
      <x:c r="I685" s="747"/>
      <x:c r="J685" s="753">
        <x:f>'幕间计算'!E778</x:f>
        <x:v>0</x:v>
      </x:c>
      <x:c r="K685" s="753" t="str">
        <x:f>'幕间计算'!F778</x:f>
        <x:v/>
      </x:c>
    </x:row>
    <x:row r="686" ht="25" customHeight="1">
      <x:c r="A686" s="747"/>
      <x:c r="B686" s="747"/>
      <x:c r="C686" s="760"/>
      <x:c r="D686" s="747"/>
      <x:c r="E686" s="747"/>
      <x:c r="F686" s="747"/>
      <x:c r="G686" s="747"/>
      <x:c r="H686" s="747"/>
      <x:c r="I686" s="747"/>
      <x:c r="J686" s="753">
        <x:f>'幕间计算'!E779</x:f>
        <x:v>0</x:v>
      </x:c>
      <x:c r="K686" s="753" t="str">
        <x:f>'幕间计算'!F779</x:f>
        <x:v/>
      </x:c>
    </x:row>
    <x:row r="687" ht="25" customHeight="1">
      <x:c r="A687" s="747"/>
      <x:c r="B687" s="747"/>
      <x:c r="C687" s="760"/>
      <x:c r="D687" s="747"/>
      <x:c r="E687" s="747"/>
      <x:c r="F687" s="747"/>
      <x:c r="G687" s="747"/>
      <x:c r="H687" s="747"/>
      <x:c r="I687" s="747"/>
      <x:c r="J687" s="753">
        <x:f>'幕间计算'!E780</x:f>
        <x:v>0</x:v>
      </x:c>
      <x:c r="K687" s="753" t="str">
        <x:f>'幕间计算'!F780</x:f>
        <x:v/>
      </x:c>
    </x:row>
    <x:row r="688" ht="25" customHeight="1">
      <x:c r="A688" s="747"/>
      <x:c r="B688" s="747"/>
      <x:c r="C688" s="760"/>
      <x:c r="D688" s="747"/>
      <x:c r="E688" s="747"/>
      <x:c r="F688" s="747"/>
      <x:c r="G688" s="747"/>
      <x:c r="H688" s="747"/>
      <x:c r="I688" s="747"/>
      <x:c r="J688" s="753">
        <x:f>'幕间计算'!E781</x:f>
        <x:v>0</x:v>
      </x:c>
      <x:c r="K688" s="753" t="str">
        <x:f>'幕间计算'!F781</x:f>
        <x:v/>
      </x:c>
    </x:row>
    <x:row r="689" ht="25" customHeight="1">
      <x:c r="A689" s="747"/>
      <x:c r="B689" s="747"/>
      <x:c r="C689" s="760"/>
      <x:c r="D689" s="747"/>
      <x:c r="E689" s="747"/>
      <x:c r="F689" s="747"/>
      <x:c r="G689" s="747"/>
      <x:c r="H689" s="747"/>
      <x:c r="I689" s="747"/>
      <x:c r="J689" s="753">
        <x:f>'幕间计算'!E782</x:f>
        <x:v>0</x:v>
      </x:c>
      <x:c r="K689" s="753" t="str">
        <x:f>'幕间计算'!F782</x:f>
        <x:v/>
      </x:c>
    </x:row>
    <x:row r="690" ht="25" customHeight="1">
      <x:c r="A690" s="747"/>
      <x:c r="B690" s="747"/>
      <x:c r="C690" s="760"/>
      <x:c r="D690" s="747"/>
      <x:c r="E690" s="747"/>
      <x:c r="F690" s="747"/>
      <x:c r="G690" s="747"/>
      <x:c r="H690" s="747"/>
      <x:c r="I690" s="747"/>
      <x:c r="J690" s="753">
        <x:f>'幕间计算'!E783</x:f>
        <x:v>0</x:v>
      </x:c>
      <x:c r="K690" s="753" t="str">
        <x:f>'幕间计算'!F783</x:f>
        <x:v/>
      </x:c>
    </x:row>
    <x:row r="691" ht="25" customHeight="1">
      <x:c r="A691" s="747"/>
      <x:c r="B691" s="747"/>
      <x:c r="C691" s="760"/>
      <x:c r="D691" s="747"/>
      <x:c r="E691" s="747"/>
      <x:c r="F691" s="747"/>
      <x:c r="G691" s="747"/>
      <x:c r="H691" s="747"/>
      <x:c r="I691" s="747"/>
      <x:c r="J691" s="753">
        <x:f>'幕间计算'!E784</x:f>
        <x:v>0</x:v>
      </x:c>
      <x:c r="K691" s="753" t="str">
        <x:f>'幕间计算'!F784</x:f>
        <x:v/>
      </x:c>
    </x:row>
    <x:row r="692" ht="25" customHeight="1">
      <x:c r="A692" s="747"/>
      <x:c r="B692" s="747"/>
      <x:c r="C692" s="760"/>
      <x:c r="D692" s="747"/>
      <x:c r="E692" s="747"/>
      <x:c r="F692" s="747"/>
      <x:c r="G692" s="747"/>
      <x:c r="H692" s="747"/>
      <x:c r="I692" s="747"/>
      <x:c r="J692" s="753">
        <x:f>'幕间计算'!E785</x:f>
        <x:v>0</x:v>
      </x:c>
      <x:c r="K692" s="753" t="str">
        <x:f>'幕间计算'!F785</x:f>
        <x:v/>
      </x:c>
    </x:row>
    <x:row r="693" ht="25" customHeight="1">
      <x:c r="A693" s="747"/>
      <x:c r="B693" s="747"/>
      <x:c r="C693" s="760"/>
      <x:c r="D693" s="747"/>
      <x:c r="E693" s="747"/>
      <x:c r="F693" s="747"/>
      <x:c r="G693" s="747"/>
      <x:c r="H693" s="747"/>
      <x:c r="I693" s="747"/>
      <x:c r="J693" s="753">
        <x:f>'幕间计算'!E786</x:f>
        <x:v>0</x:v>
      </x:c>
      <x:c r="K693" s="753" t="str">
        <x:f>'幕间计算'!F786</x:f>
        <x:v/>
      </x:c>
    </x:row>
    <x:row r="694" ht="25" customHeight="1">
      <x:c r="A694" s="747"/>
      <x:c r="B694" s="747"/>
      <x:c r="C694" s="760"/>
      <x:c r="D694" s="747"/>
      <x:c r="E694" s="747"/>
      <x:c r="F694" s="747"/>
      <x:c r="G694" s="747"/>
      <x:c r="H694" s="747"/>
      <x:c r="I694" s="747"/>
      <x:c r="J694" s="753">
        <x:f>'幕间计算'!E787</x:f>
        <x:v>0</x:v>
      </x:c>
      <x:c r="K694" s="753" t="str">
        <x:f>'幕间计算'!F787</x:f>
        <x:v/>
      </x:c>
    </x:row>
    <x:row r="695" ht="25" customHeight="1">
      <x:c r="A695" s="747"/>
      <x:c r="B695" s="747"/>
      <x:c r="C695" s="760"/>
      <x:c r="D695" s="747"/>
      <x:c r="E695" s="747"/>
      <x:c r="F695" s="747"/>
      <x:c r="G695" s="747"/>
      <x:c r="H695" s="747"/>
      <x:c r="I695" s="747"/>
      <x:c r="J695" s="753">
        <x:f>'幕间计算'!E788</x:f>
        <x:v>0</x:v>
      </x:c>
      <x:c r="K695" s="753" t="str">
        <x:f>'幕间计算'!F788</x:f>
        <x:v/>
      </x:c>
    </x:row>
    <x:row r="696" ht="25" customHeight="1">
      <x:c r="A696" s="747"/>
      <x:c r="B696" s="747"/>
      <x:c r="C696" s="760"/>
      <x:c r="D696" s="747"/>
      <x:c r="E696" s="747"/>
      <x:c r="F696" s="747"/>
      <x:c r="G696" s="747"/>
      <x:c r="H696" s="747"/>
      <x:c r="I696" s="747"/>
      <x:c r="J696" s="753">
        <x:f>'幕间计算'!E789</x:f>
        <x:v>0</x:v>
      </x:c>
      <x:c r="K696" s="753" t="str">
        <x:f>'幕间计算'!F789</x:f>
        <x:v/>
      </x:c>
    </x:row>
    <x:row r="697" ht="25" customHeight="1">
      <x:c r="A697" s="747"/>
      <x:c r="B697" s="747"/>
      <x:c r="C697" s="760"/>
      <x:c r="D697" s="747"/>
      <x:c r="E697" s="747"/>
      <x:c r="F697" s="747"/>
      <x:c r="G697" s="747"/>
      <x:c r="H697" s="747"/>
      <x:c r="I697" s="747"/>
      <x:c r="J697" s="753">
        <x:f>'幕间计算'!E790</x:f>
        <x:v>0</x:v>
      </x:c>
      <x:c r="K697" s="753" t="str">
        <x:f>'幕间计算'!F790</x:f>
        <x:v/>
      </x:c>
    </x:row>
    <x:row r="698" ht="25" customHeight="1">
      <x:c r="A698" s="747"/>
      <x:c r="B698" s="747"/>
      <x:c r="C698" s="760"/>
      <x:c r="D698" s="747"/>
      <x:c r="E698" s="747"/>
      <x:c r="F698" s="747"/>
      <x:c r="G698" s="747"/>
      <x:c r="H698" s="747"/>
      <x:c r="I698" s="747"/>
      <x:c r="J698" s="753">
        <x:f>'幕间计算'!E791</x:f>
        <x:v>0</x:v>
      </x:c>
      <x:c r="K698" s="753" t="str">
        <x:f>'幕间计算'!F791</x:f>
        <x:v/>
      </x:c>
    </x:row>
    <x:row r="699" ht="25" customHeight="1">
      <x:c r="A699" s="747"/>
      <x:c r="B699" s="747"/>
      <x:c r="C699" s="760"/>
      <x:c r="D699" s="747"/>
      <x:c r="E699" s="747"/>
      <x:c r="F699" s="747"/>
      <x:c r="G699" s="747"/>
      <x:c r="H699" s="747"/>
      <x:c r="I699" s="747"/>
      <x:c r="J699" s="753">
        <x:f>'幕间计算'!E792</x:f>
        <x:v>0</x:v>
      </x:c>
      <x:c r="K699" s="753" t="str">
        <x:f>'幕间计算'!F792</x:f>
        <x:v/>
      </x:c>
    </x:row>
    <x:row r="700" ht="25" customHeight="1">
      <x:c r="A700" s="747"/>
      <x:c r="B700" s="747"/>
      <x:c r="C700" s="760"/>
      <x:c r="D700" s="747"/>
      <x:c r="E700" s="747"/>
      <x:c r="F700" s="747"/>
      <x:c r="G700" s="747"/>
      <x:c r="H700" s="747"/>
      <x:c r="I700" s="747"/>
      <x:c r="J700" s="753">
        <x:f>'幕间计算'!E793</x:f>
        <x:v>0</x:v>
      </x:c>
      <x:c r="K700" s="753" t="str">
        <x:f>'幕间计算'!F793</x:f>
        <x:v/>
      </x:c>
    </x:row>
    <x:row r="701" ht="25" customHeight="1">
      <x:c r="A701" s="747"/>
      <x:c r="B701" s="747"/>
      <x:c r="C701" s="760"/>
      <x:c r="D701" s="747"/>
      <x:c r="E701" s="747"/>
      <x:c r="F701" s="747"/>
      <x:c r="G701" s="747"/>
      <x:c r="H701" s="747"/>
      <x:c r="I701" s="747"/>
      <x:c r="J701" s="753">
        <x:f>'幕间计算'!E794</x:f>
        <x:v>0</x:v>
      </x:c>
      <x:c r="K701" s="753" t="str">
        <x:f>'幕间计算'!F794</x:f>
        <x:v/>
      </x:c>
    </x:row>
    <x:row r="702" ht="25" customHeight="1">
      <x:c r="A702" s="747"/>
      <x:c r="B702" s="747"/>
      <x:c r="C702" s="760"/>
      <x:c r="D702" s="747"/>
      <x:c r="E702" s="747"/>
      <x:c r="F702" s="747"/>
      <x:c r="G702" s="747"/>
      <x:c r="H702" s="747"/>
      <x:c r="I702" s="747"/>
      <x:c r="J702" s="753">
        <x:f>'幕间计算'!E795</x:f>
        <x:v>0</x:v>
      </x:c>
      <x:c r="K702" s="753" t="str">
        <x:f>'幕间计算'!F795</x:f>
        <x:v/>
      </x:c>
    </x:row>
    <x:row r="703" ht="25" customHeight="1">
      <x:c r="A703" s="747"/>
      <x:c r="B703" s="747"/>
      <x:c r="C703" s="760"/>
      <x:c r="D703" s="747"/>
      <x:c r="E703" s="747"/>
      <x:c r="F703" s="747"/>
      <x:c r="G703" s="747"/>
      <x:c r="H703" s="747"/>
      <x:c r="I703" s="747"/>
      <x:c r="J703" s="753">
        <x:f>'幕间计算'!E796</x:f>
        <x:v>0</x:v>
      </x:c>
      <x:c r="K703" s="753" t="str">
        <x:f>'幕间计算'!F796</x:f>
        <x:v/>
      </x:c>
    </x:row>
    <x:row r="704" ht="25" customHeight="1">
      <x:c r="A704" s="747"/>
      <x:c r="B704" s="747"/>
      <x:c r="C704" s="760"/>
      <x:c r="D704" s="747"/>
      <x:c r="E704" s="747"/>
      <x:c r="F704" s="747"/>
      <x:c r="G704" s="747"/>
      <x:c r="H704" s="747"/>
      <x:c r="I704" s="747"/>
      <x:c r="J704" s="753">
        <x:f>'幕间计算'!E797</x:f>
        <x:v>0</x:v>
      </x:c>
      <x:c r="K704" s="753" t="str">
        <x:f>'幕间计算'!F797</x:f>
        <x:v/>
      </x:c>
    </x:row>
    <x:row r="705" ht="25" customHeight="1">
      <x:c r="A705" s="747"/>
      <x:c r="B705" s="747"/>
      <x:c r="C705" s="760"/>
      <x:c r="D705" s="747"/>
      <x:c r="E705" s="747"/>
      <x:c r="F705" s="747"/>
      <x:c r="G705" s="747"/>
      <x:c r="H705" s="747"/>
      <x:c r="I705" s="747"/>
      <x:c r="J705" s="753">
        <x:f>'幕间计算'!E798</x:f>
        <x:v>0</x:v>
      </x:c>
      <x:c r="K705" s="753" t="str">
        <x:f>'幕间计算'!F798</x:f>
        <x:v/>
      </x:c>
    </x:row>
    <x:row r="706" ht="25" customHeight="1">
      <x:c r="A706" s="747"/>
      <x:c r="B706" s="747"/>
      <x:c r="C706" s="760"/>
      <x:c r="D706" s="747"/>
      <x:c r="E706" s="747"/>
      <x:c r="F706" s="747"/>
      <x:c r="G706" s="747"/>
      <x:c r="H706" s="747"/>
      <x:c r="I706" s="747"/>
      <x:c r="J706" s="753">
        <x:f>'幕间计算'!E799</x:f>
        <x:v>0</x:v>
      </x:c>
      <x:c r="K706" s="753" t="str">
        <x:f>'幕间计算'!F799</x:f>
        <x:v/>
      </x:c>
    </x:row>
    <x:row r="707" ht="25" customHeight="1">
      <x:c r="A707" s="747"/>
      <x:c r="B707" s="747"/>
      <x:c r="C707" s="760"/>
      <x:c r="D707" s="747"/>
      <x:c r="E707" s="747"/>
      <x:c r="F707" s="747"/>
      <x:c r="G707" s="747"/>
      <x:c r="H707" s="747"/>
      <x:c r="I707" s="747"/>
      <x:c r="J707" s="753">
        <x:f>'幕间计算'!E800</x:f>
        <x:v>0</x:v>
      </x:c>
      <x:c r="K707" s="753" t="str">
        <x:f>'幕间计算'!F800</x:f>
        <x:v/>
      </x:c>
    </x:row>
    <x:row r="708" ht="25" customHeight="1">
      <x:c r="A708" s="747"/>
      <x:c r="B708" s="747"/>
      <x:c r="C708" s="760"/>
      <x:c r="D708" s="747"/>
      <x:c r="E708" s="747"/>
      <x:c r="F708" s="747"/>
      <x:c r="G708" s="747"/>
      <x:c r="H708" s="747"/>
      <x:c r="I708" s="747"/>
      <x:c r="J708" s="753">
        <x:f>'幕间计算'!E801</x:f>
        <x:v>0</x:v>
      </x:c>
      <x:c r="K708" s="753" t="str">
        <x:f>'幕间计算'!F801</x:f>
        <x:v/>
      </x:c>
    </x:row>
    <x:row r="709" ht="25" customHeight="1">
      <x:c r="A709" s="747"/>
      <x:c r="B709" s="747"/>
      <x:c r="C709" s="760"/>
      <x:c r="D709" s="747"/>
      <x:c r="E709" s="747"/>
      <x:c r="F709" s="747"/>
      <x:c r="G709" s="747"/>
      <x:c r="H709" s="747"/>
      <x:c r="I709" s="747"/>
      <x:c r="J709" s="753">
        <x:f>'幕间计算'!E802</x:f>
        <x:v>0</x:v>
      </x:c>
      <x:c r="K709" s="753" t="str">
        <x:f>'幕间计算'!F802</x:f>
        <x:v/>
      </x:c>
    </x:row>
    <x:row r="710" ht="25" customHeight="1">
      <x:c r="A710" s="747"/>
      <x:c r="B710" s="747"/>
      <x:c r="C710" s="760"/>
      <x:c r="D710" s="747"/>
      <x:c r="E710" s="747"/>
      <x:c r="F710" s="747"/>
      <x:c r="G710" s="747"/>
      <x:c r="H710" s="747"/>
      <x:c r="I710" s="747"/>
      <x:c r="J710" s="753">
        <x:f>'幕间计算'!E803</x:f>
        <x:v>0</x:v>
      </x:c>
      <x:c r="K710" s="753" t="str">
        <x:f>'幕间计算'!F803</x:f>
        <x:v/>
      </x:c>
    </x:row>
    <x:row r="711" ht="25" customHeight="1">
      <x:c r="A711" s="747"/>
      <x:c r="B711" s="747"/>
      <x:c r="C711" s="760"/>
      <x:c r="D711" s="747"/>
      <x:c r="E711" s="747"/>
      <x:c r="F711" s="747"/>
      <x:c r="G711" s="747"/>
      <x:c r="H711" s="747"/>
      <x:c r="I711" s="747"/>
      <x:c r="J711" s="753">
        <x:f>'幕间计算'!E804</x:f>
        <x:v>0</x:v>
      </x:c>
      <x:c r="K711" s="753" t="str">
        <x:f>'幕间计算'!F804</x:f>
        <x:v/>
      </x:c>
    </x:row>
    <x:row r="712" ht="25" customHeight="1">
      <x:c r="A712" s="747"/>
      <x:c r="B712" s="747"/>
      <x:c r="C712" s="760"/>
      <x:c r="D712" s="747"/>
      <x:c r="E712" s="747"/>
      <x:c r="F712" s="747"/>
      <x:c r="G712" s="747"/>
      <x:c r="H712" s="747"/>
      <x:c r="I712" s="747"/>
      <x:c r="J712" s="753">
        <x:f>'幕间计算'!E805</x:f>
        <x:v>0</x:v>
      </x:c>
      <x:c r="K712" s="753" t="str">
        <x:f>'幕间计算'!F805</x:f>
        <x:v/>
      </x:c>
    </x:row>
    <x:row r="713" ht="25" customHeight="1">
      <x:c r="A713" s="747"/>
      <x:c r="B713" s="747"/>
      <x:c r="C713" s="760"/>
      <x:c r="D713" s="747"/>
      <x:c r="E713" s="747"/>
      <x:c r="F713" s="747"/>
      <x:c r="G713" s="747"/>
      <x:c r="H713" s="747"/>
      <x:c r="I713" s="747"/>
      <x:c r="J713" s="753">
        <x:f>'幕间计算'!E806</x:f>
        <x:v>0</x:v>
      </x:c>
      <x:c r="K713" s="753" t="str">
        <x:f>'幕间计算'!F806</x:f>
        <x:v/>
      </x:c>
    </x:row>
    <x:row r="714" ht="25" customHeight="1">
      <x:c r="A714" s="747"/>
      <x:c r="B714" s="747"/>
      <x:c r="C714" s="760"/>
      <x:c r="D714" s="747"/>
      <x:c r="E714" s="747"/>
      <x:c r="F714" s="747"/>
      <x:c r="G714" s="747"/>
      <x:c r="H714" s="747"/>
      <x:c r="I714" s="747"/>
      <x:c r="J714" s="753">
        <x:f>'幕间计算'!E807</x:f>
        <x:v>0</x:v>
      </x:c>
      <x:c r="K714" s="753" t="str">
        <x:f>'幕间计算'!F807</x:f>
        <x:v/>
      </x:c>
    </x:row>
    <x:row r="715" ht="25" customHeight="1">
      <x:c r="A715" s="747"/>
      <x:c r="B715" s="747"/>
      <x:c r="C715" s="760"/>
      <x:c r="D715" s="747"/>
      <x:c r="E715" s="747"/>
      <x:c r="F715" s="747"/>
      <x:c r="G715" s="747"/>
      <x:c r="H715" s="747"/>
      <x:c r="I715" s="747"/>
      <x:c r="J715" s="753">
        <x:f>'幕间计算'!E808</x:f>
        <x:v>0</x:v>
      </x:c>
      <x:c r="K715" s="753" t="str">
        <x:f>'幕间计算'!F808</x:f>
        <x:v/>
      </x:c>
    </x:row>
    <x:row r="716" ht="25" customHeight="1">
      <x:c r="A716" s="747"/>
      <x:c r="B716" s="747"/>
      <x:c r="C716" s="760"/>
      <x:c r="D716" s="747"/>
      <x:c r="E716" s="747"/>
      <x:c r="F716" s="747"/>
      <x:c r="G716" s="747"/>
      <x:c r="H716" s="747"/>
      <x:c r="I716" s="747"/>
      <x:c r="J716" s="753">
        <x:f>'幕间计算'!E809</x:f>
        <x:v>0</x:v>
      </x:c>
      <x:c r="K716" s="753" t="str">
        <x:f>'幕间计算'!F809</x:f>
        <x:v/>
      </x:c>
    </x:row>
    <x:row r="717" ht="25" customHeight="1">
      <x:c r="A717" s="747"/>
      <x:c r="B717" s="747"/>
      <x:c r="C717" s="760"/>
      <x:c r="D717" s="747"/>
      <x:c r="E717" s="747"/>
      <x:c r="F717" s="747"/>
      <x:c r="G717" s="747"/>
      <x:c r="H717" s="747"/>
      <x:c r="I717" s="747"/>
      <x:c r="J717" s="753">
        <x:f>'幕间计算'!E810</x:f>
        <x:v>0</x:v>
      </x:c>
      <x:c r="K717" s="753" t="str">
        <x:f>'幕间计算'!F810</x:f>
        <x:v/>
      </x:c>
    </x:row>
    <x:row r="718" ht="25" customHeight="1">
      <x:c r="A718" s="747"/>
      <x:c r="B718" s="747"/>
      <x:c r="C718" s="760"/>
      <x:c r="D718" s="747"/>
      <x:c r="E718" s="747"/>
      <x:c r="F718" s="747"/>
      <x:c r="G718" s="747"/>
      <x:c r="H718" s="747"/>
      <x:c r="I718" s="747"/>
      <x:c r="J718" s="753">
        <x:f>'幕间计算'!E811</x:f>
        <x:v>0</x:v>
      </x:c>
      <x:c r="K718" s="753" t="str">
        <x:f>'幕间计算'!F811</x:f>
        <x:v/>
      </x:c>
    </x:row>
    <x:row r="719" ht="25" customHeight="1">
      <x:c r="A719" s="747"/>
      <x:c r="B719" s="747"/>
      <x:c r="C719" s="760"/>
      <x:c r="D719" s="747"/>
      <x:c r="E719" s="747"/>
      <x:c r="F719" s="747"/>
      <x:c r="G719" s="747"/>
      <x:c r="H719" s="747"/>
      <x:c r="I719" s="747"/>
      <x:c r="J719" s="753">
        <x:f>'幕间计算'!E812</x:f>
        <x:v>0</x:v>
      </x:c>
      <x:c r="K719" s="753" t="str">
        <x:f>'幕间计算'!F812</x:f>
        <x:v/>
      </x:c>
    </x:row>
    <x:row r="720" ht="25" customHeight="1">
      <x:c r="A720" s="747"/>
      <x:c r="B720" s="747"/>
      <x:c r="C720" s="760"/>
      <x:c r="D720" s="747"/>
      <x:c r="E720" s="747"/>
      <x:c r="F720" s="747"/>
      <x:c r="G720" s="747"/>
      <x:c r="H720" s="747"/>
      <x:c r="I720" s="747"/>
      <x:c r="J720" s="753">
        <x:f>'幕间计算'!E813</x:f>
        <x:v>0</x:v>
      </x:c>
      <x:c r="K720" s="753" t="str">
        <x:f>'幕间计算'!F813</x:f>
        <x:v/>
      </x:c>
    </x:row>
    <x:row r="721" ht="25" customHeight="1">
      <x:c r="A721" s="747"/>
      <x:c r="B721" s="747"/>
      <x:c r="C721" s="760"/>
      <x:c r="D721" s="747"/>
      <x:c r="E721" s="747"/>
      <x:c r="F721" s="747"/>
      <x:c r="G721" s="747"/>
      <x:c r="H721" s="747"/>
      <x:c r="I721" s="747"/>
      <x:c r="J721" s="753">
        <x:f>'幕间计算'!E814</x:f>
        <x:v>0</x:v>
      </x:c>
      <x:c r="K721" s="753" t="str">
        <x:f>'幕间计算'!F814</x:f>
        <x:v/>
      </x:c>
    </x:row>
    <x:row r="722" ht="25" customHeight="1">
      <x:c r="A722" s="747"/>
      <x:c r="B722" s="747"/>
      <x:c r="C722" s="760"/>
      <x:c r="D722" s="747"/>
      <x:c r="E722" s="747"/>
      <x:c r="F722" s="747"/>
      <x:c r="G722" s="747"/>
      <x:c r="H722" s="747"/>
      <x:c r="I722" s="747"/>
      <x:c r="J722" s="753">
        <x:f>'幕间计算'!E815</x:f>
        <x:v>0</x:v>
      </x:c>
      <x:c r="K722" s="753" t="str">
        <x:f>'幕间计算'!F815</x:f>
        <x:v/>
      </x:c>
    </x:row>
    <x:row r="723" ht="25" customHeight="1">
      <x:c r="A723" s="747"/>
      <x:c r="B723" s="747"/>
      <x:c r="C723" s="760"/>
      <x:c r="D723" s="747"/>
      <x:c r="E723" s="747"/>
      <x:c r="F723" s="747"/>
      <x:c r="G723" s="747"/>
      <x:c r="H723" s="747"/>
      <x:c r="I723" s="747"/>
      <x:c r="J723" s="753">
        <x:f>'幕间计算'!E816</x:f>
        <x:v>0</x:v>
      </x:c>
      <x:c r="K723" s="753" t="str">
        <x:f>'幕间计算'!F816</x:f>
        <x:v/>
      </x:c>
    </x:row>
    <x:row r="724" ht="25" customHeight="1">
      <x:c r="A724" s="747"/>
      <x:c r="B724" s="747"/>
      <x:c r="C724" s="760"/>
      <x:c r="D724" s="747"/>
      <x:c r="E724" s="747"/>
      <x:c r="F724" s="747"/>
      <x:c r="G724" s="747"/>
      <x:c r="H724" s="747"/>
      <x:c r="I724" s="747"/>
      <x:c r="J724" s="753">
        <x:f>'幕间计算'!E817</x:f>
        <x:v>0</x:v>
      </x:c>
      <x:c r="K724" s="753" t="str">
        <x:f>'幕间计算'!F817</x:f>
        <x:v/>
      </x:c>
    </x:row>
    <x:row r="725" ht="25" customHeight="1">
      <x:c r="A725" s="747"/>
      <x:c r="B725" s="747"/>
      <x:c r="C725" s="760"/>
      <x:c r="D725" s="747"/>
      <x:c r="E725" s="747"/>
      <x:c r="F725" s="747"/>
      <x:c r="G725" s="747"/>
      <x:c r="H725" s="747"/>
      <x:c r="I725" s="747"/>
      <x:c r="J725" s="753">
        <x:f>'幕间计算'!E818</x:f>
        <x:v>0</x:v>
      </x:c>
      <x:c r="K725" s="753" t="str">
        <x:f>'幕间计算'!F818</x:f>
        <x:v/>
      </x:c>
    </x:row>
    <x:row r="726" ht="25" customHeight="1">
      <x:c r="A726" s="747"/>
      <x:c r="B726" s="747"/>
      <x:c r="C726" s="760"/>
      <x:c r="D726" s="747"/>
      <x:c r="E726" s="747"/>
      <x:c r="F726" s="747"/>
      <x:c r="G726" s="747"/>
      <x:c r="H726" s="747"/>
      <x:c r="I726" s="747"/>
      <x:c r="J726" s="753">
        <x:f>'幕间计算'!E819</x:f>
        <x:v>0</x:v>
      </x:c>
      <x:c r="K726" s="753" t="str">
        <x:f>'幕间计算'!F819</x:f>
        <x:v/>
      </x:c>
    </x:row>
    <x:row r="727" ht="25" customHeight="1">
      <x:c r="A727" s="747"/>
      <x:c r="B727" s="747"/>
      <x:c r="C727" s="760"/>
      <x:c r="D727" s="747"/>
      <x:c r="E727" s="747"/>
      <x:c r="F727" s="747"/>
      <x:c r="G727" s="747"/>
      <x:c r="H727" s="747"/>
      <x:c r="I727" s="747"/>
      <x:c r="J727" s="753">
        <x:f>'幕间计算'!E820</x:f>
        <x:v>0</x:v>
      </x:c>
      <x:c r="K727" s="753" t="str">
        <x:f>'幕间计算'!F820</x:f>
        <x:v/>
      </x:c>
    </x:row>
    <x:row r="728" ht="25" customHeight="1">
      <x:c r="A728" s="747"/>
      <x:c r="B728" s="747"/>
      <x:c r="C728" s="760"/>
      <x:c r="D728" s="747"/>
      <x:c r="E728" s="747"/>
      <x:c r="F728" s="747"/>
      <x:c r="G728" s="747"/>
      <x:c r="H728" s="747"/>
      <x:c r="I728" s="747"/>
      <x:c r="J728" s="753">
        <x:f>'幕间计算'!E821</x:f>
        <x:v>0</x:v>
      </x:c>
      <x:c r="K728" s="753" t="str">
        <x:f>'幕间计算'!F821</x:f>
        <x:v/>
      </x:c>
    </x:row>
    <x:row r="729" ht="25" customHeight="1">
      <x:c r="A729" s="747"/>
      <x:c r="B729" s="747"/>
      <x:c r="C729" s="760"/>
      <x:c r="D729" s="747"/>
      <x:c r="E729" s="747"/>
      <x:c r="F729" s="747"/>
      <x:c r="G729" s="747"/>
      <x:c r="H729" s="747"/>
      <x:c r="I729" s="747"/>
      <x:c r="J729" s="753">
        <x:f>'幕间计算'!E822</x:f>
        <x:v>0</x:v>
      </x:c>
      <x:c r="K729" s="753" t="str">
        <x:f>'幕间计算'!F822</x:f>
        <x:v/>
      </x:c>
    </x:row>
    <x:row r="730" ht="25" customHeight="1">
      <x:c r="A730" s="747"/>
      <x:c r="B730" s="747"/>
      <x:c r="C730" s="760"/>
      <x:c r="D730" s="747"/>
      <x:c r="E730" s="747"/>
      <x:c r="F730" s="747"/>
      <x:c r="G730" s="747"/>
      <x:c r="H730" s="747"/>
      <x:c r="I730" s="747"/>
      <x:c r="J730" s="753">
        <x:f>'幕间计算'!E823</x:f>
        <x:v>0</x:v>
      </x:c>
      <x:c r="K730" s="753" t="str">
        <x:f>'幕间计算'!F823</x:f>
        <x:v/>
      </x:c>
    </x:row>
    <x:row r="731" ht="25" customHeight="1">
      <x:c r="A731" s="747"/>
      <x:c r="B731" s="747"/>
      <x:c r="C731" s="760"/>
      <x:c r="D731" s="747"/>
      <x:c r="E731" s="747"/>
      <x:c r="F731" s="747"/>
      <x:c r="G731" s="747"/>
      <x:c r="H731" s="747"/>
      <x:c r="I731" s="747"/>
      <x:c r="J731" s="753">
        <x:f>'幕间计算'!E824</x:f>
        <x:v>0</x:v>
      </x:c>
      <x:c r="K731" s="753" t="str">
        <x:f>'幕间计算'!F824</x:f>
        <x:v/>
      </x:c>
    </x:row>
    <x:row r="732" ht="25" customHeight="1">
      <x:c r="A732" s="747"/>
      <x:c r="B732" s="747"/>
      <x:c r="C732" s="760"/>
      <x:c r="D732" s="747"/>
      <x:c r="E732" s="747"/>
      <x:c r="F732" s="747"/>
      <x:c r="G732" s="747"/>
      <x:c r="H732" s="747"/>
      <x:c r="I732" s="747"/>
      <x:c r="J732" s="753">
        <x:f>'幕间计算'!E825</x:f>
        <x:v>0</x:v>
      </x:c>
      <x:c r="K732" s="753" t="str">
        <x:f>'幕间计算'!F825</x:f>
        <x:v/>
      </x:c>
    </x:row>
    <x:row r="733" ht="25" customHeight="1">
      <x:c r="A733" s="747"/>
      <x:c r="B733" s="747"/>
      <x:c r="C733" s="760"/>
      <x:c r="D733" s="747"/>
      <x:c r="E733" s="747"/>
      <x:c r="F733" s="747"/>
      <x:c r="G733" s="747"/>
      <x:c r="H733" s="747"/>
      <x:c r="I733" s="747"/>
      <x:c r="J733" s="753">
        <x:f>'幕间计算'!E826</x:f>
        <x:v>0</x:v>
      </x:c>
      <x:c r="K733" s="753" t="str">
        <x:f>'幕间计算'!F826</x:f>
        <x:v/>
      </x:c>
    </x:row>
    <x:row r="734" ht="25" customHeight="1">
      <x:c r="A734" s="747"/>
      <x:c r="B734" s="747"/>
      <x:c r="C734" s="760"/>
      <x:c r="D734" s="747"/>
      <x:c r="E734" s="747"/>
      <x:c r="F734" s="747"/>
      <x:c r="G734" s="747"/>
      <x:c r="H734" s="747"/>
      <x:c r="I734" s="747"/>
      <x:c r="J734" s="753">
        <x:f>'幕间计算'!E827</x:f>
        <x:v>0</x:v>
      </x:c>
      <x:c r="K734" s="753" t="str">
        <x:f>'幕间计算'!F827</x:f>
        <x:v/>
      </x:c>
    </x:row>
    <x:row r="735" ht="25" customHeight="1">
      <x:c r="A735" s="747"/>
      <x:c r="B735" s="747"/>
      <x:c r="C735" s="760"/>
      <x:c r="D735" s="747"/>
      <x:c r="E735" s="747"/>
      <x:c r="F735" s="747"/>
      <x:c r="G735" s="747"/>
      <x:c r="H735" s="747"/>
      <x:c r="I735" s="747"/>
      <x:c r="J735" s="753">
        <x:f>'幕间计算'!E828</x:f>
        <x:v>0</x:v>
      </x:c>
      <x:c r="K735" s="753" t="str">
        <x:f>'幕间计算'!F828</x:f>
        <x:v/>
      </x:c>
    </x:row>
    <x:row r="736" ht="25" customHeight="1">
      <x:c r="A736" s="747"/>
      <x:c r="B736" s="747"/>
      <x:c r="C736" s="760"/>
      <x:c r="D736" s="747"/>
      <x:c r="E736" s="747"/>
      <x:c r="F736" s="747"/>
      <x:c r="G736" s="747"/>
      <x:c r="H736" s="747"/>
      <x:c r="I736" s="747"/>
      <x:c r="J736" s="753">
        <x:f>'幕间计算'!E829</x:f>
        <x:v>0</x:v>
      </x:c>
      <x:c r="K736" s="753" t="str">
        <x:f>'幕间计算'!F829</x:f>
        <x:v/>
      </x:c>
    </x:row>
    <x:row r="737" ht="25" customHeight="1">
      <x:c r="A737" s="747"/>
      <x:c r="B737" s="747"/>
      <x:c r="C737" s="760"/>
      <x:c r="D737" s="747"/>
      <x:c r="E737" s="747"/>
      <x:c r="F737" s="747"/>
      <x:c r="G737" s="747"/>
      <x:c r="H737" s="747"/>
      <x:c r="I737" s="747"/>
      <x:c r="J737" s="753">
        <x:f>'幕间计算'!E830</x:f>
        <x:v>0</x:v>
      </x:c>
      <x:c r="K737" s="753" t="str">
        <x:f>'幕间计算'!F830</x:f>
        <x:v/>
      </x:c>
    </x:row>
    <x:row r="738" ht="25" customHeight="1">
      <x:c r="A738" s="747"/>
      <x:c r="B738" s="747"/>
      <x:c r="C738" s="760"/>
      <x:c r="D738" s="747"/>
      <x:c r="E738" s="747"/>
      <x:c r="F738" s="747"/>
      <x:c r="G738" s="747"/>
      <x:c r="H738" s="747"/>
      <x:c r="I738" s="747"/>
      <x:c r="J738" s="753">
        <x:f>'幕间计算'!E831</x:f>
        <x:v>0</x:v>
      </x:c>
      <x:c r="K738" s="753" t="str">
        <x:f>'幕间计算'!F831</x:f>
        <x:v/>
      </x:c>
    </x:row>
    <x:row r="739" ht="25" customHeight="1">
      <x:c r="A739" s="747"/>
      <x:c r="B739" s="747"/>
      <x:c r="C739" s="760"/>
      <x:c r="D739" s="747"/>
      <x:c r="E739" s="747"/>
      <x:c r="F739" s="747"/>
      <x:c r="G739" s="747"/>
      <x:c r="H739" s="747"/>
      <x:c r="I739" s="747"/>
      <x:c r="J739" s="753">
        <x:f>'幕间计算'!E832</x:f>
        <x:v>0</x:v>
      </x:c>
      <x:c r="K739" s="753" t="str">
        <x:f>'幕间计算'!F832</x:f>
        <x:v/>
      </x:c>
    </x:row>
    <x:row r="740" ht="25" customHeight="1">
      <x:c r="A740" s="747"/>
      <x:c r="B740" s="747"/>
      <x:c r="C740" s="760"/>
      <x:c r="D740" s="747"/>
      <x:c r="E740" s="747"/>
      <x:c r="F740" s="747"/>
      <x:c r="G740" s="747"/>
      <x:c r="H740" s="747"/>
      <x:c r="I740" s="747"/>
      <x:c r="J740" s="753">
        <x:f>'幕间计算'!E833</x:f>
        <x:v>0</x:v>
      </x:c>
      <x:c r="K740" s="753" t="str">
        <x:f>'幕间计算'!F833</x:f>
        <x:v/>
      </x:c>
    </x:row>
    <x:row r="741" ht="25" customHeight="1">
      <x:c r="A741" s="747"/>
      <x:c r="B741" s="747"/>
      <x:c r="C741" s="760"/>
      <x:c r="D741" s="747"/>
      <x:c r="E741" s="747"/>
      <x:c r="F741" s="747"/>
      <x:c r="G741" s="747"/>
      <x:c r="H741" s="747"/>
      <x:c r="I741" s="747"/>
      <x:c r="J741" s="753">
        <x:f>'幕间计算'!E834</x:f>
        <x:v>0</x:v>
      </x:c>
      <x:c r="K741" s="753" t="str">
        <x:f>'幕间计算'!F834</x:f>
        <x:v/>
      </x:c>
    </x:row>
    <x:row r="742" ht="25" customHeight="1">
      <x:c r="A742" s="747"/>
      <x:c r="B742" s="747"/>
      <x:c r="C742" s="760"/>
      <x:c r="D742" s="747"/>
      <x:c r="E742" s="747"/>
      <x:c r="F742" s="747"/>
      <x:c r="G742" s="747"/>
      <x:c r="H742" s="747"/>
      <x:c r="I742" s="747"/>
      <x:c r="J742" s="753">
        <x:f>'幕间计算'!E835</x:f>
        <x:v>0</x:v>
      </x:c>
      <x:c r="K742" s="753" t="str">
        <x:f>'幕间计算'!F835</x:f>
        <x:v/>
      </x:c>
    </x:row>
    <x:row r="743" ht="25" customHeight="1">
      <x:c r="A743" s="747"/>
      <x:c r="B743" s="747"/>
      <x:c r="C743" s="760"/>
      <x:c r="D743" s="747"/>
      <x:c r="E743" s="747"/>
      <x:c r="F743" s="747"/>
      <x:c r="G743" s="747"/>
      <x:c r="H743" s="747"/>
      <x:c r="I743" s="747"/>
      <x:c r="J743" s="753">
        <x:f>'幕间计算'!E836</x:f>
        <x:v>0</x:v>
      </x:c>
      <x:c r="K743" s="753" t="str">
        <x:f>'幕间计算'!F836</x:f>
        <x:v/>
      </x:c>
    </x:row>
    <x:row r="744" ht="25" customHeight="1">
      <x:c r="A744" s="747"/>
      <x:c r="B744" s="747"/>
      <x:c r="C744" s="760"/>
      <x:c r="D744" s="747"/>
      <x:c r="E744" s="747"/>
      <x:c r="F744" s="747"/>
      <x:c r="G744" s="747"/>
      <x:c r="H744" s="747"/>
      <x:c r="I744" s="747"/>
      <x:c r="J744" s="753">
        <x:f>'幕间计算'!E837</x:f>
        <x:v>0</x:v>
      </x:c>
      <x:c r="K744" s="753" t="str">
        <x:f>'幕间计算'!F837</x:f>
        <x:v/>
      </x:c>
    </x:row>
    <x:row r="745" ht="25" customHeight="1">
      <x:c r="A745" s="747"/>
      <x:c r="B745" s="747"/>
      <x:c r="C745" s="760"/>
      <x:c r="D745" s="747"/>
      <x:c r="E745" s="747"/>
      <x:c r="F745" s="747"/>
      <x:c r="G745" s="747"/>
      <x:c r="H745" s="747"/>
      <x:c r="I745" s="747"/>
      <x:c r="J745" s="753">
        <x:f>'幕间计算'!E838</x:f>
        <x:v>0</x:v>
      </x:c>
      <x:c r="K745" s="753" t="str">
        <x:f>'幕间计算'!F838</x:f>
        <x:v/>
      </x:c>
    </x:row>
    <x:row r="746" ht="25" customHeight="1">
      <x:c r="A746" s="747"/>
      <x:c r="B746" s="747"/>
      <x:c r="C746" s="760"/>
      <x:c r="D746" s="747"/>
      <x:c r="E746" s="747"/>
      <x:c r="F746" s="747"/>
      <x:c r="G746" s="747"/>
      <x:c r="H746" s="747"/>
      <x:c r="I746" s="747"/>
      <x:c r="J746" s="753">
        <x:f>'幕间计算'!E839</x:f>
        <x:v>0</x:v>
      </x:c>
      <x:c r="K746" s="753" t="str">
        <x:f>'幕间计算'!F839</x:f>
        <x:v/>
      </x:c>
    </x:row>
    <x:row r="747" ht="25" customHeight="1">
      <x:c r="A747" s="747"/>
      <x:c r="B747" s="747"/>
      <x:c r="C747" s="760"/>
      <x:c r="D747" s="747"/>
      <x:c r="E747" s="747"/>
      <x:c r="F747" s="747"/>
      <x:c r="G747" s="747"/>
      <x:c r="H747" s="747"/>
      <x:c r="I747" s="747"/>
      <x:c r="J747" s="753">
        <x:f>'幕间计算'!E840</x:f>
        <x:v>0</x:v>
      </x:c>
      <x:c r="K747" s="753" t="str">
        <x:f>'幕间计算'!F840</x:f>
        <x:v/>
      </x:c>
    </x:row>
    <x:row r="748" ht="25" customHeight="1">
      <x:c r="A748" s="747"/>
      <x:c r="B748" s="747"/>
      <x:c r="C748" s="760"/>
      <x:c r="D748" s="747"/>
      <x:c r="E748" s="747"/>
      <x:c r="F748" s="747"/>
      <x:c r="G748" s="747"/>
      <x:c r="H748" s="747"/>
      <x:c r="I748" s="747"/>
      <x:c r="J748" s="753">
        <x:f>'幕间计算'!E841</x:f>
        <x:v>0</x:v>
      </x:c>
      <x:c r="K748" s="753" t="str">
        <x:f>'幕间计算'!F841</x:f>
        <x:v/>
      </x:c>
    </x:row>
    <x:row r="749" ht="25" customHeight="1">
      <x:c r="A749" s="747"/>
      <x:c r="B749" s="747"/>
      <x:c r="C749" s="760"/>
      <x:c r="D749" s="747"/>
      <x:c r="E749" s="747"/>
      <x:c r="F749" s="747"/>
      <x:c r="G749" s="747"/>
      <x:c r="H749" s="747"/>
      <x:c r="I749" s="747"/>
      <x:c r="J749" s="753">
        <x:f>'幕间计算'!E842</x:f>
        <x:v>0</x:v>
      </x:c>
      <x:c r="K749" s="753" t="str">
        <x:f>'幕间计算'!F842</x:f>
        <x:v/>
      </x:c>
    </x:row>
    <x:row r="750" ht="25" customHeight="1">
      <x:c r="A750" s="747"/>
      <x:c r="B750" s="747"/>
      <x:c r="C750" s="760"/>
      <x:c r="D750" s="747"/>
      <x:c r="E750" s="747"/>
      <x:c r="F750" s="747"/>
      <x:c r="G750" s="747"/>
      <x:c r="H750" s="747"/>
      <x:c r="I750" s="747"/>
      <x:c r="J750" s="753">
        <x:f>'幕间计算'!E843</x:f>
        <x:v>0</x:v>
      </x:c>
      <x:c r="K750" s="753" t="str">
        <x:f>'幕间计算'!F843</x:f>
        <x:v/>
      </x:c>
    </x:row>
    <x:row r="751" ht="25" customHeight="1">
      <x:c r="A751" s="747"/>
      <x:c r="B751" s="747"/>
      <x:c r="C751" s="760"/>
      <x:c r="D751" s="747"/>
      <x:c r="E751" s="747"/>
      <x:c r="F751" s="747"/>
      <x:c r="G751" s="747"/>
      <x:c r="H751" s="747"/>
      <x:c r="I751" s="747"/>
      <x:c r="J751" s="753">
        <x:f>'幕间计算'!E844</x:f>
        <x:v>0</x:v>
      </x:c>
      <x:c r="K751" s="753" t="str">
        <x:f>'幕间计算'!F844</x:f>
        <x:v/>
      </x:c>
    </x:row>
    <x:row r="752" ht="25" customHeight="1">
      <x:c r="A752" s="747"/>
      <x:c r="B752" s="747"/>
      <x:c r="C752" s="760"/>
      <x:c r="D752" s="747"/>
      <x:c r="E752" s="747"/>
      <x:c r="F752" s="747"/>
      <x:c r="G752" s="747"/>
      <x:c r="H752" s="747"/>
      <x:c r="I752" s="747"/>
      <x:c r="J752" s="753">
        <x:f>'幕间计算'!E845</x:f>
        <x:v>0</x:v>
      </x:c>
      <x:c r="K752" s="753" t="str">
        <x:f>'幕间计算'!F845</x:f>
        <x:v/>
      </x:c>
    </x:row>
    <x:row r="753" ht="25" customHeight="1">
      <x:c r="A753" s="747"/>
      <x:c r="B753" s="747"/>
      <x:c r="C753" s="760"/>
      <x:c r="D753" s="747"/>
      <x:c r="E753" s="747"/>
      <x:c r="F753" s="747"/>
      <x:c r="G753" s="747"/>
      <x:c r="H753" s="747"/>
      <x:c r="I753" s="747"/>
      <x:c r="J753" s="753">
        <x:f>'幕间计算'!E846</x:f>
        <x:v>0</x:v>
      </x:c>
      <x:c r="K753" s="753" t="str">
        <x:f>'幕间计算'!F846</x:f>
        <x:v/>
      </x:c>
    </x:row>
    <x:row r="754" ht="25" customHeight="1">
      <x:c r="A754" s="747"/>
      <x:c r="B754" s="747"/>
      <x:c r="C754" s="760"/>
      <x:c r="D754" s="747"/>
      <x:c r="E754" s="747"/>
      <x:c r="F754" s="747"/>
      <x:c r="G754" s="747"/>
      <x:c r="H754" s="747"/>
      <x:c r="I754" s="747"/>
      <x:c r="J754" s="753">
        <x:f>'幕间计算'!E847</x:f>
        <x:v>0</x:v>
      </x:c>
      <x:c r="K754" s="753" t="str">
        <x:f>'幕间计算'!F847</x:f>
        <x:v/>
      </x:c>
    </x:row>
    <x:row r="755" ht="25" customHeight="1">
      <x:c r="A755" s="747"/>
      <x:c r="B755" s="747"/>
      <x:c r="C755" s="760"/>
      <x:c r="D755" s="747"/>
      <x:c r="E755" s="747"/>
      <x:c r="F755" s="747"/>
      <x:c r="G755" s="747"/>
      <x:c r="H755" s="747"/>
      <x:c r="I755" s="747"/>
      <x:c r="J755" s="753">
        <x:f>'幕间计算'!E848</x:f>
        <x:v>0</x:v>
      </x:c>
      <x:c r="K755" s="753" t="str">
        <x:f>'幕间计算'!F848</x:f>
        <x:v/>
      </x:c>
    </x:row>
    <x:row r="756" ht="25" customHeight="1">
      <x:c r="A756" s="747"/>
      <x:c r="B756" s="747"/>
      <x:c r="C756" s="760"/>
      <x:c r="D756" s="747"/>
      <x:c r="E756" s="747"/>
      <x:c r="F756" s="747"/>
      <x:c r="G756" s="747"/>
      <x:c r="H756" s="747"/>
      <x:c r="I756" s="747"/>
      <x:c r="J756" s="753">
        <x:f>'幕间计算'!E849</x:f>
        <x:v>0</x:v>
      </x:c>
      <x:c r="K756" s="753" t="str">
        <x:f>'幕间计算'!F849</x:f>
        <x:v/>
      </x:c>
    </x:row>
    <x:row r="757" ht="25" customHeight="1">
      <x:c r="A757" s="747"/>
      <x:c r="B757" s="747"/>
      <x:c r="C757" s="760"/>
      <x:c r="D757" s="747"/>
      <x:c r="E757" s="747"/>
      <x:c r="F757" s="747"/>
      <x:c r="G757" s="747"/>
      <x:c r="H757" s="747"/>
      <x:c r="I757" s="747"/>
      <x:c r="J757" s="753">
        <x:f>'幕间计算'!E850</x:f>
        <x:v>0</x:v>
      </x:c>
      <x:c r="K757" s="753" t="str">
        <x:f>'幕间计算'!F850</x:f>
        <x:v/>
      </x:c>
    </x:row>
    <x:row r="758" ht="25" customHeight="1">
      <x:c r="A758" s="747"/>
      <x:c r="B758" s="747"/>
      <x:c r="C758" s="760"/>
      <x:c r="D758" s="747"/>
      <x:c r="E758" s="747"/>
      <x:c r="F758" s="747"/>
      <x:c r="G758" s="747"/>
      <x:c r="H758" s="747"/>
      <x:c r="I758" s="747"/>
      <x:c r="J758" s="753">
        <x:f>'幕间计算'!E851</x:f>
        <x:v>0</x:v>
      </x:c>
      <x:c r="K758" s="753" t="str">
        <x:f>'幕间计算'!F851</x:f>
        <x:v/>
      </x:c>
    </x:row>
    <x:row r="759" ht="25" customHeight="1">
      <x:c r="A759" s="747"/>
      <x:c r="B759" s="747"/>
      <x:c r="C759" s="760"/>
      <x:c r="D759" s="747"/>
      <x:c r="E759" s="747"/>
      <x:c r="F759" s="747"/>
      <x:c r="G759" s="747"/>
      <x:c r="H759" s="747"/>
      <x:c r="I759" s="747"/>
      <x:c r="J759" s="753">
        <x:f>'幕间计算'!E852</x:f>
        <x:v>0</x:v>
      </x:c>
      <x:c r="K759" s="753" t="str">
        <x:f>'幕间计算'!F852</x:f>
        <x:v/>
      </x:c>
    </x:row>
    <x:row r="760" ht="25" customHeight="1">
      <x:c r="A760" s="747"/>
      <x:c r="B760" s="747"/>
      <x:c r="C760" s="760"/>
      <x:c r="D760" s="747"/>
      <x:c r="E760" s="747"/>
      <x:c r="F760" s="747"/>
      <x:c r="G760" s="747"/>
      <x:c r="H760" s="747"/>
      <x:c r="I760" s="747"/>
      <x:c r="J760" s="753">
        <x:f>'幕间计算'!E853</x:f>
        <x:v>0</x:v>
      </x:c>
      <x:c r="K760" s="753" t="str">
        <x:f>'幕间计算'!F853</x:f>
        <x:v/>
      </x:c>
    </x:row>
    <x:row r="761" ht="25" customHeight="1">
      <x:c r="A761" s="747"/>
      <x:c r="B761" s="747"/>
      <x:c r="C761" s="760"/>
      <x:c r="D761" s="747"/>
      <x:c r="E761" s="747"/>
      <x:c r="F761" s="747"/>
      <x:c r="G761" s="747"/>
      <x:c r="H761" s="747"/>
      <x:c r="I761" s="747"/>
      <x:c r="J761" s="753">
        <x:f>'幕间计算'!E854</x:f>
        <x:v>0</x:v>
      </x:c>
      <x:c r="K761" s="753" t="str">
        <x:f>'幕间计算'!F854</x:f>
        <x:v/>
      </x:c>
    </x:row>
    <x:row r="762" ht="25" customHeight="1">
      <x:c r="A762" s="747"/>
      <x:c r="B762" s="747"/>
      <x:c r="C762" s="760"/>
      <x:c r="D762" s="747"/>
      <x:c r="E762" s="747"/>
      <x:c r="F762" s="747"/>
      <x:c r="G762" s="747"/>
      <x:c r="H762" s="747"/>
      <x:c r="I762" s="747"/>
      <x:c r="J762" s="753">
        <x:f>'幕间计算'!E855</x:f>
        <x:v>0</x:v>
      </x:c>
      <x:c r="K762" s="753" t="str">
        <x:f>'幕间计算'!F855</x:f>
        <x:v/>
      </x:c>
    </x:row>
    <x:row r="763" ht="25" customHeight="1">
      <x:c r="A763" s="747"/>
      <x:c r="B763" s="747"/>
      <x:c r="C763" s="760"/>
      <x:c r="D763" s="747"/>
      <x:c r="E763" s="747"/>
      <x:c r="F763" s="747"/>
      <x:c r="G763" s="747"/>
      <x:c r="H763" s="747"/>
      <x:c r="I763" s="747"/>
      <x:c r="J763" s="753">
        <x:f>'幕间计算'!E856</x:f>
        <x:v>0</x:v>
      </x:c>
      <x:c r="K763" s="753" t="str">
        <x:f>'幕间计算'!F856</x:f>
        <x:v/>
      </x:c>
    </x:row>
    <x:row r="764" ht="25" customHeight="1">
      <x:c r="A764" s="747"/>
      <x:c r="B764" s="747"/>
      <x:c r="C764" s="760"/>
      <x:c r="D764" s="747"/>
      <x:c r="E764" s="747"/>
      <x:c r="F764" s="747"/>
      <x:c r="G764" s="747"/>
      <x:c r="H764" s="747"/>
      <x:c r="I764" s="747"/>
      <x:c r="J764" s="753">
        <x:f>'幕间计算'!E857</x:f>
        <x:v>0</x:v>
      </x:c>
      <x:c r="K764" s="753" t="str">
        <x:f>'幕间计算'!F857</x:f>
        <x:v/>
      </x:c>
    </x:row>
    <x:row r="765" ht="25" customHeight="1">
      <x:c r="A765" s="747"/>
      <x:c r="B765" s="747"/>
      <x:c r="C765" s="760"/>
      <x:c r="D765" s="747"/>
      <x:c r="E765" s="747"/>
      <x:c r="F765" s="747"/>
      <x:c r="G765" s="747"/>
      <x:c r="H765" s="747"/>
      <x:c r="I765" s="747"/>
      <x:c r="J765" s="753">
        <x:f>'幕间计算'!E858</x:f>
        <x:v>0</x:v>
      </x:c>
      <x:c r="K765" s="753" t="str">
        <x:f>'幕间计算'!F858</x:f>
        <x:v/>
      </x:c>
    </x:row>
    <x:row r="766" ht="25" customHeight="1">
      <x:c r="A766" s="747"/>
      <x:c r="B766" s="747"/>
      <x:c r="C766" s="760"/>
      <x:c r="D766" s="747"/>
      <x:c r="E766" s="747"/>
      <x:c r="F766" s="747"/>
      <x:c r="G766" s="747"/>
      <x:c r="H766" s="747"/>
      <x:c r="I766" s="747"/>
      <x:c r="J766" s="753">
        <x:f>'幕间计算'!E859</x:f>
        <x:v>0</x:v>
      </x:c>
      <x:c r="K766" s="753" t="str">
        <x:f>'幕间计算'!F859</x:f>
        <x:v/>
      </x:c>
    </x:row>
    <x:row r="767" ht="25" customHeight="1">
      <x:c r="A767" s="747"/>
      <x:c r="B767" s="747"/>
      <x:c r="C767" s="760"/>
      <x:c r="D767" s="747"/>
      <x:c r="E767" s="747"/>
      <x:c r="F767" s="747"/>
      <x:c r="G767" s="747"/>
      <x:c r="H767" s="747"/>
      <x:c r="I767" s="747"/>
      <x:c r="J767" s="753">
        <x:f>'幕间计算'!E860</x:f>
        <x:v>0</x:v>
      </x:c>
      <x:c r="K767" s="753" t="str">
        <x:f>'幕间计算'!F860</x:f>
        <x:v/>
      </x:c>
    </x:row>
    <x:row r="768" ht="25" customHeight="1">
      <x:c r="A768" s="747"/>
      <x:c r="B768" s="747"/>
      <x:c r="C768" s="760"/>
      <x:c r="D768" s="747"/>
      <x:c r="E768" s="747"/>
      <x:c r="F768" s="747"/>
      <x:c r="G768" s="747"/>
      <x:c r="H768" s="747"/>
      <x:c r="I768" s="747"/>
      <x:c r="J768" s="753">
        <x:f>'幕间计算'!E861</x:f>
        <x:v>0</x:v>
      </x:c>
      <x:c r="K768" s="753" t="str">
        <x:f>'幕间计算'!F861</x:f>
        <x:v/>
      </x:c>
    </x:row>
    <x:row r="769" ht="25" customHeight="1">
      <x:c r="A769" s="747"/>
      <x:c r="B769" s="747"/>
      <x:c r="C769" s="760"/>
      <x:c r="D769" s="747"/>
      <x:c r="E769" s="747"/>
      <x:c r="F769" s="747"/>
      <x:c r="G769" s="747"/>
      <x:c r="H769" s="747"/>
      <x:c r="I769" s="747"/>
      <x:c r="J769" s="753">
        <x:f>'幕间计算'!E862</x:f>
        <x:v>0</x:v>
      </x:c>
      <x:c r="K769" s="753" t="str">
        <x:f>'幕间计算'!F862</x:f>
        <x:v/>
      </x:c>
    </x:row>
    <x:row r="770" ht="25" customHeight="1">
      <x:c r="A770" s="747"/>
      <x:c r="B770" s="747"/>
      <x:c r="C770" s="760"/>
      <x:c r="D770" s="747"/>
      <x:c r="E770" s="747"/>
      <x:c r="F770" s="747"/>
      <x:c r="G770" s="747"/>
      <x:c r="H770" s="747"/>
      <x:c r="I770" s="747"/>
      <x:c r="J770" s="753">
        <x:f>'幕间计算'!E863</x:f>
        <x:v>0</x:v>
      </x:c>
      <x:c r="K770" s="753" t="str">
        <x:f>'幕间计算'!F863</x:f>
        <x:v/>
      </x:c>
    </x:row>
    <x:row r="771" ht="25" customHeight="1">
      <x:c r="A771" s="747"/>
      <x:c r="B771" s="747"/>
      <x:c r="C771" s="760"/>
      <x:c r="D771" s="747"/>
      <x:c r="E771" s="747"/>
      <x:c r="F771" s="747"/>
      <x:c r="G771" s="747"/>
      <x:c r="H771" s="747"/>
      <x:c r="I771" s="747"/>
      <x:c r="J771" s="753">
        <x:f>'幕间计算'!E864</x:f>
        <x:v>0</x:v>
      </x:c>
      <x:c r="K771" s="753" t="str">
        <x:f>'幕间计算'!F864</x:f>
        <x:v/>
      </x:c>
    </x:row>
    <x:row r="772" ht="25" customHeight="1">
      <x:c r="A772" s="747"/>
      <x:c r="B772" s="747"/>
      <x:c r="C772" s="760"/>
      <x:c r="D772" s="747"/>
      <x:c r="E772" s="747"/>
      <x:c r="F772" s="747"/>
      <x:c r="G772" s="747"/>
      <x:c r="H772" s="747"/>
      <x:c r="I772" s="747"/>
      <x:c r="J772" s="753">
        <x:f>'幕间计算'!E865</x:f>
        <x:v>0</x:v>
      </x:c>
      <x:c r="K772" s="753" t="str">
        <x:f>'幕间计算'!F865</x:f>
        <x:v/>
      </x:c>
    </x:row>
    <x:row r="773" ht="25" customHeight="1">
      <x:c r="A773" s="747"/>
      <x:c r="B773" s="747"/>
      <x:c r="C773" s="760"/>
      <x:c r="D773" s="747"/>
      <x:c r="E773" s="747"/>
      <x:c r="F773" s="747"/>
      <x:c r="G773" s="747"/>
      <x:c r="H773" s="747"/>
      <x:c r="I773" s="747"/>
      <x:c r="J773" s="753">
        <x:f>'幕间计算'!E866</x:f>
        <x:v>0</x:v>
      </x:c>
      <x:c r="K773" s="753" t="str">
        <x:f>'幕间计算'!F866</x:f>
        <x:v/>
      </x:c>
    </x:row>
    <x:row r="774" ht="25" customHeight="1">
      <x:c r="A774" s="747"/>
      <x:c r="B774" s="747"/>
      <x:c r="C774" s="760"/>
      <x:c r="D774" s="747"/>
      <x:c r="E774" s="747"/>
      <x:c r="F774" s="747"/>
      <x:c r="G774" s="747"/>
      <x:c r="H774" s="747"/>
      <x:c r="I774" s="747"/>
      <x:c r="J774" s="753">
        <x:f>'幕间计算'!E867</x:f>
        <x:v>0</x:v>
      </x:c>
      <x:c r="K774" s="753" t="str">
        <x:f>'幕间计算'!F867</x:f>
        <x:v/>
      </x:c>
    </x:row>
    <x:row r="775" ht="25" customHeight="1">
      <x:c r="A775" s="747"/>
      <x:c r="B775" s="747"/>
      <x:c r="C775" s="760"/>
      <x:c r="D775" s="747"/>
      <x:c r="E775" s="747"/>
      <x:c r="F775" s="747"/>
      <x:c r="G775" s="747"/>
      <x:c r="H775" s="747"/>
      <x:c r="I775" s="747"/>
      <x:c r="J775" s="753">
        <x:f>'幕间计算'!E868</x:f>
        <x:v>0</x:v>
      </x:c>
      <x:c r="K775" s="753" t="str">
        <x:f>'幕间计算'!F868</x:f>
        <x:v/>
      </x:c>
    </x:row>
    <x:row r="776" ht="25" customHeight="1">
      <x:c r="A776" s="747"/>
      <x:c r="B776" s="747"/>
      <x:c r="C776" s="760"/>
      <x:c r="D776" s="747"/>
      <x:c r="E776" s="747"/>
      <x:c r="F776" s="747"/>
      <x:c r="G776" s="747"/>
      <x:c r="H776" s="747"/>
      <x:c r="I776" s="747"/>
      <x:c r="J776" s="753">
        <x:f>'幕间计算'!E869</x:f>
        <x:v>0</x:v>
      </x:c>
      <x:c r="K776" s="753" t="str">
        <x:f>'幕间计算'!F869</x:f>
        <x:v/>
      </x:c>
    </x:row>
    <x:row r="777" ht="25" customHeight="1">
      <x:c r="A777" s="747"/>
      <x:c r="B777" s="747"/>
      <x:c r="C777" s="760"/>
      <x:c r="D777" s="747"/>
      <x:c r="E777" s="747"/>
      <x:c r="F777" s="747"/>
      <x:c r="G777" s="747"/>
      <x:c r="H777" s="747"/>
      <x:c r="I777" s="747"/>
      <x:c r="J777" s="753">
        <x:f>'幕间计算'!E870</x:f>
        <x:v>0</x:v>
      </x:c>
      <x:c r="K777" s="753" t="str">
        <x:f>'幕间计算'!F870</x:f>
        <x:v/>
      </x:c>
    </x:row>
    <x:row r="778" ht="25" customHeight="1">
      <x:c r="A778" s="747"/>
      <x:c r="B778" s="747"/>
      <x:c r="C778" s="760"/>
      <x:c r="D778" s="747"/>
      <x:c r="E778" s="747"/>
      <x:c r="F778" s="747"/>
      <x:c r="G778" s="747"/>
      <x:c r="H778" s="747"/>
      <x:c r="I778" s="747"/>
      <x:c r="J778" s="753">
        <x:f>'幕间计算'!E871</x:f>
        <x:v>0</x:v>
      </x:c>
      <x:c r="K778" s="753" t="str">
        <x:f>'幕间计算'!F871</x:f>
        <x:v/>
      </x:c>
    </x:row>
    <x:row r="779" ht="25" customHeight="1">
      <x:c r="A779" s="747"/>
      <x:c r="B779" s="747"/>
      <x:c r="C779" s="760"/>
      <x:c r="D779" s="747"/>
      <x:c r="E779" s="747"/>
      <x:c r="F779" s="747"/>
      <x:c r="G779" s="747"/>
      <x:c r="H779" s="747"/>
      <x:c r="I779" s="747"/>
      <x:c r="J779" s="753">
        <x:f>'幕间计算'!E872</x:f>
        <x:v>0</x:v>
      </x:c>
      <x:c r="K779" s="753" t="str">
        <x:f>'幕间计算'!F872</x:f>
        <x:v/>
      </x:c>
    </x:row>
    <x:row r="780" ht="25" customHeight="1">
      <x:c r="A780" s="747"/>
      <x:c r="B780" s="747"/>
      <x:c r="C780" s="760"/>
      <x:c r="D780" s="747"/>
      <x:c r="E780" s="747"/>
      <x:c r="F780" s="747"/>
      <x:c r="G780" s="747"/>
      <x:c r="H780" s="747"/>
      <x:c r="I780" s="747"/>
      <x:c r="J780" s="753">
        <x:f>'幕间计算'!E873</x:f>
        <x:v>0</x:v>
      </x:c>
      <x:c r="K780" s="753" t="str">
        <x:f>'幕间计算'!F873</x:f>
        <x:v/>
      </x:c>
    </x:row>
    <x:row r="781" ht="25" customHeight="1">
      <x:c r="A781" s="747"/>
      <x:c r="B781" s="747"/>
      <x:c r="C781" s="760"/>
      <x:c r="D781" s="747"/>
      <x:c r="E781" s="747"/>
      <x:c r="F781" s="747"/>
      <x:c r="G781" s="747"/>
      <x:c r="H781" s="747"/>
      <x:c r="I781" s="747"/>
      <x:c r="J781" s="753">
        <x:f>'幕间计算'!E874</x:f>
        <x:v>0</x:v>
      </x:c>
      <x:c r="K781" s="753" t="str">
        <x:f>'幕间计算'!F874</x:f>
        <x:v/>
      </x:c>
    </x:row>
    <x:row r="782" ht="25" customHeight="1">
      <x:c r="A782" s="747"/>
      <x:c r="B782" s="747"/>
      <x:c r="C782" s="760"/>
      <x:c r="D782" s="747"/>
      <x:c r="E782" s="747"/>
      <x:c r="F782" s="747"/>
      <x:c r="G782" s="747"/>
      <x:c r="H782" s="747"/>
      <x:c r="I782" s="747"/>
      <x:c r="J782" s="753">
        <x:f>'幕间计算'!E875</x:f>
        <x:v>0</x:v>
      </x:c>
      <x:c r="K782" s="753" t="str">
        <x:f>'幕间计算'!F875</x:f>
        <x:v/>
      </x:c>
    </x:row>
    <x:row r="783" ht="25" customHeight="1">
      <x:c r="A783" s="747"/>
      <x:c r="B783" s="747"/>
      <x:c r="C783" s="760"/>
      <x:c r="D783" s="747"/>
      <x:c r="E783" s="747"/>
      <x:c r="F783" s="747"/>
      <x:c r="G783" s="747"/>
      <x:c r="H783" s="747"/>
      <x:c r="I783" s="747"/>
      <x:c r="J783" s="753">
        <x:f>'幕间计算'!E876</x:f>
        <x:v>0</x:v>
      </x:c>
      <x:c r="K783" s="753" t="str">
        <x:f>'幕间计算'!F876</x:f>
        <x:v/>
      </x:c>
    </x:row>
    <x:row r="784" ht="25" customHeight="1">
      <x:c r="A784" s="747"/>
      <x:c r="B784" s="747"/>
      <x:c r="C784" s="760"/>
      <x:c r="D784" s="747"/>
      <x:c r="E784" s="747"/>
      <x:c r="F784" s="747"/>
      <x:c r="G784" s="747"/>
      <x:c r="H784" s="747"/>
      <x:c r="I784" s="747"/>
      <x:c r="J784" s="753">
        <x:f>'幕间计算'!E877</x:f>
        <x:v>0</x:v>
      </x:c>
      <x:c r="K784" s="753" t="str">
        <x:f>'幕间计算'!F877</x:f>
        <x:v/>
      </x:c>
    </x:row>
    <x:row r="785" ht="25" customHeight="1">
      <x:c r="A785" s="747"/>
      <x:c r="B785" s="747"/>
      <x:c r="C785" s="760"/>
      <x:c r="D785" s="747"/>
      <x:c r="E785" s="747"/>
      <x:c r="F785" s="747"/>
      <x:c r="G785" s="747"/>
      <x:c r="H785" s="747"/>
      <x:c r="I785" s="747"/>
      <x:c r="J785" s="753">
        <x:f>'幕间计算'!E878</x:f>
        <x:v>0</x:v>
      </x:c>
      <x:c r="K785" s="753" t="str">
        <x:f>'幕间计算'!F878</x:f>
        <x:v/>
      </x:c>
    </x:row>
    <x:row r="786" ht="25" customHeight="1">
      <x:c r="A786" s="747"/>
      <x:c r="B786" s="747"/>
      <x:c r="C786" s="760"/>
      <x:c r="D786" s="747"/>
      <x:c r="E786" s="747"/>
      <x:c r="F786" s="747"/>
      <x:c r="G786" s="747"/>
      <x:c r="H786" s="747"/>
      <x:c r="I786" s="747"/>
      <x:c r="J786" s="753">
        <x:f>'幕间计算'!E879</x:f>
        <x:v>0</x:v>
      </x:c>
      <x:c r="K786" s="753" t="str">
        <x:f>'幕间计算'!F879</x:f>
        <x:v/>
      </x:c>
    </x:row>
    <x:row r="787" ht="25" customHeight="1">
      <x:c r="A787" s="747"/>
      <x:c r="B787" s="747"/>
      <x:c r="C787" s="760"/>
      <x:c r="D787" s="747"/>
      <x:c r="E787" s="747"/>
      <x:c r="F787" s="747"/>
      <x:c r="G787" s="747"/>
      <x:c r="H787" s="747"/>
      <x:c r="I787" s="747"/>
      <x:c r="J787" s="753">
        <x:f>'幕间计算'!E880</x:f>
        <x:v>0</x:v>
      </x:c>
      <x:c r="K787" s="753" t="str">
        <x:f>'幕间计算'!F880</x:f>
        <x:v/>
      </x:c>
    </x:row>
    <x:row r="788" ht="25" customHeight="1">
      <x:c r="A788" s="747"/>
      <x:c r="B788" s="747"/>
      <x:c r="C788" s="760"/>
      <x:c r="D788" s="747"/>
      <x:c r="E788" s="747"/>
      <x:c r="F788" s="747"/>
      <x:c r="G788" s="747"/>
      <x:c r="H788" s="747"/>
      <x:c r="I788" s="747"/>
      <x:c r="J788" s="753">
        <x:f>'幕间计算'!E881</x:f>
        <x:v>0</x:v>
      </x:c>
      <x:c r="K788" s="753" t="str">
        <x:f>'幕间计算'!F881</x:f>
        <x:v/>
      </x:c>
    </x:row>
    <x:row r="789" ht="25" customHeight="1">
      <x:c r="A789" s="747"/>
      <x:c r="B789" s="747"/>
      <x:c r="C789" s="760"/>
      <x:c r="D789" s="747"/>
      <x:c r="E789" s="747"/>
      <x:c r="F789" s="747"/>
      <x:c r="G789" s="747"/>
      <x:c r="H789" s="747"/>
      <x:c r="I789" s="747"/>
      <x:c r="J789" s="753">
        <x:f>'幕间计算'!E882</x:f>
        <x:v>0</x:v>
      </x:c>
      <x:c r="K789" s="753" t="str">
        <x:f>'幕间计算'!F882</x:f>
        <x:v/>
      </x:c>
    </x:row>
    <x:row r="790" ht="25" customHeight="1">
      <x:c r="A790" s="747"/>
      <x:c r="B790" s="747"/>
      <x:c r="C790" s="760"/>
      <x:c r="D790" s="747"/>
      <x:c r="E790" s="747"/>
      <x:c r="F790" s="747"/>
      <x:c r="G790" s="747"/>
      <x:c r="H790" s="747"/>
      <x:c r="I790" s="747"/>
      <x:c r="J790" s="753">
        <x:f>'幕间计算'!E883</x:f>
        <x:v>0</x:v>
      </x:c>
      <x:c r="K790" s="753" t="str">
        <x:f>'幕间计算'!F883</x:f>
        <x:v/>
      </x:c>
    </x:row>
    <x:row r="791" ht="25" customHeight="1">
      <x:c r="A791" s="747"/>
      <x:c r="B791" s="747"/>
      <x:c r="C791" s="760"/>
      <x:c r="D791" s="747"/>
      <x:c r="E791" s="747"/>
      <x:c r="F791" s="747"/>
      <x:c r="G791" s="747"/>
      <x:c r="H791" s="747"/>
      <x:c r="I791" s="747"/>
      <x:c r="J791" s="753">
        <x:f>'幕间计算'!E884</x:f>
        <x:v>0</x:v>
      </x:c>
      <x:c r="K791" s="753" t="str">
        <x:f>'幕间计算'!F884</x:f>
        <x:v/>
      </x:c>
    </x:row>
    <x:row r="792" ht="25" customHeight="1">
      <x:c r="A792" s="747"/>
      <x:c r="B792" s="747"/>
      <x:c r="C792" s="760"/>
      <x:c r="D792" s="747"/>
      <x:c r="E792" s="747"/>
      <x:c r="F792" s="747"/>
      <x:c r="G792" s="747"/>
      <x:c r="H792" s="747"/>
      <x:c r="I792" s="747"/>
      <x:c r="J792" s="753">
        <x:f>'幕间计算'!E885</x:f>
        <x:v>0</x:v>
      </x:c>
      <x:c r="K792" s="753" t="str">
        <x:f>'幕间计算'!F885</x:f>
        <x:v/>
      </x:c>
    </x:row>
    <x:row r="793" ht="25" customHeight="1">
      <x:c r="A793" s="747"/>
      <x:c r="B793" s="747"/>
      <x:c r="C793" s="760"/>
      <x:c r="D793" s="747"/>
      <x:c r="E793" s="747"/>
      <x:c r="F793" s="747"/>
      <x:c r="G793" s="747"/>
      <x:c r="H793" s="747"/>
      <x:c r="I793" s="747"/>
      <x:c r="J793" s="753">
        <x:f>'幕间计算'!E886</x:f>
        <x:v>0</x:v>
      </x:c>
      <x:c r="K793" s="753" t="str">
        <x:f>'幕间计算'!F886</x:f>
        <x:v/>
      </x:c>
    </x:row>
    <x:row r="794" ht="25" customHeight="1">
      <x:c r="A794" s="747"/>
      <x:c r="B794" s="747"/>
      <x:c r="C794" s="760"/>
      <x:c r="D794" s="747"/>
      <x:c r="E794" s="747"/>
      <x:c r="F794" s="747"/>
      <x:c r="G794" s="747"/>
      <x:c r="H794" s="747"/>
      <x:c r="I794" s="747"/>
      <x:c r="J794" s="753">
        <x:f>'幕间计算'!E887</x:f>
        <x:v>0</x:v>
      </x:c>
      <x:c r="K794" s="753" t="str">
        <x:f>'幕间计算'!F887</x:f>
        <x:v/>
      </x:c>
    </x:row>
    <x:row r="795" ht="25" customHeight="1">
      <x:c r="A795" s="747"/>
      <x:c r="B795" s="747"/>
      <x:c r="C795" s="760"/>
      <x:c r="D795" s="747"/>
      <x:c r="E795" s="747"/>
      <x:c r="F795" s="747"/>
      <x:c r="G795" s="747"/>
      <x:c r="H795" s="747"/>
      <x:c r="I795" s="747"/>
      <x:c r="J795" s="753">
        <x:f>'幕间计算'!E888</x:f>
        <x:v>0</x:v>
      </x:c>
      <x:c r="K795" s="753" t="str">
        <x:f>'幕间计算'!F888</x:f>
        <x:v/>
      </x:c>
    </x:row>
    <x:row r="796" ht="25" customHeight="1">
      <x:c r="A796" s="747"/>
      <x:c r="B796" s="747"/>
      <x:c r="C796" s="760"/>
      <x:c r="D796" s="747"/>
      <x:c r="E796" s="747"/>
      <x:c r="F796" s="747"/>
      <x:c r="G796" s="747"/>
      <x:c r="H796" s="747"/>
      <x:c r="I796" s="747"/>
      <x:c r="J796" s="753">
        <x:f>'幕间计算'!E889</x:f>
        <x:v>0</x:v>
      </x:c>
      <x:c r="K796" s="753" t="str">
        <x:f>'幕间计算'!F889</x:f>
        <x:v/>
      </x:c>
    </x:row>
    <x:row r="797" ht="25" customHeight="1">
      <x:c r="A797" s="747"/>
      <x:c r="B797" s="747"/>
      <x:c r="C797" s="760"/>
      <x:c r="D797" s="747"/>
      <x:c r="E797" s="747"/>
      <x:c r="F797" s="747"/>
      <x:c r="G797" s="747"/>
      <x:c r="H797" s="747"/>
      <x:c r="I797" s="747"/>
      <x:c r="J797" s="753">
        <x:f>'幕间计算'!E890</x:f>
        <x:v>0</x:v>
      </x:c>
      <x:c r="K797" s="753" t="str">
        <x:f>'幕间计算'!F890</x:f>
        <x:v/>
      </x:c>
    </x:row>
    <x:row r="798" ht="25" customHeight="1">
      <x:c r="A798" s="747"/>
      <x:c r="B798" s="747"/>
      <x:c r="C798" s="760"/>
      <x:c r="D798" s="747"/>
      <x:c r="E798" s="747"/>
      <x:c r="F798" s="747"/>
      <x:c r="G798" s="747"/>
      <x:c r="H798" s="747"/>
      <x:c r="I798" s="747"/>
      <x:c r="J798" s="753">
        <x:f>'幕间计算'!E891</x:f>
        <x:v>0</x:v>
      </x:c>
      <x:c r="K798" s="753" t="str">
        <x:f>'幕间计算'!F891</x:f>
        <x:v/>
      </x:c>
    </x:row>
    <x:row r="799" ht="25" customHeight="1">
      <x:c r="A799" s="747"/>
      <x:c r="B799" s="747"/>
      <x:c r="C799" s="760"/>
      <x:c r="D799" s="747"/>
      <x:c r="E799" s="747"/>
      <x:c r="F799" s="747"/>
      <x:c r="G799" s="747"/>
      <x:c r="H799" s="747"/>
      <x:c r="I799" s="747"/>
      <x:c r="J799" s="753">
        <x:f>'幕间计算'!E892</x:f>
        <x:v>0</x:v>
      </x:c>
      <x:c r="K799" s="753" t="str">
        <x:f>'幕间计算'!F892</x:f>
        <x:v/>
      </x:c>
    </x:row>
    <x:row r="800" ht="25" customHeight="1">
      <x:c r="A800" s="747"/>
      <x:c r="B800" s="747"/>
      <x:c r="C800" s="760"/>
      <x:c r="D800" s="747"/>
      <x:c r="E800" s="747"/>
      <x:c r="F800" s="747"/>
      <x:c r="G800" s="747"/>
      <x:c r="H800" s="747"/>
      <x:c r="I800" s="747"/>
      <x:c r="J800" s="753">
        <x:f>'幕间计算'!E893</x:f>
        <x:v>0</x:v>
      </x:c>
      <x:c r="K800" s="753" t="str">
        <x:f>'幕间计算'!F893</x:f>
        <x:v/>
      </x:c>
    </x:row>
    <x:row r="801" ht="25" customHeight="1">
      <x:c r="A801" s="747"/>
      <x:c r="B801" s="747"/>
      <x:c r="C801" s="760"/>
      <x:c r="D801" s="747"/>
      <x:c r="E801" s="747"/>
      <x:c r="F801" s="747"/>
      <x:c r="G801" s="747"/>
      <x:c r="H801" s="747"/>
      <x:c r="I801" s="747"/>
      <x:c r="J801" s="753">
        <x:f>'幕间计算'!E894</x:f>
        <x:v>0</x:v>
      </x:c>
      <x:c r="K801" s="753" t="str">
        <x:f>'幕间计算'!F894</x:f>
        <x:v/>
      </x:c>
    </x:row>
    <x:row r="802" ht="25" customHeight="1">
      <x:c r="A802" s="747"/>
      <x:c r="B802" s="747"/>
      <x:c r="C802" s="760"/>
      <x:c r="D802" s="747"/>
      <x:c r="E802" s="747"/>
      <x:c r="F802" s="747"/>
      <x:c r="G802" s="747"/>
      <x:c r="H802" s="747"/>
      <x:c r="I802" s="747"/>
      <x:c r="J802" s="753">
        <x:f>'幕间计算'!E895</x:f>
        <x:v>0</x:v>
      </x:c>
      <x:c r="K802" s="753" t="str">
        <x:f>'幕间计算'!F895</x:f>
        <x:v/>
      </x:c>
    </x:row>
    <x:row r="803" ht="25" customHeight="1">
      <x:c r="A803" s="747"/>
      <x:c r="B803" s="747"/>
      <x:c r="C803" s="760"/>
      <x:c r="D803" s="747"/>
      <x:c r="E803" s="747"/>
      <x:c r="F803" s="747"/>
      <x:c r="G803" s="747"/>
      <x:c r="H803" s="747"/>
      <x:c r="I803" s="747"/>
      <x:c r="J803" s="753">
        <x:f>'幕间计算'!E896</x:f>
        <x:v>0</x:v>
      </x:c>
      <x:c r="K803" s="753" t="str">
        <x:f>'幕间计算'!F896</x:f>
        <x:v/>
      </x:c>
    </x:row>
    <x:row r="804" ht="25" customHeight="1">
      <x:c r="A804" s="747"/>
      <x:c r="B804" s="747"/>
      <x:c r="C804" s="760"/>
      <x:c r="D804" s="747"/>
      <x:c r="E804" s="747"/>
      <x:c r="F804" s="747"/>
      <x:c r="G804" s="747"/>
      <x:c r="H804" s="747"/>
      <x:c r="I804" s="747"/>
      <x:c r="J804" s="753">
        <x:f>'幕间计算'!E897</x:f>
        <x:v>0</x:v>
      </x:c>
      <x:c r="K804" s="753" t="str">
        <x:f>'幕间计算'!F897</x:f>
        <x:v/>
      </x:c>
    </x:row>
    <x:row r="805" ht="25" customHeight="1">
      <x:c r="A805" s="747"/>
      <x:c r="B805" s="747"/>
      <x:c r="C805" s="760"/>
      <x:c r="D805" s="747"/>
      <x:c r="E805" s="747"/>
      <x:c r="F805" s="747"/>
      <x:c r="G805" s="747"/>
      <x:c r="H805" s="747"/>
      <x:c r="I805" s="747"/>
      <x:c r="J805" s="753">
        <x:f>'幕间计算'!E898</x:f>
        <x:v>0</x:v>
      </x:c>
      <x:c r="K805" s="753" t="str">
        <x:f>'幕间计算'!F898</x:f>
        <x:v/>
      </x:c>
    </x:row>
    <x:row r="806" ht="25" customHeight="1">
      <x:c r="A806" s="747"/>
      <x:c r="B806" s="747"/>
      <x:c r="C806" s="760"/>
      <x:c r="D806" s="747"/>
      <x:c r="E806" s="747"/>
      <x:c r="F806" s="747"/>
      <x:c r="G806" s="747"/>
      <x:c r="H806" s="747"/>
      <x:c r="I806" s="747"/>
      <x:c r="J806" s="753">
        <x:f>'幕间计算'!E899</x:f>
        <x:v>0</x:v>
      </x:c>
      <x:c r="K806" s="753" t="str">
        <x:f>'幕间计算'!F899</x:f>
        <x:v/>
      </x:c>
    </x:row>
    <x:row r="807" ht="25" customHeight="1">
      <x:c r="A807" s="747"/>
      <x:c r="B807" s="747"/>
      <x:c r="C807" s="760"/>
      <x:c r="D807" s="747"/>
      <x:c r="E807" s="747"/>
      <x:c r="F807" s="747"/>
      <x:c r="G807" s="747"/>
      <x:c r="H807" s="747"/>
      <x:c r="I807" s="747"/>
      <x:c r="J807" s="753">
        <x:f>'幕间计算'!E900</x:f>
        <x:v>0</x:v>
      </x:c>
      <x:c r="K807" s="753" t="str">
        <x:f>'幕间计算'!F900</x:f>
        <x:v/>
      </x:c>
    </x:row>
    <x:row r="808" ht="25" customHeight="1">
      <x:c r="A808" s="747"/>
      <x:c r="B808" s="747"/>
      <x:c r="C808" s="760"/>
      <x:c r="D808" s="747"/>
      <x:c r="E808" s="747"/>
      <x:c r="F808" s="747"/>
      <x:c r="G808" s="747"/>
      <x:c r="H808" s="747"/>
      <x:c r="I808" s="747"/>
      <x:c r="J808" s="753">
        <x:f>'幕间计算'!E901</x:f>
        <x:v>0</x:v>
      </x:c>
      <x:c r="K808" s="753" t="str">
        <x:f>'幕间计算'!F901</x:f>
        <x:v/>
      </x:c>
    </x:row>
    <x:row r="809" ht="25" customHeight="1">
      <x:c r="A809" s="747"/>
      <x:c r="B809" s="747"/>
      <x:c r="C809" s="760"/>
      <x:c r="D809" s="747"/>
      <x:c r="E809" s="747"/>
      <x:c r="F809" s="747"/>
      <x:c r="G809" s="747"/>
      <x:c r="H809" s="747"/>
      <x:c r="I809" s="747"/>
      <x:c r="J809" s="753">
        <x:f>'幕间计算'!E902</x:f>
        <x:v>0</x:v>
      </x:c>
      <x:c r="K809" s="753" t="str">
        <x:f>'幕间计算'!F902</x:f>
        <x:v/>
      </x:c>
    </x:row>
    <x:row r="810" ht="25" customHeight="1">
      <x:c r="A810" s="747"/>
      <x:c r="B810" s="747"/>
      <x:c r="C810" s="760"/>
      <x:c r="D810" s="747"/>
      <x:c r="E810" s="747"/>
      <x:c r="F810" s="747"/>
      <x:c r="G810" s="747"/>
      <x:c r="H810" s="747"/>
      <x:c r="I810" s="747"/>
      <x:c r="J810" s="753">
        <x:f>'幕间计算'!E903</x:f>
        <x:v>0</x:v>
      </x:c>
      <x:c r="K810" s="753" t="str">
        <x:f>'幕间计算'!F903</x:f>
        <x:v/>
      </x:c>
    </x:row>
    <x:row r="811" ht="25" customHeight="1">
      <x:c r="A811" s="747"/>
      <x:c r="B811" s="747"/>
      <x:c r="C811" s="760"/>
      <x:c r="D811" s="747"/>
      <x:c r="E811" s="747"/>
      <x:c r="F811" s="747"/>
      <x:c r="G811" s="747"/>
      <x:c r="H811" s="747"/>
      <x:c r="I811" s="747"/>
      <x:c r="J811" s="753">
        <x:f>'幕间计算'!E904</x:f>
        <x:v>0</x:v>
      </x:c>
      <x:c r="K811" s="753" t="str">
        <x:f>'幕间计算'!F904</x:f>
        <x:v/>
      </x:c>
    </x:row>
    <x:row r="812" ht="25" customHeight="1">
      <x:c r="A812" s="747"/>
      <x:c r="B812" s="747"/>
      <x:c r="C812" s="760"/>
      <x:c r="D812" s="747"/>
      <x:c r="E812" s="747"/>
      <x:c r="F812" s="747"/>
      <x:c r="G812" s="747"/>
      <x:c r="H812" s="747"/>
      <x:c r="I812" s="747"/>
      <x:c r="J812" s="753">
        <x:f>'幕间计算'!E905</x:f>
        <x:v>0</x:v>
      </x:c>
      <x:c r="K812" s="753" t="str">
        <x:f>'幕间计算'!F905</x:f>
        <x:v/>
      </x:c>
    </x:row>
    <x:row r="813" ht="25" customHeight="1">
      <x:c r="A813" s="747"/>
      <x:c r="B813" s="747"/>
      <x:c r="C813" s="760"/>
      <x:c r="D813" s="747"/>
      <x:c r="E813" s="747"/>
      <x:c r="F813" s="747"/>
      <x:c r="G813" s="747"/>
      <x:c r="H813" s="747"/>
      <x:c r="I813" s="747"/>
      <x:c r="J813" s="753">
        <x:f>'幕间计算'!E906</x:f>
        <x:v>0</x:v>
      </x:c>
      <x:c r="K813" s="753" t="str">
        <x:f>'幕间计算'!F906</x:f>
        <x:v/>
      </x:c>
    </x:row>
    <x:row r="814" ht="25" customHeight="1">
      <x:c r="A814" s="747"/>
      <x:c r="B814" s="747"/>
      <x:c r="C814" s="760"/>
      <x:c r="D814" s="747"/>
      <x:c r="E814" s="747"/>
      <x:c r="F814" s="747"/>
      <x:c r="G814" s="747"/>
      <x:c r="H814" s="747"/>
      <x:c r="I814" s="747"/>
      <x:c r="J814" s="753">
        <x:f>'幕间计算'!E907</x:f>
        <x:v>0</x:v>
      </x:c>
      <x:c r="K814" s="753" t="str">
        <x:f>'幕间计算'!F907</x:f>
        <x:v/>
      </x:c>
    </x:row>
    <x:row r="815" ht="25" customHeight="1">
      <x:c r="A815" s="747"/>
      <x:c r="B815" s="747"/>
      <x:c r="C815" s="760"/>
      <x:c r="D815" s="747"/>
      <x:c r="E815" s="747"/>
      <x:c r="F815" s="747"/>
      <x:c r="G815" s="747"/>
      <x:c r="H815" s="747"/>
      <x:c r="I815" s="747"/>
      <x:c r="J815" s="753">
        <x:f>'幕间计算'!E908</x:f>
        <x:v>0</x:v>
      </x:c>
      <x:c r="K815" s="753" t="str">
        <x:f>'幕间计算'!F908</x:f>
        <x:v/>
      </x:c>
    </x:row>
    <x:row r="816" ht="25" customHeight="1">
      <x:c r="A816" s="747"/>
      <x:c r="B816" s="747"/>
      <x:c r="C816" s="760"/>
      <x:c r="D816" s="747"/>
      <x:c r="E816" s="747"/>
      <x:c r="F816" s="747"/>
      <x:c r="G816" s="747"/>
      <x:c r="H816" s="747"/>
      <x:c r="I816" s="747"/>
      <x:c r="J816" s="753">
        <x:f>'幕间计算'!E909</x:f>
        <x:v>0</x:v>
      </x:c>
      <x:c r="K816" s="753" t="str">
        <x:f>'幕间计算'!F909</x:f>
        <x:v/>
      </x:c>
    </x:row>
    <x:row r="817" ht="25" customHeight="1">
      <x:c r="A817" s="747"/>
      <x:c r="B817" s="747"/>
      <x:c r="C817" s="760"/>
      <x:c r="D817" s="747"/>
      <x:c r="E817" s="747"/>
      <x:c r="F817" s="747"/>
      <x:c r="G817" s="747"/>
      <x:c r="H817" s="747"/>
      <x:c r="I817" s="747"/>
      <x:c r="J817" s="753">
        <x:f>'幕间计算'!E910</x:f>
        <x:v>0</x:v>
      </x:c>
      <x:c r="K817" s="753" t="str">
        <x:f>'幕间计算'!F910</x:f>
        <x:v/>
      </x:c>
    </x:row>
    <x:row r="818" ht="25" customHeight="1">
      <x:c r="A818" s="747"/>
      <x:c r="B818" s="747"/>
      <x:c r="C818" s="760"/>
      <x:c r="D818" s="747"/>
      <x:c r="E818" s="747"/>
      <x:c r="F818" s="747"/>
      <x:c r="G818" s="747"/>
      <x:c r="H818" s="747"/>
      <x:c r="I818" s="747"/>
      <x:c r="J818" s="753">
        <x:f>'幕间计算'!E911</x:f>
        <x:v>0</x:v>
      </x:c>
      <x:c r="K818" s="753" t="str">
        <x:f>'幕间计算'!F911</x:f>
        <x:v/>
      </x:c>
    </x:row>
    <x:row r="819" ht="25" customHeight="1">
      <x:c r="A819" s="747"/>
      <x:c r="B819" s="747"/>
      <x:c r="C819" s="760"/>
      <x:c r="D819" s="747"/>
      <x:c r="E819" s="747"/>
      <x:c r="F819" s="747"/>
      <x:c r="G819" s="747"/>
      <x:c r="H819" s="747"/>
      <x:c r="I819" s="747"/>
      <x:c r="J819" s="753">
        <x:f>'幕间计算'!E912</x:f>
        <x:v>0</x:v>
      </x:c>
      <x:c r="K819" s="753" t="str">
        <x:f>'幕间计算'!F912</x:f>
        <x:v/>
      </x:c>
    </x:row>
    <x:row r="820" ht="25" customHeight="1">
      <x:c r="A820" s="747"/>
      <x:c r="B820" s="747"/>
      <x:c r="C820" s="760"/>
      <x:c r="D820" s="747"/>
      <x:c r="E820" s="747"/>
      <x:c r="F820" s="747"/>
      <x:c r="G820" s="747"/>
      <x:c r="H820" s="747"/>
      <x:c r="I820" s="747"/>
      <x:c r="J820" s="753">
        <x:f>'幕间计算'!E913</x:f>
        <x:v>0</x:v>
      </x:c>
      <x:c r="K820" s="753" t="str">
        <x:f>'幕间计算'!F913</x:f>
        <x:v/>
      </x:c>
    </x:row>
    <x:row r="821" ht="25" customHeight="1">
      <x:c r="A821" s="747"/>
      <x:c r="B821" s="747"/>
      <x:c r="C821" s="760"/>
      <x:c r="D821" s="747"/>
      <x:c r="E821" s="747"/>
      <x:c r="F821" s="747"/>
      <x:c r="G821" s="747"/>
      <x:c r="H821" s="747"/>
      <x:c r="I821" s="747"/>
      <x:c r="J821" s="753">
        <x:f>'幕间计算'!E914</x:f>
        <x:v>0</x:v>
      </x:c>
      <x:c r="K821" s="753" t="str">
        <x:f>'幕间计算'!F914</x:f>
        <x:v/>
      </x:c>
    </x:row>
    <x:row r="822" ht="25" customHeight="1">
      <x:c r="A822" s="747"/>
      <x:c r="B822" s="747"/>
      <x:c r="C822" s="760"/>
      <x:c r="D822" s="747"/>
      <x:c r="E822" s="747"/>
      <x:c r="F822" s="747"/>
      <x:c r="G822" s="747"/>
      <x:c r="H822" s="747"/>
      <x:c r="I822" s="747"/>
      <x:c r="J822" s="753">
        <x:f>'幕间计算'!E915</x:f>
        <x:v>0</x:v>
      </x:c>
      <x:c r="K822" s="753" t="str">
        <x:f>'幕间计算'!F915</x:f>
        <x:v/>
      </x:c>
    </x:row>
    <x:row r="823" ht="25" customHeight="1">
      <x:c r="A823" s="747"/>
      <x:c r="B823" s="747"/>
      <x:c r="C823" s="760"/>
      <x:c r="D823" s="747"/>
      <x:c r="E823" s="747"/>
      <x:c r="F823" s="747"/>
      <x:c r="G823" s="747"/>
      <x:c r="H823" s="747"/>
      <x:c r="I823" s="747"/>
      <x:c r="J823" s="753">
        <x:f>'幕间计算'!E916</x:f>
        <x:v>0</x:v>
      </x:c>
      <x:c r="K823" s="753" t="str">
        <x:f>'幕间计算'!F916</x:f>
        <x:v/>
      </x:c>
    </x:row>
    <x:row r="824" ht="25" customHeight="1">
      <x:c r="A824" s="747"/>
      <x:c r="B824" s="747"/>
      <x:c r="C824" s="760"/>
      <x:c r="D824" s="747"/>
      <x:c r="E824" s="747"/>
      <x:c r="F824" s="747"/>
      <x:c r="G824" s="747"/>
      <x:c r="H824" s="747"/>
      <x:c r="I824" s="747"/>
      <x:c r="J824" s="753">
        <x:f>'幕间计算'!E917</x:f>
        <x:v>0</x:v>
      </x:c>
      <x:c r="K824" s="753" t="str">
        <x:f>'幕间计算'!F917</x:f>
        <x:v/>
      </x:c>
    </x:row>
    <x:row r="825" ht="25" customHeight="1">
      <x:c r="A825" s="747"/>
      <x:c r="B825" s="747"/>
      <x:c r="C825" s="760"/>
      <x:c r="D825" s="747"/>
      <x:c r="E825" s="747"/>
      <x:c r="F825" s="747"/>
      <x:c r="G825" s="747"/>
      <x:c r="H825" s="747"/>
      <x:c r="I825" s="747"/>
      <x:c r="J825" s="753">
        <x:f>'幕间计算'!E918</x:f>
        <x:v>0</x:v>
      </x:c>
      <x:c r="K825" s="753" t="str">
        <x:f>'幕间计算'!F918</x:f>
        <x:v/>
      </x:c>
    </x:row>
    <x:row r="826" ht="25" customHeight="1">
      <x:c r="A826" s="747"/>
      <x:c r="B826" s="747"/>
      <x:c r="C826" s="760"/>
      <x:c r="D826" s="747"/>
      <x:c r="E826" s="747"/>
      <x:c r="F826" s="747"/>
      <x:c r="G826" s="747"/>
      <x:c r="H826" s="747"/>
      <x:c r="I826" s="747"/>
      <x:c r="J826" s="753">
        <x:f>'幕间计算'!E919</x:f>
        <x:v>0</x:v>
      </x:c>
      <x:c r="K826" s="753" t="str">
        <x:f>'幕间计算'!F919</x:f>
        <x:v/>
      </x:c>
    </x:row>
    <x:row r="827" ht="25" customHeight="1">
      <x:c r="A827" s="747"/>
      <x:c r="B827" s="747"/>
      <x:c r="C827" s="760"/>
      <x:c r="D827" s="747"/>
      <x:c r="E827" s="747"/>
      <x:c r="F827" s="747"/>
      <x:c r="G827" s="747"/>
      <x:c r="H827" s="747"/>
      <x:c r="I827" s="747"/>
      <x:c r="J827" s="753">
        <x:f>'幕间计算'!E920</x:f>
        <x:v>0</x:v>
      </x:c>
      <x:c r="K827" s="753" t="str">
        <x:f>'幕间计算'!F920</x:f>
        <x:v/>
      </x:c>
    </x:row>
    <x:row r="828" ht="25" customHeight="1">
      <x:c r="A828" s="747"/>
      <x:c r="B828" s="747"/>
      <x:c r="C828" s="760"/>
      <x:c r="D828" s="747"/>
      <x:c r="E828" s="747"/>
      <x:c r="F828" s="747"/>
      <x:c r="G828" s="747"/>
      <x:c r="H828" s="747"/>
      <x:c r="I828" s="747"/>
      <x:c r="J828" s="753">
        <x:f>'幕间计算'!E921</x:f>
        <x:v>0</x:v>
      </x:c>
      <x:c r="K828" s="753" t="str">
        <x:f>'幕间计算'!F921</x:f>
        <x:v/>
      </x:c>
    </x:row>
    <x:row r="829" ht="25" customHeight="1">
      <x:c r="A829" s="747"/>
      <x:c r="B829" s="747"/>
      <x:c r="C829" s="760"/>
      <x:c r="D829" s="747"/>
      <x:c r="E829" s="747"/>
      <x:c r="F829" s="747"/>
      <x:c r="G829" s="747"/>
      <x:c r="H829" s="747"/>
      <x:c r="I829" s="747"/>
      <x:c r="J829" s="753">
        <x:f>'幕间计算'!E922</x:f>
        <x:v>0</x:v>
      </x:c>
      <x:c r="K829" s="753" t="str">
        <x:f>'幕间计算'!F922</x:f>
        <x:v/>
      </x:c>
    </x:row>
    <x:row r="830" ht="25" customHeight="1">
      <x:c r="A830" s="747"/>
      <x:c r="B830" s="747"/>
      <x:c r="C830" s="760"/>
      <x:c r="D830" s="747"/>
      <x:c r="E830" s="747"/>
      <x:c r="F830" s="747"/>
      <x:c r="G830" s="747"/>
      <x:c r="H830" s="747"/>
      <x:c r="I830" s="747"/>
      <x:c r="J830" s="753">
        <x:f>'幕间计算'!E923</x:f>
        <x:v>0</x:v>
      </x:c>
      <x:c r="K830" s="753" t="str">
        <x:f>'幕间计算'!F923</x:f>
        <x:v/>
      </x:c>
    </x:row>
    <x:row r="831" ht="25" customHeight="1">
      <x:c r="A831" s="747"/>
      <x:c r="B831" s="747"/>
      <x:c r="C831" s="760"/>
      <x:c r="D831" s="747"/>
      <x:c r="E831" s="747"/>
      <x:c r="F831" s="747"/>
      <x:c r="G831" s="747"/>
      <x:c r="H831" s="747"/>
      <x:c r="I831" s="747"/>
      <x:c r="J831" s="753">
        <x:f>'幕间计算'!E924</x:f>
        <x:v>0</x:v>
      </x:c>
      <x:c r="K831" s="753" t="str">
        <x:f>'幕间计算'!F924</x:f>
        <x:v/>
      </x:c>
    </x:row>
    <x:row r="832" ht="25" customHeight="1">
      <x:c r="A832" s="747"/>
      <x:c r="B832" s="747"/>
      <x:c r="C832" s="760"/>
      <x:c r="D832" s="747"/>
      <x:c r="E832" s="747"/>
      <x:c r="F832" s="747"/>
      <x:c r="G832" s="747"/>
      <x:c r="H832" s="747"/>
      <x:c r="I832" s="747"/>
      <x:c r="J832" s="753">
        <x:f>'幕间计算'!E925</x:f>
        <x:v>0</x:v>
      </x:c>
      <x:c r="K832" s="753" t="str">
        <x:f>'幕间计算'!F925</x:f>
        <x:v/>
      </x:c>
    </x:row>
    <x:row r="833" ht="25" customHeight="1">
      <x:c r="A833" s="747"/>
      <x:c r="B833" s="747"/>
      <x:c r="C833" s="760"/>
      <x:c r="D833" s="747"/>
      <x:c r="E833" s="747"/>
      <x:c r="F833" s="747"/>
      <x:c r="G833" s="747"/>
      <x:c r="H833" s="747"/>
      <x:c r="I833" s="747"/>
      <x:c r="J833" s="753">
        <x:f>'幕间计算'!E926</x:f>
        <x:v>0</x:v>
      </x:c>
      <x:c r="K833" s="753" t="str">
        <x:f>'幕间计算'!F926</x:f>
        <x:v/>
      </x:c>
    </x:row>
    <x:row r="834" ht="25" customHeight="1">
      <x:c r="A834" s="747"/>
      <x:c r="B834" s="747"/>
      <x:c r="C834" s="760"/>
      <x:c r="D834" s="747"/>
      <x:c r="E834" s="747"/>
      <x:c r="F834" s="747"/>
      <x:c r="G834" s="747"/>
      <x:c r="H834" s="747"/>
      <x:c r="I834" s="747"/>
      <x:c r="J834" s="753">
        <x:f>'幕间计算'!E927</x:f>
        <x:v>0</x:v>
      </x:c>
      <x:c r="K834" s="753" t="str">
        <x:f>'幕间计算'!F927</x:f>
        <x:v/>
      </x:c>
    </x:row>
    <x:row r="835" ht="25" customHeight="1">
      <x:c r="A835" s="747"/>
      <x:c r="B835" s="747"/>
      <x:c r="C835" s="760"/>
      <x:c r="D835" s="747"/>
      <x:c r="E835" s="747"/>
      <x:c r="F835" s="747"/>
      <x:c r="G835" s="747"/>
      <x:c r="H835" s="747"/>
      <x:c r="I835" s="747"/>
      <x:c r="J835" s="753">
        <x:f>'幕间计算'!E928</x:f>
        <x:v>0</x:v>
      </x:c>
      <x:c r="K835" s="753" t="str">
        <x:f>'幕间计算'!F928</x:f>
        <x:v/>
      </x:c>
    </x:row>
    <x:row r="836" ht="25" customHeight="1">
      <x:c r="A836" s="747"/>
      <x:c r="B836" s="747"/>
      <x:c r="C836" s="760"/>
      <x:c r="D836" s="747"/>
      <x:c r="E836" s="747"/>
      <x:c r="F836" s="747"/>
      <x:c r="G836" s="747"/>
      <x:c r="H836" s="747"/>
      <x:c r="I836" s="747"/>
      <x:c r="J836" s="753">
        <x:f>'幕间计算'!E929</x:f>
        <x:v>0</x:v>
      </x:c>
      <x:c r="K836" s="753" t="str">
        <x:f>'幕间计算'!F929</x:f>
        <x:v/>
      </x:c>
    </x:row>
    <x:row r="837" ht="25" customHeight="1">
      <x:c r="A837" s="747"/>
      <x:c r="B837" s="747"/>
      <x:c r="C837" s="760"/>
      <x:c r="D837" s="747"/>
      <x:c r="E837" s="747"/>
      <x:c r="F837" s="747"/>
      <x:c r="G837" s="747"/>
      <x:c r="H837" s="747"/>
      <x:c r="I837" s="747"/>
      <x:c r="J837" s="753">
        <x:f>'幕间计算'!E930</x:f>
        <x:v>0</x:v>
      </x:c>
      <x:c r="K837" s="753" t="str">
        <x:f>'幕间计算'!F930</x:f>
        <x:v/>
      </x:c>
    </x:row>
    <x:row r="838" ht="25" customHeight="1">
      <x:c r="A838" s="747"/>
      <x:c r="B838" s="747"/>
      <x:c r="C838" s="760"/>
      <x:c r="D838" s="747"/>
      <x:c r="E838" s="747"/>
      <x:c r="F838" s="747"/>
      <x:c r="G838" s="747"/>
      <x:c r="H838" s="747"/>
      <x:c r="I838" s="747"/>
      <x:c r="J838" s="753">
        <x:f>'幕间计算'!E931</x:f>
        <x:v>0</x:v>
      </x:c>
      <x:c r="K838" s="753" t="str">
        <x:f>'幕间计算'!F931</x:f>
        <x:v/>
      </x:c>
    </x:row>
    <x:row r="839" ht="25" customHeight="1">
      <x:c r="A839" s="747"/>
      <x:c r="B839" s="747"/>
      <x:c r="C839" s="760"/>
      <x:c r="D839" s="747"/>
      <x:c r="E839" s="747"/>
      <x:c r="F839" s="747"/>
      <x:c r="G839" s="747"/>
      <x:c r="H839" s="747"/>
      <x:c r="I839" s="747"/>
      <x:c r="J839" s="753">
        <x:f>'幕间计算'!E932</x:f>
        <x:v>0</x:v>
      </x:c>
      <x:c r="K839" s="753" t="str">
        <x:f>'幕间计算'!F932</x:f>
        <x:v/>
      </x:c>
    </x:row>
    <x:row r="840" ht="25" customHeight="1">
      <x:c r="A840" s="747"/>
      <x:c r="B840" s="747"/>
      <x:c r="C840" s="760"/>
      <x:c r="D840" s="747"/>
      <x:c r="E840" s="747"/>
      <x:c r="F840" s="747"/>
      <x:c r="G840" s="747"/>
      <x:c r="H840" s="747"/>
      <x:c r="I840" s="747"/>
      <x:c r="J840" s="753">
        <x:f>'幕间计算'!E933</x:f>
        <x:v>0</x:v>
      </x:c>
      <x:c r="K840" s="753" t="str">
        <x:f>'幕间计算'!F933</x:f>
        <x:v/>
      </x:c>
    </x:row>
    <x:row r="841" ht="25" customHeight="1">
      <x:c r="A841" s="747"/>
      <x:c r="B841" s="747"/>
      <x:c r="C841" s="760"/>
      <x:c r="D841" s="747"/>
      <x:c r="E841" s="747"/>
      <x:c r="F841" s="747"/>
      <x:c r="G841" s="747"/>
      <x:c r="H841" s="747"/>
      <x:c r="I841" s="747"/>
      <x:c r="J841" s="753">
        <x:f>'幕间计算'!E934</x:f>
        <x:v>0</x:v>
      </x:c>
      <x:c r="K841" s="753" t="str">
        <x:f>'幕间计算'!F934</x:f>
        <x:v/>
      </x:c>
    </x:row>
    <x:row r="842" ht="25" customHeight="1">
      <x:c r="A842" s="747"/>
      <x:c r="B842" s="747"/>
      <x:c r="C842" s="760"/>
      <x:c r="D842" s="747"/>
      <x:c r="E842" s="747"/>
      <x:c r="F842" s="747"/>
      <x:c r="G842" s="747"/>
      <x:c r="H842" s="747"/>
      <x:c r="I842" s="747"/>
      <x:c r="J842" s="753">
        <x:f>'幕间计算'!E935</x:f>
        <x:v>0</x:v>
      </x:c>
      <x:c r="K842" s="753" t="str">
        <x:f>'幕间计算'!F935</x:f>
        <x:v/>
      </x:c>
    </x:row>
    <x:row r="843" ht="25" customHeight="1">
      <x:c r="A843" s="747"/>
      <x:c r="B843" s="747"/>
      <x:c r="C843" s="760"/>
      <x:c r="D843" s="747"/>
      <x:c r="E843" s="747"/>
      <x:c r="F843" s="747"/>
      <x:c r="G843" s="747"/>
      <x:c r="H843" s="747"/>
      <x:c r="I843" s="747"/>
      <x:c r="J843" s="753">
        <x:f>'幕间计算'!E936</x:f>
        <x:v>0</x:v>
      </x:c>
      <x:c r="K843" s="753" t="str">
        <x:f>'幕间计算'!F936</x:f>
        <x:v/>
      </x:c>
    </x:row>
    <x:row r="844" ht="25" customHeight="1">
      <x:c r="A844" s="747"/>
      <x:c r="B844" s="747"/>
      <x:c r="C844" s="760"/>
      <x:c r="D844" s="747"/>
      <x:c r="E844" s="747"/>
      <x:c r="F844" s="747"/>
      <x:c r="G844" s="747"/>
      <x:c r="H844" s="747"/>
      <x:c r="I844" s="747"/>
      <x:c r="J844" s="753">
        <x:f>'幕间计算'!E937</x:f>
        <x:v>0</x:v>
      </x:c>
      <x:c r="K844" s="753" t="str">
        <x:f>'幕间计算'!F937</x:f>
        <x:v/>
      </x:c>
    </x:row>
    <x:row r="845" ht="25" customHeight="1">
      <x:c r="A845" s="747"/>
      <x:c r="B845" s="747"/>
      <x:c r="C845" s="760"/>
      <x:c r="D845" s="747"/>
      <x:c r="E845" s="747"/>
      <x:c r="F845" s="747"/>
      <x:c r="G845" s="747"/>
      <x:c r="H845" s="747"/>
      <x:c r="I845" s="747"/>
      <x:c r="J845" s="753">
        <x:f>'幕间计算'!E938</x:f>
        <x:v>0</x:v>
      </x:c>
      <x:c r="K845" s="753" t="str">
        <x:f>'幕间计算'!F938</x:f>
        <x:v/>
      </x:c>
    </x:row>
    <x:row r="846" ht="25" customHeight="1">
      <x:c r="A846" s="747"/>
      <x:c r="B846" s="747"/>
      <x:c r="C846" s="760"/>
      <x:c r="D846" s="747"/>
      <x:c r="E846" s="747"/>
      <x:c r="F846" s="747"/>
      <x:c r="G846" s="747"/>
      <x:c r="H846" s="747"/>
      <x:c r="I846" s="747"/>
      <x:c r="J846" s="753">
        <x:f>'幕间计算'!E939</x:f>
        <x:v>0</x:v>
      </x:c>
      <x:c r="K846" s="753" t="str">
        <x:f>'幕间计算'!F939</x:f>
        <x:v/>
      </x:c>
    </x:row>
    <x:row r="847" ht="25" customHeight="1">
      <x:c r="A847" s="747"/>
      <x:c r="B847" s="747"/>
      <x:c r="C847" s="760"/>
      <x:c r="D847" s="747"/>
      <x:c r="E847" s="747"/>
      <x:c r="F847" s="747"/>
      <x:c r="G847" s="747"/>
      <x:c r="H847" s="747"/>
      <x:c r="I847" s="747"/>
      <x:c r="J847" s="753">
        <x:f>'幕间计算'!E940</x:f>
        <x:v>0</x:v>
      </x:c>
      <x:c r="K847" s="753" t="str">
        <x:f>'幕间计算'!F940</x:f>
        <x:v/>
      </x:c>
    </x:row>
    <x:row r="848" ht="25" customHeight="1">
      <x:c r="A848" s="747"/>
      <x:c r="B848" s="747"/>
      <x:c r="C848" s="760"/>
      <x:c r="D848" s="747"/>
      <x:c r="E848" s="747"/>
      <x:c r="F848" s="747"/>
      <x:c r="G848" s="747"/>
      <x:c r="H848" s="747"/>
      <x:c r="I848" s="747"/>
      <x:c r="J848" s="753">
        <x:f>'幕间计算'!E941</x:f>
        <x:v>0</x:v>
      </x:c>
      <x:c r="K848" s="753" t="str">
        <x:f>'幕间计算'!F941</x:f>
        <x:v/>
      </x:c>
    </x:row>
    <x:row r="849" ht="25" customHeight="1">
      <x:c r="A849" s="747"/>
      <x:c r="B849" s="747"/>
      <x:c r="C849" s="760"/>
      <x:c r="D849" s="747"/>
      <x:c r="E849" s="747"/>
      <x:c r="F849" s="747"/>
      <x:c r="G849" s="747"/>
      <x:c r="H849" s="747"/>
      <x:c r="I849" s="747"/>
      <x:c r="J849" s="753">
        <x:f>'幕间计算'!E942</x:f>
        <x:v>0</x:v>
      </x:c>
      <x:c r="K849" s="753" t="str">
        <x:f>'幕间计算'!F942</x:f>
        <x:v/>
      </x:c>
    </x:row>
    <x:row r="850" ht="25" customHeight="1">
      <x:c r="A850" s="747"/>
      <x:c r="B850" s="747"/>
      <x:c r="C850" s="760"/>
      <x:c r="D850" s="747"/>
      <x:c r="E850" s="747"/>
      <x:c r="F850" s="747"/>
      <x:c r="G850" s="747"/>
      <x:c r="H850" s="747"/>
      <x:c r="I850" s="747"/>
      <x:c r="J850" s="753">
        <x:f>'幕间计算'!E943</x:f>
        <x:v>0</x:v>
      </x:c>
      <x:c r="K850" s="753" t="str">
        <x:f>'幕间计算'!F943</x:f>
        <x:v/>
      </x:c>
    </x:row>
    <x:row r="851" ht="25" customHeight="1">
      <x:c r="A851" s="747"/>
      <x:c r="B851" s="747"/>
      <x:c r="C851" s="760"/>
      <x:c r="D851" s="747"/>
      <x:c r="E851" s="747"/>
      <x:c r="F851" s="747"/>
      <x:c r="G851" s="747"/>
      <x:c r="H851" s="747"/>
      <x:c r="I851" s="747"/>
      <x:c r="J851" s="753">
        <x:f>'幕间计算'!E944</x:f>
        <x:v>0</x:v>
      </x:c>
      <x:c r="K851" s="753" t="str">
        <x:f>'幕间计算'!F944</x:f>
        <x:v/>
      </x:c>
    </x:row>
    <x:row r="852" ht="25" customHeight="1">
      <x:c r="A852" s="747"/>
      <x:c r="B852" s="747"/>
      <x:c r="C852" s="760"/>
      <x:c r="D852" s="747"/>
      <x:c r="E852" s="747"/>
      <x:c r="F852" s="747"/>
      <x:c r="G852" s="747"/>
      <x:c r="H852" s="747"/>
      <x:c r="I852" s="747"/>
      <x:c r="J852" s="753">
        <x:f>'幕间计算'!E945</x:f>
        <x:v>0</x:v>
      </x:c>
      <x:c r="K852" s="753" t="str">
        <x:f>'幕间计算'!F945</x:f>
        <x:v/>
      </x:c>
    </x:row>
    <x:row r="853" ht="25" customHeight="1">
      <x:c r="A853" s="747"/>
      <x:c r="B853" s="747"/>
      <x:c r="C853" s="760"/>
      <x:c r="D853" s="747"/>
      <x:c r="E853" s="747"/>
      <x:c r="F853" s="747"/>
      <x:c r="G853" s="747"/>
      <x:c r="H853" s="747"/>
      <x:c r="I853" s="747"/>
      <x:c r="J853" s="753">
        <x:f>'幕间计算'!E946</x:f>
        <x:v>0</x:v>
      </x:c>
      <x:c r="K853" s="753" t="str">
        <x:f>'幕间计算'!F946</x:f>
        <x:v/>
      </x:c>
    </x:row>
    <x:row r="854" ht="25" customHeight="1">
      <x:c r="A854" s="747"/>
      <x:c r="B854" s="747"/>
      <x:c r="C854" s="760"/>
      <x:c r="D854" s="747"/>
      <x:c r="E854" s="747"/>
      <x:c r="F854" s="747"/>
      <x:c r="G854" s="747"/>
      <x:c r="H854" s="747"/>
      <x:c r="I854" s="747"/>
      <x:c r="J854" s="753">
        <x:f>'幕间计算'!E947</x:f>
        <x:v>0</x:v>
      </x:c>
      <x:c r="K854" s="753" t="str">
        <x:f>'幕间计算'!F947</x:f>
        <x:v/>
      </x:c>
    </x:row>
    <x:row r="855" ht="25" customHeight="1">
      <x:c r="A855" s="747"/>
      <x:c r="B855" s="747"/>
      <x:c r="C855" s="760"/>
      <x:c r="D855" s="747"/>
      <x:c r="E855" s="747"/>
      <x:c r="F855" s="747"/>
      <x:c r="G855" s="747"/>
      <x:c r="H855" s="747"/>
      <x:c r="I855" s="747"/>
      <x:c r="J855" s="753">
        <x:f>'幕间计算'!E948</x:f>
        <x:v>0</x:v>
      </x:c>
      <x:c r="K855" s="753" t="str">
        <x:f>'幕间计算'!F948</x:f>
        <x:v/>
      </x:c>
    </x:row>
    <x:row r="856" ht="25" customHeight="1">
      <x:c r="A856" s="747"/>
      <x:c r="B856" s="747"/>
      <x:c r="C856" s="760"/>
      <x:c r="D856" s="747"/>
      <x:c r="E856" s="747"/>
      <x:c r="F856" s="747"/>
      <x:c r="G856" s="747"/>
      <x:c r="H856" s="747"/>
      <x:c r="I856" s="747"/>
      <x:c r="J856" s="753">
        <x:f>'幕间计算'!E949</x:f>
        <x:v>0</x:v>
      </x:c>
      <x:c r="K856" s="753" t="str">
        <x:f>'幕间计算'!F949</x:f>
        <x:v/>
      </x:c>
    </x:row>
    <x:row r="857" ht="25" customHeight="1">
      <x:c r="A857" s="747"/>
      <x:c r="B857" s="747"/>
      <x:c r="C857" s="760"/>
      <x:c r="D857" s="747"/>
      <x:c r="E857" s="747"/>
      <x:c r="F857" s="747"/>
      <x:c r="G857" s="747"/>
      <x:c r="H857" s="747"/>
      <x:c r="I857" s="747"/>
      <x:c r="J857" s="753">
        <x:f>'幕间计算'!E950</x:f>
        <x:v>0</x:v>
      </x:c>
      <x:c r="K857" s="753" t="str">
        <x:f>'幕间计算'!F950</x:f>
        <x:v/>
      </x:c>
    </x:row>
    <x:row r="858" ht="25" customHeight="1">
      <x:c r="A858" s="747"/>
      <x:c r="B858" s="747"/>
      <x:c r="C858" s="760"/>
      <x:c r="D858" s="747"/>
      <x:c r="E858" s="747"/>
      <x:c r="F858" s="747"/>
      <x:c r="G858" s="747"/>
      <x:c r="H858" s="747"/>
      <x:c r="I858" s="747"/>
      <x:c r="J858" s="753">
        <x:f>'幕间计算'!E951</x:f>
        <x:v>0</x:v>
      </x:c>
      <x:c r="K858" s="753" t="str">
        <x:f>'幕间计算'!F951</x:f>
        <x:v/>
      </x:c>
    </x:row>
    <x:row r="859" ht="25" customHeight="1">
      <x:c r="A859" s="747"/>
      <x:c r="B859" s="747"/>
      <x:c r="C859" s="760"/>
      <x:c r="D859" s="747"/>
      <x:c r="E859" s="747"/>
      <x:c r="F859" s="747"/>
      <x:c r="G859" s="747"/>
      <x:c r="H859" s="747"/>
      <x:c r="I859" s="747"/>
      <x:c r="J859" s="753">
        <x:f>'幕间计算'!E952</x:f>
        <x:v>0</x:v>
      </x:c>
      <x:c r="K859" s="753" t="str">
        <x:f>'幕间计算'!F952</x:f>
        <x:v/>
      </x:c>
    </x:row>
    <x:row r="860" ht="25" customHeight="1">
      <x:c r="A860" s="747"/>
      <x:c r="B860" s="747"/>
      <x:c r="C860" s="760"/>
      <x:c r="D860" s="747"/>
      <x:c r="E860" s="747"/>
      <x:c r="F860" s="747"/>
      <x:c r="G860" s="747"/>
      <x:c r="H860" s="747"/>
      <x:c r="I860" s="747"/>
      <x:c r="J860" s="753">
        <x:f>'幕间计算'!E953</x:f>
        <x:v>0</x:v>
      </x:c>
      <x:c r="K860" s="753" t="str">
        <x:f>'幕间计算'!F953</x:f>
        <x:v/>
      </x:c>
    </x:row>
    <x:row r="861" ht="25" customHeight="1">
      <x:c r="A861" s="747"/>
      <x:c r="B861" s="747"/>
      <x:c r="C861" s="760"/>
      <x:c r="D861" s="747"/>
      <x:c r="E861" s="747"/>
      <x:c r="F861" s="747"/>
      <x:c r="G861" s="747"/>
      <x:c r="H861" s="747"/>
      <x:c r="I861" s="747"/>
      <x:c r="J861" s="753">
        <x:f>'幕间计算'!E954</x:f>
        <x:v>0</x:v>
      </x:c>
      <x:c r="K861" s="753" t="str">
        <x:f>'幕间计算'!F954</x:f>
        <x:v/>
      </x:c>
    </x:row>
    <x:row r="862" ht="25" customHeight="1">
      <x:c r="A862" s="747"/>
      <x:c r="B862" s="747"/>
      <x:c r="C862" s="760"/>
      <x:c r="D862" s="747"/>
      <x:c r="E862" s="747"/>
      <x:c r="F862" s="747"/>
      <x:c r="G862" s="747"/>
      <x:c r="H862" s="747"/>
      <x:c r="I862" s="747"/>
      <x:c r="J862" s="753">
        <x:f>'幕间计算'!E955</x:f>
        <x:v>0</x:v>
      </x:c>
      <x:c r="K862" s="753" t="str">
        <x:f>'幕间计算'!F955</x:f>
        <x:v/>
      </x:c>
    </x:row>
    <x:row r="863" ht="25" customHeight="1">
      <x:c r="A863" s="747"/>
      <x:c r="B863" s="747"/>
      <x:c r="C863" s="760"/>
      <x:c r="D863" s="747"/>
      <x:c r="E863" s="747"/>
      <x:c r="F863" s="747"/>
      <x:c r="G863" s="747"/>
      <x:c r="H863" s="747"/>
      <x:c r="I863" s="747"/>
      <x:c r="J863" s="753">
        <x:f>'幕间计算'!E956</x:f>
        <x:v>0</x:v>
      </x:c>
      <x:c r="K863" s="753" t="str">
        <x:f>'幕间计算'!F956</x:f>
        <x:v/>
      </x:c>
    </x:row>
    <x:row r="864" ht="25" customHeight="1">
      <x:c r="A864" s="747"/>
      <x:c r="B864" s="747"/>
      <x:c r="C864" s="760"/>
      <x:c r="D864" s="747"/>
      <x:c r="E864" s="747"/>
      <x:c r="F864" s="747"/>
      <x:c r="G864" s="747"/>
      <x:c r="H864" s="747"/>
      <x:c r="I864" s="747"/>
      <x:c r="J864" s="753">
        <x:f>'幕间计算'!E957</x:f>
        <x:v>0</x:v>
      </x:c>
      <x:c r="K864" s="753" t="str">
        <x:f>'幕间计算'!F957</x:f>
        <x:v/>
      </x:c>
    </x:row>
    <x:row r="865" ht="25" customHeight="1">
      <x:c r="A865" s="747"/>
      <x:c r="B865" s="747"/>
      <x:c r="C865" s="760"/>
      <x:c r="D865" s="747"/>
      <x:c r="E865" s="747"/>
      <x:c r="F865" s="747"/>
      <x:c r="G865" s="747"/>
      <x:c r="H865" s="747"/>
      <x:c r="I865" s="747"/>
      <x:c r="J865" s="753">
        <x:f>'幕间计算'!E958</x:f>
        <x:v>0</x:v>
      </x:c>
      <x:c r="K865" s="753" t="str">
        <x:f>'幕间计算'!F958</x:f>
        <x:v/>
      </x:c>
    </x:row>
    <x:row r="866" ht="25" customHeight="1">
      <x:c r="A866" s="747"/>
      <x:c r="B866" s="747"/>
      <x:c r="C866" s="760"/>
      <x:c r="D866" s="747"/>
      <x:c r="E866" s="747"/>
      <x:c r="F866" s="747"/>
      <x:c r="G866" s="747"/>
      <x:c r="H866" s="747"/>
      <x:c r="I866" s="747"/>
      <x:c r="J866" s="753">
        <x:f>'幕间计算'!E959</x:f>
        <x:v>0</x:v>
      </x:c>
      <x:c r="K866" s="753" t="str">
        <x:f>'幕间计算'!F959</x:f>
        <x:v/>
      </x:c>
    </x:row>
    <x:row r="867" ht="25" customHeight="1">
      <x:c r="A867" s="747"/>
      <x:c r="B867" s="747"/>
      <x:c r="C867" s="760"/>
      <x:c r="D867" s="747"/>
      <x:c r="E867" s="747"/>
      <x:c r="F867" s="747"/>
      <x:c r="G867" s="747"/>
      <x:c r="H867" s="747"/>
      <x:c r="I867" s="747"/>
      <x:c r="J867" s="753">
        <x:f>'幕间计算'!E960</x:f>
        <x:v>0</x:v>
      </x:c>
      <x:c r="K867" s="753" t="str">
        <x:f>'幕间计算'!F960</x:f>
        <x:v/>
      </x:c>
    </x:row>
    <x:row r="868" ht="25" customHeight="1">
      <x:c r="A868" s="747"/>
      <x:c r="B868" s="747"/>
      <x:c r="C868" s="760"/>
      <x:c r="D868" s="747"/>
      <x:c r="E868" s="747"/>
      <x:c r="F868" s="747"/>
      <x:c r="G868" s="747"/>
      <x:c r="H868" s="747"/>
      <x:c r="I868" s="747"/>
      <x:c r="J868" s="753">
        <x:f>'幕间计算'!E961</x:f>
        <x:v>0</x:v>
      </x:c>
      <x:c r="K868" s="753" t="str">
        <x:f>'幕间计算'!F961</x:f>
        <x:v/>
      </x:c>
    </x:row>
    <x:row r="869" ht="25" customHeight="1">
      <x:c r="A869" s="747"/>
      <x:c r="B869" s="747"/>
      <x:c r="C869" s="760"/>
      <x:c r="D869" s="747"/>
      <x:c r="E869" s="747"/>
      <x:c r="F869" s="747"/>
      <x:c r="G869" s="747"/>
      <x:c r="H869" s="747"/>
      <x:c r="I869" s="747"/>
      <x:c r="J869" s="753">
        <x:f>'幕间计算'!E962</x:f>
        <x:v>0</x:v>
      </x:c>
      <x:c r="K869" s="753" t="str">
        <x:f>'幕间计算'!F962</x:f>
        <x:v/>
      </x:c>
    </x:row>
    <x:row r="870" ht="25" customHeight="1">
      <x:c r="A870" s="747"/>
      <x:c r="B870" s="747"/>
      <x:c r="C870" s="760"/>
      <x:c r="D870" s="747"/>
      <x:c r="E870" s="747"/>
      <x:c r="F870" s="747"/>
      <x:c r="G870" s="747"/>
      <x:c r="H870" s="747"/>
      <x:c r="I870" s="747"/>
      <x:c r="J870" s="753">
        <x:f>'幕间计算'!E963</x:f>
        <x:v>0</x:v>
      </x:c>
      <x:c r="K870" s="753" t="str">
        <x:f>'幕间计算'!F963</x:f>
        <x:v/>
      </x:c>
    </x:row>
    <x:row r="871" ht="25" customHeight="1">
      <x:c r="A871" s="747"/>
      <x:c r="B871" s="747"/>
      <x:c r="C871" s="760"/>
      <x:c r="D871" s="747"/>
      <x:c r="E871" s="747"/>
      <x:c r="F871" s="747"/>
      <x:c r="G871" s="747"/>
      <x:c r="H871" s="747"/>
      <x:c r="I871" s="747"/>
      <x:c r="J871" s="753">
        <x:f>'幕间计算'!E964</x:f>
        <x:v>0</x:v>
      </x:c>
      <x:c r="K871" s="753" t="str">
        <x:f>'幕间计算'!F964</x:f>
        <x:v/>
      </x:c>
    </x:row>
    <x:row r="872" ht="25" customHeight="1">
      <x:c r="A872" s="747"/>
      <x:c r="B872" s="747"/>
      <x:c r="C872" s="760"/>
      <x:c r="D872" s="747"/>
      <x:c r="E872" s="747"/>
      <x:c r="F872" s="747"/>
      <x:c r="G872" s="747"/>
      <x:c r="H872" s="747"/>
      <x:c r="I872" s="747"/>
      <x:c r="J872" s="753">
        <x:f>'幕间计算'!E965</x:f>
        <x:v>0</x:v>
      </x:c>
      <x:c r="K872" s="753" t="str">
        <x:f>'幕间计算'!F965</x:f>
        <x:v/>
      </x:c>
    </x:row>
    <x:row r="873" ht="25" customHeight="1">
      <x:c r="A873" s="747"/>
      <x:c r="B873" s="747"/>
      <x:c r="C873" s="760"/>
      <x:c r="D873" s="747"/>
      <x:c r="E873" s="747"/>
      <x:c r="F873" s="747"/>
      <x:c r="G873" s="747"/>
      <x:c r="H873" s="747"/>
      <x:c r="I873" s="747"/>
      <x:c r="J873" s="753">
        <x:f>'幕间计算'!E966</x:f>
        <x:v>0</x:v>
      </x:c>
      <x:c r="K873" s="753" t="str">
        <x:f>'幕间计算'!F966</x:f>
        <x:v/>
      </x:c>
    </x:row>
    <x:row r="874" ht="25" customHeight="1">
      <x:c r="A874" s="747"/>
      <x:c r="B874" s="747"/>
      <x:c r="C874" s="760"/>
      <x:c r="D874" s="747"/>
      <x:c r="E874" s="747"/>
      <x:c r="F874" s="747"/>
      <x:c r="G874" s="747"/>
      <x:c r="H874" s="747"/>
      <x:c r="I874" s="747"/>
      <x:c r="J874" s="753">
        <x:f>'幕间计算'!E967</x:f>
        <x:v>0</x:v>
      </x:c>
      <x:c r="K874" s="753" t="str">
        <x:f>'幕间计算'!F967</x:f>
        <x:v/>
      </x:c>
    </x:row>
    <x:row r="875" ht="25" customHeight="1">
      <x:c r="A875" s="747"/>
      <x:c r="B875" s="747"/>
      <x:c r="C875" s="760"/>
      <x:c r="D875" s="747"/>
      <x:c r="E875" s="747"/>
      <x:c r="F875" s="747"/>
      <x:c r="G875" s="747"/>
      <x:c r="H875" s="747"/>
      <x:c r="I875" s="747"/>
      <x:c r="J875" s="753">
        <x:f>'幕间计算'!E968</x:f>
        <x:v>0</x:v>
      </x:c>
      <x:c r="K875" s="753" t="str">
        <x:f>'幕间计算'!F968</x:f>
        <x:v/>
      </x:c>
    </x:row>
    <x:row r="876" ht="25" customHeight="1">
      <x:c r="A876" s="747"/>
      <x:c r="B876" s="747"/>
      <x:c r="C876" s="760"/>
      <x:c r="D876" s="747"/>
      <x:c r="E876" s="747"/>
      <x:c r="F876" s="747"/>
      <x:c r="G876" s="747"/>
      <x:c r="H876" s="747"/>
      <x:c r="I876" s="747"/>
      <x:c r="J876" s="753">
        <x:f>'幕间计算'!E969</x:f>
        <x:v>0</x:v>
      </x:c>
      <x:c r="K876" s="753" t="str">
        <x:f>'幕间计算'!F969</x:f>
        <x:v/>
      </x:c>
    </x:row>
    <x:row r="877" ht="25" customHeight="1">
      <x:c r="A877" s="747"/>
      <x:c r="B877" s="747"/>
      <x:c r="C877" s="760"/>
      <x:c r="D877" s="747"/>
      <x:c r="E877" s="747"/>
      <x:c r="F877" s="747"/>
      <x:c r="G877" s="747"/>
      <x:c r="H877" s="747"/>
      <x:c r="I877" s="747"/>
      <x:c r="J877" s="753">
        <x:f>'幕间计算'!E970</x:f>
        <x:v>0</x:v>
      </x:c>
      <x:c r="K877" s="753" t="str">
        <x:f>'幕间计算'!F970</x:f>
        <x:v/>
      </x:c>
    </x:row>
    <x:row r="878" ht="25" customHeight="1">
      <x:c r="A878" s="747"/>
      <x:c r="B878" s="747"/>
      <x:c r="C878" s="760"/>
      <x:c r="D878" s="747"/>
      <x:c r="E878" s="747"/>
      <x:c r="F878" s="747"/>
      <x:c r="G878" s="747"/>
      <x:c r="H878" s="747"/>
      <x:c r="I878" s="747"/>
      <x:c r="J878" s="753">
        <x:f>'幕间计算'!E971</x:f>
        <x:v>0</x:v>
      </x:c>
      <x:c r="K878" s="753" t="str">
        <x:f>'幕间计算'!F971</x:f>
        <x:v/>
      </x:c>
    </x:row>
    <x:row r="879" ht="25" customHeight="1">
      <x:c r="A879" s="747"/>
      <x:c r="B879" s="747"/>
      <x:c r="C879" s="760"/>
      <x:c r="D879" s="747"/>
      <x:c r="E879" s="747"/>
      <x:c r="F879" s="747"/>
      <x:c r="G879" s="747"/>
      <x:c r="H879" s="747"/>
      <x:c r="I879" s="747"/>
      <x:c r="J879" s="753">
        <x:f>'幕间计算'!E972</x:f>
        <x:v>0</x:v>
      </x:c>
      <x:c r="K879" s="753" t="str">
        <x:f>'幕间计算'!F972</x:f>
        <x:v/>
      </x:c>
    </x:row>
    <x:row r="880" ht="25" customHeight="1">
      <x:c r="A880" s="747"/>
      <x:c r="B880" s="747"/>
      <x:c r="C880" s="760"/>
      <x:c r="D880" s="747"/>
      <x:c r="E880" s="747"/>
      <x:c r="F880" s="747"/>
      <x:c r="G880" s="747"/>
      <x:c r="H880" s="747"/>
      <x:c r="I880" s="747"/>
      <x:c r="J880" s="753">
        <x:f>'幕间计算'!E973</x:f>
        <x:v>0</x:v>
      </x:c>
      <x:c r="K880" s="753" t="str">
        <x:f>'幕间计算'!F973</x:f>
        <x:v/>
      </x:c>
    </x:row>
    <x:row r="881" ht="25" customHeight="1">
      <x:c r="A881" s="747"/>
      <x:c r="B881" s="747"/>
      <x:c r="C881" s="760"/>
      <x:c r="D881" s="747"/>
      <x:c r="E881" s="747"/>
      <x:c r="F881" s="747"/>
      <x:c r="G881" s="747"/>
      <x:c r="H881" s="747"/>
      <x:c r="I881" s="747"/>
      <x:c r="J881" s="753">
        <x:f>'幕间计算'!E974</x:f>
        <x:v>0</x:v>
      </x:c>
      <x:c r="K881" s="753" t="str">
        <x:f>'幕间计算'!F974</x:f>
        <x:v/>
      </x:c>
    </x:row>
    <x:row r="882" ht="25" customHeight="1">
      <x:c r="A882" s="747"/>
      <x:c r="B882" s="747"/>
      <x:c r="C882" s="760"/>
      <x:c r="D882" s="747"/>
      <x:c r="E882" s="747"/>
      <x:c r="F882" s="747"/>
      <x:c r="G882" s="747"/>
      <x:c r="H882" s="747"/>
      <x:c r="I882" s="747"/>
      <x:c r="J882" s="753">
        <x:f>'幕间计算'!E975</x:f>
        <x:v>0</x:v>
      </x:c>
      <x:c r="K882" s="753" t="str">
        <x:f>'幕间计算'!F975</x:f>
        <x:v/>
      </x:c>
    </x:row>
    <x:row r="883" ht="25" customHeight="1">
      <x:c r="A883" s="747"/>
      <x:c r="B883" s="747"/>
      <x:c r="C883" s="760"/>
      <x:c r="D883" s="747"/>
      <x:c r="E883" s="747"/>
      <x:c r="F883" s="747"/>
      <x:c r="G883" s="747"/>
      <x:c r="H883" s="747"/>
      <x:c r="I883" s="747"/>
      <x:c r="J883" s="753">
        <x:f>'幕间计算'!E976</x:f>
        <x:v>0</x:v>
      </x:c>
      <x:c r="K883" s="753" t="str">
        <x:f>'幕间计算'!F976</x:f>
        <x:v/>
      </x:c>
    </x:row>
    <x:row r="884" ht="25" customHeight="1">
      <x:c r="A884" s="747"/>
      <x:c r="B884" s="747"/>
      <x:c r="C884" s="760"/>
      <x:c r="D884" s="747"/>
      <x:c r="E884" s="747"/>
      <x:c r="F884" s="747"/>
      <x:c r="G884" s="747"/>
      <x:c r="H884" s="747"/>
      <x:c r="I884" s="747"/>
      <x:c r="J884" s="753">
        <x:f>'幕间计算'!E977</x:f>
        <x:v>0</x:v>
      </x:c>
      <x:c r="K884" s="753" t="str">
        <x:f>'幕间计算'!F977</x:f>
        <x:v/>
      </x:c>
    </x:row>
    <x:row r="885" ht="25" customHeight="1">
      <x:c r="A885" s="747"/>
      <x:c r="B885" s="747"/>
      <x:c r="C885" s="760"/>
      <x:c r="D885" s="747"/>
      <x:c r="E885" s="747"/>
      <x:c r="F885" s="747"/>
      <x:c r="G885" s="747"/>
      <x:c r="H885" s="747"/>
      <x:c r="I885" s="747"/>
      <x:c r="J885" s="753">
        <x:f>'幕间计算'!E978</x:f>
        <x:v>0</x:v>
      </x:c>
      <x:c r="K885" s="753" t="str">
        <x:f>'幕间计算'!F978</x:f>
        <x:v/>
      </x:c>
    </x:row>
    <x:row r="886" ht="25" customHeight="1">
      <x:c r="A886" s="747"/>
      <x:c r="B886" s="747"/>
      <x:c r="C886" s="760"/>
      <x:c r="D886" s="747"/>
      <x:c r="E886" s="747"/>
      <x:c r="F886" s="747"/>
      <x:c r="G886" s="747"/>
      <x:c r="H886" s="747"/>
      <x:c r="I886" s="747"/>
      <x:c r="J886" s="753">
        <x:f>'幕间计算'!E979</x:f>
        <x:v>0</x:v>
      </x:c>
      <x:c r="K886" s="753" t="str">
        <x:f>'幕间计算'!F979</x:f>
        <x:v/>
      </x:c>
    </x:row>
    <x:row r="887" ht="25" customHeight="1">
      <x:c r="A887" s="747"/>
      <x:c r="B887" s="747"/>
      <x:c r="C887" s="760"/>
      <x:c r="D887" s="747"/>
      <x:c r="E887" s="747"/>
      <x:c r="F887" s="747"/>
      <x:c r="G887" s="747"/>
      <x:c r="H887" s="747"/>
      <x:c r="I887" s="747"/>
      <x:c r="J887" s="753">
        <x:f>'幕间计算'!E980</x:f>
        <x:v>0</x:v>
      </x:c>
      <x:c r="K887" s="753" t="str">
        <x:f>'幕间计算'!F980</x:f>
        <x:v/>
      </x:c>
    </x:row>
    <x:row r="888" ht="25" customHeight="1">
      <x:c r="A888" s="747"/>
      <x:c r="B888" s="747"/>
      <x:c r="C888" s="760"/>
      <x:c r="D888" s="747"/>
      <x:c r="E888" s="747"/>
      <x:c r="F888" s="747"/>
      <x:c r="G888" s="747"/>
      <x:c r="H888" s="747"/>
      <x:c r="I888" s="747"/>
      <x:c r="J888" s="753">
        <x:f>'幕间计算'!E981</x:f>
        <x:v>0</x:v>
      </x:c>
      <x:c r="K888" s="753" t="str">
        <x:f>'幕间计算'!F981</x:f>
        <x:v/>
      </x:c>
    </x:row>
    <x:row r="889" ht="25" customHeight="1">
      <x:c r="A889" s="747"/>
      <x:c r="B889" s="747"/>
      <x:c r="C889" s="760"/>
      <x:c r="D889" s="747"/>
      <x:c r="E889" s="747"/>
      <x:c r="F889" s="747"/>
      <x:c r="G889" s="747"/>
      <x:c r="H889" s="747"/>
      <x:c r="I889" s="747"/>
      <x:c r="J889" s="753">
        <x:f>'幕间计算'!E982</x:f>
        <x:v>0</x:v>
      </x:c>
      <x:c r="K889" s="753" t="str">
        <x:f>'幕间计算'!F982</x:f>
        <x:v/>
      </x:c>
    </x:row>
    <x:row r="890" ht="25" customHeight="1">
      <x:c r="A890" s="747"/>
      <x:c r="B890" s="747"/>
      <x:c r="C890" s="760"/>
      <x:c r="D890" s="747"/>
      <x:c r="E890" s="747"/>
      <x:c r="F890" s="747"/>
      <x:c r="G890" s="747"/>
      <x:c r="H890" s="747"/>
      <x:c r="I890" s="747"/>
      <x:c r="J890" s="753">
        <x:f>'幕间计算'!E983</x:f>
        <x:v>0</x:v>
      </x:c>
      <x:c r="K890" s="753" t="str">
        <x:f>'幕间计算'!F983</x:f>
        <x:v/>
      </x:c>
    </x:row>
    <x:row r="891" ht="25" customHeight="1">
      <x:c r="A891" s="747"/>
      <x:c r="B891" s="747"/>
      <x:c r="C891" s="760"/>
      <x:c r="D891" s="747"/>
      <x:c r="E891" s="747"/>
      <x:c r="F891" s="747"/>
      <x:c r="G891" s="747"/>
      <x:c r="H891" s="747"/>
      <x:c r="I891" s="747"/>
      <x:c r="J891" s="753">
        <x:f>'幕间计算'!E984</x:f>
        <x:v>0</x:v>
      </x:c>
      <x:c r="K891" s="753" t="str">
        <x:f>'幕间计算'!F984</x:f>
        <x:v/>
      </x:c>
    </x:row>
    <x:row r="892" ht="25" customHeight="1">
      <x:c r="A892" s="747"/>
      <x:c r="B892" s="747"/>
      <x:c r="C892" s="760"/>
      <x:c r="D892" s="747"/>
      <x:c r="E892" s="747"/>
      <x:c r="F892" s="747"/>
      <x:c r="G892" s="747"/>
      <x:c r="H892" s="747"/>
      <x:c r="I892" s="747"/>
      <x:c r="J892" s="753">
        <x:f>'幕间计算'!E985</x:f>
        <x:v>0</x:v>
      </x:c>
      <x:c r="K892" s="753" t="str">
        <x:f>'幕间计算'!F985</x:f>
        <x:v/>
      </x:c>
    </x:row>
    <x:row r="893" ht="25" customHeight="1">
      <x:c r="A893" s="747"/>
      <x:c r="B893" s="747"/>
      <x:c r="C893" s="760"/>
      <x:c r="D893" s="747"/>
      <x:c r="E893" s="747"/>
      <x:c r="F893" s="747"/>
      <x:c r="G893" s="747"/>
      <x:c r="H893" s="747"/>
      <x:c r="I893" s="747"/>
      <x:c r="J893" s="753">
        <x:f>'幕间计算'!E986</x:f>
        <x:v>0</x:v>
      </x:c>
      <x:c r="K893" s="753" t="str">
        <x:f>'幕间计算'!F986</x:f>
        <x:v/>
      </x:c>
    </x:row>
    <x:row r="894" ht="25" customHeight="1">
      <x:c r="A894" s="747"/>
      <x:c r="B894" s="747"/>
      <x:c r="C894" s="760"/>
      <x:c r="D894" s="747"/>
      <x:c r="E894" s="747"/>
      <x:c r="F894" s="747"/>
      <x:c r="G894" s="747"/>
      <x:c r="H894" s="747"/>
      <x:c r="I894" s="747"/>
      <x:c r="J894" s="753">
        <x:f>'幕间计算'!E987</x:f>
        <x:v>0</x:v>
      </x:c>
      <x:c r="K894" s="753" t="str">
        <x:f>'幕间计算'!F987</x:f>
        <x:v/>
      </x:c>
    </x:row>
    <x:row r="895" ht="25" customHeight="1">
      <x:c r="A895" s="747"/>
      <x:c r="B895" s="747"/>
      <x:c r="C895" s="760"/>
      <x:c r="D895" s="747"/>
      <x:c r="E895" s="747"/>
      <x:c r="F895" s="747"/>
      <x:c r="G895" s="747"/>
      <x:c r="H895" s="747"/>
      <x:c r="I895" s="747"/>
      <x:c r="J895" s="753">
        <x:f>'幕间计算'!E988</x:f>
        <x:v>0</x:v>
      </x:c>
      <x:c r="K895" s="753" t="str">
        <x:f>'幕间计算'!F988</x:f>
        <x:v/>
      </x:c>
    </x:row>
    <x:row r="896" ht="25" customHeight="1">
      <x:c r="A896" s="747"/>
      <x:c r="B896" s="747"/>
      <x:c r="C896" s="760"/>
      <x:c r="D896" s="747"/>
      <x:c r="E896" s="747"/>
      <x:c r="F896" s="747"/>
      <x:c r="G896" s="747"/>
      <x:c r="H896" s="747"/>
      <x:c r="I896" s="747"/>
      <x:c r="J896" s="753">
        <x:f>'幕间计算'!E989</x:f>
        <x:v>0</x:v>
      </x:c>
      <x:c r="K896" s="753" t="str">
        <x:f>'幕间计算'!F989</x:f>
        <x:v/>
      </x:c>
    </x:row>
    <x:row r="897" ht="25" customHeight="1">
      <x:c r="A897" s="747"/>
      <x:c r="B897" s="747"/>
      <x:c r="C897" s="760"/>
      <x:c r="D897" s="747"/>
      <x:c r="E897" s="747"/>
      <x:c r="F897" s="747"/>
      <x:c r="G897" s="747"/>
      <x:c r="H897" s="747"/>
      <x:c r="I897" s="747"/>
      <x:c r="J897" s="753">
        <x:f>'幕间计算'!E990</x:f>
        <x:v>0</x:v>
      </x:c>
      <x:c r="K897" s="753" t="str">
        <x:f>'幕间计算'!F990</x:f>
        <x:v/>
      </x:c>
    </x:row>
    <x:row r="898" ht="25" customHeight="1">
      <x:c r="A898" s="747"/>
      <x:c r="B898" s="747"/>
      <x:c r="C898" s="760"/>
      <x:c r="D898" s="747"/>
      <x:c r="E898" s="747"/>
      <x:c r="F898" s="747"/>
      <x:c r="G898" s="747"/>
      <x:c r="H898" s="747"/>
      <x:c r="I898" s="747"/>
      <x:c r="J898" s="753">
        <x:f>'幕间计算'!E991</x:f>
        <x:v>0</x:v>
      </x:c>
      <x:c r="K898" s="753" t="str">
        <x:f>'幕间计算'!F991</x:f>
        <x:v/>
      </x:c>
    </x:row>
    <x:row r="899" ht="25" customHeight="1">
      <x:c r="A899" s="747"/>
      <x:c r="B899" s="747"/>
      <x:c r="C899" s="760"/>
      <x:c r="D899" s="747"/>
      <x:c r="E899" s="747"/>
      <x:c r="F899" s="747"/>
      <x:c r="G899" s="747"/>
      <x:c r="H899" s="747"/>
      <x:c r="I899" s="747"/>
      <x:c r="J899" s="753">
        <x:f>'幕间计算'!E992</x:f>
        <x:v>0</x:v>
      </x:c>
      <x:c r="K899" s="753" t="str">
        <x:f>'幕间计算'!F992</x:f>
        <x:v/>
      </x:c>
    </x:row>
    <x:row r="900" ht="25" customHeight="1">
      <x:c r="A900" s="747"/>
      <x:c r="B900" s="747"/>
      <x:c r="C900" s="760"/>
      <x:c r="D900" s="747"/>
      <x:c r="E900" s="747"/>
      <x:c r="F900" s="747"/>
      <x:c r="G900" s="747"/>
      <x:c r="H900" s="747"/>
      <x:c r="I900" s="747"/>
      <x:c r="J900" s="753">
        <x:f>'幕间计算'!E993</x:f>
        <x:v>0</x:v>
      </x:c>
      <x:c r="K900" s="753" t="str">
        <x:f>'幕间计算'!F993</x:f>
        <x:v/>
      </x:c>
    </x:row>
    <x:row r="901" ht="25" customHeight="1">
      <x:c r="A901" s="747"/>
      <x:c r="B901" s="747"/>
      <x:c r="C901" s="760"/>
      <x:c r="D901" s="747"/>
      <x:c r="E901" s="747"/>
      <x:c r="F901" s="747"/>
      <x:c r="G901" s="747"/>
      <x:c r="H901" s="747"/>
      <x:c r="I901" s="747"/>
      <x:c r="J901" s="753">
        <x:f>'幕间计算'!E994</x:f>
        <x:v>0</x:v>
      </x:c>
      <x:c r="K901" s="753" t="str">
        <x:f>'幕间计算'!F994</x:f>
        <x:v/>
      </x:c>
    </x:row>
    <x:row r="902" ht="25" customHeight="1">
      <x:c r="A902" s="747"/>
      <x:c r="B902" s="747"/>
      <x:c r="C902" s="760"/>
      <x:c r="D902" s="747"/>
      <x:c r="E902" s="747"/>
      <x:c r="F902" s="747"/>
      <x:c r="G902" s="747"/>
      <x:c r="H902" s="747"/>
      <x:c r="I902" s="747"/>
      <x:c r="J902" s="753">
        <x:f>'幕间计算'!E995</x:f>
        <x:v>0</x:v>
      </x:c>
      <x:c r="K902" s="753" t="str">
        <x:f>'幕间计算'!F995</x:f>
        <x:v/>
      </x:c>
    </x:row>
    <x:row r="903" ht="25" customHeight="1">
      <x:c r="A903" s="747"/>
      <x:c r="B903" s="747"/>
      <x:c r="C903" s="760"/>
      <x:c r="D903" s="747"/>
      <x:c r="E903" s="747"/>
      <x:c r="F903" s="747"/>
      <x:c r="G903" s="747"/>
      <x:c r="H903" s="747"/>
      <x:c r="I903" s="747"/>
      <x:c r="J903" s="753">
        <x:f>'幕间计算'!E996</x:f>
        <x:v>0</x:v>
      </x:c>
      <x:c r="K903" s="753" t="str">
        <x:f>'幕间计算'!F996</x:f>
        <x:v/>
      </x:c>
    </x:row>
    <x:row r="904" ht="25" customHeight="1">
      <x:c r="A904" s="747"/>
      <x:c r="B904" s="747"/>
      <x:c r="C904" s="760"/>
      <x:c r="D904" s="747"/>
      <x:c r="E904" s="747"/>
      <x:c r="F904" s="747"/>
      <x:c r="G904" s="747"/>
      <x:c r="H904" s="747"/>
      <x:c r="I904" s="747"/>
      <x:c r="J904" s="753">
        <x:f>'幕间计算'!E997</x:f>
        <x:v>0</x:v>
      </x:c>
      <x:c r="K904" s="753" t="str">
        <x:f>'幕间计算'!F997</x:f>
        <x:v/>
      </x:c>
    </x:row>
    <x:row r="905" ht="25" customHeight="1">
      <x:c r="A905" s="747"/>
      <x:c r="B905" s="747"/>
      <x:c r="C905" s="760"/>
      <x:c r="D905" s="747"/>
      <x:c r="E905" s="747"/>
      <x:c r="F905" s="747"/>
      <x:c r="G905" s="747"/>
      <x:c r="H905" s="747"/>
      <x:c r="I905" s="747"/>
      <x:c r="J905" s="753">
        <x:f>'幕间计算'!E998</x:f>
        <x:v>0</x:v>
      </x:c>
      <x:c r="K905" s="753" t="str">
        <x:f>'幕间计算'!F998</x:f>
        <x:v/>
      </x:c>
    </x:row>
    <x:row r="906" ht="25" customHeight="1">
      <x:c r="A906" s="747"/>
      <x:c r="B906" s="747"/>
      <x:c r="C906" s="760"/>
      <x:c r="D906" s="747"/>
      <x:c r="E906" s="747"/>
      <x:c r="F906" s="747"/>
      <x:c r="G906" s="747"/>
      <x:c r="H906" s="747"/>
      <x:c r="I906" s="747"/>
      <x:c r="J906" s="753">
        <x:f>'幕间计算'!E999</x:f>
        <x:v>0</x:v>
      </x:c>
      <x:c r="K906" s="753" t="str">
        <x:f>'幕间计算'!F999</x:f>
        <x:v/>
      </x:c>
    </x:row>
    <x:row r="907" ht="25" customHeight="1">
      <x:c r="A907" s="747"/>
      <x:c r="B907" s="747"/>
      <x:c r="C907" s="760"/>
      <x:c r="D907" s="747"/>
      <x:c r="E907" s="747"/>
      <x:c r="F907" s="747"/>
      <x:c r="G907" s="747"/>
      <x:c r="H907" s="747"/>
      <x:c r="I907" s="747"/>
      <x:c r="J907" s="753">
        <x:f>'幕间计算'!E1000</x:f>
        <x:v>0</x:v>
      </x:c>
      <x:c r="K907" s="753" t="str">
        <x:f>'幕间计算'!F1000</x:f>
        <x:v/>
      </x:c>
    </x:row>
    <x:row r="908" ht="25" customHeight="1">
      <x:c r="A908" s="747"/>
      <x:c r="B908" s="747"/>
      <x:c r="C908" s="760"/>
      <x:c r="D908" s="747"/>
      <x:c r="E908" s="747"/>
      <x:c r="F908" s="747"/>
      <x:c r="G908" s="747"/>
      <x:c r="H908" s="747"/>
      <x:c r="I908" s="747"/>
      <x:c r="J908" s="753">
        <x:f>'幕间计算'!E1001</x:f>
        <x:v>0</x:v>
      </x:c>
      <x:c r="K908" s="753" t="str">
        <x:f>'幕间计算'!F1001</x:f>
        <x:v/>
      </x:c>
    </x:row>
    <x:row r="909" ht="25" customHeight="1">
      <x:c r="A909" s="747"/>
      <x:c r="B909" s="747"/>
      <x:c r="C909" s="760"/>
      <x:c r="D909" s="747"/>
      <x:c r="E909" s="747"/>
      <x:c r="F909" s="747"/>
      <x:c r="G909" s="747"/>
      <x:c r="H909" s="747"/>
      <x:c r="I909" s="747"/>
      <x:c r="J909" s="753">
        <x:f>'幕间计算'!E1002</x:f>
        <x:v>0</x:v>
      </x:c>
      <x:c r="K909" s="753" t="str">
        <x:f>'幕间计算'!F1002</x:f>
        <x:v/>
      </x:c>
    </x:row>
    <x:row r="910" ht="25" customHeight="1">
      <x:c r="A910" s="747"/>
      <x:c r="B910" s="747"/>
      <x:c r="C910" s="760"/>
      <x:c r="D910" s="747"/>
      <x:c r="E910" s="747"/>
      <x:c r="F910" s="747"/>
      <x:c r="G910" s="747"/>
      <x:c r="H910" s="747"/>
      <x:c r="I910" s="747"/>
      <x:c r="J910" s="753">
        <x:f>'幕间计算'!E1003</x:f>
        <x:v>0</x:v>
      </x:c>
      <x:c r="K910" s="753" t="str">
        <x:f>'幕间计算'!F1003</x:f>
        <x:v/>
      </x:c>
    </x:row>
    <x:row r="911" ht="25" customHeight="1">
      <x:c r="A911" s="747"/>
      <x:c r="B911" s="747"/>
      <x:c r="C911" s="760"/>
      <x:c r="D911" s="747"/>
      <x:c r="E911" s="747"/>
      <x:c r="F911" s="747"/>
      <x:c r="G911" s="747"/>
      <x:c r="H911" s="747"/>
      <x:c r="I911" s="747"/>
      <x:c r="J911" s="753">
        <x:f>'幕间计算'!E1004</x:f>
        <x:v>0</x:v>
      </x:c>
      <x:c r="K911" s="753" t="str">
        <x:f>'幕间计算'!F1004</x:f>
        <x:v/>
      </x:c>
    </x:row>
    <x:row r="912" ht="25" customHeight="1">
      <x:c r="A912" s="747"/>
      <x:c r="B912" s="747"/>
      <x:c r="C912" s="760"/>
      <x:c r="D912" s="747"/>
      <x:c r="E912" s="747"/>
      <x:c r="F912" s="747"/>
      <x:c r="G912" s="747"/>
      <x:c r="H912" s="747"/>
      <x:c r="I912" s="747"/>
      <x:c r="J912" s="753">
        <x:f>'幕间计算'!E1005</x:f>
        <x:v>0</x:v>
      </x:c>
      <x:c r="K912" s="753" t="str">
        <x:f>'幕间计算'!F1005</x:f>
        <x:v/>
      </x:c>
    </x:row>
    <x:row r="913" ht="25" customHeight="1">
      <x:c r="A913" s="747"/>
      <x:c r="B913" s="747"/>
      <x:c r="C913" s="760"/>
      <x:c r="D913" s="747"/>
      <x:c r="E913" s="747"/>
      <x:c r="F913" s="747"/>
      <x:c r="G913" s="747"/>
      <x:c r="H913" s="747"/>
      <x:c r="I913" s="747"/>
      <x:c r="J913" s="753">
        <x:f>'幕间计算'!E1006</x:f>
        <x:v>0</x:v>
      </x:c>
      <x:c r="K913" s="753" t="str">
        <x:f>'幕间计算'!F1006</x:f>
        <x:v/>
      </x:c>
    </x:row>
    <x:row r="914" ht="25" customHeight="1">
      <x:c r="A914" s="747"/>
      <x:c r="B914" s="747"/>
      <x:c r="C914" s="760"/>
      <x:c r="D914" s="747"/>
      <x:c r="E914" s="747"/>
      <x:c r="F914" s="747"/>
      <x:c r="G914" s="747"/>
      <x:c r="H914" s="747"/>
      <x:c r="I914" s="747"/>
      <x:c r="J914" s="753">
        <x:f>'幕间计算'!E1007</x:f>
        <x:v>0</x:v>
      </x:c>
      <x:c r="K914" s="753" t="str">
        <x:f>'幕间计算'!F1007</x:f>
        <x:v/>
      </x:c>
    </x:row>
    <x:row r="915" ht="25" customHeight="1">
      <x:c r="A915" s="747"/>
      <x:c r="B915" s="747"/>
      <x:c r="C915" s="760"/>
      <x:c r="D915" s="747"/>
      <x:c r="E915" s="747"/>
      <x:c r="F915" s="747"/>
      <x:c r="G915" s="747"/>
      <x:c r="H915" s="747"/>
      <x:c r="I915" s="747"/>
      <x:c r="J915" s="753">
        <x:f>'幕间计算'!E1008</x:f>
        <x:v>0</x:v>
      </x:c>
      <x:c r="K915" s="753" t="str">
        <x:f>'幕间计算'!F1008</x:f>
        <x:v/>
      </x:c>
    </x:row>
    <x:row r="916" ht="25" customHeight="1">
      <x:c r="A916" s="747"/>
      <x:c r="B916" s="747"/>
      <x:c r="C916" s="760"/>
      <x:c r="D916" s="747"/>
      <x:c r="E916" s="747"/>
      <x:c r="F916" s="747"/>
      <x:c r="G916" s="747"/>
      <x:c r="H916" s="747"/>
      <x:c r="I916" s="747"/>
      <x:c r="J916" s="753">
        <x:f>'幕间计算'!E1009</x:f>
        <x:v>0</x:v>
      </x:c>
      <x:c r="K916" s="753" t="str">
        <x:f>'幕间计算'!F1009</x:f>
        <x:v/>
      </x:c>
    </x:row>
    <x:row r="917" ht="25" customHeight="1">
      <x:c r="A917" s="747"/>
      <x:c r="B917" s="747"/>
      <x:c r="C917" s="760"/>
      <x:c r="D917" s="747"/>
      <x:c r="E917" s="747"/>
      <x:c r="F917" s="747"/>
      <x:c r="G917" s="747"/>
      <x:c r="H917" s="747"/>
      <x:c r="I917" s="747"/>
      <x:c r="J917" s="753">
        <x:f>'幕间计算'!E1010</x:f>
        <x:v>0</x:v>
      </x:c>
      <x:c r="K917" s="753" t="str">
        <x:f>'幕间计算'!F1010</x:f>
        <x:v/>
      </x:c>
    </x:row>
    <x:row r="918" ht="25" customHeight="1">
      <x:c r="A918" s="747"/>
      <x:c r="B918" s="747"/>
      <x:c r="C918" s="760"/>
      <x:c r="D918" s="747"/>
      <x:c r="E918" s="747"/>
      <x:c r="F918" s="747"/>
      <x:c r="G918" s="747"/>
      <x:c r="H918" s="747"/>
      <x:c r="I918" s="747"/>
      <x:c r="J918" s="753">
        <x:f>'幕间计算'!E1011</x:f>
        <x:v>0</x:v>
      </x:c>
      <x:c r="K918" s="753" t="str">
        <x:f>'幕间计算'!F1011</x:f>
        <x:v/>
      </x:c>
    </x:row>
    <x:row r="919" ht="25" customHeight="1">
      <x:c r="A919" s="747"/>
      <x:c r="B919" s="747"/>
      <x:c r="C919" s="760"/>
      <x:c r="D919" s="747"/>
      <x:c r="E919" s="747"/>
      <x:c r="F919" s="747"/>
      <x:c r="G919" s="747"/>
      <x:c r="H919" s="747"/>
      <x:c r="I919" s="747"/>
      <x:c r="J919" s="753">
        <x:f>'幕间计算'!E1012</x:f>
        <x:v>0</x:v>
      </x:c>
      <x:c r="K919" s="753" t="str">
        <x:f>'幕间计算'!F1012</x:f>
        <x:v/>
      </x:c>
    </x:row>
    <x:row r="920" ht="25" customHeight="1">
      <x:c r="A920" s="747"/>
      <x:c r="B920" s="747"/>
      <x:c r="C920" s="760"/>
      <x:c r="D920" s="747"/>
      <x:c r="E920" s="747"/>
      <x:c r="F920" s="747"/>
      <x:c r="G920" s="747"/>
      <x:c r="H920" s="747"/>
      <x:c r="I920" s="747"/>
      <x:c r="J920" s="753">
        <x:f>'幕间计算'!E1013</x:f>
        <x:v>0</x:v>
      </x:c>
      <x:c r="K920" s="753" t="str">
        <x:f>'幕间计算'!F1013</x:f>
        <x:v/>
      </x:c>
    </x:row>
    <x:row r="921" ht="25" customHeight="1">
      <x:c r="A921" s="747"/>
      <x:c r="B921" s="747"/>
      <x:c r="C921" s="760"/>
      <x:c r="D921" s="747"/>
      <x:c r="E921" s="747"/>
      <x:c r="F921" s="747"/>
      <x:c r="G921" s="747"/>
      <x:c r="H921" s="747"/>
      <x:c r="I921" s="747"/>
      <x:c r="J921" s="753">
        <x:f>'幕间计算'!E1014</x:f>
        <x:v>0</x:v>
      </x:c>
      <x:c r="K921" s="753" t="str">
        <x:f>'幕间计算'!F1014</x:f>
        <x:v/>
      </x:c>
    </x:row>
    <x:row r="922" ht="25" customHeight="1">
      <x:c r="A922" s="747"/>
      <x:c r="B922" s="747"/>
      <x:c r="C922" s="760"/>
      <x:c r="D922" s="747"/>
      <x:c r="E922" s="747"/>
      <x:c r="F922" s="747"/>
      <x:c r="G922" s="747"/>
      <x:c r="H922" s="747"/>
      <x:c r="I922" s="747"/>
      <x:c r="J922" s="753">
        <x:f>'幕间计算'!E1015</x:f>
        <x:v>0</x:v>
      </x:c>
      <x:c r="K922" s="753" t="str">
        <x:f>'幕间计算'!F1015</x:f>
        <x:v/>
      </x:c>
    </x:row>
    <x:row r="923" ht="25" customHeight="1">
      <x:c r="A923" s="747"/>
      <x:c r="B923" s="747"/>
      <x:c r="C923" s="760"/>
      <x:c r="D923" s="747"/>
      <x:c r="E923" s="747"/>
      <x:c r="F923" s="747"/>
      <x:c r="G923" s="747"/>
      <x:c r="H923" s="747"/>
      <x:c r="I923" s="747"/>
      <x:c r="J923" s="753">
        <x:f>'幕间计算'!E1016</x:f>
        <x:v>0</x:v>
      </x:c>
      <x:c r="K923" s="753" t="str">
        <x:f>'幕间计算'!F1016</x:f>
        <x:v/>
      </x:c>
    </x:row>
    <x:row r="924" ht="25" customHeight="1">
      <x:c r="A924" s="747"/>
      <x:c r="B924" s="747"/>
      <x:c r="C924" s="760"/>
      <x:c r="D924" s="747"/>
      <x:c r="E924" s="747"/>
      <x:c r="F924" s="747"/>
      <x:c r="G924" s="747"/>
      <x:c r="H924" s="747"/>
      <x:c r="I924" s="747"/>
      <x:c r="J924" s="753">
        <x:f>'幕间计算'!E1017</x:f>
        <x:v>0</x:v>
      </x:c>
      <x:c r="K924" s="753" t="str">
        <x:f>'幕间计算'!F1017</x:f>
        <x:v/>
      </x:c>
    </x:row>
    <x:row r="925" ht="25" customHeight="1">
      <x:c r="A925" s="747"/>
      <x:c r="B925" s="747"/>
      <x:c r="C925" s="760"/>
      <x:c r="D925" s="747"/>
      <x:c r="E925" s="747"/>
      <x:c r="F925" s="747"/>
      <x:c r="G925" s="747"/>
      <x:c r="H925" s="747"/>
      <x:c r="I925" s="747"/>
      <x:c r="J925" s="753">
        <x:f>'幕间计算'!E1018</x:f>
        <x:v>0</x:v>
      </x:c>
      <x:c r="K925" s="753" t="str">
        <x:f>'幕间计算'!F1018</x:f>
        <x:v/>
      </x:c>
    </x:row>
    <x:row r="926" ht="25" customHeight="1">
      <x:c r="A926" s="747"/>
      <x:c r="B926" s="747"/>
      <x:c r="C926" s="760"/>
      <x:c r="D926" s="747"/>
      <x:c r="E926" s="747"/>
      <x:c r="F926" s="747"/>
      <x:c r="G926" s="747"/>
      <x:c r="H926" s="747"/>
      <x:c r="I926" s="747"/>
      <x:c r="J926" s="753">
        <x:f>'幕间计算'!E1019</x:f>
        <x:v>0</x:v>
      </x:c>
      <x:c r="K926" s="753" t="str">
        <x:f>'幕间计算'!F1019</x:f>
        <x:v/>
      </x:c>
    </x:row>
    <x:row r="927" ht="25" customHeight="1">
      <x:c r="A927" s="747"/>
      <x:c r="B927" s="747"/>
      <x:c r="C927" s="760"/>
      <x:c r="D927" s="747"/>
      <x:c r="E927" s="747"/>
      <x:c r="F927" s="747"/>
      <x:c r="G927" s="747"/>
      <x:c r="H927" s="747"/>
      <x:c r="I927" s="747"/>
      <x:c r="J927" s="753">
        <x:f>'幕间计算'!E1020</x:f>
        <x:v>0</x:v>
      </x:c>
      <x:c r="K927" s="753" t="str">
        <x:f>'幕间计算'!F1020</x:f>
        <x:v/>
      </x:c>
    </x:row>
    <x:row r="928" ht="25" customHeight="1">
      <x:c r="A928" s="747"/>
      <x:c r="B928" s="747"/>
      <x:c r="C928" s="760"/>
      <x:c r="D928" s="747"/>
      <x:c r="E928" s="747"/>
      <x:c r="F928" s="747"/>
      <x:c r="G928" s="747"/>
      <x:c r="H928" s="747"/>
      <x:c r="I928" s="747"/>
      <x:c r="J928" s="753">
        <x:f>'幕间计算'!E1021</x:f>
        <x:v>0</x:v>
      </x:c>
      <x:c r="K928" s="753" t="str">
        <x:f>'幕间计算'!F1021</x:f>
        <x:v/>
      </x:c>
    </x:row>
    <x:row r="929" ht="25" customHeight="1">
      <x:c r="A929" s="747"/>
      <x:c r="B929" s="747"/>
      <x:c r="C929" s="760"/>
      <x:c r="D929" s="747"/>
      <x:c r="E929" s="747"/>
      <x:c r="F929" s="747"/>
      <x:c r="G929" s="747"/>
      <x:c r="H929" s="747"/>
      <x:c r="I929" s="747"/>
      <x:c r="J929" s="753">
        <x:f>'幕间计算'!E1022</x:f>
        <x:v>0</x:v>
      </x:c>
      <x:c r="K929" s="753" t="str">
        <x:f>'幕间计算'!F1022</x:f>
        <x:v/>
      </x:c>
    </x:row>
    <x:row r="930" ht="25" customHeight="1">
      <x:c r="A930" s="747"/>
      <x:c r="B930" s="747"/>
      <x:c r="C930" s="760"/>
      <x:c r="D930" s="747"/>
      <x:c r="E930" s="747"/>
      <x:c r="F930" s="747"/>
      <x:c r="G930" s="747"/>
      <x:c r="H930" s="747"/>
      <x:c r="I930" s="747"/>
      <x:c r="J930" s="753">
        <x:f>'幕间计算'!E1023</x:f>
        <x:v>0</x:v>
      </x:c>
      <x:c r="K930" s="753" t="str">
        <x:f>'幕间计算'!F1023</x:f>
        <x:v/>
      </x:c>
    </x:row>
    <x:row r="931" ht="25" customHeight="1">
      <x:c r="A931" s="747"/>
      <x:c r="B931" s="747"/>
      <x:c r="C931" s="760"/>
      <x:c r="D931" s="747"/>
      <x:c r="E931" s="747"/>
      <x:c r="F931" s="747"/>
      <x:c r="G931" s="747"/>
      <x:c r="H931" s="747"/>
      <x:c r="I931" s="747"/>
      <x:c r="J931" s="753">
        <x:f>'幕间计算'!E1024</x:f>
        <x:v>0</x:v>
      </x:c>
      <x:c r="K931" s="753" t="str">
        <x:f>'幕间计算'!F1024</x:f>
        <x:v/>
      </x:c>
    </x:row>
    <x:row r="932" ht="25" customHeight="1">
      <x:c r="A932" s="747"/>
      <x:c r="B932" s="747"/>
      <x:c r="C932" s="760"/>
      <x:c r="D932" s="747"/>
      <x:c r="E932" s="747"/>
      <x:c r="F932" s="747"/>
      <x:c r="G932" s="747"/>
      <x:c r="H932" s="747"/>
      <x:c r="I932" s="747"/>
      <x:c r="J932" s="753">
        <x:f>'幕间计算'!E1025</x:f>
        <x:v>0</x:v>
      </x:c>
      <x:c r="K932" s="753" t="str">
        <x:f>'幕间计算'!F1025</x:f>
        <x:v/>
      </x:c>
    </x:row>
    <x:row r="933" ht="25" customHeight="1">
      <x:c r="A933" s="747"/>
      <x:c r="B933" s="747"/>
      <x:c r="C933" s="760"/>
      <x:c r="D933" s="747"/>
      <x:c r="E933" s="747"/>
      <x:c r="F933" s="747"/>
      <x:c r="G933" s="747"/>
      <x:c r="H933" s="747"/>
      <x:c r="I933" s="747"/>
      <x:c r="J933" s="753">
        <x:f>'幕间计算'!E1026</x:f>
        <x:v>0</x:v>
      </x:c>
      <x:c r="K933" s="753" t="str">
        <x:f>'幕间计算'!F1026</x:f>
        <x:v/>
      </x:c>
    </x:row>
    <x:row r="934" ht="25" customHeight="1">
      <x:c r="A934" s="747"/>
      <x:c r="B934" s="747"/>
      <x:c r="C934" s="760"/>
      <x:c r="D934" s="747"/>
      <x:c r="E934" s="747"/>
      <x:c r="F934" s="747"/>
      <x:c r="G934" s="747"/>
      <x:c r="H934" s="747"/>
      <x:c r="I934" s="747"/>
      <x:c r="J934" s="753">
        <x:f>'幕间计算'!E1027</x:f>
        <x:v>0</x:v>
      </x:c>
      <x:c r="K934" s="753" t="str">
        <x:f>'幕间计算'!F1027</x:f>
        <x:v/>
      </x:c>
    </x:row>
    <x:row r="935" ht="25" customHeight="1">
      <x:c r="A935" s="747"/>
      <x:c r="B935" s="747"/>
      <x:c r="C935" s="760"/>
      <x:c r="D935" s="747"/>
      <x:c r="E935" s="747"/>
      <x:c r="F935" s="747"/>
      <x:c r="G935" s="747"/>
      <x:c r="H935" s="747"/>
      <x:c r="I935" s="747"/>
      <x:c r="J935" s="753">
        <x:f>'幕间计算'!E1028</x:f>
        <x:v>0</x:v>
      </x:c>
      <x:c r="K935" s="753" t="str">
        <x:f>'幕间计算'!F1028</x:f>
        <x:v/>
      </x:c>
    </x:row>
    <x:row r="936" ht="25" customHeight="1">
      <x:c r="A936" s="747"/>
      <x:c r="B936" s="747"/>
      <x:c r="C936" s="760"/>
      <x:c r="D936" s="747"/>
      <x:c r="E936" s="747"/>
      <x:c r="F936" s="747"/>
      <x:c r="G936" s="747"/>
      <x:c r="H936" s="747"/>
      <x:c r="I936" s="747"/>
      <x:c r="J936" s="753">
        <x:f>'幕间计算'!E1029</x:f>
        <x:v>0</x:v>
      </x:c>
      <x:c r="K936" s="753" t="str">
        <x:f>'幕间计算'!F1029</x:f>
        <x:v/>
      </x:c>
    </x:row>
    <x:row r="937" ht="25" customHeight="1">
      <x:c r="A937" s="747"/>
      <x:c r="B937" s="747"/>
      <x:c r="C937" s="760"/>
      <x:c r="D937" s="747"/>
      <x:c r="E937" s="747"/>
      <x:c r="F937" s="747"/>
      <x:c r="G937" s="747"/>
      <x:c r="H937" s="747"/>
      <x:c r="I937" s="747"/>
      <x:c r="J937" s="753">
        <x:f>'幕间计算'!E1030</x:f>
        <x:v>0</x:v>
      </x:c>
      <x:c r="K937" s="753" t="str">
        <x:f>'幕间计算'!F1030</x:f>
        <x:v/>
      </x:c>
    </x:row>
    <x:row r="938" ht="25" customHeight="1">
      <x:c r="A938" s="747"/>
      <x:c r="B938" s="747"/>
      <x:c r="C938" s="760"/>
      <x:c r="D938" s="747"/>
      <x:c r="E938" s="747"/>
      <x:c r="F938" s="747"/>
      <x:c r="G938" s="747"/>
      <x:c r="H938" s="747"/>
      <x:c r="I938" s="747"/>
      <x:c r="J938" s="753">
        <x:f>'幕间计算'!E1031</x:f>
        <x:v>0</x:v>
      </x:c>
      <x:c r="K938" s="753" t="str">
        <x:f>'幕间计算'!F1031</x:f>
        <x:v/>
      </x:c>
    </x:row>
    <x:row r="939" ht="25" customHeight="1">
      <x:c r="A939" s="747"/>
      <x:c r="B939" s="747"/>
      <x:c r="C939" s="760"/>
      <x:c r="D939" s="747"/>
      <x:c r="E939" s="747"/>
      <x:c r="F939" s="747"/>
      <x:c r="G939" s="747"/>
      <x:c r="H939" s="747"/>
      <x:c r="I939" s="747"/>
      <x:c r="J939" s="753">
        <x:f>'幕间计算'!E1032</x:f>
        <x:v>0</x:v>
      </x:c>
      <x:c r="K939" s="753" t="str">
        <x:f>'幕间计算'!F1032</x:f>
        <x:v/>
      </x:c>
    </x:row>
    <x:row r="940" ht="25" customHeight="1">
      <x:c r="A940" s="747"/>
      <x:c r="B940" s="747"/>
      <x:c r="C940" s="760"/>
      <x:c r="D940" s="747"/>
      <x:c r="E940" s="747"/>
      <x:c r="F940" s="747"/>
      <x:c r="G940" s="747"/>
      <x:c r="H940" s="747"/>
      <x:c r="I940" s="747"/>
      <x:c r="J940" s="753">
        <x:f>'幕间计算'!E1033</x:f>
        <x:v>0</x:v>
      </x:c>
      <x:c r="K940" s="753" t="str">
        <x:f>'幕间计算'!F1033</x:f>
        <x:v/>
      </x:c>
    </x:row>
    <x:row r="941" ht="25" customHeight="1">
      <x:c r="A941" s="747"/>
      <x:c r="B941" s="747"/>
      <x:c r="C941" s="760"/>
      <x:c r="D941" s="747"/>
      <x:c r="E941" s="747"/>
      <x:c r="F941" s="747"/>
      <x:c r="G941" s="747"/>
      <x:c r="H941" s="747"/>
      <x:c r="I941" s="747"/>
      <x:c r="J941" s="753">
        <x:f>'幕间计算'!E1034</x:f>
        <x:v>0</x:v>
      </x:c>
      <x:c r="K941" s="753" t="str">
        <x:f>'幕间计算'!F1034</x:f>
        <x:v/>
      </x:c>
    </x:row>
    <x:row r="942" ht="25" customHeight="1">
      <x:c r="A942" s="747"/>
      <x:c r="B942" s="747"/>
      <x:c r="C942" s="760"/>
      <x:c r="D942" s="747"/>
      <x:c r="E942" s="747"/>
      <x:c r="F942" s="747"/>
      <x:c r="G942" s="747"/>
      <x:c r="H942" s="747"/>
      <x:c r="I942" s="747"/>
      <x:c r="J942" s="753">
        <x:f>'幕间计算'!E1035</x:f>
        <x:v>0</x:v>
      </x:c>
      <x:c r="K942" s="753" t="str">
        <x:f>'幕间计算'!F1035</x:f>
        <x:v/>
      </x:c>
    </x:row>
    <x:row r="943" ht="25" customHeight="1">
      <x:c r="A943" s="747"/>
      <x:c r="B943" s="747"/>
      <x:c r="C943" s="760"/>
      <x:c r="D943" s="747"/>
      <x:c r="E943" s="747"/>
      <x:c r="F943" s="747"/>
      <x:c r="G943" s="747"/>
      <x:c r="H943" s="747"/>
      <x:c r="I943" s="747"/>
      <x:c r="J943" s="753">
        <x:f>'幕间计算'!E1036</x:f>
        <x:v>0</x:v>
      </x:c>
      <x:c r="K943" s="753" t="str">
        <x:f>'幕间计算'!F1036</x:f>
        <x:v/>
      </x:c>
    </x:row>
    <x:row r="944" ht="25" customHeight="1">
      <x:c r="A944" s="747"/>
      <x:c r="B944" s="747"/>
      <x:c r="C944" s="760"/>
      <x:c r="D944" s="747"/>
      <x:c r="E944" s="747"/>
      <x:c r="F944" s="747"/>
      <x:c r="G944" s="747"/>
      <x:c r="H944" s="747"/>
      <x:c r="I944" s="747"/>
      <x:c r="J944" s="753">
        <x:f>'幕间计算'!E1037</x:f>
        <x:v>0</x:v>
      </x:c>
      <x:c r="K944" s="753" t="str">
        <x:f>'幕间计算'!F1037</x:f>
        <x:v/>
      </x:c>
    </x:row>
    <x:row r="945" ht="25" customHeight="1">
      <x:c r="A945" s="747"/>
      <x:c r="B945" s="747"/>
      <x:c r="C945" s="760"/>
      <x:c r="D945" s="747"/>
      <x:c r="E945" s="747"/>
      <x:c r="F945" s="747"/>
      <x:c r="G945" s="747"/>
      <x:c r="H945" s="747"/>
      <x:c r="I945" s="747"/>
      <x:c r="J945" s="753">
        <x:f>'幕间计算'!E1038</x:f>
        <x:v>0</x:v>
      </x:c>
      <x:c r="K945" s="753" t="str">
        <x:f>'幕间计算'!F1038</x:f>
        <x:v/>
      </x:c>
    </x:row>
    <x:row r="946" ht="25" customHeight="1">
      <x:c r="A946" s="747"/>
      <x:c r="B946" s="747"/>
      <x:c r="C946" s="760"/>
      <x:c r="D946" s="747"/>
      <x:c r="E946" s="747"/>
      <x:c r="F946" s="747"/>
      <x:c r="G946" s="747"/>
      <x:c r="H946" s="747"/>
      <x:c r="I946" s="747"/>
      <x:c r="J946" s="753">
        <x:f>'幕间计算'!E1039</x:f>
        <x:v>0</x:v>
      </x:c>
      <x:c r="K946" s="753" t="str">
        <x:f>'幕间计算'!F1039</x:f>
        <x:v/>
      </x:c>
    </x:row>
    <x:row r="947" ht="25" customHeight="1">
      <x:c r="A947" s="747"/>
      <x:c r="B947" s="747"/>
      <x:c r="C947" s="760"/>
      <x:c r="D947" s="747"/>
      <x:c r="E947" s="747"/>
      <x:c r="F947" s="747"/>
      <x:c r="G947" s="747"/>
      <x:c r="H947" s="747"/>
      <x:c r="I947" s="747"/>
      <x:c r="J947" s="753">
        <x:f>'幕间计算'!E1040</x:f>
        <x:v>0</x:v>
      </x:c>
      <x:c r="K947" s="753" t="str">
        <x:f>'幕间计算'!F1040</x:f>
        <x:v/>
      </x:c>
    </x:row>
    <x:row r="948" ht="25" customHeight="1">
      <x:c r="A948" s="747"/>
      <x:c r="B948" s="747"/>
      <x:c r="C948" s="760"/>
      <x:c r="D948" s="747"/>
      <x:c r="E948" s="747"/>
      <x:c r="F948" s="747"/>
      <x:c r="G948" s="747"/>
      <x:c r="H948" s="747"/>
      <x:c r="I948" s="747"/>
      <x:c r="J948" s="753">
        <x:f>'幕间计算'!E1041</x:f>
        <x:v>0</x:v>
      </x:c>
      <x:c r="K948" s="753" t="str">
        <x:f>'幕间计算'!F1041</x:f>
        <x:v/>
      </x:c>
    </x:row>
    <x:row r="949" ht="25" customHeight="1">
      <x:c r="A949" s="747"/>
      <x:c r="B949" s="747"/>
      <x:c r="C949" s="760"/>
      <x:c r="D949" s="747"/>
      <x:c r="E949" s="747"/>
      <x:c r="F949" s="747"/>
      <x:c r="G949" s="747"/>
      <x:c r="H949" s="747"/>
      <x:c r="I949" s="747"/>
      <x:c r="J949" s="753">
        <x:f>'幕间计算'!E1042</x:f>
        <x:v>0</x:v>
      </x:c>
      <x:c r="K949" s="753" t="str">
        <x:f>'幕间计算'!F1042</x:f>
        <x:v/>
      </x:c>
    </x:row>
    <x:row r="950" ht="25" customHeight="1">
      <x:c r="A950" s="747"/>
      <x:c r="B950" s="747"/>
      <x:c r="C950" s="760"/>
      <x:c r="D950" s="747"/>
      <x:c r="E950" s="747"/>
      <x:c r="F950" s="747"/>
      <x:c r="G950" s="747"/>
      <x:c r="H950" s="747"/>
      <x:c r="I950" s="747"/>
      <x:c r="J950" s="753">
        <x:f>'幕间计算'!E1043</x:f>
        <x:v>0</x:v>
      </x:c>
      <x:c r="K950" s="753" t="str">
        <x:f>'幕间计算'!F1043</x:f>
        <x:v/>
      </x:c>
    </x:row>
    <x:row r="951" ht="25" customHeight="1">
      <x:c r="A951" s="747"/>
      <x:c r="B951" s="747"/>
      <x:c r="C951" s="760"/>
      <x:c r="D951" s="747"/>
      <x:c r="E951" s="747"/>
      <x:c r="F951" s="747"/>
      <x:c r="G951" s="747"/>
      <x:c r="H951" s="747"/>
      <x:c r="I951" s="747"/>
      <x:c r="J951" s="753">
        <x:f>'幕间计算'!E1044</x:f>
        <x:v>0</x:v>
      </x:c>
      <x:c r="K951" s="753" t="str">
        <x:f>'幕间计算'!F1044</x:f>
        <x:v/>
      </x:c>
    </x:row>
    <x:row r="952" ht="25" customHeight="1">
      <x:c r="A952" s="747"/>
      <x:c r="B952" s="747"/>
      <x:c r="C952" s="760"/>
      <x:c r="D952" s="747"/>
      <x:c r="E952" s="747"/>
      <x:c r="F952" s="747"/>
      <x:c r="G952" s="747"/>
      <x:c r="H952" s="747"/>
      <x:c r="I952" s="747"/>
      <x:c r="J952" s="753">
        <x:f>'幕间计算'!E1045</x:f>
        <x:v>0</x:v>
      </x:c>
      <x:c r="K952" s="753" t="str">
        <x:f>'幕间计算'!F1045</x:f>
        <x:v/>
      </x:c>
    </x:row>
    <x:row r="953" ht="25" customHeight="1">
      <x:c r="A953" s="747"/>
      <x:c r="B953" s="747"/>
      <x:c r="C953" s="760"/>
      <x:c r="D953" s="747"/>
      <x:c r="E953" s="747"/>
      <x:c r="F953" s="747"/>
      <x:c r="G953" s="747"/>
      <x:c r="H953" s="747"/>
      <x:c r="I953" s="747"/>
      <x:c r="J953" s="753">
        <x:f>'幕间计算'!E1046</x:f>
        <x:v>0</x:v>
      </x:c>
      <x:c r="K953" s="753" t="str">
        <x:f>'幕间计算'!F1046</x:f>
        <x:v/>
      </x:c>
    </x:row>
    <x:row r="954" ht="25" customHeight="1">
      <x:c r="A954" s="747"/>
      <x:c r="B954" s="747"/>
      <x:c r="C954" s="760"/>
      <x:c r="D954" s="747"/>
      <x:c r="E954" s="747"/>
      <x:c r="F954" s="747"/>
      <x:c r="G954" s="747"/>
      <x:c r="H954" s="747"/>
      <x:c r="I954" s="747"/>
      <x:c r="J954" s="753">
        <x:f>'幕间计算'!E1047</x:f>
        <x:v>0</x:v>
      </x:c>
      <x:c r="K954" s="753" t="str">
        <x:f>'幕间计算'!F1047</x:f>
        <x:v/>
      </x:c>
    </x:row>
    <x:row r="955" ht="25" customHeight="1">
      <x:c r="A955" s="747"/>
      <x:c r="B955" s="747"/>
      <x:c r="C955" s="760"/>
      <x:c r="D955" s="747"/>
      <x:c r="E955" s="747"/>
      <x:c r="F955" s="747"/>
      <x:c r="G955" s="747"/>
      <x:c r="H955" s="747"/>
      <x:c r="I955" s="747"/>
      <x:c r="J955" s="753">
        <x:f>'幕间计算'!E1048</x:f>
        <x:v>0</x:v>
      </x:c>
      <x:c r="K955" s="753" t="str">
        <x:f>'幕间计算'!F1048</x:f>
        <x:v/>
      </x:c>
    </x:row>
    <x:row r="956" ht="25" customHeight="1">
      <x:c r="A956" s="747"/>
      <x:c r="B956" s="747"/>
      <x:c r="C956" s="760"/>
      <x:c r="D956" s="747"/>
      <x:c r="E956" s="747"/>
      <x:c r="F956" s="747"/>
      <x:c r="G956" s="747"/>
      <x:c r="H956" s="747"/>
      <x:c r="I956" s="747"/>
      <x:c r="J956" s="753">
        <x:f>'幕间计算'!E1049</x:f>
        <x:v>0</x:v>
      </x:c>
      <x:c r="K956" s="753" t="str">
        <x:f>'幕间计算'!F1049</x:f>
        <x:v/>
      </x:c>
    </x:row>
    <x:row r="957" ht="25" customHeight="1">
      <x:c r="A957" s="747"/>
      <x:c r="B957" s="747"/>
      <x:c r="C957" s="760"/>
      <x:c r="D957" s="747"/>
      <x:c r="E957" s="747"/>
      <x:c r="F957" s="747"/>
      <x:c r="G957" s="747"/>
      <x:c r="H957" s="747"/>
      <x:c r="I957" s="747"/>
      <x:c r="J957" s="753">
        <x:f>'幕间计算'!E1050</x:f>
        <x:v>0</x:v>
      </x:c>
      <x:c r="K957" s="753" t="str">
        <x:f>'幕间计算'!F1050</x:f>
        <x:v/>
      </x:c>
    </x:row>
    <x:row r="958" ht="25" customHeight="1">
      <x:c r="A958" s="747"/>
      <x:c r="B958" s="747"/>
      <x:c r="C958" s="760"/>
      <x:c r="D958" s="747"/>
      <x:c r="E958" s="747"/>
      <x:c r="F958" s="747"/>
      <x:c r="G958" s="747"/>
      <x:c r="H958" s="747"/>
      <x:c r="I958" s="747"/>
      <x:c r="J958" s="753">
        <x:f>'幕间计算'!E1051</x:f>
        <x:v>0</x:v>
      </x:c>
      <x:c r="K958" s="753" t="str">
        <x:f>'幕间计算'!F1051</x:f>
        <x:v/>
      </x:c>
    </x:row>
    <x:row r="959" ht="25" customHeight="1">
      <x:c r="A959" s="747"/>
      <x:c r="B959" s="747"/>
      <x:c r="C959" s="760"/>
      <x:c r="D959" s="747"/>
      <x:c r="E959" s="747"/>
      <x:c r="F959" s="747"/>
      <x:c r="G959" s="747"/>
      <x:c r="H959" s="747"/>
      <x:c r="I959" s="747"/>
      <x:c r="J959" s="753">
        <x:f>'幕间计算'!E1052</x:f>
        <x:v>0</x:v>
      </x:c>
      <x:c r="K959" s="753" t="str">
        <x:f>'幕间计算'!F1052</x:f>
        <x:v/>
      </x:c>
    </x:row>
    <x:row r="960" ht="25" customHeight="1">
      <x:c r="A960" s="747"/>
      <x:c r="B960" s="747"/>
      <x:c r="C960" s="760"/>
      <x:c r="D960" s="747"/>
      <x:c r="E960" s="747"/>
      <x:c r="F960" s="747"/>
      <x:c r="G960" s="747"/>
      <x:c r="H960" s="747"/>
      <x:c r="I960" s="747"/>
      <x:c r="J960" s="753">
        <x:f>'幕间计算'!E1053</x:f>
        <x:v>0</x:v>
      </x:c>
      <x:c r="K960" s="753" t="str">
        <x:f>'幕间计算'!F1053</x:f>
        <x:v/>
      </x:c>
    </x:row>
    <x:row r="961" ht="25" customHeight="1">
      <x:c r="A961" s="747"/>
      <x:c r="B961" s="747"/>
      <x:c r="C961" s="760"/>
      <x:c r="D961" s="747"/>
      <x:c r="E961" s="747"/>
      <x:c r="F961" s="747"/>
      <x:c r="G961" s="747"/>
      <x:c r="H961" s="747"/>
      <x:c r="I961" s="747"/>
      <x:c r="J961" s="753">
        <x:f>'幕间计算'!E1054</x:f>
        <x:v>0</x:v>
      </x:c>
      <x:c r="K961" s="753" t="str">
        <x:f>'幕间计算'!F1054</x:f>
        <x:v/>
      </x:c>
    </x:row>
    <x:row r="962" ht="25" customHeight="1">
      <x:c r="A962" s="747"/>
      <x:c r="B962" s="747"/>
      <x:c r="C962" s="760"/>
      <x:c r="D962" s="747"/>
      <x:c r="E962" s="747"/>
      <x:c r="F962" s="747"/>
      <x:c r="G962" s="747"/>
      <x:c r="H962" s="747"/>
      <x:c r="I962" s="747"/>
      <x:c r="J962" s="753">
        <x:f>'幕间计算'!E1055</x:f>
        <x:v>0</x:v>
      </x:c>
      <x:c r="K962" s="753" t="str">
        <x:f>'幕间计算'!F1055</x:f>
        <x:v/>
      </x:c>
    </x:row>
    <x:row r="963" ht="25" customHeight="1">
      <x:c r="A963" s="747"/>
      <x:c r="B963" s="747"/>
      <x:c r="C963" s="760"/>
      <x:c r="D963" s="747"/>
      <x:c r="E963" s="747"/>
      <x:c r="F963" s="747"/>
      <x:c r="G963" s="747"/>
      <x:c r="H963" s="747"/>
      <x:c r="I963" s="747"/>
      <x:c r="J963" s="753">
        <x:f>'幕间计算'!E1056</x:f>
        <x:v>0</x:v>
      </x:c>
      <x:c r="K963" s="753" t="str">
        <x:f>'幕间计算'!F1056</x:f>
        <x:v/>
      </x:c>
    </x:row>
    <x:row r="964" ht="25" customHeight="1">
      <x:c r="A964" s="747"/>
      <x:c r="B964" s="747"/>
      <x:c r="C964" s="760"/>
      <x:c r="D964" s="747"/>
      <x:c r="E964" s="747"/>
      <x:c r="F964" s="747"/>
      <x:c r="G964" s="747"/>
      <x:c r="H964" s="747"/>
      <x:c r="I964" s="747"/>
      <x:c r="J964" s="753">
        <x:f>'幕间计算'!E1057</x:f>
        <x:v>0</x:v>
      </x:c>
      <x:c r="K964" s="753" t="str">
        <x:f>'幕间计算'!F1057</x:f>
        <x:v/>
      </x:c>
    </x:row>
    <x:row r="965" ht="25" customHeight="1">
      <x:c r="A965" s="747"/>
      <x:c r="B965" s="747"/>
      <x:c r="C965" s="760"/>
      <x:c r="D965" s="747"/>
      <x:c r="E965" s="747"/>
      <x:c r="F965" s="747"/>
      <x:c r="G965" s="747"/>
      <x:c r="H965" s="747"/>
      <x:c r="I965" s="747"/>
      <x:c r="J965" s="753">
        <x:f>'幕间计算'!E1058</x:f>
        <x:v>0</x:v>
      </x:c>
      <x:c r="K965" s="753" t="str">
        <x:f>'幕间计算'!F1058</x:f>
        <x:v/>
      </x:c>
    </x:row>
    <x:row r="966" ht="25" customHeight="1">
      <x:c r="A966" s="747"/>
      <x:c r="B966" s="747"/>
      <x:c r="C966" s="760"/>
      <x:c r="D966" s="747"/>
      <x:c r="E966" s="747"/>
      <x:c r="F966" s="747"/>
      <x:c r="G966" s="747"/>
      <x:c r="H966" s="747"/>
      <x:c r="I966" s="747"/>
      <x:c r="J966" s="753">
        <x:f>'幕间计算'!E1059</x:f>
        <x:v>0</x:v>
      </x:c>
      <x:c r="K966" s="753" t="str">
        <x:f>'幕间计算'!F1059</x:f>
        <x:v/>
      </x:c>
    </x:row>
    <x:row r="967" ht="25" customHeight="1">
      <x:c r="A967" s="747"/>
      <x:c r="B967" s="747"/>
      <x:c r="C967" s="760"/>
      <x:c r="D967" s="747"/>
      <x:c r="E967" s="747"/>
      <x:c r="F967" s="747"/>
      <x:c r="G967" s="747"/>
      <x:c r="H967" s="747"/>
      <x:c r="I967" s="747"/>
      <x:c r="J967" s="753">
        <x:f>'幕间计算'!E1060</x:f>
        <x:v>0</x:v>
      </x:c>
      <x:c r="K967" s="753" t="str">
        <x:f>'幕间计算'!F1060</x:f>
        <x:v/>
      </x:c>
    </x:row>
    <x:row r="968" ht="25" customHeight="1">
      <x:c r="A968" s="747"/>
      <x:c r="B968" s="747"/>
      <x:c r="C968" s="760"/>
      <x:c r="D968" s="747"/>
      <x:c r="E968" s="747"/>
      <x:c r="F968" s="747"/>
      <x:c r="G968" s="747"/>
      <x:c r="H968" s="747"/>
      <x:c r="I968" s="747"/>
      <x:c r="J968" s="753">
        <x:f>'幕间计算'!E1061</x:f>
        <x:v>0</x:v>
      </x:c>
      <x:c r="K968" s="753" t="str">
        <x:f>'幕间计算'!F1061</x:f>
        <x:v/>
      </x:c>
    </x:row>
    <x:row r="969" ht="25" customHeight="1">
      <x:c r="A969" s="747"/>
      <x:c r="B969" s="747"/>
      <x:c r="C969" s="760"/>
      <x:c r="D969" s="747"/>
      <x:c r="E969" s="747"/>
      <x:c r="F969" s="747"/>
      <x:c r="G969" s="747"/>
      <x:c r="H969" s="747"/>
      <x:c r="I969" s="747"/>
      <x:c r="J969" s="753">
        <x:f>'幕间计算'!E1062</x:f>
        <x:v>0</x:v>
      </x:c>
      <x:c r="K969" s="753" t="str">
        <x:f>'幕间计算'!F1062</x:f>
        <x:v/>
      </x:c>
    </x:row>
    <x:row r="970" ht="25" customHeight="1">
      <x:c r="A970" s="747"/>
      <x:c r="B970" s="747"/>
      <x:c r="C970" s="760"/>
      <x:c r="D970" s="747"/>
      <x:c r="E970" s="747"/>
      <x:c r="F970" s="747"/>
      <x:c r="G970" s="747"/>
      <x:c r="H970" s="747"/>
      <x:c r="I970" s="747"/>
      <x:c r="J970" s="753">
        <x:f>'幕间计算'!E1063</x:f>
        <x:v>0</x:v>
      </x:c>
      <x:c r="K970" s="753" t="str">
        <x:f>'幕间计算'!F1063</x:f>
        <x:v/>
      </x:c>
    </x:row>
    <x:row r="971" ht="25" customHeight="1">
      <x:c r="A971" s="747"/>
      <x:c r="B971" s="747"/>
      <x:c r="C971" s="760"/>
      <x:c r="D971" s="747"/>
      <x:c r="E971" s="747"/>
      <x:c r="F971" s="747"/>
      <x:c r="G971" s="747"/>
      <x:c r="H971" s="747"/>
      <x:c r="I971" s="747"/>
      <x:c r="J971" s="753">
        <x:f>'幕间计算'!E1064</x:f>
        <x:v>0</x:v>
      </x:c>
      <x:c r="K971" s="753" t="str">
        <x:f>'幕间计算'!F1064</x:f>
        <x:v/>
      </x:c>
    </x:row>
    <x:row r="972" ht="25" customHeight="1">
      <x:c r="A972" s="747"/>
      <x:c r="B972" s="747"/>
      <x:c r="C972" s="760"/>
      <x:c r="D972" s="747"/>
      <x:c r="E972" s="747"/>
      <x:c r="F972" s="747"/>
      <x:c r="G972" s="747"/>
      <x:c r="H972" s="747"/>
      <x:c r="I972" s="747"/>
      <x:c r="J972" s="753">
        <x:f>'幕间计算'!E1065</x:f>
        <x:v>0</x:v>
      </x:c>
      <x:c r="K972" s="753" t="str">
        <x:f>'幕间计算'!F1065</x:f>
        <x:v/>
      </x:c>
    </x:row>
    <x:row r="973" ht="25" customHeight="1">
      <x:c r="A973" s="747"/>
      <x:c r="B973" s="747"/>
      <x:c r="C973" s="760"/>
      <x:c r="D973" s="747"/>
      <x:c r="E973" s="747"/>
      <x:c r="F973" s="747"/>
      <x:c r="G973" s="747"/>
      <x:c r="H973" s="747"/>
      <x:c r="I973" s="747"/>
      <x:c r="J973" s="753">
        <x:f>'幕间计算'!E1066</x:f>
        <x:v>0</x:v>
      </x:c>
      <x:c r="K973" s="753" t="str">
        <x:f>'幕间计算'!F1066</x:f>
        <x:v/>
      </x:c>
    </x:row>
    <x:row r="974" ht="25" customHeight="1">
      <x:c r="A974" s="747"/>
      <x:c r="B974" s="747"/>
      <x:c r="C974" s="760"/>
      <x:c r="D974" s="747"/>
      <x:c r="E974" s="747"/>
      <x:c r="F974" s="747"/>
      <x:c r="G974" s="747"/>
      <x:c r="H974" s="747"/>
      <x:c r="I974" s="747"/>
      <x:c r="J974" s="753">
        <x:f>'幕间计算'!E1067</x:f>
        <x:v>0</x:v>
      </x:c>
      <x:c r="K974" s="753" t="str">
        <x:f>'幕间计算'!F1067</x:f>
        <x:v/>
      </x:c>
    </x:row>
    <x:row r="975" ht="25" customHeight="1">
      <x:c r="A975" s="747"/>
      <x:c r="B975" s="747"/>
      <x:c r="C975" s="760"/>
      <x:c r="D975" s="747"/>
      <x:c r="E975" s="747"/>
      <x:c r="F975" s="747"/>
      <x:c r="G975" s="747"/>
      <x:c r="H975" s="747"/>
      <x:c r="I975" s="747"/>
      <x:c r="J975" s="753">
        <x:f>'幕间计算'!E1068</x:f>
        <x:v>0</x:v>
      </x:c>
      <x:c r="K975" s="753" t="str">
        <x:f>'幕间计算'!F1068</x:f>
        <x:v/>
      </x:c>
    </x:row>
    <x:row r="976" ht="25" customHeight="1">
      <x:c r="A976" s="747"/>
      <x:c r="B976" s="747"/>
      <x:c r="C976" s="760"/>
      <x:c r="D976" s="747"/>
      <x:c r="E976" s="747"/>
      <x:c r="F976" s="747"/>
      <x:c r="G976" s="747"/>
      <x:c r="H976" s="747"/>
      <x:c r="I976" s="747"/>
      <x:c r="J976" s="753">
        <x:f>'幕间计算'!E1069</x:f>
        <x:v>0</x:v>
      </x:c>
      <x:c r="K976" s="753" t="str">
        <x:f>'幕间计算'!F1069</x:f>
        <x:v/>
      </x:c>
    </x:row>
    <x:row r="977" ht="25" customHeight="1">
      <x:c r="A977" s="747"/>
      <x:c r="B977" s="747"/>
      <x:c r="C977" s="760"/>
      <x:c r="D977" s="747"/>
      <x:c r="E977" s="747"/>
      <x:c r="F977" s="747"/>
      <x:c r="G977" s="747"/>
      <x:c r="H977" s="747"/>
      <x:c r="I977" s="747"/>
      <x:c r="J977" s="753">
        <x:f>'幕间计算'!E1070</x:f>
        <x:v>0</x:v>
      </x:c>
      <x:c r="K977" s="753" t="str">
        <x:f>'幕间计算'!F1070</x:f>
        <x:v/>
      </x:c>
    </x:row>
    <x:row r="978" ht="25" customHeight="1">
      <x:c r="A978" s="747"/>
      <x:c r="B978" s="747"/>
      <x:c r="C978" s="760"/>
      <x:c r="D978" s="747"/>
      <x:c r="E978" s="747"/>
      <x:c r="F978" s="747"/>
      <x:c r="G978" s="747"/>
      <x:c r="H978" s="747"/>
      <x:c r="I978" s="747"/>
      <x:c r="J978" s="753">
        <x:f>'幕间计算'!E1071</x:f>
        <x:v>0</x:v>
      </x:c>
      <x:c r="K978" s="753" t="str">
        <x:f>'幕间计算'!F1071</x:f>
        <x:v/>
      </x:c>
    </x:row>
    <x:row r="979" ht="25" customHeight="1">
      <x:c r="A979" s="747"/>
      <x:c r="B979" s="747"/>
      <x:c r="C979" s="760"/>
      <x:c r="D979" s="747"/>
      <x:c r="E979" s="747"/>
      <x:c r="F979" s="747"/>
      <x:c r="G979" s="747"/>
      <x:c r="H979" s="747"/>
      <x:c r="I979" s="747"/>
      <x:c r="J979" s="753">
        <x:f>'幕间计算'!E1072</x:f>
        <x:v>0</x:v>
      </x:c>
      <x:c r="K979" s="753" t="str">
        <x:f>'幕间计算'!F1072</x:f>
        <x:v/>
      </x:c>
    </x:row>
    <x:row r="980" ht="25" customHeight="1">
      <x:c r="A980" s="747"/>
      <x:c r="B980" s="747"/>
      <x:c r="C980" s="760"/>
      <x:c r="D980" s="747"/>
      <x:c r="E980" s="747"/>
      <x:c r="F980" s="747"/>
      <x:c r="G980" s="747"/>
      <x:c r="H980" s="747"/>
      <x:c r="I980" s="747"/>
      <x:c r="J980" s="753">
        <x:f>'幕间计算'!E1073</x:f>
        <x:v>0</x:v>
      </x:c>
      <x:c r="K980" s="753" t="str">
        <x:f>'幕间计算'!F1073</x:f>
        <x:v/>
      </x:c>
    </x:row>
    <x:row r="981" ht="25" customHeight="1">
      <x:c r="A981" s="747"/>
      <x:c r="B981" s="747"/>
      <x:c r="C981" s="760"/>
      <x:c r="D981" s="747"/>
      <x:c r="E981" s="747"/>
      <x:c r="F981" s="747"/>
      <x:c r="G981" s="747"/>
      <x:c r="H981" s="747"/>
      <x:c r="I981" s="747"/>
      <x:c r="J981" s="753">
        <x:f>'幕间计算'!E1074</x:f>
        <x:v>0</x:v>
      </x:c>
      <x:c r="K981" s="753" t="str">
        <x:f>'幕间计算'!F1074</x:f>
        <x:v/>
      </x:c>
    </x:row>
    <x:row r="982" ht="25" customHeight="1">
      <x:c r="A982" s="747"/>
      <x:c r="B982" s="747"/>
      <x:c r="C982" s="760"/>
      <x:c r="D982" s="747"/>
      <x:c r="E982" s="747"/>
      <x:c r="F982" s="747"/>
      <x:c r="G982" s="747"/>
      <x:c r="H982" s="747"/>
      <x:c r="I982" s="747"/>
      <x:c r="J982" s="753">
        <x:f>'幕间计算'!E1075</x:f>
        <x:v>0</x:v>
      </x:c>
      <x:c r="K982" s="753" t="str">
        <x:f>'幕间计算'!F1075</x:f>
        <x:v/>
      </x:c>
    </x:row>
    <x:row r="983" ht="25" customHeight="1">
      <x:c r="A983" s="747"/>
      <x:c r="B983" s="747"/>
      <x:c r="C983" s="760"/>
      <x:c r="D983" s="747"/>
      <x:c r="E983" s="747"/>
      <x:c r="F983" s="747"/>
      <x:c r="G983" s="747"/>
      <x:c r="H983" s="747"/>
      <x:c r="I983" s="747"/>
      <x:c r="J983" s="753">
        <x:f>'幕间计算'!E1076</x:f>
        <x:v>0</x:v>
      </x:c>
      <x:c r="K983" s="753" t="str">
        <x:f>'幕间计算'!F1076</x:f>
        <x:v/>
      </x:c>
    </x:row>
    <x:row r="984" ht="25" customHeight="1">
      <x:c r="A984" s="747"/>
      <x:c r="B984" s="747"/>
      <x:c r="C984" s="760"/>
      <x:c r="D984" s="747"/>
      <x:c r="E984" s="747"/>
      <x:c r="F984" s="747"/>
      <x:c r="G984" s="747"/>
      <x:c r="H984" s="747"/>
      <x:c r="I984" s="747"/>
      <x:c r="J984" s="753">
        <x:f>'幕间计算'!E1077</x:f>
        <x:v>0</x:v>
      </x:c>
      <x:c r="K984" s="753" t="str">
        <x:f>'幕间计算'!F1077</x:f>
        <x:v/>
      </x:c>
    </x:row>
    <x:row r="985" ht="25" customHeight="1">
      <x:c r="A985" s="747"/>
      <x:c r="B985" s="747"/>
      <x:c r="C985" s="760"/>
      <x:c r="D985" s="747"/>
      <x:c r="E985" s="747"/>
      <x:c r="F985" s="747"/>
      <x:c r="G985" s="747"/>
      <x:c r="H985" s="747"/>
      <x:c r="I985" s="747"/>
      <x:c r="J985" s="753">
        <x:f>'幕间计算'!E1078</x:f>
        <x:v>0</x:v>
      </x:c>
      <x:c r="K985" s="753" t="str">
        <x:f>'幕间计算'!F1078</x:f>
        <x:v/>
      </x:c>
    </x:row>
    <x:row r="986" ht="25" customHeight="1">
      <x:c r="A986" s="747"/>
      <x:c r="B986" s="747"/>
      <x:c r="C986" s="760"/>
      <x:c r="D986" s="747"/>
      <x:c r="E986" s="747"/>
      <x:c r="F986" s="747"/>
      <x:c r="G986" s="747"/>
      <x:c r="H986" s="747"/>
      <x:c r="I986" s="747"/>
      <x:c r="J986" s="753">
        <x:f>'幕间计算'!E1079</x:f>
        <x:v>0</x:v>
      </x:c>
      <x:c r="K986" s="753" t="str">
        <x:f>'幕间计算'!F1079</x:f>
        <x:v/>
      </x:c>
    </x:row>
    <x:row r="987" ht="25" customHeight="1">
      <x:c r="A987" s="747"/>
      <x:c r="B987" s="747"/>
      <x:c r="C987" s="760"/>
      <x:c r="D987" s="747"/>
      <x:c r="E987" s="747"/>
      <x:c r="F987" s="747"/>
      <x:c r="G987" s="747"/>
      <x:c r="H987" s="747"/>
      <x:c r="I987" s="747"/>
      <x:c r="J987" s="753">
        <x:f>'幕间计算'!E1080</x:f>
        <x:v>0</x:v>
      </x:c>
      <x:c r="K987" s="753" t="str">
        <x:f>'幕间计算'!F1080</x:f>
        <x:v/>
      </x:c>
    </x:row>
    <x:row r="988" ht="25" customHeight="1">
      <x:c r="A988" s="747"/>
      <x:c r="B988" s="747"/>
      <x:c r="C988" s="760"/>
      <x:c r="D988" s="747"/>
      <x:c r="E988" s="747"/>
      <x:c r="F988" s="747"/>
      <x:c r="G988" s="747"/>
      <x:c r="H988" s="747"/>
      <x:c r="I988" s="747"/>
      <x:c r="J988" s="753">
        <x:f>'幕间计算'!E1081</x:f>
        <x:v>0</x:v>
      </x:c>
      <x:c r="K988" s="753" t="str">
        <x:f>'幕间计算'!F1081</x:f>
        <x:v/>
      </x:c>
    </x:row>
    <x:row r="989" ht="25" customHeight="1">
      <x:c r="A989" s="747"/>
      <x:c r="B989" s="747"/>
      <x:c r="C989" s="760"/>
      <x:c r="D989" s="747"/>
      <x:c r="E989" s="747"/>
      <x:c r="F989" s="747"/>
      <x:c r="G989" s="747"/>
      <x:c r="H989" s="747"/>
      <x:c r="I989" s="747"/>
      <x:c r="J989" s="753">
        <x:f>'幕间计算'!E1082</x:f>
        <x:v>0</x:v>
      </x:c>
      <x:c r="K989" s="753" t="str">
        <x:f>'幕间计算'!F1082</x:f>
        <x:v/>
      </x:c>
    </x:row>
    <x:row r="990" ht="25" customHeight="1">
      <x:c r="A990" s="747"/>
      <x:c r="B990" s="747"/>
      <x:c r="C990" s="760"/>
      <x:c r="D990" s="747"/>
      <x:c r="E990" s="747"/>
      <x:c r="F990" s="747"/>
      <x:c r="G990" s="747"/>
      <x:c r="H990" s="747"/>
      <x:c r="I990" s="747"/>
      <x:c r="J990" s="753">
        <x:f>'幕间计算'!E1083</x:f>
        <x:v>0</x:v>
      </x:c>
      <x:c r="K990" s="753" t="str">
        <x:f>'幕间计算'!F1083</x:f>
        <x:v/>
      </x:c>
    </x:row>
    <x:row r="991" ht="25" customHeight="1">
      <x:c r="A991" s="747"/>
      <x:c r="B991" s="747"/>
      <x:c r="C991" s="760"/>
      <x:c r="D991" s="747"/>
      <x:c r="E991" s="747"/>
      <x:c r="F991" s="747"/>
      <x:c r="G991" s="747"/>
      <x:c r="H991" s="747"/>
      <x:c r="I991" s="747"/>
      <x:c r="J991" s="753">
        <x:f>'幕间计算'!E1084</x:f>
        <x:v>0</x:v>
      </x:c>
      <x:c r="K991" s="753" t="str">
        <x:f>'幕间计算'!F1084</x:f>
        <x:v/>
      </x:c>
    </x:row>
    <x:row r="992" ht="25" customHeight="1">
      <x:c r="A992" s="747"/>
      <x:c r="B992" s="747"/>
      <x:c r="C992" s="760"/>
      <x:c r="D992" s="747"/>
      <x:c r="E992" s="747"/>
      <x:c r="F992" s="747"/>
      <x:c r="G992" s="747"/>
      <x:c r="H992" s="747"/>
      <x:c r="I992" s="747"/>
      <x:c r="J992" s="753">
        <x:f>'幕间计算'!E1085</x:f>
        <x:v>0</x:v>
      </x:c>
      <x:c r="K992" s="753" t="str">
        <x:f>'幕间计算'!F1085</x:f>
        <x:v/>
      </x:c>
    </x:row>
    <x:row r="993" ht="25" customHeight="1">
      <x:c r="A993" s="747"/>
      <x:c r="B993" s="747"/>
      <x:c r="C993" s="760"/>
      <x:c r="D993" s="747"/>
      <x:c r="E993" s="747"/>
      <x:c r="F993" s="747"/>
      <x:c r="G993" s="747"/>
      <x:c r="H993" s="747"/>
      <x:c r="I993" s="747"/>
      <x:c r="J993" s="753">
        <x:f>'幕间计算'!E1086</x:f>
        <x:v>0</x:v>
      </x:c>
      <x:c r="K993" s="753" t="str">
        <x:f>'幕间计算'!F1086</x:f>
        <x:v/>
      </x:c>
    </x:row>
    <x:row r="994" ht="25" customHeight="1">
      <x:c r="A994" s="747"/>
      <x:c r="B994" s="747"/>
      <x:c r="C994" s="760"/>
      <x:c r="D994" s="747"/>
      <x:c r="E994" s="747"/>
      <x:c r="F994" s="747"/>
      <x:c r="G994" s="747"/>
      <x:c r="H994" s="747"/>
      <x:c r="I994" s="747"/>
      <x:c r="J994" s="753">
        <x:f>'幕间计算'!E1087</x:f>
        <x:v>0</x:v>
      </x:c>
      <x:c r="K994" s="753" t="str">
        <x:f>'幕间计算'!F1087</x:f>
        <x:v/>
      </x:c>
    </x:row>
    <x:row r="995" ht="25" customHeight="1">
      <x:c r="A995" s="747"/>
      <x:c r="B995" s="747"/>
      <x:c r="C995" s="760"/>
      <x:c r="D995" s="747"/>
      <x:c r="E995" s="747"/>
      <x:c r="F995" s="747"/>
      <x:c r="G995" s="747"/>
      <x:c r="H995" s="747"/>
      <x:c r="I995" s="747"/>
      <x:c r="J995" s="753">
        <x:f>'幕间计算'!E1088</x:f>
        <x:v>0</x:v>
      </x:c>
      <x:c r="K995" s="753" t="str">
        <x:f>'幕间计算'!F1088</x:f>
        <x:v/>
      </x:c>
    </x:row>
    <x:row r="996" ht="25" customHeight="1">
      <x:c r="A996" s="747"/>
      <x:c r="B996" s="747"/>
      <x:c r="C996" s="760"/>
      <x:c r="D996" s="747"/>
      <x:c r="E996" s="747"/>
      <x:c r="F996" s="747"/>
      <x:c r="G996" s="747"/>
      <x:c r="H996" s="747"/>
      <x:c r="I996" s="747"/>
      <x:c r="J996" s="753">
        <x:f>'幕间计算'!E1089</x:f>
        <x:v>0</x:v>
      </x:c>
      <x:c r="K996" s="753" t="str">
        <x:f>'幕间计算'!F1089</x:f>
        <x:v/>
      </x:c>
    </x:row>
    <x:row r="997" ht="25" customHeight="1">
      <x:c r="A997" s="747"/>
      <x:c r="B997" s="747"/>
      <x:c r="C997" s="760"/>
      <x:c r="D997" s="747"/>
      <x:c r="E997" s="747"/>
      <x:c r="F997" s="747"/>
      <x:c r="G997" s="747"/>
      <x:c r="H997" s="747"/>
      <x:c r="I997" s="747"/>
      <x:c r="J997" s="753">
        <x:f>'幕间计算'!E1090</x:f>
        <x:v>0</x:v>
      </x:c>
      <x:c r="K997" s="753" t="str">
        <x:f>'幕间计算'!F1090</x:f>
        <x:v/>
      </x:c>
    </x:row>
    <x:row r="998" ht="25" customHeight="1">
      <x:c r="A998" s="747"/>
      <x:c r="B998" s="747"/>
      <x:c r="C998" s="760"/>
      <x:c r="D998" s="747"/>
      <x:c r="E998" s="747"/>
      <x:c r="F998" s="747"/>
      <x:c r="G998" s="747"/>
      <x:c r="H998" s="747"/>
      <x:c r="I998" s="747"/>
      <x:c r="J998" s="753">
        <x:f>'幕间计算'!E1091</x:f>
        <x:v>0</x:v>
      </x:c>
      <x:c r="K998" s="753" t="str">
        <x:f>'幕间计算'!F1091</x:f>
        <x:v/>
      </x:c>
    </x:row>
    <x:row r="999" ht="25" customHeight="1">
      <x:c r="A999" s="747"/>
      <x:c r="B999" s="747"/>
      <x:c r="C999" s="760"/>
      <x:c r="D999" s="747"/>
      <x:c r="E999" s="747"/>
      <x:c r="F999" s="747"/>
      <x:c r="G999" s="747"/>
      <x:c r="H999" s="747"/>
      <x:c r="I999" s="747"/>
      <x:c r="J999" s="753">
        <x:f>'幕间计算'!E1092</x:f>
        <x:v>0</x:v>
      </x:c>
      <x:c r="K999" s="753" t="str">
        <x:f>'幕间计算'!F1092</x:f>
        <x:v/>
      </x:c>
    </x:row>
    <x:row r="1000" ht="25" customHeight="1">
      <x:c r="A1000" s="747"/>
      <x:c r="B1000" s="747"/>
      <x:c r="C1000" s="760"/>
      <x:c r="D1000" s="747"/>
      <x:c r="E1000" s="747"/>
      <x:c r="F1000" s="747"/>
      <x:c r="G1000" s="747"/>
      <x:c r="H1000" s="747"/>
      <x:c r="I1000" s="747"/>
      <x:c r="J1000" s="753">
        <x:f>'幕间计算'!E1093</x:f>
        <x:v>0</x:v>
      </x:c>
      <x:c r="K1000" s="753" t="str">
        <x:f>'幕间计算'!F1093</x:f>
        <x:v/>
      </x:c>
    </x:row>
    <x:row r="1001" ht="25" customHeight="1">
      <x:c r="A1001" s="747"/>
      <x:c r="B1001" s="747"/>
      <x:c r="C1001" s="760"/>
      <x:c r="D1001" s="747"/>
      <x:c r="E1001" s="747"/>
      <x:c r="F1001" s="747"/>
      <x:c r="G1001" s="747"/>
      <x:c r="H1001" s="747"/>
      <x:c r="I1001" s="747"/>
      <x:c r="J1001" s="753">
        <x:f>'幕间计算'!E1094</x:f>
        <x:v>0</x:v>
      </x:c>
      <x:c r="K1001" s="753" t="str">
        <x:f>'幕间计算'!F1094</x:f>
        <x:v/>
      </x:c>
    </x:row>
    <x:row r="1002" ht="25" customHeight="1">
      <x:c r="A1002" s="747"/>
      <x:c r="B1002" s="747"/>
      <x:c r="C1002" s="760"/>
      <x:c r="D1002" s="747"/>
      <x:c r="E1002" s="747"/>
      <x:c r="F1002" s="747"/>
      <x:c r="G1002" s="747"/>
      <x:c r="H1002" s="747"/>
      <x:c r="I1002" s="747"/>
      <x:c r="J1002" s="753">
        <x:f>'幕间计算'!E1095</x:f>
        <x:v>0</x:v>
      </x:c>
      <x:c r="K1002" s="753" t="str">
        <x:f>'幕间计算'!F1095</x:f>
        <x:v/>
      </x:c>
    </x:row>
    <x:row r="1003" ht="25" customHeight="1">
      <x:c r="A1003" s="747"/>
      <x:c r="B1003" s="747"/>
      <x:c r="C1003" s="760"/>
      <x:c r="D1003" s="747"/>
      <x:c r="E1003" s="747"/>
      <x:c r="F1003" s="747"/>
      <x:c r="G1003" s="747"/>
      <x:c r="H1003" s="747"/>
      <x:c r="I1003" s="747"/>
      <x:c r="J1003" s="753">
        <x:f>'幕间计算'!E1096</x:f>
        <x:v>0</x:v>
      </x:c>
      <x:c r="K1003" s="753" t="str">
        <x:f>'幕间计算'!F1096</x:f>
        <x:v/>
      </x:c>
    </x:row>
    <x:row r="1004" ht="25" customHeight="1">
      <x:c r="A1004" s="747"/>
      <x:c r="B1004" s="747"/>
      <x:c r="C1004" s="760"/>
      <x:c r="D1004" s="747"/>
      <x:c r="E1004" s="747"/>
      <x:c r="F1004" s="747"/>
      <x:c r="G1004" s="747"/>
      <x:c r="H1004" s="747"/>
      <x:c r="I1004" s="747"/>
      <x:c r="J1004" s="753">
        <x:f>'幕间计算'!E1097</x:f>
        <x:v>0</x:v>
      </x:c>
      <x:c r="K1004" s="753" t="str">
        <x:f>'幕间计算'!F1097</x:f>
        <x:v/>
      </x:c>
    </x:row>
    <x:row r="1005" ht="25" customHeight="1">
      <x:c r="A1005" s="747"/>
      <x:c r="B1005" s="747"/>
      <x:c r="C1005" s="760"/>
      <x:c r="D1005" s="747"/>
      <x:c r="E1005" s="747"/>
      <x:c r="F1005" s="747"/>
      <x:c r="G1005" s="747"/>
      <x:c r="H1005" s="747"/>
      <x:c r="I1005" s="747"/>
      <x:c r="J1005" s="753">
        <x:f>'幕间计算'!E1098</x:f>
        <x:v>0</x:v>
      </x:c>
      <x:c r="K1005" s="753" t="str">
        <x:f>'幕间计算'!F1098</x:f>
        <x:v/>
      </x:c>
    </x:row>
    <x:row r="1006" ht="25" customHeight="1">
      <x:c r="A1006" s="747"/>
      <x:c r="B1006" s="747"/>
      <x:c r="C1006" s="760"/>
      <x:c r="D1006" s="747"/>
      <x:c r="E1006" s="747"/>
      <x:c r="F1006" s="747"/>
      <x:c r="G1006" s="747"/>
      <x:c r="H1006" s="747"/>
      <x:c r="I1006" s="747"/>
      <x:c r="J1006" s="753">
        <x:f>'幕间计算'!E1099</x:f>
        <x:v>0</x:v>
      </x:c>
      <x:c r="K1006" s="753" t="str">
        <x:f>'幕间计算'!F1099</x:f>
        <x:v/>
      </x:c>
    </x:row>
    <x:row r="1007" ht="25" customHeight="1">
      <x:c r="A1007" s="747"/>
      <x:c r="B1007" s="747"/>
      <x:c r="C1007" s="760"/>
      <x:c r="D1007" s="747"/>
      <x:c r="E1007" s="747"/>
      <x:c r="F1007" s="747"/>
      <x:c r="G1007" s="747"/>
      <x:c r="H1007" s="747"/>
      <x:c r="I1007" s="747"/>
      <x:c r="J1007" s="753">
        <x:f>'幕间计算'!E1100</x:f>
        <x:v>0</x:v>
      </x:c>
      <x:c r="K1007" s="753" t="str">
        <x:f>'幕间计算'!F1100</x:f>
        <x:v/>
      </x:c>
    </x:row>
    <x:row r="1008" ht="25" customHeight="1">
      <x:c r="A1008" s="747"/>
      <x:c r="B1008" s="747"/>
      <x:c r="C1008" s="760"/>
      <x:c r="D1008" s="747"/>
      <x:c r="E1008" s="747"/>
      <x:c r="F1008" s="747"/>
      <x:c r="G1008" s="747"/>
      <x:c r="H1008" s="747"/>
      <x:c r="I1008" s="747"/>
      <x:c r="J1008" s="753">
        <x:f>'幕间计算'!E1101</x:f>
        <x:v>0</x:v>
      </x:c>
      <x:c r="K1008" s="753" t="str">
        <x:f>'幕间计算'!F1101</x:f>
        <x:v/>
      </x:c>
    </x:row>
    <x:row r="1009" ht="25" customHeight="1">
      <x:c r="A1009" s="747"/>
      <x:c r="B1009" s="747"/>
      <x:c r="C1009" s="760"/>
      <x:c r="D1009" s="747"/>
      <x:c r="E1009" s="747"/>
      <x:c r="F1009" s="747"/>
      <x:c r="G1009" s="747"/>
      <x:c r="H1009" s="747"/>
      <x:c r="I1009" s="747"/>
      <x:c r="J1009" s="753">
        <x:f>'幕间计算'!E1102</x:f>
        <x:v>0</x:v>
      </x:c>
      <x:c r="K1009" s="753" t="str">
        <x:f>'幕间计算'!F1102</x:f>
        <x:v/>
      </x:c>
    </x:row>
    <x:row r="1010" ht="25" customHeight="1">
      <x:c r="A1010" s="747"/>
      <x:c r="B1010" s="747"/>
      <x:c r="C1010" s="760"/>
      <x:c r="D1010" s="747"/>
      <x:c r="E1010" s="747"/>
      <x:c r="F1010" s="747"/>
      <x:c r="G1010" s="747"/>
      <x:c r="H1010" s="747"/>
      <x:c r="I1010" s="747"/>
      <x:c r="J1010" s="753">
        <x:f>'幕间计算'!E1103</x:f>
        <x:v>0</x:v>
      </x:c>
      <x:c r="K1010" s="753" t="str">
        <x:f>'幕间计算'!F1103</x:f>
        <x:v/>
      </x:c>
    </x:row>
    <x:row r="1011" ht="25" customHeight="1">
      <x:c r="A1011" s="747"/>
      <x:c r="B1011" s="747"/>
      <x:c r="C1011" s="760"/>
      <x:c r="D1011" s="747"/>
      <x:c r="E1011" s="747"/>
      <x:c r="F1011" s="747"/>
      <x:c r="G1011" s="747"/>
      <x:c r="H1011" s="747"/>
      <x:c r="I1011" s="747"/>
      <x:c r="J1011" s="753">
        <x:f>'幕间计算'!E1104</x:f>
        <x:v>0</x:v>
      </x:c>
      <x:c r="K1011" s="753" t="str">
        <x:f>'幕间计算'!F1104</x:f>
        <x:v/>
      </x:c>
    </x:row>
    <x:row r="1012" ht="25" customHeight="1">
      <x:c r="A1012" s="747"/>
      <x:c r="B1012" s="747"/>
      <x:c r="C1012" s="760"/>
      <x:c r="D1012" s="747"/>
      <x:c r="E1012" s="747"/>
      <x:c r="F1012" s="747"/>
      <x:c r="G1012" s="747"/>
      <x:c r="H1012" s="747"/>
      <x:c r="I1012" s="747"/>
      <x:c r="J1012" s="753">
        <x:f>'幕间计算'!E1105</x:f>
        <x:v>0</x:v>
      </x:c>
      <x:c r="K1012" s="753" t="str">
        <x:f>'幕间计算'!F1105</x:f>
        <x:v/>
      </x:c>
    </x:row>
    <x:row r="1013" ht="25" customHeight="1">
      <x:c r="A1013" s="747"/>
      <x:c r="B1013" s="747"/>
      <x:c r="C1013" s="760"/>
      <x:c r="D1013" s="747"/>
      <x:c r="E1013" s="747"/>
      <x:c r="F1013" s="747"/>
      <x:c r="G1013" s="747"/>
      <x:c r="H1013" s="747"/>
      <x:c r="I1013" s="747"/>
      <x:c r="J1013" s="753">
        <x:f>'幕间计算'!E1106</x:f>
        <x:v>0</x:v>
      </x:c>
      <x:c r="K1013" s="753" t="str">
        <x:f>'幕间计算'!F1106</x:f>
        <x:v/>
      </x:c>
    </x:row>
    <x:row r="1014" ht="25" customHeight="1">
      <x:c r="A1014" s="747"/>
      <x:c r="B1014" s="747"/>
      <x:c r="C1014" s="760"/>
      <x:c r="D1014" s="747"/>
      <x:c r="E1014" s="747"/>
      <x:c r="F1014" s="747"/>
      <x:c r="G1014" s="747"/>
      <x:c r="H1014" s="747"/>
      <x:c r="I1014" s="747"/>
      <x:c r="J1014" s="753">
        <x:f>'幕间计算'!E1107</x:f>
        <x:v>0</x:v>
      </x:c>
      <x:c r="K1014" s="753" t="str">
        <x:f>'幕间计算'!F1107</x:f>
        <x:v/>
      </x:c>
    </x:row>
    <x:row r="1015" ht="25" customHeight="1">
      <x:c r="A1015" s="747"/>
      <x:c r="B1015" s="747"/>
      <x:c r="C1015" s="760"/>
      <x:c r="D1015" s="747"/>
      <x:c r="E1015" s="747"/>
      <x:c r="F1015" s="747"/>
      <x:c r="G1015" s="747"/>
      <x:c r="H1015" s="747"/>
      <x:c r="I1015" s="747"/>
      <x:c r="J1015" s="753">
        <x:f>'幕间计算'!E1108</x:f>
        <x:v>0</x:v>
      </x:c>
      <x:c r="K1015" s="753" t="str">
        <x:f>'幕间计算'!F1108</x:f>
        <x:v/>
      </x:c>
    </x:row>
    <x:row r="1016" ht="25" customHeight="1">
      <x:c r="A1016" s="747"/>
      <x:c r="B1016" s="747"/>
      <x:c r="C1016" s="760"/>
      <x:c r="D1016" s="747"/>
      <x:c r="E1016" s="747"/>
      <x:c r="F1016" s="747"/>
      <x:c r="G1016" s="747"/>
      <x:c r="H1016" s="747"/>
      <x:c r="I1016" s="747"/>
      <x:c r="J1016" s="753">
        <x:f>'幕间计算'!E1109</x:f>
        <x:v>0</x:v>
      </x:c>
      <x:c r="K1016" s="753" t="str">
        <x:f>'幕间计算'!F1109</x:f>
        <x:v/>
      </x:c>
    </x:row>
    <x:row r="1017" ht="25" customHeight="1">
      <x:c r="A1017" s="747"/>
      <x:c r="B1017" s="747"/>
      <x:c r="C1017" s="760"/>
      <x:c r="D1017" s="747"/>
      <x:c r="E1017" s="747"/>
      <x:c r="F1017" s="747"/>
      <x:c r="G1017" s="747"/>
      <x:c r="H1017" s="747"/>
      <x:c r="I1017" s="747"/>
      <x:c r="J1017" s="753">
        <x:f>'幕间计算'!E1110</x:f>
        <x:v>0</x:v>
      </x:c>
      <x:c r="K1017" s="753" t="str">
        <x:f>'幕间计算'!F1110</x:f>
        <x:v/>
      </x:c>
    </x:row>
    <x:row r="1018" ht="25" customHeight="1">
      <x:c r="A1018" s="747"/>
      <x:c r="B1018" s="747"/>
      <x:c r="C1018" s="760"/>
      <x:c r="D1018" s="747"/>
      <x:c r="E1018" s="747"/>
      <x:c r="F1018" s="747"/>
      <x:c r="G1018" s="747"/>
      <x:c r="H1018" s="747"/>
      <x:c r="I1018" s="747"/>
      <x:c r="J1018" s="753">
        <x:f>'幕间计算'!E1111</x:f>
        <x:v>0</x:v>
      </x:c>
      <x:c r="K1018" s="753" t="str">
        <x:f>'幕间计算'!F1111</x:f>
        <x:v/>
      </x:c>
    </x:row>
    <x:row r="1019" ht="25" customHeight="1">
      <x:c r="A1019" s="747"/>
      <x:c r="B1019" s="747"/>
      <x:c r="C1019" s="760"/>
      <x:c r="D1019" s="747"/>
      <x:c r="E1019" s="747"/>
      <x:c r="F1019" s="747"/>
      <x:c r="G1019" s="747"/>
      <x:c r="H1019" s="747"/>
      <x:c r="I1019" s="747"/>
      <x:c r="J1019" s="753">
        <x:f>'幕间计算'!E1112</x:f>
        <x:v>0</x:v>
      </x:c>
      <x:c r="K1019" s="753" t="str">
        <x:f>'幕间计算'!F1112</x:f>
        <x:v/>
      </x:c>
    </x:row>
    <x:row r="1020" ht="25" customHeight="1">
      <x:c r="A1020" s="747"/>
      <x:c r="B1020" s="747"/>
      <x:c r="C1020" s="760"/>
      <x:c r="D1020" s="747"/>
      <x:c r="E1020" s="747"/>
      <x:c r="F1020" s="747"/>
      <x:c r="G1020" s="747"/>
      <x:c r="H1020" s="747"/>
      <x:c r="I1020" s="747"/>
      <x:c r="J1020" s="753">
        <x:f>'幕间计算'!E1113</x:f>
        <x:v>0</x:v>
      </x:c>
      <x:c r="K1020" s="753" t="str">
        <x:f>'幕间计算'!F1113</x:f>
        <x:v/>
      </x:c>
    </x:row>
    <x:row r="1021" ht="25" customHeight="1">
      <x:c r="A1021" s="747"/>
      <x:c r="B1021" s="747"/>
      <x:c r="C1021" s="760"/>
      <x:c r="D1021" s="747"/>
      <x:c r="E1021" s="747"/>
      <x:c r="F1021" s="747"/>
      <x:c r="G1021" s="747"/>
      <x:c r="H1021" s="747"/>
      <x:c r="I1021" s="747"/>
      <x:c r="J1021" s="753">
        <x:f>'幕间计算'!E1114</x:f>
        <x:v>0</x:v>
      </x:c>
      <x:c r="K1021" s="753" t="str">
        <x:f>'幕间计算'!F1114</x:f>
        <x:v/>
      </x:c>
    </x:row>
    <x:row r="1022" ht="25" customHeight="1">
      <x:c r="A1022" s="747"/>
      <x:c r="B1022" s="747"/>
      <x:c r="C1022" s="760"/>
      <x:c r="D1022" s="747"/>
      <x:c r="E1022" s="747"/>
      <x:c r="F1022" s="747"/>
      <x:c r="G1022" s="747"/>
      <x:c r="H1022" s="747"/>
      <x:c r="I1022" s="747"/>
      <x:c r="J1022" s="753">
        <x:f>'幕间计算'!E1115</x:f>
        <x:v>0</x:v>
      </x:c>
      <x:c r="K1022" s="753" t="str">
        <x:f>'幕间计算'!F1115</x:f>
        <x:v/>
      </x:c>
    </x:row>
    <x:row r="1023" ht="25" customHeight="1">
      <x:c r="A1023" s="747"/>
      <x:c r="B1023" s="747"/>
      <x:c r="C1023" s="760"/>
      <x:c r="D1023" s="747"/>
      <x:c r="E1023" s="747"/>
      <x:c r="F1023" s="747"/>
      <x:c r="G1023" s="747"/>
      <x:c r="H1023" s="747"/>
      <x:c r="I1023" s="747"/>
      <x:c r="J1023" s="753">
        <x:f>'幕间计算'!E1116</x:f>
        <x:v>0</x:v>
      </x:c>
      <x:c r="K1023" s="753" t="str">
        <x:f>'幕间计算'!F1116</x:f>
        <x:v/>
      </x:c>
    </x:row>
    <x:row r="1024" ht="25" customHeight="1">
      <x:c r="A1024" s="747"/>
      <x:c r="B1024" s="747"/>
      <x:c r="C1024" s="760"/>
      <x:c r="D1024" s="747"/>
      <x:c r="E1024" s="747"/>
      <x:c r="F1024" s="747"/>
      <x:c r="G1024" s="747"/>
      <x:c r="H1024" s="747"/>
      <x:c r="I1024" s="747"/>
      <x:c r="J1024" s="753">
        <x:f>'幕间计算'!E1117</x:f>
        <x:v>0</x:v>
      </x:c>
      <x:c r="K1024" s="753" t="str">
        <x:f>'幕间计算'!F1117</x:f>
        <x:v/>
      </x:c>
    </x:row>
    <x:row r="1025" ht="25" customHeight="1">
      <x:c r="A1025" s="747"/>
      <x:c r="B1025" s="747"/>
      <x:c r="C1025" s="760"/>
      <x:c r="D1025" s="747"/>
      <x:c r="E1025" s="747"/>
      <x:c r="F1025" s="747"/>
      <x:c r="G1025" s="747"/>
      <x:c r="H1025" s="747"/>
      <x:c r="I1025" s="747"/>
      <x:c r="J1025" s="753">
        <x:f>'幕间计算'!E1118</x:f>
        <x:v>0</x:v>
      </x:c>
      <x:c r="K1025" s="753" t="str">
        <x:f>'幕间计算'!F1118</x:f>
        <x:v/>
      </x:c>
    </x:row>
    <x:row r="1026" ht="25" customHeight="1">
      <x:c r="A1026" s="747"/>
      <x:c r="B1026" s="747"/>
      <x:c r="C1026" s="760"/>
      <x:c r="D1026" s="747"/>
      <x:c r="E1026" s="747"/>
      <x:c r="F1026" s="747"/>
      <x:c r="G1026" s="747"/>
      <x:c r="H1026" s="747"/>
      <x:c r="I1026" s="747"/>
      <x:c r="J1026" s="753">
        <x:f>'幕间计算'!E1119</x:f>
        <x:v>0</x:v>
      </x:c>
      <x:c r="K1026" s="753" t="str">
        <x:f>'幕间计算'!F1119</x:f>
        <x:v/>
      </x:c>
    </x:row>
    <x:row r="1027" ht="25" customHeight="1">
      <x:c r="A1027" s="747"/>
      <x:c r="B1027" s="747"/>
      <x:c r="C1027" s="760"/>
      <x:c r="D1027" s="747"/>
      <x:c r="E1027" s="747"/>
      <x:c r="F1027" s="747"/>
      <x:c r="G1027" s="747"/>
      <x:c r="H1027" s="747"/>
      <x:c r="I1027" s="747"/>
      <x:c r="J1027" s="753">
        <x:f>'幕间计算'!E1120</x:f>
        <x:v>0</x:v>
      </x:c>
      <x:c r="K1027" s="753" t="str">
        <x:f>'幕间计算'!F1120</x:f>
        <x:v/>
      </x:c>
    </x:row>
    <x:row r="1028" ht="25" customHeight="1">
      <x:c r="A1028" s="747"/>
      <x:c r="B1028" s="747"/>
      <x:c r="C1028" s="760"/>
      <x:c r="D1028" s="747"/>
      <x:c r="E1028" s="747"/>
      <x:c r="F1028" s="747"/>
      <x:c r="G1028" s="747"/>
      <x:c r="H1028" s="747"/>
      <x:c r="I1028" s="747"/>
      <x:c r="J1028" s="753">
        <x:f>'幕间计算'!E1121</x:f>
        <x:v>0</x:v>
      </x:c>
      <x:c r="K1028" s="753" t="str">
        <x:f>'幕间计算'!F1121</x:f>
        <x:v/>
      </x:c>
    </x:row>
    <x:row r="1029" ht="25" customHeight="1">
      <x:c r="A1029" s="747"/>
      <x:c r="B1029" s="747"/>
      <x:c r="C1029" s="760"/>
      <x:c r="D1029" s="747"/>
      <x:c r="E1029" s="747"/>
      <x:c r="F1029" s="747"/>
      <x:c r="G1029" s="747"/>
      <x:c r="H1029" s="747"/>
      <x:c r="I1029" s="747"/>
      <x:c r="J1029" s="753">
        <x:f>'幕间计算'!E1122</x:f>
        <x:v>0</x:v>
      </x:c>
      <x:c r="K1029" s="753" t="str">
        <x:f>'幕间计算'!F1122</x:f>
        <x:v/>
      </x:c>
    </x:row>
    <x:row r="1030" ht="25" customHeight="1">
      <x:c r="A1030" s="747"/>
      <x:c r="B1030" s="747"/>
      <x:c r="C1030" s="760"/>
      <x:c r="D1030" s="747"/>
      <x:c r="E1030" s="747"/>
      <x:c r="F1030" s="747"/>
      <x:c r="G1030" s="747"/>
      <x:c r="H1030" s="747"/>
      <x:c r="I1030" s="747"/>
      <x:c r="J1030" s="753">
        <x:f>'幕间计算'!E1123</x:f>
        <x:v>0</x:v>
      </x:c>
      <x:c r="K1030" s="753" t="str">
        <x:f>'幕间计算'!F1123</x:f>
        <x:v/>
      </x:c>
    </x:row>
    <x:row r="1031" ht="25" customHeight="1">
      <x:c r="A1031" s="747"/>
      <x:c r="B1031" s="747"/>
      <x:c r="C1031" s="760"/>
      <x:c r="D1031" s="747"/>
      <x:c r="E1031" s="747"/>
      <x:c r="F1031" s="747"/>
      <x:c r="G1031" s="747"/>
      <x:c r="H1031" s="747"/>
      <x:c r="I1031" s="747"/>
      <x:c r="J1031" s="753">
        <x:f>'幕间计算'!E1124</x:f>
        <x:v>0</x:v>
      </x:c>
      <x:c r="K1031" s="753" t="str">
        <x:f>'幕间计算'!F1124</x:f>
        <x:v/>
      </x:c>
    </x:row>
    <x:row r="1032" ht="25" customHeight="1">
      <x:c r="A1032" s="747"/>
      <x:c r="B1032" s="747"/>
      <x:c r="C1032" s="760"/>
      <x:c r="D1032" s="747"/>
      <x:c r="E1032" s="747"/>
      <x:c r="F1032" s="747"/>
      <x:c r="G1032" s="747"/>
      <x:c r="H1032" s="747"/>
      <x:c r="I1032" s="747"/>
      <x:c r="J1032" s="753">
        <x:f>'幕间计算'!E1125</x:f>
        <x:v>0</x:v>
      </x:c>
      <x:c r="K1032" s="753" t="str">
        <x:f>'幕间计算'!F1125</x:f>
        <x:v/>
      </x:c>
    </x:row>
    <x:row r="1033" ht="25" customHeight="1">
      <x:c r="A1033" s="747"/>
      <x:c r="B1033" s="747"/>
      <x:c r="C1033" s="760"/>
      <x:c r="D1033" s="747"/>
      <x:c r="E1033" s="747"/>
      <x:c r="F1033" s="747"/>
      <x:c r="G1033" s="747"/>
      <x:c r="H1033" s="747"/>
      <x:c r="I1033" s="747"/>
      <x:c r="J1033" s="753">
        <x:f>'幕间计算'!E1126</x:f>
        <x:v>0</x:v>
      </x:c>
      <x:c r="K1033" s="753" t="str">
        <x:f>'幕间计算'!F1126</x:f>
        <x:v/>
      </x:c>
    </x:row>
    <x:row r="1034" ht="25" customHeight="1">
      <x:c r="A1034" s="747"/>
      <x:c r="B1034" s="747"/>
      <x:c r="C1034" s="760"/>
      <x:c r="D1034" s="747"/>
      <x:c r="E1034" s="747"/>
      <x:c r="F1034" s="747"/>
      <x:c r="G1034" s="747"/>
      <x:c r="H1034" s="747"/>
      <x:c r="I1034" s="747"/>
      <x:c r="J1034" s="753">
        <x:f>'幕间计算'!E1127</x:f>
        <x:v>0</x:v>
      </x:c>
      <x:c r="K1034" s="753" t="str">
        <x:f>'幕间计算'!F1127</x:f>
        <x:v/>
      </x:c>
    </x:row>
    <x:row r="1035" ht="25" customHeight="1">
      <x:c r="A1035" s="747"/>
      <x:c r="B1035" s="747"/>
      <x:c r="C1035" s="760"/>
      <x:c r="D1035" s="747"/>
      <x:c r="E1035" s="747"/>
      <x:c r="F1035" s="747"/>
      <x:c r="G1035" s="747"/>
      <x:c r="H1035" s="747"/>
      <x:c r="I1035" s="747"/>
      <x:c r="J1035" s="753">
        <x:f>'幕间计算'!E1128</x:f>
        <x:v>0</x:v>
      </x:c>
      <x:c r="K1035" s="753" t="str">
        <x:f>'幕间计算'!F1128</x:f>
        <x:v/>
      </x:c>
    </x:row>
    <x:row r="1036" ht="25" customHeight="1">
      <x:c r="A1036" s="747"/>
      <x:c r="B1036" s="747"/>
      <x:c r="C1036" s="760"/>
      <x:c r="D1036" s="747"/>
      <x:c r="E1036" s="747"/>
      <x:c r="F1036" s="747"/>
      <x:c r="G1036" s="747"/>
      <x:c r="H1036" s="747"/>
      <x:c r="I1036" s="747"/>
      <x:c r="J1036" s="753">
        <x:f>'幕间计算'!E1129</x:f>
        <x:v>0</x:v>
      </x:c>
      <x:c r="K1036" s="753" t="str">
        <x:f>'幕间计算'!F1129</x:f>
        <x:v/>
      </x:c>
    </x:row>
    <x:row r="1037" ht="25" customHeight="1">
      <x:c r="A1037" s="747"/>
      <x:c r="B1037" s="747"/>
      <x:c r="C1037" s="760"/>
      <x:c r="D1037" s="747"/>
      <x:c r="E1037" s="747"/>
      <x:c r="F1037" s="747"/>
      <x:c r="G1037" s="747"/>
      <x:c r="H1037" s="747"/>
      <x:c r="I1037" s="747"/>
      <x:c r="J1037" s="753">
        <x:f>'幕间计算'!E1130</x:f>
        <x:v>0</x:v>
      </x:c>
      <x:c r="K1037" s="753" t="str">
        <x:f>'幕间计算'!F1130</x:f>
        <x:v/>
      </x:c>
    </x:row>
    <x:row r="1038" ht="25" customHeight="1">
      <x:c r="A1038" s="747"/>
      <x:c r="B1038" s="747"/>
      <x:c r="C1038" s="760"/>
      <x:c r="D1038" s="747"/>
      <x:c r="E1038" s="747"/>
      <x:c r="F1038" s="747"/>
      <x:c r="G1038" s="747"/>
      <x:c r="H1038" s="747"/>
      <x:c r="I1038" s="747"/>
      <x:c r="J1038" s="753">
        <x:f>'幕间计算'!E1131</x:f>
        <x:v>0</x:v>
      </x:c>
      <x:c r="K1038" s="753" t="str">
        <x:f>'幕间计算'!F1131</x:f>
        <x:v/>
      </x:c>
    </x:row>
    <x:row r="1039" ht="25" customHeight="1">
      <x:c r="A1039" s="747"/>
      <x:c r="B1039" s="747"/>
      <x:c r="C1039" s="760"/>
      <x:c r="D1039" s="747"/>
      <x:c r="E1039" s="747"/>
      <x:c r="F1039" s="747"/>
      <x:c r="G1039" s="747"/>
      <x:c r="H1039" s="747"/>
      <x:c r="I1039" s="747"/>
      <x:c r="J1039" s="753">
        <x:f>'幕间计算'!E1132</x:f>
        <x:v>0</x:v>
      </x:c>
      <x:c r="K1039" s="753" t="str">
        <x:f>'幕间计算'!F1132</x:f>
        <x:v/>
      </x:c>
    </x:row>
    <x:row r="1040" ht="25" customHeight="1">
      <x:c r="A1040" s="747"/>
      <x:c r="B1040" s="747"/>
      <x:c r="C1040" s="760"/>
      <x:c r="D1040" s="747"/>
      <x:c r="E1040" s="747"/>
      <x:c r="F1040" s="747"/>
      <x:c r="G1040" s="747"/>
      <x:c r="H1040" s="747"/>
      <x:c r="I1040" s="747"/>
      <x:c r="J1040" s="753">
        <x:f>'幕间计算'!E1133</x:f>
        <x:v>0</x:v>
      </x:c>
      <x:c r="K1040" s="753" t="str">
        <x:f>'幕间计算'!F1133</x:f>
        <x:v/>
      </x:c>
    </x:row>
    <x:row r="1041" ht="25" customHeight="1">
      <x:c r="A1041" s="747"/>
      <x:c r="B1041" s="747"/>
      <x:c r="C1041" s="760"/>
      <x:c r="D1041" s="747"/>
      <x:c r="E1041" s="747"/>
      <x:c r="F1041" s="747"/>
      <x:c r="G1041" s="747"/>
      <x:c r="H1041" s="747"/>
      <x:c r="I1041" s="747"/>
      <x:c r="J1041" s="753">
        <x:f>'幕间计算'!E1134</x:f>
        <x:v>0</x:v>
      </x:c>
      <x:c r="K1041" s="753" t="str">
        <x:f>'幕间计算'!F1134</x:f>
        <x:v/>
      </x:c>
    </x:row>
    <x:row r="1042" ht="25" customHeight="1">
      <x:c r="A1042" s="747"/>
      <x:c r="B1042" s="747"/>
      <x:c r="C1042" s="760"/>
      <x:c r="D1042" s="747"/>
      <x:c r="E1042" s="747"/>
      <x:c r="F1042" s="747"/>
      <x:c r="G1042" s="747"/>
      <x:c r="H1042" s="747"/>
      <x:c r="I1042" s="747"/>
      <x:c r="J1042" s="753">
        <x:f>'幕间计算'!E1135</x:f>
        <x:v>0</x:v>
      </x:c>
      <x:c r="K1042" s="753" t="str">
        <x:f>'幕间计算'!F1135</x:f>
        <x:v/>
      </x:c>
    </x:row>
    <x:row r="1043" ht="25" customHeight="1">
      <x:c r="A1043" s="747"/>
      <x:c r="B1043" s="747"/>
      <x:c r="C1043" s="760"/>
      <x:c r="D1043" s="747"/>
      <x:c r="E1043" s="747"/>
      <x:c r="F1043" s="747"/>
      <x:c r="G1043" s="747"/>
      <x:c r="H1043" s="747"/>
      <x:c r="I1043" s="747"/>
      <x:c r="J1043" s="753">
        <x:f>'幕间计算'!E1136</x:f>
        <x:v>0</x:v>
      </x:c>
      <x:c r="K1043" s="753" t="str">
        <x:f>'幕间计算'!F1136</x:f>
        <x:v/>
      </x:c>
    </x:row>
    <x:row r="1044" ht="25" customHeight="1">
      <x:c r="A1044" s="747"/>
      <x:c r="B1044" s="747"/>
      <x:c r="C1044" s="760"/>
      <x:c r="D1044" s="747"/>
      <x:c r="E1044" s="747"/>
      <x:c r="F1044" s="747"/>
      <x:c r="G1044" s="747"/>
      <x:c r="H1044" s="747"/>
      <x:c r="I1044" s="747"/>
      <x:c r="J1044" s="753">
        <x:f>'幕间计算'!E1137</x:f>
        <x:v>0</x:v>
      </x:c>
      <x:c r="K1044" s="753" t="str">
        <x:f>'幕间计算'!F1137</x:f>
        <x:v/>
      </x:c>
    </x:row>
    <x:row r="1045" ht="25" customHeight="1">
      <x:c r="A1045" s="747"/>
      <x:c r="B1045" s="747"/>
      <x:c r="C1045" s="760"/>
      <x:c r="D1045" s="747"/>
      <x:c r="E1045" s="747"/>
      <x:c r="F1045" s="747"/>
      <x:c r="G1045" s="747"/>
      <x:c r="H1045" s="747"/>
      <x:c r="I1045" s="747"/>
      <x:c r="J1045" s="753">
        <x:f>'幕间计算'!E1138</x:f>
        <x:v>0</x:v>
      </x:c>
      <x:c r="K1045" s="753" t="str">
        <x:f>'幕间计算'!F1138</x:f>
        <x:v/>
      </x:c>
    </x:row>
    <x:row r="1046" ht="25" customHeight="1">
      <x:c r="A1046" s="747"/>
      <x:c r="B1046" s="747"/>
      <x:c r="C1046" s="760"/>
      <x:c r="D1046" s="747"/>
      <x:c r="E1046" s="747"/>
      <x:c r="F1046" s="747"/>
      <x:c r="G1046" s="747"/>
      <x:c r="H1046" s="747"/>
      <x:c r="I1046" s="747"/>
      <x:c r="J1046" s="753">
        <x:f>'幕间计算'!E1139</x:f>
        <x:v>0</x:v>
      </x:c>
      <x:c r="K1046" s="753" t="str">
        <x:f>'幕间计算'!F1139</x:f>
        <x:v/>
      </x:c>
    </x:row>
    <x:row r="1047" ht="25" customHeight="1">
      <x:c r="A1047" s="747"/>
      <x:c r="B1047" s="747"/>
      <x:c r="C1047" s="760"/>
      <x:c r="D1047" s="747"/>
      <x:c r="E1047" s="747"/>
      <x:c r="F1047" s="747"/>
      <x:c r="G1047" s="747"/>
      <x:c r="H1047" s="747"/>
      <x:c r="I1047" s="747"/>
      <x:c r="J1047" s="753">
        <x:f>'幕间计算'!E1140</x:f>
        <x:v>0</x:v>
      </x:c>
      <x:c r="K1047" s="753" t="str">
        <x:f>'幕间计算'!F1140</x:f>
        <x:v/>
      </x:c>
    </x:row>
    <x:row r="1048" ht="25" customHeight="1">
      <x:c r="A1048" s="747"/>
      <x:c r="B1048" s="747"/>
      <x:c r="C1048" s="760"/>
      <x:c r="D1048" s="747"/>
      <x:c r="E1048" s="747"/>
      <x:c r="F1048" s="747"/>
      <x:c r="G1048" s="747"/>
      <x:c r="H1048" s="747"/>
      <x:c r="I1048" s="747"/>
      <x:c r="J1048" s="753">
        <x:f>'幕间计算'!E1141</x:f>
        <x:v>0</x:v>
      </x:c>
      <x:c r="K1048" s="753" t="str">
        <x:f>'幕间计算'!F1141</x:f>
        <x:v/>
      </x:c>
    </x:row>
    <x:row r="1049" ht="25" customHeight="1">
      <x:c r="A1049" s="747"/>
      <x:c r="B1049" s="747"/>
      <x:c r="C1049" s="760"/>
      <x:c r="D1049" s="747"/>
      <x:c r="E1049" s="747"/>
      <x:c r="F1049" s="747"/>
      <x:c r="G1049" s="747"/>
      <x:c r="H1049" s="747"/>
      <x:c r="I1049" s="747"/>
      <x:c r="J1049" s="753">
        <x:f>'幕间计算'!E1142</x:f>
        <x:v>0</x:v>
      </x:c>
      <x:c r="K1049" s="753" t="str">
        <x:f>'幕间计算'!F1142</x:f>
        <x:v/>
      </x:c>
    </x:row>
    <x:row r="1050" ht="25" customHeight="1">
      <x:c r="A1050" s="747"/>
      <x:c r="B1050" s="747"/>
      <x:c r="C1050" s="760"/>
      <x:c r="D1050" s="747"/>
      <x:c r="E1050" s="747"/>
      <x:c r="F1050" s="747"/>
      <x:c r="G1050" s="747"/>
      <x:c r="H1050" s="747"/>
      <x:c r="I1050" s="747"/>
      <x:c r="J1050" s="753">
        <x:f>'幕间计算'!E1143</x:f>
        <x:v>0</x:v>
      </x:c>
      <x:c r="K1050" s="753" t="str">
        <x:f>'幕间计算'!F1143</x:f>
        <x:v/>
      </x:c>
    </x:row>
    <x:row r="1051" ht="25" customHeight="1">
      <x:c r="A1051" s="747"/>
      <x:c r="B1051" s="747"/>
      <x:c r="C1051" s="760"/>
      <x:c r="D1051" s="747"/>
      <x:c r="E1051" s="747"/>
      <x:c r="F1051" s="747"/>
      <x:c r="G1051" s="747"/>
      <x:c r="H1051" s="747"/>
      <x:c r="I1051" s="747"/>
      <x:c r="J1051" s="753">
        <x:f>'幕间计算'!E1144</x:f>
        <x:v>0</x:v>
      </x:c>
      <x:c r="K1051" s="753" t="str">
        <x:f>'幕间计算'!F1144</x:f>
        <x:v/>
      </x:c>
    </x:row>
    <x:row r="1052" ht="25" customHeight="1">
      <x:c r="A1052" s="747"/>
      <x:c r="B1052" s="747"/>
      <x:c r="C1052" s="760"/>
      <x:c r="D1052" s="747"/>
      <x:c r="E1052" s="747"/>
      <x:c r="F1052" s="747"/>
      <x:c r="G1052" s="747"/>
      <x:c r="H1052" s="747"/>
      <x:c r="I1052" s="747"/>
      <x:c r="J1052" s="753">
        <x:f>'幕间计算'!E1145</x:f>
        <x:v>0</x:v>
      </x:c>
      <x:c r="K1052" s="753" t="str">
        <x:f>'幕间计算'!F1145</x:f>
        <x:v/>
      </x:c>
    </x:row>
    <x:row r="1053" ht="25" customHeight="1">
      <x:c r="A1053" s="747"/>
      <x:c r="B1053" s="747"/>
      <x:c r="C1053" s="760"/>
      <x:c r="D1053" s="747"/>
      <x:c r="E1053" s="747"/>
      <x:c r="F1053" s="747"/>
      <x:c r="G1053" s="747"/>
      <x:c r="H1053" s="747"/>
      <x:c r="I1053" s="747"/>
      <x:c r="J1053" s="753">
        <x:f>'幕间计算'!E1146</x:f>
        <x:v>0</x:v>
      </x:c>
      <x:c r="K1053" s="753" t="str">
        <x:f>'幕间计算'!F1146</x:f>
        <x:v/>
      </x:c>
    </x:row>
    <x:row r="1054" ht="25" customHeight="1">
      <x:c r="A1054" s="747"/>
      <x:c r="B1054" s="747"/>
      <x:c r="C1054" s="760"/>
      <x:c r="D1054" s="747"/>
      <x:c r="E1054" s="747"/>
      <x:c r="F1054" s="747"/>
      <x:c r="G1054" s="747"/>
      <x:c r="H1054" s="747"/>
      <x:c r="I1054" s="747"/>
      <x:c r="J1054" s="753">
        <x:f>'幕间计算'!E1147</x:f>
        <x:v>0</x:v>
      </x:c>
      <x:c r="K1054" s="753" t="str">
        <x:f>'幕间计算'!F1147</x:f>
        <x:v/>
      </x:c>
    </x:row>
    <x:row r="1055" ht="25" customHeight="1">
      <x:c r="A1055" s="747"/>
      <x:c r="B1055" s="747"/>
      <x:c r="C1055" s="760"/>
      <x:c r="D1055" s="747"/>
      <x:c r="E1055" s="747"/>
      <x:c r="F1055" s="747"/>
      <x:c r="G1055" s="747"/>
      <x:c r="H1055" s="747"/>
      <x:c r="I1055" s="747"/>
      <x:c r="J1055" s="753">
        <x:f>'幕间计算'!E1148</x:f>
        <x:v>0</x:v>
      </x:c>
      <x:c r="K1055" s="753" t="str">
        <x:f>'幕间计算'!F1148</x:f>
        <x:v/>
      </x:c>
    </x:row>
    <x:row r="1056" ht="25" customHeight="1">
      <x:c r="A1056" s="747"/>
      <x:c r="B1056" s="747"/>
      <x:c r="C1056" s="760"/>
      <x:c r="D1056" s="747"/>
      <x:c r="E1056" s="747"/>
      <x:c r="F1056" s="747"/>
      <x:c r="G1056" s="747"/>
      <x:c r="H1056" s="747"/>
      <x:c r="I1056" s="747"/>
      <x:c r="J1056" s="753">
        <x:f>'幕间计算'!E1149</x:f>
        <x:v>0</x:v>
      </x:c>
      <x:c r="K1056" s="753" t="str">
        <x:f>'幕间计算'!F1149</x:f>
        <x:v/>
      </x:c>
    </x:row>
    <x:row r="1057" ht="25" customHeight="1">
      <x:c r="A1057" s="747"/>
      <x:c r="B1057" s="747"/>
      <x:c r="C1057" s="760"/>
      <x:c r="D1057" s="747"/>
      <x:c r="E1057" s="747"/>
      <x:c r="F1057" s="747"/>
      <x:c r="G1057" s="747"/>
      <x:c r="H1057" s="747"/>
      <x:c r="I1057" s="747"/>
      <x:c r="J1057" s="753">
        <x:f>'幕间计算'!E1150</x:f>
        <x:v>0</x:v>
      </x:c>
      <x:c r="K1057" s="753" t="str">
        <x:f>'幕间计算'!F1150</x:f>
        <x:v/>
      </x:c>
    </x:row>
    <x:row r="1058" ht="25" customHeight="1">
      <x:c r="A1058" s="747"/>
      <x:c r="B1058" s="747"/>
      <x:c r="C1058" s="760"/>
      <x:c r="D1058" s="747"/>
      <x:c r="E1058" s="747"/>
      <x:c r="F1058" s="747"/>
      <x:c r="G1058" s="747"/>
      <x:c r="H1058" s="747"/>
      <x:c r="I1058" s="747"/>
      <x:c r="J1058" s="753">
        <x:f>'幕间计算'!E1151</x:f>
        <x:v>0</x:v>
      </x:c>
      <x:c r="K1058" s="753" t="str">
        <x:f>'幕间计算'!F1151</x:f>
        <x:v/>
      </x:c>
    </x:row>
    <x:row r="1059" ht="25" customHeight="1">
      <x:c r="A1059" s="747"/>
      <x:c r="B1059" s="747"/>
      <x:c r="C1059" s="760"/>
      <x:c r="D1059" s="747"/>
      <x:c r="E1059" s="747"/>
      <x:c r="F1059" s="747"/>
      <x:c r="G1059" s="747"/>
      <x:c r="H1059" s="747"/>
      <x:c r="I1059" s="747"/>
      <x:c r="J1059" s="753">
        <x:f>'幕间计算'!E1152</x:f>
        <x:v>0</x:v>
      </x:c>
      <x:c r="K1059" s="753" t="str">
        <x:f>'幕间计算'!F1152</x:f>
        <x:v/>
      </x:c>
    </x:row>
    <x:row r="1060" ht="25" customHeight="1">
      <x:c r="A1060" s="747"/>
      <x:c r="B1060" s="747"/>
      <x:c r="C1060" s="760"/>
      <x:c r="D1060" s="747"/>
      <x:c r="E1060" s="747"/>
      <x:c r="F1060" s="747"/>
      <x:c r="G1060" s="747"/>
      <x:c r="H1060" s="747"/>
      <x:c r="I1060" s="747"/>
      <x:c r="J1060" s="753">
        <x:f>'幕间计算'!E1153</x:f>
        <x:v>0</x:v>
      </x:c>
      <x:c r="K1060" s="753" t="str">
        <x:f>'幕间计算'!F1153</x:f>
        <x:v/>
      </x:c>
    </x:row>
    <x:row r="1061" ht="25" customHeight="1">
      <x:c r="A1061" s="747"/>
      <x:c r="B1061" s="747"/>
      <x:c r="C1061" s="760"/>
      <x:c r="D1061" s="747"/>
      <x:c r="E1061" s="747"/>
      <x:c r="F1061" s="747"/>
      <x:c r="G1061" s="747"/>
      <x:c r="H1061" s="747"/>
      <x:c r="I1061" s="747"/>
      <x:c r="J1061" s="753">
        <x:f>'幕间计算'!E1154</x:f>
        <x:v>0</x:v>
      </x:c>
      <x:c r="K1061" s="753" t="str">
        <x:f>'幕间计算'!F1154</x:f>
        <x:v/>
      </x:c>
    </x:row>
    <x:row r="1062" ht="25" customHeight="1">
      <x:c r="A1062" s="747"/>
      <x:c r="B1062" s="747"/>
      <x:c r="C1062" s="760"/>
      <x:c r="D1062" s="747"/>
      <x:c r="E1062" s="747"/>
      <x:c r="F1062" s="747"/>
      <x:c r="G1062" s="747"/>
      <x:c r="H1062" s="747"/>
      <x:c r="I1062" s="747"/>
      <x:c r="J1062" s="753">
        <x:f>'幕间计算'!E1155</x:f>
        <x:v>0</x:v>
      </x:c>
      <x:c r="K1062" s="753" t="str">
        <x:f>'幕间计算'!F1155</x:f>
        <x:v/>
      </x:c>
    </x:row>
    <x:row r="1063" ht="25" customHeight="1">
      <x:c r="A1063" s="747"/>
      <x:c r="B1063" s="747"/>
      <x:c r="C1063" s="760"/>
      <x:c r="D1063" s="747"/>
      <x:c r="E1063" s="747"/>
      <x:c r="F1063" s="747"/>
      <x:c r="G1063" s="747"/>
      <x:c r="H1063" s="747"/>
      <x:c r="I1063" s="747"/>
      <x:c r="J1063" s="753">
        <x:f>'幕间计算'!E1156</x:f>
        <x:v>0</x:v>
      </x:c>
      <x:c r="K1063" s="753" t="str">
        <x:f>'幕间计算'!F1156</x:f>
        <x:v/>
      </x:c>
    </x:row>
    <x:row r="1064" ht="25" customHeight="1">
      <x:c r="A1064" s="747"/>
      <x:c r="B1064" s="747"/>
      <x:c r="C1064" s="760"/>
      <x:c r="D1064" s="747"/>
      <x:c r="E1064" s="747"/>
      <x:c r="F1064" s="747"/>
      <x:c r="G1064" s="747"/>
      <x:c r="H1064" s="747"/>
      <x:c r="I1064" s="747"/>
      <x:c r="J1064" s="753">
        <x:f>'幕间计算'!E1157</x:f>
        <x:v>0</x:v>
      </x:c>
      <x:c r="K1064" s="753" t="str">
        <x:f>'幕间计算'!F1157</x:f>
        <x:v/>
      </x:c>
    </x:row>
    <x:row r="1065" ht="25" customHeight="1">
      <x:c r="A1065" s="747"/>
      <x:c r="B1065" s="747"/>
      <x:c r="C1065" s="760"/>
      <x:c r="D1065" s="747"/>
      <x:c r="E1065" s="747"/>
      <x:c r="F1065" s="747"/>
      <x:c r="G1065" s="747"/>
      <x:c r="H1065" s="747"/>
      <x:c r="I1065" s="747"/>
      <x:c r="J1065" s="753">
        <x:f>'幕间计算'!E1158</x:f>
        <x:v>0</x:v>
      </x:c>
      <x:c r="K1065" s="753" t="str">
        <x:f>'幕间计算'!F1158</x:f>
        <x:v/>
      </x:c>
    </x:row>
    <x:row r="1066" ht="25" customHeight="1">
      <x:c r="A1066" s="747"/>
      <x:c r="B1066" s="747"/>
      <x:c r="C1066" s="760"/>
      <x:c r="D1066" s="747"/>
      <x:c r="E1066" s="747"/>
      <x:c r="F1066" s="747"/>
      <x:c r="G1066" s="747"/>
      <x:c r="H1066" s="747"/>
      <x:c r="I1066" s="747"/>
      <x:c r="J1066" s="753">
        <x:f>'幕间计算'!E1159</x:f>
        <x:v>0</x:v>
      </x:c>
      <x:c r="K1066" s="753" t="str">
        <x:f>'幕间计算'!F1159</x:f>
        <x:v/>
      </x:c>
    </x:row>
    <x:row r="1067" ht="25" customHeight="1">
      <x:c r="A1067" s="747"/>
      <x:c r="B1067" s="747"/>
      <x:c r="C1067" s="760"/>
      <x:c r="D1067" s="747"/>
      <x:c r="E1067" s="747"/>
      <x:c r="F1067" s="747"/>
      <x:c r="G1067" s="747"/>
      <x:c r="H1067" s="747"/>
      <x:c r="I1067" s="747"/>
      <x:c r="J1067" s="753">
        <x:f>'幕间计算'!E1160</x:f>
        <x:v>0</x:v>
      </x:c>
      <x:c r="K1067" s="753" t="str">
        <x:f>'幕间计算'!F1160</x:f>
        <x:v/>
      </x:c>
    </x:row>
    <x:row r="1068" ht="25" customHeight="1">
      <x:c r="A1068" s="747"/>
      <x:c r="B1068" s="747"/>
      <x:c r="C1068" s="760"/>
      <x:c r="D1068" s="747"/>
      <x:c r="E1068" s="747"/>
      <x:c r="F1068" s="747"/>
      <x:c r="G1068" s="747"/>
      <x:c r="H1068" s="747"/>
      <x:c r="I1068" s="747"/>
      <x:c r="J1068" s="753">
        <x:f>'幕间计算'!E1161</x:f>
        <x:v>0</x:v>
      </x:c>
      <x:c r="K1068" s="753" t="str">
        <x:f>'幕间计算'!F1161</x:f>
        <x:v/>
      </x:c>
    </x:row>
    <x:row r="1069" ht="25" customHeight="1">
      <x:c r="A1069" s="747"/>
      <x:c r="B1069" s="747"/>
      <x:c r="C1069" s="760"/>
      <x:c r="D1069" s="747"/>
      <x:c r="E1069" s="747"/>
      <x:c r="F1069" s="747"/>
      <x:c r="G1069" s="747"/>
      <x:c r="H1069" s="747"/>
      <x:c r="I1069" s="747"/>
      <x:c r="J1069" s="753">
        <x:f>'幕间计算'!E1162</x:f>
        <x:v>0</x:v>
      </x:c>
      <x:c r="K1069" s="753" t="str">
        <x:f>'幕间计算'!F1162</x:f>
        <x:v/>
      </x:c>
    </x:row>
    <x:row r="1070" ht="25" customHeight="1">
      <x:c r="A1070" s="747"/>
      <x:c r="B1070" s="747"/>
      <x:c r="C1070" s="760"/>
      <x:c r="D1070" s="747"/>
      <x:c r="E1070" s="747"/>
      <x:c r="F1070" s="747"/>
      <x:c r="G1070" s="747"/>
      <x:c r="H1070" s="747"/>
      <x:c r="I1070" s="747"/>
      <x:c r="J1070" s="753">
        <x:f>'幕间计算'!E1163</x:f>
        <x:v>0</x:v>
      </x:c>
      <x:c r="K1070" s="753" t="str">
        <x:f>'幕间计算'!F1163</x:f>
        <x:v/>
      </x:c>
    </x:row>
    <x:row r="1071" ht="25" customHeight="1">
      <x:c r="A1071" s="747"/>
      <x:c r="B1071" s="747"/>
      <x:c r="C1071" s="760"/>
      <x:c r="D1071" s="747"/>
      <x:c r="E1071" s="747"/>
      <x:c r="F1071" s="747"/>
      <x:c r="G1071" s="747"/>
      <x:c r="H1071" s="747"/>
      <x:c r="I1071" s="747"/>
      <x:c r="J1071" s="753">
        <x:f>'幕间计算'!E1164</x:f>
        <x:v>0</x:v>
      </x:c>
      <x:c r="K1071" s="753" t="str">
        <x:f>'幕间计算'!F1164</x:f>
        <x:v/>
      </x:c>
    </x:row>
    <x:row r="1072" ht="25" customHeight="1">
      <x:c r="A1072" s="747"/>
      <x:c r="B1072" s="747"/>
      <x:c r="C1072" s="760"/>
      <x:c r="D1072" s="747"/>
      <x:c r="E1072" s="747"/>
      <x:c r="F1072" s="747"/>
      <x:c r="G1072" s="747"/>
      <x:c r="H1072" s="747"/>
      <x:c r="I1072" s="747"/>
      <x:c r="J1072" s="753">
        <x:f>'幕间计算'!E1165</x:f>
        <x:v>0</x:v>
      </x:c>
      <x:c r="K1072" s="753" t="str">
        <x:f>'幕间计算'!F1165</x:f>
        <x:v/>
      </x:c>
    </x:row>
    <x:row r="1073" ht="25" customHeight="1">
      <x:c r="A1073" s="747"/>
      <x:c r="B1073" s="747"/>
      <x:c r="C1073" s="760"/>
      <x:c r="D1073" s="747"/>
      <x:c r="E1073" s="747"/>
      <x:c r="F1073" s="747"/>
      <x:c r="G1073" s="747"/>
      <x:c r="H1073" s="747"/>
      <x:c r="I1073" s="747"/>
      <x:c r="J1073" s="753">
        <x:f>'幕间计算'!E1166</x:f>
        <x:v>0</x:v>
      </x:c>
      <x:c r="K1073" s="753" t="str">
        <x:f>'幕间计算'!F1166</x:f>
        <x:v/>
      </x:c>
    </x:row>
    <x:row r="1074" ht="25" customHeight="1">
      <x:c r="A1074" s="747"/>
      <x:c r="B1074" s="747"/>
      <x:c r="C1074" s="760"/>
      <x:c r="D1074" s="747"/>
      <x:c r="E1074" s="747"/>
      <x:c r="F1074" s="747"/>
      <x:c r="G1074" s="747"/>
      <x:c r="H1074" s="747"/>
      <x:c r="I1074" s="747"/>
      <x:c r="J1074" s="753">
        <x:f>'幕间计算'!E1167</x:f>
        <x:v>0</x:v>
      </x:c>
      <x:c r="K1074" s="753" t="str">
        <x:f>'幕间计算'!F1167</x:f>
        <x:v/>
      </x:c>
    </x:row>
    <x:row r="1075" ht="25" customHeight="1">
      <x:c r="A1075" s="747"/>
      <x:c r="B1075" s="747"/>
      <x:c r="C1075" s="760"/>
      <x:c r="D1075" s="747"/>
      <x:c r="E1075" s="747"/>
      <x:c r="F1075" s="747"/>
      <x:c r="G1075" s="747"/>
      <x:c r="H1075" s="747"/>
      <x:c r="I1075" s="747"/>
      <x:c r="J1075" s="753">
        <x:f>'幕间计算'!E1168</x:f>
        <x:v>0</x:v>
      </x:c>
      <x:c r="K1075" s="753" t="str">
        <x:f>'幕间计算'!F1168</x:f>
        <x:v/>
      </x:c>
    </x:row>
    <x:row r="1076" ht="25" customHeight="1">
      <x:c r="A1076" s="747"/>
      <x:c r="B1076" s="747"/>
      <x:c r="C1076" s="760"/>
      <x:c r="D1076" s="747"/>
      <x:c r="E1076" s="747"/>
      <x:c r="F1076" s="747"/>
      <x:c r="G1076" s="747"/>
      <x:c r="H1076" s="747"/>
      <x:c r="I1076" s="747"/>
      <x:c r="J1076" s="753">
        <x:f>'幕间计算'!E1169</x:f>
        <x:v>0</x:v>
      </x:c>
      <x:c r="K1076" s="753" t="str">
        <x:f>'幕间计算'!F1169</x:f>
        <x:v/>
      </x:c>
    </x:row>
    <x:row r="1077" ht="25" customHeight="1">
      <x:c r="A1077" s="747"/>
      <x:c r="B1077" s="747"/>
      <x:c r="C1077" s="760"/>
      <x:c r="D1077" s="747"/>
      <x:c r="E1077" s="747"/>
      <x:c r="F1077" s="747"/>
      <x:c r="G1077" s="747"/>
      <x:c r="H1077" s="747"/>
      <x:c r="I1077" s="747"/>
      <x:c r="J1077" s="753">
        <x:f>'幕间计算'!E1170</x:f>
        <x:v>0</x:v>
      </x:c>
      <x:c r="K1077" s="753" t="str">
        <x:f>'幕间计算'!F1170</x:f>
        <x:v/>
      </x:c>
    </x:row>
    <x:row r="1078" ht="25" customHeight="1">
      <x:c r="A1078" s="747"/>
      <x:c r="B1078" s="747"/>
      <x:c r="C1078" s="760"/>
      <x:c r="D1078" s="747"/>
      <x:c r="E1078" s="747"/>
      <x:c r="F1078" s="747"/>
      <x:c r="G1078" s="747"/>
      <x:c r="H1078" s="747"/>
      <x:c r="I1078" s="747"/>
      <x:c r="J1078" s="753">
        <x:f>'幕间计算'!E1171</x:f>
        <x:v>0</x:v>
      </x:c>
      <x:c r="K1078" s="753" t="str">
        <x:f>'幕间计算'!F1171</x:f>
        <x:v/>
      </x:c>
    </x:row>
    <x:row r="1079" ht="25" customHeight="1">
      <x:c r="A1079" s="747"/>
      <x:c r="B1079" s="747"/>
      <x:c r="C1079" s="760"/>
      <x:c r="D1079" s="747"/>
      <x:c r="E1079" s="747"/>
      <x:c r="F1079" s="747"/>
      <x:c r="G1079" s="747"/>
      <x:c r="H1079" s="747"/>
      <x:c r="I1079" s="747"/>
      <x:c r="J1079" s="753">
        <x:f>'幕间计算'!E1172</x:f>
        <x:v>0</x:v>
      </x:c>
      <x:c r="K1079" s="753" t="str">
        <x:f>'幕间计算'!F1172</x:f>
        <x:v/>
      </x:c>
    </x:row>
    <x:row r="1080" ht="25" customHeight="1">
      <x:c r="A1080" s="747"/>
      <x:c r="B1080" s="747"/>
      <x:c r="C1080" s="760"/>
      <x:c r="D1080" s="747"/>
      <x:c r="E1080" s="747"/>
      <x:c r="F1080" s="747"/>
      <x:c r="G1080" s="747"/>
      <x:c r="H1080" s="747"/>
      <x:c r="I1080" s="747"/>
      <x:c r="J1080" s="753">
        <x:f>'幕间计算'!E1173</x:f>
        <x:v>0</x:v>
      </x:c>
      <x:c r="K1080" s="753" t="str">
        <x:f>'幕间计算'!F1173</x:f>
        <x:v/>
      </x:c>
    </x:row>
    <x:row r="1081" ht="25" customHeight="1">
      <x:c r="A1081" s="747"/>
      <x:c r="B1081" s="747"/>
      <x:c r="C1081" s="760"/>
      <x:c r="D1081" s="747"/>
      <x:c r="E1081" s="747"/>
      <x:c r="F1081" s="747"/>
      <x:c r="G1081" s="747"/>
      <x:c r="H1081" s="747"/>
      <x:c r="I1081" s="747"/>
      <x:c r="J1081" s="753">
        <x:f>'幕间计算'!E1174</x:f>
        <x:v>0</x:v>
      </x:c>
      <x:c r="K1081" s="753" t="str">
        <x:f>'幕间计算'!F1174</x:f>
        <x:v/>
      </x:c>
    </x:row>
    <x:row r="1082" ht="25" customHeight="1">
      <x:c r="A1082" s="747"/>
      <x:c r="B1082" s="747"/>
      <x:c r="C1082" s="760"/>
      <x:c r="D1082" s="747"/>
      <x:c r="E1082" s="747"/>
      <x:c r="F1082" s="747"/>
      <x:c r="G1082" s="747"/>
      <x:c r="H1082" s="747"/>
      <x:c r="I1082" s="747"/>
      <x:c r="J1082" s="753">
        <x:f>'幕间计算'!E1175</x:f>
        <x:v>0</x:v>
      </x:c>
      <x:c r="K1082" s="753" t="str">
        <x:f>'幕间计算'!F1175</x:f>
        <x:v/>
      </x:c>
    </x:row>
    <x:row r="1083" ht="25" customHeight="1">
      <x:c r="A1083" s="747"/>
      <x:c r="B1083" s="747"/>
      <x:c r="C1083" s="760"/>
      <x:c r="D1083" s="747"/>
      <x:c r="E1083" s="747"/>
      <x:c r="F1083" s="747"/>
      <x:c r="G1083" s="747"/>
      <x:c r="H1083" s="747"/>
      <x:c r="I1083" s="747"/>
      <x:c r="J1083" s="753">
        <x:f>'幕间计算'!E1176</x:f>
        <x:v>0</x:v>
      </x:c>
      <x:c r="K1083" s="753" t="str">
        <x:f>'幕间计算'!F1176</x:f>
        <x:v/>
      </x:c>
    </x:row>
    <x:row r="1084" ht="25" customHeight="1">
      <x:c r="A1084" s="747"/>
      <x:c r="B1084" s="747"/>
      <x:c r="C1084" s="760"/>
      <x:c r="D1084" s="747"/>
      <x:c r="E1084" s="747"/>
      <x:c r="F1084" s="747"/>
      <x:c r="G1084" s="747"/>
      <x:c r="H1084" s="747"/>
      <x:c r="I1084" s="747"/>
      <x:c r="J1084" s="753">
        <x:f>'幕间计算'!E1177</x:f>
        <x:v>0</x:v>
      </x:c>
      <x:c r="K1084" s="753" t="str">
        <x:f>'幕间计算'!F1177</x:f>
        <x:v/>
      </x:c>
    </x:row>
    <x:row r="1085" ht="25" customHeight="1">
      <x:c r="A1085" s="747"/>
      <x:c r="B1085" s="747"/>
      <x:c r="C1085" s="760"/>
      <x:c r="D1085" s="747"/>
      <x:c r="E1085" s="747"/>
      <x:c r="F1085" s="747"/>
      <x:c r="G1085" s="747"/>
      <x:c r="H1085" s="747"/>
      <x:c r="I1085" s="747"/>
      <x:c r="J1085" s="753">
        <x:f>'幕间计算'!E1178</x:f>
        <x:v>0</x:v>
      </x:c>
      <x:c r="K1085" s="753" t="str">
        <x:f>'幕间计算'!F1178</x:f>
        <x:v/>
      </x:c>
    </x:row>
    <x:row r="1086" ht="25" customHeight="1">
      <x:c r="A1086" s="747"/>
      <x:c r="B1086" s="747"/>
      <x:c r="C1086" s="760"/>
      <x:c r="D1086" s="747"/>
      <x:c r="E1086" s="747"/>
      <x:c r="F1086" s="747"/>
      <x:c r="G1086" s="747"/>
      <x:c r="H1086" s="747"/>
      <x:c r="I1086" s="747"/>
      <x:c r="J1086" s="753">
        <x:f>'幕间计算'!E1179</x:f>
        <x:v>0</x:v>
      </x:c>
      <x:c r="K1086" s="753" t="str">
        <x:f>'幕间计算'!F1179</x:f>
        <x:v/>
      </x:c>
    </x:row>
    <x:row r="1087" ht="25" customHeight="1">
      <x:c r="A1087" s="747"/>
      <x:c r="B1087" s="747"/>
      <x:c r="C1087" s="760"/>
      <x:c r="D1087" s="747"/>
      <x:c r="E1087" s="747"/>
      <x:c r="F1087" s="747"/>
      <x:c r="G1087" s="747"/>
      <x:c r="H1087" s="747"/>
      <x:c r="I1087" s="747"/>
      <x:c r="J1087" s="753">
        <x:f>'幕间计算'!E1180</x:f>
        <x:v>0</x:v>
      </x:c>
      <x:c r="K1087" s="753" t="str">
        <x:f>'幕间计算'!F1180</x:f>
        <x:v/>
      </x:c>
    </x:row>
    <x:row r="1088" ht="25" customHeight="1">
      <x:c r="A1088" s="747"/>
      <x:c r="B1088" s="747"/>
      <x:c r="C1088" s="760"/>
      <x:c r="D1088" s="747"/>
      <x:c r="E1088" s="747"/>
      <x:c r="F1088" s="747"/>
      <x:c r="G1088" s="747"/>
      <x:c r="H1088" s="747"/>
      <x:c r="I1088" s="747"/>
      <x:c r="J1088" s="753">
        <x:f>'幕间计算'!E1181</x:f>
        <x:v>0</x:v>
      </x:c>
      <x:c r="K1088" s="753" t="str">
        <x:f>'幕间计算'!F1181</x:f>
        <x:v/>
      </x:c>
    </x:row>
    <x:row r="1089" ht="25" customHeight="1">
      <x:c r="A1089" s="747"/>
      <x:c r="B1089" s="747"/>
      <x:c r="C1089" s="760"/>
      <x:c r="D1089" s="747"/>
      <x:c r="E1089" s="747"/>
      <x:c r="F1089" s="747"/>
      <x:c r="G1089" s="747"/>
      <x:c r="H1089" s="747"/>
      <x:c r="I1089" s="747"/>
      <x:c r="J1089" s="753">
        <x:f>'幕间计算'!E1182</x:f>
        <x:v>0</x:v>
      </x:c>
      <x:c r="K1089" s="753" t="str">
        <x:f>'幕间计算'!F1182</x:f>
        <x:v/>
      </x:c>
    </x:row>
    <x:row r="1090" ht="25" customHeight="1">
      <x:c r="A1090" s="747"/>
      <x:c r="B1090" s="747"/>
      <x:c r="C1090" s="760"/>
      <x:c r="D1090" s="747"/>
      <x:c r="E1090" s="747"/>
      <x:c r="F1090" s="747"/>
      <x:c r="G1090" s="747"/>
      <x:c r="H1090" s="747"/>
      <x:c r="I1090" s="747"/>
      <x:c r="J1090" s="753">
        <x:f>'幕间计算'!E1183</x:f>
        <x:v>0</x:v>
      </x:c>
      <x:c r="K1090" s="753" t="str">
        <x:f>'幕间计算'!F1183</x:f>
        <x:v/>
      </x:c>
    </x:row>
    <x:row r="1091" ht="25" customHeight="1">
      <x:c r="A1091" s="747"/>
      <x:c r="B1091" s="747"/>
      <x:c r="C1091" s="760"/>
      <x:c r="D1091" s="747"/>
      <x:c r="E1091" s="747"/>
      <x:c r="F1091" s="747"/>
      <x:c r="G1091" s="747"/>
      <x:c r="H1091" s="747"/>
      <x:c r="I1091" s="747"/>
      <x:c r="J1091" s="753">
        <x:f>'幕间计算'!E1184</x:f>
        <x:v>0</x:v>
      </x:c>
      <x:c r="K1091" s="753" t="str">
        <x:f>'幕间计算'!F1184</x:f>
        <x:v/>
      </x:c>
    </x:row>
    <x:row r="1092" ht="25" customHeight="1">
      <x:c r="A1092" s="747"/>
      <x:c r="B1092" s="747"/>
      <x:c r="C1092" s="760"/>
      <x:c r="D1092" s="747"/>
      <x:c r="E1092" s="747"/>
      <x:c r="F1092" s="747"/>
      <x:c r="G1092" s="747"/>
      <x:c r="H1092" s="747"/>
      <x:c r="I1092" s="747"/>
      <x:c r="J1092" s="753">
        <x:f>'幕间计算'!E1185</x:f>
        <x:v>0</x:v>
      </x:c>
      <x:c r="K1092" s="753" t="str">
        <x:f>'幕间计算'!F1185</x:f>
        <x:v/>
      </x:c>
    </x:row>
    <x:row r="1093" ht="25" customHeight="1">
      <x:c r="A1093" s="747"/>
      <x:c r="B1093" s="747"/>
      <x:c r="C1093" s="760"/>
      <x:c r="D1093" s="747"/>
      <x:c r="E1093" s="747"/>
      <x:c r="F1093" s="747"/>
      <x:c r="G1093" s="747"/>
      <x:c r="H1093" s="747"/>
      <x:c r="I1093" s="747"/>
      <x:c r="J1093" s="753">
        <x:f>'幕间计算'!E1186</x:f>
        <x:v>0</x:v>
      </x:c>
      <x:c r="K1093" s="753" t="str">
        <x:f>'幕间计算'!F1186</x:f>
        <x:v/>
      </x:c>
    </x:row>
    <x:row r="1094" ht="25" customHeight="1">
      <x:c r="A1094" s="747"/>
      <x:c r="B1094" s="747"/>
      <x:c r="C1094" s="760"/>
      <x:c r="D1094" s="747"/>
      <x:c r="E1094" s="747"/>
      <x:c r="F1094" s="747"/>
      <x:c r="G1094" s="747"/>
      <x:c r="H1094" s="747"/>
      <x:c r="I1094" s="747"/>
      <x:c r="J1094" s="753">
        <x:f>'幕间计算'!E1187</x:f>
        <x:v>0</x:v>
      </x:c>
      <x:c r="K1094" s="753" t="str">
        <x:f>'幕间计算'!F1187</x:f>
        <x:v/>
      </x:c>
    </x:row>
    <x:row r="1095" ht="25" customHeight="1">
      <x:c r="A1095" s="747"/>
      <x:c r="B1095" s="747"/>
      <x:c r="C1095" s="760"/>
      <x:c r="D1095" s="747"/>
      <x:c r="E1095" s="747"/>
      <x:c r="F1095" s="747"/>
      <x:c r="G1095" s="747"/>
      <x:c r="H1095" s="747"/>
      <x:c r="I1095" s="747"/>
      <x:c r="J1095" s="753">
        <x:f>'幕间计算'!E1188</x:f>
        <x:v>0</x:v>
      </x:c>
      <x:c r="K1095" s="753" t="str">
        <x:f>'幕间计算'!F1188</x:f>
        <x:v/>
      </x:c>
    </x:row>
    <x:row r="1096" ht="25" customHeight="1">
      <x:c r="A1096" s="747"/>
      <x:c r="B1096" s="747"/>
      <x:c r="C1096" s="760"/>
      <x:c r="D1096" s="747"/>
      <x:c r="E1096" s="747"/>
      <x:c r="F1096" s="747"/>
      <x:c r="G1096" s="747"/>
      <x:c r="H1096" s="747"/>
      <x:c r="I1096" s="747"/>
      <x:c r="J1096" s="753">
        <x:f>'幕间计算'!E1189</x:f>
        <x:v>0</x:v>
      </x:c>
      <x:c r="K1096" s="753" t="str">
        <x:f>'幕间计算'!F1189</x:f>
        <x:v/>
      </x:c>
    </x:row>
    <x:row r="1097" ht="25" customHeight="1">
      <x:c r="A1097" s="747"/>
      <x:c r="B1097" s="747"/>
      <x:c r="C1097" s="760"/>
      <x:c r="D1097" s="747"/>
      <x:c r="E1097" s="747"/>
      <x:c r="F1097" s="747"/>
      <x:c r="G1097" s="747"/>
      <x:c r="H1097" s="747"/>
      <x:c r="I1097" s="747"/>
      <x:c r="J1097" s="753">
        <x:f>'幕间计算'!E1190</x:f>
        <x:v>0</x:v>
      </x:c>
      <x:c r="K1097" s="753" t="str">
        <x:f>'幕间计算'!F1190</x:f>
        <x:v/>
      </x:c>
    </x:row>
    <x:row r="1098" ht="25" customHeight="1">
      <x:c r="A1098" s="747"/>
      <x:c r="B1098" s="747"/>
      <x:c r="C1098" s="760"/>
      <x:c r="D1098" s="747"/>
      <x:c r="E1098" s="747"/>
      <x:c r="F1098" s="747"/>
      <x:c r="G1098" s="747"/>
      <x:c r="H1098" s="747"/>
      <x:c r="I1098" s="747"/>
      <x:c r="J1098" s="753">
        <x:f>'幕间计算'!E1191</x:f>
        <x:v>0</x:v>
      </x:c>
      <x:c r="K1098" s="753" t="str">
        <x:f>'幕间计算'!F1191</x:f>
        <x:v/>
      </x:c>
    </x:row>
    <x:row r="1099" ht="25" customHeight="1">
      <x:c r="A1099" s="747"/>
      <x:c r="B1099" s="747"/>
      <x:c r="C1099" s="760"/>
      <x:c r="D1099" s="747"/>
      <x:c r="E1099" s="747"/>
      <x:c r="F1099" s="747"/>
      <x:c r="G1099" s="747"/>
      <x:c r="H1099" s="747"/>
      <x:c r="I1099" s="747"/>
      <x:c r="J1099" s="753">
        <x:f>'幕间计算'!E1192</x:f>
        <x:v>0</x:v>
      </x:c>
      <x:c r="K1099" s="753" t="str">
        <x:f>'幕间计算'!F1192</x:f>
        <x:v/>
      </x:c>
    </x:row>
    <x:row r="1100" ht="25" customHeight="1">
      <x:c r="A1100" s="747"/>
      <x:c r="B1100" s="747"/>
      <x:c r="C1100" s="760"/>
      <x:c r="D1100" s="747"/>
      <x:c r="E1100" s="747"/>
      <x:c r="F1100" s="747"/>
      <x:c r="G1100" s="747"/>
      <x:c r="H1100" s="747"/>
      <x:c r="I1100" s="747"/>
      <x:c r="J1100" s="753">
        <x:f>'幕间计算'!E1193</x:f>
        <x:v>0</x:v>
      </x:c>
      <x:c r="K1100" s="753" t="str">
        <x:f>'幕间计算'!F1193</x:f>
        <x:v/>
      </x:c>
    </x:row>
    <x:row r="1101" ht="25" customHeight="1">
      <x:c r="A1101" s="747"/>
      <x:c r="B1101" s="747"/>
      <x:c r="C1101" s="760"/>
      <x:c r="D1101" s="747"/>
      <x:c r="E1101" s="747"/>
      <x:c r="F1101" s="747"/>
      <x:c r="G1101" s="747"/>
      <x:c r="H1101" s="747"/>
      <x:c r="I1101" s="747"/>
      <x:c r="J1101" s="753">
        <x:f>'幕间计算'!E1194</x:f>
        <x:v>0</x:v>
      </x:c>
      <x:c r="K1101" s="753" t="str">
        <x:f>'幕间计算'!F1194</x:f>
        <x:v/>
      </x:c>
    </x:row>
    <x:row r="1102" ht="25" customHeight="1">
      <x:c r="A1102" s="747"/>
      <x:c r="B1102" s="747"/>
      <x:c r="C1102" s="760"/>
      <x:c r="D1102" s="747"/>
      <x:c r="E1102" s="747"/>
      <x:c r="F1102" s="747"/>
      <x:c r="G1102" s="747"/>
      <x:c r="H1102" s="747"/>
      <x:c r="I1102" s="747"/>
      <x:c r="J1102" s="753">
        <x:f>'幕间计算'!E1195</x:f>
        <x:v>0</x:v>
      </x:c>
      <x:c r="K1102" s="753" t="str">
        <x:f>'幕间计算'!F1195</x:f>
        <x:v/>
      </x:c>
    </x:row>
    <x:row r="1103" ht="25" customHeight="1">
      <x:c r="A1103" s="747"/>
      <x:c r="B1103" s="747"/>
      <x:c r="C1103" s="760"/>
      <x:c r="D1103" s="747"/>
      <x:c r="E1103" s="747"/>
      <x:c r="F1103" s="747"/>
      <x:c r="G1103" s="747"/>
      <x:c r="H1103" s="747"/>
      <x:c r="I1103" s="747"/>
      <x:c r="J1103" s="753">
        <x:f>'幕间计算'!E1196</x:f>
        <x:v>0</x:v>
      </x:c>
      <x:c r="K1103" s="753" t="str">
        <x:f>'幕间计算'!F1196</x:f>
        <x:v/>
      </x:c>
    </x:row>
    <x:row r="1104" ht="25" customHeight="1">
      <x:c r="A1104" s="747"/>
      <x:c r="B1104" s="747"/>
      <x:c r="C1104" s="760"/>
      <x:c r="D1104" s="747"/>
      <x:c r="E1104" s="747"/>
      <x:c r="F1104" s="747"/>
      <x:c r="G1104" s="747"/>
      <x:c r="H1104" s="747"/>
      <x:c r="I1104" s="747"/>
      <x:c r="J1104" s="753">
        <x:f>'幕间计算'!E1197</x:f>
        <x:v>0</x:v>
      </x:c>
      <x:c r="K1104" s="753" t="str">
        <x:f>'幕间计算'!F1197</x:f>
        <x:v/>
      </x:c>
    </x:row>
    <x:row r="1105" ht="25" customHeight="1">
      <x:c r="A1105" s="747"/>
      <x:c r="B1105" s="747"/>
      <x:c r="C1105" s="760"/>
      <x:c r="D1105" s="747"/>
      <x:c r="E1105" s="747"/>
      <x:c r="F1105" s="747"/>
      <x:c r="G1105" s="747"/>
      <x:c r="H1105" s="747"/>
      <x:c r="I1105" s="747"/>
      <x:c r="J1105" s="753">
        <x:f>'幕间计算'!E1198</x:f>
        <x:v>0</x:v>
      </x:c>
      <x:c r="K1105" s="753" t="str">
        <x:f>'幕间计算'!F1198</x:f>
        <x:v/>
      </x:c>
    </x:row>
    <x:row r="1106" ht="25" customHeight="1">
      <x:c r="A1106" s="747"/>
      <x:c r="B1106" s="747"/>
      <x:c r="C1106" s="760"/>
      <x:c r="D1106" s="747"/>
      <x:c r="E1106" s="747"/>
      <x:c r="F1106" s="747"/>
      <x:c r="G1106" s="747"/>
      <x:c r="H1106" s="747"/>
      <x:c r="I1106" s="747"/>
      <x:c r="J1106" s="753">
        <x:f>'幕间计算'!E1199</x:f>
        <x:v>0</x:v>
      </x:c>
      <x:c r="K1106" s="753" t="str">
        <x:f>'幕间计算'!F1199</x:f>
        <x:v/>
      </x:c>
    </x:row>
  </x:sheetData>
  <x:mergeCells>
    <x:mergeCell ref="A1:K1"/>
    <x:mergeCell ref="A2:B2"/>
    <x:mergeCell ref="C2:D2"/>
    <x:mergeCell ref="E2:G2"/>
    <x:mergeCell ref="H2:I2"/>
    <x:mergeCell ref="J2:K2"/>
    <x:mergeCell ref="C3:D3"/>
    <x:mergeCell ref="F3:H3"/>
    <x:mergeCell ref="I3:K3"/>
    <x:mergeCell ref="A6:K6"/>
    <x:mergeCell ref="A7:K7"/>
    <x:mergeCell ref="A8:K8"/>
    <x:mergeCell ref="A73:K73"/>
    <x:mergeCell ref="B74:D74"/>
    <x:mergeCell ref="B75:D75"/>
    <x:mergeCell ref="B76:D76"/>
    <x:mergeCell ref="B77:D77"/>
    <x:mergeCell ref="F74:G74"/>
    <x:mergeCell ref="F75:G75"/>
    <x:mergeCell ref="F76:G76"/>
    <x:mergeCell ref="F77:G77"/>
    <x:mergeCell ref="I74:K74"/>
    <x:mergeCell ref="I75:K75"/>
    <x:mergeCell ref="I76:K76"/>
    <x:mergeCell ref="I77:K77"/>
    <x:mergeCell ref="B78:K78"/>
    <x:mergeCell ref="A85:K85"/>
    <x:mergeCell ref="A89:K89"/>
    <x:mergeCell ref="B90:D90"/>
    <x:mergeCell ref="B91:D91"/>
    <x:mergeCell ref="B92:D92"/>
    <x:mergeCell ref="B93:D93"/>
    <x:mergeCell ref="F90:G90"/>
    <x:mergeCell ref="F91:G91"/>
    <x:mergeCell ref="F92:G92"/>
    <x:mergeCell ref="F93:G93"/>
    <x:mergeCell ref="I90:K90"/>
    <x:mergeCell ref="I91:K91"/>
    <x:mergeCell ref="I92:K92"/>
    <x:mergeCell ref="I93:K93"/>
    <x:mergeCell ref="B94:K94"/>
    <x:mergeCell ref="A101:K101"/>
    <x:mergeCell ref="A104:K104"/>
    <x:mergeCell ref="A105:K105"/>
  </x:mergeCells>
  <x:dataValidations count="18">
    <x:dataValidation type="list" allowBlank="1" showDropDown="0" showInputMessage="0" showErrorMessage="1" sqref="B3" errorTitle="请检查输入" error="请选择列表项目或填写允许的数值。">
      <x:formula1>模组编号</x:formula1>
    </x:dataValidation>
    <x:dataValidation type="whole" allowBlank="1" showDropDown="0" showInputMessage="0" showErrorMessage="1" sqref="J10:J69" operator="between" errorTitle="请检查输入" error="请选择列表项目或填写允许的数值。">
      <x:formula1>1</x:formula1>
      <x:formula2>4</x:formula2>
    </x:dataValidation>
    <x:dataValidation type="whole" allowBlank="1" showDropDown="0" showInputMessage="0" showErrorMessage="1" sqref="A5:F5" operator="between" errorTitle="请检查输入" error="请选择列表项目或填写允许的数值。">
      <x:formula1>0</x:formula1>
      <x:formula2>18</x:formula2>
    </x:dataValidation>
    <x:dataValidation type="whole" allowBlank="1" showDropDown="0" showInputMessage="0" showErrorMessage="1" sqref="G5:J5" operator="between" errorTitle="请检查输入" error="请选择列表项目或填写允许的数值。">
      <x:formula1>0</x:formula1>
      <x:formula2>99</x:formula2>
    </x:dataValidation>
    <x:dataValidation type="list" allowBlank="1" showDropDown="0" showInputMessage="0" showErrorMessage="1" sqref="B74" errorTitle="请检查输入" error="请选择列表项目或填写允许的数值。">
      <x:formula1>幕间事项</x:formula1>
    </x:dataValidation>
    <x:dataValidation type="list" allowBlank="1" showDropDown="0" showInputMessage="0" showErrorMessage="1" sqref="F74 F76" errorTitle="请检查输入" error="请选择列表项目或填写允许的数值。">
      <x:formula1>"成功,失败,大成功,大失败"</x:formula1>
    </x:dataValidation>
    <x:dataValidation type="list" allowBlank="1" showDropDown="0" showInputMessage="0" showErrorMessage="1" sqref="B75 B76" errorTitle="请检查输入" error="请选择列表项目或填写允许的数值。">
      <x:formula1>变更目标</x:formula1>
    </x:dataValidation>
    <x:dataValidation type="list" allowBlank="1" showDropDown="0" showInputMessage="0" showErrorMessage="1" sqref="B77 F77" errorTitle="请检查输入" error="请选择列表项目或填写允许的数值。">
      <x:formula1>关系编号</x:formula1>
    </x:dataValidation>
    <x:dataValidation type="list" allowBlank="1" showDropDown="0" showInputMessage="0" showErrorMessage="1" sqref="I74" errorTitle="请检查输入" error="请选择列表项目或填写允许的数值。">
      <x:formula1>"如实告知,有所隐瞒"</x:formula1>
    </x:dataValidation>
    <x:dataValidation type="whole" allowBlank="1" showDropDown="0" showInputMessage="0" showErrorMessage="1" sqref="I75 I76" operator="between" errorTitle="请检查输入" error="请选择列表项目或填写允许的数值。">
      <x:formula1>0</x:formula1>
      <x:formula2>99</x:formula2>
    </x:dataValidation>
    <x:dataValidation type="whole" allowBlank="1" showDropDown="0" showInputMessage="0" showErrorMessage="1" sqref="I77" operator="between" errorTitle="请检查输入" error="请选择列表项目或填写允许的数值。">
      <x:formula1>1</x:formula1>
      <x:formula2>4</x:formula2>
    </x:dataValidation>
    <x:dataValidation type="list" allowBlank="1" showDropDown="0" showInputMessage="0" showErrorMessage="1" sqref="B90" errorTitle="请检查输入" error="请选择列表项目或填写允许的数值。">
      <x:formula1>幕间事项</x:formula1>
    </x:dataValidation>
    <x:dataValidation type="list" allowBlank="1" showDropDown="0" showInputMessage="0" showErrorMessage="1" sqref="F90 F92" errorTitle="请检查输入" error="请选择列表项目或填写允许的数值。">
      <x:formula1>"成功,失败,大成功,大失败"</x:formula1>
    </x:dataValidation>
    <x:dataValidation type="list" allowBlank="1" showDropDown="0" showInputMessage="0" showErrorMessage="1" sqref="B91 B92" errorTitle="请检查输入" error="请选择列表项目或填写允许的数值。">
      <x:formula1>变更目标</x:formula1>
    </x:dataValidation>
    <x:dataValidation type="list" allowBlank="1" showDropDown="0" showInputMessage="0" showErrorMessage="1" sqref="B93 F93" errorTitle="请检查输入" error="请选择列表项目或填写允许的数值。">
      <x:formula1>关系编号</x:formula1>
    </x:dataValidation>
    <x:dataValidation type="list" allowBlank="1" showDropDown="0" showInputMessage="0" showErrorMessage="1" sqref="I90" errorTitle="请检查输入" error="请选择列表项目或填写允许的数值。">
      <x:formula1>"如实告知,有所隐瞒"</x:formula1>
    </x:dataValidation>
    <x:dataValidation type="whole" allowBlank="1" showDropDown="0" showInputMessage="0" showErrorMessage="1" sqref="I91 I92" operator="between" errorTitle="请检查输入" error="请选择列表项目或填写允许的数值。">
      <x:formula1>0</x:formula1>
      <x:formula2>99</x:formula2>
    </x:dataValidation>
    <x:dataValidation type="whole" allowBlank="1" showDropDown="0" showInputMessage="0" showErrorMessage="1" sqref="I93" operator="between" errorTitle="请检查输入" error="请选择列表项目或填写允许的数值。">
      <x:formula1>1</x:formula1>
      <x:formula2>4</x:formula2>
    </x:dataValidation>
  </x:dataValidations>
  <x:hyperlinks>
    <x:hyperlink ref="A2" location="'人物卡'!B2"/>
    <x:hyperlink ref="C2" location="'模组经历备忘录'!A1"/>
    <x:hyperlink ref="E2" location="'幕间与结算'!A73"/>
    <x:hyperlink ref="H2" location="'幕间与结算'!A104"/>
    <x:hyperlink ref="J2" location="失败标记"/>
  </x:hyperlinks>
  <x:pageMargins left="0.7" right="0.7" top="0.75" bottom="0.75" header="0.3" footer="0.3"/>
</x:worksheet>
</file>

<file path=xl/worksheets/sheet17.xml><?xml version="1.0" encoding="utf-8"?>
<x:worksheet xmlns:x="http://schemas.openxmlformats.org/spreadsheetml/2006/main">
  <x:sheetFormatPr defaultRowHeight="15"/>
  <x:sheetData>
    <x:row r="1">
      <x:c r="A1" t="str" s="740">
        <x:v>计算与选项</x:v>
      </x:c>
    </x:row>
    <x:row r="2">
      <x:c r="A2" t="str">
        <x:f>IF('人物卡'!D14="","","技能："&amp;'人物卡'!D14)</x:f>
        <x:v>技能：会计学</x:v>
      </x:c>
      <x:c r="B2">
        <x:v>0</x:v>
      </x:c>
      <x:c r="C2">
        <x:f>'人物卡'!P14</x:f>
        <x:v>10</x:v>
      </x:c>
      <x:c r="D2" t="str">
        <x:f>'人物卡'!B14</x:f>
        <x:v>☐</x:v>
      </x:c>
      <x:c r="E2">
        <x:f>IF(AND(A2&lt;&gt;"",A2&lt;&gt;"技能：非自然知识",C2&gt;=1,OR(D2="√",D2="☑"),COUNTIFS($A$2:A2,A2,$D$2:D2,"√")+COUNTIFS($A$2:A2,A2,$D$2:D2,"☑")=1),1,0)</x:f>
        <x:v>0</x:v>
      </x:c>
      <x:c r="F2">
        <x:f>IF(E2=1,SUM($E$2:E2),0)</x:f>
        <x:v>0</x:v>
      </x:c>
      <x:c r="L2" t="inlineStr">
        <x:is>
          <x:t>力量</x:t>
        </x:is>
      </x:c>
      <x:c r="M2">
        <x:f>N('人物卡'!AH3)</x:f>
        <x:v>0</x:v>
      </x:c>
      <x:c r="O2">
        <x:f>IF(L2="","",COUNTIF($L$2:L2,"?*"))</x:f>
        <x:v>1</x:v>
      </x:c>
      <x:c r="P2" t="str">
        <x:f>IFERROR(INDEX($L$2:$L$79,MATCH(1,$O$2:$O$79,0)),"")</x:f>
        <x:v>力量</x:v>
      </x:c>
      <x:c r="S2">
        <x:f>N('幕间与结算'!A5)</x:f>
        <x:v>0</x:v>
      </x:c>
      <x:c r="T2" t="str">
        <x:f>IF('模组经历备忘录'!C8="","待命名模组",'模组经历备忘录'!C8)</x:f>
        <x:v>待命名模组</x:v>
      </x:c>
      <x:c r="U2" t="inlineStr">
        <x:is>
          <x:t>按部就班</x:t>
        </x:is>
      </x:c>
      <x:c r="W2" t="inlineStr">
        <x:is>
          <x:t>01</x:t>
        </x:is>
      </x:c>
      <x:c r="X2" t="inlineStr">
        <x:is>
          <x:t>重要关系1</x:t>
        </x:is>
      </x:c>
      <x:c r="Y2">
        <x:f>'人物卡'!CZ23</x:f>
        <x:v>0</x:v>
      </x:c>
      <x:c r="Z2">
        <x:f>N('人物卡'!ED24)</x:f>
        <x:v>0</x:v>
      </x:c>
      <x:c r="AA2" t="str">
        <x:f>'人物卡'!EF24</x:f>
        <x:v>×</x:v>
      </x:c>
      <x:c r="AB2">
        <x:f>COUNTIFS(Y2:Y8,"?*",Z2:Z8,"&gt;0",AA2:AA8,"&lt;&gt;√")</x:f>
        <x:v>0</x:v>
      </x:c>
      <x:c r="AK2">
        <x:f>IFERROR(MATCH(1,$F$2:$F$61,0),0)</x:f>
        <x:v>0</x:v>
      </x:c>
      <x:c r="AL2" t="str">
        <x:f>IF(AK2=0,"",INDEX($A$2:$A$61,AK2))</x:f>
        <x:v/>
      </x:c>
      <x:c r="AM2">
        <x:f>IF(AL2="",0,IFERROR(MATCH($AO$5&amp;"-成长-"&amp;AL2,$I$200:$I$1199,0),0))</x:f>
        <x:v>0</x:v>
      </x:c>
      <x:c r="AO2">
        <x:f>SUM(E2:E61)</x:f>
        <x:v>0</x:v>
      </x:c>
    </x:row>
    <x:row r="3">
      <x:c r="A3" t="str">
        <x:f>IF('人物卡'!D15="","","技能："&amp;'人物卡'!D15)</x:f>
        <x:v>技能：警觉</x:v>
      </x:c>
      <x:c r="B3">
        <x:v>0</x:v>
      </x:c>
      <x:c r="C3">
        <x:f>'人物卡'!P15</x:f>
        <x:v>20</x:v>
      </x:c>
      <x:c r="D3" t="str">
        <x:f>'人物卡'!B15</x:f>
        <x:v>☐</x:v>
      </x:c>
      <x:c r="E3">
        <x:f>IF(AND(A3&lt;&gt;"",A3&lt;&gt;"技能：非自然知识",C3&gt;=1,OR(D3="√",D3="☑"),COUNTIFS($A$2:A3,A3,$D$2:D3,"√")+COUNTIFS($A$2:A3,A3,$D$2:D3,"☑")=1),1,0)</x:f>
        <x:v>0</x:v>
      </x:c>
      <x:c r="F3">
        <x:f>IF(E3=1,SUM($E$2:E3),0)</x:f>
        <x:v>0</x:v>
      </x:c>
      <x:c r="L3" t="inlineStr">
        <x:is>
          <x:t>体质</x:t>
        </x:is>
      </x:c>
      <x:c r="M3">
        <x:f>N('人物卡'!AH4)</x:f>
        <x:v>0</x:v>
      </x:c>
      <x:c r="O3">
        <x:f>IF(L3="","",COUNTIF($L$2:L3,"?*"))</x:f>
        <x:v>2</x:v>
      </x:c>
      <x:c r="P3" t="str">
        <x:f>IFERROR(INDEX($L$2:$L$79,MATCH(2,$O$2:$O$79,0)),"")</x:f>
        <x:v>体质</x:v>
      </x:c>
      <x:c r="S3">
        <x:f>N('幕间与结算'!B5)</x:f>
        <x:v>0</x:v>
      </x:c>
      <x:c r="T3" t="str">
        <x:f>IF('模组经历备忘录'!C9="","待命名模组",'模组经历备忘录'!C9)</x:f>
        <x:v>待命名模组</x:v>
      </x:c>
      <x:c r="U3" t="inlineStr">
        <x:is>
          <x:t>远离喧嚣</x:t>
        </x:is>
      </x:c>
      <x:c r="W3" t="inlineStr">
        <x:is>
          <x:t>02</x:t>
        </x:is>
      </x:c>
      <x:c r="X3" t="inlineStr">
        <x:is>
          <x:t>重要关系2</x:t>
        </x:is>
      </x:c>
      <x:c r="Y3">
        <x:f>'人物卡'!CZ26</x:f>
        <x:v>0</x:v>
      </x:c>
      <x:c r="Z3">
        <x:f>N('人物卡'!ED27)</x:f>
        <x:v>0</x:v>
      </x:c>
      <x:c r="AA3" t="str">
        <x:f>'人物卡'!EF27</x:f>
        <x:v>×</x:v>
      </x:c>
      <x:c r="AB3">
        <x:f>COUNTIFS(Y2:Y8,"?*",Z2:Z8,"&gt;0")</x:f>
        <x:v>0</x:v>
      </x:c>
      <x:c r="AK3">
        <x:f>IFERROR(MATCH(2,$F$2:$F$61,0),0)</x:f>
        <x:v>0</x:v>
      </x:c>
      <x:c r="AL3" t="str">
        <x:f>IF(AK3=0,"",INDEX($A$2:$A$61,AK3))</x:f>
        <x:v/>
      </x:c>
      <x:c r="AM3">
        <x:f>IF(AL3="",0,IFERROR(MATCH($AO$5&amp;"-成长-"&amp;AL3,$I$200:$I$1199,0),0))</x:f>
        <x:v>0</x:v>
      </x:c>
      <x:c r="AO3">
        <x:f>COUNTIF('幕间与结算'!$K$10:$K$69,"待填1D4")</x:f>
        <x:v>0</x:v>
      </x:c>
    </x:row>
    <x:row r="4">
      <x:c r="A4" t="str">
        <x:f>IF('人物卡'!D16="","","技能："&amp;'人物卡'!D16)</x:f>
        <x:v>技能：人类学</x:v>
      </x:c>
      <x:c r="B4">
        <x:v>0</x:v>
      </x:c>
      <x:c r="C4">
        <x:f>'人物卡'!P16</x:f>
        <x:v>0</x:v>
      </x:c>
      <x:c r="D4" t="str">
        <x:f>'人物卡'!B16</x:f>
        <x:v>☐</x:v>
      </x:c>
      <x:c r="E4">
        <x:f>IF(AND(A4&lt;&gt;"",A4&lt;&gt;"技能：非自然知识",C4&gt;=1,OR(D4="√",D4="☑"),COUNTIFS($A$2:A4,A4,$D$2:D4,"√")+COUNTIFS($A$2:A4,A4,$D$2:D4,"☑")=1),1,0)</x:f>
        <x:v>0</x:v>
      </x:c>
      <x:c r="F4">
        <x:f>IF(E4=1,SUM($E$2:E4),0)</x:f>
        <x:v>0</x:v>
      </x:c>
      <x:c r="L4" t="inlineStr">
        <x:is>
          <x:t>敏捷</x:t>
        </x:is>
      </x:c>
      <x:c r="M4">
        <x:f>N('人物卡'!AH5)</x:f>
        <x:v>0</x:v>
      </x:c>
      <x:c r="O4">
        <x:f>IF(L4="","",COUNTIF($L$2:L4,"?*"))</x:f>
        <x:v>3</x:v>
      </x:c>
      <x:c r="P4" t="str">
        <x:f>IFERROR(INDEX($L$2:$L$79,MATCH(3,$O$2:$O$79,0)),"")</x:f>
        <x:v>敏捷</x:v>
      </x:c>
      <x:c r="S4">
        <x:f>N('幕间与结算'!C5)</x:f>
        <x:v>0</x:v>
      </x:c>
      <x:c r="T4" t="str">
        <x:f>IF('模组经历备忘录'!C10="","待命名模组",'模组经历备忘录'!C10)</x:f>
        <x:v>待命名模组</x:v>
      </x:c>
      <x:c r="U4" t="inlineStr">
        <x:is>
          <x:t>建立新的重要关系</x:t>
        </x:is>
      </x:c>
      <x:c r="W4" t="inlineStr">
        <x:is>
          <x:t>03</x:t>
        </x:is>
      </x:c>
      <x:c r="X4" t="inlineStr">
        <x:is>
          <x:t>重要关系3</x:t>
        </x:is>
      </x:c>
      <x:c r="Y4">
        <x:f>'人物卡'!CZ29</x:f>
        <x:v>0</x:v>
      </x:c>
      <x:c r="Z4">
        <x:f>N('人物卡'!ED30)</x:f>
        <x:v>0</x:v>
      </x:c>
      <x:c r="AA4" t="str">
        <x:f>'人物卡'!EF30</x:f>
        <x:v>×</x:v>
      </x:c>
      <x:c r="AK4">
        <x:f>IFERROR(MATCH(3,$F$2:$F$61,0),0)</x:f>
        <x:v>0</x:v>
      </x:c>
      <x:c r="AL4" t="str">
        <x:f>IF(AK4=0,"",INDEX($A$2:$A$61,AK4))</x:f>
        <x:v/>
      </x:c>
      <x:c r="AM4">
        <x:f>IF(AL4="",0,IFERROR(MATCH($AO$5&amp;"-成长-"&amp;AL4,$I$200:$I$1199,0),0))</x:f>
        <x:v>0</x:v>
      </x:c>
      <x:c r="AO4">
        <x:f>COUNTIF('幕间与结算'!$K$10:$K$69,"可归档")</x:f>
        <x:v>0</x:v>
      </x:c>
    </x:row>
    <x:row r="5">
      <x:c r="A5" t="str">
        <x:f>IF('人物卡'!D17="","","技能："&amp;'人物卡'!D17)</x:f>
        <x:v>技能：考古学</x:v>
      </x:c>
      <x:c r="B5">
        <x:v>0</x:v>
      </x:c>
      <x:c r="C5">
        <x:f>'人物卡'!P17</x:f>
        <x:v>0</x:v>
      </x:c>
      <x:c r="D5" t="str">
        <x:f>'人物卡'!B17</x:f>
        <x:v>☐</x:v>
      </x:c>
      <x:c r="E5">
        <x:f>IF(AND(A5&lt;&gt;"",A5&lt;&gt;"技能：非自然知识",C5&gt;=1,OR(D5="√",D5="☑"),COUNTIFS($A$2:A5,A5,$D$2:D5,"√")+COUNTIFS($A$2:A5,A5,$D$2:D5,"☑")=1),1,0)</x:f>
        <x:v>0</x:v>
      </x:c>
      <x:c r="F5">
        <x:f>IF(E5=1,SUM($E$2:E5),0)</x:f>
        <x:v>0</x:v>
      </x:c>
      <x:c r="L5" t="inlineStr">
        <x:is>
          <x:t>智力</x:t>
        </x:is>
      </x:c>
      <x:c r="M5">
        <x:f>N('人物卡'!AH6)</x:f>
        <x:v>0</x:v>
      </x:c>
      <x:c r="O5">
        <x:f>IF(L5="","",COUNTIF($L$2:L5,"?*"))</x:f>
        <x:v>4</x:v>
      </x:c>
      <x:c r="P5" t="str">
        <x:f>IFERROR(INDEX($L$2:$L$79,MATCH(4,$O$2:$O$79,0)),"")</x:f>
        <x:v>智力</x:v>
      </x:c>
      <x:c r="S5">
        <x:f>N('幕间与结算'!D5)</x:f>
        <x:v>0</x:v>
      </x:c>
      <x:c r="T5" t="str">
        <x:f>IF('模组经历备忘录'!C11="","待命名模组",'模组经历备忘录'!C11)</x:f>
        <x:v>待命名模组</x:v>
      </x:c>
      <x:c r="U5" t="inlineStr">
        <x:is>
          <x:t>接受心理治疗</x:t>
        </x:is>
      </x:c>
      <x:c r="W5" t="inlineStr">
        <x:is>
          <x:t>04</x:t>
        </x:is>
      </x:c>
      <x:c r="X5" t="inlineStr">
        <x:is>
          <x:t>重要关系4</x:t>
        </x:is>
      </x:c>
      <x:c r="Y5">
        <x:f>'人物卡'!CZ32</x:f>
        <x:v>0</x:v>
      </x:c>
      <x:c r="Z5">
        <x:f>N('人物卡'!ED33)</x:f>
        <x:v>0</x:v>
      </x:c>
      <x:c r="AA5" t="str">
        <x:f>'人物卡'!EF33</x:f>
        <x:v>×</x:v>
      </x:c>
      <x:c r="AK5">
        <x:f>IFERROR(MATCH(4,$F$2:$F$61,0),0)</x:f>
        <x:v>0</x:v>
      </x:c>
      <x:c r="AL5" t="str">
        <x:f>IF(AK5=0,"",INDEX($A$2:$A$61,AK5))</x:f>
        <x:v/>
      </x:c>
      <x:c r="AM5">
        <x:f>IF(AL5="",0,IFERROR(MATCH($AO$5&amp;"-成长-"&amp;AL5,$I$200:$I$1199,0),0))</x:f>
        <x:v>0</x:v>
      </x:c>
      <x:c r="AO5" t="str">
        <x:f>IFERROR(TEXT(VALUE('幕间与结算'!$B$3),"00"),"")</x:f>
        <x:v>01</x:v>
      </x:c>
    </x:row>
    <x:row r="6">
      <x:c r="A6" t="str">
        <x:f>IF(TRIM('人物卡'!J18)="","","技能："&amp;SUBSTITUTE('人物卡'!D18,"：","")&amp;"（"&amp;TRIM('人物卡'!J18)&amp;"）")</x:f>
        <x:v/>
      </x:c>
      <x:c r="B6">
        <x:v>0</x:v>
      </x:c>
      <x:c r="C6">
        <x:f>'人物卡'!P18</x:f>
        <x:v>0</x:v>
      </x:c>
      <x:c r="D6" t="str">
        <x:f>'人物卡'!B18</x:f>
        <x:v>☐</x:v>
      </x:c>
      <x:c r="E6">
        <x:f>IF(AND(A6&lt;&gt;"",A6&lt;&gt;"技能：非自然知识",C6&gt;=1,OR(D6="√",D6="☑"),COUNTIFS($A$2:A6,A6,$D$2:D6,"√")+COUNTIFS($A$2:A6,A6,$D$2:D6,"☑")=1),1,0)</x:f>
        <x:v>0</x:v>
      </x:c>
      <x:c r="F6">
        <x:f>IF(E6=1,SUM($E$2:E6),0)</x:f>
        <x:v>0</x:v>
      </x:c>
      <x:c r="L6" t="inlineStr">
        <x:is>
          <x:t>意志</x:t>
        </x:is>
      </x:c>
      <x:c r="M6">
        <x:f>N('人物卡'!AH7)</x:f>
        <x:v>0</x:v>
      </x:c>
      <x:c r="O6">
        <x:f>IF(L6="","",COUNTIF($L$2:L6,"?*"))</x:f>
        <x:v>5</x:v>
      </x:c>
      <x:c r="P6" t="str">
        <x:f>IFERROR(INDEX($L$2:$L$79,MATCH(5,$O$2:$O$79,0)),"")</x:f>
        <x:v>意志</x:v>
      </x:c>
      <x:c r="S6">
        <x:f>N('幕间与结算'!E5)-IF('人物卡'!$DF$46="关押或入狱",3,0)</x:f>
        <x:v>0</x:v>
      </x:c>
      <x:c r="T6" t="str">
        <x:f>IF('模组经历备忘录'!C12="","待命名模组",'模组经历备忘录'!C12)</x:f>
        <x:v>待命名模组</x:v>
      </x:c>
      <x:c r="U6" t="inlineStr">
        <x:is>
          <x:t>提升技能或属性</x:t>
        </x:is>
      </x:c>
      <x:c r="W6" t="inlineStr">
        <x:is>
          <x:t>05</x:t>
        </x:is>
      </x:c>
      <x:c r="X6" t="inlineStr">
        <x:is>
          <x:t>重要关系5</x:t>
        </x:is>
      </x:c>
      <x:c r="Y6">
        <x:f>'人物卡'!CZ35</x:f>
        <x:v>0</x:v>
      </x:c>
      <x:c r="Z6">
        <x:f>N('人物卡'!ED36)</x:f>
        <x:v>0</x:v>
      </x:c>
      <x:c r="AA6" t="str">
        <x:f>'人物卡'!EF36</x:f>
        <x:v>×</x:v>
      </x:c>
      <x:c r="AK6">
        <x:f>IFERROR(MATCH(5,$F$2:$F$61,0),0)</x:f>
        <x:v>0</x:v>
      </x:c>
      <x:c r="AL6" t="str">
        <x:f>IF(AK6=0,"",INDEX($A$2:$A$61,AK6))</x:f>
        <x:v/>
      </x:c>
      <x:c r="AM6">
        <x:f>IF(AL6="",0,IFERROR(MATCH($AO$5&amp;"-成长-"&amp;AL6,$I$200:$I$1199,0),0))</x:f>
        <x:v>0</x:v>
      </x:c>
    </x:row>
    <x:row r="7">
      <x:c r="A7" t="str">
        <x:f>IF(TRIM('人物卡'!J19)="","","技能："&amp;SUBSTITUTE('人物卡'!D19,"：","")&amp;"（"&amp;TRIM('人物卡'!J19)&amp;"）")</x:f>
        <x:v/>
      </x:c>
      <x:c r="B7">
        <x:v>0</x:v>
      </x:c>
      <x:c r="C7">
        <x:f>'人物卡'!P19</x:f>
        <x:v>0</x:v>
      </x:c>
      <x:c r="D7" t="str">
        <x:f>'人物卡'!B19</x:f>
        <x:v>☐</x:v>
      </x:c>
      <x:c r="E7">
        <x:f>IF(AND(A7&lt;&gt;"",A7&lt;&gt;"技能：非自然知识",C7&gt;=1,OR(D7="√",D7="☑"),COUNTIFS($A$2:A7,A7,$D$2:D7,"√")+COUNTIFS($A$2:A7,A7,$D$2:D7,"☑")=1),1,0)</x:f>
        <x:v>0</x:v>
      </x:c>
      <x:c r="F7">
        <x:f>IF(E7=1,SUM($E$2:E7),0)</x:f>
        <x:v>0</x:v>
      </x:c>
      <x:c r="L7" t="inlineStr">
        <x:is>
          <x:t>魅力</x:t>
        </x:is>
      </x:c>
      <x:c r="M7">
        <x:f>N('人物卡'!AH8)</x:f>
        <x:v>0</x:v>
      </x:c>
      <x:c r="O7">
        <x:f>IF(L7="","",COUNTIF($L$2:L7,"?*"))</x:f>
        <x:v>6</x:v>
      </x:c>
      <x:c r="P7" t="str">
        <x:f>IFERROR(INDEX($L$2:$L$79,MATCH(6,$O$2:$O$79,0)),"")</x:f>
        <x:v>魅力</x:v>
      </x:c>
      <x:c r="S7">
        <x:f>N('幕间与结算'!F5)-IF('人物卡'!$DF$46="极端暴力",3,0)</x:f>
        <x:v>0</x:v>
      </x:c>
      <x:c r="T7" t="str">
        <x:f>IF('模组经历备忘录'!C13="","待命名模组",'模组经历备忘录'!C13)</x:f>
        <x:v>待命名模组</x:v>
      </x:c>
      <x:c r="U7" t="inlineStr">
        <x:is>
          <x:t>重建人生动力</x:t>
        </x:is>
      </x:c>
      <x:c r="W7" t="inlineStr">
        <x:is>
          <x:t>06</x:t>
        </x:is>
      </x:c>
      <x:c r="X7" t="inlineStr">
        <x:is>
          <x:t>重要关系6</x:t>
        </x:is>
      </x:c>
      <x:c r="Y7">
        <x:f>'人物卡'!CZ38</x:f>
        <x:v>0</x:v>
      </x:c>
      <x:c r="Z7">
        <x:f>N('人物卡'!ED39)</x:f>
        <x:v>0</x:v>
      </x:c>
      <x:c r="AA7" t="str">
        <x:f>'人物卡'!EF39</x:f>
        <x:v>×</x:v>
      </x:c>
      <x:c r="AK7">
        <x:f>IFERROR(MATCH(6,$F$2:$F$61,0),0)</x:f>
        <x:v>0</x:v>
      </x:c>
      <x:c r="AL7" t="str">
        <x:f>IF(AK7=0,"",INDEX($A$2:$A$61,AK7))</x:f>
        <x:v/>
      </x:c>
      <x:c r="AM7">
        <x:f>IF(AL7="",0,IFERROR(MATCH($AO$5&amp;"-成长-"&amp;AL7,$I$200:$I$1199,0),0))</x:f>
        <x:v>0</x:v>
      </x:c>
    </x:row>
    <x:row r="8">
      <x:c r="A8" t="str">
        <x:f>IF(TRIM('人物卡'!J20)="","","技能："&amp;SUBSTITUTE('人物卡'!D20,"：","")&amp;"（"&amp;TRIM('人物卡'!J20)&amp;"）")</x:f>
        <x:v/>
      </x:c>
      <x:c r="B8">
        <x:v>0</x:v>
      </x:c>
      <x:c r="C8">
        <x:f>'人物卡'!P20</x:f>
        <x:v>0</x:v>
      </x:c>
      <x:c r="D8" t="str">
        <x:f>'人物卡'!B20</x:f>
        <x:v>☐</x:v>
      </x:c>
      <x:c r="E8">
        <x:f>IF(AND(A8&lt;&gt;"",A8&lt;&gt;"技能：非自然知识",C8&gt;=1,OR(D8="√",D8="☑"),COUNTIFS($A$2:A8,A8,$D$2:D8,"√")+COUNTIFS($A$2:A8,A8,$D$2:D8,"☑")=1),1,0)</x:f>
        <x:v>0</x:v>
      </x:c>
      <x:c r="F8">
        <x:f>IF(E8=1,SUM($E$2:E8),0)</x:f>
        <x:v>0</x:v>
      </x:c>
      <x:c r="L8" t="inlineStr">
        <x:is>
          <x:t>体力</x:t>
        </x:is>
      </x:c>
      <x:c r="M8">
        <x:f>N('人物卡'!H10)</x:f>
        <x:v>0</x:v>
      </x:c>
      <x:c r="O8">
        <x:f>IF(L8="","",COUNTIF($L$2:L8,"?*"))</x:f>
        <x:v>7</x:v>
      </x:c>
      <x:c r="P8" t="str">
        <x:f>IFERROR(INDEX($L$2:$L$79,MATCH(7,$O$2:$O$79,0)),"")</x:f>
        <x:v>体力</x:v>
      </x:c>
      <x:c r="S8">
        <x:f>IF(ISNUMBER('幕间与结算'!G5),'幕间与结算'!G5,CEILING((S2+S3)/2,1))</x:f>
        <x:v>0</x:v>
      </x:c>
      <x:c r="T8" t="str">
        <x:f>IF('模组经历备忘录'!C14="","待命名模组",'模组经历备忘录'!C14)</x:f>
        <x:v>待命名模组</x:v>
      </x:c>
      <x:c r="U8" t="inlineStr">
        <x:is>
          <x:t>进行特训</x:t>
        </x:is>
      </x:c>
      <x:c r="W8" t="inlineStr">
        <x:is>
          <x:t>07</x:t>
        </x:is>
      </x:c>
      <x:c r="X8" t="inlineStr">
        <x:is>
          <x:t>重要关系7</x:t>
        </x:is>
      </x:c>
      <x:c r="Y8">
        <x:f>'人物卡'!CZ41</x:f>
        <x:v>0</x:v>
      </x:c>
      <x:c r="Z8">
        <x:f>N('人物卡'!ED42)</x:f>
        <x:v>0</x:v>
      </x:c>
      <x:c r="AA8" t="str">
        <x:f>'人物卡'!EF42</x:f>
        <x:v>×</x:v>
      </x:c>
      <x:c r="AK8">
        <x:f>IFERROR(MATCH(7,$F$2:$F$61,0),0)</x:f>
        <x:v>0</x:v>
      </x:c>
      <x:c r="AL8" t="str">
        <x:f>IF(AK8=0,"",INDEX($A$2:$A$61,AK8))</x:f>
        <x:v/>
      </x:c>
      <x:c r="AM8">
        <x:f>IF(AL8="",0,IFERROR(MATCH($AO$5&amp;"-成长-"&amp;AL8,$I$200:$I$1199,0),0))</x:f>
        <x:v>0</x:v>
      </x:c>
    </x:row>
    <x:row r="9">
      <x:c r="A9" t="str">
        <x:f>IF('人物卡'!D21="","","技能："&amp;'人物卡'!D21)</x:f>
        <x:v>技能：炮术</x:v>
      </x:c>
      <x:c r="B9">
        <x:v>0</x:v>
      </x:c>
      <x:c r="C9">
        <x:f>'人物卡'!P21</x:f>
        <x:v>0</x:v>
      </x:c>
      <x:c r="D9" t="str">
        <x:f>'人物卡'!B21</x:f>
        <x:v>☐</x:v>
      </x:c>
      <x:c r="E9">
        <x:f>IF(AND(A9&lt;&gt;"",A9&lt;&gt;"技能：非自然知识",C9&gt;=1,OR(D9="√",D9="☑"),COUNTIFS($A$2:A9,A9,$D$2:D9,"√")+COUNTIFS($A$2:A9,A9,$D$2:D9,"☑")=1),1,0)</x:f>
        <x:v>0</x:v>
      </x:c>
      <x:c r="F9">
        <x:f>IF(E9=1,SUM($E$2:E9),0)</x:f>
        <x:v>0</x:v>
      </x:c>
      <x:c r="L9" t="inlineStr">
        <x:is>
          <x:t>毅力</x:t>
        </x:is>
      </x:c>
      <x:c r="M9">
        <x:f>N('人物卡'!V10)</x:f>
        <x:v>0</x:v>
      </x:c>
      <x:c r="O9">
        <x:f>IF(L9="","",COUNTIF($L$2:L9,"?*"))</x:f>
        <x:v>8</x:v>
      </x:c>
      <x:c r="P9" t="str">
        <x:f>IFERROR(INDEX($L$2:$L$79,MATCH(8,$O$2:$O$79,0)),"")</x:f>
        <x:v>毅力</x:v>
      </x:c>
      <x:c r="S9">
        <x:f>IF(ISNUMBER('幕间与结算'!H5),'幕间与结算'!H5,S6)</x:f>
        <x:v>0</x:v>
      </x:c>
      <x:c r="T9" t="str">
        <x:f>IF('模组经历备忘录'!C15="","待命名模组",'模组经历备忘录'!C15)</x:f>
        <x:v>待命名模组</x:v>
      </x:c>
      <x:c r="U9" t="inlineStr">
        <x:is>
          <x:t>回顾案件</x:t>
        </x:is>
      </x:c>
      <x:c r="W9" t="inlineStr">
        <x:is>
          <x:t>08</x:t>
        </x:is>
      </x:c>
      <x:c r="AK9">
        <x:f>IFERROR(MATCH(8,$F$2:$F$61,0),0)</x:f>
        <x:v>0</x:v>
      </x:c>
      <x:c r="AL9" t="str">
        <x:f>IF(AK9=0,"",INDEX($A$2:$A$61,AK9))</x:f>
        <x:v/>
      </x:c>
      <x:c r="AM9">
        <x:f>IF(AL9="",0,IFERROR(MATCH($AO$5&amp;"-成长-"&amp;AL9,$I$200:$I$1199,0),0))</x:f>
        <x:v>0</x:v>
      </x:c>
    </x:row>
    <x:row r="10">
      <x:c r="A10" t="str">
        <x:f>IF('人物卡'!D22="","","技能："&amp;'人物卡'!D22)</x:f>
        <x:v>技能：运动</x:v>
      </x:c>
      <x:c r="B10">
        <x:v>0</x:v>
      </x:c>
      <x:c r="C10">
        <x:f>'人物卡'!P22</x:f>
        <x:v>30</x:v>
      </x:c>
      <x:c r="D10" t="str">
        <x:f>'人物卡'!B22</x:f>
        <x:v>☐</x:v>
      </x:c>
      <x:c r="E10">
        <x:f>IF(AND(A10&lt;&gt;"",A10&lt;&gt;"技能：非自然知识",C10&gt;=1,OR(D10="√",D10="☑"),COUNTIFS($A$2:A10,A10,$D$2:D10,"√")+COUNTIFS($A$2:A10,A10,$D$2:D10,"☑")=1),1,0)</x:f>
        <x:v>0</x:v>
      </x:c>
      <x:c r="F10">
        <x:f>IF(E10=1,SUM($E$2:E10),0)</x:f>
        <x:v>0</x:v>
      </x:c>
      <x:c r="L10" t="inlineStr">
        <x:is>
          <x:t>理智</x:t>
        </x:is>
      </x:c>
      <x:c r="M10">
        <x:f>N('人物卡'!AH10)</x:f>
        <x:v>0</x:v>
      </x:c>
      <x:c r="O10">
        <x:f>IF(L10="","",COUNTIF($L$2:L10,"?*"))</x:f>
        <x:v>9</x:v>
      </x:c>
      <x:c r="P10" t="str">
        <x:f>IFERROR(INDEX($L$2:$L$79,MATCH(9,$O$2:$O$79,0)),"")</x:f>
        <x:v>理智</x:v>
      </x:c>
      <x:c r="S10">
        <x:f>IF(ISNUMBER('幕间与结算'!I5),'幕间与结算'!I5,MIN(99-N('人物卡'!BB39),N('幕间与结算'!E5)*5-IF('人物卡'!DF46="人类不应知道之事",S6,IF(OR('人物卡'!DF46="极端暴力",'人物卡'!DF46="关押或入狱",'人物卡'!DF46="艰苦经历"),5,0))))</x:f>
        <x:v>0</x:v>
      </x:c>
      <x:c r="T10" t="str">
        <x:f>IF('模组经历备忘录'!C16="","待命名模组",'模组经历备忘录'!C16)</x:f>
        <x:v>待命名模组</x:v>
      </x:c>
      <x:c r="U10" t="inlineStr">
        <x:is>
          <x:t>研究非自然知识</x:t>
        </x:is>
      </x:c>
      <x:c r="W10" t="inlineStr">
        <x:is>
          <x:t>09</x:t>
        </x:is>
      </x:c>
      <x:c r="AK10">
        <x:f>IFERROR(MATCH(9,$F$2:$F$61,0),0)</x:f>
        <x:v>0</x:v>
      </x:c>
      <x:c r="AL10" t="str">
        <x:f>IF(AK10=0,"",INDEX($A$2:$A$61,AK10))</x:f>
        <x:v/>
      </x:c>
      <x:c r="AM10">
        <x:f>IF(AL10="",0,IFERROR(MATCH($AO$5&amp;"-成长-"&amp;AL10,$I$200:$I$1199,0),0))</x:f>
        <x:v>0</x:v>
      </x:c>
    </x:row>
    <x:row r="11">
      <x:c r="A11" t="str">
        <x:f>IF('人物卡'!D23="","","技能："&amp;'人物卡'!D23)</x:f>
        <x:v>技能：行政</x:v>
      </x:c>
      <x:c r="B11">
        <x:v>0</x:v>
      </x:c>
      <x:c r="C11">
        <x:f>'人物卡'!P23</x:f>
        <x:v>10</x:v>
      </x:c>
      <x:c r="D11" t="str">
        <x:f>'人物卡'!B23</x:f>
        <x:v>☐</x:v>
      </x:c>
      <x:c r="E11">
        <x:f>IF(AND(A11&lt;&gt;"",A11&lt;&gt;"技能：非自然知识",C11&gt;=1,OR(D11="√",D11="☑"),COUNTIFS($A$2:A11,A11,$D$2:D11,"√")+COUNTIFS($A$2:A11,A11,$D$2:D11,"☑")=1),1,0)</x:f>
        <x:v>0</x:v>
      </x:c>
      <x:c r="F11">
        <x:f>IF(E11=1,SUM($E$2:E11),0)</x:f>
        <x:v>0</x:v>
      </x:c>
      <x:c r="L11" t="inlineStr">
        <x:is>
          <x:t>崩溃点</x:t>
        </x:is>
      </x:c>
      <x:c r="M11">
        <x:f>N('人物卡'!AU10)</x:f>
        <x:v>0</x:v>
      </x:c>
      <x:c r="O11">
        <x:f>IF(L11="","",COUNTIF($L$2:L11,"?*"))</x:f>
        <x:v>10</x:v>
      </x:c>
      <x:c r="P11" t="str">
        <x:f>IFERROR(INDEX($L$2:$L$79,MATCH(10,$O$2:$O$79,0)),"")</x:f>
        <x:v>崩溃点</x:v>
      </x:c>
      <x:c r="S11">
        <x:f>IF(ISNUMBER('幕间与结算'!J5),'幕间与结算'!J5,IF('人物卡'!DF46="人类不应知道之事",S10-S6,N('幕间与结算'!E5)*4))</x:f>
        <x:v>0</x:v>
      </x:c>
      <x:c r="T11" t="str">
        <x:f>IF('模组经历备忘录'!C17="","待命名模组",'模组经历备忘录'!C17)</x:f>
        <x:v>待命名模组</x:v>
      </x:c>
      <x:c r="W11" t="inlineStr">
        <x:is>
          <x:t>10</x:t>
        </x:is>
      </x:c>
      <x:c r="AK11">
        <x:f>IFERROR(MATCH(10,$F$2:$F$61,0),0)</x:f>
        <x:v>0</x:v>
      </x:c>
      <x:c r="AL11" t="str">
        <x:f>IF(AK11=0,"",INDEX($A$2:$A$61,AK11))</x:f>
        <x:v/>
      </x:c>
      <x:c r="AM11">
        <x:f>IF(AL11="",0,IFERROR(MATCH($AO$5&amp;"-成长-"&amp;AL11,$I$200:$I$1199,0),0))</x:f>
        <x:v>0</x:v>
      </x:c>
    </x:row>
    <x:row r="12">
      <x:c r="A12" t="str">
        <x:f>IF('人物卡'!D24="","","技能："&amp;'人物卡'!D24)</x:f>
        <x:v>技能：计算机科学</x:v>
      </x:c>
      <x:c r="B12">
        <x:v>0</x:v>
      </x:c>
      <x:c r="C12">
        <x:f>'人物卡'!P24</x:f>
        <x:v>0</x:v>
      </x:c>
      <x:c r="D12" t="str">
        <x:f>'人物卡'!B24</x:f>
        <x:v>☐</x:v>
      </x:c>
      <x:c r="E12">
        <x:f>IF(AND(A12&lt;&gt;"",A12&lt;&gt;"技能：非自然知识",C12&gt;=1,OR(D12="√",D12="☑"),COUNTIFS($A$2:A12,A12,$D$2:D12,"√")+COUNTIFS($A$2:A12,A12,$D$2:D12,"☑")=1),1,0)</x:f>
        <x:v>0</x:v>
      </x:c>
      <x:c r="F12">
        <x:f>IF(E12=1,SUM($E$2:E12),0)</x:f>
        <x:v>0</x:v>
      </x:c>
      <x:c r="L12" t="inlineStr">
        <x:is>
          <x:t>重要关系1</x:t>
        </x:is>
      </x:c>
      <x:c r="M12">
        <x:f>N('人物卡'!ED24)</x:f>
        <x:v>0</x:v>
      </x:c>
      <x:c r="O12">
        <x:f>IF(L12="","",COUNTIF($L$2:L12,"?*"))</x:f>
        <x:v>11</x:v>
      </x:c>
      <x:c r="P12" t="str">
        <x:f>IFERROR(INDEX($L$2:$L$79,MATCH(11,$O$2:$O$79,0)),"")</x:f>
        <x:v>重要关系1</x:v>
      </x:c>
      <x:c r="T12" t="str">
        <x:f>IF('模组经历备忘录'!C18="","待命名模组",'模组经历备忘录'!C18)</x:f>
        <x:v>待命名模组</x:v>
      </x:c>
      <x:c r="W12" t="inlineStr">
        <x:is>
          <x:t>11</x:t>
        </x:is>
      </x:c>
      <x:c r="AK12">
        <x:f>IFERROR(MATCH(11,$F$2:$F$61,0),0)</x:f>
        <x:v>0</x:v>
      </x:c>
      <x:c r="AL12" t="str">
        <x:f>IF(AK12=0,"",INDEX($A$2:$A$61,AK12))</x:f>
        <x:v/>
      </x:c>
      <x:c r="AM12">
        <x:f>IF(AL12="",0,IFERROR(MATCH($AO$5&amp;"-成长-"&amp;AL12,$I$200:$I$1199,0),0))</x:f>
        <x:v>0</x:v>
      </x:c>
    </x:row>
    <x:row r="13">
      <x:c r="A13" t="str">
        <x:f>IF(TRIM('人物卡'!J25)="","","技能："&amp;SUBSTITUTE('人物卡'!D25,"：","")&amp;"（"&amp;TRIM('人物卡'!J25)&amp;"）")</x:f>
        <x:v/>
      </x:c>
      <x:c r="B13">
        <x:v>0</x:v>
      </x:c>
      <x:c r="C13">
        <x:f>'人物卡'!P25</x:f>
        <x:v>0</x:v>
      </x:c>
      <x:c r="D13" t="str">
        <x:f>'人物卡'!B25</x:f>
        <x:v>☐</x:v>
      </x:c>
      <x:c r="E13">
        <x:f>IF(AND(A13&lt;&gt;"",A13&lt;&gt;"技能：非自然知识",C13&gt;=1,OR(D13="√",D13="☑"),COUNTIFS($A$2:A13,A13,$D$2:D13,"√")+COUNTIFS($A$2:A13,A13,$D$2:D13,"☑")=1),1,0)</x:f>
        <x:v>0</x:v>
      </x:c>
      <x:c r="F13">
        <x:f>IF(E13=1,SUM($E$2:E13),0)</x:f>
        <x:v>0</x:v>
      </x:c>
      <x:c r="L13" t="inlineStr">
        <x:is>
          <x:t>重要关系2</x:t>
        </x:is>
      </x:c>
      <x:c r="M13">
        <x:f>N('人物卡'!ED27)</x:f>
        <x:v>0</x:v>
      </x:c>
      <x:c r="O13">
        <x:f>IF(L13="","",COUNTIF($L$2:L13,"?*"))</x:f>
        <x:v>12</x:v>
      </x:c>
      <x:c r="P13" t="str">
        <x:f>IFERROR(INDEX($L$2:$L$79,MATCH(12,$O$2:$O$79,0)),"")</x:f>
        <x:v>重要关系2</x:v>
      </x:c>
      <x:c r="T13" t="str">
        <x:f>IF('模组经历备忘录'!C19="","待命名模组",'模组经历备忘录'!C19)</x:f>
        <x:v>待命名模组</x:v>
      </x:c>
      <x:c r="W13" t="inlineStr">
        <x:is>
          <x:t>12</x:t>
        </x:is>
      </x:c>
      <x:c r="AK13">
        <x:f>IFERROR(MATCH(12,$F$2:$F$61,0),0)</x:f>
        <x:v>0</x:v>
      </x:c>
      <x:c r="AL13" t="str">
        <x:f>IF(AK13=0,"",INDEX($A$2:$A$61,AK13))</x:f>
        <x:v/>
      </x:c>
      <x:c r="AM13">
        <x:f>IF(AL13="",0,IFERROR(MATCH($AO$5&amp;"-成长-"&amp;AL13,$I$200:$I$1199,0),0))</x:f>
        <x:v>0</x:v>
      </x:c>
    </x:row>
    <x:row r="14">
      <x:c r="A14" t="str">
        <x:f>IF(TRIM('人物卡'!J26)="","","技能："&amp;SUBSTITUTE('人物卡'!D26,"：","")&amp;"（"&amp;TRIM('人物卡'!J26)&amp;"）")</x:f>
        <x:v/>
      </x:c>
      <x:c r="B14">
        <x:v>0</x:v>
      </x:c>
      <x:c r="C14">
        <x:f>'人物卡'!P26</x:f>
        <x:v>0</x:v>
      </x:c>
      <x:c r="D14" t="str">
        <x:f>'人物卡'!B26</x:f>
        <x:v>☐</x:v>
      </x:c>
      <x:c r="E14">
        <x:f>IF(AND(A14&lt;&gt;"",A14&lt;&gt;"技能：非自然知识",C14&gt;=1,OR(D14="√",D14="☑"),COUNTIFS($A$2:A14,A14,$D$2:D14,"√")+COUNTIFS($A$2:A14,A14,$D$2:D14,"☑")=1),1,0)</x:f>
        <x:v>0</x:v>
      </x:c>
      <x:c r="F14">
        <x:f>IF(E14=1,SUM($E$2:E14),0)</x:f>
        <x:v>0</x:v>
      </x:c>
      <x:c r="L14" t="inlineStr">
        <x:is>
          <x:t>重要关系3</x:t>
        </x:is>
      </x:c>
      <x:c r="M14">
        <x:f>N('人物卡'!ED30)</x:f>
        <x:v>0</x:v>
      </x:c>
      <x:c r="O14">
        <x:f>IF(L14="","",COUNTIF($L$2:L14,"?*"))</x:f>
        <x:v>13</x:v>
      </x:c>
      <x:c r="P14" t="str">
        <x:f>IFERROR(INDEX($L$2:$L$79,MATCH(13,$O$2:$O$79,0)),"")</x:f>
        <x:v>重要关系3</x:v>
      </x:c>
      <x:c r="T14" t="str">
        <x:f>IF('模组经历备忘录'!C20="","待命名模组",'模组经历备忘录'!C20)</x:f>
        <x:v>待命名模组</x:v>
      </x:c>
      <x:c r="W14" t="inlineStr">
        <x:is>
          <x:t>13</x:t>
        </x:is>
      </x:c>
      <x:c r="AK14">
        <x:f>IFERROR(MATCH(13,$F$2:$F$61,0),0)</x:f>
        <x:v>0</x:v>
      </x:c>
      <x:c r="AL14" t="str">
        <x:f>IF(AK14=0,"",INDEX($A$2:$A$61,AK14))</x:f>
        <x:v/>
      </x:c>
      <x:c r="AM14">
        <x:f>IF(AL14="",0,IFERROR(MATCH($AO$5&amp;"-成长-"&amp;AL14,$I$200:$I$1199,0),0))</x:f>
        <x:v>0</x:v>
      </x:c>
    </x:row>
    <x:row r="15">
      <x:c r="A15" t="str">
        <x:f>IF(TRIM('人物卡'!J27)="","","技能："&amp;SUBSTITUTE('人物卡'!D27,"：","")&amp;"（"&amp;TRIM('人物卡'!J27)&amp;"）")</x:f>
        <x:v/>
      </x:c>
      <x:c r="B15">
        <x:v>0</x:v>
      </x:c>
      <x:c r="C15">
        <x:f>'人物卡'!P27</x:f>
        <x:v>0</x:v>
      </x:c>
      <x:c r="D15" t="str">
        <x:f>'人物卡'!B27</x:f>
        <x:v>☐</x:v>
      </x:c>
      <x:c r="E15">
        <x:f>IF(AND(A15&lt;&gt;"",A15&lt;&gt;"技能：非自然知识",C15&gt;=1,OR(D15="√",D15="☑"),COUNTIFS($A$2:A15,A15,$D$2:D15,"√")+COUNTIFS($A$2:A15,A15,$D$2:D15,"☑")=1),1,0)</x:f>
        <x:v>0</x:v>
      </x:c>
      <x:c r="F15">
        <x:f>IF(E15=1,SUM($E$2:E15),0)</x:f>
        <x:v>0</x:v>
      </x:c>
      <x:c r="L15" t="inlineStr">
        <x:is>
          <x:t>重要关系4</x:t>
        </x:is>
      </x:c>
      <x:c r="M15">
        <x:f>N('人物卡'!ED33)</x:f>
        <x:v>0</x:v>
      </x:c>
      <x:c r="O15">
        <x:f>IF(L15="","",COUNTIF($L$2:L15,"?*"))</x:f>
        <x:v>14</x:v>
      </x:c>
      <x:c r="P15" t="str">
        <x:f>IFERROR(INDEX($L$2:$L$79,MATCH(14,$O$2:$O$79,0)),"")</x:f>
        <x:v>重要关系4</x:v>
      </x:c>
      <x:c r="T15" t="str">
        <x:f>IF('模组经历备忘录'!C21="","待命名模组",'模组经历备忘录'!C21)</x:f>
        <x:v>待命名模组</x:v>
      </x:c>
      <x:c r="W15" t="inlineStr">
        <x:is>
          <x:t>14</x:t>
        </x:is>
      </x:c>
      <x:c r="AK15">
        <x:f>IFERROR(MATCH(14,$F$2:$F$61,0),0)</x:f>
        <x:v>0</x:v>
      </x:c>
      <x:c r="AL15" t="str">
        <x:f>IF(AK15=0,"",INDEX($A$2:$A$61,AK15))</x:f>
        <x:v/>
      </x:c>
      <x:c r="AM15">
        <x:f>IF(AL15="",0,IFERROR(MATCH($AO$5&amp;"-成长-"&amp;AL15,$I$200:$I$1199,0),0))</x:f>
        <x:v>0</x:v>
      </x:c>
    </x:row>
    <x:row r="16">
      <x:c r="A16" t="str">
        <x:f>IF(TRIM('人物卡'!J28)="","","技能："&amp;SUBSTITUTE('人物卡'!D28,"：","")&amp;"（"&amp;TRIM('人物卡'!J28)&amp;"）")</x:f>
        <x:v/>
      </x:c>
      <x:c r="B16">
        <x:v>0</x:v>
      </x:c>
      <x:c r="C16">
        <x:f>'人物卡'!P28</x:f>
        <x:v>0</x:v>
      </x:c>
      <x:c r="D16" t="str">
        <x:f>'人物卡'!B28</x:f>
        <x:v>☐</x:v>
      </x:c>
      <x:c r="E16">
        <x:f>IF(AND(A16&lt;&gt;"",A16&lt;&gt;"技能：非自然知识",C16&gt;=1,OR(D16="√",D16="☑"),COUNTIFS($A$2:A16,A16,$D$2:D16,"√")+COUNTIFS($A$2:A16,A16,$D$2:D16,"☑")=1),1,0)</x:f>
        <x:v>0</x:v>
      </x:c>
      <x:c r="F16">
        <x:f>IF(E16=1,SUM($E$2:E16),0)</x:f>
        <x:v>0</x:v>
      </x:c>
      <x:c r="L16" t="inlineStr">
        <x:is>
          <x:t>重要关系5</x:t>
        </x:is>
      </x:c>
      <x:c r="M16">
        <x:f>N('人物卡'!ED36)</x:f>
        <x:v>0</x:v>
      </x:c>
      <x:c r="O16">
        <x:f>IF(L16="","",COUNTIF($L$2:L16,"?*"))</x:f>
        <x:v>15</x:v>
      </x:c>
      <x:c r="P16" t="str">
        <x:f>IFERROR(INDEX($L$2:$L$79,MATCH(15,$O$2:$O$79,0)),"")</x:f>
        <x:v>重要关系5</x:v>
      </x:c>
      <x:c r="T16" t="str">
        <x:f>IF('模组经历备忘录'!C22="","待命名模组",'模组经历备忘录'!C22)</x:f>
        <x:v>待命名模组</x:v>
      </x:c>
      <x:c r="W16" t="inlineStr">
        <x:is>
          <x:t>15</x:t>
        </x:is>
      </x:c>
      <x:c r="AK16">
        <x:f>IFERROR(MATCH(15,$F$2:$F$61,0),0)</x:f>
        <x:v>0</x:v>
      </x:c>
      <x:c r="AL16" t="str">
        <x:f>IF(AK16=0,"",INDEX($A$2:$A$61,AK16))</x:f>
        <x:v/>
      </x:c>
      <x:c r="AM16">
        <x:f>IF(AL16="",0,IFERROR(MATCH($AO$5&amp;"-成长-"&amp;AL16,$I$200:$I$1199,0),0))</x:f>
        <x:v>0</x:v>
      </x:c>
    </x:row>
    <x:row r="17">
      <x:c r="A17" t="str">
        <x:f>IF('人物卡'!D29="","","技能："&amp;'人物卡'!D29)</x:f>
        <x:v>技能：犯罪学</x:v>
      </x:c>
      <x:c r="B17">
        <x:v>0</x:v>
      </x:c>
      <x:c r="C17">
        <x:f>'人物卡'!P29</x:f>
        <x:v>10</x:v>
      </x:c>
      <x:c r="D17" t="str">
        <x:f>'人物卡'!B29</x:f>
        <x:v>☐</x:v>
      </x:c>
      <x:c r="E17">
        <x:f>IF(AND(A17&lt;&gt;"",A17&lt;&gt;"技能：非自然知识",C17&gt;=1,OR(D17="√",D17="☑"),COUNTIFS($A$2:A17,A17,$D$2:D17,"√")+COUNTIFS($A$2:A17,A17,$D$2:D17,"☑")=1),1,0)</x:f>
        <x:v>0</x:v>
      </x:c>
      <x:c r="F17">
        <x:f>IF(E17=1,SUM($E$2:E17),0)</x:f>
        <x:v>0</x:v>
      </x:c>
      <x:c r="L17" t="inlineStr">
        <x:is>
          <x:t>重要关系6</x:t>
        </x:is>
      </x:c>
      <x:c r="M17">
        <x:f>N('人物卡'!ED39)</x:f>
        <x:v>0</x:v>
      </x:c>
      <x:c r="O17">
        <x:f>IF(L17="","",COUNTIF($L$2:L17,"?*"))</x:f>
        <x:v>16</x:v>
      </x:c>
      <x:c r="P17" t="str">
        <x:f>IFERROR(INDEX($L$2:$L$79,MATCH(16,$O$2:$O$79,0)),"")</x:f>
        <x:v>重要关系6</x:v>
      </x:c>
      <x:c r="T17" t="str">
        <x:f>IF('模组经历备忘录'!C23="","待命名模组",'模组经历备忘录'!C23)</x:f>
        <x:v>待命名模组</x:v>
      </x:c>
      <x:c r="W17" t="inlineStr">
        <x:is>
          <x:t>16</x:t>
        </x:is>
      </x:c>
      <x:c r="AK17">
        <x:f>IFERROR(MATCH(16,$F$2:$F$61,0),0)</x:f>
        <x:v>0</x:v>
      </x:c>
      <x:c r="AL17" t="str">
        <x:f>IF(AK17=0,"",INDEX($A$2:$A$61,AK17))</x:f>
        <x:v/>
      </x:c>
      <x:c r="AM17">
        <x:f>IF(AL17="",0,IFERROR(MATCH($AO$5&amp;"-成长-"&amp;AL17,$I$200:$I$1199,0),0))</x:f>
        <x:v>0</x:v>
      </x:c>
    </x:row>
    <x:row r="18">
      <x:c r="A18" t="str">
        <x:f>IF('人物卡'!D30="","","技能："&amp;'人物卡'!D30)</x:f>
        <x:v>技能：爆破</x:v>
      </x:c>
      <x:c r="B18">
        <x:v>0</x:v>
      </x:c>
      <x:c r="C18">
        <x:f>'人物卡'!P30</x:f>
        <x:v>0</x:v>
      </x:c>
      <x:c r="D18" t="str">
        <x:f>'人物卡'!B30</x:f>
        <x:v>☐</x:v>
      </x:c>
      <x:c r="E18">
        <x:f>IF(AND(A18&lt;&gt;"",A18&lt;&gt;"技能：非自然知识",C18&gt;=1,OR(D18="√",D18="☑"),COUNTIFS($A$2:A18,A18,$D$2:D18,"√")+COUNTIFS($A$2:A18,A18,$D$2:D18,"☑")=1),1,0)</x:f>
        <x:v>0</x:v>
      </x:c>
      <x:c r="F18">
        <x:f>IF(E18=1,SUM($E$2:E18),0)</x:f>
        <x:v>0</x:v>
      </x:c>
      <x:c r="L18" t="inlineStr">
        <x:is>
          <x:t>重要关系7</x:t>
        </x:is>
      </x:c>
      <x:c r="M18">
        <x:f>N('人物卡'!ED42)</x:f>
        <x:v>0</x:v>
      </x:c>
      <x:c r="O18">
        <x:f>IF(L18="","",COUNTIF($L$2:L18,"?*"))</x:f>
        <x:v>17</x:v>
      </x:c>
      <x:c r="P18" t="str">
        <x:f>IFERROR(INDEX($L$2:$L$79,MATCH(17,$O$2:$O$79,0)),"")</x:f>
        <x:v>重要关系7</x:v>
      </x:c>
      <x:c r="T18" t="str">
        <x:f>IF('模组经历备忘录'!C24="","待命名模组",'模组经历备忘录'!C24)</x:f>
        <x:v>待命名模组</x:v>
      </x:c>
      <x:c r="W18" t="inlineStr">
        <x:is>
          <x:t>17</x:t>
        </x:is>
      </x:c>
      <x:c r="AK18">
        <x:f>IFERROR(MATCH(17,$F$2:$F$61,0),0)</x:f>
        <x:v>0</x:v>
      </x:c>
      <x:c r="AL18" t="str">
        <x:f>IF(AK18=0,"",INDEX($A$2:$A$61,AK18))</x:f>
        <x:v/>
      </x:c>
      <x:c r="AM18">
        <x:f>IF(AL18="",0,IFERROR(MATCH($AO$5&amp;"-成长-"&amp;AL18,$I$200:$I$1199,0),0))</x:f>
        <x:v>0</x:v>
      </x:c>
    </x:row>
    <x:row r="19">
      <x:c r="A19" t="str">
        <x:f>IF('人物卡'!D31="","","技能："&amp;'人物卡'!D31)</x:f>
        <x:v>技能：乔装</x:v>
      </x:c>
      <x:c r="B19">
        <x:v>0</x:v>
      </x:c>
      <x:c r="C19">
        <x:f>'人物卡'!P31</x:f>
        <x:v>10</x:v>
      </x:c>
      <x:c r="D19" t="str">
        <x:f>'人物卡'!B31</x:f>
        <x:v>☐</x:v>
      </x:c>
      <x:c r="E19">
        <x:f>IF(AND(A19&lt;&gt;"",A19&lt;&gt;"技能：非自然知识",C19&gt;=1,OR(D19="√",D19="☑"),COUNTIFS($A$2:A19,A19,$D$2:D19,"√")+COUNTIFS($A$2:A19,A19,$D$2:D19,"☑")=1),1,0)</x:f>
        <x:v>0</x:v>
      </x:c>
      <x:c r="F19">
        <x:f>IF(E19=1,SUM($E$2:E19),0)</x:f>
        <x:v>0</x:v>
      </x:c>
      <x:c r="L19" t="inlineStr">
        <x:is>
          <x:t>无数值变化</x:t>
        </x:is>
      </x:c>
      <x:c r="M19">
        <x:v>0</x:v>
      </x:c>
      <x:c r="O19">
        <x:f>IF(L19="","",COUNTIF($L$2:L19,"?*"))</x:f>
        <x:v>18</x:v>
      </x:c>
      <x:c r="P19" t="str">
        <x:f>IFERROR(INDEX($L$2:$L$79,MATCH(18,$O$2:$O$79,0)),"")</x:f>
        <x:v>无数值变化</x:v>
      </x:c>
      <x:c r="T19" t="str">
        <x:f>IF('模组经历备忘录'!C25="","待命名模组",'模组经历备忘录'!C25)</x:f>
        <x:v>待命名模组</x:v>
      </x:c>
      <x:c r="W19" t="inlineStr">
        <x:is>
          <x:t>18</x:t>
        </x:is>
      </x:c>
      <x:c r="AK19">
        <x:f>IFERROR(MATCH(18,$F$2:$F$61,0),0)</x:f>
        <x:v>0</x:v>
      </x:c>
      <x:c r="AL19" t="str">
        <x:f>IF(AK19=0,"",INDEX($A$2:$A$61,AK19))</x:f>
        <x:v/>
      </x:c>
      <x:c r="AM19">
        <x:f>IF(AL19="",0,IFERROR(MATCH($AO$5&amp;"-成长-"&amp;AL19,$I$200:$I$1199,0),0))</x:f>
        <x:v>0</x:v>
      </x:c>
    </x:row>
    <x:row r="20">
      <x:c r="A20" t="str">
        <x:f>IF('人物卡'!D32="","","技能："&amp;'人物卡'!D32)</x:f>
        <x:v>技能：闪避</x:v>
      </x:c>
      <x:c r="B20">
        <x:v>0</x:v>
      </x:c>
      <x:c r="C20">
        <x:f>'人物卡'!P32</x:f>
        <x:v>30</x:v>
      </x:c>
      <x:c r="D20" t="str">
        <x:f>'人物卡'!B32</x:f>
        <x:v>☐</x:v>
      </x:c>
      <x:c r="E20">
        <x:f>IF(AND(A20&lt;&gt;"",A20&lt;&gt;"技能：非自然知识",C20&gt;=1,OR(D20="√",D20="☑"),COUNTIFS($A$2:A20,A20,$D$2:D20,"√")+COUNTIFS($A$2:A20,A20,$D$2:D20,"☑")=1),1,0)</x:f>
        <x:v>0</x:v>
      </x:c>
      <x:c r="F20">
        <x:f>IF(E20=1,SUM($E$2:E20),0)</x:f>
        <x:v>0</x:v>
      </x:c>
      <x:c r="L20" t="str">
        <x:f>A2</x:f>
        <x:v>技能：会计学</x:v>
      </x:c>
      <x:c r="M20">
        <x:f>C2</x:f>
        <x:v>10</x:v>
      </x:c>
      <x:c r="O20">
        <x:f>IF(L20="","",COUNTIF($L$2:L20,"?*"))</x:f>
        <x:v>19</x:v>
      </x:c>
      <x:c r="P20" t="str">
        <x:f>IFERROR(INDEX($L$2:$L$79,MATCH(19,$O$2:$O$79,0)),"")</x:f>
        <x:v>技能：会计学</x:v>
      </x:c>
      <x:c r="T20" t="str">
        <x:f>IF('模组经历备忘录'!C26="","待命名模组",'模组经历备忘录'!C26)</x:f>
        <x:v>待命名模组</x:v>
      </x:c>
      <x:c r="W20" t="inlineStr">
        <x:is>
          <x:t>19</x:t>
        </x:is>
      </x:c>
      <x:c r="AK20">
        <x:f>IFERROR(MATCH(19,$F$2:$F$61,0),0)</x:f>
        <x:v>0</x:v>
      </x:c>
      <x:c r="AL20" t="str">
        <x:f>IF(AK20=0,"",INDEX($A$2:$A$61,AK20))</x:f>
        <x:v/>
      </x:c>
      <x:c r="AM20">
        <x:f>IF(AL20="",0,IFERROR(MATCH($AO$5&amp;"-成长-"&amp;AL20,$I$200:$I$1199,0),0))</x:f>
        <x:v>0</x:v>
      </x:c>
    </x:row>
    <x:row r="21">
      <x:c r="A21" t="str">
        <x:f>IF('人物卡'!D33="","","技能："&amp;'人物卡'!D33)</x:f>
        <x:v>技能：机动车驾驶</x:v>
      </x:c>
      <x:c r="B21">
        <x:v>0</x:v>
      </x:c>
      <x:c r="C21">
        <x:f>'人物卡'!P33</x:f>
        <x:v>20</x:v>
      </x:c>
      <x:c r="D21" t="str">
        <x:f>'人物卡'!B33</x:f>
        <x:v>☐</x:v>
      </x:c>
      <x:c r="E21">
        <x:f>IF(AND(A21&lt;&gt;"",A21&lt;&gt;"技能：非自然知识",C21&gt;=1,OR(D21="√",D21="☑"),COUNTIFS($A$2:A21,A21,$D$2:D21,"√")+COUNTIFS($A$2:A21,A21,$D$2:D21,"☑")=1),1,0)</x:f>
        <x:v>0</x:v>
      </x:c>
      <x:c r="F21">
        <x:f>IF(E21=1,SUM($E$2:E21),0)</x:f>
        <x:v>0</x:v>
      </x:c>
      <x:c r="L21" t="str">
        <x:f>A3</x:f>
        <x:v>技能：警觉</x:v>
      </x:c>
      <x:c r="M21">
        <x:f>C3</x:f>
        <x:v>20</x:v>
      </x:c>
      <x:c r="O21">
        <x:f>IF(L21="","",COUNTIF($L$2:L21,"?*"))</x:f>
        <x:v>20</x:v>
      </x:c>
      <x:c r="P21" t="str">
        <x:f>IFERROR(INDEX($L$2:$L$79,MATCH(20,$O$2:$O$79,0)),"")</x:f>
        <x:v>技能：警觉</x:v>
      </x:c>
      <x:c r="T21" t="str">
        <x:f>IF('模组经历备忘录'!C27="","待命名模组",'模组经历备忘录'!C27)</x:f>
        <x:v>待命名模组</x:v>
      </x:c>
      <x:c r="W21" t="inlineStr">
        <x:is>
          <x:t>20</x:t>
        </x:is>
      </x:c>
      <x:c r="AK21">
        <x:f>IFERROR(MATCH(20,$F$2:$F$61,0),0)</x:f>
        <x:v>0</x:v>
      </x:c>
      <x:c r="AL21" t="str">
        <x:f>IF(AK21=0,"",INDEX($A$2:$A$61,AK21))</x:f>
        <x:v/>
      </x:c>
      <x:c r="AM21">
        <x:f>IF(AL21="",0,IFERROR(MATCH($AO$5&amp;"-成长-"&amp;AL21,$I$200:$I$1199,0),0))</x:f>
        <x:v>0</x:v>
      </x:c>
    </x:row>
    <x:row r="22">
      <x:c r="A22" t="str">
        <x:f>IF('人物卡'!D34="","","技能："&amp;'人物卡'!D34)</x:f>
        <x:v>技能：射击</x:v>
      </x:c>
      <x:c r="B22">
        <x:v>0</x:v>
      </x:c>
      <x:c r="C22">
        <x:f>'人物卡'!P34</x:f>
        <x:v>20</x:v>
      </x:c>
      <x:c r="D22" t="str">
        <x:f>'人物卡'!B34</x:f>
        <x:v>☐</x:v>
      </x:c>
      <x:c r="E22">
        <x:f>IF(AND(A22&lt;&gt;"",A22&lt;&gt;"技能：非自然知识",C22&gt;=1,OR(D22="√",D22="☑"),COUNTIFS($A$2:A22,A22,$D$2:D22,"√")+COUNTIFS($A$2:A22,A22,$D$2:D22,"☑")=1),1,0)</x:f>
        <x:v>0</x:v>
      </x:c>
      <x:c r="F22">
        <x:f>IF(E22=1,SUM($E$2:E22),0)</x:f>
        <x:v>0</x:v>
      </x:c>
      <x:c r="L22" t="str">
        <x:f>A4</x:f>
        <x:v>技能：人类学</x:v>
      </x:c>
      <x:c r="M22">
        <x:f>C4</x:f>
        <x:v>0</x:v>
      </x:c>
      <x:c r="O22">
        <x:f>IF(L22="","",COUNTIF($L$2:L22,"?*"))</x:f>
        <x:v>21</x:v>
      </x:c>
      <x:c r="P22" t="str">
        <x:f>IFERROR(INDEX($L$2:$L$79,MATCH(21,$O$2:$O$79,0)),"")</x:f>
        <x:v>技能：人类学</x:v>
      </x:c>
      <x:c r="AK22">
        <x:f>IFERROR(MATCH(21,$F$2:$F$61,0),0)</x:f>
        <x:v>0</x:v>
      </x:c>
      <x:c r="AL22" t="str">
        <x:f>IF(AK22=0,"",INDEX($A$2:$A$61,AK22))</x:f>
        <x:v/>
      </x:c>
      <x:c r="AM22">
        <x:f>IF(AL22="",0,IFERROR(MATCH($AO$5&amp;"-成长-"&amp;AL22,$I$200:$I$1199,0),0))</x:f>
        <x:v>0</x:v>
      </x:c>
    </x:row>
    <x:row r="23">
      <x:c r="A23" t="str">
        <x:f>IF('人物卡'!D35="","","技能："&amp;'人物卡'!D35)</x:f>
        <x:v>技能：急救</x:v>
      </x:c>
      <x:c r="B23">
        <x:v>0</x:v>
      </x:c>
      <x:c r="C23">
        <x:f>'人物卡'!P35</x:f>
        <x:v>10</x:v>
      </x:c>
      <x:c r="D23" t="str">
        <x:f>'人物卡'!B35</x:f>
        <x:v>☐</x:v>
      </x:c>
      <x:c r="E23">
        <x:f>IF(AND(A23&lt;&gt;"",A23&lt;&gt;"技能：非自然知识",C23&gt;=1,OR(D23="√",D23="☑"),COUNTIFS($A$2:A23,A23,$D$2:D23,"√")+COUNTIFS($A$2:A23,A23,$D$2:D23,"☑")=1),1,0)</x:f>
        <x:v>0</x:v>
      </x:c>
      <x:c r="F23">
        <x:f>IF(E23=1,SUM($E$2:E23),0)</x:f>
        <x:v>0</x:v>
      </x:c>
      <x:c r="L23" t="str">
        <x:f>A5</x:f>
        <x:v>技能：考古学</x:v>
      </x:c>
      <x:c r="M23">
        <x:f>C5</x:f>
        <x:v>0</x:v>
      </x:c>
      <x:c r="O23">
        <x:f>IF(L23="","",COUNTIF($L$2:L23,"?*"))</x:f>
        <x:v>22</x:v>
      </x:c>
      <x:c r="P23" t="str">
        <x:f>IFERROR(INDEX($L$2:$L$79,MATCH(22,$O$2:$O$79,0)),"")</x:f>
        <x:v>技能：考古学</x:v>
      </x:c>
      <x:c r="AK23">
        <x:f>IFERROR(MATCH(22,$F$2:$F$61,0),0)</x:f>
        <x:v>0</x:v>
      </x:c>
      <x:c r="AL23" t="str">
        <x:f>IF(AK23=0,"",INDEX($A$2:$A$61,AK23))</x:f>
        <x:v/>
      </x:c>
      <x:c r="AM23">
        <x:f>IF(AL23="",0,IFERROR(MATCH($AO$5&amp;"-成长-"&amp;AL23,$I$200:$I$1199,0),0))</x:f>
        <x:v>0</x:v>
      </x:c>
    </x:row>
    <x:row r="24">
      <x:c r="A24" t="str">
        <x:f>IF(TRIM('人物卡'!J36)="","","技能："&amp;SUBSTITUTE('人物卡'!D36,"：","")&amp;"（"&amp;TRIM('人物卡'!J36)&amp;"）")</x:f>
        <x:v/>
      </x:c>
      <x:c r="B24">
        <x:v>0</x:v>
      </x:c>
      <x:c r="C24">
        <x:f>'人物卡'!P36</x:f>
        <x:v>0</x:v>
      </x:c>
      <x:c r="D24" t="str">
        <x:f>'人物卡'!B36</x:f>
        <x:v>☐</x:v>
      </x:c>
      <x:c r="E24">
        <x:f>IF(AND(A24&lt;&gt;"",A24&lt;&gt;"技能：非自然知识",C24&gt;=1,OR(D24="√",D24="☑"),COUNTIFS($A$2:A24,A24,$D$2:D24,"√")+COUNTIFS($A$2:A24,A24,$D$2:D24,"☑")=1),1,0)</x:f>
        <x:v>0</x:v>
      </x:c>
      <x:c r="F24">
        <x:f>IF(E24=1,SUM($E$2:E24),0)</x:f>
        <x:v>0</x:v>
      </x:c>
      <x:c r="L24" t="str">
        <x:f>A6</x:f>
        <x:v/>
      </x:c>
      <x:c r="M24">
        <x:f>C6</x:f>
        <x:v>0</x:v>
      </x:c>
      <x:c r="O24" t="str">
        <x:f>IF(L24="","",COUNTIF($L$2:L24,"?*"))</x:f>
        <x:v/>
      </x:c>
      <x:c r="P24" t="str">
        <x:f>IFERROR(INDEX($L$2:$L$79,MATCH(23,$O$2:$O$79,0)),"")</x:f>
        <x:v>技能：炮术</x:v>
      </x:c>
      <x:c r="AK24">
        <x:f>IFERROR(MATCH(23,$F$2:$F$61,0),0)</x:f>
        <x:v>0</x:v>
      </x:c>
      <x:c r="AL24" t="str">
        <x:f>IF(AK24=0,"",INDEX($A$2:$A$61,AK24))</x:f>
        <x:v/>
      </x:c>
      <x:c r="AM24">
        <x:f>IF(AL24="",0,IFERROR(MATCH($AO$5&amp;"-成长-"&amp;AL24,$I$200:$I$1199,0),0))</x:f>
        <x:v>0</x:v>
      </x:c>
    </x:row>
    <x:row r="25">
      <x:c r="A25" t="str">
        <x:f>IF(TRIM('人物卡'!J37)="","","技能："&amp;SUBSTITUTE('人物卡'!D37,"：","")&amp;"（"&amp;TRIM('人物卡'!J37)&amp;"）")</x:f>
        <x:v/>
      </x:c>
      <x:c r="B25">
        <x:v>0</x:v>
      </x:c>
      <x:c r="C25">
        <x:f>'人物卡'!P37</x:f>
        <x:v>0</x:v>
      </x:c>
      <x:c r="D25" t="str">
        <x:f>'人物卡'!B37</x:f>
        <x:v>☐</x:v>
      </x:c>
      <x:c r="E25">
        <x:f>IF(AND(A25&lt;&gt;"",A25&lt;&gt;"技能：非自然知识",C25&gt;=1,OR(D25="√",D25="☑"),COUNTIFS($A$2:A25,A25,$D$2:D25,"√")+COUNTIFS($A$2:A25,A25,$D$2:D25,"☑")=1),1,0)</x:f>
        <x:v>0</x:v>
      </x:c>
      <x:c r="F25">
        <x:f>IF(E25=1,SUM($E$2:E25),0)</x:f>
        <x:v>0</x:v>
      </x:c>
      <x:c r="L25" t="str">
        <x:f>A7</x:f>
        <x:v/>
      </x:c>
      <x:c r="M25">
        <x:f>C7</x:f>
        <x:v>0</x:v>
      </x:c>
      <x:c r="O25" t="str">
        <x:f>IF(L25="","",COUNTIF($L$2:L25,"?*"))</x:f>
        <x:v/>
      </x:c>
      <x:c r="P25" t="str">
        <x:f>IFERROR(INDEX($L$2:$L$79,MATCH(24,$O$2:$O$79,0)),"")</x:f>
        <x:v>技能：运动</x:v>
      </x:c>
      <x:c r="AK25">
        <x:f>IFERROR(MATCH(24,$F$2:$F$61,0),0)</x:f>
        <x:v>0</x:v>
      </x:c>
      <x:c r="AL25" t="str">
        <x:f>IF(AK25=0,"",INDEX($A$2:$A$61,AK25))</x:f>
        <x:v/>
      </x:c>
      <x:c r="AM25">
        <x:f>IF(AL25="",0,IFERROR(MATCH($AO$5&amp;"-成长-"&amp;AL25,$I$200:$I$1199,0),0))</x:f>
        <x:v>0</x:v>
      </x:c>
    </x:row>
    <x:row r="26">
      <x:c r="A26" t="str">
        <x:f>IF(TRIM('人物卡'!J38)="","","技能："&amp;SUBSTITUTE('人物卡'!D38,"：","")&amp;"（"&amp;TRIM('人物卡'!J38)&amp;"）")</x:f>
        <x:v/>
      </x:c>
      <x:c r="B26">
        <x:v>0</x:v>
      </x:c>
      <x:c r="C26">
        <x:f>'人物卡'!P38</x:f>
        <x:v>0</x:v>
      </x:c>
      <x:c r="D26" t="str">
        <x:f>'人物卡'!B38</x:f>
        <x:v>☐</x:v>
      </x:c>
      <x:c r="E26">
        <x:f>IF(AND(A26&lt;&gt;"",A26&lt;&gt;"技能：非自然知识",C26&gt;=1,OR(D26="√",D26="☑"),COUNTIFS($A$2:A26,A26,$D$2:D26,"√")+COUNTIFS($A$2:A26,A26,$D$2:D26,"☑")=1),1,0)</x:f>
        <x:v>0</x:v>
      </x:c>
      <x:c r="F26">
        <x:f>IF(E26=1,SUM($E$2:E26),0)</x:f>
        <x:v>0</x:v>
      </x:c>
      <x:c r="L26" t="str">
        <x:f>A8</x:f>
        <x:v/>
      </x:c>
      <x:c r="M26">
        <x:f>C8</x:f>
        <x:v>0</x:v>
      </x:c>
      <x:c r="O26" t="str">
        <x:f>IF(L26="","",COUNTIF($L$2:L26,"?*"))</x:f>
        <x:v/>
      </x:c>
      <x:c r="P26" t="str">
        <x:f>IFERROR(INDEX($L$2:$L$79,MATCH(25,$O$2:$O$79,0)),"")</x:f>
        <x:v>技能：行政</x:v>
      </x:c>
      <x:c r="AK26">
        <x:f>IFERROR(MATCH(25,$F$2:$F$61,0),0)</x:f>
        <x:v>0</x:v>
      </x:c>
      <x:c r="AL26" t="str">
        <x:f>IF(AK26=0,"",INDEX($A$2:$A$61,AK26))</x:f>
        <x:v/>
      </x:c>
      <x:c r="AM26">
        <x:f>IF(AL26="",0,IFERROR(MATCH($AO$5&amp;"-成长-"&amp;AL26,$I$200:$I$1199,0),0))</x:f>
        <x:v>0</x:v>
      </x:c>
    </x:row>
    <x:row r="27">
      <x:c r="A27" t="str">
        <x:f>IF('人物卡'!D39="","","技能："&amp;'人物卡'!D39)</x:f>
        <x:v>技能：法证学</x:v>
      </x:c>
      <x:c r="B27">
        <x:v>0</x:v>
      </x:c>
      <x:c r="C27">
        <x:f>'人物卡'!P39</x:f>
        <x:v>0</x:v>
      </x:c>
      <x:c r="D27" t="str">
        <x:f>'人物卡'!B39</x:f>
        <x:v>☐</x:v>
      </x:c>
      <x:c r="E27">
        <x:f>IF(AND(A27&lt;&gt;"",A27&lt;&gt;"技能：非自然知识",C27&gt;=1,OR(D27="√",D27="☑"),COUNTIFS($A$2:A27,A27,$D$2:D27,"√")+COUNTIFS($A$2:A27,A27,$D$2:D27,"☑")=1),1,0)</x:f>
        <x:v>0</x:v>
      </x:c>
      <x:c r="F27">
        <x:f>IF(E27=1,SUM($E$2:E27),0)</x:f>
        <x:v>0</x:v>
      </x:c>
      <x:c r="L27" t="str">
        <x:f>A9</x:f>
        <x:v>技能：炮术</x:v>
      </x:c>
      <x:c r="M27">
        <x:f>C9</x:f>
        <x:v>0</x:v>
      </x:c>
      <x:c r="O27">
        <x:f>IF(L27="","",COUNTIF($L$2:L27,"?*"))</x:f>
        <x:v>23</x:v>
      </x:c>
      <x:c r="P27" t="str">
        <x:f>IFERROR(INDEX($L$2:$L$79,MATCH(26,$O$2:$O$79,0)),"")</x:f>
        <x:v>技能：计算机科学</x:v>
      </x:c>
      <x:c r="AK27">
        <x:f>IFERROR(MATCH(26,$F$2:$F$61,0),0)</x:f>
        <x:v>0</x:v>
      </x:c>
      <x:c r="AL27" t="str">
        <x:f>IF(AK27=0,"",INDEX($A$2:$A$61,AK27))</x:f>
        <x:v/>
      </x:c>
      <x:c r="AM27">
        <x:f>IF(AL27="",0,IFERROR(MATCH($AO$5&amp;"-成长-"&amp;AL27,$I$200:$I$1199,0),0))</x:f>
        <x:v>0</x:v>
      </x:c>
    </x:row>
    <x:row r="28">
      <x:c r="A28" t="str">
        <x:f>IF('人物卡'!D40="","","技能："&amp;'人物卡'!D40)</x:f>
        <x:v>技能：重型机械</x:v>
      </x:c>
      <x:c r="B28">
        <x:v>0</x:v>
      </x:c>
      <x:c r="C28">
        <x:f>'人物卡'!P40</x:f>
        <x:v>10</x:v>
      </x:c>
      <x:c r="D28" t="str">
        <x:f>'人物卡'!B40</x:f>
        <x:v>☐</x:v>
      </x:c>
      <x:c r="E28">
        <x:f>IF(AND(A28&lt;&gt;"",A28&lt;&gt;"技能：非自然知识",C28&gt;=1,OR(D28="√",D28="☑"),COUNTIFS($A$2:A28,A28,$D$2:D28,"√")+COUNTIFS($A$2:A28,A28,$D$2:D28,"☑")=1),1,0)</x:f>
        <x:v>0</x:v>
      </x:c>
      <x:c r="F28">
        <x:f>IF(E28=1,SUM($E$2:E28),0)</x:f>
        <x:v>0</x:v>
      </x:c>
      <x:c r="L28" t="str">
        <x:f>A10</x:f>
        <x:v>技能：运动</x:v>
      </x:c>
      <x:c r="M28">
        <x:f>C10</x:f>
        <x:v>30</x:v>
      </x:c>
      <x:c r="O28">
        <x:f>IF(L28="","",COUNTIF($L$2:L28,"?*"))</x:f>
        <x:v>24</x:v>
      </x:c>
      <x:c r="P28" t="str">
        <x:f>IFERROR(INDEX($L$2:$L$79,MATCH(27,$O$2:$O$79,0)),"")</x:f>
        <x:v>技能：犯罪学</x:v>
      </x:c>
      <x:c r="AK28">
        <x:f>IFERROR(MATCH(27,$F$2:$F$61,0),0)</x:f>
        <x:v>0</x:v>
      </x:c>
      <x:c r="AL28" t="str">
        <x:f>IF(AK28=0,"",INDEX($A$2:$A$61,AK28))</x:f>
        <x:v/>
      </x:c>
      <x:c r="AM28">
        <x:f>IF(AL28="",0,IFERROR(MATCH($AO$5&amp;"-成长-"&amp;AL28,$I$200:$I$1199,0),0))</x:f>
        <x:v>0</x:v>
      </x:c>
    </x:row>
    <x:row r="29">
      <x:c r="A29" t="str">
        <x:f>IF('人物卡'!D41="","","技能："&amp;'人物卡'!D41)</x:f>
        <x:v>技能：重型武器</x:v>
      </x:c>
      <x:c r="B29">
        <x:v>0</x:v>
      </x:c>
      <x:c r="C29">
        <x:f>'人物卡'!P41</x:f>
        <x:v>0</x:v>
      </x:c>
      <x:c r="D29" t="str">
        <x:f>'人物卡'!B41</x:f>
        <x:v>☐</x:v>
      </x:c>
      <x:c r="E29">
        <x:f>IF(AND(A29&lt;&gt;"",A29&lt;&gt;"技能：非自然知识",C29&gt;=1,OR(D29="√",D29="☑"),COUNTIFS($A$2:A29,A29,$D$2:D29,"√")+COUNTIFS($A$2:A29,A29,$D$2:D29,"☑")=1),1,0)</x:f>
        <x:v>0</x:v>
      </x:c>
      <x:c r="F29">
        <x:f>IF(E29=1,SUM($E$2:E29),0)</x:f>
        <x:v>0</x:v>
      </x:c>
      <x:c r="L29" t="str">
        <x:f>A11</x:f>
        <x:v>技能：行政</x:v>
      </x:c>
      <x:c r="M29">
        <x:f>C11</x:f>
        <x:v>10</x:v>
      </x:c>
      <x:c r="O29">
        <x:f>IF(L29="","",COUNTIF($L$2:L29,"?*"))</x:f>
        <x:v>25</x:v>
      </x:c>
      <x:c r="P29" t="str">
        <x:f>IFERROR(INDEX($L$2:$L$79,MATCH(28,$O$2:$O$79,0)),"")</x:f>
        <x:v>技能：爆破</x:v>
      </x:c>
      <x:c r="AK29">
        <x:f>IFERROR(MATCH(28,$F$2:$F$61,0),0)</x:f>
        <x:v>0</x:v>
      </x:c>
      <x:c r="AL29" t="str">
        <x:f>IF(AK29=0,"",INDEX($A$2:$A$61,AK29))</x:f>
        <x:v/>
      </x:c>
      <x:c r="AM29">
        <x:f>IF(AL29="",0,IFERROR(MATCH($AO$5&amp;"-成长-"&amp;AL29,$I$200:$I$1199,0),0))</x:f>
        <x:v>0</x:v>
      </x:c>
    </x:row>
    <x:row r="30">
      <x:c r="A30" t="str">
        <x:f>IF('人物卡'!D42="","","技能："&amp;'人物卡'!D42)</x:f>
        <x:v>技能：历史</x:v>
      </x:c>
      <x:c r="B30">
        <x:v>0</x:v>
      </x:c>
      <x:c r="C30">
        <x:f>'人物卡'!P42</x:f>
        <x:v>10</x:v>
      </x:c>
      <x:c r="D30" t="str">
        <x:f>'人物卡'!B42</x:f>
        <x:v>☐</x:v>
      </x:c>
      <x:c r="E30">
        <x:f>IF(AND(A30&lt;&gt;"",A30&lt;&gt;"技能：非自然知识",C30&gt;=1,OR(D30="√",D30="☑"),COUNTIFS($A$2:A30,A30,$D$2:D30,"√")+COUNTIFS($A$2:A30,A30,$D$2:D30,"☑")=1),1,0)</x:f>
        <x:v>0</x:v>
      </x:c>
      <x:c r="F30">
        <x:f>IF(E30=1,SUM($E$2:E30),0)</x:f>
        <x:v>0</x:v>
      </x:c>
      <x:c r="L30" t="str">
        <x:f>A12</x:f>
        <x:v>技能：计算机科学</x:v>
      </x:c>
      <x:c r="M30">
        <x:f>C12</x:f>
        <x:v>0</x:v>
      </x:c>
      <x:c r="O30">
        <x:f>IF(L30="","",COUNTIF($L$2:L30,"?*"))</x:f>
        <x:v>26</x:v>
      </x:c>
      <x:c r="P30" t="str">
        <x:f>IFERROR(INDEX($L$2:$L$79,MATCH(29,$O$2:$O$79,0)),"")</x:f>
        <x:v>技能：乔装</x:v>
      </x:c>
      <x:c r="AK30">
        <x:f>IFERROR(MATCH(29,$F$2:$F$61,0),0)</x:f>
        <x:v>0</x:v>
      </x:c>
      <x:c r="AL30" t="str">
        <x:f>IF(AK30=0,"",INDEX($A$2:$A$61,AK30))</x:f>
        <x:v/>
      </x:c>
      <x:c r="AM30">
        <x:f>IF(AL30="",0,IFERROR(MATCH($AO$5&amp;"-成长-"&amp;AL30,$I$200:$I$1199,0),0))</x:f>
        <x:v>0</x:v>
      </x:c>
    </x:row>
    <x:row r="31">
      <x:c r="A31" t="str">
        <x:f>IF('人物卡'!D43="","","技能："&amp;'人物卡'!D43)</x:f>
        <x:v>技能：人源情报</x:v>
      </x:c>
      <x:c r="B31">
        <x:v>0</x:v>
      </x:c>
      <x:c r="C31">
        <x:f>'人物卡'!P43</x:f>
        <x:v>10</x:v>
      </x:c>
      <x:c r="D31" t="str">
        <x:f>'人物卡'!B43</x:f>
        <x:v>☐</x:v>
      </x:c>
      <x:c r="E31">
        <x:f>IF(AND(A31&lt;&gt;"",A31&lt;&gt;"技能：非自然知识",C31&gt;=1,OR(D31="√",D31="☑"),COUNTIFS($A$2:A31,A31,$D$2:D31,"√")+COUNTIFS($A$2:A31,A31,$D$2:D31,"☑")=1),1,0)</x:f>
        <x:v>0</x:v>
      </x:c>
      <x:c r="F31">
        <x:f>IF(E31=1,SUM($E$2:E31),0)</x:f>
        <x:v>0</x:v>
      </x:c>
      <x:c r="L31" t="str">
        <x:f>A13</x:f>
        <x:v/>
      </x:c>
      <x:c r="M31">
        <x:f>C13</x:f>
        <x:v>0</x:v>
      </x:c>
      <x:c r="O31" t="str">
        <x:f>IF(L31="","",COUNTIF($L$2:L31,"?*"))</x:f>
        <x:v/>
      </x:c>
      <x:c r="P31" t="str">
        <x:f>IFERROR(INDEX($L$2:$L$79,MATCH(30,$O$2:$O$79,0)),"")</x:f>
        <x:v>技能：闪避</x:v>
      </x:c>
      <x:c r="AK31">
        <x:f>IFERROR(MATCH(30,$F$2:$F$61,0),0)</x:f>
        <x:v>0</x:v>
      </x:c>
      <x:c r="AL31" t="str">
        <x:f>IF(AK31=0,"",INDEX($A$2:$A$61,AK31))</x:f>
        <x:v/>
      </x:c>
      <x:c r="AM31">
        <x:f>IF(AL31="",0,IFERROR(MATCH($AO$5&amp;"-成长-"&amp;AL31,$I$200:$I$1199,0),0))</x:f>
        <x:v>0</x:v>
      </x:c>
    </x:row>
    <x:row r="32">
      <x:c r="A32" t="str">
        <x:f>IF('人物卡'!AG14="","","技能："&amp;'人物卡'!AG14)</x:f>
        <x:v>技能：法律</x:v>
      </x:c>
      <x:c r="B32">
        <x:v>0</x:v>
      </x:c>
      <x:c r="C32">
        <x:f>'人物卡'!AS14</x:f>
        <x:v>0</x:v>
      </x:c>
      <x:c r="D32" t="str">
        <x:f>'人物卡'!AE14</x:f>
        <x:v>☐</x:v>
      </x:c>
      <x:c r="E32">
        <x:f>IF(AND(A32&lt;&gt;"",A32&lt;&gt;"技能：非自然知识",C32&gt;=1,OR(D32="√",D32="☑"),COUNTIFS($A$2:A32,A32,$D$2:D32,"√")+COUNTIFS($A$2:A32,A32,$D$2:D32,"☑")=1),1,0)</x:f>
        <x:v>0</x:v>
      </x:c>
      <x:c r="F32">
        <x:f>IF(E32=1,SUM($E$2:E32),0)</x:f>
        <x:v>0</x:v>
      </x:c>
      <x:c r="L32" t="str">
        <x:f>A14</x:f>
        <x:v/>
      </x:c>
      <x:c r="M32">
        <x:f>C14</x:f>
        <x:v>0</x:v>
      </x:c>
      <x:c r="O32" t="str">
        <x:f>IF(L32="","",COUNTIF($L$2:L32,"?*"))</x:f>
        <x:v/>
      </x:c>
      <x:c r="P32" t="str">
        <x:f>IFERROR(INDEX($L$2:$L$79,MATCH(31,$O$2:$O$79,0)),"")</x:f>
        <x:v>技能：机动车驾驶</x:v>
      </x:c>
      <x:c r="AK32">
        <x:f>IFERROR(MATCH(31,$F$2:$F$61,0),0)</x:f>
        <x:v>0</x:v>
      </x:c>
      <x:c r="AL32" t="str">
        <x:f>IF(AK32=0,"",INDEX($A$2:$A$61,AK32))</x:f>
        <x:v/>
      </x:c>
      <x:c r="AM32">
        <x:f>IF(AL32="",0,IFERROR(MATCH($AO$5&amp;"-成长-"&amp;AL32,$I$200:$I$1199,0),0))</x:f>
        <x:v>0</x:v>
      </x:c>
    </x:row>
    <x:row r="33">
      <x:c r="A33" t="str">
        <x:f>IF('人物卡'!AG15="","","技能："&amp;'人物卡'!AG15)</x:f>
        <x:v>技能：医学</x:v>
      </x:c>
      <x:c r="B33">
        <x:v>0</x:v>
      </x:c>
      <x:c r="C33">
        <x:f>'人物卡'!AS15</x:f>
        <x:v>0</x:v>
      </x:c>
      <x:c r="D33" t="str">
        <x:f>'人物卡'!AE15</x:f>
        <x:v>☐</x:v>
      </x:c>
      <x:c r="E33">
        <x:f>IF(AND(A33&lt;&gt;"",A33&lt;&gt;"技能：非自然知识",C33&gt;=1,OR(D33="√",D33="☑"),COUNTIFS($A$2:A33,A33,$D$2:D33,"√")+COUNTIFS($A$2:A33,A33,$D$2:D33,"☑")=1),1,0)</x:f>
        <x:v>0</x:v>
      </x:c>
      <x:c r="F33">
        <x:f>IF(E33=1,SUM($E$2:E33),0)</x:f>
        <x:v>0</x:v>
      </x:c>
      <x:c r="L33" t="str">
        <x:f>A15</x:f>
        <x:v/>
      </x:c>
      <x:c r="M33">
        <x:f>C15</x:f>
        <x:v>0</x:v>
      </x:c>
      <x:c r="O33" t="str">
        <x:f>IF(L33="","",COUNTIF($L$2:L33,"?*"))</x:f>
        <x:v/>
      </x:c>
      <x:c r="P33" t="str">
        <x:f>IFERROR(INDEX($L$2:$L$79,MATCH(32,$O$2:$O$79,0)),"")</x:f>
        <x:v>技能：射击</x:v>
      </x:c>
      <x:c r="AK33">
        <x:f>IFERROR(MATCH(32,$F$2:$F$61,0),0)</x:f>
        <x:v>0</x:v>
      </x:c>
      <x:c r="AL33" t="str">
        <x:f>IF(AK33=0,"",INDEX($A$2:$A$61,AK33))</x:f>
        <x:v/>
      </x:c>
      <x:c r="AM33">
        <x:f>IF(AL33="",0,IFERROR(MATCH($AO$5&amp;"-成长-"&amp;AL33,$I$200:$I$1199,0),0))</x:f>
        <x:v>0</x:v>
      </x:c>
    </x:row>
    <x:row r="34">
      <x:c r="A34" t="str">
        <x:f>IF('人物卡'!AG16="","","技能："&amp;'人物卡'!AG16)</x:f>
        <x:v>技能：近战武器</x:v>
      </x:c>
      <x:c r="B34">
        <x:v>0</x:v>
      </x:c>
      <x:c r="C34">
        <x:f>'人物卡'!AS16</x:f>
        <x:v>30</x:v>
      </x:c>
      <x:c r="D34" t="str">
        <x:f>'人物卡'!AE16</x:f>
        <x:v>☐</x:v>
      </x:c>
      <x:c r="E34">
        <x:f>IF(AND(A34&lt;&gt;"",A34&lt;&gt;"技能：非自然知识",C34&gt;=1,OR(D34="√",D34="☑"),COUNTIFS($A$2:A34,A34,$D$2:D34,"√")+COUNTIFS($A$2:A34,A34,$D$2:D34,"☑")=1),1,0)</x:f>
        <x:v>0</x:v>
      </x:c>
      <x:c r="F34">
        <x:f>IF(E34=1,SUM($E$2:E34),0)</x:f>
        <x:v>0</x:v>
      </x:c>
      <x:c r="L34" t="str">
        <x:f>A16</x:f>
        <x:v/>
      </x:c>
      <x:c r="M34">
        <x:f>C16</x:f>
        <x:v>0</x:v>
      </x:c>
      <x:c r="O34" t="str">
        <x:f>IF(L34="","",COUNTIF($L$2:L34,"?*"))</x:f>
        <x:v/>
      </x:c>
      <x:c r="P34" t="str">
        <x:f>IFERROR(INDEX($L$2:$L$79,MATCH(33,$O$2:$O$79,0)),"")</x:f>
        <x:v>技能：急救</x:v>
      </x:c>
      <x:c r="AK34">
        <x:f>IFERROR(MATCH(33,$F$2:$F$61,0),0)</x:f>
        <x:v>0</x:v>
      </x:c>
      <x:c r="AL34" t="str">
        <x:f>IF(AK34=0,"",INDEX($A$2:$A$61,AK34))</x:f>
        <x:v/>
      </x:c>
      <x:c r="AM34">
        <x:f>IF(AL34="",0,IFERROR(MATCH($AO$5&amp;"-成长-"&amp;AL34,$I$200:$I$1199,0),0))</x:f>
        <x:v>0</x:v>
      </x:c>
    </x:row>
    <x:row r="35">
      <x:c r="A35" t="str">
        <x:f>IF(TRIM('人物卡'!AM17)="","","技能："&amp;SUBSTITUTE('人物卡'!AG17,"：","")&amp;"（"&amp;TRIM('人物卡'!AM17)&amp;"）")</x:f>
        <x:v/>
      </x:c>
      <x:c r="B35">
        <x:v>0</x:v>
      </x:c>
      <x:c r="C35">
        <x:f>'人物卡'!AS17</x:f>
        <x:v>0</x:v>
      </x:c>
      <x:c r="D35" t="str">
        <x:f>'人物卡'!AE17</x:f>
        <x:v>☐</x:v>
      </x:c>
      <x:c r="E35">
        <x:f>IF(AND(A35&lt;&gt;"",A35&lt;&gt;"技能：非自然知识",C35&gt;=1,OR(D35="√",D35="☑"),COUNTIFS($A$2:A35,A35,$D$2:D35,"√")+COUNTIFS($A$2:A35,A35,$D$2:D35,"☑")=1),1,0)</x:f>
        <x:v>0</x:v>
      </x:c>
      <x:c r="F35">
        <x:f>IF(E35=1,SUM($E$2:E35),0)</x:f>
        <x:v>0</x:v>
      </x:c>
      <x:c r="L35" t="str">
        <x:f>A17</x:f>
        <x:v>技能：犯罪学</x:v>
      </x:c>
      <x:c r="M35">
        <x:f>C17</x:f>
        <x:v>10</x:v>
      </x:c>
      <x:c r="O35">
        <x:f>IF(L35="","",COUNTIF($L$2:L35,"?*"))</x:f>
        <x:v>27</x:v>
      </x:c>
      <x:c r="P35" t="str">
        <x:f>IFERROR(INDEX($L$2:$L$79,MATCH(34,$O$2:$O$79,0)),"")</x:f>
        <x:v>技能：法证学</x:v>
      </x:c>
      <x:c r="AK35">
        <x:f>IFERROR(MATCH(34,$F$2:$F$61,0),0)</x:f>
        <x:v>0</x:v>
      </x:c>
      <x:c r="AL35" t="str">
        <x:f>IF(AK35=0,"",INDEX($A$2:$A$61,AK35))</x:f>
        <x:v/>
      </x:c>
      <x:c r="AM35">
        <x:f>IF(AL35="",0,IFERROR(MATCH($AO$5&amp;"-成长-"&amp;AL35,$I$200:$I$1199,0),0))</x:f>
        <x:v>0</x:v>
      </x:c>
    </x:row>
    <x:row r="36">
      <x:c r="A36" t="str">
        <x:f>IF(TRIM('人物卡'!AM18)="","","技能："&amp;SUBSTITUTE('人物卡'!AG18,"：","")&amp;"（"&amp;TRIM('人物卡'!AM18)&amp;"）")</x:f>
        <x:v/>
      </x:c>
      <x:c r="B36">
        <x:v>0</x:v>
      </x:c>
      <x:c r="C36">
        <x:f>'人物卡'!AS18</x:f>
        <x:v>0</x:v>
      </x:c>
      <x:c r="D36" t="str">
        <x:f>'人物卡'!AE18</x:f>
        <x:v>☐</x:v>
      </x:c>
      <x:c r="E36">
        <x:f>IF(AND(A36&lt;&gt;"",A36&lt;&gt;"技能：非自然知识",C36&gt;=1,OR(D36="√",D36="☑"),COUNTIFS($A$2:A36,A36,$D$2:D36,"√")+COUNTIFS($A$2:A36,A36,$D$2:D36,"☑")=1),1,0)</x:f>
        <x:v>0</x:v>
      </x:c>
      <x:c r="F36">
        <x:f>IF(E36=1,SUM($E$2:E36),0)</x:f>
        <x:v>0</x:v>
      </x:c>
      <x:c r="L36" t="str">
        <x:f>A18</x:f>
        <x:v>技能：爆破</x:v>
      </x:c>
      <x:c r="M36">
        <x:f>C18</x:f>
        <x:v>0</x:v>
      </x:c>
      <x:c r="O36">
        <x:f>IF(L36="","",COUNTIF($L$2:L36,"?*"))</x:f>
        <x:v>28</x:v>
      </x:c>
      <x:c r="P36" t="str">
        <x:f>IFERROR(INDEX($L$2:$L$79,MATCH(35,$O$2:$O$79,0)),"")</x:f>
        <x:v>技能：重型机械</x:v>
      </x:c>
      <x:c r="AK36">
        <x:f>IFERROR(MATCH(35,$F$2:$F$61,0),0)</x:f>
        <x:v>0</x:v>
      </x:c>
      <x:c r="AL36" t="str">
        <x:f>IF(AK36=0,"",INDEX($A$2:$A$61,AK36))</x:f>
        <x:v/>
      </x:c>
      <x:c r="AM36">
        <x:f>IF(AL36="",0,IFERROR(MATCH($AO$5&amp;"-成长-"&amp;AL36,$I$200:$I$1199,0),0))</x:f>
        <x:v>0</x:v>
      </x:c>
    </x:row>
    <x:row r="37">
      <x:c r="A37" t="str">
        <x:f>IF(TRIM('人物卡'!AM19)="","","技能："&amp;SUBSTITUTE('人物卡'!AG19,"：","")&amp;"（"&amp;TRIM('人物卡'!AM19)&amp;"）")</x:f>
        <x:v/>
      </x:c>
      <x:c r="B37">
        <x:v>0</x:v>
      </x:c>
      <x:c r="C37">
        <x:f>'人物卡'!AS19</x:f>
        <x:v>0</x:v>
      </x:c>
      <x:c r="D37" t="str">
        <x:f>'人物卡'!AE19</x:f>
        <x:v>☐</x:v>
      </x:c>
      <x:c r="E37">
        <x:f>IF(AND(A37&lt;&gt;"",A37&lt;&gt;"技能：非自然知识",C37&gt;=1,OR(D37="√",D37="☑"),COUNTIFS($A$2:A37,A37,$D$2:D37,"√")+COUNTIFS($A$2:A37,A37,$D$2:D37,"☑")=1),1,0)</x:f>
        <x:v>0</x:v>
      </x:c>
      <x:c r="F37">
        <x:f>IF(E37=1,SUM($E$2:E37),0)</x:f>
        <x:v>0</x:v>
      </x:c>
      <x:c r="L37" t="str">
        <x:f>A19</x:f>
        <x:v>技能：乔装</x:v>
      </x:c>
      <x:c r="M37">
        <x:f>C19</x:f>
        <x:v>10</x:v>
      </x:c>
      <x:c r="O37">
        <x:f>IF(L37="","",COUNTIF($L$2:L37,"?*"))</x:f>
        <x:v>29</x:v>
      </x:c>
      <x:c r="P37" t="str">
        <x:f>IFERROR(INDEX($L$2:$L$79,MATCH(36,$O$2:$O$79,0)),"")</x:f>
        <x:v>技能：重型武器</x:v>
      </x:c>
      <x:c r="AK37">
        <x:f>IFERROR(MATCH(36,$F$2:$F$61,0),0)</x:f>
        <x:v>0</x:v>
      </x:c>
      <x:c r="AL37" t="str">
        <x:f>IF(AK37=0,"",INDEX($A$2:$A$61,AK37))</x:f>
        <x:v/>
      </x:c>
      <x:c r="AM37">
        <x:f>IF(AL37="",0,IFERROR(MATCH($AO$5&amp;"-成长-"&amp;AL37,$I$200:$I$1199,0),0))</x:f>
        <x:v>0</x:v>
      </x:c>
    </x:row>
    <x:row r="38">
      <x:c r="A38" t="str">
        <x:f>IF('人物卡'!AG20="","","技能："&amp;'人物卡'!AG20)</x:f>
        <x:v>技能：导航</x:v>
      </x:c>
      <x:c r="B38">
        <x:v>0</x:v>
      </x:c>
      <x:c r="C38">
        <x:f>'人物卡'!AS20</x:f>
        <x:v>10</x:v>
      </x:c>
      <x:c r="D38" t="str">
        <x:f>'人物卡'!AE20</x:f>
        <x:v>☐</x:v>
      </x:c>
      <x:c r="E38">
        <x:f>IF(AND(A38&lt;&gt;"",A38&lt;&gt;"技能：非自然知识",C38&gt;=1,OR(D38="√",D38="☑"),COUNTIFS($A$2:A38,A38,$D$2:D38,"√")+COUNTIFS($A$2:A38,A38,$D$2:D38,"☑")=1),1,0)</x:f>
        <x:v>0</x:v>
      </x:c>
      <x:c r="F38">
        <x:f>IF(E38=1,SUM($E$2:E38),0)</x:f>
        <x:v>0</x:v>
      </x:c>
      <x:c r="L38" t="str">
        <x:f>A20</x:f>
        <x:v>技能：闪避</x:v>
      </x:c>
      <x:c r="M38">
        <x:f>C20</x:f>
        <x:v>30</x:v>
      </x:c>
      <x:c r="O38">
        <x:f>IF(L38="","",COUNTIF($L$2:L38,"?*"))</x:f>
        <x:v>30</x:v>
      </x:c>
      <x:c r="P38" t="str">
        <x:f>IFERROR(INDEX($L$2:$L$79,MATCH(37,$O$2:$O$79,0)),"")</x:f>
        <x:v>技能：历史</x:v>
      </x:c>
      <x:c r="AK38">
        <x:f>IFERROR(MATCH(37,$F$2:$F$61,0),0)</x:f>
        <x:v>0</x:v>
      </x:c>
      <x:c r="AL38" t="str">
        <x:f>IF(AK38=0,"",INDEX($A$2:$A$61,AK38))</x:f>
        <x:v/>
      </x:c>
      <x:c r="AM38">
        <x:f>IF(AL38="",0,IFERROR(MATCH($AO$5&amp;"-成长-"&amp;AL38,$I$200:$I$1199,0),0))</x:f>
        <x:v>0</x:v>
      </x:c>
    </x:row>
    <x:row r="39">
      <x:c r="A39" t="str">
        <x:f>IF('人物卡'!AG21="","","技能："&amp;'人物卡'!AG21)</x:f>
        <x:v>技能：神秘学</x:v>
      </x:c>
      <x:c r="B39">
        <x:v>0</x:v>
      </x:c>
      <x:c r="C39">
        <x:f>'人物卡'!AS21</x:f>
        <x:v>10</x:v>
      </x:c>
      <x:c r="D39" t="str">
        <x:f>'人物卡'!AE21</x:f>
        <x:v>☐</x:v>
      </x:c>
      <x:c r="E39">
        <x:f>IF(AND(A39&lt;&gt;"",A39&lt;&gt;"技能：非自然知识",C39&gt;=1,OR(D39="√",D39="☑"),COUNTIFS($A$2:A39,A39,$D$2:D39,"√")+COUNTIFS($A$2:A39,A39,$D$2:D39,"☑")=1),1,0)</x:f>
        <x:v>0</x:v>
      </x:c>
      <x:c r="F39">
        <x:f>IF(E39=1,SUM($E$2:E39),0)</x:f>
        <x:v>0</x:v>
      </x:c>
      <x:c r="L39" t="str">
        <x:f>A21</x:f>
        <x:v>技能：机动车驾驶</x:v>
      </x:c>
      <x:c r="M39">
        <x:f>C21</x:f>
        <x:v>20</x:v>
      </x:c>
      <x:c r="O39">
        <x:f>IF(L39="","",COUNTIF($L$2:L39,"?*"))</x:f>
        <x:v>31</x:v>
      </x:c>
      <x:c r="P39" t="str">
        <x:f>IFERROR(INDEX($L$2:$L$79,MATCH(38,$O$2:$O$79,0)),"")</x:f>
        <x:v>技能：人源情报</x:v>
      </x:c>
      <x:c r="AK39">
        <x:f>IFERROR(MATCH(38,$F$2:$F$61,0),0)</x:f>
        <x:v>0</x:v>
      </x:c>
      <x:c r="AL39" t="str">
        <x:f>IF(AK39=0,"",INDEX($A$2:$A$61,AK39))</x:f>
        <x:v/>
      </x:c>
      <x:c r="AM39">
        <x:f>IF(AL39="",0,IFERROR(MATCH($AO$5&amp;"-成长-"&amp;AL39,$I$200:$I$1199,0),0))</x:f>
        <x:v>0</x:v>
      </x:c>
    </x:row>
    <x:row r="40">
      <x:c r="A40" t="str">
        <x:f>IF('人物卡'!AG22="","","技能："&amp;'人物卡'!AG22)</x:f>
        <x:v>技能：说服</x:v>
      </x:c>
      <x:c r="B40">
        <x:v>0</x:v>
      </x:c>
      <x:c r="C40">
        <x:f>'人物卡'!AS22</x:f>
        <x:v>20</x:v>
      </x:c>
      <x:c r="D40" t="str">
        <x:f>'人物卡'!AE22</x:f>
        <x:v>☐</x:v>
      </x:c>
      <x:c r="E40">
        <x:f>IF(AND(A40&lt;&gt;"",A40&lt;&gt;"技能：非自然知识",C40&gt;=1,OR(D40="√",D40="☑"),COUNTIFS($A$2:A40,A40,$D$2:D40,"√")+COUNTIFS($A$2:A40,A40,$D$2:D40,"☑")=1),1,0)</x:f>
        <x:v>0</x:v>
      </x:c>
      <x:c r="F40">
        <x:f>IF(E40=1,SUM($E$2:E40),0)</x:f>
        <x:v>0</x:v>
      </x:c>
      <x:c r="L40" t="str">
        <x:f>A22</x:f>
        <x:v>技能：射击</x:v>
      </x:c>
      <x:c r="M40">
        <x:f>C22</x:f>
        <x:v>20</x:v>
      </x:c>
      <x:c r="O40">
        <x:f>IF(L40="","",COUNTIF($L$2:L40,"?*"))</x:f>
        <x:v>32</x:v>
      </x:c>
      <x:c r="P40" t="str">
        <x:f>IFERROR(INDEX($L$2:$L$79,MATCH(39,$O$2:$O$79,0)),"")</x:f>
        <x:v>技能：法律</x:v>
      </x:c>
      <x:c r="AK40">
        <x:f>IFERROR(MATCH(39,$F$2:$F$61,0),0)</x:f>
        <x:v>0</x:v>
      </x:c>
      <x:c r="AL40" t="str">
        <x:f>IF(AK40=0,"",INDEX($A$2:$A$61,AK40))</x:f>
        <x:v/>
      </x:c>
      <x:c r="AM40">
        <x:f>IF(AL40="",0,IFERROR(MATCH($AO$5&amp;"-成长-"&amp;AL40,$I$200:$I$1199,0),0))</x:f>
        <x:v>0</x:v>
      </x:c>
    </x:row>
    <x:row r="41">
      <x:c r="A41" t="str">
        <x:f>IF('人物卡'!AG23="","","技能："&amp;'人物卡'!AG23)</x:f>
        <x:v>技能：药学</x:v>
      </x:c>
      <x:c r="B41">
        <x:v>0</x:v>
      </x:c>
      <x:c r="C41">
        <x:f>'人物卡'!AS23</x:f>
        <x:v>0</x:v>
      </x:c>
      <x:c r="D41" t="str">
        <x:f>'人物卡'!AE23</x:f>
        <x:v>☐</x:v>
      </x:c>
      <x:c r="E41">
        <x:f>IF(AND(A41&lt;&gt;"",A41&lt;&gt;"技能：非自然知识",C41&gt;=1,OR(D41="√",D41="☑"),COUNTIFS($A$2:A41,A41,$D$2:D41,"√")+COUNTIFS($A$2:A41,A41,$D$2:D41,"☑")=1),1,0)</x:f>
        <x:v>0</x:v>
      </x:c>
      <x:c r="F41">
        <x:f>IF(E41=1,SUM($E$2:E41),0)</x:f>
        <x:v>0</x:v>
      </x:c>
      <x:c r="L41" t="str">
        <x:f>A23</x:f>
        <x:v>技能：急救</x:v>
      </x:c>
      <x:c r="M41">
        <x:f>C23</x:f>
        <x:v>10</x:v>
      </x:c>
      <x:c r="O41">
        <x:f>IF(L41="","",COUNTIF($L$2:L41,"?*"))</x:f>
        <x:v>33</x:v>
      </x:c>
      <x:c r="P41" t="str">
        <x:f>IFERROR(INDEX($L$2:$L$79,MATCH(40,$O$2:$O$79,0)),"")</x:f>
        <x:v>技能：医学</x:v>
      </x:c>
      <x:c r="AK41">
        <x:f>IFERROR(MATCH(40,$F$2:$F$61,0),0)</x:f>
        <x:v>0</x:v>
      </x:c>
      <x:c r="AL41" t="str">
        <x:f>IF(AK41=0,"",INDEX($A$2:$A$61,AK41))</x:f>
        <x:v/>
      </x:c>
      <x:c r="AM41">
        <x:f>IF(AL41="",0,IFERROR(MATCH($AO$5&amp;"-成长-"&amp;AL41,$I$200:$I$1199,0),0))</x:f>
        <x:v>0</x:v>
      </x:c>
    </x:row>
    <x:row r="42">
      <x:c r="A42" t="str">
        <x:f>IF(TRIM('人物卡'!AM24)="","","技能："&amp;SUBSTITUTE('人物卡'!AG24,"：","")&amp;"（"&amp;TRIM('人物卡'!AM24)&amp;"）")</x:f>
        <x:v/>
      </x:c>
      <x:c r="B42">
        <x:v>0</x:v>
      </x:c>
      <x:c r="C42">
        <x:f>'人物卡'!AS24</x:f>
        <x:v>0</x:v>
      </x:c>
      <x:c r="D42" t="str">
        <x:f>'人物卡'!AE24</x:f>
        <x:v>☐</x:v>
      </x:c>
      <x:c r="E42">
        <x:f>IF(AND(A42&lt;&gt;"",A42&lt;&gt;"技能：非自然知识",C42&gt;=1,OR(D42="√",D42="☑"),COUNTIFS($A$2:A42,A42,$D$2:D42,"√")+COUNTIFS($A$2:A42,A42,$D$2:D42,"☑")=1),1,0)</x:f>
        <x:v>0</x:v>
      </x:c>
      <x:c r="F42">
        <x:f>IF(E42=1,SUM($E$2:E42),0)</x:f>
        <x:v>0</x:v>
      </x:c>
      <x:c r="L42" t="str">
        <x:f>A24</x:f>
        <x:v/>
      </x:c>
      <x:c r="M42">
        <x:f>C24</x:f>
        <x:v>0</x:v>
      </x:c>
      <x:c r="O42" t="str">
        <x:f>IF(L42="","",COUNTIF($L$2:L42,"?*"))</x:f>
        <x:v/>
      </x:c>
      <x:c r="P42" t="str">
        <x:f>IFERROR(INDEX($L$2:$L$79,MATCH(41,$O$2:$O$79,0)),"")</x:f>
        <x:v>技能：近战武器</x:v>
      </x:c>
      <x:c r="AK42">
        <x:f>IFERROR(MATCH(41,$F$2:$F$61,0),0)</x:f>
        <x:v>0</x:v>
      </x:c>
      <x:c r="AL42" t="str">
        <x:f>IF(AK42=0,"",INDEX($A$2:$A$61,AK42))</x:f>
        <x:v/>
      </x:c>
      <x:c r="AM42">
        <x:f>IF(AL42="",0,IFERROR(MATCH($AO$5&amp;"-成长-"&amp;AL42,$I$200:$I$1199,0),0))</x:f>
        <x:v>0</x:v>
      </x:c>
    </x:row>
    <x:row r="43">
      <x:c r="A43" t="str">
        <x:f>IF(TRIM('人物卡'!AM25)="","","技能："&amp;SUBSTITUTE('人物卡'!AG25,"：","")&amp;"（"&amp;TRIM('人物卡'!AM25)&amp;"）")</x:f>
        <x:v/>
      </x:c>
      <x:c r="B43">
        <x:v>0</x:v>
      </x:c>
      <x:c r="C43">
        <x:f>'人物卡'!AS25</x:f>
        <x:v>0</x:v>
      </x:c>
      <x:c r="D43" t="str">
        <x:f>'人物卡'!AE25</x:f>
        <x:v>☐</x:v>
      </x:c>
      <x:c r="E43">
        <x:f>IF(AND(A43&lt;&gt;"",A43&lt;&gt;"技能：非自然知识",C43&gt;=1,OR(D43="√",D43="☑"),COUNTIFS($A$2:A43,A43,$D$2:D43,"√")+COUNTIFS($A$2:A43,A43,$D$2:D43,"☑")=1),1,0)</x:f>
        <x:v>0</x:v>
      </x:c>
      <x:c r="F43">
        <x:f>IF(E43=1,SUM($E$2:E43),0)</x:f>
        <x:v>0</x:v>
      </x:c>
      <x:c r="L43" t="str">
        <x:f>A25</x:f>
        <x:v/>
      </x:c>
      <x:c r="M43">
        <x:f>C25</x:f>
        <x:v>0</x:v>
      </x:c>
      <x:c r="O43" t="str">
        <x:f>IF(L43="","",COUNTIF($L$2:L43,"?*"))</x:f>
        <x:v/>
      </x:c>
      <x:c r="P43" t="str">
        <x:f>IFERROR(INDEX($L$2:$L$79,MATCH(42,$O$2:$O$79,0)),"")</x:f>
        <x:v>技能：导航</x:v>
      </x:c>
      <x:c r="AK43">
        <x:f>IFERROR(MATCH(42,$F$2:$F$61,0),0)</x:f>
        <x:v>0</x:v>
      </x:c>
      <x:c r="AL43" t="str">
        <x:f>IF(AK43=0,"",INDEX($A$2:$A$61,AK43))</x:f>
        <x:v/>
      </x:c>
      <x:c r="AM43">
        <x:f>IF(AL43="",0,IFERROR(MATCH($AO$5&amp;"-成长-"&amp;AL43,$I$200:$I$1199,0),0))</x:f>
        <x:v>0</x:v>
      </x:c>
    </x:row>
    <x:row r="44">
      <x:c r="A44" t="str">
        <x:f>IF(TRIM('人物卡'!AM26)="","","技能："&amp;SUBSTITUTE('人物卡'!AG26,"：","")&amp;"（"&amp;TRIM('人物卡'!AM26)&amp;"）")</x:f>
        <x:v/>
      </x:c>
      <x:c r="B44">
        <x:v>0</x:v>
      </x:c>
      <x:c r="C44">
        <x:f>'人物卡'!AS26</x:f>
        <x:v>0</x:v>
      </x:c>
      <x:c r="D44" t="str">
        <x:f>'人物卡'!AE26</x:f>
        <x:v>☐</x:v>
      </x:c>
      <x:c r="E44">
        <x:f>IF(AND(A44&lt;&gt;"",A44&lt;&gt;"技能：非自然知识",C44&gt;=1,OR(D44="√",D44="☑"),COUNTIFS($A$2:A44,A44,$D$2:D44,"√")+COUNTIFS($A$2:A44,A44,$D$2:D44,"☑")=1),1,0)</x:f>
        <x:v>0</x:v>
      </x:c>
      <x:c r="F44">
        <x:f>IF(E44=1,SUM($E$2:E44),0)</x:f>
        <x:v>0</x:v>
      </x:c>
      <x:c r="L44" t="str">
        <x:f>A26</x:f>
        <x:v/>
      </x:c>
      <x:c r="M44">
        <x:f>C26</x:f>
        <x:v>0</x:v>
      </x:c>
      <x:c r="O44" t="str">
        <x:f>IF(L44="","",COUNTIF($L$2:L44,"?*"))</x:f>
        <x:v/>
      </x:c>
      <x:c r="P44" t="str">
        <x:f>IFERROR(INDEX($L$2:$L$79,MATCH(43,$O$2:$O$79,0)),"")</x:f>
        <x:v>技能：神秘学</x:v>
      </x:c>
      <x:c r="AK44">
        <x:f>IFERROR(MATCH(43,$F$2:$F$61,0),0)</x:f>
        <x:v>0</x:v>
      </x:c>
      <x:c r="AL44" t="str">
        <x:f>IF(AK44=0,"",INDEX($A$2:$A$61,AK44))</x:f>
        <x:v/>
      </x:c>
      <x:c r="AM44">
        <x:f>IF(AL44="",0,IFERROR(MATCH($AO$5&amp;"-成长-"&amp;AL44,$I$200:$I$1199,0),0))</x:f>
        <x:v>0</x:v>
      </x:c>
    </x:row>
    <x:row r="45">
      <x:c r="A45" t="str">
        <x:f>IF('人物卡'!AG27="","","技能："&amp;'人物卡'!AG27)</x:f>
        <x:v>技能：精神治疗</x:v>
      </x:c>
      <x:c r="B45">
        <x:v>0</x:v>
      </x:c>
      <x:c r="C45">
        <x:f>'人物卡'!AS27</x:f>
        <x:v>10</x:v>
      </x:c>
      <x:c r="D45" t="str">
        <x:f>'人物卡'!AE27</x:f>
        <x:v>☐</x:v>
      </x:c>
      <x:c r="E45">
        <x:f>IF(AND(A45&lt;&gt;"",A45&lt;&gt;"技能：非自然知识",C45&gt;=1,OR(D45="√",D45="☑"),COUNTIFS($A$2:A45,A45,$D$2:D45,"√")+COUNTIFS($A$2:A45,A45,$D$2:D45,"☑")=1),1,0)</x:f>
        <x:v>0</x:v>
      </x:c>
      <x:c r="F45">
        <x:f>IF(E45=1,SUM($E$2:E45),0)</x:f>
        <x:v>0</x:v>
      </x:c>
      <x:c r="L45" t="str">
        <x:f>A27</x:f>
        <x:v>技能：法证学</x:v>
      </x:c>
      <x:c r="M45">
        <x:f>C27</x:f>
        <x:v>0</x:v>
      </x:c>
      <x:c r="O45">
        <x:f>IF(L45="","",COUNTIF($L$2:L45,"?*"))</x:f>
        <x:v>34</x:v>
      </x:c>
      <x:c r="P45" t="str">
        <x:f>IFERROR(INDEX($L$2:$L$79,MATCH(44,$O$2:$O$79,0)),"")</x:f>
        <x:v>技能：说服</x:v>
      </x:c>
      <x:c r="AK45">
        <x:f>IFERROR(MATCH(44,$F$2:$F$61,0),0)</x:f>
        <x:v>0</x:v>
      </x:c>
      <x:c r="AL45" t="str">
        <x:f>IF(AK45=0,"",INDEX($A$2:$A$61,AK45))</x:f>
        <x:v/>
      </x:c>
      <x:c r="AM45">
        <x:f>IF(AL45="",0,IFERROR(MATCH($AO$5&amp;"-成长-"&amp;AL45,$I$200:$I$1199,0),0))</x:f>
        <x:v>0</x:v>
      </x:c>
    </x:row>
    <x:row r="46">
      <x:c r="A46" t="str">
        <x:f>IF('人物卡'!AG28="","","技能："&amp;'人物卡'!AG28)</x:f>
        <x:v>技能：骑术</x:v>
      </x:c>
      <x:c r="B46">
        <x:v>0</x:v>
      </x:c>
      <x:c r="C46">
        <x:f>'人物卡'!AS28</x:f>
        <x:v>10</x:v>
      </x:c>
      <x:c r="D46" t="str">
        <x:f>'人物卡'!AE28</x:f>
        <x:v>☐</x:v>
      </x:c>
      <x:c r="E46">
        <x:f>IF(AND(A46&lt;&gt;"",A46&lt;&gt;"技能：非自然知识",C46&gt;=1,OR(D46="√",D46="☑"),COUNTIFS($A$2:A46,A46,$D$2:D46,"√")+COUNTIFS($A$2:A46,A46,$D$2:D46,"☑")=1),1,0)</x:f>
        <x:v>0</x:v>
      </x:c>
      <x:c r="F46">
        <x:f>IF(E46=1,SUM($E$2:E46),0)</x:f>
        <x:v>0</x:v>
      </x:c>
      <x:c r="L46" t="str">
        <x:f>A28</x:f>
        <x:v>技能：重型机械</x:v>
      </x:c>
      <x:c r="M46">
        <x:f>C28</x:f>
        <x:v>10</x:v>
      </x:c>
      <x:c r="O46">
        <x:f>IF(L46="","",COUNTIF($L$2:L46,"?*"))</x:f>
        <x:v>35</x:v>
      </x:c>
      <x:c r="P46" t="str">
        <x:f>IFERROR(INDEX($L$2:$L$79,MATCH(45,$O$2:$O$79,0)),"")</x:f>
        <x:v>技能：药学</x:v>
      </x:c>
      <x:c r="AK46">
        <x:f>IFERROR(MATCH(45,$F$2:$F$61,0),0)</x:f>
        <x:v>0</x:v>
      </x:c>
      <x:c r="AL46" t="str">
        <x:f>IF(AK46=0,"",INDEX($A$2:$A$61,AK46))</x:f>
        <x:v/>
      </x:c>
      <x:c r="AM46">
        <x:f>IF(AL46="",0,IFERROR(MATCH($AO$5&amp;"-成长-"&amp;AL46,$I$200:$I$1199,0),0))</x:f>
        <x:v>0</x:v>
      </x:c>
    </x:row>
    <x:row r="47">
      <x:c r="A47" t="str">
        <x:f>IF(TRIM('人物卡'!AM29)="","","技能："&amp;SUBSTITUTE('人物卡'!AG29,"：","")&amp;"（"&amp;TRIM('人物卡'!AM29)&amp;"）")</x:f>
        <x:v/>
      </x:c>
      <x:c r="B47">
        <x:v>0</x:v>
      </x:c>
      <x:c r="C47">
        <x:f>'人物卡'!AS29</x:f>
        <x:v>0</x:v>
      </x:c>
      <x:c r="D47" t="str">
        <x:f>'人物卡'!AE29</x:f>
        <x:v>☐</x:v>
      </x:c>
      <x:c r="E47">
        <x:f>IF(AND(A47&lt;&gt;"",A47&lt;&gt;"技能：非自然知识",C47&gt;=1,OR(D47="√",D47="☑"),COUNTIFS($A$2:A47,A47,$D$2:D47,"√")+COUNTIFS($A$2:A47,A47,$D$2:D47,"☑")=1),1,0)</x:f>
        <x:v>0</x:v>
      </x:c>
      <x:c r="F47">
        <x:f>IF(E47=1,SUM($E$2:E47),0)</x:f>
        <x:v>0</x:v>
      </x:c>
      <x:c r="L47" t="str">
        <x:f>A29</x:f>
        <x:v>技能：重型武器</x:v>
      </x:c>
      <x:c r="M47">
        <x:f>C29</x:f>
        <x:v>0</x:v>
      </x:c>
      <x:c r="O47">
        <x:f>IF(L47="","",COUNTIF($L$2:L47,"?*"))</x:f>
        <x:v>36</x:v>
      </x:c>
      <x:c r="P47" t="str">
        <x:f>IFERROR(INDEX($L$2:$L$79,MATCH(46,$O$2:$O$79,0)),"")</x:f>
        <x:v>技能：精神治疗</x:v>
      </x:c>
      <x:c r="AK47">
        <x:f>IFERROR(MATCH(46,$F$2:$F$61,0),0)</x:f>
        <x:v>0</x:v>
      </x:c>
      <x:c r="AL47" t="str">
        <x:f>IF(AK47=0,"",INDEX($A$2:$A$61,AK47))</x:f>
        <x:v/>
      </x:c>
      <x:c r="AM47">
        <x:f>IF(AL47="",0,IFERROR(MATCH($AO$5&amp;"-成长-"&amp;AL47,$I$200:$I$1199,0),0))</x:f>
        <x:v>0</x:v>
      </x:c>
    </x:row>
    <x:row r="48">
      <x:c r="A48" t="str">
        <x:f>IF(TRIM('人物卡'!AM30)="","","技能："&amp;SUBSTITUTE('人物卡'!AG30,"：","")&amp;"（"&amp;TRIM('人物卡'!AM30)&amp;"）")</x:f>
        <x:v/>
      </x:c>
      <x:c r="B48">
        <x:v>0</x:v>
      </x:c>
      <x:c r="C48">
        <x:f>'人物卡'!AS30</x:f>
        <x:v>0</x:v>
      </x:c>
      <x:c r="D48" t="str">
        <x:f>'人物卡'!AE30</x:f>
        <x:v>☐</x:v>
      </x:c>
      <x:c r="E48">
        <x:f>IF(AND(A48&lt;&gt;"",A48&lt;&gt;"技能：非自然知识",C48&gt;=1,OR(D48="√",D48="☑"),COUNTIFS($A$2:A48,A48,$D$2:D48,"√")+COUNTIFS($A$2:A48,A48,$D$2:D48,"☑")=1),1,0)</x:f>
        <x:v>0</x:v>
      </x:c>
      <x:c r="F48">
        <x:f>IF(E48=1,SUM($E$2:E48),0)</x:f>
        <x:v>0</x:v>
      </x:c>
      <x:c r="L48" t="str">
        <x:f>A30</x:f>
        <x:v>技能：历史</x:v>
      </x:c>
      <x:c r="M48">
        <x:f>C30</x:f>
        <x:v>10</x:v>
      </x:c>
      <x:c r="O48">
        <x:f>IF(L48="","",COUNTIF($L$2:L48,"?*"))</x:f>
        <x:v>37</x:v>
      </x:c>
      <x:c r="P48" t="str">
        <x:f>IFERROR(INDEX($L$2:$L$79,MATCH(47,$O$2:$O$79,0)),"")</x:f>
        <x:v>技能：骑术</x:v>
      </x:c>
      <x:c r="AK48">
        <x:f>IFERROR(MATCH(47,$F$2:$F$61,0),0)</x:f>
        <x:v>0</x:v>
      </x:c>
      <x:c r="AL48" t="str">
        <x:f>IF(AK48=0,"",INDEX($A$2:$A$61,AK48))</x:f>
        <x:v/>
      </x:c>
      <x:c r="AM48">
        <x:f>IF(AL48="",0,IFERROR(MATCH($AO$5&amp;"-成长-"&amp;AL48,$I$200:$I$1199,0),0))</x:f>
        <x:v>0</x:v>
      </x:c>
    </x:row>
    <x:row r="49">
      <x:c r="A49" t="str">
        <x:f>IF(TRIM('人物卡'!AM31)="","","技能："&amp;SUBSTITUTE('人物卡'!AG31,"：","")&amp;"（"&amp;TRIM('人物卡'!AM31)&amp;"）")</x:f>
        <x:v/>
      </x:c>
      <x:c r="B49">
        <x:v>0</x:v>
      </x:c>
      <x:c r="C49">
        <x:f>'人物卡'!AS31</x:f>
        <x:v>0</x:v>
      </x:c>
      <x:c r="D49" t="str">
        <x:f>'人物卡'!AE31</x:f>
        <x:v>☐</x:v>
      </x:c>
      <x:c r="E49">
        <x:f>IF(AND(A49&lt;&gt;"",A49&lt;&gt;"技能：非自然知识",C49&gt;=1,OR(D49="√",D49="☑"),COUNTIFS($A$2:A49,A49,$D$2:D49,"√")+COUNTIFS($A$2:A49,A49,$D$2:D49,"☑")=1),1,0)</x:f>
        <x:v>0</x:v>
      </x:c>
      <x:c r="F49">
        <x:f>IF(E49=1,SUM($E$2:E49),0)</x:f>
        <x:v>0</x:v>
      </x:c>
      <x:c r="L49" t="str">
        <x:f>A31</x:f>
        <x:v>技能：人源情报</x:v>
      </x:c>
      <x:c r="M49">
        <x:f>C31</x:f>
        <x:v>10</x:v>
      </x:c>
      <x:c r="O49">
        <x:f>IF(L49="","",COUNTIF($L$2:L49,"?*"))</x:f>
        <x:v>38</x:v>
      </x:c>
      <x:c r="P49" t="str">
        <x:f>IFERROR(INDEX($L$2:$L$79,MATCH(48,$O$2:$O$79,0)),"")</x:f>
        <x:v>技能：搜寻</x:v>
      </x:c>
      <x:c r="AK49">
        <x:f>IFERROR(MATCH(48,$F$2:$F$61,0),0)</x:f>
        <x:v>0</x:v>
      </x:c>
      <x:c r="AL49" t="str">
        <x:f>IF(AK49=0,"",INDEX($A$2:$A$61,AK49))</x:f>
        <x:v/>
      </x:c>
      <x:c r="AM49">
        <x:f>IF(AL49="",0,IFERROR(MATCH($AO$5&amp;"-成长-"&amp;AL49,$I$200:$I$1199,0),0))</x:f>
        <x:v>0</x:v>
      </x:c>
    </x:row>
    <x:row r="50">
      <x:c r="A50" t="str">
        <x:f>IF('人物卡'!AG32="","","技能："&amp;'人物卡'!AG32)</x:f>
        <x:v>技能：搜寻</x:v>
      </x:c>
      <x:c r="B50">
        <x:v>0</x:v>
      </x:c>
      <x:c r="C50">
        <x:f>'人物卡'!AS32</x:f>
        <x:v>20</x:v>
      </x:c>
      <x:c r="D50" t="str">
        <x:f>'人物卡'!AE32</x:f>
        <x:v>☐</x:v>
      </x:c>
      <x:c r="E50">
        <x:f>IF(AND(A50&lt;&gt;"",A50&lt;&gt;"技能：非自然知识",C50&gt;=1,OR(D50="√",D50="☑"),COUNTIFS($A$2:A50,A50,$D$2:D50,"√")+COUNTIFS($A$2:A50,A50,$D$2:D50,"☑")=1),1,0)</x:f>
        <x:v>0</x:v>
      </x:c>
      <x:c r="F50">
        <x:f>IF(E50=1,SUM($E$2:E50),0)</x:f>
        <x:v>0</x:v>
      </x:c>
      <x:c r="L50" t="str">
        <x:f>A32</x:f>
        <x:v>技能：法律</x:v>
      </x:c>
      <x:c r="M50">
        <x:f>C32</x:f>
        <x:v>0</x:v>
      </x:c>
      <x:c r="O50">
        <x:f>IF(L50="","",COUNTIF($L$2:L50,"?*"))</x:f>
        <x:v>39</x:v>
      </x:c>
      <x:c r="P50" t="str">
        <x:f>IFERROR(INDEX($L$2:$L$79,MATCH(49,$O$2:$O$79,0)),"")</x:f>
        <x:v>技能：信号情报</x:v>
      </x:c>
      <x:c r="AK50">
        <x:f>IFERROR(MATCH(49,$F$2:$F$61,0),0)</x:f>
        <x:v>0</x:v>
      </x:c>
      <x:c r="AL50" t="str">
        <x:f>IF(AK50=0,"",INDEX($A$2:$A$61,AK50))</x:f>
        <x:v/>
      </x:c>
      <x:c r="AM50">
        <x:f>IF(AL50="",0,IFERROR(MATCH($AO$5&amp;"-成长-"&amp;AL50,$I$200:$I$1199,0),0))</x:f>
        <x:v>0</x:v>
      </x:c>
    </x:row>
    <x:row r="51">
      <x:c r="A51" t="str">
        <x:f>IF('人物卡'!AG33="","","技能："&amp;'人物卡'!AG33)</x:f>
        <x:v>技能：信号情报</x:v>
      </x:c>
      <x:c r="B51">
        <x:v>0</x:v>
      </x:c>
      <x:c r="C51">
        <x:f>'人物卡'!AS33</x:f>
        <x:v>0</x:v>
      </x:c>
      <x:c r="D51" t="str">
        <x:f>'人物卡'!AE33</x:f>
        <x:v>☐</x:v>
      </x:c>
      <x:c r="E51">
        <x:f>IF(AND(A51&lt;&gt;"",A51&lt;&gt;"技能：非自然知识",C51&gt;=1,OR(D51="√",D51="☑"),COUNTIFS($A$2:A51,A51,$D$2:D51,"√")+COUNTIFS($A$2:A51,A51,$D$2:D51,"☑")=1),1,0)</x:f>
        <x:v>0</x:v>
      </x:c>
      <x:c r="F51">
        <x:f>IF(E51=1,SUM($E$2:E51),0)</x:f>
        <x:v>0</x:v>
      </x:c>
      <x:c r="L51" t="str">
        <x:f>A33</x:f>
        <x:v>技能：医学</x:v>
      </x:c>
      <x:c r="M51">
        <x:f>C33</x:f>
        <x:v>0</x:v>
      </x:c>
      <x:c r="O51">
        <x:f>IF(L51="","",COUNTIF($L$2:L51,"?*"))</x:f>
        <x:v>40</x:v>
      </x:c>
      <x:c r="P51" t="str">
        <x:f>IFERROR(INDEX($L$2:$L$79,MATCH(50,$O$2:$O$79,0)),"")</x:f>
        <x:v>技能：潜藏</x:v>
      </x:c>
      <x:c r="AK51">
        <x:f>IFERROR(MATCH(50,$F$2:$F$61,0),0)</x:f>
        <x:v>0</x:v>
      </x:c>
      <x:c r="AL51" t="str">
        <x:f>IF(AK51=0,"",INDEX($A$2:$A$61,AK51))</x:f>
        <x:v/>
      </x:c>
      <x:c r="AM51">
        <x:f>IF(AL51="",0,IFERROR(MATCH($AO$5&amp;"-成长-"&amp;AL51,$I$200:$I$1199,0),0))</x:f>
        <x:v>0</x:v>
      </x:c>
    </x:row>
    <x:row r="52">
      <x:c r="A52" t="str">
        <x:f>IF('人物卡'!AG34="","","技能："&amp;'人物卡'!AG34)</x:f>
        <x:v>技能：潜藏</x:v>
      </x:c>
      <x:c r="B52">
        <x:v>0</x:v>
      </x:c>
      <x:c r="C52">
        <x:f>'人物卡'!AS34</x:f>
        <x:v>10</x:v>
      </x:c>
      <x:c r="D52" t="str">
        <x:f>'人物卡'!AE34</x:f>
        <x:v>☐</x:v>
      </x:c>
      <x:c r="E52">
        <x:f>IF(AND(A52&lt;&gt;"",A52&lt;&gt;"技能：非自然知识",C52&gt;=1,OR(D52="√",D52="☑"),COUNTIFS($A$2:A52,A52,$D$2:D52,"√")+COUNTIFS($A$2:A52,A52,$D$2:D52,"☑")=1),1,0)</x:f>
        <x:v>0</x:v>
      </x:c>
      <x:c r="F52">
        <x:f>IF(E52=1,SUM($E$2:E52),0)</x:f>
        <x:v>0</x:v>
      </x:c>
      <x:c r="L52" t="str">
        <x:f>A34</x:f>
        <x:v>技能：近战武器</x:v>
      </x:c>
      <x:c r="M52">
        <x:f>C34</x:f>
        <x:v>30</x:v>
      </x:c>
      <x:c r="O52">
        <x:f>IF(L52="","",COUNTIF($L$2:L52,"?*"))</x:f>
        <x:v>41</x:v>
      </x:c>
      <x:c r="P52" t="str">
        <x:f>IFERROR(INDEX($L$2:$L$79,MATCH(51,$O$2:$O$79,0)),"")</x:f>
        <x:v>技能：手术</x:v>
      </x:c>
      <x:c r="AK52">
        <x:f>IFERROR(MATCH(51,$F$2:$F$61,0),0)</x:f>
        <x:v>0</x:v>
      </x:c>
      <x:c r="AL52" t="str">
        <x:f>IF(AK52=0,"",INDEX($A$2:$A$61,AK52))</x:f>
        <x:v/>
      </x:c>
      <x:c r="AM52">
        <x:f>IF(AL52="",0,IFERROR(MATCH($AO$5&amp;"-成长-"&amp;AL52,$I$200:$I$1199,0),0))</x:f>
        <x:v>0</x:v>
      </x:c>
    </x:row>
    <x:row r="53">
      <x:c r="A53" t="str">
        <x:f>IF('人物卡'!AG35="","","技能："&amp;'人物卡'!AG35)</x:f>
        <x:v>技能：手术</x:v>
      </x:c>
      <x:c r="B53">
        <x:v>0</x:v>
      </x:c>
      <x:c r="C53">
        <x:f>'人物卡'!AS35</x:f>
        <x:v>0</x:v>
      </x:c>
      <x:c r="D53" t="str">
        <x:f>'人物卡'!AE35</x:f>
        <x:v>☐</x:v>
      </x:c>
      <x:c r="E53">
        <x:f>IF(AND(A53&lt;&gt;"",A53&lt;&gt;"技能：非自然知识",C53&gt;=1,OR(D53="√",D53="☑"),COUNTIFS($A$2:A53,A53,$D$2:D53,"√")+COUNTIFS($A$2:A53,A53,$D$2:D53,"☑")=1),1,0)</x:f>
        <x:v>0</x:v>
      </x:c>
      <x:c r="F53">
        <x:f>IF(E53=1,SUM($E$2:E53),0)</x:f>
        <x:v>0</x:v>
      </x:c>
      <x:c r="L53" t="str">
        <x:f>A35</x:f>
        <x:v/>
      </x:c>
      <x:c r="M53">
        <x:f>C35</x:f>
        <x:v>0</x:v>
      </x:c>
      <x:c r="O53" t="str">
        <x:f>IF(L53="","",COUNTIF($L$2:L53,"?*"))</x:f>
        <x:v/>
      </x:c>
      <x:c r="P53" t="str">
        <x:f>IFERROR(INDEX($L$2:$L$79,MATCH(52,$O$2:$O$79,0)),"")</x:f>
        <x:v>技能：生存</x:v>
      </x:c>
      <x:c r="AK53">
        <x:f>IFERROR(MATCH(52,$F$2:$F$61,0),0)</x:f>
        <x:v>0</x:v>
      </x:c>
      <x:c r="AL53" t="str">
        <x:f>IF(AK53=0,"",INDEX($A$2:$A$61,AK53))</x:f>
        <x:v/>
      </x:c>
      <x:c r="AM53">
        <x:f>IF(AL53="",0,IFERROR(MATCH($AO$5&amp;"-成长-"&amp;AL53,$I$200:$I$1199,0),0))</x:f>
        <x:v>0</x:v>
      </x:c>
    </x:row>
    <x:row r="54">
      <x:c r="A54" t="str">
        <x:f>IF('人物卡'!AG36="","","技能："&amp;'人物卡'!AG36)</x:f>
        <x:v>技能：生存</x:v>
      </x:c>
      <x:c r="B54">
        <x:v>0</x:v>
      </x:c>
      <x:c r="C54">
        <x:f>'人物卡'!AS36</x:f>
        <x:v>10</x:v>
      </x:c>
      <x:c r="D54" t="str">
        <x:f>'人物卡'!AE36</x:f>
        <x:v>☐</x:v>
      </x:c>
      <x:c r="E54">
        <x:f>IF(AND(A54&lt;&gt;"",A54&lt;&gt;"技能：非自然知识",C54&gt;=1,OR(D54="√",D54="☑"),COUNTIFS($A$2:A54,A54,$D$2:D54,"√")+COUNTIFS($A$2:A54,A54,$D$2:D54,"☑")=1),1,0)</x:f>
        <x:v>0</x:v>
      </x:c>
      <x:c r="F54">
        <x:f>IF(E54=1,SUM($E$2:E54),0)</x:f>
        <x:v>0</x:v>
      </x:c>
      <x:c r="L54" t="str">
        <x:f>A36</x:f>
        <x:v/>
      </x:c>
      <x:c r="M54">
        <x:f>C36</x:f>
        <x:v>0</x:v>
      </x:c>
      <x:c r="O54" t="str">
        <x:f>IF(L54="","",COUNTIF($L$2:L54,"?*"))</x:f>
        <x:v/>
      </x:c>
      <x:c r="P54" t="str">
        <x:f>IFERROR(INDEX($L$2:$L$79,MATCH(53,$O$2:$O$79,0)),"")</x:f>
        <x:v>技能：游泳</x:v>
      </x:c>
      <x:c r="AK54">
        <x:f>IFERROR(MATCH(53,$F$2:$F$61,0),0)</x:f>
        <x:v>0</x:v>
      </x:c>
      <x:c r="AL54" t="str">
        <x:f>IF(AK54=0,"",INDEX($A$2:$A$61,AK54))</x:f>
        <x:v/>
      </x:c>
      <x:c r="AM54">
        <x:f>IF(AL54="",0,IFERROR(MATCH($AO$5&amp;"-成长-"&amp;AL54,$I$200:$I$1199,0),0))</x:f>
        <x:v>0</x:v>
      </x:c>
    </x:row>
    <x:row r="55">
      <x:c r="A55" t="str">
        <x:f>IF('人物卡'!AG37="","","技能："&amp;'人物卡'!AG37)</x:f>
        <x:v>技能：游泳</x:v>
      </x:c>
      <x:c r="B55">
        <x:v>0</x:v>
      </x:c>
      <x:c r="C55">
        <x:f>'人物卡'!AS37</x:f>
        <x:v>20</x:v>
      </x:c>
      <x:c r="D55" t="str">
        <x:f>'人物卡'!AE37</x:f>
        <x:v>☐</x:v>
      </x:c>
      <x:c r="E55">
        <x:f>IF(AND(A55&lt;&gt;"",A55&lt;&gt;"技能：非自然知识",C55&gt;=1,OR(D55="√",D55="☑"),COUNTIFS($A$2:A55,A55,$D$2:D55,"√")+COUNTIFS($A$2:A55,A55,$D$2:D55,"☑")=1),1,0)</x:f>
        <x:v>0</x:v>
      </x:c>
      <x:c r="F55">
        <x:f>IF(E55=1,SUM($E$2:E55),0)</x:f>
        <x:v>0</x:v>
      </x:c>
      <x:c r="L55" t="str">
        <x:f>A37</x:f>
        <x:v/>
      </x:c>
      <x:c r="M55">
        <x:f>C37</x:f>
        <x:v>0</x:v>
      </x:c>
      <x:c r="O55" t="str">
        <x:f>IF(L55="","",COUNTIF($L$2:L55,"?*"))</x:f>
        <x:v/>
      </x:c>
      <x:c r="P55" t="str">
        <x:f>IFERROR(INDEX($L$2:$L$79,MATCH(54,$O$2:$O$79,0)),"")</x:f>
        <x:v>技能：徒手搏斗</x:v>
      </x:c>
      <x:c r="AK55">
        <x:f>IFERROR(MATCH(54,$F$2:$F$61,0),0)</x:f>
        <x:v>0</x:v>
      </x:c>
      <x:c r="AL55" t="str">
        <x:f>IF(AK55=0,"",INDEX($A$2:$A$61,AK55))</x:f>
        <x:v/>
      </x:c>
      <x:c r="AM55">
        <x:f>IF(AL55="",0,IFERROR(MATCH($AO$5&amp;"-成长-"&amp;AL55,$I$200:$I$1199,0),0))</x:f>
        <x:v>0</x:v>
      </x:c>
    </x:row>
    <x:row r="56">
      <x:c r="A56" t="str">
        <x:f>IF('人物卡'!AG38="","","技能："&amp;'人物卡'!AG38)</x:f>
        <x:v>技能：徒手搏斗</x:v>
      </x:c>
      <x:c r="B56">
        <x:v>0</x:v>
      </x:c>
      <x:c r="C56">
        <x:f>'人物卡'!AS38</x:f>
        <x:v>40</x:v>
      </x:c>
      <x:c r="D56" t="str">
        <x:f>'人物卡'!AE38</x:f>
        <x:v>☐</x:v>
      </x:c>
      <x:c r="E56">
        <x:f>IF(AND(A56&lt;&gt;"",A56&lt;&gt;"技能：非自然知识",C56&gt;=1,OR(D56="√",D56="☑"),COUNTIFS($A$2:A56,A56,$D$2:D56,"√")+COUNTIFS($A$2:A56,A56,$D$2:D56,"☑")=1),1,0)</x:f>
        <x:v>0</x:v>
      </x:c>
      <x:c r="F56">
        <x:f>IF(E56=1,SUM($E$2:E56),0)</x:f>
        <x:v>0</x:v>
      </x:c>
      <x:c r="L56" t="str">
        <x:f>A38</x:f>
        <x:v>技能：导航</x:v>
      </x:c>
      <x:c r="M56">
        <x:f>C38</x:f>
        <x:v>10</x:v>
      </x:c>
      <x:c r="O56">
        <x:f>IF(L56="","",COUNTIF($L$2:L56,"?*"))</x:f>
        <x:v>42</x:v>
      </x:c>
      <x:c r="P56" t="str">
        <x:f>IFERROR(INDEX($L$2:$L$79,MATCH(55,$O$2:$O$79,0)),"")</x:f>
        <x:v>技能：非自然知识</x:v>
      </x:c>
      <x:c r="AK56">
        <x:f>IFERROR(MATCH(55,$F$2:$F$61,0),0)</x:f>
        <x:v>0</x:v>
      </x:c>
      <x:c r="AL56" t="str">
        <x:f>IF(AK56=0,"",INDEX($A$2:$A$61,AK56))</x:f>
        <x:v/>
      </x:c>
      <x:c r="AM56">
        <x:f>IF(AL56="",0,IFERROR(MATCH($AO$5&amp;"-成长-"&amp;AL56,$I$200:$I$1199,0),0))</x:f>
        <x:v>0</x:v>
      </x:c>
    </x:row>
    <x:row r="57">
      <x:c r="A57" t="str">
        <x:f>IF('人物卡'!AG39="","","技能："&amp;'人物卡'!AG39)</x:f>
        <x:v>技能：非自然知识</x:v>
      </x:c>
      <x:c r="B57">
        <x:v>0</x:v>
      </x:c>
      <x:c r="C57">
        <x:f>'人物卡'!AS39</x:f>
        <x:v>0</x:v>
      </x:c>
      <x:c r="D57" t="str">
        <x:f>'人物卡'!AE39</x:f>
        <x:v>☐</x:v>
      </x:c>
      <x:c r="E57">
        <x:f>IF(AND(A57&lt;&gt;"",A57&lt;&gt;"技能：非自然知识",C57&gt;=1,OR(D57="√",D57="☑"),COUNTIFS($A$2:A57,A57,$D$2:D57,"√")+COUNTIFS($A$2:A57,A57,$D$2:D57,"☑")=1),1,0)</x:f>
        <x:v>0</x:v>
      </x:c>
      <x:c r="F57">
        <x:f>IF(E57=1,SUM($E$2:E57),0)</x:f>
        <x:v>0</x:v>
      </x:c>
      <x:c r="L57" t="str">
        <x:f>A39</x:f>
        <x:v>技能：神秘学</x:v>
      </x:c>
      <x:c r="M57">
        <x:f>C39</x:f>
        <x:v>10</x:v>
      </x:c>
      <x:c r="O57">
        <x:f>IF(L57="","",COUNTIF($L$2:L57,"?*"))</x:f>
        <x:v>43</x:v>
      </x:c>
      <x:c r="P57" t="str">
        <x:f>IFERROR(INDEX($L$2:$L$79,MATCH(56,$O$2:$O$79,0)),"")</x:f>
        <x:v/>
      </x:c>
      <x:c r="AK57">
        <x:f>IFERROR(MATCH(56,$F$2:$F$61,0),0)</x:f>
        <x:v>0</x:v>
      </x:c>
      <x:c r="AL57" t="str">
        <x:f>IF(AK57=0,"",INDEX($A$2:$A$61,AK57))</x:f>
        <x:v/>
      </x:c>
      <x:c r="AM57">
        <x:f>IF(AL57="",0,IFERROR(MATCH($AO$5&amp;"-成长-"&amp;AL57,$I$200:$I$1199,0),0))</x:f>
        <x:v>0</x:v>
      </x:c>
    </x:row>
    <x:row r="58">
      <x:c r="A58" t="str">
        <x:f>IF('人物卡'!AG40="","","技能："&amp;'人物卡'!AG40)</x:f>
        <x:v/>
      </x:c>
      <x:c r="B58">
        <x:v>0</x:v>
      </x:c>
      <x:c r="C58">
        <x:f>'人物卡'!AS40</x:f>
        <x:v>0</x:v>
      </x:c>
      <x:c r="D58" t="str">
        <x:f>'人物卡'!AE40</x:f>
        <x:v>☐</x:v>
      </x:c>
      <x:c r="E58">
        <x:f>IF(AND(A58&lt;&gt;"",A58&lt;&gt;"技能：非自然知识",C58&gt;=1,OR(D58="√",D58="☑"),COUNTIFS($A$2:A58,A58,$D$2:D58,"√")+COUNTIFS($A$2:A58,A58,$D$2:D58,"☑")=1),1,0)</x:f>
        <x:v>0</x:v>
      </x:c>
      <x:c r="F58">
        <x:f>IF(E58=1,SUM($E$2:E58),0)</x:f>
        <x:v>0</x:v>
      </x:c>
      <x:c r="L58" t="str">
        <x:f>A40</x:f>
        <x:v>技能：说服</x:v>
      </x:c>
      <x:c r="M58">
        <x:f>C40</x:f>
        <x:v>20</x:v>
      </x:c>
      <x:c r="O58">
        <x:f>IF(L58="","",COUNTIF($L$2:L58,"?*"))</x:f>
        <x:v>44</x:v>
      </x:c>
      <x:c r="P58" t="str">
        <x:f>IFERROR(INDEX($L$2:$L$79,MATCH(57,$O$2:$O$79,0)),"")</x:f>
        <x:v/>
      </x:c>
      <x:c r="AK58">
        <x:f>IFERROR(MATCH(57,$F$2:$F$61,0),0)</x:f>
        <x:v>0</x:v>
      </x:c>
      <x:c r="AL58" t="str">
        <x:f>IF(AK58=0,"",INDEX($A$2:$A$61,AK58))</x:f>
        <x:v/>
      </x:c>
      <x:c r="AM58">
        <x:f>IF(AL58="",0,IFERROR(MATCH($AO$5&amp;"-成长-"&amp;AL58,$I$200:$I$1199,0),0))</x:f>
        <x:v>0</x:v>
      </x:c>
    </x:row>
    <x:row r="59">
      <x:c r="A59" t="str">
        <x:f>IF('人物卡'!AG41="","","技能："&amp;'人物卡'!AG41)</x:f>
        <x:v/>
      </x:c>
      <x:c r="B59">
        <x:v>0</x:v>
      </x:c>
      <x:c r="C59">
        <x:f>'人物卡'!AS41</x:f>
        <x:v>0</x:v>
      </x:c>
      <x:c r="D59" t="str">
        <x:f>'人物卡'!AE41</x:f>
        <x:v>☐</x:v>
      </x:c>
      <x:c r="E59">
        <x:f>IF(AND(A59&lt;&gt;"",A59&lt;&gt;"技能：非自然知识",C59&gt;=1,OR(D59="√",D59="☑"),COUNTIFS($A$2:A59,A59,$D$2:D59,"√")+COUNTIFS($A$2:A59,A59,$D$2:D59,"☑")=1),1,0)</x:f>
        <x:v>0</x:v>
      </x:c>
      <x:c r="F59">
        <x:f>IF(E59=1,SUM($E$2:E59),0)</x:f>
        <x:v>0</x:v>
      </x:c>
      <x:c r="L59" t="str">
        <x:f>A41</x:f>
        <x:v>技能：药学</x:v>
      </x:c>
      <x:c r="M59">
        <x:f>C41</x:f>
        <x:v>0</x:v>
      </x:c>
      <x:c r="O59">
        <x:f>IF(L59="","",COUNTIF($L$2:L59,"?*"))</x:f>
        <x:v>45</x:v>
      </x:c>
      <x:c r="P59" t="str">
        <x:f>IFERROR(INDEX($L$2:$L$79,MATCH(58,$O$2:$O$79,0)),"")</x:f>
        <x:v/>
      </x:c>
      <x:c r="AK59">
        <x:f>IFERROR(MATCH(58,$F$2:$F$61,0),0)</x:f>
        <x:v>0</x:v>
      </x:c>
      <x:c r="AL59" t="str">
        <x:f>IF(AK59=0,"",INDEX($A$2:$A$61,AK59))</x:f>
        <x:v/>
      </x:c>
      <x:c r="AM59">
        <x:f>IF(AL59="",0,IFERROR(MATCH($AO$5&amp;"-成长-"&amp;AL59,$I$200:$I$1199,0),0))</x:f>
        <x:v>0</x:v>
      </x:c>
    </x:row>
    <x:row r="60">
      <x:c r="A60" t="str">
        <x:f>IF('人物卡'!AG42="","","技能："&amp;'人物卡'!AG42)</x:f>
        <x:v/>
      </x:c>
      <x:c r="B60">
        <x:v>0</x:v>
      </x:c>
      <x:c r="C60">
        <x:f>'人物卡'!AS42</x:f>
        <x:v>0</x:v>
      </x:c>
      <x:c r="D60" t="str">
        <x:f>'人物卡'!AE42</x:f>
        <x:v>☐</x:v>
      </x:c>
      <x:c r="E60">
        <x:f>IF(AND(A60&lt;&gt;"",A60&lt;&gt;"技能：非自然知识",C60&gt;=1,OR(D60="√",D60="☑"),COUNTIFS($A$2:A60,A60,$D$2:D60,"√")+COUNTIFS($A$2:A60,A60,$D$2:D60,"☑")=1),1,0)</x:f>
        <x:v>0</x:v>
      </x:c>
      <x:c r="F60">
        <x:f>IF(E60=1,SUM($E$2:E60),0)</x:f>
        <x:v>0</x:v>
      </x:c>
      <x:c r="L60" t="str">
        <x:f>A42</x:f>
        <x:v/>
      </x:c>
      <x:c r="M60">
        <x:f>C42</x:f>
        <x:v>0</x:v>
      </x:c>
      <x:c r="O60" t="str">
        <x:f>IF(L60="","",COUNTIF($L$2:L60,"?*"))</x:f>
        <x:v/>
      </x:c>
      <x:c r="P60" t="str">
        <x:f>IFERROR(INDEX($L$2:$L$79,MATCH(59,$O$2:$O$79,0)),"")</x:f>
        <x:v/>
      </x:c>
      <x:c r="AK60">
        <x:f>IFERROR(MATCH(59,$F$2:$F$61,0),0)</x:f>
        <x:v>0</x:v>
      </x:c>
      <x:c r="AL60" t="str">
        <x:f>IF(AK60=0,"",INDEX($A$2:$A$61,AK60))</x:f>
        <x:v/>
      </x:c>
      <x:c r="AM60">
        <x:f>IF(AL60="",0,IFERROR(MATCH($AO$5&amp;"-成长-"&amp;AL60,$I$200:$I$1199,0),0))</x:f>
        <x:v>0</x:v>
      </x:c>
    </x:row>
    <x:row r="61">
      <x:c r="A61" t="str">
        <x:f>IF('人物卡'!AG43="","","技能："&amp;'人物卡'!AG43)</x:f>
        <x:v/>
      </x:c>
      <x:c r="B61">
        <x:v>0</x:v>
      </x:c>
      <x:c r="C61">
        <x:f>'人物卡'!AS43</x:f>
        <x:v>0</x:v>
      </x:c>
      <x:c r="D61" t="str">
        <x:f>'人物卡'!AE43</x:f>
        <x:v>☐</x:v>
      </x:c>
      <x:c r="E61">
        <x:f>IF(AND(A61&lt;&gt;"",A61&lt;&gt;"技能：非自然知识",C61&gt;=1,OR(D61="√",D61="☑"),COUNTIFS($A$2:A61,A61,$D$2:D61,"√")+COUNTIFS($A$2:A61,A61,$D$2:D61,"☑")=1),1,0)</x:f>
        <x:v>0</x:v>
      </x:c>
      <x:c r="F61">
        <x:f>IF(E61=1,SUM($E$2:E61),0)</x:f>
        <x:v>0</x:v>
      </x:c>
      <x:c r="L61" t="str">
        <x:f>A43</x:f>
        <x:v/>
      </x:c>
      <x:c r="M61">
        <x:f>C43</x:f>
        <x:v>0</x:v>
      </x:c>
      <x:c r="O61" t="str">
        <x:f>IF(L61="","",COUNTIF($L$2:L61,"?*"))</x:f>
        <x:v/>
      </x:c>
      <x:c r="P61" t="str">
        <x:f>IFERROR(INDEX($L$2:$L$79,MATCH(60,$O$2:$O$79,0)),"")</x:f>
        <x:v/>
      </x:c>
      <x:c r="AK61">
        <x:f>IFERROR(MATCH(60,$F$2:$F$61,0),0)</x:f>
        <x:v>0</x:v>
      </x:c>
      <x:c r="AL61" t="str">
        <x:f>IF(AK61=0,"",INDEX($A$2:$A$61,AK61))</x:f>
        <x:v/>
      </x:c>
      <x:c r="AM61">
        <x:f>IF(AL61="",0,IFERROR(MATCH($AO$5&amp;"-成长-"&amp;AL61,$I$200:$I$1199,0),0))</x:f>
        <x:v>0</x:v>
      </x:c>
    </x:row>
    <x:row r="62">
      <x:c r="L62" t="str">
        <x:f>A44</x:f>
        <x:v/>
      </x:c>
      <x:c r="M62">
        <x:f>C44</x:f>
        <x:v>0</x:v>
      </x:c>
      <x:c r="O62" t="str">
        <x:f>IF(L62="","",COUNTIF($L$2:L62,"?*"))</x:f>
        <x:v/>
      </x:c>
      <x:c r="P62" t="str">
        <x:f>IFERROR(INDEX($L$2:$L$79,MATCH(61,$O$2:$O$79,0)),"")</x:f>
        <x:v/>
      </x:c>
    </x:row>
    <x:row r="63">
      <x:c r="L63" t="str">
        <x:f>A45</x:f>
        <x:v>技能：精神治疗</x:v>
      </x:c>
      <x:c r="M63">
        <x:f>C45</x:f>
        <x:v>10</x:v>
      </x:c>
      <x:c r="O63">
        <x:f>IF(L63="","",COUNTIF($L$2:L63,"?*"))</x:f>
        <x:v>46</x:v>
      </x:c>
      <x:c r="P63" t="str">
        <x:f>IFERROR(INDEX($L$2:$L$79,MATCH(62,$O$2:$O$79,0)),"")</x:f>
        <x:v/>
      </x:c>
    </x:row>
    <x:row r="64">
      <x:c r="L64" t="str">
        <x:f>A46</x:f>
        <x:v>技能：骑术</x:v>
      </x:c>
      <x:c r="M64">
        <x:f>C46</x:f>
        <x:v>10</x:v>
      </x:c>
      <x:c r="O64">
        <x:f>IF(L64="","",COUNTIF($L$2:L64,"?*"))</x:f>
        <x:v>47</x:v>
      </x:c>
      <x:c r="P64" t="str">
        <x:f>IFERROR(INDEX($L$2:$L$79,MATCH(63,$O$2:$O$79,0)),"")</x:f>
        <x:v/>
      </x:c>
    </x:row>
    <x:row r="65">
      <x:c r="L65" t="str">
        <x:f>A47</x:f>
        <x:v/>
      </x:c>
      <x:c r="M65">
        <x:f>C47</x:f>
        <x:v>0</x:v>
      </x:c>
      <x:c r="O65" t="str">
        <x:f>IF(L65="","",COUNTIF($L$2:L65,"?*"))</x:f>
        <x:v/>
      </x:c>
      <x:c r="P65" t="str">
        <x:f>IFERROR(INDEX($L$2:$L$79,MATCH(64,$O$2:$O$79,0)),"")</x:f>
        <x:v/>
      </x:c>
    </x:row>
    <x:row r="66">
      <x:c r="L66" t="str">
        <x:f>A48</x:f>
        <x:v/>
      </x:c>
      <x:c r="M66">
        <x:f>C48</x:f>
        <x:v>0</x:v>
      </x:c>
      <x:c r="O66" t="str">
        <x:f>IF(L66="","",COUNTIF($L$2:L66,"?*"))</x:f>
        <x:v/>
      </x:c>
      <x:c r="P66" t="str">
        <x:f>IFERROR(INDEX($L$2:$L$79,MATCH(65,$O$2:$O$79,0)),"")</x:f>
        <x:v/>
      </x:c>
    </x:row>
    <x:row r="67">
      <x:c r="L67" t="str">
        <x:f>A49</x:f>
        <x:v/>
      </x:c>
      <x:c r="M67">
        <x:f>C49</x:f>
        <x:v>0</x:v>
      </x:c>
      <x:c r="O67" t="str">
        <x:f>IF(L67="","",COUNTIF($L$2:L67,"?*"))</x:f>
        <x:v/>
      </x:c>
      <x:c r="P67" t="str">
        <x:f>IFERROR(INDEX($L$2:$L$79,MATCH(66,$O$2:$O$79,0)),"")</x:f>
        <x:v/>
      </x:c>
    </x:row>
    <x:row r="68">
      <x:c r="L68" t="str">
        <x:f>A50</x:f>
        <x:v>技能：搜寻</x:v>
      </x:c>
      <x:c r="M68">
        <x:f>C50</x:f>
        <x:v>20</x:v>
      </x:c>
      <x:c r="O68">
        <x:f>IF(L68="","",COUNTIF($L$2:L68,"?*"))</x:f>
        <x:v>48</x:v>
      </x:c>
      <x:c r="P68" t="str">
        <x:f>IFERROR(INDEX($L$2:$L$79,MATCH(67,$O$2:$O$79,0)),"")</x:f>
        <x:v/>
      </x:c>
    </x:row>
    <x:row r="69">
      <x:c r="L69" t="str">
        <x:f>A51</x:f>
        <x:v>技能：信号情报</x:v>
      </x:c>
      <x:c r="M69">
        <x:f>C51</x:f>
        <x:v>0</x:v>
      </x:c>
      <x:c r="O69">
        <x:f>IF(L69="","",COUNTIF($L$2:L69,"?*"))</x:f>
        <x:v>49</x:v>
      </x:c>
      <x:c r="P69" t="str">
        <x:f>IFERROR(INDEX($L$2:$L$79,MATCH(68,$O$2:$O$79,0)),"")</x:f>
        <x:v/>
      </x:c>
    </x:row>
    <x:row r="70">
      <x:c r="L70" t="str">
        <x:f>A52</x:f>
        <x:v>技能：潜藏</x:v>
      </x:c>
      <x:c r="M70">
        <x:f>C52</x:f>
        <x:v>10</x:v>
      </x:c>
      <x:c r="O70">
        <x:f>IF(L70="","",COUNTIF($L$2:L70,"?*"))</x:f>
        <x:v>50</x:v>
      </x:c>
      <x:c r="P70" t="str">
        <x:f>IFERROR(INDEX($L$2:$L$79,MATCH(69,$O$2:$O$79,0)),"")</x:f>
        <x:v/>
      </x:c>
    </x:row>
    <x:row r="71">
      <x:c r="L71" t="str">
        <x:f>A53</x:f>
        <x:v>技能：手术</x:v>
      </x:c>
      <x:c r="M71">
        <x:f>C53</x:f>
        <x:v>0</x:v>
      </x:c>
      <x:c r="O71">
        <x:f>IF(L71="","",COUNTIF($L$2:L71,"?*"))</x:f>
        <x:v>51</x:v>
      </x:c>
      <x:c r="P71" t="str">
        <x:f>IFERROR(INDEX($L$2:$L$79,MATCH(70,$O$2:$O$79,0)),"")</x:f>
        <x:v/>
      </x:c>
    </x:row>
    <x:row r="72">
      <x:c r="L72" t="str">
        <x:f>A54</x:f>
        <x:v>技能：生存</x:v>
      </x:c>
      <x:c r="M72">
        <x:f>C54</x:f>
        <x:v>10</x:v>
      </x:c>
      <x:c r="O72">
        <x:f>IF(L72="","",COUNTIF($L$2:L72,"?*"))</x:f>
        <x:v>52</x:v>
      </x:c>
      <x:c r="P72" t="str">
        <x:f>IFERROR(INDEX($L$2:$L$79,MATCH(71,$O$2:$O$79,0)),"")</x:f>
        <x:v/>
      </x:c>
    </x:row>
    <x:row r="73">
      <x:c r="L73" t="str">
        <x:f>A55</x:f>
        <x:v>技能：游泳</x:v>
      </x:c>
      <x:c r="M73">
        <x:f>C55</x:f>
        <x:v>20</x:v>
      </x:c>
      <x:c r="O73">
        <x:f>IF(L73="","",COUNTIF($L$2:L73,"?*"))</x:f>
        <x:v>53</x:v>
      </x:c>
      <x:c r="P73" t="str">
        <x:f>IFERROR(INDEX($L$2:$L$79,MATCH(72,$O$2:$O$79,0)),"")</x:f>
        <x:v/>
      </x:c>
    </x:row>
    <x:row r="74">
      <x:c r="L74" t="str">
        <x:f>A56</x:f>
        <x:v>技能：徒手搏斗</x:v>
      </x:c>
      <x:c r="M74">
        <x:f>C56</x:f>
        <x:v>40</x:v>
      </x:c>
      <x:c r="O74">
        <x:f>IF(L74="","",COUNTIF($L$2:L74,"?*"))</x:f>
        <x:v>54</x:v>
      </x:c>
      <x:c r="P74" t="str">
        <x:f>IFERROR(INDEX($L$2:$L$79,MATCH(73,$O$2:$O$79,0)),"")</x:f>
        <x:v/>
      </x:c>
    </x:row>
    <x:row r="75">
      <x:c r="L75" t="str">
        <x:f>A57</x:f>
        <x:v>技能：非自然知识</x:v>
      </x:c>
      <x:c r="M75">
        <x:f>C57</x:f>
        <x:v>0</x:v>
      </x:c>
      <x:c r="O75">
        <x:f>IF(L75="","",COUNTIF($L$2:L75,"?*"))</x:f>
        <x:v>55</x:v>
      </x:c>
      <x:c r="P75" t="str">
        <x:f>IFERROR(INDEX($L$2:$L$79,MATCH(74,$O$2:$O$79,0)),"")</x:f>
        <x:v/>
      </x:c>
    </x:row>
    <x:row r="76">
      <x:c r="L76" t="str">
        <x:f>A58</x:f>
        <x:v/>
      </x:c>
      <x:c r="M76">
        <x:f>C58</x:f>
        <x:v>0</x:v>
      </x:c>
      <x:c r="O76" t="str">
        <x:f>IF(L76="","",COUNTIF($L$2:L76,"?*"))</x:f>
        <x:v/>
      </x:c>
      <x:c r="P76" t="str">
        <x:f>IFERROR(INDEX($L$2:$L$79,MATCH(75,$O$2:$O$79,0)),"")</x:f>
        <x:v/>
      </x:c>
    </x:row>
    <x:row r="77">
      <x:c r="L77" t="str">
        <x:f>A59</x:f>
        <x:v/>
      </x:c>
      <x:c r="M77">
        <x:f>C59</x:f>
        <x:v>0</x:v>
      </x:c>
      <x:c r="O77" t="str">
        <x:f>IF(L77="","",COUNTIF($L$2:L77,"?*"))</x:f>
        <x:v/>
      </x:c>
      <x:c r="P77" t="str">
        <x:f>IFERROR(INDEX($L$2:$L$79,MATCH(76,$O$2:$O$79,0)),"")</x:f>
        <x:v/>
      </x:c>
    </x:row>
    <x:row r="78">
      <x:c r="L78" t="str">
        <x:f>A60</x:f>
        <x:v/>
      </x:c>
      <x:c r="M78">
        <x:f>C60</x:f>
        <x:v>0</x:v>
      </x:c>
      <x:c r="O78" t="str">
        <x:f>IF(L78="","",COUNTIF($L$2:L78,"?*"))</x:f>
        <x:v/>
      </x:c>
      <x:c r="P78" t="str">
        <x:f>IFERROR(INDEX($L$2:$L$79,MATCH(77,$O$2:$O$79,0)),"")</x:f>
        <x:v/>
      </x:c>
    </x:row>
    <x:row r="79">
      <x:c r="L79" t="str">
        <x:f>A61</x:f>
        <x:v/>
      </x:c>
      <x:c r="M79">
        <x:f>C61</x:f>
        <x:v>0</x:v>
      </x:c>
      <x:c r="O79" t="str">
        <x:f>IF(L79="","",COUNTIF($L$2:L79,"?*"))</x:f>
        <x:v/>
      </x:c>
      <x:c r="P79" t="str">
        <x:f>IFERROR(INDEX($L$2:$L$79,MATCH(78,$O$2:$O$79,0)),"")</x:f>
        <x:v/>
      </x:c>
    </x:row>
    <x:row r="100">
      <x:c r="A100" t="str">
        <x:f>IF(AND('幕间与结算'!$B$74="建立新的重要关系",NOT(OR('幕间与结算'!$F$74="成功",'幕间与结算'!$F$74="大成功"))),"无数值变化",IF(OR('幕间与结算'!$B$74="远离喧嚣",'幕间与结算'!$B$74="接受心理治疗",'幕间与结算'!$B$74="重建人生动力",'幕间与结算'!$B$74="回顾案件"),"理智",IF('幕间与结算'!$B$74="研究非自然知识","技能：非自然知识",IF('幕间与结算'!$B$74="进行特训","无数值变化",IF('幕间与结算'!$B$74="","",'幕间与结算'!$B$75)))))</x:f>
        <x:v/>
      </x:c>
      <x:c r="B100">
        <x:f>IF('幕间与结算'!$B$74="建立新的重要关系",0,IFERROR(INDEX($M$2:$M$79,MATCH(A100,$L$2:$L$79,0)),0))</x:f>
        <x:v>0</x:v>
      </x:c>
      <x:c r="C100">
        <x:f>IF('幕间与结算'!$B$74="按部就班",IF(OR('幕间与结算'!$F$74="成功",'幕间与结算'!$F$74="大成功"),N('幕间与结算'!$I$75),IF('幕间与结算'!$F$74="失败",1,IF('幕间与结算'!$F$74="大失败",-N('幕间与结算'!$I$75),0))),IF('幕间与结算'!$B$74="远离喧嚣",IF('幕间与结算'!$F$74="大成功",4,IF('幕间与结算'!$F$74="失败",1,IF('幕间与结算'!$F$74="大失败",-N('幕间与结算'!$I$75),N('幕间与结算'!$I$75)))),IF('幕间与结算'!$B$74="建立新的重要关系",IF(OR('幕间与结算'!$F$74="成功",'幕间与结算'!$F$74="大成功"),ROUNDUP('人物卡'!AH8/2,0),0),IF('幕间与结算'!$B$74="接受心理治疗",IF('幕间与结算'!$F$74="大成功",IF('幕间与结算'!$I$74="如实告知",6,4),IF('幕间与结算'!$F$74="大失败",-1,IF('幕间与结算'!$F$74="失败",IF('幕间与结算'!$I$74="如实告知",1,0),N('幕间与结算'!$I$75)))),IF('幕间与结算'!$B$74="提升技能或属性",IF(OR('幕间与结算'!$F$74="失败",'幕间与结算'!$F$74="大失败"),IF(LEFT(A100,3)="技能：",N('幕间与结算'!$I$75),1),0),IF('幕间与结算'!$B$74="重建人生动力",IF('幕间与结算'!$F$74="成功",1,IF('幕间与结算'!$F$74="大成功",N('幕间与结算'!$I$75),IF('幕间与结算'!$F$74="大失败",-1,0))),IF('幕间与结算'!$B$74="回顾案件",N('幕间与结算'!$I$75)-3,IF('幕间与结算'!$B$74="研究非自然知识",N('幕间与结算'!$I$75),0))))))))</x:f>
        <x:v>0</x:v>
      </x:c>
      <x:c r="D100">
        <x:f>IF(A100="",0,IF(C100&gt;0,MIN(C100,MAX(0,IF(LEFT(A100,3)="技能：",99,IF(COUNTIF($L$2:$L$7,A100)&gt;0,18,IF(COUNTIF($X$2:$X$8,A100)&gt;0,'人物卡'!AH8,IF(A100="理智",IF('幕间与结算'!$B$74="回顾案件",'人物卡'!AK10,MIN('人物卡'!AK10,'人物卡'!AH7*5)),999))))-B100)),MAX(C100,-B100)))</x:f>
        <x:v>0</x:v>
      </x:c>
      <x:c r="R100">
        <x:f>IF(OR('幕间与结算'!$B$74="远离喧嚣",'幕间与结算'!$B$74="接受心理治疗",'幕间与结算'!$B$74="进行特训",'幕间与结算'!$B$74="回顾案件"),1,IF(OR('幕间与结算'!$B$74="建立新的重要关系",'幕间与结算'!$B$74="重建人生动力"),IF(OR('幕间与结算'!$F$74="成功",'幕间与结算'!$F$74="大成功"),1,0),IF('幕间与结算'!$B$74="提升技能或属性",IF(D100&gt;0,1,0),IF('幕间与结算'!$B$74="研究非自然知识",IF(D100&gt;0,1,0),0))))</x:f>
        <x:v>0</x:v>
      </x:c>
      <x:c r="T100" t="str">
        <x:f>IF(COUNTIFS('幕间与结算'!$A$107:$A$1106,'幕间与结算'!$B$3,'幕间与结算'!$B$107:$B$1106,"幕间1",'幕间与结算'!$K$107:$K$1106,"已计入")&gt;0,"已归档",IF('幕间与结算'!$B$74="","",IF(COUNTIF($U$2:$U$10,'幕间与结算'!$B$74)=0,"选择幕间事项",IF(COUNTIF($W$2:$W$21,$AO$5)=0,"选择模组编号",IF(COUNTIF('幕间与结算'!$K$10:$K$69,"可归档")+COUNTIF('幕间与结算'!$K$10:$K$69,"待填1D4")&gt;0,"先归档技能结算",IF(AND(NOT(OR('幕间与结算'!$B$74="进行特训",'幕间与结算'!$B$74="回顾案件",'幕间与结算'!$B$74="研究非自然知识")),NOT(OR('幕间与结算'!$F$74="成功",'幕间与结算'!$F$74="失败",'幕间与结算'!$F$74="大成功",'幕间与结算'!$F$74="大失败"))),"选择检定结果",IF(AND(OR('幕间与结算'!$B$74="按部就班",'幕间与结算'!$B$74="建立新的重要关系"),COUNTIF($X$2:$X$8,'幕间与结算'!$B$75)=0),"选择目标关系",IF(AND('幕间与结算'!$B$74="按部就班",IFERROR(INDEX($AA$2:$AA$8,MATCH('幕间与结算'!$B$75,$X$2:$X$8,0)),"")="√"),"选择非DG关系",IF(AND('幕间与结算'!$B$74="提升技能或属性",NOT(AND('幕间与结算'!$B$75&lt;&gt;"技能：非自然知识",OR(COUNTIF($L$20:$L$79,'幕间与结算'!$B$75)&gt;0,COUNTIF($L$2:$L$7,'幕间与结算'!$B$75)&gt;0)))),"选择技能或属性",IF(AND('幕间与结算'!$B$74="提升技能或属性",'幕间与结算'!$B$76&lt;&gt;"",OR(NOT(AND('幕间与结算'!$B$76&lt;&gt;"技能：非自然知识",OR(COUNTIF($L$20:$L$79,'幕间与结算'!$B$76)&gt;0,COUNTIF($L$2:$L$7,'幕间与结算'!$B$76)&gt;0))),'幕间与结算'!$B$76='幕间与结算'!$B$75)),"目标2需为不同技能或属性",IF(AND('幕间与结算'!$B$74="提升技能或属性",'幕间与结算'!$B$76&lt;&gt;"",NOT(OR('幕间与结算'!$F$76="成功",'幕间与结算'!$F$76="失败",'幕间与结算'!$F$76="大成功",'幕间与结算'!$F$76="大失败"))),"选择目标2结果",IF(AND(AND('幕间与结算'!$B$74="按部就班",OR('幕间与结算'!$F$74="成功",'幕间与结算'!$F$74="大成功")),NOT(AND(ISNUMBER('幕间与结算'!$I$75),'幕间与结算'!$I$75&gt;=1,'幕间与结算'!$I$75&lt;=6,MOD('幕间与结算'!$I$75,1)=0))),"填写正确骰点／增长",IF(AND(AND('幕间与结算'!$B$74="按部就班",'幕间与结算'!$F$74="大失败"),NOT(AND(ISNUMBER('幕间与结算'!$I$75),'幕间与结算'!$I$75&gt;=1,'幕间与结算'!$I$75&lt;=4,MOD('幕间与结算'!$I$75,1)=0))),"填写正确骰点／增长",IF(AND(AND('幕间与结算'!$B$74="远离喧嚣",OR('幕间与结算'!$F$74="成功",'幕间与结算'!$F$74="大失败")),NOT(AND(ISNUMBER('幕间与结算'!$I$75),'幕间与结算'!$I$75&gt;=1,'幕间与结算'!$I$75&lt;=4,MOD('幕间与结算'!$I$75,1)=0))),"填写正确骰点／增长",IF(AND(AND('幕间与结算'!$B$74="接受心理治疗",'幕间与结算'!$F$74="成功"),NOT(AND(ISNUMBER('幕间与结算'!$I$75),'幕间与结算'!$I$75&gt;=1,'幕间与结算'!$I$75&lt;=IF('幕间与结算'!$I$74="如实告知",6,4),MOD('幕间与结算'!$I$75,1)=0))),"填写正确骰点／增长",IF(AND(AND('幕间与结算'!$B$74="提升技能或属性",OR('幕间与结算'!$F$74="失败",'幕间与结算'!$F$74="大失败"),LEFT('幕间与结算'!$B$75,3)="技能："),NOT(AND(ISNUMBER('幕间与结算'!$I$75),'幕间与结算'!$I$75&gt;=3,'幕间与结算'!$I$75&lt;=18,MOD('幕间与结算'!$I$75,1)=0))),"填写正确骰点／增长",IF(AND(AND('幕间与结算'!$B$74="重建人生动力",'幕间与结算'!$F$74="大成功"),NOT(AND(ISNUMBER('幕间与结算'!$I$75),'幕间与结算'!$I$75&gt;=1,'幕间与结算'!$I$75&lt;=4,MOD('幕间与结算'!$I$75,1)=0))),"填写正确骰点／增长",IF(AND('幕间与结算'!$B$74="回顾案件",NOT(AND(ISNUMBER('幕间与结算'!$I$75),'幕间与结算'!$I$75&gt;=1,'幕间与结算'!$I$75&lt;=6,MOD('幕间与结算'!$I$75,1)=0))),"填写正确骰点／增长",IF(AND('幕间与结算'!$B$74="研究非自然知识",NOT(AND(ISNUMBER('幕间与结算'!$I$75),'幕间与结算'!$I$75&gt;=0,'幕间与结算'!$I$75&lt;=99,MOD('幕间与结算'!$I$75,1)=0))),"填写正确骰点／增长",IF(AND('幕间与结算'!$B$74="提升技能或属性",'幕间与结算'!$B$76&lt;&gt;"",OR('幕间与结算'!$F$76="失败",'幕间与结算'!$F$76="大失败"),LEFT('幕间与结算'!$B$76,3)="技能：",NOT(AND(ISNUMBER('幕间与结算'!$I$76),'幕间与结算'!$I$76&gt;=3,'幕间与结算'!$I$76&lt;=18,MOD('幕间与结算'!$I$76,1)=0))),"填写目标2的3D6",IF(AND(R100=1,IF('幕间与结算'!$B$74="研究非自然知识",$AB$3,$AB$2)&gt;0,COUNTIF($X$2:$X$8,'幕间与结算'!$B$77)=0),"选择代价关系",IF(AND(R100=1,IF('幕间与结算'!$B$74="研究非自然知识",$AB$3,$AB$2)&gt;0,IFERROR(INDEX($Z$2:$Z$8,MATCH('幕间与结算'!$B$77,$X$2:$X$8,0)),0)&lt;=0),"选择仍有效的关系",IF(AND(R100=1,IF('幕间与结算'!$B$74="研究非自然知识",$AB$3,$AB$2)&gt;0,NOT('幕间与结算'!$B$74="研究非自然知识"),IFERROR(INDEX($AA$2:$AA$8,MATCH('幕间与结算'!$B$77,$X$2:$X$8,0)),"")="√"),"代价请选择非DG关系",IF(AND(R101=1,IF('幕间与结算'!$B$74="研究非自然知识",$AB$3,$AB$2)&gt;0,COUNTIF($X$2:$X$8,'幕间与结算'!$F$77)=0),"选择代价关系",IF(AND(R101=1,IF('幕间与结算'!$B$74="研究非自然知识",$AB$3,$AB$2)&gt;0,IFERROR(INDEX($Z$2:$Z$8,MATCH('幕间与结算'!$F$77,$X$2:$X$8,0)),0)&lt;=0),"选择仍有效的关系",IF(AND(R101=1,IF('幕间与结算'!$B$74="研究非自然知识",$AB$3,$AB$2)&gt;0,NOT('幕间与结算'!$B$74="研究非自然知识"),IFERROR(INDEX($AA$2:$AA$8,MATCH('幕间与结算'!$F$77,$X$2:$X$8,0)),"")="√"),"代价请选择非DG关系",IF(AND('幕间与结算'!$B$74="研究非自然知识",R100=1,$AB$3&gt;0,NOT(AND(ISNUMBER('幕间与结算'!$I$77),'幕间与结算'!$I$77&gt;=1,'幕间与结算'!$I$77&lt;=4,MOD('幕间与结算'!$I$77,1)=0))),"填写关系代价1D4",IF(AND('幕间与结算'!$B$74="建立新的重要关系",'幕间与结算'!$B$75='幕间与结算'!$B$77,R100=1),"新旧关系不能相同","可归档"))))))))))))))))))))))))))))</x:f>
        <x:v/>
      </x:c>
      <x:c r="V100">
        <x:f>IFERROR(MATCH('幕间计算'!$AO$5&amp;"-幕间1-1",$I$200:$I$1199,0),0)</x:f>
        <x:v>0</x:v>
      </x:c>
    </x:row>
    <x:row r="101">
      <x:c r="A101" t="str">
        <x:f>IF('幕间与结算'!$B$74="提升技能或属性",'幕间与结算'!$B$76,IF('幕间与结算'!$B$74="按部就班","理智",""))</x:f>
        <x:v/>
      </x:c>
      <x:c r="B101">
        <x:f>IFERROR(INDEX($M$2:$M$79,MATCH(A101,$L$2:$L$79,0)),0)</x:f>
        <x:v>0</x:v>
      </x:c>
      <x:c r="C101">
        <x:f>IF('幕间与结算'!$B$74="提升技能或属性",IF(OR('幕间与结算'!$F$76="失败",'幕间与结算'!$F$76="大失败"),IF(LEFT(A101,3)="技能：",N('幕间与结算'!$I$76),1),0),IF('幕间与结算'!$F$74="大成功",1,IF('幕间与结算'!$F$74="大失败",-1,0)))</x:f>
        <x:v>0</x:v>
      </x:c>
      <x:c r="D101">
        <x:f>IF(A101="",0,IF(C101&gt;0,MIN(C101,MAX(0,IF(LEFT(A101,3)="技能：",99,IF(COUNTIF($L$2:$L$7,A101)&gt;0,18,IF(COUNTIF($X$2:$X$8,A101)&gt;0,'人物卡'!AH8,IF(A101="理智",IF('幕间与结算'!$B$74="回顾案件",'人物卡'!AK10,MIN('人物卡'!AK10,'人物卡'!AH7*5)),999))))-B101)),MAX(C101,-B101)))</x:f>
        <x:v>0</x:v>
      </x:c>
      <x:c r="R101">
        <x:f>IF(AND('幕间与结算'!$B$74="提升技能或属性",D101&gt;0),1,0)</x:f>
        <x:v>0</x:v>
      </x:c>
      <x:c r="V101">
        <x:f>IFERROR(MATCH('幕间计算'!$AO$5&amp;"-幕间1-2",$I$200:$I$1199,0),0)</x:f>
        <x:v>0</x:v>
      </x:c>
    </x:row>
    <x:row r="102">
      <x:c r="A102" t="str">
        <x:f>IF(AND(R100=1,IF('幕间与结算'!$B$74="研究非自然知识",$AB$3,$AB$2)&gt;0),'幕间与结算'!$B$77,"")</x:f>
        <x:v/>
      </x:c>
      <x:c r="B102">
        <x:f>IFERROR(INDEX($M$2:$M$79,MATCH(A102,$L$2:$L$79,0)),0)</x:f>
        <x:v>0</x:v>
      </x:c>
      <x:c r="C102">
        <x:f>IF(A102="",0,IF('幕间与结算'!$B$74="研究非自然知识",-N('幕间与结算'!$I$77),-1))</x:f>
        <x:v>0</x:v>
      </x:c>
      <x:c r="D102">
        <x:f>MAX(-B102,C102)</x:f>
        <x:v>0</x:v>
      </x:c>
      <x:c r="V102">
        <x:f>IFERROR(MATCH('幕间计算'!$AO$5&amp;"-幕间1-3",$I$200:$I$1199,0),0)</x:f>
        <x:v>0</x:v>
      </x:c>
    </x:row>
    <x:row r="103">
      <x:c r="A103" t="str">
        <x:f>IF(AND(R101=1,IF('幕间与结算'!$B$74="研究非自然知识",$AB$3,$AB$2)&gt;0),'幕间与结算'!$F$77,"")</x:f>
        <x:v/>
      </x:c>
      <x:c r="B103">
        <x:f>IFERROR(INDEX($M$2:$M$79,MATCH(A103,$L$2:$L$79,0)),0)+IF(A103=A102,D102,0)</x:f>
        <x:v>0</x:v>
      </x:c>
      <x:c r="C103">
        <x:f>IF(A103="",0,IF('幕间与结算'!$B$74="研究非自然知识",-N('幕间与结算'!$I$77),-1))</x:f>
        <x:v>0</x:v>
      </x:c>
      <x:c r="D103">
        <x:f>MAX(-B103,C103)</x:f>
        <x:v>0</x:v>
      </x:c>
      <x:c r="V103">
        <x:f>IFERROR(MATCH('幕间计算'!$AO$5&amp;"-幕间1-4",$I$200:$I$1199,0),0)</x:f>
        <x:v>0</x:v>
      </x:c>
    </x:row>
    <x:row r="104">
      <x:c r="A104" t="inlineStr">
        <x:is>
          <x:t/>
        </x:is>
      </x:c>
      <x:c r="B104">
        <x:v>0</x:v>
      </x:c>
      <x:c r="C104">
        <x:v>0</x:v>
      </x:c>
      <x:c r="D104">
        <x:v>0</x:v>
      </x:c>
      <x:c r="V104">
        <x:f>IFERROR(MATCH('幕间计算'!$AO$5&amp;"-幕间1-5",$I$200:$I$1199,0),0)</x:f>
        <x:v>0</x:v>
      </x:c>
    </x:row>
    <x:row r="110">
      <x:c r="A110" t="str">
        <x:f>IF(AND('幕间与结算'!$B$90="建立新的重要关系",NOT(OR('幕间与结算'!$F$90="成功",'幕间与结算'!$F$90="大成功"))),"无数值变化",IF(OR('幕间与结算'!$B$90="远离喧嚣",'幕间与结算'!$B$90="接受心理治疗",'幕间与结算'!$B$90="重建人生动力",'幕间与结算'!$B$90="回顾案件"),"理智",IF('幕间与结算'!$B$90="研究非自然知识","技能：非自然知识",IF('幕间与结算'!$B$90="进行特训","无数值变化",IF('幕间与结算'!$B$90="","",'幕间与结算'!$B$91)))))</x:f>
        <x:v/>
      </x:c>
      <x:c r="B110">
        <x:f>IF('幕间与结算'!$B$90="建立新的重要关系",0,IFERROR(INDEX($M$2:$M$79,MATCH(A110,$L$2:$L$79,0)),0))</x:f>
        <x:v>0</x:v>
      </x:c>
      <x:c r="C110">
        <x:f>IF('幕间与结算'!$B$90="按部就班",IF(OR('幕间与结算'!$F$90="成功",'幕间与结算'!$F$90="大成功"),N('幕间与结算'!$I$91),IF('幕间与结算'!$F$90="失败",1,IF('幕间与结算'!$F$90="大失败",-N('幕间与结算'!$I$91),0))),IF('幕间与结算'!$B$90="远离喧嚣",IF('幕间与结算'!$F$90="大成功",4,IF('幕间与结算'!$F$90="失败",1,IF('幕间与结算'!$F$90="大失败",-N('幕间与结算'!$I$91),N('幕间与结算'!$I$91)))),IF('幕间与结算'!$B$90="建立新的重要关系",IF(OR('幕间与结算'!$F$90="成功",'幕间与结算'!$F$90="大成功"),ROUNDUP('人物卡'!AH8/2,0),0),IF('幕间与结算'!$B$90="接受心理治疗",IF('幕间与结算'!$F$90="大成功",IF('幕间与结算'!$I$90="如实告知",6,4),IF('幕间与结算'!$F$90="大失败",-1,IF('幕间与结算'!$F$90="失败",IF('幕间与结算'!$I$90="如实告知",1,0),N('幕间与结算'!$I$91)))),IF('幕间与结算'!$B$90="提升技能或属性",IF(OR('幕间与结算'!$F$90="失败",'幕间与结算'!$F$90="大失败"),IF(LEFT(A110,3)="技能：",N('幕间与结算'!$I$91),1),0),IF('幕间与结算'!$B$90="重建人生动力",IF('幕间与结算'!$F$90="成功",1,IF('幕间与结算'!$F$90="大成功",N('幕间与结算'!$I$91),IF('幕间与结算'!$F$90="大失败",-1,0))),IF('幕间与结算'!$B$90="回顾案件",N('幕间与结算'!$I$91)-3,IF('幕间与结算'!$B$90="研究非自然知识",N('幕间与结算'!$I$91),0))))))))</x:f>
        <x:v>0</x:v>
      </x:c>
      <x:c r="D110">
        <x:f>IF(A110="",0,IF(C110&gt;0,MIN(C110,MAX(0,IF(LEFT(A110,3)="技能：",99,IF(COUNTIF($L$2:$L$7,A110)&gt;0,18,IF(COUNTIF($X$2:$X$8,A110)&gt;0,'人物卡'!AH8,IF(A110="理智",IF('幕间与结算'!$B$90="回顾案件",'人物卡'!AK10,MIN('人物卡'!AK10,'人物卡'!AH7*5)),999))))-B110)),MAX(C110,-B110)))</x:f>
        <x:v>0</x:v>
      </x:c>
      <x:c r="R110">
        <x:f>IF(OR('幕间与结算'!$B$90="远离喧嚣",'幕间与结算'!$B$90="接受心理治疗",'幕间与结算'!$B$90="进行特训",'幕间与结算'!$B$90="回顾案件"),1,IF(OR('幕间与结算'!$B$90="建立新的重要关系",'幕间与结算'!$B$90="重建人生动力"),IF(OR('幕间与结算'!$F$90="成功",'幕间与结算'!$F$90="大成功"),1,0),IF('幕间与结算'!$B$90="提升技能或属性",IF(D110&gt;0,1,0),IF('幕间与结算'!$B$90="研究非自然知识",IF(D110&gt;0,1,0),0))))</x:f>
        <x:v>0</x:v>
      </x:c>
      <x:c r="T110" t="str">
        <x:f>IF(COUNTIFS('幕间与结算'!$A$107:$A$1106,'幕间与结算'!$B$3,'幕间与结算'!$B$107:$B$1106,"幕间2",'幕间与结算'!$K$107:$K$1106,"已计入")&gt;0,"已归档",IF('幕间与结算'!$B$90="","",IF(COUNTIF($U$2:$U$10,'幕间与结算'!$B$90)=0,"选择幕间事项",IF(COUNTIF($W$2:$W$21,$AO$5)=0,"选择模组编号",IF(COUNTIF('幕间与结算'!$K$10:$K$69,"可归档")+COUNTIF('幕间与结算'!$K$10:$K$69,"待填1D4")&gt;0,"先归档技能结算",IF(COUNTIFS('幕间与结算'!$A$107:$A$1106,'幕间与结算'!$B$3,'幕间与结算'!$B$107:$B$1106,"幕间1",'幕间与结算'!$K$107:$K$1106,"已计入")=0,"先归档第1次幕间",IF(AND(NOT(OR('幕间与结算'!$B$90="进行特训",'幕间与结算'!$B$90="回顾案件",'幕间与结算'!$B$90="研究非自然知识")),NOT(OR('幕间与结算'!$F$90="成功",'幕间与结算'!$F$90="失败",'幕间与结算'!$F$90="大成功",'幕间与结算'!$F$90="大失败"))),"选择检定结果",IF(AND(OR('幕间与结算'!$B$90="按部就班",'幕间与结算'!$B$90="建立新的重要关系"),COUNTIF($X$2:$X$8,'幕间与结算'!$B$91)=0),"选择目标关系",IF(AND('幕间与结算'!$B$90="按部就班",IFERROR(INDEX($AA$2:$AA$8,MATCH('幕间与结算'!$B$91,$X$2:$X$8,0)),"")="√"),"选择非DG关系",IF(AND('幕间与结算'!$B$90="提升技能或属性",NOT(AND('幕间与结算'!$B$91&lt;&gt;"技能：非自然知识",OR(COUNTIF($L$20:$L$79,'幕间与结算'!$B$91)&gt;0,COUNTIF($L$2:$L$7,'幕间与结算'!$B$91)&gt;0)))),"选择技能或属性",IF(AND('幕间与结算'!$B$90="提升技能或属性",'幕间与结算'!$B$92&lt;&gt;"",OR(NOT(AND('幕间与结算'!$B$92&lt;&gt;"技能：非自然知识",OR(COUNTIF($L$20:$L$79,'幕间与结算'!$B$92)&gt;0,COUNTIF($L$2:$L$7,'幕间与结算'!$B$92)&gt;0))),'幕间与结算'!$B$92='幕间与结算'!$B$91)),"目标2需为不同技能或属性",IF(AND('幕间与结算'!$B$90="提升技能或属性",'幕间与结算'!$B$92&lt;&gt;"",NOT(OR('幕间与结算'!$F$92="成功",'幕间与结算'!$F$92="失败",'幕间与结算'!$F$92="大成功",'幕间与结算'!$F$92="大失败"))),"选择目标2结果",IF(AND(AND('幕间与结算'!$B$90="按部就班",OR('幕间与结算'!$F$90="成功",'幕间与结算'!$F$90="大成功")),NOT(AND(ISNUMBER('幕间与结算'!$I$91),'幕间与结算'!$I$91&gt;=1,'幕间与结算'!$I$91&lt;=6,MOD('幕间与结算'!$I$91,1)=0))),"填写正确骰点／增长",IF(AND(AND('幕间与结算'!$B$90="按部就班",'幕间与结算'!$F$90="大失败"),NOT(AND(ISNUMBER('幕间与结算'!$I$91),'幕间与结算'!$I$91&gt;=1,'幕间与结算'!$I$91&lt;=4,MOD('幕间与结算'!$I$91,1)=0))),"填写正确骰点／增长",IF(AND(AND('幕间与结算'!$B$90="远离喧嚣",OR('幕间与结算'!$F$90="成功",'幕间与结算'!$F$90="大失败")),NOT(AND(ISNUMBER('幕间与结算'!$I$91),'幕间与结算'!$I$91&gt;=1,'幕间与结算'!$I$91&lt;=4,MOD('幕间与结算'!$I$91,1)=0))),"填写正确骰点／增长",IF(AND(AND('幕间与结算'!$B$90="接受心理治疗",'幕间与结算'!$F$90="成功"),NOT(AND(ISNUMBER('幕间与结算'!$I$91),'幕间与结算'!$I$91&gt;=1,'幕间与结算'!$I$91&lt;=IF('幕间与结算'!$I$90="如实告知",6,4),MOD('幕间与结算'!$I$91,1)=0))),"填写正确骰点／增长",IF(AND(AND('幕间与结算'!$B$90="提升技能或属性",OR('幕间与结算'!$F$90="失败",'幕间与结算'!$F$90="大失败"),LEFT('幕间与结算'!$B$91,3)="技能："),NOT(AND(ISNUMBER('幕间与结算'!$I$91),'幕间与结算'!$I$91&gt;=3,'幕间与结算'!$I$91&lt;=18,MOD('幕间与结算'!$I$91,1)=0))),"填写正确骰点／增长",IF(AND(AND('幕间与结算'!$B$90="重建人生动力",'幕间与结算'!$F$90="大成功"),NOT(AND(ISNUMBER('幕间与结算'!$I$91),'幕间与结算'!$I$91&gt;=1,'幕间与结算'!$I$91&lt;=4,MOD('幕间与结算'!$I$91,1)=0))),"填写正确骰点／增长",IF(AND('幕间与结算'!$B$90="回顾案件",NOT(AND(ISNUMBER('幕间与结算'!$I$91),'幕间与结算'!$I$91&gt;=1,'幕间与结算'!$I$91&lt;=6,MOD('幕间与结算'!$I$91,1)=0))),"填写正确骰点／增长",IF(AND('幕间与结算'!$B$90="研究非自然知识",NOT(AND(ISNUMBER('幕间与结算'!$I$91),'幕间与结算'!$I$91&gt;=0,'幕间与结算'!$I$91&lt;=99,MOD('幕间与结算'!$I$91,1)=0))),"填写正确骰点／增长",IF(AND('幕间与结算'!$B$90="提升技能或属性",'幕间与结算'!$B$92&lt;&gt;"",OR('幕间与结算'!$F$92="失败",'幕间与结算'!$F$92="大失败"),LEFT('幕间与结算'!$B$92,3)="技能：",NOT(AND(ISNUMBER('幕间与结算'!$I$92),'幕间与结算'!$I$92&gt;=3,'幕间与结算'!$I$92&lt;=18,MOD('幕间与结算'!$I$92,1)=0))),"填写目标2的3D6",IF(AND(R110=1,IF('幕间与结算'!$B$90="研究非自然知识",$AB$3,$AB$2)&gt;0,COUNTIF($X$2:$X$8,'幕间与结算'!$B$93)=0),"选择代价关系",IF(AND(R110=1,IF('幕间与结算'!$B$90="研究非自然知识",$AB$3,$AB$2)&gt;0,IFERROR(INDEX($Z$2:$Z$8,MATCH('幕间与结算'!$B$93,$X$2:$X$8,0)),0)&lt;=0),"选择仍有效的关系",IF(AND(R110=1,IF('幕间与结算'!$B$90="研究非自然知识",$AB$3,$AB$2)&gt;0,NOT('幕间与结算'!$B$90="研究非自然知识"),IFERROR(INDEX($AA$2:$AA$8,MATCH('幕间与结算'!$B$93,$X$2:$X$8,0)),"")="√"),"代价请选择非DG关系",IF(AND(R111=1,IF('幕间与结算'!$B$90="研究非自然知识",$AB$3,$AB$2)&gt;0,COUNTIF($X$2:$X$8,'幕间与结算'!$F$93)=0),"选择代价关系",IF(AND(R111=1,IF('幕间与结算'!$B$90="研究非自然知识",$AB$3,$AB$2)&gt;0,IFERROR(INDEX($Z$2:$Z$8,MATCH('幕间与结算'!$F$93,$X$2:$X$8,0)),0)&lt;=0),"选择仍有效的关系",IF(AND(R111=1,IF('幕间与结算'!$B$90="研究非自然知识",$AB$3,$AB$2)&gt;0,NOT('幕间与结算'!$B$90="研究非自然知识"),IFERROR(INDEX($AA$2:$AA$8,MATCH('幕间与结算'!$F$93,$X$2:$X$8,0)),"")="√"),"代价请选择非DG关系",IF(AND('幕间与结算'!$B$90="研究非自然知识",R110=1,$AB$3&gt;0,NOT(AND(ISNUMBER('幕间与结算'!$I$93),'幕间与结算'!$I$93&gt;=1,'幕间与结算'!$I$93&lt;=4,MOD('幕间与结算'!$I$93,1)=0))),"填写关系代价1D4",IF(AND('幕间与结算'!$B$90="建立新的重要关系",'幕间与结算'!$B$91='幕间与结算'!$B$93,R110=1),"新旧关系不能相同","可归档")))))))))))))))))))))))))))))</x:f>
        <x:v/>
      </x:c>
      <x:c r="V110">
        <x:f>IFERROR(MATCH('幕间计算'!$AO$5&amp;"-幕间2-1",$I$200:$I$1199,0),0)</x:f>
        <x:v>0</x:v>
      </x:c>
    </x:row>
    <x:row r="111">
      <x:c r="A111" t="str">
        <x:f>IF('幕间与结算'!$B$90="提升技能或属性",'幕间与结算'!$B$92,IF('幕间与结算'!$B$90="按部就班","理智",""))</x:f>
        <x:v/>
      </x:c>
      <x:c r="B111">
        <x:f>IFERROR(INDEX($M$2:$M$79,MATCH(A111,$L$2:$L$79,0)),0)</x:f>
        <x:v>0</x:v>
      </x:c>
      <x:c r="C111">
        <x:f>IF('幕间与结算'!$B$90="提升技能或属性",IF(OR('幕间与结算'!$F$92="失败",'幕间与结算'!$F$92="大失败"),IF(LEFT(A111,3)="技能：",N('幕间与结算'!$I$92),1),0),IF('幕间与结算'!$F$90="大成功",1,IF('幕间与结算'!$F$90="大失败",-1,0)))</x:f>
        <x:v>0</x:v>
      </x:c>
      <x:c r="D111">
        <x:f>IF(A111="",0,IF(C111&gt;0,MIN(C111,MAX(0,IF(LEFT(A111,3)="技能：",99,IF(COUNTIF($L$2:$L$7,A111)&gt;0,18,IF(COUNTIF($X$2:$X$8,A111)&gt;0,'人物卡'!AH8,IF(A111="理智",IF('幕间与结算'!$B$90="回顾案件",'人物卡'!AK10,MIN('人物卡'!AK10,'人物卡'!AH7*5)),999))))-B111)),MAX(C111,-B111)))</x:f>
        <x:v>0</x:v>
      </x:c>
      <x:c r="R111">
        <x:f>IF(AND('幕间与结算'!$B$90="提升技能或属性",D111&gt;0),1,0)</x:f>
        <x:v>0</x:v>
      </x:c>
      <x:c r="V111">
        <x:f>IFERROR(MATCH('幕间计算'!$AO$5&amp;"-幕间2-2",$I$200:$I$1199,0),0)</x:f>
        <x:v>0</x:v>
      </x:c>
    </x:row>
    <x:row r="112">
      <x:c r="A112" t="str">
        <x:f>IF(AND(R110=1,IF('幕间与结算'!$B$90="研究非自然知识",$AB$3,$AB$2)&gt;0),'幕间与结算'!$B$93,"")</x:f>
        <x:v/>
      </x:c>
      <x:c r="B112">
        <x:f>IFERROR(INDEX($M$2:$M$79,MATCH(A112,$L$2:$L$79,0)),0)</x:f>
        <x:v>0</x:v>
      </x:c>
      <x:c r="C112">
        <x:f>IF(A112="",0,IF('幕间与结算'!$B$90="研究非自然知识",-N('幕间与结算'!$I$93),-1))</x:f>
        <x:v>0</x:v>
      </x:c>
      <x:c r="D112">
        <x:f>MAX(-B112,C112)</x:f>
        <x:v>0</x:v>
      </x:c>
      <x:c r="V112">
        <x:f>IFERROR(MATCH('幕间计算'!$AO$5&amp;"-幕间2-3",$I$200:$I$1199,0),0)</x:f>
        <x:v>0</x:v>
      </x:c>
    </x:row>
    <x:row r="113">
      <x:c r="A113" t="str">
        <x:f>IF(AND(R111=1,IF('幕间与结算'!$B$90="研究非自然知识",$AB$3,$AB$2)&gt;0),'幕间与结算'!$F$93,"")</x:f>
        <x:v/>
      </x:c>
      <x:c r="B113">
        <x:f>IFERROR(INDEX($M$2:$M$79,MATCH(A113,$L$2:$L$79,0)),0)+IF(A113=A112,D112,0)</x:f>
        <x:v>0</x:v>
      </x:c>
      <x:c r="C113">
        <x:f>IF(A113="",0,IF('幕间与结算'!$B$90="研究非自然知识",-N('幕间与结算'!$I$93),-1))</x:f>
        <x:v>0</x:v>
      </x:c>
      <x:c r="D113">
        <x:f>MAX(-B113,C113)</x:f>
        <x:v>0</x:v>
      </x:c>
      <x:c r="V113">
        <x:f>IFERROR(MATCH('幕间计算'!$AO$5&amp;"-幕间2-4",$I$200:$I$1199,0),0)</x:f>
        <x:v>0</x:v>
      </x:c>
    </x:row>
    <x:row r="114">
      <x:c r="A114" t="inlineStr">
        <x:is>
          <x:t/>
        </x:is>
      </x:c>
      <x:c r="B114">
        <x:v>0</x:v>
      </x:c>
      <x:c r="C114">
        <x:v>0</x:v>
      </x:c>
      <x:c r="D114">
        <x:v>0</x:v>
      </x:c>
      <x:c r="V114">
        <x:f>IFERROR(MATCH('幕间计算'!$AO$5&amp;"-幕间2-5",$I$200:$I$1199,0),0)</x:f>
        <x:v>0</x:v>
      </x:c>
    </x:row>
    <x:row r="200">
      <x:c r="A200" t="str">
        <x:f>IFERROR(TEXT(VALUE('幕间与结算'!A107),"00"),"")</x:f>
        <x:v>00</x:v>
      </x:c>
      <x:c r="B200">
        <x:f>'幕间与结算'!B107</x:f>
        <x:v>0</x:v>
      </x:c>
      <x:c r="C200">
        <x:f>'幕间与结算'!D107</x:f>
        <x:v>0</x:v>
      </x:c>
      <x:c r="D200">
        <x:f>'幕间与结算'!F107</x:f>
        <x:v>0</x:v>
      </x:c>
      <x:c r="E200">
        <x:f>IF(H200=1,MAX(-'幕间与结算'!E107,MIN(D200,IF(LEFT(C200,3)="技能：",99,IF(COUNTIF($L$2:$L$7,C200)&gt;0,18,999))-'幕间与结算'!E107)),0)</x:f>
        <x:v>0</x:v>
      </x:c>
      <x:c r="F200" t="str">
        <x:f>IF(C200=0,"",IF(G200=0,"记录不完整",IF(H200=0,"重复未计","已计入")))</x:f>
        <x:v/>
      </x:c>
      <x:c r="G200">
        <x:f>IF(AND(AND('幕间与结算'!A107&lt;&gt;"",'幕间与结算'!B107&lt;&gt;"",'幕间与结算'!I107&lt;&gt;"",OR(LEFT(C200,3)="技能：",COUNTIF($L$2:$L$19,C200)&gt;0),ISNUMBER('幕间与结算'!E107),ISNUMBER('幕间与结算'!F107),ISNUMBER('幕间与结算'!G107),'幕间与结算'!E107&gt;=0,'幕间与结算'!G107='幕间与结算'!E107+'幕间与结算'!F107),OR(B200&lt;&gt;"成长",AND(LEFT(C200,3)="技能：",C200&lt;&gt;"技能：非自然知识",'幕间与结算'!E107&gt;=1,'幕间与结算'!E107&lt;=99,'幕间与结算'!F107&gt;=0,'幕间与结算'!F107&lt;=4,'幕间与结算'!G107&lt;=99))),1,0)</x:f>
        <x:v>0</x:v>
      </x:c>
      <x:c r="H200">
        <x:f>IF(AND(G200=1,COUNTIFS($I$200:I200,I200,$G$200:G200,1)=1),1,0)</x:f>
        <x:v>0</x:v>
      </x:c>
      <x:c r="I200" t="str">
        <x:f>IF(G200=1,IF(B200="成长",A200&amp;"-成长-"&amp;C200,'幕间与结算'!I107),"")</x:f>
        <x:v/>
      </x:c>
      <x:c r="BF200">
        <x:f>MAX(0,MIN(18,S2+IF(C200="力量",E200,0)))</x:f>
        <x:v>0</x:v>
      </x:c>
      <x:c r="BG200">
        <x:f>MAX(0,MIN(18,S3+IF(C200="体质",E200,0)))</x:f>
        <x:v>0</x:v>
      </x:c>
      <x:c r="BH200">
        <x:f>MAX(0,MIN(18,S4+IF(C200="敏捷",E200,0)))</x:f>
        <x:v>0</x:v>
      </x:c>
      <x:c r="BI200">
        <x:f>MAX(0,MIN(18,S5+IF(C200="智力",E200,0)))</x:f>
        <x:v>0</x:v>
      </x:c>
      <x:c r="BJ200">
        <x:f>MAX(0,MIN(18,S6+IF(C200="意志",E200,0)))</x:f>
        <x:v>0</x:v>
      </x:c>
      <x:c r="BK200">
        <x:f>MAX(0,MIN(18,S7+IF(C200="魅力",E200,0)))</x:f>
        <x:v>0</x:v>
      </x:c>
      <x:c r="BL200">
        <x:f>MAX(0,MIN(99,N('人物卡'!BB39)+IF(C200="技能：非自然知识",E200,0)))</x:f>
        <x:v>0</x:v>
      </x:c>
      <x:c r="BM200">
        <x:f>MAX(0,MIN(CEILING((BF200+BG200)/2,1),S8+IF(C200="体力",E200,0)))</x:f>
        <x:v>0</x:v>
      </x:c>
      <x:c r="BN200">
        <x:f>MAX(0,MIN(BJ200,S9+IF(C200="毅力",E200,0)))</x:f>
        <x:v>0</x:v>
      </x:c>
      <x:c r="BO200">
        <x:f>MAX(0,MIN(99-BL200,S10+IF(C200="理智",E200,0)))</x:f>
        <x:v>0</x:v>
      </x:c>
      <x:c r="BP200">
        <x:f>MAX(0,MIN(99,S11+IF(C200="崩溃点",E200,0)))</x:f>
        <x:v>0</x:v>
      </x:c>
      <x:c r="BQ200">
        <x:f>MAX(0,MIN(BK200,IF(AND(H200=1,C200="重要关系1",LEFT('幕间与结算'!H107,8)="建立新的重要关系"),'幕间与结算'!E107+E200,IF(AND('人物卡'!$DF$46="艰苦经历",IFERROR(VALUE('人物卡'!$DF$55),0)=1),0,$S$7)+IF(C200="重要关系1",E200,0)+IF(AND(C200="魅力",E200&lt;0),E200,0))))</x:f>
        <x:v>0</x:v>
      </x:c>
      <x:c r="BR200">
        <x:f>MAX(0,MIN(BK200,IF(AND(H200=1,C200="重要关系2",LEFT('幕间与结算'!H107,8)="建立新的重要关系"),'幕间与结算'!E107+E200,IF(AND('人物卡'!$DF$46="艰苦经历",IFERROR(VALUE('人物卡'!$DF$55),0)=2),0,$S$7)+IF(C200="重要关系2",E200,0)+IF(AND(C200="魅力",E200&lt;0),E200,0))))</x:f>
        <x:v>0</x:v>
      </x:c>
      <x:c r="BS200">
        <x:f>MAX(0,MIN(BK200,IF(AND(H200=1,C200="重要关系3",LEFT('幕间与结算'!H107,8)="建立新的重要关系"),'幕间与结算'!E107+E200,IF(AND('人物卡'!$DF$46="艰苦经历",IFERROR(VALUE('人物卡'!$DF$55),0)=3),0,$S$7)+IF(C200="重要关系3",E200,0)+IF(AND(C200="魅力",E200&lt;0),E200,0))))</x:f>
        <x:v>0</x:v>
      </x:c>
      <x:c r="BT200">
        <x:f>MAX(0,MIN(BK200,IF(AND(H200=1,C200="重要关系4",LEFT('幕间与结算'!H107,8)="建立新的重要关系"),'幕间与结算'!E107+E200,IF(AND('人物卡'!$DF$46="艰苦经历",IFERROR(VALUE('人物卡'!$DF$55),0)=4),0,$S$7)+IF(C200="重要关系4",E200,0)+IF(AND(C200="魅力",E200&lt;0),E200,0))))</x:f>
        <x:v>0</x:v>
      </x:c>
      <x:c r="BU200">
        <x:f>MAX(0,MIN(BK200,IF(AND(H200=1,C200="重要关系5",LEFT('幕间与结算'!H107,8)="建立新的重要关系"),'幕间与结算'!E107+E200,IF(AND('人物卡'!$DF$46="艰苦经历",IFERROR(VALUE('人物卡'!$DF$55),0)=5),0,$S$7)+IF(C200="重要关系5",E200,0)+IF(AND(C200="魅力",E200&lt;0),E200,0))))</x:f>
        <x:v>0</x:v>
      </x:c>
      <x:c r="BV200">
        <x:f>MAX(0,MIN(BK200,IF(AND(H200=1,C200="重要关系6",LEFT('幕间与结算'!H107,8)="建立新的重要关系"),'幕间与结算'!E107+E200,IF(AND('人物卡'!$DF$46="艰苦经历",IFERROR(VALUE('人物卡'!$DF$55),0)=6),0,$S$7)+IF(C200="重要关系6",E200,0)+IF(AND(C200="魅力",E200&lt;0),E200,0))))</x:f>
        <x:v>0</x:v>
      </x:c>
      <x:c r="BW200">
        <x:f>MAX(0,MIN(BK200,IF(AND(H200=1,C200="重要关系7",LEFT('幕间与结算'!H107,8)="建立新的重要关系"),'幕间与结算'!E107+E200,IF(AND('人物卡'!$DF$46="艰苦经历",IFERROR(VALUE('人物卡'!$DF$55),0)=7),0,$S$7)+IF(C200="重要关系7",E200,0)+IF(AND(C200="魅力",E200&lt;0),E200,0))))</x:f>
        <x:v>0</x:v>
      </x:c>
    </x:row>
    <x:row r="201">
      <x:c r="A201" t="str">
        <x:f>IFERROR(TEXT(VALUE('幕间与结算'!A108),"00"),"")</x:f>
        <x:v>00</x:v>
      </x:c>
      <x:c r="B201">
        <x:f>'幕间与结算'!B108</x:f>
        <x:v>0</x:v>
      </x:c>
      <x:c r="C201">
        <x:f>'幕间与结算'!D108</x:f>
        <x:v>0</x:v>
      </x:c>
      <x:c r="D201">
        <x:f>'幕间与结算'!F108</x:f>
        <x:v>0</x:v>
      </x:c>
      <x:c r="E201">
        <x:f>IF(H201=1,MAX(-'幕间与结算'!E108,MIN(D201,IF(LEFT(C201,3)="技能：",99,IF(COUNTIF($L$2:$L$7,C201)&gt;0,18,999))-'幕间与结算'!E108)),0)</x:f>
        <x:v>0</x:v>
      </x:c>
      <x:c r="F201" t="str">
        <x:f>IF(C201=0,"",IF(G201=0,"记录不完整",IF(H201=0,"重复未计","已计入")))</x:f>
        <x:v/>
      </x:c>
      <x:c r="G201">
        <x:f>IF(AND(AND('幕间与结算'!A108&lt;&gt;"",'幕间与结算'!B108&lt;&gt;"",'幕间与结算'!I108&lt;&gt;"",OR(LEFT(C201,3)="技能：",COUNTIF($L$2:$L$19,C201)&gt;0),ISNUMBER('幕间与结算'!E108),ISNUMBER('幕间与结算'!F108),ISNUMBER('幕间与结算'!G108),'幕间与结算'!E108&gt;=0,'幕间与结算'!G108='幕间与结算'!E108+'幕间与结算'!F108),OR(B201&lt;&gt;"成长",AND(LEFT(C201,3)="技能：",C201&lt;&gt;"技能：非自然知识",'幕间与结算'!E108&gt;=1,'幕间与结算'!E108&lt;=99,'幕间与结算'!F108&gt;=0,'幕间与结算'!F108&lt;=4,'幕间与结算'!G108&lt;=99))),1,0)</x:f>
        <x:v>0</x:v>
      </x:c>
      <x:c r="H201">
        <x:f>IF(AND(G201=1,COUNTIFS($I$200:I201,I201,$G$200:G201,1)=1),1,0)</x:f>
        <x:v>0</x:v>
      </x:c>
      <x:c r="I201" t="str">
        <x:f>IF(G201=1,IF(B201="成长",A201&amp;"-成长-"&amp;C201,'幕间与结算'!I108),"")</x:f>
        <x:v/>
      </x:c>
      <x:c r="BF201">
        <x:f>MAX(0,MIN(18,BF200+IF(C201="力量",E201,0)))</x:f>
        <x:v>0</x:v>
      </x:c>
      <x:c r="BG201">
        <x:f>MAX(0,MIN(18,BG200+IF(C201="体质",E201,0)))</x:f>
        <x:v>0</x:v>
      </x:c>
      <x:c r="BH201">
        <x:f>MAX(0,MIN(18,BH200+IF(C201="敏捷",E201,0)))</x:f>
        <x:v>0</x:v>
      </x:c>
      <x:c r="BI201">
        <x:f>MAX(0,MIN(18,BI200+IF(C201="智力",E201,0)))</x:f>
        <x:v>0</x:v>
      </x:c>
      <x:c r="BJ201">
        <x:f>MAX(0,MIN(18,BJ200+IF(C201="意志",E201,0)))</x:f>
        <x:v>0</x:v>
      </x:c>
      <x:c r="BK201">
        <x:f>MAX(0,MIN(18,BK200+IF(C201="魅力",E201,0)))</x:f>
        <x:v>0</x:v>
      </x:c>
      <x:c r="BL201">
        <x:f>MAX(0,MIN(99,BL200+IF(C201="技能：非自然知识",E201,0)))</x:f>
        <x:v>0</x:v>
      </x:c>
      <x:c r="BM201">
        <x:f>MAX(0,MIN(CEILING((BF201+BG201)/2,1),BM200+IF(C201="体力",E201,0)))</x:f>
        <x:v>0</x:v>
      </x:c>
      <x:c r="BN201">
        <x:f>MAX(0,MIN(BJ201,BN200+IF(C201="毅力",E201,0)))</x:f>
        <x:v>0</x:v>
      </x:c>
      <x:c r="BO201">
        <x:f>MAX(0,MIN(99-BL201,BO200+IF(C201="理智",E201,0)))</x:f>
        <x:v>0</x:v>
      </x:c>
      <x:c r="BP201">
        <x:f>MAX(0,MIN(99,BP200+IF(C201="崩溃点",E201,0)))</x:f>
        <x:v>0</x:v>
      </x:c>
      <x:c r="BQ201">
        <x:f>MAX(0,MIN(BK201,IF(AND(H201=1,C201="重要关系1",LEFT('幕间与结算'!H108,8)="建立新的重要关系"),'幕间与结算'!E108+E201,BQ200+IF(C201="重要关系1",E201,0)+IF(AND(C201="魅力",E201&lt;0),E201,0))))</x:f>
        <x:v>0</x:v>
      </x:c>
      <x:c r="BR201">
        <x:f>MAX(0,MIN(BK201,IF(AND(H201=1,C201="重要关系2",LEFT('幕间与结算'!H108,8)="建立新的重要关系"),'幕间与结算'!E108+E201,BR200+IF(C201="重要关系2",E201,0)+IF(AND(C201="魅力",E201&lt;0),E201,0))))</x:f>
        <x:v>0</x:v>
      </x:c>
      <x:c r="BS201">
        <x:f>MAX(0,MIN(BK201,IF(AND(H201=1,C201="重要关系3",LEFT('幕间与结算'!H108,8)="建立新的重要关系"),'幕间与结算'!E108+E201,BS200+IF(C201="重要关系3",E201,0)+IF(AND(C201="魅力",E201&lt;0),E201,0))))</x:f>
        <x:v>0</x:v>
      </x:c>
      <x:c r="BT201">
        <x:f>MAX(0,MIN(BK201,IF(AND(H201=1,C201="重要关系4",LEFT('幕间与结算'!H108,8)="建立新的重要关系"),'幕间与结算'!E108+E201,BT200+IF(C201="重要关系4",E201,0)+IF(AND(C201="魅力",E201&lt;0),E201,0))))</x:f>
        <x:v>0</x:v>
      </x:c>
      <x:c r="BU201">
        <x:f>MAX(0,MIN(BK201,IF(AND(H201=1,C201="重要关系5",LEFT('幕间与结算'!H108,8)="建立新的重要关系"),'幕间与结算'!E108+E201,BU200+IF(C201="重要关系5",E201,0)+IF(AND(C201="魅力",E201&lt;0),E201,0))))</x:f>
        <x:v>0</x:v>
      </x:c>
      <x:c r="BV201">
        <x:f>MAX(0,MIN(BK201,IF(AND(H201=1,C201="重要关系6",LEFT('幕间与结算'!H108,8)="建立新的重要关系"),'幕间与结算'!E108+E201,BV200+IF(C201="重要关系6",E201,0)+IF(AND(C201="魅力",E201&lt;0),E201,0))))</x:f>
        <x:v>0</x:v>
      </x:c>
      <x:c r="BW201">
        <x:f>MAX(0,MIN(BK201,IF(AND(H201=1,C201="重要关系7",LEFT('幕间与结算'!H108,8)="建立新的重要关系"),'幕间与结算'!E108+E201,BW200+IF(C201="重要关系7",E201,0)+IF(AND(C201="魅力",E201&lt;0),E201,0))))</x:f>
        <x:v>0</x:v>
      </x:c>
    </x:row>
    <x:row r="202">
      <x:c r="A202" t="str">
        <x:f>IFERROR(TEXT(VALUE('幕间与结算'!A109),"00"),"")</x:f>
        <x:v>00</x:v>
      </x:c>
      <x:c r="B202">
        <x:f>'幕间与结算'!B109</x:f>
        <x:v>0</x:v>
      </x:c>
      <x:c r="C202">
        <x:f>'幕间与结算'!D109</x:f>
        <x:v>0</x:v>
      </x:c>
      <x:c r="D202">
        <x:f>'幕间与结算'!F109</x:f>
        <x:v>0</x:v>
      </x:c>
      <x:c r="E202">
        <x:f>IF(H202=1,MAX(-'幕间与结算'!E109,MIN(D202,IF(LEFT(C202,3)="技能：",99,IF(COUNTIF($L$2:$L$7,C202)&gt;0,18,999))-'幕间与结算'!E109)),0)</x:f>
        <x:v>0</x:v>
      </x:c>
      <x:c r="F202" t="str">
        <x:f>IF(C202=0,"",IF(G202=0,"记录不完整",IF(H202=0,"重复未计","已计入")))</x:f>
        <x:v/>
      </x:c>
      <x:c r="G202">
        <x:f>IF(AND(AND('幕间与结算'!A109&lt;&gt;"",'幕间与结算'!B109&lt;&gt;"",'幕间与结算'!I109&lt;&gt;"",OR(LEFT(C202,3)="技能：",COUNTIF($L$2:$L$19,C202)&gt;0),ISNUMBER('幕间与结算'!E109),ISNUMBER('幕间与结算'!F109),ISNUMBER('幕间与结算'!G109),'幕间与结算'!E109&gt;=0,'幕间与结算'!G109='幕间与结算'!E109+'幕间与结算'!F109),OR(B202&lt;&gt;"成长",AND(LEFT(C202,3)="技能：",C202&lt;&gt;"技能：非自然知识",'幕间与结算'!E109&gt;=1,'幕间与结算'!E109&lt;=99,'幕间与结算'!F109&gt;=0,'幕间与结算'!F109&lt;=4,'幕间与结算'!G109&lt;=99))),1,0)</x:f>
        <x:v>0</x:v>
      </x:c>
      <x:c r="H202">
        <x:f>IF(AND(G202=1,COUNTIFS($I$200:I202,I202,$G$200:G202,1)=1),1,0)</x:f>
        <x:v>0</x:v>
      </x:c>
      <x:c r="I202" t="str">
        <x:f>IF(G202=1,IF(B202="成长",A202&amp;"-成长-"&amp;C202,'幕间与结算'!I109),"")</x:f>
        <x:v/>
      </x:c>
      <x:c r="BF202">
        <x:f>MAX(0,MIN(18,BF201+IF(C202="力量",E202,0)))</x:f>
        <x:v>0</x:v>
      </x:c>
      <x:c r="BG202">
        <x:f>MAX(0,MIN(18,BG201+IF(C202="体质",E202,0)))</x:f>
        <x:v>0</x:v>
      </x:c>
      <x:c r="BH202">
        <x:f>MAX(0,MIN(18,BH201+IF(C202="敏捷",E202,0)))</x:f>
        <x:v>0</x:v>
      </x:c>
      <x:c r="BI202">
        <x:f>MAX(0,MIN(18,BI201+IF(C202="智力",E202,0)))</x:f>
        <x:v>0</x:v>
      </x:c>
      <x:c r="BJ202">
        <x:f>MAX(0,MIN(18,BJ201+IF(C202="意志",E202,0)))</x:f>
        <x:v>0</x:v>
      </x:c>
      <x:c r="BK202">
        <x:f>MAX(0,MIN(18,BK201+IF(C202="魅力",E202,0)))</x:f>
        <x:v>0</x:v>
      </x:c>
      <x:c r="BL202">
        <x:f>MAX(0,MIN(99,BL201+IF(C202="技能：非自然知识",E202,0)))</x:f>
        <x:v>0</x:v>
      </x:c>
      <x:c r="BM202">
        <x:f>MAX(0,MIN(CEILING((BF202+BG202)/2,1),BM201+IF(C202="体力",E202,0)))</x:f>
        <x:v>0</x:v>
      </x:c>
      <x:c r="BN202">
        <x:f>MAX(0,MIN(BJ202,BN201+IF(C202="毅力",E202,0)))</x:f>
        <x:v>0</x:v>
      </x:c>
      <x:c r="BO202">
        <x:f>MAX(0,MIN(99-BL202,BO201+IF(C202="理智",E202,0)))</x:f>
        <x:v>0</x:v>
      </x:c>
      <x:c r="BP202">
        <x:f>MAX(0,MIN(99,BP201+IF(C202="崩溃点",E202,0)))</x:f>
        <x:v>0</x:v>
      </x:c>
      <x:c r="BQ202">
        <x:f>MAX(0,MIN(BK202,IF(AND(H202=1,C202="重要关系1",LEFT('幕间与结算'!H109,8)="建立新的重要关系"),'幕间与结算'!E109+E202,BQ201+IF(C202="重要关系1",E202,0)+IF(AND(C202="魅力",E202&lt;0),E202,0))))</x:f>
        <x:v>0</x:v>
      </x:c>
      <x:c r="BR202">
        <x:f>MAX(0,MIN(BK202,IF(AND(H202=1,C202="重要关系2",LEFT('幕间与结算'!H109,8)="建立新的重要关系"),'幕间与结算'!E109+E202,BR201+IF(C202="重要关系2",E202,0)+IF(AND(C202="魅力",E202&lt;0),E202,0))))</x:f>
        <x:v>0</x:v>
      </x:c>
      <x:c r="BS202">
        <x:f>MAX(0,MIN(BK202,IF(AND(H202=1,C202="重要关系3",LEFT('幕间与结算'!H109,8)="建立新的重要关系"),'幕间与结算'!E109+E202,BS201+IF(C202="重要关系3",E202,0)+IF(AND(C202="魅力",E202&lt;0),E202,0))))</x:f>
        <x:v>0</x:v>
      </x:c>
      <x:c r="BT202">
        <x:f>MAX(0,MIN(BK202,IF(AND(H202=1,C202="重要关系4",LEFT('幕间与结算'!H109,8)="建立新的重要关系"),'幕间与结算'!E109+E202,BT201+IF(C202="重要关系4",E202,0)+IF(AND(C202="魅力",E202&lt;0),E202,0))))</x:f>
        <x:v>0</x:v>
      </x:c>
      <x:c r="BU202">
        <x:f>MAX(0,MIN(BK202,IF(AND(H202=1,C202="重要关系5",LEFT('幕间与结算'!H109,8)="建立新的重要关系"),'幕间与结算'!E109+E202,BU201+IF(C202="重要关系5",E202,0)+IF(AND(C202="魅力",E202&lt;0),E202,0))))</x:f>
        <x:v>0</x:v>
      </x:c>
      <x:c r="BV202">
        <x:f>MAX(0,MIN(BK202,IF(AND(H202=1,C202="重要关系6",LEFT('幕间与结算'!H109,8)="建立新的重要关系"),'幕间与结算'!E109+E202,BV201+IF(C202="重要关系6",E202,0)+IF(AND(C202="魅力",E202&lt;0),E202,0))))</x:f>
        <x:v>0</x:v>
      </x:c>
      <x:c r="BW202">
        <x:f>MAX(0,MIN(BK202,IF(AND(H202=1,C202="重要关系7",LEFT('幕间与结算'!H109,8)="建立新的重要关系"),'幕间与结算'!E109+E202,BW201+IF(C202="重要关系7",E202,0)+IF(AND(C202="魅力",E202&lt;0),E202,0))))</x:f>
        <x:v>0</x:v>
      </x:c>
    </x:row>
    <x:row r="203">
      <x:c r="A203" t="str">
        <x:f>IFERROR(TEXT(VALUE('幕间与结算'!A110),"00"),"")</x:f>
        <x:v>00</x:v>
      </x:c>
      <x:c r="B203">
        <x:f>'幕间与结算'!B110</x:f>
        <x:v>0</x:v>
      </x:c>
      <x:c r="C203">
        <x:f>'幕间与结算'!D110</x:f>
        <x:v>0</x:v>
      </x:c>
      <x:c r="D203">
        <x:f>'幕间与结算'!F110</x:f>
        <x:v>0</x:v>
      </x:c>
      <x:c r="E203">
        <x:f>IF(H203=1,MAX(-'幕间与结算'!E110,MIN(D203,IF(LEFT(C203,3)="技能：",99,IF(COUNTIF($L$2:$L$7,C203)&gt;0,18,999))-'幕间与结算'!E110)),0)</x:f>
        <x:v>0</x:v>
      </x:c>
      <x:c r="F203" t="str">
        <x:f>IF(C203=0,"",IF(G203=0,"记录不完整",IF(H203=0,"重复未计","已计入")))</x:f>
        <x:v/>
      </x:c>
      <x:c r="G203">
        <x:f>IF(AND(AND('幕间与结算'!A110&lt;&gt;"",'幕间与结算'!B110&lt;&gt;"",'幕间与结算'!I110&lt;&gt;"",OR(LEFT(C203,3)="技能：",COUNTIF($L$2:$L$19,C203)&gt;0),ISNUMBER('幕间与结算'!E110),ISNUMBER('幕间与结算'!F110),ISNUMBER('幕间与结算'!G110),'幕间与结算'!E110&gt;=0,'幕间与结算'!G110='幕间与结算'!E110+'幕间与结算'!F110),OR(B203&lt;&gt;"成长",AND(LEFT(C203,3)="技能：",C203&lt;&gt;"技能：非自然知识",'幕间与结算'!E110&gt;=1,'幕间与结算'!E110&lt;=99,'幕间与结算'!F110&gt;=0,'幕间与结算'!F110&lt;=4,'幕间与结算'!G110&lt;=99))),1,0)</x:f>
        <x:v>0</x:v>
      </x:c>
      <x:c r="H203">
        <x:f>IF(AND(G203=1,COUNTIFS($I$200:I203,I203,$G$200:G203,1)=1),1,0)</x:f>
        <x:v>0</x:v>
      </x:c>
      <x:c r="I203" t="str">
        <x:f>IF(G203=1,IF(B203="成长",A203&amp;"-成长-"&amp;C203,'幕间与结算'!I110),"")</x:f>
        <x:v/>
      </x:c>
      <x:c r="BF203">
        <x:f>MAX(0,MIN(18,BF202+IF(C203="力量",E203,0)))</x:f>
        <x:v>0</x:v>
      </x:c>
      <x:c r="BG203">
        <x:f>MAX(0,MIN(18,BG202+IF(C203="体质",E203,0)))</x:f>
        <x:v>0</x:v>
      </x:c>
      <x:c r="BH203">
        <x:f>MAX(0,MIN(18,BH202+IF(C203="敏捷",E203,0)))</x:f>
        <x:v>0</x:v>
      </x:c>
      <x:c r="BI203">
        <x:f>MAX(0,MIN(18,BI202+IF(C203="智力",E203,0)))</x:f>
        <x:v>0</x:v>
      </x:c>
      <x:c r="BJ203">
        <x:f>MAX(0,MIN(18,BJ202+IF(C203="意志",E203,0)))</x:f>
        <x:v>0</x:v>
      </x:c>
      <x:c r="BK203">
        <x:f>MAX(0,MIN(18,BK202+IF(C203="魅力",E203,0)))</x:f>
        <x:v>0</x:v>
      </x:c>
      <x:c r="BL203">
        <x:f>MAX(0,MIN(99,BL202+IF(C203="技能：非自然知识",E203,0)))</x:f>
        <x:v>0</x:v>
      </x:c>
      <x:c r="BM203">
        <x:f>MAX(0,MIN(CEILING((BF203+BG203)/2,1),BM202+IF(C203="体力",E203,0)))</x:f>
        <x:v>0</x:v>
      </x:c>
      <x:c r="BN203">
        <x:f>MAX(0,MIN(BJ203,BN202+IF(C203="毅力",E203,0)))</x:f>
        <x:v>0</x:v>
      </x:c>
      <x:c r="BO203">
        <x:f>MAX(0,MIN(99-BL203,BO202+IF(C203="理智",E203,0)))</x:f>
        <x:v>0</x:v>
      </x:c>
      <x:c r="BP203">
        <x:f>MAX(0,MIN(99,BP202+IF(C203="崩溃点",E203,0)))</x:f>
        <x:v>0</x:v>
      </x:c>
      <x:c r="BQ203">
        <x:f>MAX(0,MIN(BK203,IF(AND(H203=1,C203="重要关系1",LEFT('幕间与结算'!H110,8)="建立新的重要关系"),'幕间与结算'!E110+E203,BQ202+IF(C203="重要关系1",E203,0)+IF(AND(C203="魅力",E203&lt;0),E203,0))))</x:f>
        <x:v>0</x:v>
      </x:c>
      <x:c r="BR203">
        <x:f>MAX(0,MIN(BK203,IF(AND(H203=1,C203="重要关系2",LEFT('幕间与结算'!H110,8)="建立新的重要关系"),'幕间与结算'!E110+E203,BR202+IF(C203="重要关系2",E203,0)+IF(AND(C203="魅力",E203&lt;0),E203,0))))</x:f>
        <x:v>0</x:v>
      </x:c>
      <x:c r="BS203">
        <x:f>MAX(0,MIN(BK203,IF(AND(H203=1,C203="重要关系3",LEFT('幕间与结算'!H110,8)="建立新的重要关系"),'幕间与结算'!E110+E203,BS202+IF(C203="重要关系3",E203,0)+IF(AND(C203="魅力",E203&lt;0),E203,0))))</x:f>
        <x:v>0</x:v>
      </x:c>
      <x:c r="BT203">
        <x:f>MAX(0,MIN(BK203,IF(AND(H203=1,C203="重要关系4",LEFT('幕间与结算'!H110,8)="建立新的重要关系"),'幕间与结算'!E110+E203,BT202+IF(C203="重要关系4",E203,0)+IF(AND(C203="魅力",E203&lt;0),E203,0))))</x:f>
        <x:v>0</x:v>
      </x:c>
      <x:c r="BU203">
        <x:f>MAX(0,MIN(BK203,IF(AND(H203=1,C203="重要关系5",LEFT('幕间与结算'!H110,8)="建立新的重要关系"),'幕间与结算'!E110+E203,BU202+IF(C203="重要关系5",E203,0)+IF(AND(C203="魅力",E203&lt;0),E203,0))))</x:f>
        <x:v>0</x:v>
      </x:c>
      <x:c r="BV203">
        <x:f>MAX(0,MIN(BK203,IF(AND(H203=1,C203="重要关系6",LEFT('幕间与结算'!H110,8)="建立新的重要关系"),'幕间与结算'!E110+E203,BV202+IF(C203="重要关系6",E203,0)+IF(AND(C203="魅力",E203&lt;0),E203,0))))</x:f>
        <x:v>0</x:v>
      </x:c>
      <x:c r="BW203">
        <x:f>MAX(0,MIN(BK203,IF(AND(H203=1,C203="重要关系7",LEFT('幕间与结算'!H110,8)="建立新的重要关系"),'幕间与结算'!E110+E203,BW202+IF(C203="重要关系7",E203,0)+IF(AND(C203="魅力",E203&lt;0),E203,0))))</x:f>
        <x:v>0</x:v>
      </x:c>
    </x:row>
    <x:row r="204">
      <x:c r="A204" t="str">
        <x:f>IFERROR(TEXT(VALUE('幕间与结算'!A111),"00"),"")</x:f>
        <x:v>00</x:v>
      </x:c>
      <x:c r="B204">
        <x:f>'幕间与结算'!B111</x:f>
        <x:v>0</x:v>
      </x:c>
      <x:c r="C204">
        <x:f>'幕间与结算'!D111</x:f>
        <x:v>0</x:v>
      </x:c>
      <x:c r="D204">
        <x:f>'幕间与结算'!F111</x:f>
        <x:v>0</x:v>
      </x:c>
      <x:c r="E204">
        <x:f>IF(H204=1,MAX(-'幕间与结算'!E111,MIN(D204,IF(LEFT(C204,3)="技能：",99,IF(COUNTIF($L$2:$L$7,C204)&gt;0,18,999))-'幕间与结算'!E111)),0)</x:f>
        <x:v>0</x:v>
      </x:c>
      <x:c r="F204" t="str">
        <x:f>IF(C204=0,"",IF(G204=0,"记录不完整",IF(H204=0,"重复未计","已计入")))</x:f>
        <x:v/>
      </x:c>
      <x:c r="G204">
        <x:f>IF(AND(AND('幕间与结算'!A111&lt;&gt;"",'幕间与结算'!B111&lt;&gt;"",'幕间与结算'!I111&lt;&gt;"",OR(LEFT(C204,3)="技能：",COUNTIF($L$2:$L$19,C204)&gt;0),ISNUMBER('幕间与结算'!E111),ISNUMBER('幕间与结算'!F111),ISNUMBER('幕间与结算'!G111),'幕间与结算'!E111&gt;=0,'幕间与结算'!G111='幕间与结算'!E111+'幕间与结算'!F111),OR(B204&lt;&gt;"成长",AND(LEFT(C204,3)="技能：",C204&lt;&gt;"技能：非自然知识",'幕间与结算'!E111&gt;=1,'幕间与结算'!E111&lt;=99,'幕间与结算'!F111&gt;=0,'幕间与结算'!F111&lt;=4,'幕间与结算'!G111&lt;=99))),1,0)</x:f>
        <x:v>0</x:v>
      </x:c>
      <x:c r="H204">
        <x:f>IF(AND(G204=1,COUNTIFS($I$200:I204,I204,$G$200:G204,1)=1),1,0)</x:f>
        <x:v>0</x:v>
      </x:c>
      <x:c r="I204" t="str">
        <x:f>IF(G204=1,IF(B204="成长",A204&amp;"-成长-"&amp;C204,'幕间与结算'!I111),"")</x:f>
        <x:v/>
      </x:c>
      <x:c r="BF204">
        <x:f>MAX(0,MIN(18,BF203+IF(C204="力量",E204,0)))</x:f>
        <x:v>0</x:v>
      </x:c>
      <x:c r="BG204">
        <x:f>MAX(0,MIN(18,BG203+IF(C204="体质",E204,0)))</x:f>
        <x:v>0</x:v>
      </x:c>
      <x:c r="BH204">
        <x:f>MAX(0,MIN(18,BH203+IF(C204="敏捷",E204,0)))</x:f>
        <x:v>0</x:v>
      </x:c>
      <x:c r="BI204">
        <x:f>MAX(0,MIN(18,BI203+IF(C204="智力",E204,0)))</x:f>
        <x:v>0</x:v>
      </x:c>
      <x:c r="BJ204">
        <x:f>MAX(0,MIN(18,BJ203+IF(C204="意志",E204,0)))</x:f>
        <x:v>0</x:v>
      </x:c>
      <x:c r="BK204">
        <x:f>MAX(0,MIN(18,BK203+IF(C204="魅力",E204,0)))</x:f>
        <x:v>0</x:v>
      </x:c>
      <x:c r="BL204">
        <x:f>MAX(0,MIN(99,BL203+IF(C204="技能：非自然知识",E204,0)))</x:f>
        <x:v>0</x:v>
      </x:c>
      <x:c r="BM204">
        <x:f>MAX(0,MIN(CEILING((BF204+BG204)/2,1),BM203+IF(C204="体力",E204,0)))</x:f>
        <x:v>0</x:v>
      </x:c>
      <x:c r="BN204">
        <x:f>MAX(0,MIN(BJ204,BN203+IF(C204="毅力",E204,0)))</x:f>
        <x:v>0</x:v>
      </x:c>
      <x:c r="BO204">
        <x:f>MAX(0,MIN(99-BL204,BO203+IF(C204="理智",E204,0)))</x:f>
        <x:v>0</x:v>
      </x:c>
      <x:c r="BP204">
        <x:f>MAX(0,MIN(99,BP203+IF(C204="崩溃点",E204,0)))</x:f>
        <x:v>0</x:v>
      </x:c>
      <x:c r="BQ204">
        <x:f>MAX(0,MIN(BK204,IF(AND(H204=1,C204="重要关系1",LEFT('幕间与结算'!H111,8)="建立新的重要关系"),'幕间与结算'!E111+E204,BQ203+IF(C204="重要关系1",E204,0)+IF(AND(C204="魅力",E204&lt;0),E204,0))))</x:f>
        <x:v>0</x:v>
      </x:c>
      <x:c r="BR204">
        <x:f>MAX(0,MIN(BK204,IF(AND(H204=1,C204="重要关系2",LEFT('幕间与结算'!H111,8)="建立新的重要关系"),'幕间与结算'!E111+E204,BR203+IF(C204="重要关系2",E204,0)+IF(AND(C204="魅力",E204&lt;0),E204,0))))</x:f>
        <x:v>0</x:v>
      </x:c>
      <x:c r="BS204">
        <x:f>MAX(0,MIN(BK204,IF(AND(H204=1,C204="重要关系3",LEFT('幕间与结算'!H111,8)="建立新的重要关系"),'幕间与结算'!E111+E204,BS203+IF(C204="重要关系3",E204,0)+IF(AND(C204="魅力",E204&lt;0),E204,0))))</x:f>
        <x:v>0</x:v>
      </x:c>
      <x:c r="BT204">
        <x:f>MAX(0,MIN(BK204,IF(AND(H204=1,C204="重要关系4",LEFT('幕间与结算'!H111,8)="建立新的重要关系"),'幕间与结算'!E111+E204,BT203+IF(C204="重要关系4",E204,0)+IF(AND(C204="魅力",E204&lt;0),E204,0))))</x:f>
        <x:v>0</x:v>
      </x:c>
      <x:c r="BU204">
        <x:f>MAX(0,MIN(BK204,IF(AND(H204=1,C204="重要关系5",LEFT('幕间与结算'!H111,8)="建立新的重要关系"),'幕间与结算'!E111+E204,BU203+IF(C204="重要关系5",E204,0)+IF(AND(C204="魅力",E204&lt;0),E204,0))))</x:f>
        <x:v>0</x:v>
      </x:c>
      <x:c r="BV204">
        <x:f>MAX(0,MIN(BK204,IF(AND(H204=1,C204="重要关系6",LEFT('幕间与结算'!H111,8)="建立新的重要关系"),'幕间与结算'!E111+E204,BV203+IF(C204="重要关系6",E204,0)+IF(AND(C204="魅力",E204&lt;0),E204,0))))</x:f>
        <x:v>0</x:v>
      </x:c>
      <x:c r="BW204">
        <x:f>MAX(0,MIN(BK204,IF(AND(H204=1,C204="重要关系7",LEFT('幕间与结算'!H111,8)="建立新的重要关系"),'幕间与结算'!E111+E204,BW203+IF(C204="重要关系7",E204,0)+IF(AND(C204="魅力",E204&lt;0),E204,0))))</x:f>
        <x:v>0</x:v>
      </x:c>
    </x:row>
    <x:row r="205">
      <x:c r="A205" t="str">
        <x:f>IFERROR(TEXT(VALUE('幕间与结算'!A112),"00"),"")</x:f>
        <x:v>00</x:v>
      </x:c>
      <x:c r="B205">
        <x:f>'幕间与结算'!B112</x:f>
        <x:v>0</x:v>
      </x:c>
      <x:c r="C205">
        <x:f>'幕间与结算'!D112</x:f>
        <x:v>0</x:v>
      </x:c>
      <x:c r="D205">
        <x:f>'幕间与结算'!F112</x:f>
        <x:v>0</x:v>
      </x:c>
      <x:c r="E205">
        <x:f>IF(H205=1,MAX(-'幕间与结算'!E112,MIN(D205,IF(LEFT(C205,3)="技能：",99,IF(COUNTIF($L$2:$L$7,C205)&gt;0,18,999))-'幕间与结算'!E112)),0)</x:f>
        <x:v>0</x:v>
      </x:c>
      <x:c r="F205" t="str">
        <x:f>IF(C205=0,"",IF(G205=0,"记录不完整",IF(H205=0,"重复未计","已计入")))</x:f>
        <x:v/>
      </x:c>
      <x:c r="G205">
        <x:f>IF(AND(AND('幕间与结算'!A112&lt;&gt;"",'幕间与结算'!B112&lt;&gt;"",'幕间与结算'!I112&lt;&gt;"",OR(LEFT(C205,3)="技能：",COUNTIF($L$2:$L$19,C205)&gt;0),ISNUMBER('幕间与结算'!E112),ISNUMBER('幕间与结算'!F112),ISNUMBER('幕间与结算'!G112),'幕间与结算'!E112&gt;=0,'幕间与结算'!G112='幕间与结算'!E112+'幕间与结算'!F112),OR(B205&lt;&gt;"成长",AND(LEFT(C205,3)="技能：",C205&lt;&gt;"技能：非自然知识",'幕间与结算'!E112&gt;=1,'幕间与结算'!E112&lt;=99,'幕间与结算'!F112&gt;=0,'幕间与结算'!F112&lt;=4,'幕间与结算'!G112&lt;=99))),1,0)</x:f>
        <x:v>0</x:v>
      </x:c>
      <x:c r="H205">
        <x:f>IF(AND(G205=1,COUNTIFS($I$200:I205,I205,$G$200:G205,1)=1),1,0)</x:f>
        <x:v>0</x:v>
      </x:c>
      <x:c r="I205" t="str">
        <x:f>IF(G205=1,IF(B205="成长",A205&amp;"-成长-"&amp;C205,'幕间与结算'!I112),"")</x:f>
        <x:v/>
      </x:c>
      <x:c r="BF205">
        <x:f>MAX(0,MIN(18,BF204+IF(C205="力量",E205,0)))</x:f>
        <x:v>0</x:v>
      </x:c>
      <x:c r="BG205">
        <x:f>MAX(0,MIN(18,BG204+IF(C205="体质",E205,0)))</x:f>
        <x:v>0</x:v>
      </x:c>
      <x:c r="BH205">
        <x:f>MAX(0,MIN(18,BH204+IF(C205="敏捷",E205,0)))</x:f>
        <x:v>0</x:v>
      </x:c>
      <x:c r="BI205">
        <x:f>MAX(0,MIN(18,BI204+IF(C205="智力",E205,0)))</x:f>
        <x:v>0</x:v>
      </x:c>
      <x:c r="BJ205">
        <x:f>MAX(0,MIN(18,BJ204+IF(C205="意志",E205,0)))</x:f>
        <x:v>0</x:v>
      </x:c>
      <x:c r="BK205">
        <x:f>MAX(0,MIN(18,BK204+IF(C205="魅力",E205,0)))</x:f>
        <x:v>0</x:v>
      </x:c>
      <x:c r="BL205">
        <x:f>MAX(0,MIN(99,BL204+IF(C205="技能：非自然知识",E205,0)))</x:f>
        <x:v>0</x:v>
      </x:c>
      <x:c r="BM205">
        <x:f>MAX(0,MIN(CEILING((BF205+BG205)/2,1),BM204+IF(C205="体力",E205,0)))</x:f>
        <x:v>0</x:v>
      </x:c>
      <x:c r="BN205">
        <x:f>MAX(0,MIN(BJ205,BN204+IF(C205="毅力",E205,0)))</x:f>
        <x:v>0</x:v>
      </x:c>
      <x:c r="BO205">
        <x:f>MAX(0,MIN(99-BL205,BO204+IF(C205="理智",E205,0)))</x:f>
        <x:v>0</x:v>
      </x:c>
      <x:c r="BP205">
        <x:f>MAX(0,MIN(99,BP204+IF(C205="崩溃点",E205,0)))</x:f>
        <x:v>0</x:v>
      </x:c>
      <x:c r="BQ205">
        <x:f>MAX(0,MIN(BK205,IF(AND(H205=1,C205="重要关系1",LEFT('幕间与结算'!H112,8)="建立新的重要关系"),'幕间与结算'!E112+E205,BQ204+IF(C205="重要关系1",E205,0)+IF(AND(C205="魅力",E205&lt;0),E205,0))))</x:f>
        <x:v>0</x:v>
      </x:c>
      <x:c r="BR205">
        <x:f>MAX(0,MIN(BK205,IF(AND(H205=1,C205="重要关系2",LEFT('幕间与结算'!H112,8)="建立新的重要关系"),'幕间与结算'!E112+E205,BR204+IF(C205="重要关系2",E205,0)+IF(AND(C205="魅力",E205&lt;0),E205,0))))</x:f>
        <x:v>0</x:v>
      </x:c>
      <x:c r="BS205">
        <x:f>MAX(0,MIN(BK205,IF(AND(H205=1,C205="重要关系3",LEFT('幕间与结算'!H112,8)="建立新的重要关系"),'幕间与结算'!E112+E205,BS204+IF(C205="重要关系3",E205,0)+IF(AND(C205="魅力",E205&lt;0),E205,0))))</x:f>
        <x:v>0</x:v>
      </x:c>
      <x:c r="BT205">
        <x:f>MAX(0,MIN(BK205,IF(AND(H205=1,C205="重要关系4",LEFT('幕间与结算'!H112,8)="建立新的重要关系"),'幕间与结算'!E112+E205,BT204+IF(C205="重要关系4",E205,0)+IF(AND(C205="魅力",E205&lt;0),E205,0))))</x:f>
        <x:v>0</x:v>
      </x:c>
      <x:c r="BU205">
        <x:f>MAX(0,MIN(BK205,IF(AND(H205=1,C205="重要关系5",LEFT('幕间与结算'!H112,8)="建立新的重要关系"),'幕间与结算'!E112+E205,BU204+IF(C205="重要关系5",E205,0)+IF(AND(C205="魅力",E205&lt;0),E205,0))))</x:f>
        <x:v>0</x:v>
      </x:c>
      <x:c r="BV205">
        <x:f>MAX(0,MIN(BK205,IF(AND(H205=1,C205="重要关系6",LEFT('幕间与结算'!H112,8)="建立新的重要关系"),'幕间与结算'!E112+E205,BV204+IF(C205="重要关系6",E205,0)+IF(AND(C205="魅力",E205&lt;0),E205,0))))</x:f>
        <x:v>0</x:v>
      </x:c>
      <x:c r="BW205">
        <x:f>MAX(0,MIN(BK205,IF(AND(H205=1,C205="重要关系7",LEFT('幕间与结算'!H112,8)="建立新的重要关系"),'幕间与结算'!E112+E205,BW204+IF(C205="重要关系7",E205,0)+IF(AND(C205="魅力",E205&lt;0),E205,0))))</x:f>
        <x:v>0</x:v>
      </x:c>
    </x:row>
    <x:row r="206">
      <x:c r="A206" t="str">
        <x:f>IFERROR(TEXT(VALUE('幕间与结算'!A113),"00"),"")</x:f>
        <x:v>00</x:v>
      </x:c>
      <x:c r="B206">
        <x:f>'幕间与结算'!B113</x:f>
        <x:v>0</x:v>
      </x:c>
      <x:c r="C206">
        <x:f>'幕间与结算'!D113</x:f>
        <x:v>0</x:v>
      </x:c>
      <x:c r="D206">
        <x:f>'幕间与结算'!F113</x:f>
        <x:v>0</x:v>
      </x:c>
      <x:c r="E206">
        <x:f>IF(H206=1,MAX(-'幕间与结算'!E113,MIN(D206,IF(LEFT(C206,3)="技能：",99,IF(COUNTIF($L$2:$L$7,C206)&gt;0,18,999))-'幕间与结算'!E113)),0)</x:f>
        <x:v>0</x:v>
      </x:c>
      <x:c r="F206" t="str">
        <x:f>IF(C206=0,"",IF(G206=0,"记录不完整",IF(H206=0,"重复未计","已计入")))</x:f>
        <x:v/>
      </x:c>
      <x:c r="G206">
        <x:f>IF(AND(AND('幕间与结算'!A113&lt;&gt;"",'幕间与结算'!B113&lt;&gt;"",'幕间与结算'!I113&lt;&gt;"",OR(LEFT(C206,3)="技能：",COUNTIF($L$2:$L$19,C206)&gt;0),ISNUMBER('幕间与结算'!E113),ISNUMBER('幕间与结算'!F113),ISNUMBER('幕间与结算'!G113),'幕间与结算'!E113&gt;=0,'幕间与结算'!G113='幕间与结算'!E113+'幕间与结算'!F113),OR(B206&lt;&gt;"成长",AND(LEFT(C206,3)="技能：",C206&lt;&gt;"技能：非自然知识",'幕间与结算'!E113&gt;=1,'幕间与结算'!E113&lt;=99,'幕间与结算'!F113&gt;=0,'幕间与结算'!F113&lt;=4,'幕间与结算'!G113&lt;=99))),1,0)</x:f>
        <x:v>0</x:v>
      </x:c>
      <x:c r="H206">
        <x:f>IF(AND(G206=1,COUNTIFS($I$200:I206,I206,$G$200:G206,1)=1),1,0)</x:f>
        <x:v>0</x:v>
      </x:c>
      <x:c r="I206" t="str">
        <x:f>IF(G206=1,IF(B206="成长",A206&amp;"-成长-"&amp;C206,'幕间与结算'!I113),"")</x:f>
        <x:v/>
      </x:c>
      <x:c r="BF206">
        <x:f>MAX(0,MIN(18,BF205+IF(C206="力量",E206,0)))</x:f>
        <x:v>0</x:v>
      </x:c>
      <x:c r="BG206">
        <x:f>MAX(0,MIN(18,BG205+IF(C206="体质",E206,0)))</x:f>
        <x:v>0</x:v>
      </x:c>
      <x:c r="BH206">
        <x:f>MAX(0,MIN(18,BH205+IF(C206="敏捷",E206,0)))</x:f>
        <x:v>0</x:v>
      </x:c>
      <x:c r="BI206">
        <x:f>MAX(0,MIN(18,BI205+IF(C206="智力",E206,0)))</x:f>
        <x:v>0</x:v>
      </x:c>
      <x:c r="BJ206">
        <x:f>MAX(0,MIN(18,BJ205+IF(C206="意志",E206,0)))</x:f>
        <x:v>0</x:v>
      </x:c>
      <x:c r="BK206">
        <x:f>MAX(0,MIN(18,BK205+IF(C206="魅力",E206,0)))</x:f>
        <x:v>0</x:v>
      </x:c>
      <x:c r="BL206">
        <x:f>MAX(0,MIN(99,BL205+IF(C206="技能：非自然知识",E206,0)))</x:f>
        <x:v>0</x:v>
      </x:c>
      <x:c r="BM206">
        <x:f>MAX(0,MIN(CEILING((BF206+BG206)/2,1),BM205+IF(C206="体力",E206,0)))</x:f>
        <x:v>0</x:v>
      </x:c>
      <x:c r="BN206">
        <x:f>MAX(0,MIN(BJ206,BN205+IF(C206="毅力",E206,0)))</x:f>
        <x:v>0</x:v>
      </x:c>
      <x:c r="BO206">
        <x:f>MAX(0,MIN(99-BL206,BO205+IF(C206="理智",E206,0)))</x:f>
        <x:v>0</x:v>
      </x:c>
      <x:c r="BP206">
        <x:f>MAX(0,MIN(99,BP205+IF(C206="崩溃点",E206,0)))</x:f>
        <x:v>0</x:v>
      </x:c>
      <x:c r="BQ206">
        <x:f>MAX(0,MIN(BK206,IF(AND(H206=1,C206="重要关系1",LEFT('幕间与结算'!H113,8)="建立新的重要关系"),'幕间与结算'!E113+E206,BQ205+IF(C206="重要关系1",E206,0)+IF(AND(C206="魅力",E206&lt;0),E206,0))))</x:f>
        <x:v>0</x:v>
      </x:c>
      <x:c r="BR206">
        <x:f>MAX(0,MIN(BK206,IF(AND(H206=1,C206="重要关系2",LEFT('幕间与结算'!H113,8)="建立新的重要关系"),'幕间与结算'!E113+E206,BR205+IF(C206="重要关系2",E206,0)+IF(AND(C206="魅力",E206&lt;0),E206,0))))</x:f>
        <x:v>0</x:v>
      </x:c>
      <x:c r="BS206">
        <x:f>MAX(0,MIN(BK206,IF(AND(H206=1,C206="重要关系3",LEFT('幕间与结算'!H113,8)="建立新的重要关系"),'幕间与结算'!E113+E206,BS205+IF(C206="重要关系3",E206,0)+IF(AND(C206="魅力",E206&lt;0),E206,0))))</x:f>
        <x:v>0</x:v>
      </x:c>
      <x:c r="BT206">
        <x:f>MAX(0,MIN(BK206,IF(AND(H206=1,C206="重要关系4",LEFT('幕间与结算'!H113,8)="建立新的重要关系"),'幕间与结算'!E113+E206,BT205+IF(C206="重要关系4",E206,0)+IF(AND(C206="魅力",E206&lt;0),E206,0))))</x:f>
        <x:v>0</x:v>
      </x:c>
      <x:c r="BU206">
        <x:f>MAX(0,MIN(BK206,IF(AND(H206=1,C206="重要关系5",LEFT('幕间与结算'!H113,8)="建立新的重要关系"),'幕间与结算'!E113+E206,BU205+IF(C206="重要关系5",E206,0)+IF(AND(C206="魅力",E206&lt;0),E206,0))))</x:f>
        <x:v>0</x:v>
      </x:c>
      <x:c r="BV206">
        <x:f>MAX(0,MIN(BK206,IF(AND(H206=1,C206="重要关系6",LEFT('幕间与结算'!H113,8)="建立新的重要关系"),'幕间与结算'!E113+E206,BV205+IF(C206="重要关系6",E206,0)+IF(AND(C206="魅力",E206&lt;0),E206,0))))</x:f>
        <x:v>0</x:v>
      </x:c>
      <x:c r="BW206">
        <x:f>MAX(0,MIN(BK206,IF(AND(H206=1,C206="重要关系7",LEFT('幕间与结算'!H113,8)="建立新的重要关系"),'幕间与结算'!E113+E206,BW205+IF(C206="重要关系7",E206,0)+IF(AND(C206="魅力",E206&lt;0),E206,0))))</x:f>
        <x:v>0</x:v>
      </x:c>
    </x:row>
    <x:row r="207">
      <x:c r="A207" t="str">
        <x:f>IFERROR(TEXT(VALUE('幕间与结算'!A114),"00"),"")</x:f>
        <x:v>00</x:v>
      </x:c>
      <x:c r="B207">
        <x:f>'幕间与结算'!B114</x:f>
        <x:v>0</x:v>
      </x:c>
      <x:c r="C207">
        <x:f>'幕间与结算'!D114</x:f>
        <x:v>0</x:v>
      </x:c>
      <x:c r="D207">
        <x:f>'幕间与结算'!F114</x:f>
        <x:v>0</x:v>
      </x:c>
      <x:c r="E207">
        <x:f>IF(H207=1,MAX(-'幕间与结算'!E114,MIN(D207,IF(LEFT(C207,3)="技能：",99,IF(COUNTIF($L$2:$L$7,C207)&gt;0,18,999))-'幕间与结算'!E114)),0)</x:f>
        <x:v>0</x:v>
      </x:c>
      <x:c r="F207" t="str">
        <x:f>IF(C207=0,"",IF(G207=0,"记录不完整",IF(H207=0,"重复未计","已计入")))</x:f>
        <x:v/>
      </x:c>
      <x:c r="G207">
        <x:f>IF(AND(AND('幕间与结算'!A114&lt;&gt;"",'幕间与结算'!B114&lt;&gt;"",'幕间与结算'!I114&lt;&gt;"",OR(LEFT(C207,3)="技能：",COUNTIF($L$2:$L$19,C207)&gt;0),ISNUMBER('幕间与结算'!E114),ISNUMBER('幕间与结算'!F114),ISNUMBER('幕间与结算'!G114),'幕间与结算'!E114&gt;=0,'幕间与结算'!G114='幕间与结算'!E114+'幕间与结算'!F114),OR(B207&lt;&gt;"成长",AND(LEFT(C207,3)="技能：",C207&lt;&gt;"技能：非自然知识",'幕间与结算'!E114&gt;=1,'幕间与结算'!E114&lt;=99,'幕间与结算'!F114&gt;=0,'幕间与结算'!F114&lt;=4,'幕间与结算'!G114&lt;=99))),1,0)</x:f>
        <x:v>0</x:v>
      </x:c>
      <x:c r="H207">
        <x:f>IF(AND(G207=1,COUNTIFS($I$200:I207,I207,$G$200:G207,1)=1),1,0)</x:f>
        <x:v>0</x:v>
      </x:c>
      <x:c r="I207" t="str">
        <x:f>IF(G207=1,IF(B207="成长",A207&amp;"-成长-"&amp;C207,'幕间与结算'!I114),"")</x:f>
        <x:v/>
      </x:c>
      <x:c r="BF207">
        <x:f>MAX(0,MIN(18,BF206+IF(C207="力量",E207,0)))</x:f>
        <x:v>0</x:v>
      </x:c>
      <x:c r="BG207">
        <x:f>MAX(0,MIN(18,BG206+IF(C207="体质",E207,0)))</x:f>
        <x:v>0</x:v>
      </x:c>
      <x:c r="BH207">
        <x:f>MAX(0,MIN(18,BH206+IF(C207="敏捷",E207,0)))</x:f>
        <x:v>0</x:v>
      </x:c>
      <x:c r="BI207">
        <x:f>MAX(0,MIN(18,BI206+IF(C207="智力",E207,0)))</x:f>
        <x:v>0</x:v>
      </x:c>
      <x:c r="BJ207">
        <x:f>MAX(0,MIN(18,BJ206+IF(C207="意志",E207,0)))</x:f>
        <x:v>0</x:v>
      </x:c>
      <x:c r="BK207">
        <x:f>MAX(0,MIN(18,BK206+IF(C207="魅力",E207,0)))</x:f>
        <x:v>0</x:v>
      </x:c>
      <x:c r="BL207">
        <x:f>MAX(0,MIN(99,BL206+IF(C207="技能：非自然知识",E207,0)))</x:f>
        <x:v>0</x:v>
      </x:c>
      <x:c r="BM207">
        <x:f>MAX(0,MIN(CEILING((BF207+BG207)/2,1),BM206+IF(C207="体力",E207,0)))</x:f>
        <x:v>0</x:v>
      </x:c>
      <x:c r="BN207">
        <x:f>MAX(0,MIN(BJ207,BN206+IF(C207="毅力",E207,0)))</x:f>
        <x:v>0</x:v>
      </x:c>
      <x:c r="BO207">
        <x:f>MAX(0,MIN(99-BL207,BO206+IF(C207="理智",E207,0)))</x:f>
        <x:v>0</x:v>
      </x:c>
      <x:c r="BP207">
        <x:f>MAX(0,MIN(99,BP206+IF(C207="崩溃点",E207,0)))</x:f>
        <x:v>0</x:v>
      </x:c>
      <x:c r="BQ207">
        <x:f>MAX(0,MIN(BK207,IF(AND(H207=1,C207="重要关系1",LEFT('幕间与结算'!H114,8)="建立新的重要关系"),'幕间与结算'!E114+E207,BQ206+IF(C207="重要关系1",E207,0)+IF(AND(C207="魅力",E207&lt;0),E207,0))))</x:f>
        <x:v>0</x:v>
      </x:c>
      <x:c r="BR207">
        <x:f>MAX(0,MIN(BK207,IF(AND(H207=1,C207="重要关系2",LEFT('幕间与结算'!H114,8)="建立新的重要关系"),'幕间与结算'!E114+E207,BR206+IF(C207="重要关系2",E207,0)+IF(AND(C207="魅力",E207&lt;0),E207,0))))</x:f>
        <x:v>0</x:v>
      </x:c>
      <x:c r="BS207">
        <x:f>MAX(0,MIN(BK207,IF(AND(H207=1,C207="重要关系3",LEFT('幕间与结算'!H114,8)="建立新的重要关系"),'幕间与结算'!E114+E207,BS206+IF(C207="重要关系3",E207,0)+IF(AND(C207="魅力",E207&lt;0),E207,0))))</x:f>
        <x:v>0</x:v>
      </x:c>
      <x:c r="BT207">
        <x:f>MAX(0,MIN(BK207,IF(AND(H207=1,C207="重要关系4",LEFT('幕间与结算'!H114,8)="建立新的重要关系"),'幕间与结算'!E114+E207,BT206+IF(C207="重要关系4",E207,0)+IF(AND(C207="魅力",E207&lt;0),E207,0))))</x:f>
        <x:v>0</x:v>
      </x:c>
      <x:c r="BU207">
        <x:f>MAX(0,MIN(BK207,IF(AND(H207=1,C207="重要关系5",LEFT('幕间与结算'!H114,8)="建立新的重要关系"),'幕间与结算'!E114+E207,BU206+IF(C207="重要关系5",E207,0)+IF(AND(C207="魅力",E207&lt;0),E207,0))))</x:f>
        <x:v>0</x:v>
      </x:c>
      <x:c r="BV207">
        <x:f>MAX(0,MIN(BK207,IF(AND(H207=1,C207="重要关系6",LEFT('幕间与结算'!H114,8)="建立新的重要关系"),'幕间与结算'!E114+E207,BV206+IF(C207="重要关系6",E207,0)+IF(AND(C207="魅力",E207&lt;0),E207,0))))</x:f>
        <x:v>0</x:v>
      </x:c>
      <x:c r="BW207">
        <x:f>MAX(0,MIN(BK207,IF(AND(H207=1,C207="重要关系7",LEFT('幕间与结算'!H114,8)="建立新的重要关系"),'幕间与结算'!E114+E207,BW206+IF(C207="重要关系7",E207,0)+IF(AND(C207="魅力",E207&lt;0),E207,0))))</x:f>
        <x:v>0</x:v>
      </x:c>
    </x:row>
    <x:row r="208">
      <x:c r="A208" t="str">
        <x:f>IFERROR(TEXT(VALUE('幕间与结算'!A115),"00"),"")</x:f>
        <x:v>00</x:v>
      </x:c>
      <x:c r="B208">
        <x:f>'幕间与结算'!B115</x:f>
        <x:v>0</x:v>
      </x:c>
      <x:c r="C208">
        <x:f>'幕间与结算'!D115</x:f>
        <x:v>0</x:v>
      </x:c>
      <x:c r="D208">
        <x:f>'幕间与结算'!F115</x:f>
        <x:v>0</x:v>
      </x:c>
      <x:c r="E208">
        <x:f>IF(H208=1,MAX(-'幕间与结算'!E115,MIN(D208,IF(LEFT(C208,3)="技能：",99,IF(COUNTIF($L$2:$L$7,C208)&gt;0,18,999))-'幕间与结算'!E115)),0)</x:f>
        <x:v>0</x:v>
      </x:c>
      <x:c r="F208" t="str">
        <x:f>IF(C208=0,"",IF(G208=0,"记录不完整",IF(H208=0,"重复未计","已计入")))</x:f>
        <x:v/>
      </x:c>
      <x:c r="G208">
        <x:f>IF(AND(AND('幕间与结算'!A115&lt;&gt;"",'幕间与结算'!B115&lt;&gt;"",'幕间与结算'!I115&lt;&gt;"",OR(LEFT(C208,3)="技能：",COUNTIF($L$2:$L$19,C208)&gt;0),ISNUMBER('幕间与结算'!E115),ISNUMBER('幕间与结算'!F115),ISNUMBER('幕间与结算'!G115),'幕间与结算'!E115&gt;=0,'幕间与结算'!G115='幕间与结算'!E115+'幕间与结算'!F115),OR(B208&lt;&gt;"成长",AND(LEFT(C208,3)="技能：",C208&lt;&gt;"技能：非自然知识",'幕间与结算'!E115&gt;=1,'幕间与结算'!E115&lt;=99,'幕间与结算'!F115&gt;=0,'幕间与结算'!F115&lt;=4,'幕间与结算'!G115&lt;=99))),1,0)</x:f>
        <x:v>0</x:v>
      </x:c>
      <x:c r="H208">
        <x:f>IF(AND(G208=1,COUNTIFS($I$200:I208,I208,$G$200:G208,1)=1),1,0)</x:f>
        <x:v>0</x:v>
      </x:c>
      <x:c r="I208" t="str">
        <x:f>IF(G208=1,IF(B208="成长",A208&amp;"-成长-"&amp;C208,'幕间与结算'!I115),"")</x:f>
        <x:v/>
      </x:c>
      <x:c r="BF208">
        <x:f>MAX(0,MIN(18,BF207+IF(C208="力量",E208,0)))</x:f>
        <x:v>0</x:v>
      </x:c>
      <x:c r="BG208">
        <x:f>MAX(0,MIN(18,BG207+IF(C208="体质",E208,0)))</x:f>
        <x:v>0</x:v>
      </x:c>
      <x:c r="BH208">
        <x:f>MAX(0,MIN(18,BH207+IF(C208="敏捷",E208,0)))</x:f>
        <x:v>0</x:v>
      </x:c>
      <x:c r="BI208">
        <x:f>MAX(0,MIN(18,BI207+IF(C208="智力",E208,0)))</x:f>
        <x:v>0</x:v>
      </x:c>
      <x:c r="BJ208">
        <x:f>MAX(0,MIN(18,BJ207+IF(C208="意志",E208,0)))</x:f>
        <x:v>0</x:v>
      </x:c>
      <x:c r="BK208">
        <x:f>MAX(0,MIN(18,BK207+IF(C208="魅力",E208,0)))</x:f>
        <x:v>0</x:v>
      </x:c>
      <x:c r="BL208">
        <x:f>MAX(0,MIN(99,BL207+IF(C208="技能：非自然知识",E208,0)))</x:f>
        <x:v>0</x:v>
      </x:c>
      <x:c r="BM208">
        <x:f>MAX(0,MIN(CEILING((BF208+BG208)/2,1),BM207+IF(C208="体力",E208,0)))</x:f>
        <x:v>0</x:v>
      </x:c>
      <x:c r="BN208">
        <x:f>MAX(0,MIN(BJ208,BN207+IF(C208="毅力",E208,0)))</x:f>
        <x:v>0</x:v>
      </x:c>
      <x:c r="BO208">
        <x:f>MAX(0,MIN(99-BL208,BO207+IF(C208="理智",E208,0)))</x:f>
        <x:v>0</x:v>
      </x:c>
      <x:c r="BP208">
        <x:f>MAX(0,MIN(99,BP207+IF(C208="崩溃点",E208,0)))</x:f>
        <x:v>0</x:v>
      </x:c>
      <x:c r="BQ208">
        <x:f>MAX(0,MIN(BK208,IF(AND(H208=1,C208="重要关系1",LEFT('幕间与结算'!H115,8)="建立新的重要关系"),'幕间与结算'!E115+E208,BQ207+IF(C208="重要关系1",E208,0)+IF(AND(C208="魅力",E208&lt;0),E208,0))))</x:f>
        <x:v>0</x:v>
      </x:c>
      <x:c r="BR208">
        <x:f>MAX(0,MIN(BK208,IF(AND(H208=1,C208="重要关系2",LEFT('幕间与结算'!H115,8)="建立新的重要关系"),'幕间与结算'!E115+E208,BR207+IF(C208="重要关系2",E208,0)+IF(AND(C208="魅力",E208&lt;0),E208,0))))</x:f>
        <x:v>0</x:v>
      </x:c>
      <x:c r="BS208">
        <x:f>MAX(0,MIN(BK208,IF(AND(H208=1,C208="重要关系3",LEFT('幕间与结算'!H115,8)="建立新的重要关系"),'幕间与结算'!E115+E208,BS207+IF(C208="重要关系3",E208,0)+IF(AND(C208="魅力",E208&lt;0),E208,0))))</x:f>
        <x:v>0</x:v>
      </x:c>
      <x:c r="BT208">
        <x:f>MAX(0,MIN(BK208,IF(AND(H208=1,C208="重要关系4",LEFT('幕间与结算'!H115,8)="建立新的重要关系"),'幕间与结算'!E115+E208,BT207+IF(C208="重要关系4",E208,0)+IF(AND(C208="魅力",E208&lt;0),E208,0))))</x:f>
        <x:v>0</x:v>
      </x:c>
      <x:c r="BU208">
        <x:f>MAX(0,MIN(BK208,IF(AND(H208=1,C208="重要关系5",LEFT('幕间与结算'!H115,8)="建立新的重要关系"),'幕间与结算'!E115+E208,BU207+IF(C208="重要关系5",E208,0)+IF(AND(C208="魅力",E208&lt;0),E208,0))))</x:f>
        <x:v>0</x:v>
      </x:c>
      <x:c r="BV208">
        <x:f>MAX(0,MIN(BK208,IF(AND(H208=1,C208="重要关系6",LEFT('幕间与结算'!H115,8)="建立新的重要关系"),'幕间与结算'!E115+E208,BV207+IF(C208="重要关系6",E208,0)+IF(AND(C208="魅力",E208&lt;0),E208,0))))</x:f>
        <x:v>0</x:v>
      </x:c>
      <x:c r="BW208">
        <x:f>MAX(0,MIN(BK208,IF(AND(H208=1,C208="重要关系7",LEFT('幕间与结算'!H115,8)="建立新的重要关系"),'幕间与结算'!E115+E208,BW207+IF(C208="重要关系7",E208,0)+IF(AND(C208="魅力",E208&lt;0),E208,0))))</x:f>
        <x:v>0</x:v>
      </x:c>
    </x:row>
    <x:row r="209">
      <x:c r="A209" t="str">
        <x:f>IFERROR(TEXT(VALUE('幕间与结算'!A116),"00"),"")</x:f>
        <x:v>00</x:v>
      </x:c>
      <x:c r="B209">
        <x:f>'幕间与结算'!B116</x:f>
        <x:v>0</x:v>
      </x:c>
      <x:c r="C209">
        <x:f>'幕间与结算'!D116</x:f>
        <x:v>0</x:v>
      </x:c>
      <x:c r="D209">
        <x:f>'幕间与结算'!F116</x:f>
        <x:v>0</x:v>
      </x:c>
      <x:c r="E209">
        <x:f>IF(H209=1,MAX(-'幕间与结算'!E116,MIN(D209,IF(LEFT(C209,3)="技能：",99,IF(COUNTIF($L$2:$L$7,C209)&gt;0,18,999))-'幕间与结算'!E116)),0)</x:f>
        <x:v>0</x:v>
      </x:c>
      <x:c r="F209" t="str">
        <x:f>IF(C209=0,"",IF(G209=0,"记录不完整",IF(H209=0,"重复未计","已计入")))</x:f>
        <x:v/>
      </x:c>
      <x:c r="G209">
        <x:f>IF(AND(AND('幕间与结算'!A116&lt;&gt;"",'幕间与结算'!B116&lt;&gt;"",'幕间与结算'!I116&lt;&gt;"",OR(LEFT(C209,3)="技能：",COUNTIF($L$2:$L$19,C209)&gt;0),ISNUMBER('幕间与结算'!E116),ISNUMBER('幕间与结算'!F116),ISNUMBER('幕间与结算'!G116),'幕间与结算'!E116&gt;=0,'幕间与结算'!G116='幕间与结算'!E116+'幕间与结算'!F116),OR(B209&lt;&gt;"成长",AND(LEFT(C209,3)="技能：",C209&lt;&gt;"技能：非自然知识",'幕间与结算'!E116&gt;=1,'幕间与结算'!E116&lt;=99,'幕间与结算'!F116&gt;=0,'幕间与结算'!F116&lt;=4,'幕间与结算'!G116&lt;=99))),1,0)</x:f>
        <x:v>0</x:v>
      </x:c>
      <x:c r="H209">
        <x:f>IF(AND(G209=1,COUNTIFS($I$200:I209,I209,$G$200:G209,1)=1),1,0)</x:f>
        <x:v>0</x:v>
      </x:c>
      <x:c r="I209" t="str">
        <x:f>IF(G209=1,IF(B209="成长",A209&amp;"-成长-"&amp;C209,'幕间与结算'!I116),"")</x:f>
        <x:v/>
      </x:c>
      <x:c r="BF209">
        <x:f>MAX(0,MIN(18,BF208+IF(C209="力量",E209,0)))</x:f>
        <x:v>0</x:v>
      </x:c>
      <x:c r="BG209">
        <x:f>MAX(0,MIN(18,BG208+IF(C209="体质",E209,0)))</x:f>
        <x:v>0</x:v>
      </x:c>
      <x:c r="BH209">
        <x:f>MAX(0,MIN(18,BH208+IF(C209="敏捷",E209,0)))</x:f>
        <x:v>0</x:v>
      </x:c>
      <x:c r="BI209">
        <x:f>MAX(0,MIN(18,BI208+IF(C209="智力",E209,0)))</x:f>
        <x:v>0</x:v>
      </x:c>
      <x:c r="BJ209">
        <x:f>MAX(0,MIN(18,BJ208+IF(C209="意志",E209,0)))</x:f>
        <x:v>0</x:v>
      </x:c>
      <x:c r="BK209">
        <x:f>MAX(0,MIN(18,BK208+IF(C209="魅力",E209,0)))</x:f>
        <x:v>0</x:v>
      </x:c>
      <x:c r="BL209">
        <x:f>MAX(0,MIN(99,BL208+IF(C209="技能：非自然知识",E209,0)))</x:f>
        <x:v>0</x:v>
      </x:c>
      <x:c r="BM209">
        <x:f>MAX(0,MIN(CEILING((BF209+BG209)/2,1),BM208+IF(C209="体力",E209,0)))</x:f>
        <x:v>0</x:v>
      </x:c>
      <x:c r="BN209">
        <x:f>MAX(0,MIN(BJ209,BN208+IF(C209="毅力",E209,0)))</x:f>
        <x:v>0</x:v>
      </x:c>
      <x:c r="BO209">
        <x:f>MAX(0,MIN(99-BL209,BO208+IF(C209="理智",E209,0)))</x:f>
        <x:v>0</x:v>
      </x:c>
      <x:c r="BP209">
        <x:f>MAX(0,MIN(99,BP208+IF(C209="崩溃点",E209,0)))</x:f>
        <x:v>0</x:v>
      </x:c>
      <x:c r="BQ209">
        <x:f>MAX(0,MIN(BK209,IF(AND(H209=1,C209="重要关系1",LEFT('幕间与结算'!H116,8)="建立新的重要关系"),'幕间与结算'!E116+E209,BQ208+IF(C209="重要关系1",E209,0)+IF(AND(C209="魅力",E209&lt;0),E209,0))))</x:f>
        <x:v>0</x:v>
      </x:c>
      <x:c r="BR209">
        <x:f>MAX(0,MIN(BK209,IF(AND(H209=1,C209="重要关系2",LEFT('幕间与结算'!H116,8)="建立新的重要关系"),'幕间与结算'!E116+E209,BR208+IF(C209="重要关系2",E209,0)+IF(AND(C209="魅力",E209&lt;0),E209,0))))</x:f>
        <x:v>0</x:v>
      </x:c>
      <x:c r="BS209">
        <x:f>MAX(0,MIN(BK209,IF(AND(H209=1,C209="重要关系3",LEFT('幕间与结算'!H116,8)="建立新的重要关系"),'幕间与结算'!E116+E209,BS208+IF(C209="重要关系3",E209,0)+IF(AND(C209="魅力",E209&lt;0),E209,0))))</x:f>
        <x:v>0</x:v>
      </x:c>
      <x:c r="BT209">
        <x:f>MAX(0,MIN(BK209,IF(AND(H209=1,C209="重要关系4",LEFT('幕间与结算'!H116,8)="建立新的重要关系"),'幕间与结算'!E116+E209,BT208+IF(C209="重要关系4",E209,0)+IF(AND(C209="魅力",E209&lt;0),E209,0))))</x:f>
        <x:v>0</x:v>
      </x:c>
      <x:c r="BU209">
        <x:f>MAX(0,MIN(BK209,IF(AND(H209=1,C209="重要关系5",LEFT('幕间与结算'!H116,8)="建立新的重要关系"),'幕间与结算'!E116+E209,BU208+IF(C209="重要关系5",E209,0)+IF(AND(C209="魅力",E209&lt;0),E209,0))))</x:f>
        <x:v>0</x:v>
      </x:c>
      <x:c r="BV209">
        <x:f>MAX(0,MIN(BK209,IF(AND(H209=1,C209="重要关系6",LEFT('幕间与结算'!H116,8)="建立新的重要关系"),'幕间与结算'!E116+E209,BV208+IF(C209="重要关系6",E209,0)+IF(AND(C209="魅力",E209&lt;0),E209,0))))</x:f>
        <x:v>0</x:v>
      </x:c>
      <x:c r="BW209">
        <x:f>MAX(0,MIN(BK209,IF(AND(H209=1,C209="重要关系7",LEFT('幕间与结算'!H116,8)="建立新的重要关系"),'幕间与结算'!E116+E209,BW208+IF(C209="重要关系7",E209,0)+IF(AND(C209="魅力",E209&lt;0),E209,0))))</x:f>
        <x:v>0</x:v>
      </x:c>
    </x:row>
    <x:row r="210">
      <x:c r="A210" t="str">
        <x:f>IFERROR(TEXT(VALUE('幕间与结算'!A117),"00"),"")</x:f>
        <x:v>00</x:v>
      </x:c>
      <x:c r="B210">
        <x:f>'幕间与结算'!B117</x:f>
        <x:v>0</x:v>
      </x:c>
      <x:c r="C210">
        <x:f>'幕间与结算'!D117</x:f>
        <x:v>0</x:v>
      </x:c>
      <x:c r="D210">
        <x:f>'幕间与结算'!F117</x:f>
        <x:v>0</x:v>
      </x:c>
      <x:c r="E210">
        <x:f>IF(H210=1,MAX(-'幕间与结算'!E117,MIN(D210,IF(LEFT(C210,3)="技能：",99,IF(COUNTIF($L$2:$L$7,C210)&gt;0,18,999))-'幕间与结算'!E117)),0)</x:f>
        <x:v>0</x:v>
      </x:c>
      <x:c r="F210" t="str">
        <x:f>IF(C210=0,"",IF(G210=0,"记录不完整",IF(H210=0,"重复未计","已计入")))</x:f>
        <x:v/>
      </x:c>
      <x:c r="G210">
        <x:f>IF(AND(AND('幕间与结算'!A117&lt;&gt;"",'幕间与结算'!B117&lt;&gt;"",'幕间与结算'!I117&lt;&gt;"",OR(LEFT(C210,3)="技能：",COUNTIF($L$2:$L$19,C210)&gt;0),ISNUMBER('幕间与结算'!E117),ISNUMBER('幕间与结算'!F117),ISNUMBER('幕间与结算'!G117),'幕间与结算'!E117&gt;=0,'幕间与结算'!G117='幕间与结算'!E117+'幕间与结算'!F117),OR(B210&lt;&gt;"成长",AND(LEFT(C210,3)="技能：",C210&lt;&gt;"技能：非自然知识",'幕间与结算'!E117&gt;=1,'幕间与结算'!E117&lt;=99,'幕间与结算'!F117&gt;=0,'幕间与结算'!F117&lt;=4,'幕间与结算'!G117&lt;=99))),1,0)</x:f>
        <x:v>0</x:v>
      </x:c>
      <x:c r="H210">
        <x:f>IF(AND(G210=1,COUNTIFS($I$200:I210,I210,$G$200:G210,1)=1),1,0)</x:f>
        <x:v>0</x:v>
      </x:c>
      <x:c r="I210" t="str">
        <x:f>IF(G210=1,IF(B210="成长",A210&amp;"-成长-"&amp;C210,'幕间与结算'!I117),"")</x:f>
        <x:v/>
      </x:c>
      <x:c r="BF210">
        <x:f>MAX(0,MIN(18,BF209+IF(C210="力量",E210,0)))</x:f>
        <x:v>0</x:v>
      </x:c>
      <x:c r="BG210">
        <x:f>MAX(0,MIN(18,BG209+IF(C210="体质",E210,0)))</x:f>
        <x:v>0</x:v>
      </x:c>
      <x:c r="BH210">
        <x:f>MAX(0,MIN(18,BH209+IF(C210="敏捷",E210,0)))</x:f>
        <x:v>0</x:v>
      </x:c>
      <x:c r="BI210">
        <x:f>MAX(0,MIN(18,BI209+IF(C210="智力",E210,0)))</x:f>
        <x:v>0</x:v>
      </x:c>
      <x:c r="BJ210">
        <x:f>MAX(0,MIN(18,BJ209+IF(C210="意志",E210,0)))</x:f>
        <x:v>0</x:v>
      </x:c>
      <x:c r="BK210">
        <x:f>MAX(0,MIN(18,BK209+IF(C210="魅力",E210,0)))</x:f>
        <x:v>0</x:v>
      </x:c>
      <x:c r="BL210">
        <x:f>MAX(0,MIN(99,BL209+IF(C210="技能：非自然知识",E210,0)))</x:f>
        <x:v>0</x:v>
      </x:c>
      <x:c r="BM210">
        <x:f>MAX(0,MIN(CEILING((BF210+BG210)/2,1),BM209+IF(C210="体力",E210,0)))</x:f>
        <x:v>0</x:v>
      </x:c>
      <x:c r="BN210">
        <x:f>MAX(0,MIN(BJ210,BN209+IF(C210="毅力",E210,0)))</x:f>
        <x:v>0</x:v>
      </x:c>
      <x:c r="BO210">
        <x:f>MAX(0,MIN(99-BL210,BO209+IF(C210="理智",E210,0)))</x:f>
        <x:v>0</x:v>
      </x:c>
      <x:c r="BP210">
        <x:f>MAX(0,MIN(99,BP209+IF(C210="崩溃点",E210,0)))</x:f>
        <x:v>0</x:v>
      </x:c>
      <x:c r="BQ210">
        <x:f>MAX(0,MIN(BK210,IF(AND(H210=1,C210="重要关系1",LEFT('幕间与结算'!H117,8)="建立新的重要关系"),'幕间与结算'!E117+E210,BQ209+IF(C210="重要关系1",E210,0)+IF(AND(C210="魅力",E210&lt;0),E210,0))))</x:f>
        <x:v>0</x:v>
      </x:c>
      <x:c r="BR210">
        <x:f>MAX(0,MIN(BK210,IF(AND(H210=1,C210="重要关系2",LEFT('幕间与结算'!H117,8)="建立新的重要关系"),'幕间与结算'!E117+E210,BR209+IF(C210="重要关系2",E210,0)+IF(AND(C210="魅力",E210&lt;0),E210,0))))</x:f>
        <x:v>0</x:v>
      </x:c>
      <x:c r="BS210">
        <x:f>MAX(0,MIN(BK210,IF(AND(H210=1,C210="重要关系3",LEFT('幕间与结算'!H117,8)="建立新的重要关系"),'幕间与结算'!E117+E210,BS209+IF(C210="重要关系3",E210,0)+IF(AND(C210="魅力",E210&lt;0),E210,0))))</x:f>
        <x:v>0</x:v>
      </x:c>
      <x:c r="BT210">
        <x:f>MAX(0,MIN(BK210,IF(AND(H210=1,C210="重要关系4",LEFT('幕间与结算'!H117,8)="建立新的重要关系"),'幕间与结算'!E117+E210,BT209+IF(C210="重要关系4",E210,0)+IF(AND(C210="魅力",E210&lt;0),E210,0))))</x:f>
        <x:v>0</x:v>
      </x:c>
      <x:c r="BU210">
        <x:f>MAX(0,MIN(BK210,IF(AND(H210=1,C210="重要关系5",LEFT('幕间与结算'!H117,8)="建立新的重要关系"),'幕间与结算'!E117+E210,BU209+IF(C210="重要关系5",E210,0)+IF(AND(C210="魅力",E210&lt;0),E210,0))))</x:f>
        <x:v>0</x:v>
      </x:c>
      <x:c r="BV210">
        <x:f>MAX(0,MIN(BK210,IF(AND(H210=1,C210="重要关系6",LEFT('幕间与结算'!H117,8)="建立新的重要关系"),'幕间与结算'!E117+E210,BV209+IF(C210="重要关系6",E210,0)+IF(AND(C210="魅力",E210&lt;0),E210,0))))</x:f>
        <x:v>0</x:v>
      </x:c>
      <x:c r="BW210">
        <x:f>MAX(0,MIN(BK210,IF(AND(H210=1,C210="重要关系7",LEFT('幕间与结算'!H117,8)="建立新的重要关系"),'幕间与结算'!E117+E210,BW209+IF(C210="重要关系7",E210,0)+IF(AND(C210="魅力",E210&lt;0),E210,0))))</x:f>
        <x:v>0</x:v>
      </x:c>
    </x:row>
    <x:row r="211">
      <x:c r="A211" t="str">
        <x:f>IFERROR(TEXT(VALUE('幕间与结算'!A118),"00"),"")</x:f>
        <x:v>00</x:v>
      </x:c>
      <x:c r="B211">
        <x:f>'幕间与结算'!B118</x:f>
        <x:v>0</x:v>
      </x:c>
      <x:c r="C211">
        <x:f>'幕间与结算'!D118</x:f>
        <x:v>0</x:v>
      </x:c>
      <x:c r="D211">
        <x:f>'幕间与结算'!F118</x:f>
        <x:v>0</x:v>
      </x:c>
      <x:c r="E211">
        <x:f>IF(H211=1,MAX(-'幕间与结算'!E118,MIN(D211,IF(LEFT(C211,3)="技能：",99,IF(COUNTIF($L$2:$L$7,C211)&gt;0,18,999))-'幕间与结算'!E118)),0)</x:f>
        <x:v>0</x:v>
      </x:c>
      <x:c r="F211" t="str">
        <x:f>IF(C211=0,"",IF(G211=0,"记录不完整",IF(H211=0,"重复未计","已计入")))</x:f>
        <x:v/>
      </x:c>
      <x:c r="G211">
        <x:f>IF(AND(AND('幕间与结算'!A118&lt;&gt;"",'幕间与结算'!B118&lt;&gt;"",'幕间与结算'!I118&lt;&gt;"",OR(LEFT(C211,3)="技能：",COUNTIF($L$2:$L$19,C211)&gt;0),ISNUMBER('幕间与结算'!E118),ISNUMBER('幕间与结算'!F118),ISNUMBER('幕间与结算'!G118),'幕间与结算'!E118&gt;=0,'幕间与结算'!G118='幕间与结算'!E118+'幕间与结算'!F118),OR(B211&lt;&gt;"成长",AND(LEFT(C211,3)="技能：",C211&lt;&gt;"技能：非自然知识",'幕间与结算'!E118&gt;=1,'幕间与结算'!E118&lt;=99,'幕间与结算'!F118&gt;=0,'幕间与结算'!F118&lt;=4,'幕间与结算'!G118&lt;=99))),1,0)</x:f>
        <x:v>0</x:v>
      </x:c>
      <x:c r="H211">
        <x:f>IF(AND(G211=1,COUNTIFS($I$200:I211,I211,$G$200:G211,1)=1),1,0)</x:f>
        <x:v>0</x:v>
      </x:c>
      <x:c r="I211" t="str">
        <x:f>IF(G211=1,IF(B211="成长",A211&amp;"-成长-"&amp;C211,'幕间与结算'!I118),"")</x:f>
        <x:v/>
      </x:c>
      <x:c r="BF211">
        <x:f>MAX(0,MIN(18,BF210+IF(C211="力量",E211,0)))</x:f>
        <x:v>0</x:v>
      </x:c>
      <x:c r="BG211">
        <x:f>MAX(0,MIN(18,BG210+IF(C211="体质",E211,0)))</x:f>
        <x:v>0</x:v>
      </x:c>
      <x:c r="BH211">
        <x:f>MAX(0,MIN(18,BH210+IF(C211="敏捷",E211,0)))</x:f>
        <x:v>0</x:v>
      </x:c>
      <x:c r="BI211">
        <x:f>MAX(0,MIN(18,BI210+IF(C211="智力",E211,0)))</x:f>
        <x:v>0</x:v>
      </x:c>
      <x:c r="BJ211">
        <x:f>MAX(0,MIN(18,BJ210+IF(C211="意志",E211,0)))</x:f>
        <x:v>0</x:v>
      </x:c>
      <x:c r="BK211">
        <x:f>MAX(0,MIN(18,BK210+IF(C211="魅力",E211,0)))</x:f>
        <x:v>0</x:v>
      </x:c>
      <x:c r="BL211">
        <x:f>MAX(0,MIN(99,BL210+IF(C211="技能：非自然知识",E211,0)))</x:f>
        <x:v>0</x:v>
      </x:c>
      <x:c r="BM211">
        <x:f>MAX(0,MIN(CEILING((BF211+BG211)/2,1),BM210+IF(C211="体力",E211,0)))</x:f>
        <x:v>0</x:v>
      </x:c>
      <x:c r="BN211">
        <x:f>MAX(0,MIN(BJ211,BN210+IF(C211="毅力",E211,0)))</x:f>
        <x:v>0</x:v>
      </x:c>
      <x:c r="BO211">
        <x:f>MAX(0,MIN(99-BL211,BO210+IF(C211="理智",E211,0)))</x:f>
        <x:v>0</x:v>
      </x:c>
      <x:c r="BP211">
        <x:f>MAX(0,MIN(99,BP210+IF(C211="崩溃点",E211,0)))</x:f>
        <x:v>0</x:v>
      </x:c>
      <x:c r="BQ211">
        <x:f>MAX(0,MIN(BK211,IF(AND(H211=1,C211="重要关系1",LEFT('幕间与结算'!H118,8)="建立新的重要关系"),'幕间与结算'!E118+E211,BQ210+IF(C211="重要关系1",E211,0)+IF(AND(C211="魅力",E211&lt;0),E211,0))))</x:f>
        <x:v>0</x:v>
      </x:c>
      <x:c r="BR211">
        <x:f>MAX(0,MIN(BK211,IF(AND(H211=1,C211="重要关系2",LEFT('幕间与结算'!H118,8)="建立新的重要关系"),'幕间与结算'!E118+E211,BR210+IF(C211="重要关系2",E211,0)+IF(AND(C211="魅力",E211&lt;0),E211,0))))</x:f>
        <x:v>0</x:v>
      </x:c>
      <x:c r="BS211">
        <x:f>MAX(0,MIN(BK211,IF(AND(H211=1,C211="重要关系3",LEFT('幕间与结算'!H118,8)="建立新的重要关系"),'幕间与结算'!E118+E211,BS210+IF(C211="重要关系3",E211,0)+IF(AND(C211="魅力",E211&lt;0),E211,0))))</x:f>
        <x:v>0</x:v>
      </x:c>
      <x:c r="BT211">
        <x:f>MAX(0,MIN(BK211,IF(AND(H211=1,C211="重要关系4",LEFT('幕间与结算'!H118,8)="建立新的重要关系"),'幕间与结算'!E118+E211,BT210+IF(C211="重要关系4",E211,0)+IF(AND(C211="魅力",E211&lt;0),E211,0))))</x:f>
        <x:v>0</x:v>
      </x:c>
      <x:c r="BU211">
        <x:f>MAX(0,MIN(BK211,IF(AND(H211=1,C211="重要关系5",LEFT('幕间与结算'!H118,8)="建立新的重要关系"),'幕间与结算'!E118+E211,BU210+IF(C211="重要关系5",E211,0)+IF(AND(C211="魅力",E211&lt;0),E211,0))))</x:f>
        <x:v>0</x:v>
      </x:c>
      <x:c r="BV211">
        <x:f>MAX(0,MIN(BK211,IF(AND(H211=1,C211="重要关系6",LEFT('幕间与结算'!H118,8)="建立新的重要关系"),'幕间与结算'!E118+E211,BV210+IF(C211="重要关系6",E211,0)+IF(AND(C211="魅力",E211&lt;0),E211,0))))</x:f>
        <x:v>0</x:v>
      </x:c>
      <x:c r="BW211">
        <x:f>MAX(0,MIN(BK211,IF(AND(H211=1,C211="重要关系7",LEFT('幕间与结算'!H118,8)="建立新的重要关系"),'幕间与结算'!E118+E211,BW210+IF(C211="重要关系7",E211,0)+IF(AND(C211="魅力",E211&lt;0),E211,0))))</x:f>
        <x:v>0</x:v>
      </x:c>
    </x:row>
    <x:row r="212">
      <x:c r="A212" t="str">
        <x:f>IFERROR(TEXT(VALUE('幕间与结算'!A119),"00"),"")</x:f>
        <x:v>00</x:v>
      </x:c>
      <x:c r="B212">
        <x:f>'幕间与结算'!B119</x:f>
        <x:v>0</x:v>
      </x:c>
      <x:c r="C212">
        <x:f>'幕间与结算'!D119</x:f>
        <x:v>0</x:v>
      </x:c>
      <x:c r="D212">
        <x:f>'幕间与结算'!F119</x:f>
        <x:v>0</x:v>
      </x:c>
      <x:c r="E212">
        <x:f>IF(H212=1,MAX(-'幕间与结算'!E119,MIN(D212,IF(LEFT(C212,3)="技能：",99,IF(COUNTIF($L$2:$L$7,C212)&gt;0,18,999))-'幕间与结算'!E119)),0)</x:f>
        <x:v>0</x:v>
      </x:c>
      <x:c r="F212" t="str">
        <x:f>IF(C212=0,"",IF(G212=0,"记录不完整",IF(H212=0,"重复未计","已计入")))</x:f>
        <x:v/>
      </x:c>
      <x:c r="G212">
        <x:f>IF(AND(AND('幕间与结算'!A119&lt;&gt;"",'幕间与结算'!B119&lt;&gt;"",'幕间与结算'!I119&lt;&gt;"",OR(LEFT(C212,3)="技能：",COUNTIF($L$2:$L$19,C212)&gt;0),ISNUMBER('幕间与结算'!E119),ISNUMBER('幕间与结算'!F119),ISNUMBER('幕间与结算'!G119),'幕间与结算'!E119&gt;=0,'幕间与结算'!G119='幕间与结算'!E119+'幕间与结算'!F119),OR(B212&lt;&gt;"成长",AND(LEFT(C212,3)="技能：",C212&lt;&gt;"技能：非自然知识",'幕间与结算'!E119&gt;=1,'幕间与结算'!E119&lt;=99,'幕间与结算'!F119&gt;=0,'幕间与结算'!F119&lt;=4,'幕间与结算'!G119&lt;=99))),1,0)</x:f>
        <x:v>0</x:v>
      </x:c>
      <x:c r="H212">
        <x:f>IF(AND(G212=1,COUNTIFS($I$200:I212,I212,$G$200:G212,1)=1),1,0)</x:f>
        <x:v>0</x:v>
      </x:c>
      <x:c r="I212" t="str">
        <x:f>IF(G212=1,IF(B212="成长",A212&amp;"-成长-"&amp;C212,'幕间与结算'!I119),"")</x:f>
        <x:v/>
      </x:c>
      <x:c r="BF212">
        <x:f>MAX(0,MIN(18,BF211+IF(C212="力量",E212,0)))</x:f>
        <x:v>0</x:v>
      </x:c>
      <x:c r="BG212">
        <x:f>MAX(0,MIN(18,BG211+IF(C212="体质",E212,0)))</x:f>
        <x:v>0</x:v>
      </x:c>
      <x:c r="BH212">
        <x:f>MAX(0,MIN(18,BH211+IF(C212="敏捷",E212,0)))</x:f>
        <x:v>0</x:v>
      </x:c>
      <x:c r="BI212">
        <x:f>MAX(0,MIN(18,BI211+IF(C212="智力",E212,0)))</x:f>
        <x:v>0</x:v>
      </x:c>
      <x:c r="BJ212">
        <x:f>MAX(0,MIN(18,BJ211+IF(C212="意志",E212,0)))</x:f>
        <x:v>0</x:v>
      </x:c>
      <x:c r="BK212">
        <x:f>MAX(0,MIN(18,BK211+IF(C212="魅力",E212,0)))</x:f>
        <x:v>0</x:v>
      </x:c>
      <x:c r="BL212">
        <x:f>MAX(0,MIN(99,BL211+IF(C212="技能：非自然知识",E212,0)))</x:f>
        <x:v>0</x:v>
      </x:c>
      <x:c r="BM212">
        <x:f>MAX(0,MIN(CEILING((BF212+BG212)/2,1),BM211+IF(C212="体力",E212,0)))</x:f>
        <x:v>0</x:v>
      </x:c>
      <x:c r="BN212">
        <x:f>MAX(0,MIN(BJ212,BN211+IF(C212="毅力",E212,0)))</x:f>
        <x:v>0</x:v>
      </x:c>
      <x:c r="BO212">
        <x:f>MAX(0,MIN(99-BL212,BO211+IF(C212="理智",E212,0)))</x:f>
        <x:v>0</x:v>
      </x:c>
      <x:c r="BP212">
        <x:f>MAX(0,MIN(99,BP211+IF(C212="崩溃点",E212,0)))</x:f>
        <x:v>0</x:v>
      </x:c>
      <x:c r="BQ212">
        <x:f>MAX(0,MIN(BK212,IF(AND(H212=1,C212="重要关系1",LEFT('幕间与结算'!H119,8)="建立新的重要关系"),'幕间与结算'!E119+E212,BQ211+IF(C212="重要关系1",E212,0)+IF(AND(C212="魅力",E212&lt;0),E212,0))))</x:f>
        <x:v>0</x:v>
      </x:c>
      <x:c r="BR212">
        <x:f>MAX(0,MIN(BK212,IF(AND(H212=1,C212="重要关系2",LEFT('幕间与结算'!H119,8)="建立新的重要关系"),'幕间与结算'!E119+E212,BR211+IF(C212="重要关系2",E212,0)+IF(AND(C212="魅力",E212&lt;0),E212,0))))</x:f>
        <x:v>0</x:v>
      </x:c>
      <x:c r="BS212">
        <x:f>MAX(0,MIN(BK212,IF(AND(H212=1,C212="重要关系3",LEFT('幕间与结算'!H119,8)="建立新的重要关系"),'幕间与结算'!E119+E212,BS211+IF(C212="重要关系3",E212,0)+IF(AND(C212="魅力",E212&lt;0),E212,0))))</x:f>
        <x:v>0</x:v>
      </x:c>
      <x:c r="BT212">
        <x:f>MAX(0,MIN(BK212,IF(AND(H212=1,C212="重要关系4",LEFT('幕间与结算'!H119,8)="建立新的重要关系"),'幕间与结算'!E119+E212,BT211+IF(C212="重要关系4",E212,0)+IF(AND(C212="魅力",E212&lt;0),E212,0))))</x:f>
        <x:v>0</x:v>
      </x:c>
      <x:c r="BU212">
        <x:f>MAX(0,MIN(BK212,IF(AND(H212=1,C212="重要关系5",LEFT('幕间与结算'!H119,8)="建立新的重要关系"),'幕间与结算'!E119+E212,BU211+IF(C212="重要关系5",E212,0)+IF(AND(C212="魅力",E212&lt;0),E212,0))))</x:f>
        <x:v>0</x:v>
      </x:c>
      <x:c r="BV212">
        <x:f>MAX(0,MIN(BK212,IF(AND(H212=1,C212="重要关系6",LEFT('幕间与结算'!H119,8)="建立新的重要关系"),'幕间与结算'!E119+E212,BV211+IF(C212="重要关系6",E212,0)+IF(AND(C212="魅力",E212&lt;0),E212,0))))</x:f>
        <x:v>0</x:v>
      </x:c>
      <x:c r="BW212">
        <x:f>MAX(0,MIN(BK212,IF(AND(H212=1,C212="重要关系7",LEFT('幕间与结算'!H119,8)="建立新的重要关系"),'幕间与结算'!E119+E212,BW211+IF(C212="重要关系7",E212,0)+IF(AND(C212="魅力",E212&lt;0),E212,0))))</x:f>
        <x:v>0</x:v>
      </x:c>
    </x:row>
    <x:row r="213">
      <x:c r="A213" t="str">
        <x:f>IFERROR(TEXT(VALUE('幕间与结算'!A120),"00"),"")</x:f>
        <x:v>00</x:v>
      </x:c>
      <x:c r="B213">
        <x:f>'幕间与结算'!B120</x:f>
        <x:v>0</x:v>
      </x:c>
      <x:c r="C213">
        <x:f>'幕间与结算'!D120</x:f>
        <x:v>0</x:v>
      </x:c>
      <x:c r="D213">
        <x:f>'幕间与结算'!F120</x:f>
        <x:v>0</x:v>
      </x:c>
      <x:c r="E213">
        <x:f>IF(H213=1,MAX(-'幕间与结算'!E120,MIN(D213,IF(LEFT(C213,3)="技能：",99,IF(COUNTIF($L$2:$L$7,C213)&gt;0,18,999))-'幕间与结算'!E120)),0)</x:f>
        <x:v>0</x:v>
      </x:c>
      <x:c r="F213" t="str">
        <x:f>IF(C213=0,"",IF(G213=0,"记录不完整",IF(H213=0,"重复未计","已计入")))</x:f>
        <x:v/>
      </x:c>
      <x:c r="G213">
        <x:f>IF(AND(AND('幕间与结算'!A120&lt;&gt;"",'幕间与结算'!B120&lt;&gt;"",'幕间与结算'!I120&lt;&gt;"",OR(LEFT(C213,3)="技能：",COUNTIF($L$2:$L$19,C213)&gt;0),ISNUMBER('幕间与结算'!E120),ISNUMBER('幕间与结算'!F120),ISNUMBER('幕间与结算'!G120),'幕间与结算'!E120&gt;=0,'幕间与结算'!G120='幕间与结算'!E120+'幕间与结算'!F120),OR(B213&lt;&gt;"成长",AND(LEFT(C213,3)="技能：",C213&lt;&gt;"技能：非自然知识",'幕间与结算'!E120&gt;=1,'幕间与结算'!E120&lt;=99,'幕间与结算'!F120&gt;=0,'幕间与结算'!F120&lt;=4,'幕间与结算'!G120&lt;=99))),1,0)</x:f>
        <x:v>0</x:v>
      </x:c>
      <x:c r="H213">
        <x:f>IF(AND(G213=1,COUNTIFS($I$200:I213,I213,$G$200:G213,1)=1),1,0)</x:f>
        <x:v>0</x:v>
      </x:c>
      <x:c r="I213" t="str">
        <x:f>IF(G213=1,IF(B213="成长",A213&amp;"-成长-"&amp;C213,'幕间与结算'!I120),"")</x:f>
        <x:v/>
      </x:c>
      <x:c r="BF213">
        <x:f>MAX(0,MIN(18,BF212+IF(C213="力量",E213,0)))</x:f>
        <x:v>0</x:v>
      </x:c>
      <x:c r="BG213">
        <x:f>MAX(0,MIN(18,BG212+IF(C213="体质",E213,0)))</x:f>
        <x:v>0</x:v>
      </x:c>
      <x:c r="BH213">
        <x:f>MAX(0,MIN(18,BH212+IF(C213="敏捷",E213,0)))</x:f>
        <x:v>0</x:v>
      </x:c>
      <x:c r="BI213">
        <x:f>MAX(0,MIN(18,BI212+IF(C213="智力",E213,0)))</x:f>
        <x:v>0</x:v>
      </x:c>
      <x:c r="BJ213">
        <x:f>MAX(0,MIN(18,BJ212+IF(C213="意志",E213,0)))</x:f>
        <x:v>0</x:v>
      </x:c>
      <x:c r="BK213">
        <x:f>MAX(0,MIN(18,BK212+IF(C213="魅力",E213,0)))</x:f>
        <x:v>0</x:v>
      </x:c>
      <x:c r="BL213">
        <x:f>MAX(0,MIN(99,BL212+IF(C213="技能：非自然知识",E213,0)))</x:f>
        <x:v>0</x:v>
      </x:c>
      <x:c r="BM213">
        <x:f>MAX(0,MIN(CEILING((BF213+BG213)/2,1),BM212+IF(C213="体力",E213,0)))</x:f>
        <x:v>0</x:v>
      </x:c>
      <x:c r="BN213">
        <x:f>MAX(0,MIN(BJ213,BN212+IF(C213="毅力",E213,0)))</x:f>
        <x:v>0</x:v>
      </x:c>
      <x:c r="BO213">
        <x:f>MAX(0,MIN(99-BL213,BO212+IF(C213="理智",E213,0)))</x:f>
        <x:v>0</x:v>
      </x:c>
      <x:c r="BP213">
        <x:f>MAX(0,MIN(99,BP212+IF(C213="崩溃点",E213,0)))</x:f>
        <x:v>0</x:v>
      </x:c>
      <x:c r="BQ213">
        <x:f>MAX(0,MIN(BK213,IF(AND(H213=1,C213="重要关系1",LEFT('幕间与结算'!H120,8)="建立新的重要关系"),'幕间与结算'!E120+E213,BQ212+IF(C213="重要关系1",E213,0)+IF(AND(C213="魅力",E213&lt;0),E213,0))))</x:f>
        <x:v>0</x:v>
      </x:c>
      <x:c r="BR213">
        <x:f>MAX(0,MIN(BK213,IF(AND(H213=1,C213="重要关系2",LEFT('幕间与结算'!H120,8)="建立新的重要关系"),'幕间与结算'!E120+E213,BR212+IF(C213="重要关系2",E213,0)+IF(AND(C213="魅力",E213&lt;0),E213,0))))</x:f>
        <x:v>0</x:v>
      </x:c>
      <x:c r="BS213">
        <x:f>MAX(0,MIN(BK213,IF(AND(H213=1,C213="重要关系3",LEFT('幕间与结算'!H120,8)="建立新的重要关系"),'幕间与结算'!E120+E213,BS212+IF(C213="重要关系3",E213,0)+IF(AND(C213="魅力",E213&lt;0),E213,0))))</x:f>
        <x:v>0</x:v>
      </x:c>
      <x:c r="BT213">
        <x:f>MAX(0,MIN(BK213,IF(AND(H213=1,C213="重要关系4",LEFT('幕间与结算'!H120,8)="建立新的重要关系"),'幕间与结算'!E120+E213,BT212+IF(C213="重要关系4",E213,0)+IF(AND(C213="魅力",E213&lt;0),E213,0))))</x:f>
        <x:v>0</x:v>
      </x:c>
      <x:c r="BU213">
        <x:f>MAX(0,MIN(BK213,IF(AND(H213=1,C213="重要关系5",LEFT('幕间与结算'!H120,8)="建立新的重要关系"),'幕间与结算'!E120+E213,BU212+IF(C213="重要关系5",E213,0)+IF(AND(C213="魅力",E213&lt;0),E213,0))))</x:f>
        <x:v>0</x:v>
      </x:c>
      <x:c r="BV213">
        <x:f>MAX(0,MIN(BK213,IF(AND(H213=1,C213="重要关系6",LEFT('幕间与结算'!H120,8)="建立新的重要关系"),'幕间与结算'!E120+E213,BV212+IF(C213="重要关系6",E213,0)+IF(AND(C213="魅力",E213&lt;0),E213,0))))</x:f>
        <x:v>0</x:v>
      </x:c>
      <x:c r="BW213">
        <x:f>MAX(0,MIN(BK213,IF(AND(H213=1,C213="重要关系7",LEFT('幕间与结算'!H120,8)="建立新的重要关系"),'幕间与结算'!E120+E213,BW212+IF(C213="重要关系7",E213,0)+IF(AND(C213="魅力",E213&lt;0),E213,0))))</x:f>
        <x:v>0</x:v>
      </x:c>
    </x:row>
    <x:row r="214">
      <x:c r="A214" t="str">
        <x:f>IFERROR(TEXT(VALUE('幕间与结算'!A121),"00"),"")</x:f>
        <x:v>00</x:v>
      </x:c>
      <x:c r="B214">
        <x:f>'幕间与结算'!B121</x:f>
        <x:v>0</x:v>
      </x:c>
      <x:c r="C214">
        <x:f>'幕间与结算'!D121</x:f>
        <x:v>0</x:v>
      </x:c>
      <x:c r="D214">
        <x:f>'幕间与结算'!F121</x:f>
        <x:v>0</x:v>
      </x:c>
      <x:c r="E214">
        <x:f>IF(H214=1,MAX(-'幕间与结算'!E121,MIN(D214,IF(LEFT(C214,3)="技能：",99,IF(COUNTIF($L$2:$L$7,C214)&gt;0,18,999))-'幕间与结算'!E121)),0)</x:f>
        <x:v>0</x:v>
      </x:c>
      <x:c r="F214" t="str">
        <x:f>IF(C214=0,"",IF(G214=0,"记录不完整",IF(H214=0,"重复未计","已计入")))</x:f>
        <x:v/>
      </x:c>
      <x:c r="G214">
        <x:f>IF(AND(AND('幕间与结算'!A121&lt;&gt;"",'幕间与结算'!B121&lt;&gt;"",'幕间与结算'!I121&lt;&gt;"",OR(LEFT(C214,3)="技能：",COUNTIF($L$2:$L$19,C214)&gt;0),ISNUMBER('幕间与结算'!E121),ISNUMBER('幕间与结算'!F121),ISNUMBER('幕间与结算'!G121),'幕间与结算'!E121&gt;=0,'幕间与结算'!G121='幕间与结算'!E121+'幕间与结算'!F121),OR(B214&lt;&gt;"成长",AND(LEFT(C214,3)="技能：",C214&lt;&gt;"技能：非自然知识",'幕间与结算'!E121&gt;=1,'幕间与结算'!E121&lt;=99,'幕间与结算'!F121&gt;=0,'幕间与结算'!F121&lt;=4,'幕间与结算'!G121&lt;=99))),1,0)</x:f>
        <x:v>0</x:v>
      </x:c>
      <x:c r="H214">
        <x:f>IF(AND(G214=1,COUNTIFS($I$200:I214,I214,$G$200:G214,1)=1),1,0)</x:f>
        <x:v>0</x:v>
      </x:c>
      <x:c r="I214" t="str">
        <x:f>IF(G214=1,IF(B214="成长",A214&amp;"-成长-"&amp;C214,'幕间与结算'!I121),"")</x:f>
        <x:v/>
      </x:c>
      <x:c r="BF214">
        <x:f>MAX(0,MIN(18,BF213+IF(C214="力量",E214,0)))</x:f>
        <x:v>0</x:v>
      </x:c>
      <x:c r="BG214">
        <x:f>MAX(0,MIN(18,BG213+IF(C214="体质",E214,0)))</x:f>
        <x:v>0</x:v>
      </x:c>
      <x:c r="BH214">
        <x:f>MAX(0,MIN(18,BH213+IF(C214="敏捷",E214,0)))</x:f>
        <x:v>0</x:v>
      </x:c>
      <x:c r="BI214">
        <x:f>MAX(0,MIN(18,BI213+IF(C214="智力",E214,0)))</x:f>
        <x:v>0</x:v>
      </x:c>
      <x:c r="BJ214">
        <x:f>MAX(0,MIN(18,BJ213+IF(C214="意志",E214,0)))</x:f>
        <x:v>0</x:v>
      </x:c>
      <x:c r="BK214">
        <x:f>MAX(0,MIN(18,BK213+IF(C214="魅力",E214,0)))</x:f>
        <x:v>0</x:v>
      </x:c>
      <x:c r="BL214">
        <x:f>MAX(0,MIN(99,BL213+IF(C214="技能：非自然知识",E214,0)))</x:f>
        <x:v>0</x:v>
      </x:c>
      <x:c r="BM214">
        <x:f>MAX(0,MIN(CEILING((BF214+BG214)/2,1),BM213+IF(C214="体力",E214,0)))</x:f>
        <x:v>0</x:v>
      </x:c>
      <x:c r="BN214">
        <x:f>MAX(0,MIN(BJ214,BN213+IF(C214="毅力",E214,0)))</x:f>
        <x:v>0</x:v>
      </x:c>
      <x:c r="BO214">
        <x:f>MAX(0,MIN(99-BL214,BO213+IF(C214="理智",E214,0)))</x:f>
        <x:v>0</x:v>
      </x:c>
      <x:c r="BP214">
        <x:f>MAX(0,MIN(99,BP213+IF(C214="崩溃点",E214,0)))</x:f>
        <x:v>0</x:v>
      </x:c>
      <x:c r="BQ214">
        <x:f>MAX(0,MIN(BK214,IF(AND(H214=1,C214="重要关系1",LEFT('幕间与结算'!H121,8)="建立新的重要关系"),'幕间与结算'!E121+E214,BQ213+IF(C214="重要关系1",E214,0)+IF(AND(C214="魅力",E214&lt;0),E214,0))))</x:f>
        <x:v>0</x:v>
      </x:c>
      <x:c r="BR214">
        <x:f>MAX(0,MIN(BK214,IF(AND(H214=1,C214="重要关系2",LEFT('幕间与结算'!H121,8)="建立新的重要关系"),'幕间与结算'!E121+E214,BR213+IF(C214="重要关系2",E214,0)+IF(AND(C214="魅力",E214&lt;0),E214,0))))</x:f>
        <x:v>0</x:v>
      </x:c>
      <x:c r="BS214">
        <x:f>MAX(0,MIN(BK214,IF(AND(H214=1,C214="重要关系3",LEFT('幕间与结算'!H121,8)="建立新的重要关系"),'幕间与结算'!E121+E214,BS213+IF(C214="重要关系3",E214,0)+IF(AND(C214="魅力",E214&lt;0),E214,0))))</x:f>
        <x:v>0</x:v>
      </x:c>
      <x:c r="BT214">
        <x:f>MAX(0,MIN(BK214,IF(AND(H214=1,C214="重要关系4",LEFT('幕间与结算'!H121,8)="建立新的重要关系"),'幕间与结算'!E121+E214,BT213+IF(C214="重要关系4",E214,0)+IF(AND(C214="魅力",E214&lt;0),E214,0))))</x:f>
        <x:v>0</x:v>
      </x:c>
      <x:c r="BU214">
        <x:f>MAX(0,MIN(BK214,IF(AND(H214=1,C214="重要关系5",LEFT('幕间与结算'!H121,8)="建立新的重要关系"),'幕间与结算'!E121+E214,BU213+IF(C214="重要关系5",E214,0)+IF(AND(C214="魅力",E214&lt;0),E214,0))))</x:f>
        <x:v>0</x:v>
      </x:c>
      <x:c r="BV214">
        <x:f>MAX(0,MIN(BK214,IF(AND(H214=1,C214="重要关系6",LEFT('幕间与结算'!H121,8)="建立新的重要关系"),'幕间与结算'!E121+E214,BV213+IF(C214="重要关系6",E214,0)+IF(AND(C214="魅力",E214&lt;0),E214,0))))</x:f>
        <x:v>0</x:v>
      </x:c>
      <x:c r="BW214">
        <x:f>MAX(0,MIN(BK214,IF(AND(H214=1,C214="重要关系7",LEFT('幕间与结算'!H121,8)="建立新的重要关系"),'幕间与结算'!E121+E214,BW213+IF(C214="重要关系7",E214,0)+IF(AND(C214="魅力",E214&lt;0),E214,0))))</x:f>
        <x:v>0</x:v>
      </x:c>
    </x:row>
    <x:row r="215">
      <x:c r="A215" t="str">
        <x:f>IFERROR(TEXT(VALUE('幕间与结算'!A122),"00"),"")</x:f>
        <x:v>00</x:v>
      </x:c>
      <x:c r="B215">
        <x:f>'幕间与结算'!B122</x:f>
        <x:v>0</x:v>
      </x:c>
      <x:c r="C215">
        <x:f>'幕间与结算'!D122</x:f>
        <x:v>0</x:v>
      </x:c>
      <x:c r="D215">
        <x:f>'幕间与结算'!F122</x:f>
        <x:v>0</x:v>
      </x:c>
      <x:c r="E215">
        <x:f>IF(H215=1,MAX(-'幕间与结算'!E122,MIN(D215,IF(LEFT(C215,3)="技能：",99,IF(COUNTIF($L$2:$L$7,C215)&gt;0,18,999))-'幕间与结算'!E122)),0)</x:f>
        <x:v>0</x:v>
      </x:c>
      <x:c r="F215" t="str">
        <x:f>IF(C215=0,"",IF(G215=0,"记录不完整",IF(H215=0,"重复未计","已计入")))</x:f>
        <x:v/>
      </x:c>
      <x:c r="G215">
        <x:f>IF(AND(AND('幕间与结算'!A122&lt;&gt;"",'幕间与结算'!B122&lt;&gt;"",'幕间与结算'!I122&lt;&gt;"",OR(LEFT(C215,3)="技能：",COUNTIF($L$2:$L$19,C215)&gt;0),ISNUMBER('幕间与结算'!E122),ISNUMBER('幕间与结算'!F122),ISNUMBER('幕间与结算'!G122),'幕间与结算'!E122&gt;=0,'幕间与结算'!G122='幕间与结算'!E122+'幕间与结算'!F122),OR(B215&lt;&gt;"成长",AND(LEFT(C215,3)="技能：",C215&lt;&gt;"技能：非自然知识",'幕间与结算'!E122&gt;=1,'幕间与结算'!E122&lt;=99,'幕间与结算'!F122&gt;=0,'幕间与结算'!F122&lt;=4,'幕间与结算'!G122&lt;=99))),1,0)</x:f>
        <x:v>0</x:v>
      </x:c>
      <x:c r="H215">
        <x:f>IF(AND(G215=1,COUNTIFS($I$200:I215,I215,$G$200:G215,1)=1),1,0)</x:f>
        <x:v>0</x:v>
      </x:c>
      <x:c r="I215" t="str">
        <x:f>IF(G215=1,IF(B215="成长",A215&amp;"-成长-"&amp;C215,'幕间与结算'!I122),"")</x:f>
        <x:v/>
      </x:c>
      <x:c r="BF215">
        <x:f>MAX(0,MIN(18,BF214+IF(C215="力量",E215,0)))</x:f>
        <x:v>0</x:v>
      </x:c>
      <x:c r="BG215">
        <x:f>MAX(0,MIN(18,BG214+IF(C215="体质",E215,0)))</x:f>
        <x:v>0</x:v>
      </x:c>
      <x:c r="BH215">
        <x:f>MAX(0,MIN(18,BH214+IF(C215="敏捷",E215,0)))</x:f>
        <x:v>0</x:v>
      </x:c>
      <x:c r="BI215">
        <x:f>MAX(0,MIN(18,BI214+IF(C215="智力",E215,0)))</x:f>
        <x:v>0</x:v>
      </x:c>
      <x:c r="BJ215">
        <x:f>MAX(0,MIN(18,BJ214+IF(C215="意志",E215,0)))</x:f>
        <x:v>0</x:v>
      </x:c>
      <x:c r="BK215">
        <x:f>MAX(0,MIN(18,BK214+IF(C215="魅力",E215,0)))</x:f>
        <x:v>0</x:v>
      </x:c>
      <x:c r="BL215">
        <x:f>MAX(0,MIN(99,BL214+IF(C215="技能：非自然知识",E215,0)))</x:f>
        <x:v>0</x:v>
      </x:c>
      <x:c r="BM215">
        <x:f>MAX(0,MIN(CEILING((BF215+BG215)/2,1),BM214+IF(C215="体力",E215,0)))</x:f>
        <x:v>0</x:v>
      </x:c>
      <x:c r="BN215">
        <x:f>MAX(0,MIN(BJ215,BN214+IF(C215="毅力",E215,0)))</x:f>
        <x:v>0</x:v>
      </x:c>
      <x:c r="BO215">
        <x:f>MAX(0,MIN(99-BL215,BO214+IF(C215="理智",E215,0)))</x:f>
        <x:v>0</x:v>
      </x:c>
      <x:c r="BP215">
        <x:f>MAX(0,MIN(99,BP214+IF(C215="崩溃点",E215,0)))</x:f>
        <x:v>0</x:v>
      </x:c>
      <x:c r="BQ215">
        <x:f>MAX(0,MIN(BK215,IF(AND(H215=1,C215="重要关系1",LEFT('幕间与结算'!H122,8)="建立新的重要关系"),'幕间与结算'!E122+E215,BQ214+IF(C215="重要关系1",E215,0)+IF(AND(C215="魅力",E215&lt;0),E215,0))))</x:f>
        <x:v>0</x:v>
      </x:c>
      <x:c r="BR215">
        <x:f>MAX(0,MIN(BK215,IF(AND(H215=1,C215="重要关系2",LEFT('幕间与结算'!H122,8)="建立新的重要关系"),'幕间与结算'!E122+E215,BR214+IF(C215="重要关系2",E215,0)+IF(AND(C215="魅力",E215&lt;0),E215,0))))</x:f>
        <x:v>0</x:v>
      </x:c>
      <x:c r="BS215">
        <x:f>MAX(0,MIN(BK215,IF(AND(H215=1,C215="重要关系3",LEFT('幕间与结算'!H122,8)="建立新的重要关系"),'幕间与结算'!E122+E215,BS214+IF(C215="重要关系3",E215,0)+IF(AND(C215="魅力",E215&lt;0),E215,0))))</x:f>
        <x:v>0</x:v>
      </x:c>
      <x:c r="BT215">
        <x:f>MAX(0,MIN(BK215,IF(AND(H215=1,C215="重要关系4",LEFT('幕间与结算'!H122,8)="建立新的重要关系"),'幕间与结算'!E122+E215,BT214+IF(C215="重要关系4",E215,0)+IF(AND(C215="魅力",E215&lt;0),E215,0))))</x:f>
        <x:v>0</x:v>
      </x:c>
      <x:c r="BU215">
        <x:f>MAX(0,MIN(BK215,IF(AND(H215=1,C215="重要关系5",LEFT('幕间与结算'!H122,8)="建立新的重要关系"),'幕间与结算'!E122+E215,BU214+IF(C215="重要关系5",E215,0)+IF(AND(C215="魅力",E215&lt;0),E215,0))))</x:f>
        <x:v>0</x:v>
      </x:c>
      <x:c r="BV215">
        <x:f>MAX(0,MIN(BK215,IF(AND(H215=1,C215="重要关系6",LEFT('幕间与结算'!H122,8)="建立新的重要关系"),'幕间与结算'!E122+E215,BV214+IF(C215="重要关系6",E215,0)+IF(AND(C215="魅力",E215&lt;0),E215,0))))</x:f>
        <x:v>0</x:v>
      </x:c>
      <x:c r="BW215">
        <x:f>MAX(0,MIN(BK215,IF(AND(H215=1,C215="重要关系7",LEFT('幕间与结算'!H122,8)="建立新的重要关系"),'幕间与结算'!E122+E215,BW214+IF(C215="重要关系7",E215,0)+IF(AND(C215="魅力",E215&lt;0),E215,0))))</x:f>
        <x:v>0</x:v>
      </x:c>
    </x:row>
    <x:row r="216">
      <x:c r="A216" t="str">
        <x:f>IFERROR(TEXT(VALUE('幕间与结算'!A123),"00"),"")</x:f>
        <x:v>00</x:v>
      </x:c>
      <x:c r="B216">
        <x:f>'幕间与结算'!B123</x:f>
        <x:v>0</x:v>
      </x:c>
      <x:c r="C216">
        <x:f>'幕间与结算'!D123</x:f>
        <x:v>0</x:v>
      </x:c>
      <x:c r="D216">
        <x:f>'幕间与结算'!F123</x:f>
        <x:v>0</x:v>
      </x:c>
      <x:c r="E216">
        <x:f>IF(H216=1,MAX(-'幕间与结算'!E123,MIN(D216,IF(LEFT(C216,3)="技能：",99,IF(COUNTIF($L$2:$L$7,C216)&gt;0,18,999))-'幕间与结算'!E123)),0)</x:f>
        <x:v>0</x:v>
      </x:c>
      <x:c r="F216" t="str">
        <x:f>IF(C216=0,"",IF(G216=0,"记录不完整",IF(H216=0,"重复未计","已计入")))</x:f>
        <x:v/>
      </x:c>
      <x:c r="G216">
        <x:f>IF(AND(AND('幕间与结算'!A123&lt;&gt;"",'幕间与结算'!B123&lt;&gt;"",'幕间与结算'!I123&lt;&gt;"",OR(LEFT(C216,3)="技能：",COUNTIF($L$2:$L$19,C216)&gt;0),ISNUMBER('幕间与结算'!E123),ISNUMBER('幕间与结算'!F123),ISNUMBER('幕间与结算'!G123),'幕间与结算'!E123&gt;=0,'幕间与结算'!G123='幕间与结算'!E123+'幕间与结算'!F123),OR(B216&lt;&gt;"成长",AND(LEFT(C216,3)="技能：",C216&lt;&gt;"技能：非自然知识",'幕间与结算'!E123&gt;=1,'幕间与结算'!E123&lt;=99,'幕间与结算'!F123&gt;=0,'幕间与结算'!F123&lt;=4,'幕间与结算'!G123&lt;=99))),1,0)</x:f>
        <x:v>0</x:v>
      </x:c>
      <x:c r="H216">
        <x:f>IF(AND(G216=1,COUNTIFS($I$200:I216,I216,$G$200:G216,1)=1),1,0)</x:f>
        <x:v>0</x:v>
      </x:c>
      <x:c r="I216" t="str">
        <x:f>IF(G216=1,IF(B216="成长",A216&amp;"-成长-"&amp;C216,'幕间与结算'!I123),"")</x:f>
        <x:v/>
      </x:c>
      <x:c r="BF216">
        <x:f>MAX(0,MIN(18,BF215+IF(C216="力量",E216,0)))</x:f>
        <x:v>0</x:v>
      </x:c>
      <x:c r="BG216">
        <x:f>MAX(0,MIN(18,BG215+IF(C216="体质",E216,0)))</x:f>
        <x:v>0</x:v>
      </x:c>
      <x:c r="BH216">
        <x:f>MAX(0,MIN(18,BH215+IF(C216="敏捷",E216,0)))</x:f>
        <x:v>0</x:v>
      </x:c>
      <x:c r="BI216">
        <x:f>MAX(0,MIN(18,BI215+IF(C216="智力",E216,0)))</x:f>
        <x:v>0</x:v>
      </x:c>
      <x:c r="BJ216">
        <x:f>MAX(0,MIN(18,BJ215+IF(C216="意志",E216,0)))</x:f>
        <x:v>0</x:v>
      </x:c>
      <x:c r="BK216">
        <x:f>MAX(0,MIN(18,BK215+IF(C216="魅力",E216,0)))</x:f>
        <x:v>0</x:v>
      </x:c>
      <x:c r="BL216">
        <x:f>MAX(0,MIN(99,BL215+IF(C216="技能：非自然知识",E216,0)))</x:f>
        <x:v>0</x:v>
      </x:c>
      <x:c r="BM216">
        <x:f>MAX(0,MIN(CEILING((BF216+BG216)/2,1),BM215+IF(C216="体力",E216,0)))</x:f>
        <x:v>0</x:v>
      </x:c>
      <x:c r="BN216">
        <x:f>MAX(0,MIN(BJ216,BN215+IF(C216="毅力",E216,0)))</x:f>
        <x:v>0</x:v>
      </x:c>
      <x:c r="BO216">
        <x:f>MAX(0,MIN(99-BL216,BO215+IF(C216="理智",E216,0)))</x:f>
        <x:v>0</x:v>
      </x:c>
      <x:c r="BP216">
        <x:f>MAX(0,MIN(99,BP215+IF(C216="崩溃点",E216,0)))</x:f>
        <x:v>0</x:v>
      </x:c>
      <x:c r="BQ216">
        <x:f>MAX(0,MIN(BK216,IF(AND(H216=1,C216="重要关系1",LEFT('幕间与结算'!H123,8)="建立新的重要关系"),'幕间与结算'!E123+E216,BQ215+IF(C216="重要关系1",E216,0)+IF(AND(C216="魅力",E216&lt;0),E216,0))))</x:f>
        <x:v>0</x:v>
      </x:c>
      <x:c r="BR216">
        <x:f>MAX(0,MIN(BK216,IF(AND(H216=1,C216="重要关系2",LEFT('幕间与结算'!H123,8)="建立新的重要关系"),'幕间与结算'!E123+E216,BR215+IF(C216="重要关系2",E216,0)+IF(AND(C216="魅力",E216&lt;0),E216,0))))</x:f>
        <x:v>0</x:v>
      </x:c>
      <x:c r="BS216">
        <x:f>MAX(0,MIN(BK216,IF(AND(H216=1,C216="重要关系3",LEFT('幕间与结算'!H123,8)="建立新的重要关系"),'幕间与结算'!E123+E216,BS215+IF(C216="重要关系3",E216,0)+IF(AND(C216="魅力",E216&lt;0),E216,0))))</x:f>
        <x:v>0</x:v>
      </x:c>
      <x:c r="BT216">
        <x:f>MAX(0,MIN(BK216,IF(AND(H216=1,C216="重要关系4",LEFT('幕间与结算'!H123,8)="建立新的重要关系"),'幕间与结算'!E123+E216,BT215+IF(C216="重要关系4",E216,0)+IF(AND(C216="魅力",E216&lt;0),E216,0))))</x:f>
        <x:v>0</x:v>
      </x:c>
      <x:c r="BU216">
        <x:f>MAX(0,MIN(BK216,IF(AND(H216=1,C216="重要关系5",LEFT('幕间与结算'!H123,8)="建立新的重要关系"),'幕间与结算'!E123+E216,BU215+IF(C216="重要关系5",E216,0)+IF(AND(C216="魅力",E216&lt;0),E216,0))))</x:f>
        <x:v>0</x:v>
      </x:c>
      <x:c r="BV216">
        <x:f>MAX(0,MIN(BK216,IF(AND(H216=1,C216="重要关系6",LEFT('幕间与结算'!H123,8)="建立新的重要关系"),'幕间与结算'!E123+E216,BV215+IF(C216="重要关系6",E216,0)+IF(AND(C216="魅力",E216&lt;0),E216,0))))</x:f>
        <x:v>0</x:v>
      </x:c>
      <x:c r="BW216">
        <x:f>MAX(0,MIN(BK216,IF(AND(H216=1,C216="重要关系7",LEFT('幕间与结算'!H123,8)="建立新的重要关系"),'幕间与结算'!E123+E216,BW215+IF(C216="重要关系7",E216,0)+IF(AND(C216="魅力",E216&lt;0),E216,0))))</x:f>
        <x:v>0</x:v>
      </x:c>
    </x:row>
    <x:row r="217">
      <x:c r="A217" t="str">
        <x:f>IFERROR(TEXT(VALUE('幕间与结算'!A124),"00"),"")</x:f>
        <x:v>00</x:v>
      </x:c>
      <x:c r="B217">
        <x:f>'幕间与结算'!B124</x:f>
        <x:v>0</x:v>
      </x:c>
      <x:c r="C217">
        <x:f>'幕间与结算'!D124</x:f>
        <x:v>0</x:v>
      </x:c>
      <x:c r="D217">
        <x:f>'幕间与结算'!F124</x:f>
        <x:v>0</x:v>
      </x:c>
      <x:c r="E217">
        <x:f>IF(H217=1,MAX(-'幕间与结算'!E124,MIN(D217,IF(LEFT(C217,3)="技能：",99,IF(COUNTIF($L$2:$L$7,C217)&gt;0,18,999))-'幕间与结算'!E124)),0)</x:f>
        <x:v>0</x:v>
      </x:c>
      <x:c r="F217" t="str">
        <x:f>IF(C217=0,"",IF(G217=0,"记录不完整",IF(H217=0,"重复未计","已计入")))</x:f>
        <x:v/>
      </x:c>
      <x:c r="G217">
        <x:f>IF(AND(AND('幕间与结算'!A124&lt;&gt;"",'幕间与结算'!B124&lt;&gt;"",'幕间与结算'!I124&lt;&gt;"",OR(LEFT(C217,3)="技能：",COUNTIF($L$2:$L$19,C217)&gt;0),ISNUMBER('幕间与结算'!E124),ISNUMBER('幕间与结算'!F124),ISNUMBER('幕间与结算'!G124),'幕间与结算'!E124&gt;=0,'幕间与结算'!G124='幕间与结算'!E124+'幕间与结算'!F124),OR(B217&lt;&gt;"成长",AND(LEFT(C217,3)="技能：",C217&lt;&gt;"技能：非自然知识",'幕间与结算'!E124&gt;=1,'幕间与结算'!E124&lt;=99,'幕间与结算'!F124&gt;=0,'幕间与结算'!F124&lt;=4,'幕间与结算'!G124&lt;=99))),1,0)</x:f>
        <x:v>0</x:v>
      </x:c>
      <x:c r="H217">
        <x:f>IF(AND(G217=1,COUNTIFS($I$200:I217,I217,$G$200:G217,1)=1),1,0)</x:f>
        <x:v>0</x:v>
      </x:c>
      <x:c r="I217" t="str">
        <x:f>IF(G217=1,IF(B217="成长",A217&amp;"-成长-"&amp;C217,'幕间与结算'!I124),"")</x:f>
        <x:v/>
      </x:c>
      <x:c r="BF217">
        <x:f>MAX(0,MIN(18,BF216+IF(C217="力量",E217,0)))</x:f>
        <x:v>0</x:v>
      </x:c>
      <x:c r="BG217">
        <x:f>MAX(0,MIN(18,BG216+IF(C217="体质",E217,0)))</x:f>
        <x:v>0</x:v>
      </x:c>
      <x:c r="BH217">
        <x:f>MAX(0,MIN(18,BH216+IF(C217="敏捷",E217,0)))</x:f>
        <x:v>0</x:v>
      </x:c>
      <x:c r="BI217">
        <x:f>MAX(0,MIN(18,BI216+IF(C217="智力",E217,0)))</x:f>
        <x:v>0</x:v>
      </x:c>
      <x:c r="BJ217">
        <x:f>MAX(0,MIN(18,BJ216+IF(C217="意志",E217,0)))</x:f>
        <x:v>0</x:v>
      </x:c>
      <x:c r="BK217">
        <x:f>MAX(0,MIN(18,BK216+IF(C217="魅力",E217,0)))</x:f>
        <x:v>0</x:v>
      </x:c>
      <x:c r="BL217">
        <x:f>MAX(0,MIN(99,BL216+IF(C217="技能：非自然知识",E217,0)))</x:f>
        <x:v>0</x:v>
      </x:c>
      <x:c r="BM217">
        <x:f>MAX(0,MIN(CEILING((BF217+BG217)/2,1),BM216+IF(C217="体力",E217,0)))</x:f>
        <x:v>0</x:v>
      </x:c>
      <x:c r="BN217">
        <x:f>MAX(0,MIN(BJ217,BN216+IF(C217="毅力",E217,0)))</x:f>
        <x:v>0</x:v>
      </x:c>
      <x:c r="BO217">
        <x:f>MAX(0,MIN(99-BL217,BO216+IF(C217="理智",E217,0)))</x:f>
        <x:v>0</x:v>
      </x:c>
      <x:c r="BP217">
        <x:f>MAX(0,MIN(99,BP216+IF(C217="崩溃点",E217,0)))</x:f>
        <x:v>0</x:v>
      </x:c>
      <x:c r="BQ217">
        <x:f>MAX(0,MIN(BK217,IF(AND(H217=1,C217="重要关系1",LEFT('幕间与结算'!H124,8)="建立新的重要关系"),'幕间与结算'!E124+E217,BQ216+IF(C217="重要关系1",E217,0)+IF(AND(C217="魅力",E217&lt;0),E217,0))))</x:f>
        <x:v>0</x:v>
      </x:c>
      <x:c r="BR217">
        <x:f>MAX(0,MIN(BK217,IF(AND(H217=1,C217="重要关系2",LEFT('幕间与结算'!H124,8)="建立新的重要关系"),'幕间与结算'!E124+E217,BR216+IF(C217="重要关系2",E217,0)+IF(AND(C217="魅力",E217&lt;0),E217,0))))</x:f>
        <x:v>0</x:v>
      </x:c>
      <x:c r="BS217">
        <x:f>MAX(0,MIN(BK217,IF(AND(H217=1,C217="重要关系3",LEFT('幕间与结算'!H124,8)="建立新的重要关系"),'幕间与结算'!E124+E217,BS216+IF(C217="重要关系3",E217,0)+IF(AND(C217="魅力",E217&lt;0),E217,0))))</x:f>
        <x:v>0</x:v>
      </x:c>
      <x:c r="BT217">
        <x:f>MAX(0,MIN(BK217,IF(AND(H217=1,C217="重要关系4",LEFT('幕间与结算'!H124,8)="建立新的重要关系"),'幕间与结算'!E124+E217,BT216+IF(C217="重要关系4",E217,0)+IF(AND(C217="魅力",E217&lt;0),E217,0))))</x:f>
        <x:v>0</x:v>
      </x:c>
      <x:c r="BU217">
        <x:f>MAX(0,MIN(BK217,IF(AND(H217=1,C217="重要关系5",LEFT('幕间与结算'!H124,8)="建立新的重要关系"),'幕间与结算'!E124+E217,BU216+IF(C217="重要关系5",E217,0)+IF(AND(C217="魅力",E217&lt;0),E217,0))))</x:f>
        <x:v>0</x:v>
      </x:c>
      <x:c r="BV217">
        <x:f>MAX(0,MIN(BK217,IF(AND(H217=1,C217="重要关系6",LEFT('幕间与结算'!H124,8)="建立新的重要关系"),'幕间与结算'!E124+E217,BV216+IF(C217="重要关系6",E217,0)+IF(AND(C217="魅力",E217&lt;0),E217,0))))</x:f>
        <x:v>0</x:v>
      </x:c>
      <x:c r="BW217">
        <x:f>MAX(0,MIN(BK217,IF(AND(H217=1,C217="重要关系7",LEFT('幕间与结算'!H124,8)="建立新的重要关系"),'幕间与结算'!E124+E217,BW216+IF(C217="重要关系7",E217,0)+IF(AND(C217="魅力",E217&lt;0),E217,0))))</x:f>
        <x:v>0</x:v>
      </x:c>
    </x:row>
    <x:row r="218">
      <x:c r="A218" t="str">
        <x:f>IFERROR(TEXT(VALUE('幕间与结算'!A125),"00"),"")</x:f>
        <x:v>00</x:v>
      </x:c>
      <x:c r="B218">
        <x:f>'幕间与结算'!B125</x:f>
        <x:v>0</x:v>
      </x:c>
      <x:c r="C218">
        <x:f>'幕间与结算'!D125</x:f>
        <x:v>0</x:v>
      </x:c>
      <x:c r="D218">
        <x:f>'幕间与结算'!F125</x:f>
        <x:v>0</x:v>
      </x:c>
      <x:c r="E218">
        <x:f>IF(H218=1,MAX(-'幕间与结算'!E125,MIN(D218,IF(LEFT(C218,3)="技能：",99,IF(COUNTIF($L$2:$L$7,C218)&gt;0,18,999))-'幕间与结算'!E125)),0)</x:f>
        <x:v>0</x:v>
      </x:c>
      <x:c r="F218" t="str">
        <x:f>IF(C218=0,"",IF(G218=0,"记录不完整",IF(H218=0,"重复未计","已计入")))</x:f>
        <x:v/>
      </x:c>
      <x:c r="G218">
        <x:f>IF(AND(AND('幕间与结算'!A125&lt;&gt;"",'幕间与结算'!B125&lt;&gt;"",'幕间与结算'!I125&lt;&gt;"",OR(LEFT(C218,3)="技能：",COUNTIF($L$2:$L$19,C218)&gt;0),ISNUMBER('幕间与结算'!E125),ISNUMBER('幕间与结算'!F125),ISNUMBER('幕间与结算'!G125),'幕间与结算'!E125&gt;=0,'幕间与结算'!G125='幕间与结算'!E125+'幕间与结算'!F125),OR(B218&lt;&gt;"成长",AND(LEFT(C218,3)="技能：",C218&lt;&gt;"技能：非自然知识",'幕间与结算'!E125&gt;=1,'幕间与结算'!E125&lt;=99,'幕间与结算'!F125&gt;=0,'幕间与结算'!F125&lt;=4,'幕间与结算'!G125&lt;=99))),1,0)</x:f>
        <x:v>0</x:v>
      </x:c>
      <x:c r="H218">
        <x:f>IF(AND(G218=1,COUNTIFS($I$200:I218,I218,$G$200:G218,1)=1),1,0)</x:f>
        <x:v>0</x:v>
      </x:c>
      <x:c r="I218" t="str">
        <x:f>IF(G218=1,IF(B218="成长",A218&amp;"-成长-"&amp;C218,'幕间与结算'!I125),"")</x:f>
        <x:v/>
      </x:c>
      <x:c r="BF218">
        <x:f>MAX(0,MIN(18,BF217+IF(C218="力量",E218,0)))</x:f>
        <x:v>0</x:v>
      </x:c>
      <x:c r="BG218">
        <x:f>MAX(0,MIN(18,BG217+IF(C218="体质",E218,0)))</x:f>
        <x:v>0</x:v>
      </x:c>
      <x:c r="BH218">
        <x:f>MAX(0,MIN(18,BH217+IF(C218="敏捷",E218,0)))</x:f>
        <x:v>0</x:v>
      </x:c>
      <x:c r="BI218">
        <x:f>MAX(0,MIN(18,BI217+IF(C218="智力",E218,0)))</x:f>
        <x:v>0</x:v>
      </x:c>
      <x:c r="BJ218">
        <x:f>MAX(0,MIN(18,BJ217+IF(C218="意志",E218,0)))</x:f>
        <x:v>0</x:v>
      </x:c>
      <x:c r="BK218">
        <x:f>MAX(0,MIN(18,BK217+IF(C218="魅力",E218,0)))</x:f>
        <x:v>0</x:v>
      </x:c>
      <x:c r="BL218">
        <x:f>MAX(0,MIN(99,BL217+IF(C218="技能：非自然知识",E218,0)))</x:f>
        <x:v>0</x:v>
      </x:c>
      <x:c r="BM218">
        <x:f>MAX(0,MIN(CEILING((BF218+BG218)/2,1),BM217+IF(C218="体力",E218,0)))</x:f>
        <x:v>0</x:v>
      </x:c>
      <x:c r="BN218">
        <x:f>MAX(0,MIN(BJ218,BN217+IF(C218="毅力",E218,0)))</x:f>
        <x:v>0</x:v>
      </x:c>
      <x:c r="BO218">
        <x:f>MAX(0,MIN(99-BL218,BO217+IF(C218="理智",E218,0)))</x:f>
        <x:v>0</x:v>
      </x:c>
      <x:c r="BP218">
        <x:f>MAX(0,MIN(99,BP217+IF(C218="崩溃点",E218,0)))</x:f>
        <x:v>0</x:v>
      </x:c>
      <x:c r="BQ218">
        <x:f>MAX(0,MIN(BK218,IF(AND(H218=1,C218="重要关系1",LEFT('幕间与结算'!H125,8)="建立新的重要关系"),'幕间与结算'!E125+E218,BQ217+IF(C218="重要关系1",E218,0)+IF(AND(C218="魅力",E218&lt;0),E218,0))))</x:f>
        <x:v>0</x:v>
      </x:c>
      <x:c r="BR218">
        <x:f>MAX(0,MIN(BK218,IF(AND(H218=1,C218="重要关系2",LEFT('幕间与结算'!H125,8)="建立新的重要关系"),'幕间与结算'!E125+E218,BR217+IF(C218="重要关系2",E218,0)+IF(AND(C218="魅力",E218&lt;0),E218,0))))</x:f>
        <x:v>0</x:v>
      </x:c>
      <x:c r="BS218">
        <x:f>MAX(0,MIN(BK218,IF(AND(H218=1,C218="重要关系3",LEFT('幕间与结算'!H125,8)="建立新的重要关系"),'幕间与结算'!E125+E218,BS217+IF(C218="重要关系3",E218,0)+IF(AND(C218="魅力",E218&lt;0),E218,0))))</x:f>
        <x:v>0</x:v>
      </x:c>
      <x:c r="BT218">
        <x:f>MAX(0,MIN(BK218,IF(AND(H218=1,C218="重要关系4",LEFT('幕间与结算'!H125,8)="建立新的重要关系"),'幕间与结算'!E125+E218,BT217+IF(C218="重要关系4",E218,0)+IF(AND(C218="魅力",E218&lt;0),E218,0))))</x:f>
        <x:v>0</x:v>
      </x:c>
      <x:c r="BU218">
        <x:f>MAX(0,MIN(BK218,IF(AND(H218=1,C218="重要关系5",LEFT('幕间与结算'!H125,8)="建立新的重要关系"),'幕间与结算'!E125+E218,BU217+IF(C218="重要关系5",E218,0)+IF(AND(C218="魅力",E218&lt;0),E218,0))))</x:f>
        <x:v>0</x:v>
      </x:c>
      <x:c r="BV218">
        <x:f>MAX(0,MIN(BK218,IF(AND(H218=1,C218="重要关系6",LEFT('幕间与结算'!H125,8)="建立新的重要关系"),'幕间与结算'!E125+E218,BV217+IF(C218="重要关系6",E218,0)+IF(AND(C218="魅力",E218&lt;0),E218,0))))</x:f>
        <x:v>0</x:v>
      </x:c>
      <x:c r="BW218">
        <x:f>MAX(0,MIN(BK218,IF(AND(H218=1,C218="重要关系7",LEFT('幕间与结算'!H125,8)="建立新的重要关系"),'幕间与结算'!E125+E218,BW217+IF(C218="重要关系7",E218,0)+IF(AND(C218="魅力",E218&lt;0),E218,0))))</x:f>
        <x:v>0</x:v>
      </x:c>
    </x:row>
    <x:row r="219">
      <x:c r="A219" t="str">
        <x:f>IFERROR(TEXT(VALUE('幕间与结算'!A126),"00"),"")</x:f>
        <x:v>00</x:v>
      </x:c>
      <x:c r="B219">
        <x:f>'幕间与结算'!B126</x:f>
        <x:v>0</x:v>
      </x:c>
      <x:c r="C219">
        <x:f>'幕间与结算'!D126</x:f>
        <x:v>0</x:v>
      </x:c>
      <x:c r="D219">
        <x:f>'幕间与结算'!F126</x:f>
        <x:v>0</x:v>
      </x:c>
      <x:c r="E219">
        <x:f>IF(H219=1,MAX(-'幕间与结算'!E126,MIN(D219,IF(LEFT(C219,3)="技能：",99,IF(COUNTIF($L$2:$L$7,C219)&gt;0,18,999))-'幕间与结算'!E126)),0)</x:f>
        <x:v>0</x:v>
      </x:c>
      <x:c r="F219" t="str">
        <x:f>IF(C219=0,"",IF(G219=0,"记录不完整",IF(H219=0,"重复未计","已计入")))</x:f>
        <x:v/>
      </x:c>
      <x:c r="G219">
        <x:f>IF(AND(AND('幕间与结算'!A126&lt;&gt;"",'幕间与结算'!B126&lt;&gt;"",'幕间与结算'!I126&lt;&gt;"",OR(LEFT(C219,3)="技能：",COUNTIF($L$2:$L$19,C219)&gt;0),ISNUMBER('幕间与结算'!E126),ISNUMBER('幕间与结算'!F126),ISNUMBER('幕间与结算'!G126),'幕间与结算'!E126&gt;=0,'幕间与结算'!G126='幕间与结算'!E126+'幕间与结算'!F126),OR(B219&lt;&gt;"成长",AND(LEFT(C219,3)="技能：",C219&lt;&gt;"技能：非自然知识",'幕间与结算'!E126&gt;=1,'幕间与结算'!E126&lt;=99,'幕间与结算'!F126&gt;=0,'幕间与结算'!F126&lt;=4,'幕间与结算'!G126&lt;=99))),1,0)</x:f>
        <x:v>0</x:v>
      </x:c>
      <x:c r="H219">
        <x:f>IF(AND(G219=1,COUNTIFS($I$200:I219,I219,$G$200:G219,1)=1),1,0)</x:f>
        <x:v>0</x:v>
      </x:c>
      <x:c r="I219" t="str">
        <x:f>IF(G219=1,IF(B219="成长",A219&amp;"-成长-"&amp;C219,'幕间与结算'!I126),"")</x:f>
        <x:v/>
      </x:c>
      <x:c r="BF219">
        <x:f>MAX(0,MIN(18,BF218+IF(C219="力量",E219,0)))</x:f>
        <x:v>0</x:v>
      </x:c>
      <x:c r="BG219">
        <x:f>MAX(0,MIN(18,BG218+IF(C219="体质",E219,0)))</x:f>
        <x:v>0</x:v>
      </x:c>
      <x:c r="BH219">
        <x:f>MAX(0,MIN(18,BH218+IF(C219="敏捷",E219,0)))</x:f>
        <x:v>0</x:v>
      </x:c>
      <x:c r="BI219">
        <x:f>MAX(0,MIN(18,BI218+IF(C219="智力",E219,0)))</x:f>
        <x:v>0</x:v>
      </x:c>
      <x:c r="BJ219">
        <x:f>MAX(0,MIN(18,BJ218+IF(C219="意志",E219,0)))</x:f>
        <x:v>0</x:v>
      </x:c>
      <x:c r="BK219">
        <x:f>MAX(0,MIN(18,BK218+IF(C219="魅力",E219,0)))</x:f>
        <x:v>0</x:v>
      </x:c>
      <x:c r="BL219">
        <x:f>MAX(0,MIN(99,BL218+IF(C219="技能：非自然知识",E219,0)))</x:f>
        <x:v>0</x:v>
      </x:c>
      <x:c r="BM219">
        <x:f>MAX(0,MIN(CEILING((BF219+BG219)/2,1),BM218+IF(C219="体力",E219,0)))</x:f>
        <x:v>0</x:v>
      </x:c>
      <x:c r="BN219">
        <x:f>MAX(0,MIN(BJ219,BN218+IF(C219="毅力",E219,0)))</x:f>
        <x:v>0</x:v>
      </x:c>
      <x:c r="BO219">
        <x:f>MAX(0,MIN(99-BL219,BO218+IF(C219="理智",E219,0)))</x:f>
        <x:v>0</x:v>
      </x:c>
      <x:c r="BP219">
        <x:f>MAX(0,MIN(99,BP218+IF(C219="崩溃点",E219,0)))</x:f>
        <x:v>0</x:v>
      </x:c>
      <x:c r="BQ219">
        <x:f>MAX(0,MIN(BK219,IF(AND(H219=1,C219="重要关系1",LEFT('幕间与结算'!H126,8)="建立新的重要关系"),'幕间与结算'!E126+E219,BQ218+IF(C219="重要关系1",E219,0)+IF(AND(C219="魅力",E219&lt;0),E219,0))))</x:f>
        <x:v>0</x:v>
      </x:c>
      <x:c r="BR219">
        <x:f>MAX(0,MIN(BK219,IF(AND(H219=1,C219="重要关系2",LEFT('幕间与结算'!H126,8)="建立新的重要关系"),'幕间与结算'!E126+E219,BR218+IF(C219="重要关系2",E219,0)+IF(AND(C219="魅力",E219&lt;0),E219,0))))</x:f>
        <x:v>0</x:v>
      </x:c>
      <x:c r="BS219">
        <x:f>MAX(0,MIN(BK219,IF(AND(H219=1,C219="重要关系3",LEFT('幕间与结算'!H126,8)="建立新的重要关系"),'幕间与结算'!E126+E219,BS218+IF(C219="重要关系3",E219,0)+IF(AND(C219="魅力",E219&lt;0),E219,0))))</x:f>
        <x:v>0</x:v>
      </x:c>
      <x:c r="BT219">
        <x:f>MAX(0,MIN(BK219,IF(AND(H219=1,C219="重要关系4",LEFT('幕间与结算'!H126,8)="建立新的重要关系"),'幕间与结算'!E126+E219,BT218+IF(C219="重要关系4",E219,0)+IF(AND(C219="魅力",E219&lt;0),E219,0))))</x:f>
        <x:v>0</x:v>
      </x:c>
      <x:c r="BU219">
        <x:f>MAX(0,MIN(BK219,IF(AND(H219=1,C219="重要关系5",LEFT('幕间与结算'!H126,8)="建立新的重要关系"),'幕间与结算'!E126+E219,BU218+IF(C219="重要关系5",E219,0)+IF(AND(C219="魅力",E219&lt;0),E219,0))))</x:f>
        <x:v>0</x:v>
      </x:c>
      <x:c r="BV219">
        <x:f>MAX(0,MIN(BK219,IF(AND(H219=1,C219="重要关系6",LEFT('幕间与结算'!H126,8)="建立新的重要关系"),'幕间与结算'!E126+E219,BV218+IF(C219="重要关系6",E219,0)+IF(AND(C219="魅力",E219&lt;0),E219,0))))</x:f>
        <x:v>0</x:v>
      </x:c>
      <x:c r="BW219">
        <x:f>MAX(0,MIN(BK219,IF(AND(H219=1,C219="重要关系7",LEFT('幕间与结算'!H126,8)="建立新的重要关系"),'幕间与结算'!E126+E219,BW218+IF(C219="重要关系7",E219,0)+IF(AND(C219="魅力",E219&lt;0),E219,0))))</x:f>
        <x:v>0</x:v>
      </x:c>
    </x:row>
    <x:row r="220">
      <x:c r="A220" t="str">
        <x:f>IFERROR(TEXT(VALUE('幕间与结算'!A127),"00"),"")</x:f>
        <x:v>00</x:v>
      </x:c>
      <x:c r="B220">
        <x:f>'幕间与结算'!B127</x:f>
        <x:v>0</x:v>
      </x:c>
      <x:c r="C220">
        <x:f>'幕间与结算'!D127</x:f>
        <x:v>0</x:v>
      </x:c>
      <x:c r="D220">
        <x:f>'幕间与结算'!F127</x:f>
        <x:v>0</x:v>
      </x:c>
      <x:c r="E220">
        <x:f>IF(H220=1,MAX(-'幕间与结算'!E127,MIN(D220,IF(LEFT(C220,3)="技能：",99,IF(COUNTIF($L$2:$L$7,C220)&gt;0,18,999))-'幕间与结算'!E127)),0)</x:f>
        <x:v>0</x:v>
      </x:c>
      <x:c r="F220" t="str">
        <x:f>IF(C220=0,"",IF(G220=0,"记录不完整",IF(H220=0,"重复未计","已计入")))</x:f>
        <x:v/>
      </x:c>
      <x:c r="G220">
        <x:f>IF(AND(AND('幕间与结算'!A127&lt;&gt;"",'幕间与结算'!B127&lt;&gt;"",'幕间与结算'!I127&lt;&gt;"",OR(LEFT(C220,3)="技能：",COUNTIF($L$2:$L$19,C220)&gt;0),ISNUMBER('幕间与结算'!E127),ISNUMBER('幕间与结算'!F127),ISNUMBER('幕间与结算'!G127),'幕间与结算'!E127&gt;=0,'幕间与结算'!G127='幕间与结算'!E127+'幕间与结算'!F127),OR(B220&lt;&gt;"成长",AND(LEFT(C220,3)="技能：",C220&lt;&gt;"技能：非自然知识",'幕间与结算'!E127&gt;=1,'幕间与结算'!E127&lt;=99,'幕间与结算'!F127&gt;=0,'幕间与结算'!F127&lt;=4,'幕间与结算'!G127&lt;=99))),1,0)</x:f>
        <x:v>0</x:v>
      </x:c>
      <x:c r="H220">
        <x:f>IF(AND(G220=1,COUNTIFS($I$200:I220,I220,$G$200:G220,1)=1),1,0)</x:f>
        <x:v>0</x:v>
      </x:c>
      <x:c r="I220" t="str">
        <x:f>IF(G220=1,IF(B220="成长",A220&amp;"-成长-"&amp;C220,'幕间与结算'!I127),"")</x:f>
        <x:v/>
      </x:c>
      <x:c r="BF220">
        <x:f>MAX(0,MIN(18,BF219+IF(C220="力量",E220,0)))</x:f>
        <x:v>0</x:v>
      </x:c>
      <x:c r="BG220">
        <x:f>MAX(0,MIN(18,BG219+IF(C220="体质",E220,0)))</x:f>
        <x:v>0</x:v>
      </x:c>
      <x:c r="BH220">
        <x:f>MAX(0,MIN(18,BH219+IF(C220="敏捷",E220,0)))</x:f>
        <x:v>0</x:v>
      </x:c>
      <x:c r="BI220">
        <x:f>MAX(0,MIN(18,BI219+IF(C220="智力",E220,0)))</x:f>
        <x:v>0</x:v>
      </x:c>
      <x:c r="BJ220">
        <x:f>MAX(0,MIN(18,BJ219+IF(C220="意志",E220,0)))</x:f>
        <x:v>0</x:v>
      </x:c>
      <x:c r="BK220">
        <x:f>MAX(0,MIN(18,BK219+IF(C220="魅力",E220,0)))</x:f>
        <x:v>0</x:v>
      </x:c>
      <x:c r="BL220">
        <x:f>MAX(0,MIN(99,BL219+IF(C220="技能：非自然知识",E220,0)))</x:f>
        <x:v>0</x:v>
      </x:c>
      <x:c r="BM220">
        <x:f>MAX(0,MIN(CEILING((BF220+BG220)/2,1),BM219+IF(C220="体力",E220,0)))</x:f>
        <x:v>0</x:v>
      </x:c>
      <x:c r="BN220">
        <x:f>MAX(0,MIN(BJ220,BN219+IF(C220="毅力",E220,0)))</x:f>
        <x:v>0</x:v>
      </x:c>
      <x:c r="BO220">
        <x:f>MAX(0,MIN(99-BL220,BO219+IF(C220="理智",E220,0)))</x:f>
        <x:v>0</x:v>
      </x:c>
      <x:c r="BP220">
        <x:f>MAX(0,MIN(99,BP219+IF(C220="崩溃点",E220,0)))</x:f>
        <x:v>0</x:v>
      </x:c>
      <x:c r="BQ220">
        <x:f>MAX(0,MIN(BK220,IF(AND(H220=1,C220="重要关系1",LEFT('幕间与结算'!H127,8)="建立新的重要关系"),'幕间与结算'!E127+E220,BQ219+IF(C220="重要关系1",E220,0)+IF(AND(C220="魅力",E220&lt;0),E220,0))))</x:f>
        <x:v>0</x:v>
      </x:c>
      <x:c r="BR220">
        <x:f>MAX(0,MIN(BK220,IF(AND(H220=1,C220="重要关系2",LEFT('幕间与结算'!H127,8)="建立新的重要关系"),'幕间与结算'!E127+E220,BR219+IF(C220="重要关系2",E220,0)+IF(AND(C220="魅力",E220&lt;0),E220,0))))</x:f>
        <x:v>0</x:v>
      </x:c>
      <x:c r="BS220">
        <x:f>MAX(0,MIN(BK220,IF(AND(H220=1,C220="重要关系3",LEFT('幕间与结算'!H127,8)="建立新的重要关系"),'幕间与结算'!E127+E220,BS219+IF(C220="重要关系3",E220,0)+IF(AND(C220="魅力",E220&lt;0),E220,0))))</x:f>
        <x:v>0</x:v>
      </x:c>
      <x:c r="BT220">
        <x:f>MAX(0,MIN(BK220,IF(AND(H220=1,C220="重要关系4",LEFT('幕间与结算'!H127,8)="建立新的重要关系"),'幕间与结算'!E127+E220,BT219+IF(C220="重要关系4",E220,0)+IF(AND(C220="魅力",E220&lt;0),E220,0))))</x:f>
        <x:v>0</x:v>
      </x:c>
      <x:c r="BU220">
        <x:f>MAX(0,MIN(BK220,IF(AND(H220=1,C220="重要关系5",LEFT('幕间与结算'!H127,8)="建立新的重要关系"),'幕间与结算'!E127+E220,BU219+IF(C220="重要关系5",E220,0)+IF(AND(C220="魅力",E220&lt;0),E220,0))))</x:f>
        <x:v>0</x:v>
      </x:c>
      <x:c r="BV220">
        <x:f>MAX(0,MIN(BK220,IF(AND(H220=1,C220="重要关系6",LEFT('幕间与结算'!H127,8)="建立新的重要关系"),'幕间与结算'!E127+E220,BV219+IF(C220="重要关系6",E220,0)+IF(AND(C220="魅力",E220&lt;0),E220,0))))</x:f>
        <x:v>0</x:v>
      </x:c>
      <x:c r="BW220">
        <x:f>MAX(0,MIN(BK220,IF(AND(H220=1,C220="重要关系7",LEFT('幕间与结算'!H127,8)="建立新的重要关系"),'幕间与结算'!E127+E220,BW219+IF(C220="重要关系7",E220,0)+IF(AND(C220="魅力",E220&lt;0),E220,0))))</x:f>
        <x:v>0</x:v>
      </x:c>
    </x:row>
    <x:row r="221">
      <x:c r="A221" t="str">
        <x:f>IFERROR(TEXT(VALUE('幕间与结算'!A128),"00"),"")</x:f>
        <x:v>00</x:v>
      </x:c>
      <x:c r="B221">
        <x:f>'幕间与结算'!B128</x:f>
        <x:v>0</x:v>
      </x:c>
      <x:c r="C221">
        <x:f>'幕间与结算'!D128</x:f>
        <x:v>0</x:v>
      </x:c>
      <x:c r="D221">
        <x:f>'幕间与结算'!F128</x:f>
        <x:v>0</x:v>
      </x:c>
      <x:c r="E221">
        <x:f>IF(H221=1,MAX(-'幕间与结算'!E128,MIN(D221,IF(LEFT(C221,3)="技能：",99,IF(COUNTIF($L$2:$L$7,C221)&gt;0,18,999))-'幕间与结算'!E128)),0)</x:f>
        <x:v>0</x:v>
      </x:c>
      <x:c r="F221" t="str">
        <x:f>IF(C221=0,"",IF(G221=0,"记录不完整",IF(H221=0,"重复未计","已计入")))</x:f>
        <x:v/>
      </x:c>
      <x:c r="G221">
        <x:f>IF(AND(AND('幕间与结算'!A128&lt;&gt;"",'幕间与结算'!B128&lt;&gt;"",'幕间与结算'!I128&lt;&gt;"",OR(LEFT(C221,3)="技能：",COUNTIF($L$2:$L$19,C221)&gt;0),ISNUMBER('幕间与结算'!E128),ISNUMBER('幕间与结算'!F128),ISNUMBER('幕间与结算'!G128),'幕间与结算'!E128&gt;=0,'幕间与结算'!G128='幕间与结算'!E128+'幕间与结算'!F128),OR(B221&lt;&gt;"成长",AND(LEFT(C221,3)="技能：",C221&lt;&gt;"技能：非自然知识",'幕间与结算'!E128&gt;=1,'幕间与结算'!E128&lt;=99,'幕间与结算'!F128&gt;=0,'幕间与结算'!F128&lt;=4,'幕间与结算'!G128&lt;=99))),1,0)</x:f>
        <x:v>0</x:v>
      </x:c>
      <x:c r="H221">
        <x:f>IF(AND(G221=1,COUNTIFS($I$200:I221,I221,$G$200:G221,1)=1),1,0)</x:f>
        <x:v>0</x:v>
      </x:c>
      <x:c r="I221" t="str">
        <x:f>IF(G221=1,IF(B221="成长",A221&amp;"-成长-"&amp;C221,'幕间与结算'!I128),"")</x:f>
        <x:v/>
      </x:c>
      <x:c r="BF221">
        <x:f>MAX(0,MIN(18,BF220+IF(C221="力量",E221,0)))</x:f>
        <x:v>0</x:v>
      </x:c>
      <x:c r="BG221">
        <x:f>MAX(0,MIN(18,BG220+IF(C221="体质",E221,0)))</x:f>
        <x:v>0</x:v>
      </x:c>
      <x:c r="BH221">
        <x:f>MAX(0,MIN(18,BH220+IF(C221="敏捷",E221,0)))</x:f>
        <x:v>0</x:v>
      </x:c>
      <x:c r="BI221">
        <x:f>MAX(0,MIN(18,BI220+IF(C221="智力",E221,0)))</x:f>
        <x:v>0</x:v>
      </x:c>
      <x:c r="BJ221">
        <x:f>MAX(0,MIN(18,BJ220+IF(C221="意志",E221,0)))</x:f>
        <x:v>0</x:v>
      </x:c>
      <x:c r="BK221">
        <x:f>MAX(0,MIN(18,BK220+IF(C221="魅力",E221,0)))</x:f>
        <x:v>0</x:v>
      </x:c>
      <x:c r="BL221">
        <x:f>MAX(0,MIN(99,BL220+IF(C221="技能：非自然知识",E221,0)))</x:f>
        <x:v>0</x:v>
      </x:c>
      <x:c r="BM221">
        <x:f>MAX(0,MIN(CEILING((BF221+BG221)/2,1),BM220+IF(C221="体力",E221,0)))</x:f>
        <x:v>0</x:v>
      </x:c>
      <x:c r="BN221">
        <x:f>MAX(0,MIN(BJ221,BN220+IF(C221="毅力",E221,0)))</x:f>
        <x:v>0</x:v>
      </x:c>
      <x:c r="BO221">
        <x:f>MAX(0,MIN(99-BL221,BO220+IF(C221="理智",E221,0)))</x:f>
        <x:v>0</x:v>
      </x:c>
      <x:c r="BP221">
        <x:f>MAX(0,MIN(99,BP220+IF(C221="崩溃点",E221,0)))</x:f>
        <x:v>0</x:v>
      </x:c>
      <x:c r="BQ221">
        <x:f>MAX(0,MIN(BK221,IF(AND(H221=1,C221="重要关系1",LEFT('幕间与结算'!H128,8)="建立新的重要关系"),'幕间与结算'!E128+E221,BQ220+IF(C221="重要关系1",E221,0)+IF(AND(C221="魅力",E221&lt;0),E221,0))))</x:f>
        <x:v>0</x:v>
      </x:c>
      <x:c r="BR221">
        <x:f>MAX(0,MIN(BK221,IF(AND(H221=1,C221="重要关系2",LEFT('幕间与结算'!H128,8)="建立新的重要关系"),'幕间与结算'!E128+E221,BR220+IF(C221="重要关系2",E221,0)+IF(AND(C221="魅力",E221&lt;0),E221,0))))</x:f>
        <x:v>0</x:v>
      </x:c>
      <x:c r="BS221">
        <x:f>MAX(0,MIN(BK221,IF(AND(H221=1,C221="重要关系3",LEFT('幕间与结算'!H128,8)="建立新的重要关系"),'幕间与结算'!E128+E221,BS220+IF(C221="重要关系3",E221,0)+IF(AND(C221="魅力",E221&lt;0),E221,0))))</x:f>
        <x:v>0</x:v>
      </x:c>
      <x:c r="BT221">
        <x:f>MAX(0,MIN(BK221,IF(AND(H221=1,C221="重要关系4",LEFT('幕间与结算'!H128,8)="建立新的重要关系"),'幕间与结算'!E128+E221,BT220+IF(C221="重要关系4",E221,0)+IF(AND(C221="魅力",E221&lt;0),E221,0))))</x:f>
        <x:v>0</x:v>
      </x:c>
      <x:c r="BU221">
        <x:f>MAX(0,MIN(BK221,IF(AND(H221=1,C221="重要关系5",LEFT('幕间与结算'!H128,8)="建立新的重要关系"),'幕间与结算'!E128+E221,BU220+IF(C221="重要关系5",E221,0)+IF(AND(C221="魅力",E221&lt;0),E221,0))))</x:f>
        <x:v>0</x:v>
      </x:c>
      <x:c r="BV221">
        <x:f>MAX(0,MIN(BK221,IF(AND(H221=1,C221="重要关系6",LEFT('幕间与结算'!H128,8)="建立新的重要关系"),'幕间与结算'!E128+E221,BV220+IF(C221="重要关系6",E221,0)+IF(AND(C221="魅力",E221&lt;0),E221,0))))</x:f>
        <x:v>0</x:v>
      </x:c>
      <x:c r="BW221">
        <x:f>MAX(0,MIN(BK221,IF(AND(H221=1,C221="重要关系7",LEFT('幕间与结算'!H128,8)="建立新的重要关系"),'幕间与结算'!E128+E221,BW220+IF(C221="重要关系7",E221,0)+IF(AND(C221="魅力",E221&lt;0),E221,0))))</x:f>
        <x:v>0</x:v>
      </x:c>
    </x:row>
    <x:row r="222">
      <x:c r="A222" t="str">
        <x:f>IFERROR(TEXT(VALUE('幕间与结算'!A129),"00"),"")</x:f>
        <x:v>00</x:v>
      </x:c>
      <x:c r="B222">
        <x:f>'幕间与结算'!B129</x:f>
        <x:v>0</x:v>
      </x:c>
      <x:c r="C222">
        <x:f>'幕间与结算'!D129</x:f>
        <x:v>0</x:v>
      </x:c>
      <x:c r="D222">
        <x:f>'幕间与结算'!F129</x:f>
        <x:v>0</x:v>
      </x:c>
      <x:c r="E222">
        <x:f>IF(H222=1,MAX(-'幕间与结算'!E129,MIN(D222,IF(LEFT(C222,3)="技能：",99,IF(COUNTIF($L$2:$L$7,C222)&gt;0,18,999))-'幕间与结算'!E129)),0)</x:f>
        <x:v>0</x:v>
      </x:c>
      <x:c r="F222" t="str">
        <x:f>IF(C222=0,"",IF(G222=0,"记录不完整",IF(H222=0,"重复未计","已计入")))</x:f>
        <x:v/>
      </x:c>
      <x:c r="G222">
        <x:f>IF(AND(AND('幕间与结算'!A129&lt;&gt;"",'幕间与结算'!B129&lt;&gt;"",'幕间与结算'!I129&lt;&gt;"",OR(LEFT(C222,3)="技能：",COUNTIF($L$2:$L$19,C222)&gt;0),ISNUMBER('幕间与结算'!E129),ISNUMBER('幕间与结算'!F129),ISNUMBER('幕间与结算'!G129),'幕间与结算'!E129&gt;=0,'幕间与结算'!G129='幕间与结算'!E129+'幕间与结算'!F129),OR(B222&lt;&gt;"成长",AND(LEFT(C222,3)="技能：",C222&lt;&gt;"技能：非自然知识",'幕间与结算'!E129&gt;=1,'幕间与结算'!E129&lt;=99,'幕间与结算'!F129&gt;=0,'幕间与结算'!F129&lt;=4,'幕间与结算'!G129&lt;=99))),1,0)</x:f>
        <x:v>0</x:v>
      </x:c>
      <x:c r="H222">
        <x:f>IF(AND(G222=1,COUNTIFS($I$200:I222,I222,$G$200:G222,1)=1),1,0)</x:f>
        <x:v>0</x:v>
      </x:c>
      <x:c r="I222" t="str">
        <x:f>IF(G222=1,IF(B222="成长",A222&amp;"-成长-"&amp;C222,'幕间与结算'!I129),"")</x:f>
        <x:v/>
      </x:c>
      <x:c r="BF222">
        <x:f>MAX(0,MIN(18,BF221+IF(C222="力量",E222,0)))</x:f>
        <x:v>0</x:v>
      </x:c>
      <x:c r="BG222">
        <x:f>MAX(0,MIN(18,BG221+IF(C222="体质",E222,0)))</x:f>
        <x:v>0</x:v>
      </x:c>
      <x:c r="BH222">
        <x:f>MAX(0,MIN(18,BH221+IF(C222="敏捷",E222,0)))</x:f>
        <x:v>0</x:v>
      </x:c>
      <x:c r="BI222">
        <x:f>MAX(0,MIN(18,BI221+IF(C222="智力",E222,0)))</x:f>
        <x:v>0</x:v>
      </x:c>
      <x:c r="BJ222">
        <x:f>MAX(0,MIN(18,BJ221+IF(C222="意志",E222,0)))</x:f>
        <x:v>0</x:v>
      </x:c>
      <x:c r="BK222">
        <x:f>MAX(0,MIN(18,BK221+IF(C222="魅力",E222,0)))</x:f>
        <x:v>0</x:v>
      </x:c>
      <x:c r="BL222">
        <x:f>MAX(0,MIN(99,BL221+IF(C222="技能：非自然知识",E222,0)))</x:f>
        <x:v>0</x:v>
      </x:c>
      <x:c r="BM222">
        <x:f>MAX(0,MIN(CEILING((BF222+BG222)/2,1),BM221+IF(C222="体力",E222,0)))</x:f>
        <x:v>0</x:v>
      </x:c>
      <x:c r="BN222">
        <x:f>MAX(0,MIN(BJ222,BN221+IF(C222="毅力",E222,0)))</x:f>
        <x:v>0</x:v>
      </x:c>
      <x:c r="BO222">
        <x:f>MAX(0,MIN(99-BL222,BO221+IF(C222="理智",E222,0)))</x:f>
        <x:v>0</x:v>
      </x:c>
      <x:c r="BP222">
        <x:f>MAX(0,MIN(99,BP221+IF(C222="崩溃点",E222,0)))</x:f>
        <x:v>0</x:v>
      </x:c>
      <x:c r="BQ222">
        <x:f>MAX(0,MIN(BK222,IF(AND(H222=1,C222="重要关系1",LEFT('幕间与结算'!H129,8)="建立新的重要关系"),'幕间与结算'!E129+E222,BQ221+IF(C222="重要关系1",E222,0)+IF(AND(C222="魅力",E222&lt;0),E222,0))))</x:f>
        <x:v>0</x:v>
      </x:c>
      <x:c r="BR222">
        <x:f>MAX(0,MIN(BK222,IF(AND(H222=1,C222="重要关系2",LEFT('幕间与结算'!H129,8)="建立新的重要关系"),'幕间与结算'!E129+E222,BR221+IF(C222="重要关系2",E222,0)+IF(AND(C222="魅力",E222&lt;0),E222,0))))</x:f>
        <x:v>0</x:v>
      </x:c>
      <x:c r="BS222">
        <x:f>MAX(0,MIN(BK222,IF(AND(H222=1,C222="重要关系3",LEFT('幕间与结算'!H129,8)="建立新的重要关系"),'幕间与结算'!E129+E222,BS221+IF(C222="重要关系3",E222,0)+IF(AND(C222="魅力",E222&lt;0),E222,0))))</x:f>
        <x:v>0</x:v>
      </x:c>
      <x:c r="BT222">
        <x:f>MAX(0,MIN(BK222,IF(AND(H222=1,C222="重要关系4",LEFT('幕间与结算'!H129,8)="建立新的重要关系"),'幕间与结算'!E129+E222,BT221+IF(C222="重要关系4",E222,0)+IF(AND(C222="魅力",E222&lt;0),E222,0))))</x:f>
        <x:v>0</x:v>
      </x:c>
      <x:c r="BU222">
        <x:f>MAX(0,MIN(BK222,IF(AND(H222=1,C222="重要关系5",LEFT('幕间与结算'!H129,8)="建立新的重要关系"),'幕间与结算'!E129+E222,BU221+IF(C222="重要关系5",E222,0)+IF(AND(C222="魅力",E222&lt;0),E222,0))))</x:f>
        <x:v>0</x:v>
      </x:c>
      <x:c r="BV222">
        <x:f>MAX(0,MIN(BK222,IF(AND(H222=1,C222="重要关系6",LEFT('幕间与结算'!H129,8)="建立新的重要关系"),'幕间与结算'!E129+E222,BV221+IF(C222="重要关系6",E222,0)+IF(AND(C222="魅力",E222&lt;0),E222,0))))</x:f>
        <x:v>0</x:v>
      </x:c>
      <x:c r="BW222">
        <x:f>MAX(0,MIN(BK222,IF(AND(H222=1,C222="重要关系7",LEFT('幕间与结算'!H129,8)="建立新的重要关系"),'幕间与结算'!E129+E222,BW221+IF(C222="重要关系7",E222,0)+IF(AND(C222="魅力",E222&lt;0),E222,0))))</x:f>
        <x:v>0</x:v>
      </x:c>
    </x:row>
    <x:row r="223">
      <x:c r="A223" t="str">
        <x:f>IFERROR(TEXT(VALUE('幕间与结算'!A130),"00"),"")</x:f>
        <x:v>00</x:v>
      </x:c>
      <x:c r="B223">
        <x:f>'幕间与结算'!B130</x:f>
        <x:v>0</x:v>
      </x:c>
      <x:c r="C223">
        <x:f>'幕间与结算'!D130</x:f>
        <x:v>0</x:v>
      </x:c>
      <x:c r="D223">
        <x:f>'幕间与结算'!F130</x:f>
        <x:v>0</x:v>
      </x:c>
      <x:c r="E223">
        <x:f>IF(H223=1,MAX(-'幕间与结算'!E130,MIN(D223,IF(LEFT(C223,3)="技能：",99,IF(COUNTIF($L$2:$L$7,C223)&gt;0,18,999))-'幕间与结算'!E130)),0)</x:f>
        <x:v>0</x:v>
      </x:c>
      <x:c r="F223" t="str">
        <x:f>IF(C223=0,"",IF(G223=0,"记录不完整",IF(H223=0,"重复未计","已计入")))</x:f>
        <x:v/>
      </x:c>
      <x:c r="G223">
        <x:f>IF(AND(AND('幕间与结算'!A130&lt;&gt;"",'幕间与结算'!B130&lt;&gt;"",'幕间与结算'!I130&lt;&gt;"",OR(LEFT(C223,3)="技能：",COUNTIF($L$2:$L$19,C223)&gt;0),ISNUMBER('幕间与结算'!E130),ISNUMBER('幕间与结算'!F130),ISNUMBER('幕间与结算'!G130),'幕间与结算'!E130&gt;=0,'幕间与结算'!G130='幕间与结算'!E130+'幕间与结算'!F130),OR(B223&lt;&gt;"成长",AND(LEFT(C223,3)="技能：",C223&lt;&gt;"技能：非自然知识",'幕间与结算'!E130&gt;=1,'幕间与结算'!E130&lt;=99,'幕间与结算'!F130&gt;=0,'幕间与结算'!F130&lt;=4,'幕间与结算'!G130&lt;=99))),1,0)</x:f>
        <x:v>0</x:v>
      </x:c>
      <x:c r="H223">
        <x:f>IF(AND(G223=1,COUNTIFS($I$200:I223,I223,$G$200:G223,1)=1),1,0)</x:f>
        <x:v>0</x:v>
      </x:c>
      <x:c r="I223" t="str">
        <x:f>IF(G223=1,IF(B223="成长",A223&amp;"-成长-"&amp;C223,'幕间与结算'!I130),"")</x:f>
        <x:v/>
      </x:c>
      <x:c r="BF223">
        <x:f>MAX(0,MIN(18,BF222+IF(C223="力量",E223,0)))</x:f>
        <x:v>0</x:v>
      </x:c>
      <x:c r="BG223">
        <x:f>MAX(0,MIN(18,BG222+IF(C223="体质",E223,0)))</x:f>
        <x:v>0</x:v>
      </x:c>
      <x:c r="BH223">
        <x:f>MAX(0,MIN(18,BH222+IF(C223="敏捷",E223,0)))</x:f>
        <x:v>0</x:v>
      </x:c>
      <x:c r="BI223">
        <x:f>MAX(0,MIN(18,BI222+IF(C223="智力",E223,0)))</x:f>
        <x:v>0</x:v>
      </x:c>
      <x:c r="BJ223">
        <x:f>MAX(0,MIN(18,BJ222+IF(C223="意志",E223,0)))</x:f>
        <x:v>0</x:v>
      </x:c>
      <x:c r="BK223">
        <x:f>MAX(0,MIN(18,BK222+IF(C223="魅力",E223,0)))</x:f>
        <x:v>0</x:v>
      </x:c>
      <x:c r="BL223">
        <x:f>MAX(0,MIN(99,BL222+IF(C223="技能：非自然知识",E223,0)))</x:f>
        <x:v>0</x:v>
      </x:c>
      <x:c r="BM223">
        <x:f>MAX(0,MIN(CEILING((BF223+BG223)/2,1),BM222+IF(C223="体力",E223,0)))</x:f>
        <x:v>0</x:v>
      </x:c>
      <x:c r="BN223">
        <x:f>MAX(0,MIN(BJ223,BN222+IF(C223="毅力",E223,0)))</x:f>
        <x:v>0</x:v>
      </x:c>
      <x:c r="BO223">
        <x:f>MAX(0,MIN(99-BL223,BO222+IF(C223="理智",E223,0)))</x:f>
        <x:v>0</x:v>
      </x:c>
      <x:c r="BP223">
        <x:f>MAX(0,MIN(99,BP222+IF(C223="崩溃点",E223,0)))</x:f>
        <x:v>0</x:v>
      </x:c>
      <x:c r="BQ223">
        <x:f>MAX(0,MIN(BK223,IF(AND(H223=1,C223="重要关系1",LEFT('幕间与结算'!H130,8)="建立新的重要关系"),'幕间与结算'!E130+E223,BQ222+IF(C223="重要关系1",E223,0)+IF(AND(C223="魅力",E223&lt;0),E223,0))))</x:f>
        <x:v>0</x:v>
      </x:c>
      <x:c r="BR223">
        <x:f>MAX(0,MIN(BK223,IF(AND(H223=1,C223="重要关系2",LEFT('幕间与结算'!H130,8)="建立新的重要关系"),'幕间与结算'!E130+E223,BR222+IF(C223="重要关系2",E223,0)+IF(AND(C223="魅力",E223&lt;0),E223,0))))</x:f>
        <x:v>0</x:v>
      </x:c>
      <x:c r="BS223">
        <x:f>MAX(0,MIN(BK223,IF(AND(H223=1,C223="重要关系3",LEFT('幕间与结算'!H130,8)="建立新的重要关系"),'幕间与结算'!E130+E223,BS222+IF(C223="重要关系3",E223,0)+IF(AND(C223="魅力",E223&lt;0),E223,0))))</x:f>
        <x:v>0</x:v>
      </x:c>
      <x:c r="BT223">
        <x:f>MAX(0,MIN(BK223,IF(AND(H223=1,C223="重要关系4",LEFT('幕间与结算'!H130,8)="建立新的重要关系"),'幕间与结算'!E130+E223,BT222+IF(C223="重要关系4",E223,0)+IF(AND(C223="魅力",E223&lt;0),E223,0))))</x:f>
        <x:v>0</x:v>
      </x:c>
      <x:c r="BU223">
        <x:f>MAX(0,MIN(BK223,IF(AND(H223=1,C223="重要关系5",LEFT('幕间与结算'!H130,8)="建立新的重要关系"),'幕间与结算'!E130+E223,BU222+IF(C223="重要关系5",E223,0)+IF(AND(C223="魅力",E223&lt;0),E223,0))))</x:f>
        <x:v>0</x:v>
      </x:c>
      <x:c r="BV223">
        <x:f>MAX(0,MIN(BK223,IF(AND(H223=1,C223="重要关系6",LEFT('幕间与结算'!H130,8)="建立新的重要关系"),'幕间与结算'!E130+E223,BV222+IF(C223="重要关系6",E223,0)+IF(AND(C223="魅力",E223&lt;0),E223,0))))</x:f>
        <x:v>0</x:v>
      </x:c>
      <x:c r="BW223">
        <x:f>MAX(0,MIN(BK223,IF(AND(H223=1,C223="重要关系7",LEFT('幕间与结算'!H130,8)="建立新的重要关系"),'幕间与结算'!E130+E223,BW222+IF(C223="重要关系7",E223,0)+IF(AND(C223="魅力",E223&lt;0),E223,0))))</x:f>
        <x:v>0</x:v>
      </x:c>
    </x:row>
    <x:row r="224">
      <x:c r="A224" t="str">
        <x:f>IFERROR(TEXT(VALUE('幕间与结算'!A131),"00"),"")</x:f>
        <x:v>00</x:v>
      </x:c>
      <x:c r="B224">
        <x:f>'幕间与结算'!B131</x:f>
        <x:v>0</x:v>
      </x:c>
      <x:c r="C224">
        <x:f>'幕间与结算'!D131</x:f>
        <x:v>0</x:v>
      </x:c>
      <x:c r="D224">
        <x:f>'幕间与结算'!F131</x:f>
        <x:v>0</x:v>
      </x:c>
      <x:c r="E224">
        <x:f>IF(H224=1,MAX(-'幕间与结算'!E131,MIN(D224,IF(LEFT(C224,3)="技能：",99,IF(COUNTIF($L$2:$L$7,C224)&gt;0,18,999))-'幕间与结算'!E131)),0)</x:f>
        <x:v>0</x:v>
      </x:c>
      <x:c r="F224" t="str">
        <x:f>IF(C224=0,"",IF(G224=0,"记录不完整",IF(H224=0,"重复未计","已计入")))</x:f>
        <x:v/>
      </x:c>
      <x:c r="G224">
        <x:f>IF(AND(AND('幕间与结算'!A131&lt;&gt;"",'幕间与结算'!B131&lt;&gt;"",'幕间与结算'!I131&lt;&gt;"",OR(LEFT(C224,3)="技能：",COUNTIF($L$2:$L$19,C224)&gt;0),ISNUMBER('幕间与结算'!E131),ISNUMBER('幕间与结算'!F131),ISNUMBER('幕间与结算'!G131),'幕间与结算'!E131&gt;=0,'幕间与结算'!G131='幕间与结算'!E131+'幕间与结算'!F131),OR(B224&lt;&gt;"成长",AND(LEFT(C224,3)="技能：",C224&lt;&gt;"技能：非自然知识",'幕间与结算'!E131&gt;=1,'幕间与结算'!E131&lt;=99,'幕间与结算'!F131&gt;=0,'幕间与结算'!F131&lt;=4,'幕间与结算'!G131&lt;=99))),1,0)</x:f>
        <x:v>0</x:v>
      </x:c>
      <x:c r="H224">
        <x:f>IF(AND(G224=1,COUNTIFS($I$200:I224,I224,$G$200:G224,1)=1),1,0)</x:f>
        <x:v>0</x:v>
      </x:c>
      <x:c r="I224" t="str">
        <x:f>IF(G224=1,IF(B224="成长",A224&amp;"-成长-"&amp;C224,'幕间与结算'!I131),"")</x:f>
        <x:v/>
      </x:c>
      <x:c r="BF224">
        <x:f>MAX(0,MIN(18,BF223+IF(C224="力量",E224,0)))</x:f>
        <x:v>0</x:v>
      </x:c>
      <x:c r="BG224">
        <x:f>MAX(0,MIN(18,BG223+IF(C224="体质",E224,0)))</x:f>
        <x:v>0</x:v>
      </x:c>
      <x:c r="BH224">
        <x:f>MAX(0,MIN(18,BH223+IF(C224="敏捷",E224,0)))</x:f>
        <x:v>0</x:v>
      </x:c>
      <x:c r="BI224">
        <x:f>MAX(0,MIN(18,BI223+IF(C224="智力",E224,0)))</x:f>
        <x:v>0</x:v>
      </x:c>
      <x:c r="BJ224">
        <x:f>MAX(0,MIN(18,BJ223+IF(C224="意志",E224,0)))</x:f>
        <x:v>0</x:v>
      </x:c>
      <x:c r="BK224">
        <x:f>MAX(0,MIN(18,BK223+IF(C224="魅力",E224,0)))</x:f>
        <x:v>0</x:v>
      </x:c>
      <x:c r="BL224">
        <x:f>MAX(0,MIN(99,BL223+IF(C224="技能：非自然知识",E224,0)))</x:f>
        <x:v>0</x:v>
      </x:c>
      <x:c r="BM224">
        <x:f>MAX(0,MIN(CEILING((BF224+BG224)/2,1),BM223+IF(C224="体力",E224,0)))</x:f>
        <x:v>0</x:v>
      </x:c>
      <x:c r="BN224">
        <x:f>MAX(0,MIN(BJ224,BN223+IF(C224="毅力",E224,0)))</x:f>
        <x:v>0</x:v>
      </x:c>
      <x:c r="BO224">
        <x:f>MAX(0,MIN(99-BL224,BO223+IF(C224="理智",E224,0)))</x:f>
        <x:v>0</x:v>
      </x:c>
      <x:c r="BP224">
        <x:f>MAX(0,MIN(99,BP223+IF(C224="崩溃点",E224,0)))</x:f>
        <x:v>0</x:v>
      </x:c>
      <x:c r="BQ224">
        <x:f>MAX(0,MIN(BK224,IF(AND(H224=1,C224="重要关系1",LEFT('幕间与结算'!H131,8)="建立新的重要关系"),'幕间与结算'!E131+E224,BQ223+IF(C224="重要关系1",E224,0)+IF(AND(C224="魅力",E224&lt;0),E224,0))))</x:f>
        <x:v>0</x:v>
      </x:c>
      <x:c r="BR224">
        <x:f>MAX(0,MIN(BK224,IF(AND(H224=1,C224="重要关系2",LEFT('幕间与结算'!H131,8)="建立新的重要关系"),'幕间与结算'!E131+E224,BR223+IF(C224="重要关系2",E224,0)+IF(AND(C224="魅力",E224&lt;0),E224,0))))</x:f>
        <x:v>0</x:v>
      </x:c>
      <x:c r="BS224">
        <x:f>MAX(0,MIN(BK224,IF(AND(H224=1,C224="重要关系3",LEFT('幕间与结算'!H131,8)="建立新的重要关系"),'幕间与结算'!E131+E224,BS223+IF(C224="重要关系3",E224,0)+IF(AND(C224="魅力",E224&lt;0),E224,0))))</x:f>
        <x:v>0</x:v>
      </x:c>
      <x:c r="BT224">
        <x:f>MAX(0,MIN(BK224,IF(AND(H224=1,C224="重要关系4",LEFT('幕间与结算'!H131,8)="建立新的重要关系"),'幕间与结算'!E131+E224,BT223+IF(C224="重要关系4",E224,0)+IF(AND(C224="魅力",E224&lt;0),E224,0))))</x:f>
        <x:v>0</x:v>
      </x:c>
      <x:c r="BU224">
        <x:f>MAX(0,MIN(BK224,IF(AND(H224=1,C224="重要关系5",LEFT('幕间与结算'!H131,8)="建立新的重要关系"),'幕间与结算'!E131+E224,BU223+IF(C224="重要关系5",E224,0)+IF(AND(C224="魅力",E224&lt;0),E224,0))))</x:f>
        <x:v>0</x:v>
      </x:c>
      <x:c r="BV224">
        <x:f>MAX(0,MIN(BK224,IF(AND(H224=1,C224="重要关系6",LEFT('幕间与结算'!H131,8)="建立新的重要关系"),'幕间与结算'!E131+E224,BV223+IF(C224="重要关系6",E224,0)+IF(AND(C224="魅力",E224&lt;0),E224,0))))</x:f>
        <x:v>0</x:v>
      </x:c>
      <x:c r="BW224">
        <x:f>MAX(0,MIN(BK224,IF(AND(H224=1,C224="重要关系7",LEFT('幕间与结算'!H131,8)="建立新的重要关系"),'幕间与结算'!E131+E224,BW223+IF(C224="重要关系7",E224,0)+IF(AND(C224="魅力",E224&lt;0),E224,0))))</x:f>
        <x:v>0</x:v>
      </x:c>
    </x:row>
    <x:row r="225">
      <x:c r="A225" t="str">
        <x:f>IFERROR(TEXT(VALUE('幕间与结算'!A132),"00"),"")</x:f>
        <x:v>00</x:v>
      </x:c>
      <x:c r="B225">
        <x:f>'幕间与结算'!B132</x:f>
        <x:v>0</x:v>
      </x:c>
      <x:c r="C225">
        <x:f>'幕间与结算'!D132</x:f>
        <x:v>0</x:v>
      </x:c>
      <x:c r="D225">
        <x:f>'幕间与结算'!F132</x:f>
        <x:v>0</x:v>
      </x:c>
      <x:c r="E225">
        <x:f>IF(H225=1,MAX(-'幕间与结算'!E132,MIN(D225,IF(LEFT(C225,3)="技能：",99,IF(COUNTIF($L$2:$L$7,C225)&gt;0,18,999))-'幕间与结算'!E132)),0)</x:f>
        <x:v>0</x:v>
      </x:c>
      <x:c r="F225" t="str">
        <x:f>IF(C225=0,"",IF(G225=0,"记录不完整",IF(H225=0,"重复未计","已计入")))</x:f>
        <x:v/>
      </x:c>
      <x:c r="G225">
        <x:f>IF(AND(AND('幕间与结算'!A132&lt;&gt;"",'幕间与结算'!B132&lt;&gt;"",'幕间与结算'!I132&lt;&gt;"",OR(LEFT(C225,3)="技能：",COUNTIF($L$2:$L$19,C225)&gt;0),ISNUMBER('幕间与结算'!E132),ISNUMBER('幕间与结算'!F132),ISNUMBER('幕间与结算'!G132),'幕间与结算'!E132&gt;=0,'幕间与结算'!G132='幕间与结算'!E132+'幕间与结算'!F132),OR(B225&lt;&gt;"成长",AND(LEFT(C225,3)="技能：",C225&lt;&gt;"技能：非自然知识",'幕间与结算'!E132&gt;=1,'幕间与结算'!E132&lt;=99,'幕间与结算'!F132&gt;=0,'幕间与结算'!F132&lt;=4,'幕间与结算'!G132&lt;=99))),1,0)</x:f>
        <x:v>0</x:v>
      </x:c>
      <x:c r="H225">
        <x:f>IF(AND(G225=1,COUNTIFS($I$200:I225,I225,$G$200:G225,1)=1),1,0)</x:f>
        <x:v>0</x:v>
      </x:c>
      <x:c r="I225" t="str">
        <x:f>IF(G225=1,IF(B225="成长",A225&amp;"-成长-"&amp;C225,'幕间与结算'!I132),"")</x:f>
        <x:v/>
      </x:c>
      <x:c r="BF225">
        <x:f>MAX(0,MIN(18,BF224+IF(C225="力量",E225,0)))</x:f>
        <x:v>0</x:v>
      </x:c>
      <x:c r="BG225">
        <x:f>MAX(0,MIN(18,BG224+IF(C225="体质",E225,0)))</x:f>
        <x:v>0</x:v>
      </x:c>
      <x:c r="BH225">
        <x:f>MAX(0,MIN(18,BH224+IF(C225="敏捷",E225,0)))</x:f>
        <x:v>0</x:v>
      </x:c>
      <x:c r="BI225">
        <x:f>MAX(0,MIN(18,BI224+IF(C225="智力",E225,0)))</x:f>
        <x:v>0</x:v>
      </x:c>
      <x:c r="BJ225">
        <x:f>MAX(0,MIN(18,BJ224+IF(C225="意志",E225,0)))</x:f>
        <x:v>0</x:v>
      </x:c>
      <x:c r="BK225">
        <x:f>MAX(0,MIN(18,BK224+IF(C225="魅力",E225,0)))</x:f>
        <x:v>0</x:v>
      </x:c>
      <x:c r="BL225">
        <x:f>MAX(0,MIN(99,BL224+IF(C225="技能：非自然知识",E225,0)))</x:f>
        <x:v>0</x:v>
      </x:c>
      <x:c r="BM225">
        <x:f>MAX(0,MIN(CEILING((BF225+BG225)/2,1),BM224+IF(C225="体力",E225,0)))</x:f>
        <x:v>0</x:v>
      </x:c>
      <x:c r="BN225">
        <x:f>MAX(0,MIN(BJ225,BN224+IF(C225="毅力",E225,0)))</x:f>
        <x:v>0</x:v>
      </x:c>
      <x:c r="BO225">
        <x:f>MAX(0,MIN(99-BL225,BO224+IF(C225="理智",E225,0)))</x:f>
        <x:v>0</x:v>
      </x:c>
      <x:c r="BP225">
        <x:f>MAX(0,MIN(99,BP224+IF(C225="崩溃点",E225,0)))</x:f>
        <x:v>0</x:v>
      </x:c>
      <x:c r="BQ225">
        <x:f>MAX(0,MIN(BK225,IF(AND(H225=1,C225="重要关系1",LEFT('幕间与结算'!H132,8)="建立新的重要关系"),'幕间与结算'!E132+E225,BQ224+IF(C225="重要关系1",E225,0)+IF(AND(C225="魅力",E225&lt;0),E225,0))))</x:f>
        <x:v>0</x:v>
      </x:c>
      <x:c r="BR225">
        <x:f>MAX(0,MIN(BK225,IF(AND(H225=1,C225="重要关系2",LEFT('幕间与结算'!H132,8)="建立新的重要关系"),'幕间与结算'!E132+E225,BR224+IF(C225="重要关系2",E225,0)+IF(AND(C225="魅力",E225&lt;0),E225,0))))</x:f>
        <x:v>0</x:v>
      </x:c>
      <x:c r="BS225">
        <x:f>MAX(0,MIN(BK225,IF(AND(H225=1,C225="重要关系3",LEFT('幕间与结算'!H132,8)="建立新的重要关系"),'幕间与结算'!E132+E225,BS224+IF(C225="重要关系3",E225,0)+IF(AND(C225="魅力",E225&lt;0),E225,0))))</x:f>
        <x:v>0</x:v>
      </x:c>
      <x:c r="BT225">
        <x:f>MAX(0,MIN(BK225,IF(AND(H225=1,C225="重要关系4",LEFT('幕间与结算'!H132,8)="建立新的重要关系"),'幕间与结算'!E132+E225,BT224+IF(C225="重要关系4",E225,0)+IF(AND(C225="魅力",E225&lt;0),E225,0))))</x:f>
        <x:v>0</x:v>
      </x:c>
      <x:c r="BU225">
        <x:f>MAX(0,MIN(BK225,IF(AND(H225=1,C225="重要关系5",LEFT('幕间与结算'!H132,8)="建立新的重要关系"),'幕间与结算'!E132+E225,BU224+IF(C225="重要关系5",E225,0)+IF(AND(C225="魅力",E225&lt;0),E225,0))))</x:f>
        <x:v>0</x:v>
      </x:c>
      <x:c r="BV225">
        <x:f>MAX(0,MIN(BK225,IF(AND(H225=1,C225="重要关系6",LEFT('幕间与结算'!H132,8)="建立新的重要关系"),'幕间与结算'!E132+E225,BV224+IF(C225="重要关系6",E225,0)+IF(AND(C225="魅力",E225&lt;0),E225,0))))</x:f>
        <x:v>0</x:v>
      </x:c>
      <x:c r="BW225">
        <x:f>MAX(0,MIN(BK225,IF(AND(H225=1,C225="重要关系7",LEFT('幕间与结算'!H132,8)="建立新的重要关系"),'幕间与结算'!E132+E225,BW224+IF(C225="重要关系7",E225,0)+IF(AND(C225="魅力",E225&lt;0),E225,0))))</x:f>
        <x:v>0</x:v>
      </x:c>
    </x:row>
    <x:row r="226">
      <x:c r="A226" t="str">
        <x:f>IFERROR(TEXT(VALUE('幕间与结算'!A133),"00"),"")</x:f>
        <x:v>00</x:v>
      </x:c>
      <x:c r="B226">
        <x:f>'幕间与结算'!B133</x:f>
        <x:v>0</x:v>
      </x:c>
      <x:c r="C226">
        <x:f>'幕间与结算'!D133</x:f>
        <x:v>0</x:v>
      </x:c>
      <x:c r="D226">
        <x:f>'幕间与结算'!F133</x:f>
        <x:v>0</x:v>
      </x:c>
      <x:c r="E226">
        <x:f>IF(H226=1,MAX(-'幕间与结算'!E133,MIN(D226,IF(LEFT(C226,3)="技能：",99,IF(COUNTIF($L$2:$L$7,C226)&gt;0,18,999))-'幕间与结算'!E133)),0)</x:f>
        <x:v>0</x:v>
      </x:c>
      <x:c r="F226" t="str">
        <x:f>IF(C226=0,"",IF(G226=0,"记录不完整",IF(H226=0,"重复未计","已计入")))</x:f>
        <x:v/>
      </x:c>
      <x:c r="G226">
        <x:f>IF(AND(AND('幕间与结算'!A133&lt;&gt;"",'幕间与结算'!B133&lt;&gt;"",'幕间与结算'!I133&lt;&gt;"",OR(LEFT(C226,3)="技能：",COUNTIF($L$2:$L$19,C226)&gt;0),ISNUMBER('幕间与结算'!E133),ISNUMBER('幕间与结算'!F133),ISNUMBER('幕间与结算'!G133),'幕间与结算'!E133&gt;=0,'幕间与结算'!G133='幕间与结算'!E133+'幕间与结算'!F133),OR(B226&lt;&gt;"成长",AND(LEFT(C226,3)="技能：",C226&lt;&gt;"技能：非自然知识",'幕间与结算'!E133&gt;=1,'幕间与结算'!E133&lt;=99,'幕间与结算'!F133&gt;=0,'幕间与结算'!F133&lt;=4,'幕间与结算'!G133&lt;=99))),1,0)</x:f>
        <x:v>0</x:v>
      </x:c>
      <x:c r="H226">
        <x:f>IF(AND(G226=1,COUNTIFS($I$200:I226,I226,$G$200:G226,1)=1),1,0)</x:f>
        <x:v>0</x:v>
      </x:c>
      <x:c r="I226" t="str">
        <x:f>IF(G226=1,IF(B226="成长",A226&amp;"-成长-"&amp;C226,'幕间与结算'!I133),"")</x:f>
        <x:v/>
      </x:c>
      <x:c r="BF226">
        <x:f>MAX(0,MIN(18,BF225+IF(C226="力量",E226,0)))</x:f>
        <x:v>0</x:v>
      </x:c>
      <x:c r="BG226">
        <x:f>MAX(0,MIN(18,BG225+IF(C226="体质",E226,0)))</x:f>
        <x:v>0</x:v>
      </x:c>
      <x:c r="BH226">
        <x:f>MAX(0,MIN(18,BH225+IF(C226="敏捷",E226,0)))</x:f>
        <x:v>0</x:v>
      </x:c>
      <x:c r="BI226">
        <x:f>MAX(0,MIN(18,BI225+IF(C226="智力",E226,0)))</x:f>
        <x:v>0</x:v>
      </x:c>
      <x:c r="BJ226">
        <x:f>MAX(0,MIN(18,BJ225+IF(C226="意志",E226,0)))</x:f>
        <x:v>0</x:v>
      </x:c>
      <x:c r="BK226">
        <x:f>MAX(0,MIN(18,BK225+IF(C226="魅力",E226,0)))</x:f>
        <x:v>0</x:v>
      </x:c>
      <x:c r="BL226">
        <x:f>MAX(0,MIN(99,BL225+IF(C226="技能：非自然知识",E226,0)))</x:f>
        <x:v>0</x:v>
      </x:c>
      <x:c r="BM226">
        <x:f>MAX(0,MIN(CEILING((BF226+BG226)/2,1),BM225+IF(C226="体力",E226,0)))</x:f>
        <x:v>0</x:v>
      </x:c>
      <x:c r="BN226">
        <x:f>MAX(0,MIN(BJ226,BN225+IF(C226="毅力",E226,0)))</x:f>
        <x:v>0</x:v>
      </x:c>
      <x:c r="BO226">
        <x:f>MAX(0,MIN(99-BL226,BO225+IF(C226="理智",E226,0)))</x:f>
        <x:v>0</x:v>
      </x:c>
      <x:c r="BP226">
        <x:f>MAX(0,MIN(99,BP225+IF(C226="崩溃点",E226,0)))</x:f>
        <x:v>0</x:v>
      </x:c>
      <x:c r="BQ226">
        <x:f>MAX(0,MIN(BK226,IF(AND(H226=1,C226="重要关系1",LEFT('幕间与结算'!H133,8)="建立新的重要关系"),'幕间与结算'!E133+E226,BQ225+IF(C226="重要关系1",E226,0)+IF(AND(C226="魅力",E226&lt;0),E226,0))))</x:f>
        <x:v>0</x:v>
      </x:c>
      <x:c r="BR226">
        <x:f>MAX(0,MIN(BK226,IF(AND(H226=1,C226="重要关系2",LEFT('幕间与结算'!H133,8)="建立新的重要关系"),'幕间与结算'!E133+E226,BR225+IF(C226="重要关系2",E226,0)+IF(AND(C226="魅力",E226&lt;0),E226,0))))</x:f>
        <x:v>0</x:v>
      </x:c>
      <x:c r="BS226">
        <x:f>MAX(0,MIN(BK226,IF(AND(H226=1,C226="重要关系3",LEFT('幕间与结算'!H133,8)="建立新的重要关系"),'幕间与结算'!E133+E226,BS225+IF(C226="重要关系3",E226,0)+IF(AND(C226="魅力",E226&lt;0),E226,0))))</x:f>
        <x:v>0</x:v>
      </x:c>
      <x:c r="BT226">
        <x:f>MAX(0,MIN(BK226,IF(AND(H226=1,C226="重要关系4",LEFT('幕间与结算'!H133,8)="建立新的重要关系"),'幕间与结算'!E133+E226,BT225+IF(C226="重要关系4",E226,0)+IF(AND(C226="魅力",E226&lt;0),E226,0))))</x:f>
        <x:v>0</x:v>
      </x:c>
      <x:c r="BU226">
        <x:f>MAX(0,MIN(BK226,IF(AND(H226=1,C226="重要关系5",LEFT('幕间与结算'!H133,8)="建立新的重要关系"),'幕间与结算'!E133+E226,BU225+IF(C226="重要关系5",E226,0)+IF(AND(C226="魅力",E226&lt;0),E226,0))))</x:f>
        <x:v>0</x:v>
      </x:c>
      <x:c r="BV226">
        <x:f>MAX(0,MIN(BK226,IF(AND(H226=1,C226="重要关系6",LEFT('幕间与结算'!H133,8)="建立新的重要关系"),'幕间与结算'!E133+E226,BV225+IF(C226="重要关系6",E226,0)+IF(AND(C226="魅力",E226&lt;0),E226,0))))</x:f>
        <x:v>0</x:v>
      </x:c>
      <x:c r="BW226">
        <x:f>MAX(0,MIN(BK226,IF(AND(H226=1,C226="重要关系7",LEFT('幕间与结算'!H133,8)="建立新的重要关系"),'幕间与结算'!E133+E226,BW225+IF(C226="重要关系7",E226,0)+IF(AND(C226="魅力",E226&lt;0),E226,0))))</x:f>
        <x:v>0</x:v>
      </x:c>
    </x:row>
    <x:row r="227">
      <x:c r="A227" t="str">
        <x:f>IFERROR(TEXT(VALUE('幕间与结算'!A134),"00"),"")</x:f>
        <x:v>00</x:v>
      </x:c>
      <x:c r="B227">
        <x:f>'幕间与结算'!B134</x:f>
        <x:v>0</x:v>
      </x:c>
      <x:c r="C227">
        <x:f>'幕间与结算'!D134</x:f>
        <x:v>0</x:v>
      </x:c>
      <x:c r="D227">
        <x:f>'幕间与结算'!F134</x:f>
        <x:v>0</x:v>
      </x:c>
      <x:c r="E227">
        <x:f>IF(H227=1,MAX(-'幕间与结算'!E134,MIN(D227,IF(LEFT(C227,3)="技能：",99,IF(COUNTIF($L$2:$L$7,C227)&gt;0,18,999))-'幕间与结算'!E134)),0)</x:f>
        <x:v>0</x:v>
      </x:c>
      <x:c r="F227" t="str">
        <x:f>IF(C227=0,"",IF(G227=0,"记录不完整",IF(H227=0,"重复未计","已计入")))</x:f>
        <x:v/>
      </x:c>
      <x:c r="G227">
        <x:f>IF(AND(AND('幕间与结算'!A134&lt;&gt;"",'幕间与结算'!B134&lt;&gt;"",'幕间与结算'!I134&lt;&gt;"",OR(LEFT(C227,3)="技能：",COUNTIF($L$2:$L$19,C227)&gt;0),ISNUMBER('幕间与结算'!E134),ISNUMBER('幕间与结算'!F134),ISNUMBER('幕间与结算'!G134),'幕间与结算'!E134&gt;=0,'幕间与结算'!G134='幕间与结算'!E134+'幕间与结算'!F134),OR(B227&lt;&gt;"成长",AND(LEFT(C227,3)="技能：",C227&lt;&gt;"技能：非自然知识",'幕间与结算'!E134&gt;=1,'幕间与结算'!E134&lt;=99,'幕间与结算'!F134&gt;=0,'幕间与结算'!F134&lt;=4,'幕间与结算'!G134&lt;=99))),1,0)</x:f>
        <x:v>0</x:v>
      </x:c>
      <x:c r="H227">
        <x:f>IF(AND(G227=1,COUNTIFS($I$200:I227,I227,$G$200:G227,1)=1),1,0)</x:f>
        <x:v>0</x:v>
      </x:c>
      <x:c r="I227" t="str">
        <x:f>IF(G227=1,IF(B227="成长",A227&amp;"-成长-"&amp;C227,'幕间与结算'!I134),"")</x:f>
        <x:v/>
      </x:c>
      <x:c r="BF227">
        <x:f>MAX(0,MIN(18,BF226+IF(C227="力量",E227,0)))</x:f>
        <x:v>0</x:v>
      </x:c>
      <x:c r="BG227">
        <x:f>MAX(0,MIN(18,BG226+IF(C227="体质",E227,0)))</x:f>
        <x:v>0</x:v>
      </x:c>
      <x:c r="BH227">
        <x:f>MAX(0,MIN(18,BH226+IF(C227="敏捷",E227,0)))</x:f>
        <x:v>0</x:v>
      </x:c>
      <x:c r="BI227">
        <x:f>MAX(0,MIN(18,BI226+IF(C227="智力",E227,0)))</x:f>
        <x:v>0</x:v>
      </x:c>
      <x:c r="BJ227">
        <x:f>MAX(0,MIN(18,BJ226+IF(C227="意志",E227,0)))</x:f>
        <x:v>0</x:v>
      </x:c>
      <x:c r="BK227">
        <x:f>MAX(0,MIN(18,BK226+IF(C227="魅力",E227,0)))</x:f>
        <x:v>0</x:v>
      </x:c>
      <x:c r="BL227">
        <x:f>MAX(0,MIN(99,BL226+IF(C227="技能：非自然知识",E227,0)))</x:f>
        <x:v>0</x:v>
      </x:c>
      <x:c r="BM227">
        <x:f>MAX(0,MIN(CEILING((BF227+BG227)/2,1),BM226+IF(C227="体力",E227,0)))</x:f>
        <x:v>0</x:v>
      </x:c>
      <x:c r="BN227">
        <x:f>MAX(0,MIN(BJ227,BN226+IF(C227="毅力",E227,0)))</x:f>
        <x:v>0</x:v>
      </x:c>
      <x:c r="BO227">
        <x:f>MAX(0,MIN(99-BL227,BO226+IF(C227="理智",E227,0)))</x:f>
        <x:v>0</x:v>
      </x:c>
      <x:c r="BP227">
        <x:f>MAX(0,MIN(99,BP226+IF(C227="崩溃点",E227,0)))</x:f>
        <x:v>0</x:v>
      </x:c>
      <x:c r="BQ227">
        <x:f>MAX(0,MIN(BK227,IF(AND(H227=1,C227="重要关系1",LEFT('幕间与结算'!H134,8)="建立新的重要关系"),'幕间与结算'!E134+E227,BQ226+IF(C227="重要关系1",E227,0)+IF(AND(C227="魅力",E227&lt;0),E227,0))))</x:f>
        <x:v>0</x:v>
      </x:c>
      <x:c r="BR227">
        <x:f>MAX(0,MIN(BK227,IF(AND(H227=1,C227="重要关系2",LEFT('幕间与结算'!H134,8)="建立新的重要关系"),'幕间与结算'!E134+E227,BR226+IF(C227="重要关系2",E227,0)+IF(AND(C227="魅力",E227&lt;0),E227,0))))</x:f>
        <x:v>0</x:v>
      </x:c>
      <x:c r="BS227">
        <x:f>MAX(0,MIN(BK227,IF(AND(H227=1,C227="重要关系3",LEFT('幕间与结算'!H134,8)="建立新的重要关系"),'幕间与结算'!E134+E227,BS226+IF(C227="重要关系3",E227,0)+IF(AND(C227="魅力",E227&lt;0),E227,0))))</x:f>
        <x:v>0</x:v>
      </x:c>
      <x:c r="BT227">
        <x:f>MAX(0,MIN(BK227,IF(AND(H227=1,C227="重要关系4",LEFT('幕间与结算'!H134,8)="建立新的重要关系"),'幕间与结算'!E134+E227,BT226+IF(C227="重要关系4",E227,0)+IF(AND(C227="魅力",E227&lt;0),E227,0))))</x:f>
        <x:v>0</x:v>
      </x:c>
      <x:c r="BU227">
        <x:f>MAX(0,MIN(BK227,IF(AND(H227=1,C227="重要关系5",LEFT('幕间与结算'!H134,8)="建立新的重要关系"),'幕间与结算'!E134+E227,BU226+IF(C227="重要关系5",E227,0)+IF(AND(C227="魅力",E227&lt;0),E227,0))))</x:f>
        <x:v>0</x:v>
      </x:c>
      <x:c r="BV227">
        <x:f>MAX(0,MIN(BK227,IF(AND(H227=1,C227="重要关系6",LEFT('幕间与结算'!H134,8)="建立新的重要关系"),'幕间与结算'!E134+E227,BV226+IF(C227="重要关系6",E227,0)+IF(AND(C227="魅力",E227&lt;0),E227,0))))</x:f>
        <x:v>0</x:v>
      </x:c>
      <x:c r="BW227">
        <x:f>MAX(0,MIN(BK227,IF(AND(H227=1,C227="重要关系7",LEFT('幕间与结算'!H134,8)="建立新的重要关系"),'幕间与结算'!E134+E227,BW226+IF(C227="重要关系7",E227,0)+IF(AND(C227="魅力",E227&lt;0),E227,0))))</x:f>
        <x:v>0</x:v>
      </x:c>
    </x:row>
    <x:row r="228">
      <x:c r="A228" t="str">
        <x:f>IFERROR(TEXT(VALUE('幕间与结算'!A135),"00"),"")</x:f>
        <x:v>00</x:v>
      </x:c>
      <x:c r="B228">
        <x:f>'幕间与结算'!B135</x:f>
        <x:v>0</x:v>
      </x:c>
      <x:c r="C228">
        <x:f>'幕间与结算'!D135</x:f>
        <x:v>0</x:v>
      </x:c>
      <x:c r="D228">
        <x:f>'幕间与结算'!F135</x:f>
        <x:v>0</x:v>
      </x:c>
      <x:c r="E228">
        <x:f>IF(H228=1,MAX(-'幕间与结算'!E135,MIN(D228,IF(LEFT(C228,3)="技能：",99,IF(COUNTIF($L$2:$L$7,C228)&gt;0,18,999))-'幕间与结算'!E135)),0)</x:f>
        <x:v>0</x:v>
      </x:c>
      <x:c r="F228" t="str">
        <x:f>IF(C228=0,"",IF(G228=0,"记录不完整",IF(H228=0,"重复未计","已计入")))</x:f>
        <x:v/>
      </x:c>
      <x:c r="G228">
        <x:f>IF(AND(AND('幕间与结算'!A135&lt;&gt;"",'幕间与结算'!B135&lt;&gt;"",'幕间与结算'!I135&lt;&gt;"",OR(LEFT(C228,3)="技能：",COUNTIF($L$2:$L$19,C228)&gt;0),ISNUMBER('幕间与结算'!E135),ISNUMBER('幕间与结算'!F135),ISNUMBER('幕间与结算'!G135),'幕间与结算'!E135&gt;=0,'幕间与结算'!G135='幕间与结算'!E135+'幕间与结算'!F135),OR(B228&lt;&gt;"成长",AND(LEFT(C228,3)="技能：",C228&lt;&gt;"技能：非自然知识",'幕间与结算'!E135&gt;=1,'幕间与结算'!E135&lt;=99,'幕间与结算'!F135&gt;=0,'幕间与结算'!F135&lt;=4,'幕间与结算'!G135&lt;=99))),1,0)</x:f>
        <x:v>0</x:v>
      </x:c>
      <x:c r="H228">
        <x:f>IF(AND(G228=1,COUNTIFS($I$200:I228,I228,$G$200:G228,1)=1),1,0)</x:f>
        <x:v>0</x:v>
      </x:c>
      <x:c r="I228" t="str">
        <x:f>IF(G228=1,IF(B228="成长",A228&amp;"-成长-"&amp;C228,'幕间与结算'!I135),"")</x:f>
        <x:v/>
      </x:c>
      <x:c r="BF228">
        <x:f>MAX(0,MIN(18,BF227+IF(C228="力量",E228,0)))</x:f>
        <x:v>0</x:v>
      </x:c>
      <x:c r="BG228">
        <x:f>MAX(0,MIN(18,BG227+IF(C228="体质",E228,0)))</x:f>
        <x:v>0</x:v>
      </x:c>
      <x:c r="BH228">
        <x:f>MAX(0,MIN(18,BH227+IF(C228="敏捷",E228,0)))</x:f>
        <x:v>0</x:v>
      </x:c>
      <x:c r="BI228">
        <x:f>MAX(0,MIN(18,BI227+IF(C228="智力",E228,0)))</x:f>
        <x:v>0</x:v>
      </x:c>
      <x:c r="BJ228">
        <x:f>MAX(0,MIN(18,BJ227+IF(C228="意志",E228,0)))</x:f>
        <x:v>0</x:v>
      </x:c>
      <x:c r="BK228">
        <x:f>MAX(0,MIN(18,BK227+IF(C228="魅力",E228,0)))</x:f>
        <x:v>0</x:v>
      </x:c>
      <x:c r="BL228">
        <x:f>MAX(0,MIN(99,BL227+IF(C228="技能：非自然知识",E228,0)))</x:f>
        <x:v>0</x:v>
      </x:c>
      <x:c r="BM228">
        <x:f>MAX(0,MIN(CEILING((BF228+BG228)/2,1),BM227+IF(C228="体力",E228,0)))</x:f>
        <x:v>0</x:v>
      </x:c>
      <x:c r="BN228">
        <x:f>MAX(0,MIN(BJ228,BN227+IF(C228="毅力",E228,0)))</x:f>
        <x:v>0</x:v>
      </x:c>
      <x:c r="BO228">
        <x:f>MAX(0,MIN(99-BL228,BO227+IF(C228="理智",E228,0)))</x:f>
        <x:v>0</x:v>
      </x:c>
      <x:c r="BP228">
        <x:f>MAX(0,MIN(99,BP227+IF(C228="崩溃点",E228,0)))</x:f>
        <x:v>0</x:v>
      </x:c>
      <x:c r="BQ228">
        <x:f>MAX(0,MIN(BK228,IF(AND(H228=1,C228="重要关系1",LEFT('幕间与结算'!H135,8)="建立新的重要关系"),'幕间与结算'!E135+E228,BQ227+IF(C228="重要关系1",E228,0)+IF(AND(C228="魅力",E228&lt;0),E228,0))))</x:f>
        <x:v>0</x:v>
      </x:c>
      <x:c r="BR228">
        <x:f>MAX(0,MIN(BK228,IF(AND(H228=1,C228="重要关系2",LEFT('幕间与结算'!H135,8)="建立新的重要关系"),'幕间与结算'!E135+E228,BR227+IF(C228="重要关系2",E228,0)+IF(AND(C228="魅力",E228&lt;0),E228,0))))</x:f>
        <x:v>0</x:v>
      </x:c>
      <x:c r="BS228">
        <x:f>MAX(0,MIN(BK228,IF(AND(H228=1,C228="重要关系3",LEFT('幕间与结算'!H135,8)="建立新的重要关系"),'幕间与结算'!E135+E228,BS227+IF(C228="重要关系3",E228,0)+IF(AND(C228="魅力",E228&lt;0),E228,0))))</x:f>
        <x:v>0</x:v>
      </x:c>
      <x:c r="BT228">
        <x:f>MAX(0,MIN(BK228,IF(AND(H228=1,C228="重要关系4",LEFT('幕间与结算'!H135,8)="建立新的重要关系"),'幕间与结算'!E135+E228,BT227+IF(C228="重要关系4",E228,0)+IF(AND(C228="魅力",E228&lt;0),E228,0))))</x:f>
        <x:v>0</x:v>
      </x:c>
      <x:c r="BU228">
        <x:f>MAX(0,MIN(BK228,IF(AND(H228=1,C228="重要关系5",LEFT('幕间与结算'!H135,8)="建立新的重要关系"),'幕间与结算'!E135+E228,BU227+IF(C228="重要关系5",E228,0)+IF(AND(C228="魅力",E228&lt;0),E228,0))))</x:f>
        <x:v>0</x:v>
      </x:c>
      <x:c r="BV228">
        <x:f>MAX(0,MIN(BK228,IF(AND(H228=1,C228="重要关系6",LEFT('幕间与结算'!H135,8)="建立新的重要关系"),'幕间与结算'!E135+E228,BV227+IF(C228="重要关系6",E228,0)+IF(AND(C228="魅力",E228&lt;0),E228,0))))</x:f>
        <x:v>0</x:v>
      </x:c>
      <x:c r="BW228">
        <x:f>MAX(0,MIN(BK228,IF(AND(H228=1,C228="重要关系7",LEFT('幕间与结算'!H135,8)="建立新的重要关系"),'幕间与结算'!E135+E228,BW227+IF(C228="重要关系7",E228,0)+IF(AND(C228="魅力",E228&lt;0),E228,0))))</x:f>
        <x:v>0</x:v>
      </x:c>
    </x:row>
    <x:row r="229">
      <x:c r="A229" t="str">
        <x:f>IFERROR(TEXT(VALUE('幕间与结算'!A136),"00"),"")</x:f>
        <x:v>00</x:v>
      </x:c>
      <x:c r="B229">
        <x:f>'幕间与结算'!B136</x:f>
        <x:v>0</x:v>
      </x:c>
      <x:c r="C229">
        <x:f>'幕间与结算'!D136</x:f>
        <x:v>0</x:v>
      </x:c>
      <x:c r="D229">
        <x:f>'幕间与结算'!F136</x:f>
        <x:v>0</x:v>
      </x:c>
      <x:c r="E229">
        <x:f>IF(H229=1,MAX(-'幕间与结算'!E136,MIN(D229,IF(LEFT(C229,3)="技能：",99,IF(COUNTIF($L$2:$L$7,C229)&gt;0,18,999))-'幕间与结算'!E136)),0)</x:f>
        <x:v>0</x:v>
      </x:c>
      <x:c r="F229" t="str">
        <x:f>IF(C229=0,"",IF(G229=0,"记录不完整",IF(H229=0,"重复未计","已计入")))</x:f>
        <x:v/>
      </x:c>
      <x:c r="G229">
        <x:f>IF(AND(AND('幕间与结算'!A136&lt;&gt;"",'幕间与结算'!B136&lt;&gt;"",'幕间与结算'!I136&lt;&gt;"",OR(LEFT(C229,3)="技能：",COUNTIF($L$2:$L$19,C229)&gt;0),ISNUMBER('幕间与结算'!E136),ISNUMBER('幕间与结算'!F136),ISNUMBER('幕间与结算'!G136),'幕间与结算'!E136&gt;=0,'幕间与结算'!G136='幕间与结算'!E136+'幕间与结算'!F136),OR(B229&lt;&gt;"成长",AND(LEFT(C229,3)="技能：",C229&lt;&gt;"技能：非自然知识",'幕间与结算'!E136&gt;=1,'幕间与结算'!E136&lt;=99,'幕间与结算'!F136&gt;=0,'幕间与结算'!F136&lt;=4,'幕间与结算'!G136&lt;=99))),1,0)</x:f>
        <x:v>0</x:v>
      </x:c>
      <x:c r="H229">
        <x:f>IF(AND(G229=1,COUNTIFS($I$200:I229,I229,$G$200:G229,1)=1),1,0)</x:f>
        <x:v>0</x:v>
      </x:c>
      <x:c r="I229" t="str">
        <x:f>IF(G229=1,IF(B229="成长",A229&amp;"-成长-"&amp;C229,'幕间与结算'!I136),"")</x:f>
        <x:v/>
      </x:c>
      <x:c r="BF229">
        <x:f>MAX(0,MIN(18,BF228+IF(C229="力量",E229,0)))</x:f>
        <x:v>0</x:v>
      </x:c>
      <x:c r="BG229">
        <x:f>MAX(0,MIN(18,BG228+IF(C229="体质",E229,0)))</x:f>
        <x:v>0</x:v>
      </x:c>
      <x:c r="BH229">
        <x:f>MAX(0,MIN(18,BH228+IF(C229="敏捷",E229,0)))</x:f>
        <x:v>0</x:v>
      </x:c>
      <x:c r="BI229">
        <x:f>MAX(0,MIN(18,BI228+IF(C229="智力",E229,0)))</x:f>
        <x:v>0</x:v>
      </x:c>
      <x:c r="BJ229">
        <x:f>MAX(0,MIN(18,BJ228+IF(C229="意志",E229,0)))</x:f>
        <x:v>0</x:v>
      </x:c>
      <x:c r="BK229">
        <x:f>MAX(0,MIN(18,BK228+IF(C229="魅力",E229,0)))</x:f>
        <x:v>0</x:v>
      </x:c>
      <x:c r="BL229">
        <x:f>MAX(0,MIN(99,BL228+IF(C229="技能：非自然知识",E229,0)))</x:f>
        <x:v>0</x:v>
      </x:c>
      <x:c r="BM229">
        <x:f>MAX(0,MIN(CEILING((BF229+BG229)/2,1),BM228+IF(C229="体力",E229,0)))</x:f>
        <x:v>0</x:v>
      </x:c>
      <x:c r="BN229">
        <x:f>MAX(0,MIN(BJ229,BN228+IF(C229="毅力",E229,0)))</x:f>
        <x:v>0</x:v>
      </x:c>
      <x:c r="BO229">
        <x:f>MAX(0,MIN(99-BL229,BO228+IF(C229="理智",E229,0)))</x:f>
        <x:v>0</x:v>
      </x:c>
      <x:c r="BP229">
        <x:f>MAX(0,MIN(99,BP228+IF(C229="崩溃点",E229,0)))</x:f>
        <x:v>0</x:v>
      </x:c>
      <x:c r="BQ229">
        <x:f>MAX(0,MIN(BK229,IF(AND(H229=1,C229="重要关系1",LEFT('幕间与结算'!H136,8)="建立新的重要关系"),'幕间与结算'!E136+E229,BQ228+IF(C229="重要关系1",E229,0)+IF(AND(C229="魅力",E229&lt;0),E229,0))))</x:f>
        <x:v>0</x:v>
      </x:c>
      <x:c r="BR229">
        <x:f>MAX(0,MIN(BK229,IF(AND(H229=1,C229="重要关系2",LEFT('幕间与结算'!H136,8)="建立新的重要关系"),'幕间与结算'!E136+E229,BR228+IF(C229="重要关系2",E229,0)+IF(AND(C229="魅力",E229&lt;0),E229,0))))</x:f>
        <x:v>0</x:v>
      </x:c>
      <x:c r="BS229">
        <x:f>MAX(0,MIN(BK229,IF(AND(H229=1,C229="重要关系3",LEFT('幕间与结算'!H136,8)="建立新的重要关系"),'幕间与结算'!E136+E229,BS228+IF(C229="重要关系3",E229,0)+IF(AND(C229="魅力",E229&lt;0),E229,0))))</x:f>
        <x:v>0</x:v>
      </x:c>
      <x:c r="BT229">
        <x:f>MAX(0,MIN(BK229,IF(AND(H229=1,C229="重要关系4",LEFT('幕间与结算'!H136,8)="建立新的重要关系"),'幕间与结算'!E136+E229,BT228+IF(C229="重要关系4",E229,0)+IF(AND(C229="魅力",E229&lt;0),E229,0))))</x:f>
        <x:v>0</x:v>
      </x:c>
      <x:c r="BU229">
        <x:f>MAX(0,MIN(BK229,IF(AND(H229=1,C229="重要关系5",LEFT('幕间与结算'!H136,8)="建立新的重要关系"),'幕间与结算'!E136+E229,BU228+IF(C229="重要关系5",E229,0)+IF(AND(C229="魅力",E229&lt;0),E229,0))))</x:f>
        <x:v>0</x:v>
      </x:c>
      <x:c r="BV229">
        <x:f>MAX(0,MIN(BK229,IF(AND(H229=1,C229="重要关系6",LEFT('幕间与结算'!H136,8)="建立新的重要关系"),'幕间与结算'!E136+E229,BV228+IF(C229="重要关系6",E229,0)+IF(AND(C229="魅力",E229&lt;0),E229,0))))</x:f>
        <x:v>0</x:v>
      </x:c>
      <x:c r="BW229">
        <x:f>MAX(0,MIN(BK229,IF(AND(H229=1,C229="重要关系7",LEFT('幕间与结算'!H136,8)="建立新的重要关系"),'幕间与结算'!E136+E229,BW228+IF(C229="重要关系7",E229,0)+IF(AND(C229="魅力",E229&lt;0),E229,0))))</x:f>
        <x:v>0</x:v>
      </x:c>
    </x:row>
    <x:row r="230">
      <x:c r="A230" t="str">
        <x:f>IFERROR(TEXT(VALUE('幕间与结算'!A137),"00"),"")</x:f>
        <x:v>00</x:v>
      </x:c>
      <x:c r="B230">
        <x:f>'幕间与结算'!B137</x:f>
        <x:v>0</x:v>
      </x:c>
      <x:c r="C230">
        <x:f>'幕间与结算'!D137</x:f>
        <x:v>0</x:v>
      </x:c>
      <x:c r="D230">
        <x:f>'幕间与结算'!F137</x:f>
        <x:v>0</x:v>
      </x:c>
      <x:c r="E230">
        <x:f>IF(H230=1,MAX(-'幕间与结算'!E137,MIN(D230,IF(LEFT(C230,3)="技能：",99,IF(COUNTIF($L$2:$L$7,C230)&gt;0,18,999))-'幕间与结算'!E137)),0)</x:f>
        <x:v>0</x:v>
      </x:c>
      <x:c r="F230" t="str">
        <x:f>IF(C230=0,"",IF(G230=0,"记录不完整",IF(H230=0,"重复未计","已计入")))</x:f>
        <x:v/>
      </x:c>
      <x:c r="G230">
        <x:f>IF(AND(AND('幕间与结算'!A137&lt;&gt;"",'幕间与结算'!B137&lt;&gt;"",'幕间与结算'!I137&lt;&gt;"",OR(LEFT(C230,3)="技能：",COUNTIF($L$2:$L$19,C230)&gt;0),ISNUMBER('幕间与结算'!E137),ISNUMBER('幕间与结算'!F137),ISNUMBER('幕间与结算'!G137),'幕间与结算'!E137&gt;=0,'幕间与结算'!G137='幕间与结算'!E137+'幕间与结算'!F137),OR(B230&lt;&gt;"成长",AND(LEFT(C230,3)="技能：",C230&lt;&gt;"技能：非自然知识",'幕间与结算'!E137&gt;=1,'幕间与结算'!E137&lt;=99,'幕间与结算'!F137&gt;=0,'幕间与结算'!F137&lt;=4,'幕间与结算'!G137&lt;=99))),1,0)</x:f>
        <x:v>0</x:v>
      </x:c>
      <x:c r="H230">
        <x:f>IF(AND(G230=1,COUNTIFS($I$200:I230,I230,$G$200:G230,1)=1),1,0)</x:f>
        <x:v>0</x:v>
      </x:c>
      <x:c r="I230" t="str">
        <x:f>IF(G230=1,IF(B230="成长",A230&amp;"-成长-"&amp;C230,'幕间与结算'!I137),"")</x:f>
        <x:v/>
      </x:c>
      <x:c r="BF230">
        <x:f>MAX(0,MIN(18,BF229+IF(C230="力量",E230,0)))</x:f>
        <x:v>0</x:v>
      </x:c>
      <x:c r="BG230">
        <x:f>MAX(0,MIN(18,BG229+IF(C230="体质",E230,0)))</x:f>
        <x:v>0</x:v>
      </x:c>
      <x:c r="BH230">
        <x:f>MAX(0,MIN(18,BH229+IF(C230="敏捷",E230,0)))</x:f>
        <x:v>0</x:v>
      </x:c>
      <x:c r="BI230">
        <x:f>MAX(0,MIN(18,BI229+IF(C230="智力",E230,0)))</x:f>
        <x:v>0</x:v>
      </x:c>
      <x:c r="BJ230">
        <x:f>MAX(0,MIN(18,BJ229+IF(C230="意志",E230,0)))</x:f>
        <x:v>0</x:v>
      </x:c>
      <x:c r="BK230">
        <x:f>MAX(0,MIN(18,BK229+IF(C230="魅力",E230,0)))</x:f>
        <x:v>0</x:v>
      </x:c>
      <x:c r="BL230">
        <x:f>MAX(0,MIN(99,BL229+IF(C230="技能：非自然知识",E230,0)))</x:f>
        <x:v>0</x:v>
      </x:c>
      <x:c r="BM230">
        <x:f>MAX(0,MIN(CEILING((BF230+BG230)/2,1),BM229+IF(C230="体力",E230,0)))</x:f>
        <x:v>0</x:v>
      </x:c>
      <x:c r="BN230">
        <x:f>MAX(0,MIN(BJ230,BN229+IF(C230="毅力",E230,0)))</x:f>
        <x:v>0</x:v>
      </x:c>
      <x:c r="BO230">
        <x:f>MAX(0,MIN(99-BL230,BO229+IF(C230="理智",E230,0)))</x:f>
        <x:v>0</x:v>
      </x:c>
      <x:c r="BP230">
        <x:f>MAX(0,MIN(99,BP229+IF(C230="崩溃点",E230,0)))</x:f>
        <x:v>0</x:v>
      </x:c>
      <x:c r="BQ230">
        <x:f>MAX(0,MIN(BK230,IF(AND(H230=1,C230="重要关系1",LEFT('幕间与结算'!H137,8)="建立新的重要关系"),'幕间与结算'!E137+E230,BQ229+IF(C230="重要关系1",E230,0)+IF(AND(C230="魅力",E230&lt;0),E230,0))))</x:f>
        <x:v>0</x:v>
      </x:c>
      <x:c r="BR230">
        <x:f>MAX(0,MIN(BK230,IF(AND(H230=1,C230="重要关系2",LEFT('幕间与结算'!H137,8)="建立新的重要关系"),'幕间与结算'!E137+E230,BR229+IF(C230="重要关系2",E230,0)+IF(AND(C230="魅力",E230&lt;0),E230,0))))</x:f>
        <x:v>0</x:v>
      </x:c>
      <x:c r="BS230">
        <x:f>MAX(0,MIN(BK230,IF(AND(H230=1,C230="重要关系3",LEFT('幕间与结算'!H137,8)="建立新的重要关系"),'幕间与结算'!E137+E230,BS229+IF(C230="重要关系3",E230,0)+IF(AND(C230="魅力",E230&lt;0),E230,0))))</x:f>
        <x:v>0</x:v>
      </x:c>
      <x:c r="BT230">
        <x:f>MAX(0,MIN(BK230,IF(AND(H230=1,C230="重要关系4",LEFT('幕间与结算'!H137,8)="建立新的重要关系"),'幕间与结算'!E137+E230,BT229+IF(C230="重要关系4",E230,0)+IF(AND(C230="魅力",E230&lt;0),E230,0))))</x:f>
        <x:v>0</x:v>
      </x:c>
      <x:c r="BU230">
        <x:f>MAX(0,MIN(BK230,IF(AND(H230=1,C230="重要关系5",LEFT('幕间与结算'!H137,8)="建立新的重要关系"),'幕间与结算'!E137+E230,BU229+IF(C230="重要关系5",E230,0)+IF(AND(C230="魅力",E230&lt;0),E230,0))))</x:f>
        <x:v>0</x:v>
      </x:c>
      <x:c r="BV230">
        <x:f>MAX(0,MIN(BK230,IF(AND(H230=1,C230="重要关系6",LEFT('幕间与结算'!H137,8)="建立新的重要关系"),'幕间与结算'!E137+E230,BV229+IF(C230="重要关系6",E230,0)+IF(AND(C230="魅力",E230&lt;0),E230,0))))</x:f>
        <x:v>0</x:v>
      </x:c>
      <x:c r="BW230">
        <x:f>MAX(0,MIN(BK230,IF(AND(H230=1,C230="重要关系7",LEFT('幕间与结算'!H137,8)="建立新的重要关系"),'幕间与结算'!E137+E230,BW229+IF(C230="重要关系7",E230,0)+IF(AND(C230="魅力",E230&lt;0),E230,0))))</x:f>
        <x:v>0</x:v>
      </x:c>
    </x:row>
    <x:row r="231">
      <x:c r="A231" t="str">
        <x:f>IFERROR(TEXT(VALUE('幕间与结算'!A138),"00"),"")</x:f>
        <x:v>00</x:v>
      </x:c>
      <x:c r="B231">
        <x:f>'幕间与结算'!B138</x:f>
        <x:v>0</x:v>
      </x:c>
      <x:c r="C231">
        <x:f>'幕间与结算'!D138</x:f>
        <x:v>0</x:v>
      </x:c>
      <x:c r="D231">
        <x:f>'幕间与结算'!F138</x:f>
        <x:v>0</x:v>
      </x:c>
      <x:c r="E231">
        <x:f>IF(H231=1,MAX(-'幕间与结算'!E138,MIN(D231,IF(LEFT(C231,3)="技能：",99,IF(COUNTIF($L$2:$L$7,C231)&gt;0,18,999))-'幕间与结算'!E138)),0)</x:f>
        <x:v>0</x:v>
      </x:c>
      <x:c r="F231" t="str">
        <x:f>IF(C231=0,"",IF(G231=0,"记录不完整",IF(H231=0,"重复未计","已计入")))</x:f>
        <x:v/>
      </x:c>
      <x:c r="G231">
        <x:f>IF(AND(AND('幕间与结算'!A138&lt;&gt;"",'幕间与结算'!B138&lt;&gt;"",'幕间与结算'!I138&lt;&gt;"",OR(LEFT(C231,3)="技能：",COUNTIF($L$2:$L$19,C231)&gt;0),ISNUMBER('幕间与结算'!E138),ISNUMBER('幕间与结算'!F138),ISNUMBER('幕间与结算'!G138),'幕间与结算'!E138&gt;=0,'幕间与结算'!G138='幕间与结算'!E138+'幕间与结算'!F138),OR(B231&lt;&gt;"成长",AND(LEFT(C231,3)="技能：",C231&lt;&gt;"技能：非自然知识",'幕间与结算'!E138&gt;=1,'幕间与结算'!E138&lt;=99,'幕间与结算'!F138&gt;=0,'幕间与结算'!F138&lt;=4,'幕间与结算'!G138&lt;=99))),1,0)</x:f>
        <x:v>0</x:v>
      </x:c>
      <x:c r="H231">
        <x:f>IF(AND(G231=1,COUNTIFS($I$200:I231,I231,$G$200:G231,1)=1),1,0)</x:f>
        <x:v>0</x:v>
      </x:c>
      <x:c r="I231" t="str">
        <x:f>IF(G231=1,IF(B231="成长",A231&amp;"-成长-"&amp;C231,'幕间与结算'!I138),"")</x:f>
        <x:v/>
      </x:c>
      <x:c r="BF231">
        <x:f>MAX(0,MIN(18,BF230+IF(C231="力量",E231,0)))</x:f>
        <x:v>0</x:v>
      </x:c>
      <x:c r="BG231">
        <x:f>MAX(0,MIN(18,BG230+IF(C231="体质",E231,0)))</x:f>
        <x:v>0</x:v>
      </x:c>
      <x:c r="BH231">
        <x:f>MAX(0,MIN(18,BH230+IF(C231="敏捷",E231,0)))</x:f>
        <x:v>0</x:v>
      </x:c>
      <x:c r="BI231">
        <x:f>MAX(0,MIN(18,BI230+IF(C231="智力",E231,0)))</x:f>
        <x:v>0</x:v>
      </x:c>
      <x:c r="BJ231">
        <x:f>MAX(0,MIN(18,BJ230+IF(C231="意志",E231,0)))</x:f>
        <x:v>0</x:v>
      </x:c>
      <x:c r="BK231">
        <x:f>MAX(0,MIN(18,BK230+IF(C231="魅力",E231,0)))</x:f>
        <x:v>0</x:v>
      </x:c>
      <x:c r="BL231">
        <x:f>MAX(0,MIN(99,BL230+IF(C231="技能：非自然知识",E231,0)))</x:f>
        <x:v>0</x:v>
      </x:c>
      <x:c r="BM231">
        <x:f>MAX(0,MIN(CEILING((BF231+BG231)/2,1),BM230+IF(C231="体力",E231,0)))</x:f>
        <x:v>0</x:v>
      </x:c>
      <x:c r="BN231">
        <x:f>MAX(0,MIN(BJ231,BN230+IF(C231="毅力",E231,0)))</x:f>
        <x:v>0</x:v>
      </x:c>
      <x:c r="BO231">
        <x:f>MAX(0,MIN(99-BL231,BO230+IF(C231="理智",E231,0)))</x:f>
        <x:v>0</x:v>
      </x:c>
      <x:c r="BP231">
        <x:f>MAX(0,MIN(99,BP230+IF(C231="崩溃点",E231,0)))</x:f>
        <x:v>0</x:v>
      </x:c>
      <x:c r="BQ231">
        <x:f>MAX(0,MIN(BK231,IF(AND(H231=1,C231="重要关系1",LEFT('幕间与结算'!H138,8)="建立新的重要关系"),'幕间与结算'!E138+E231,BQ230+IF(C231="重要关系1",E231,0)+IF(AND(C231="魅力",E231&lt;0),E231,0))))</x:f>
        <x:v>0</x:v>
      </x:c>
      <x:c r="BR231">
        <x:f>MAX(0,MIN(BK231,IF(AND(H231=1,C231="重要关系2",LEFT('幕间与结算'!H138,8)="建立新的重要关系"),'幕间与结算'!E138+E231,BR230+IF(C231="重要关系2",E231,0)+IF(AND(C231="魅力",E231&lt;0),E231,0))))</x:f>
        <x:v>0</x:v>
      </x:c>
      <x:c r="BS231">
        <x:f>MAX(0,MIN(BK231,IF(AND(H231=1,C231="重要关系3",LEFT('幕间与结算'!H138,8)="建立新的重要关系"),'幕间与结算'!E138+E231,BS230+IF(C231="重要关系3",E231,0)+IF(AND(C231="魅力",E231&lt;0),E231,0))))</x:f>
        <x:v>0</x:v>
      </x:c>
      <x:c r="BT231">
        <x:f>MAX(0,MIN(BK231,IF(AND(H231=1,C231="重要关系4",LEFT('幕间与结算'!H138,8)="建立新的重要关系"),'幕间与结算'!E138+E231,BT230+IF(C231="重要关系4",E231,0)+IF(AND(C231="魅力",E231&lt;0),E231,0))))</x:f>
        <x:v>0</x:v>
      </x:c>
      <x:c r="BU231">
        <x:f>MAX(0,MIN(BK231,IF(AND(H231=1,C231="重要关系5",LEFT('幕间与结算'!H138,8)="建立新的重要关系"),'幕间与结算'!E138+E231,BU230+IF(C231="重要关系5",E231,0)+IF(AND(C231="魅力",E231&lt;0),E231,0))))</x:f>
        <x:v>0</x:v>
      </x:c>
      <x:c r="BV231">
        <x:f>MAX(0,MIN(BK231,IF(AND(H231=1,C231="重要关系6",LEFT('幕间与结算'!H138,8)="建立新的重要关系"),'幕间与结算'!E138+E231,BV230+IF(C231="重要关系6",E231,0)+IF(AND(C231="魅力",E231&lt;0),E231,0))))</x:f>
        <x:v>0</x:v>
      </x:c>
      <x:c r="BW231">
        <x:f>MAX(0,MIN(BK231,IF(AND(H231=1,C231="重要关系7",LEFT('幕间与结算'!H138,8)="建立新的重要关系"),'幕间与结算'!E138+E231,BW230+IF(C231="重要关系7",E231,0)+IF(AND(C231="魅力",E231&lt;0),E231,0))))</x:f>
        <x:v>0</x:v>
      </x:c>
    </x:row>
    <x:row r="232">
      <x:c r="A232" t="str">
        <x:f>IFERROR(TEXT(VALUE('幕间与结算'!A139),"00"),"")</x:f>
        <x:v>00</x:v>
      </x:c>
      <x:c r="B232">
        <x:f>'幕间与结算'!B139</x:f>
        <x:v>0</x:v>
      </x:c>
      <x:c r="C232">
        <x:f>'幕间与结算'!D139</x:f>
        <x:v>0</x:v>
      </x:c>
      <x:c r="D232">
        <x:f>'幕间与结算'!F139</x:f>
        <x:v>0</x:v>
      </x:c>
      <x:c r="E232">
        <x:f>IF(H232=1,MAX(-'幕间与结算'!E139,MIN(D232,IF(LEFT(C232,3)="技能：",99,IF(COUNTIF($L$2:$L$7,C232)&gt;0,18,999))-'幕间与结算'!E139)),0)</x:f>
        <x:v>0</x:v>
      </x:c>
      <x:c r="F232" t="str">
        <x:f>IF(C232=0,"",IF(G232=0,"记录不完整",IF(H232=0,"重复未计","已计入")))</x:f>
        <x:v/>
      </x:c>
      <x:c r="G232">
        <x:f>IF(AND(AND('幕间与结算'!A139&lt;&gt;"",'幕间与结算'!B139&lt;&gt;"",'幕间与结算'!I139&lt;&gt;"",OR(LEFT(C232,3)="技能：",COUNTIF($L$2:$L$19,C232)&gt;0),ISNUMBER('幕间与结算'!E139),ISNUMBER('幕间与结算'!F139),ISNUMBER('幕间与结算'!G139),'幕间与结算'!E139&gt;=0,'幕间与结算'!G139='幕间与结算'!E139+'幕间与结算'!F139),OR(B232&lt;&gt;"成长",AND(LEFT(C232,3)="技能：",C232&lt;&gt;"技能：非自然知识",'幕间与结算'!E139&gt;=1,'幕间与结算'!E139&lt;=99,'幕间与结算'!F139&gt;=0,'幕间与结算'!F139&lt;=4,'幕间与结算'!G139&lt;=99))),1,0)</x:f>
        <x:v>0</x:v>
      </x:c>
      <x:c r="H232">
        <x:f>IF(AND(G232=1,COUNTIFS($I$200:I232,I232,$G$200:G232,1)=1),1,0)</x:f>
        <x:v>0</x:v>
      </x:c>
      <x:c r="I232" t="str">
        <x:f>IF(G232=1,IF(B232="成长",A232&amp;"-成长-"&amp;C232,'幕间与结算'!I139),"")</x:f>
        <x:v/>
      </x:c>
      <x:c r="BF232">
        <x:f>MAX(0,MIN(18,BF231+IF(C232="力量",E232,0)))</x:f>
        <x:v>0</x:v>
      </x:c>
      <x:c r="BG232">
        <x:f>MAX(0,MIN(18,BG231+IF(C232="体质",E232,0)))</x:f>
        <x:v>0</x:v>
      </x:c>
      <x:c r="BH232">
        <x:f>MAX(0,MIN(18,BH231+IF(C232="敏捷",E232,0)))</x:f>
        <x:v>0</x:v>
      </x:c>
      <x:c r="BI232">
        <x:f>MAX(0,MIN(18,BI231+IF(C232="智力",E232,0)))</x:f>
        <x:v>0</x:v>
      </x:c>
      <x:c r="BJ232">
        <x:f>MAX(0,MIN(18,BJ231+IF(C232="意志",E232,0)))</x:f>
        <x:v>0</x:v>
      </x:c>
      <x:c r="BK232">
        <x:f>MAX(0,MIN(18,BK231+IF(C232="魅力",E232,0)))</x:f>
        <x:v>0</x:v>
      </x:c>
      <x:c r="BL232">
        <x:f>MAX(0,MIN(99,BL231+IF(C232="技能：非自然知识",E232,0)))</x:f>
        <x:v>0</x:v>
      </x:c>
      <x:c r="BM232">
        <x:f>MAX(0,MIN(CEILING((BF232+BG232)/2,1),BM231+IF(C232="体力",E232,0)))</x:f>
        <x:v>0</x:v>
      </x:c>
      <x:c r="BN232">
        <x:f>MAX(0,MIN(BJ232,BN231+IF(C232="毅力",E232,0)))</x:f>
        <x:v>0</x:v>
      </x:c>
      <x:c r="BO232">
        <x:f>MAX(0,MIN(99-BL232,BO231+IF(C232="理智",E232,0)))</x:f>
        <x:v>0</x:v>
      </x:c>
      <x:c r="BP232">
        <x:f>MAX(0,MIN(99,BP231+IF(C232="崩溃点",E232,0)))</x:f>
        <x:v>0</x:v>
      </x:c>
      <x:c r="BQ232">
        <x:f>MAX(0,MIN(BK232,IF(AND(H232=1,C232="重要关系1",LEFT('幕间与结算'!H139,8)="建立新的重要关系"),'幕间与结算'!E139+E232,BQ231+IF(C232="重要关系1",E232,0)+IF(AND(C232="魅力",E232&lt;0),E232,0))))</x:f>
        <x:v>0</x:v>
      </x:c>
      <x:c r="BR232">
        <x:f>MAX(0,MIN(BK232,IF(AND(H232=1,C232="重要关系2",LEFT('幕间与结算'!H139,8)="建立新的重要关系"),'幕间与结算'!E139+E232,BR231+IF(C232="重要关系2",E232,0)+IF(AND(C232="魅力",E232&lt;0),E232,0))))</x:f>
        <x:v>0</x:v>
      </x:c>
      <x:c r="BS232">
        <x:f>MAX(0,MIN(BK232,IF(AND(H232=1,C232="重要关系3",LEFT('幕间与结算'!H139,8)="建立新的重要关系"),'幕间与结算'!E139+E232,BS231+IF(C232="重要关系3",E232,0)+IF(AND(C232="魅力",E232&lt;0),E232,0))))</x:f>
        <x:v>0</x:v>
      </x:c>
      <x:c r="BT232">
        <x:f>MAX(0,MIN(BK232,IF(AND(H232=1,C232="重要关系4",LEFT('幕间与结算'!H139,8)="建立新的重要关系"),'幕间与结算'!E139+E232,BT231+IF(C232="重要关系4",E232,0)+IF(AND(C232="魅力",E232&lt;0),E232,0))))</x:f>
        <x:v>0</x:v>
      </x:c>
      <x:c r="BU232">
        <x:f>MAX(0,MIN(BK232,IF(AND(H232=1,C232="重要关系5",LEFT('幕间与结算'!H139,8)="建立新的重要关系"),'幕间与结算'!E139+E232,BU231+IF(C232="重要关系5",E232,0)+IF(AND(C232="魅力",E232&lt;0),E232,0))))</x:f>
        <x:v>0</x:v>
      </x:c>
      <x:c r="BV232">
        <x:f>MAX(0,MIN(BK232,IF(AND(H232=1,C232="重要关系6",LEFT('幕间与结算'!H139,8)="建立新的重要关系"),'幕间与结算'!E139+E232,BV231+IF(C232="重要关系6",E232,0)+IF(AND(C232="魅力",E232&lt;0),E232,0))))</x:f>
        <x:v>0</x:v>
      </x:c>
      <x:c r="BW232">
        <x:f>MAX(0,MIN(BK232,IF(AND(H232=1,C232="重要关系7",LEFT('幕间与结算'!H139,8)="建立新的重要关系"),'幕间与结算'!E139+E232,BW231+IF(C232="重要关系7",E232,0)+IF(AND(C232="魅力",E232&lt;0),E232,0))))</x:f>
        <x:v>0</x:v>
      </x:c>
    </x:row>
    <x:row r="233">
      <x:c r="A233" t="str">
        <x:f>IFERROR(TEXT(VALUE('幕间与结算'!A140),"00"),"")</x:f>
        <x:v>00</x:v>
      </x:c>
      <x:c r="B233">
        <x:f>'幕间与结算'!B140</x:f>
        <x:v>0</x:v>
      </x:c>
      <x:c r="C233">
        <x:f>'幕间与结算'!D140</x:f>
        <x:v>0</x:v>
      </x:c>
      <x:c r="D233">
        <x:f>'幕间与结算'!F140</x:f>
        <x:v>0</x:v>
      </x:c>
      <x:c r="E233">
        <x:f>IF(H233=1,MAX(-'幕间与结算'!E140,MIN(D233,IF(LEFT(C233,3)="技能：",99,IF(COUNTIF($L$2:$L$7,C233)&gt;0,18,999))-'幕间与结算'!E140)),0)</x:f>
        <x:v>0</x:v>
      </x:c>
      <x:c r="F233" t="str">
        <x:f>IF(C233=0,"",IF(G233=0,"记录不完整",IF(H233=0,"重复未计","已计入")))</x:f>
        <x:v/>
      </x:c>
      <x:c r="G233">
        <x:f>IF(AND(AND('幕间与结算'!A140&lt;&gt;"",'幕间与结算'!B140&lt;&gt;"",'幕间与结算'!I140&lt;&gt;"",OR(LEFT(C233,3)="技能：",COUNTIF($L$2:$L$19,C233)&gt;0),ISNUMBER('幕间与结算'!E140),ISNUMBER('幕间与结算'!F140),ISNUMBER('幕间与结算'!G140),'幕间与结算'!E140&gt;=0,'幕间与结算'!G140='幕间与结算'!E140+'幕间与结算'!F140),OR(B233&lt;&gt;"成长",AND(LEFT(C233,3)="技能：",C233&lt;&gt;"技能：非自然知识",'幕间与结算'!E140&gt;=1,'幕间与结算'!E140&lt;=99,'幕间与结算'!F140&gt;=0,'幕间与结算'!F140&lt;=4,'幕间与结算'!G140&lt;=99))),1,0)</x:f>
        <x:v>0</x:v>
      </x:c>
      <x:c r="H233">
        <x:f>IF(AND(G233=1,COUNTIFS($I$200:I233,I233,$G$200:G233,1)=1),1,0)</x:f>
        <x:v>0</x:v>
      </x:c>
      <x:c r="I233" t="str">
        <x:f>IF(G233=1,IF(B233="成长",A233&amp;"-成长-"&amp;C233,'幕间与结算'!I140),"")</x:f>
        <x:v/>
      </x:c>
      <x:c r="BF233">
        <x:f>MAX(0,MIN(18,BF232+IF(C233="力量",E233,0)))</x:f>
        <x:v>0</x:v>
      </x:c>
      <x:c r="BG233">
        <x:f>MAX(0,MIN(18,BG232+IF(C233="体质",E233,0)))</x:f>
        <x:v>0</x:v>
      </x:c>
      <x:c r="BH233">
        <x:f>MAX(0,MIN(18,BH232+IF(C233="敏捷",E233,0)))</x:f>
        <x:v>0</x:v>
      </x:c>
      <x:c r="BI233">
        <x:f>MAX(0,MIN(18,BI232+IF(C233="智力",E233,0)))</x:f>
        <x:v>0</x:v>
      </x:c>
      <x:c r="BJ233">
        <x:f>MAX(0,MIN(18,BJ232+IF(C233="意志",E233,0)))</x:f>
        <x:v>0</x:v>
      </x:c>
      <x:c r="BK233">
        <x:f>MAX(0,MIN(18,BK232+IF(C233="魅力",E233,0)))</x:f>
        <x:v>0</x:v>
      </x:c>
      <x:c r="BL233">
        <x:f>MAX(0,MIN(99,BL232+IF(C233="技能：非自然知识",E233,0)))</x:f>
        <x:v>0</x:v>
      </x:c>
      <x:c r="BM233">
        <x:f>MAX(0,MIN(CEILING((BF233+BG233)/2,1),BM232+IF(C233="体力",E233,0)))</x:f>
        <x:v>0</x:v>
      </x:c>
      <x:c r="BN233">
        <x:f>MAX(0,MIN(BJ233,BN232+IF(C233="毅力",E233,0)))</x:f>
        <x:v>0</x:v>
      </x:c>
      <x:c r="BO233">
        <x:f>MAX(0,MIN(99-BL233,BO232+IF(C233="理智",E233,0)))</x:f>
        <x:v>0</x:v>
      </x:c>
      <x:c r="BP233">
        <x:f>MAX(0,MIN(99,BP232+IF(C233="崩溃点",E233,0)))</x:f>
        <x:v>0</x:v>
      </x:c>
      <x:c r="BQ233">
        <x:f>MAX(0,MIN(BK233,IF(AND(H233=1,C233="重要关系1",LEFT('幕间与结算'!H140,8)="建立新的重要关系"),'幕间与结算'!E140+E233,BQ232+IF(C233="重要关系1",E233,0)+IF(AND(C233="魅力",E233&lt;0),E233,0))))</x:f>
        <x:v>0</x:v>
      </x:c>
      <x:c r="BR233">
        <x:f>MAX(0,MIN(BK233,IF(AND(H233=1,C233="重要关系2",LEFT('幕间与结算'!H140,8)="建立新的重要关系"),'幕间与结算'!E140+E233,BR232+IF(C233="重要关系2",E233,0)+IF(AND(C233="魅力",E233&lt;0),E233,0))))</x:f>
        <x:v>0</x:v>
      </x:c>
      <x:c r="BS233">
        <x:f>MAX(0,MIN(BK233,IF(AND(H233=1,C233="重要关系3",LEFT('幕间与结算'!H140,8)="建立新的重要关系"),'幕间与结算'!E140+E233,BS232+IF(C233="重要关系3",E233,0)+IF(AND(C233="魅力",E233&lt;0),E233,0))))</x:f>
        <x:v>0</x:v>
      </x:c>
      <x:c r="BT233">
        <x:f>MAX(0,MIN(BK233,IF(AND(H233=1,C233="重要关系4",LEFT('幕间与结算'!H140,8)="建立新的重要关系"),'幕间与结算'!E140+E233,BT232+IF(C233="重要关系4",E233,0)+IF(AND(C233="魅力",E233&lt;0),E233,0))))</x:f>
        <x:v>0</x:v>
      </x:c>
      <x:c r="BU233">
        <x:f>MAX(0,MIN(BK233,IF(AND(H233=1,C233="重要关系5",LEFT('幕间与结算'!H140,8)="建立新的重要关系"),'幕间与结算'!E140+E233,BU232+IF(C233="重要关系5",E233,0)+IF(AND(C233="魅力",E233&lt;0),E233,0))))</x:f>
        <x:v>0</x:v>
      </x:c>
      <x:c r="BV233">
        <x:f>MAX(0,MIN(BK233,IF(AND(H233=1,C233="重要关系6",LEFT('幕间与结算'!H140,8)="建立新的重要关系"),'幕间与结算'!E140+E233,BV232+IF(C233="重要关系6",E233,0)+IF(AND(C233="魅力",E233&lt;0),E233,0))))</x:f>
        <x:v>0</x:v>
      </x:c>
      <x:c r="BW233">
        <x:f>MAX(0,MIN(BK233,IF(AND(H233=1,C233="重要关系7",LEFT('幕间与结算'!H140,8)="建立新的重要关系"),'幕间与结算'!E140+E233,BW232+IF(C233="重要关系7",E233,0)+IF(AND(C233="魅力",E233&lt;0),E233,0))))</x:f>
        <x:v>0</x:v>
      </x:c>
    </x:row>
    <x:row r="234">
      <x:c r="A234" t="str">
        <x:f>IFERROR(TEXT(VALUE('幕间与结算'!A141),"00"),"")</x:f>
        <x:v>00</x:v>
      </x:c>
      <x:c r="B234">
        <x:f>'幕间与结算'!B141</x:f>
        <x:v>0</x:v>
      </x:c>
      <x:c r="C234">
        <x:f>'幕间与结算'!D141</x:f>
        <x:v>0</x:v>
      </x:c>
      <x:c r="D234">
        <x:f>'幕间与结算'!F141</x:f>
        <x:v>0</x:v>
      </x:c>
      <x:c r="E234">
        <x:f>IF(H234=1,MAX(-'幕间与结算'!E141,MIN(D234,IF(LEFT(C234,3)="技能：",99,IF(COUNTIF($L$2:$L$7,C234)&gt;0,18,999))-'幕间与结算'!E141)),0)</x:f>
        <x:v>0</x:v>
      </x:c>
      <x:c r="F234" t="str">
        <x:f>IF(C234=0,"",IF(G234=0,"记录不完整",IF(H234=0,"重复未计","已计入")))</x:f>
        <x:v/>
      </x:c>
      <x:c r="G234">
        <x:f>IF(AND(AND('幕间与结算'!A141&lt;&gt;"",'幕间与结算'!B141&lt;&gt;"",'幕间与结算'!I141&lt;&gt;"",OR(LEFT(C234,3)="技能：",COUNTIF($L$2:$L$19,C234)&gt;0),ISNUMBER('幕间与结算'!E141),ISNUMBER('幕间与结算'!F141),ISNUMBER('幕间与结算'!G141),'幕间与结算'!E141&gt;=0,'幕间与结算'!G141='幕间与结算'!E141+'幕间与结算'!F141),OR(B234&lt;&gt;"成长",AND(LEFT(C234,3)="技能：",C234&lt;&gt;"技能：非自然知识",'幕间与结算'!E141&gt;=1,'幕间与结算'!E141&lt;=99,'幕间与结算'!F141&gt;=0,'幕间与结算'!F141&lt;=4,'幕间与结算'!G141&lt;=99))),1,0)</x:f>
        <x:v>0</x:v>
      </x:c>
      <x:c r="H234">
        <x:f>IF(AND(G234=1,COUNTIFS($I$200:I234,I234,$G$200:G234,1)=1),1,0)</x:f>
        <x:v>0</x:v>
      </x:c>
      <x:c r="I234" t="str">
        <x:f>IF(G234=1,IF(B234="成长",A234&amp;"-成长-"&amp;C234,'幕间与结算'!I141),"")</x:f>
        <x:v/>
      </x:c>
      <x:c r="BF234">
        <x:f>MAX(0,MIN(18,BF233+IF(C234="力量",E234,0)))</x:f>
        <x:v>0</x:v>
      </x:c>
      <x:c r="BG234">
        <x:f>MAX(0,MIN(18,BG233+IF(C234="体质",E234,0)))</x:f>
        <x:v>0</x:v>
      </x:c>
      <x:c r="BH234">
        <x:f>MAX(0,MIN(18,BH233+IF(C234="敏捷",E234,0)))</x:f>
        <x:v>0</x:v>
      </x:c>
      <x:c r="BI234">
        <x:f>MAX(0,MIN(18,BI233+IF(C234="智力",E234,0)))</x:f>
        <x:v>0</x:v>
      </x:c>
      <x:c r="BJ234">
        <x:f>MAX(0,MIN(18,BJ233+IF(C234="意志",E234,0)))</x:f>
        <x:v>0</x:v>
      </x:c>
      <x:c r="BK234">
        <x:f>MAX(0,MIN(18,BK233+IF(C234="魅力",E234,0)))</x:f>
        <x:v>0</x:v>
      </x:c>
      <x:c r="BL234">
        <x:f>MAX(0,MIN(99,BL233+IF(C234="技能：非自然知识",E234,0)))</x:f>
        <x:v>0</x:v>
      </x:c>
      <x:c r="BM234">
        <x:f>MAX(0,MIN(CEILING((BF234+BG234)/2,1),BM233+IF(C234="体力",E234,0)))</x:f>
        <x:v>0</x:v>
      </x:c>
      <x:c r="BN234">
        <x:f>MAX(0,MIN(BJ234,BN233+IF(C234="毅力",E234,0)))</x:f>
        <x:v>0</x:v>
      </x:c>
      <x:c r="BO234">
        <x:f>MAX(0,MIN(99-BL234,BO233+IF(C234="理智",E234,0)))</x:f>
        <x:v>0</x:v>
      </x:c>
      <x:c r="BP234">
        <x:f>MAX(0,MIN(99,BP233+IF(C234="崩溃点",E234,0)))</x:f>
        <x:v>0</x:v>
      </x:c>
      <x:c r="BQ234">
        <x:f>MAX(0,MIN(BK234,IF(AND(H234=1,C234="重要关系1",LEFT('幕间与结算'!H141,8)="建立新的重要关系"),'幕间与结算'!E141+E234,BQ233+IF(C234="重要关系1",E234,0)+IF(AND(C234="魅力",E234&lt;0),E234,0))))</x:f>
        <x:v>0</x:v>
      </x:c>
      <x:c r="BR234">
        <x:f>MAX(0,MIN(BK234,IF(AND(H234=1,C234="重要关系2",LEFT('幕间与结算'!H141,8)="建立新的重要关系"),'幕间与结算'!E141+E234,BR233+IF(C234="重要关系2",E234,0)+IF(AND(C234="魅力",E234&lt;0),E234,0))))</x:f>
        <x:v>0</x:v>
      </x:c>
      <x:c r="BS234">
        <x:f>MAX(0,MIN(BK234,IF(AND(H234=1,C234="重要关系3",LEFT('幕间与结算'!H141,8)="建立新的重要关系"),'幕间与结算'!E141+E234,BS233+IF(C234="重要关系3",E234,0)+IF(AND(C234="魅力",E234&lt;0),E234,0))))</x:f>
        <x:v>0</x:v>
      </x:c>
      <x:c r="BT234">
        <x:f>MAX(0,MIN(BK234,IF(AND(H234=1,C234="重要关系4",LEFT('幕间与结算'!H141,8)="建立新的重要关系"),'幕间与结算'!E141+E234,BT233+IF(C234="重要关系4",E234,0)+IF(AND(C234="魅力",E234&lt;0),E234,0))))</x:f>
        <x:v>0</x:v>
      </x:c>
      <x:c r="BU234">
        <x:f>MAX(0,MIN(BK234,IF(AND(H234=1,C234="重要关系5",LEFT('幕间与结算'!H141,8)="建立新的重要关系"),'幕间与结算'!E141+E234,BU233+IF(C234="重要关系5",E234,0)+IF(AND(C234="魅力",E234&lt;0),E234,0))))</x:f>
        <x:v>0</x:v>
      </x:c>
      <x:c r="BV234">
        <x:f>MAX(0,MIN(BK234,IF(AND(H234=1,C234="重要关系6",LEFT('幕间与结算'!H141,8)="建立新的重要关系"),'幕间与结算'!E141+E234,BV233+IF(C234="重要关系6",E234,0)+IF(AND(C234="魅力",E234&lt;0),E234,0))))</x:f>
        <x:v>0</x:v>
      </x:c>
      <x:c r="BW234">
        <x:f>MAX(0,MIN(BK234,IF(AND(H234=1,C234="重要关系7",LEFT('幕间与结算'!H141,8)="建立新的重要关系"),'幕间与结算'!E141+E234,BW233+IF(C234="重要关系7",E234,0)+IF(AND(C234="魅力",E234&lt;0),E234,0))))</x:f>
        <x:v>0</x:v>
      </x:c>
    </x:row>
    <x:row r="235">
      <x:c r="A235" t="str">
        <x:f>IFERROR(TEXT(VALUE('幕间与结算'!A142),"00"),"")</x:f>
        <x:v>00</x:v>
      </x:c>
      <x:c r="B235">
        <x:f>'幕间与结算'!B142</x:f>
        <x:v>0</x:v>
      </x:c>
      <x:c r="C235">
        <x:f>'幕间与结算'!D142</x:f>
        <x:v>0</x:v>
      </x:c>
      <x:c r="D235">
        <x:f>'幕间与结算'!F142</x:f>
        <x:v>0</x:v>
      </x:c>
      <x:c r="E235">
        <x:f>IF(H235=1,MAX(-'幕间与结算'!E142,MIN(D235,IF(LEFT(C235,3)="技能：",99,IF(COUNTIF($L$2:$L$7,C235)&gt;0,18,999))-'幕间与结算'!E142)),0)</x:f>
        <x:v>0</x:v>
      </x:c>
      <x:c r="F235" t="str">
        <x:f>IF(C235=0,"",IF(G235=0,"记录不完整",IF(H235=0,"重复未计","已计入")))</x:f>
        <x:v/>
      </x:c>
      <x:c r="G235">
        <x:f>IF(AND(AND('幕间与结算'!A142&lt;&gt;"",'幕间与结算'!B142&lt;&gt;"",'幕间与结算'!I142&lt;&gt;"",OR(LEFT(C235,3)="技能：",COUNTIF($L$2:$L$19,C235)&gt;0),ISNUMBER('幕间与结算'!E142),ISNUMBER('幕间与结算'!F142),ISNUMBER('幕间与结算'!G142),'幕间与结算'!E142&gt;=0,'幕间与结算'!G142='幕间与结算'!E142+'幕间与结算'!F142),OR(B235&lt;&gt;"成长",AND(LEFT(C235,3)="技能：",C235&lt;&gt;"技能：非自然知识",'幕间与结算'!E142&gt;=1,'幕间与结算'!E142&lt;=99,'幕间与结算'!F142&gt;=0,'幕间与结算'!F142&lt;=4,'幕间与结算'!G142&lt;=99))),1,0)</x:f>
        <x:v>0</x:v>
      </x:c>
      <x:c r="H235">
        <x:f>IF(AND(G235=1,COUNTIFS($I$200:I235,I235,$G$200:G235,1)=1),1,0)</x:f>
        <x:v>0</x:v>
      </x:c>
      <x:c r="I235" t="str">
        <x:f>IF(G235=1,IF(B235="成长",A235&amp;"-成长-"&amp;C235,'幕间与结算'!I142),"")</x:f>
        <x:v/>
      </x:c>
      <x:c r="BF235">
        <x:f>MAX(0,MIN(18,BF234+IF(C235="力量",E235,0)))</x:f>
        <x:v>0</x:v>
      </x:c>
      <x:c r="BG235">
        <x:f>MAX(0,MIN(18,BG234+IF(C235="体质",E235,0)))</x:f>
        <x:v>0</x:v>
      </x:c>
      <x:c r="BH235">
        <x:f>MAX(0,MIN(18,BH234+IF(C235="敏捷",E235,0)))</x:f>
        <x:v>0</x:v>
      </x:c>
      <x:c r="BI235">
        <x:f>MAX(0,MIN(18,BI234+IF(C235="智力",E235,0)))</x:f>
        <x:v>0</x:v>
      </x:c>
      <x:c r="BJ235">
        <x:f>MAX(0,MIN(18,BJ234+IF(C235="意志",E235,0)))</x:f>
        <x:v>0</x:v>
      </x:c>
      <x:c r="BK235">
        <x:f>MAX(0,MIN(18,BK234+IF(C235="魅力",E235,0)))</x:f>
        <x:v>0</x:v>
      </x:c>
      <x:c r="BL235">
        <x:f>MAX(0,MIN(99,BL234+IF(C235="技能：非自然知识",E235,0)))</x:f>
        <x:v>0</x:v>
      </x:c>
      <x:c r="BM235">
        <x:f>MAX(0,MIN(CEILING((BF235+BG235)/2,1),BM234+IF(C235="体力",E235,0)))</x:f>
        <x:v>0</x:v>
      </x:c>
      <x:c r="BN235">
        <x:f>MAX(0,MIN(BJ235,BN234+IF(C235="毅力",E235,0)))</x:f>
        <x:v>0</x:v>
      </x:c>
      <x:c r="BO235">
        <x:f>MAX(0,MIN(99-BL235,BO234+IF(C235="理智",E235,0)))</x:f>
        <x:v>0</x:v>
      </x:c>
      <x:c r="BP235">
        <x:f>MAX(0,MIN(99,BP234+IF(C235="崩溃点",E235,0)))</x:f>
        <x:v>0</x:v>
      </x:c>
      <x:c r="BQ235">
        <x:f>MAX(0,MIN(BK235,IF(AND(H235=1,C235="重要关系1",LEFT('幕间与结算'!H142,8)="建立新的重要关系"),'幕间与结算'!E142+E235,BQ234+IF(C235="重要关系1",E235,0)+IF(AND(C235="魅力",E235&lt;0),E235,0))))</x:f>
        <x:v>0</x:v>
      </x:c>
      <x:c r="BR235">
        <x:f>MAX(0,MIN(BK235,IF(AND(H235=1,C235="重要关系2",LEFT('幕间与结算'!H142,8)="建立新的重要关系"),'幕间与结算'!E142+E235,BR234+IF(C235="重要关系2",E235,0)+IF(AND(C235="魅力",E235&lt;0),E235,0))))</x:f>
        <x:v>0</x:v>
      </x:c>
      <x:c r="BS235">
        <x:f>MAX(0,MIN(BK235,IF(AND(H235=1,C235="重要关系3",LEFT('幕间与结算'!H142,8)="建立新的重要关系"),'幕间与结算'!E142+E235,BS234+IF(C235="重要关系3",E235,0)+IF(AND(C235="魅力",E235&lt;0),E235,0))))</x:f>
        <x:v>0</x:v>
      </x:c>
      <x:c r="BT235">
        <x:f>MAX(0,MIN(BK235,IF(AND(H235=1,C235="重要关系4",LEFT('幕间与结算'!H142,8)="建立新的重要关系"),'幕间与结算'!E142+E235,BT234+IF(C235="重要关系4",E235,0)+IF(AND(C235="魅力",E235&lt;0),E235,0))))</x:f>
        <x:v>0</x:v>
      </x:c>
      <x:c r="BU235">
        <x:f>MAX(0,MIN(BK235,IF(AND(H235=1,C235="重要关系5",LEFT('幕间与结算'!H142,8)="建立新的重要关系"),'幕间与结算'!E142+E235,BU234+IF(C235="重要关系5",E235,0)+IF(AND(C235="魅力",E235&lt;0),E235,0))))</x:f>
        <x:v>0</x:v>
      </x:c>
      <x:c r="BV235">
        <x:f>MAX(0,MIN(BK235,IF(AND(H235=1,C235="重要关系6",LEFT('幕间与结算'!H142,8)="建立新的重要关系"),'幕间与结算'!E142+E235,BV234+IF(C235="重要关系6",E235,0)+IF(AND(C235="魅力",E235&lt;0),E235,0))))</x:f>
        <x:v>0</x:v>
      </x:c>
      <x:c r="BW235">
        <x:f>MAX(0,MIN(BK235,IF(AND(H235=1,C235="重要关系7",LEFT('幕间与结算'!H142,8)="建立新的重要关系"),'幕间与结算'!E142+E235,BW234+IF(C235="重要关系7",E235,0)+IF(AND(C235="魅力",E235&lt;0),E235,0))))</x:f>
        <x:v>0</x:v>
      </x:c>
    </x:row>
    <x:row r="236">
      <x:c r="A236" t="str">
        <x:f>IFERROR(TEXT(VALUE('幕间与结算'!A143),"00"),"")</x:f>
        <x:v>00</x:v>
      </x:c>
      <x:c r="B236">
        <x:f>'幕间与结算'!B143</x:f>
        <x:v>0</x:v>
      </x:c>
      <x:c r="C236">
        <x:f>'幕间与结算'!D143</x:f>
        <x:v>0</x:v>
      </x:c>
      <x:c r="D236">
        <x:f>'幕间与结算'!F143</x:f>
        <x:v>0</x:v>
      </x:c>
      <x:c r="E236">
        <x:f>IF(H236=1,MAX(-'幕间与结算'!E143,MIN(D236,IF(LEFT(C236,3)="技能：",99,IF(COUNTIF($L$2:$L$7,C236)&gt;0,18,999))-'幕间与结算'!E143)),0)</x:f>
        <x:v>0</x:v>
      </x:c>
      <x:c r="F236" t="str">
        <x:f>IF(C236=0,"",IF(G236=0,"记录不完整",IF(H236=0,"重复未计","已计入")))</x:f>
        <x:v/>
      </x:c>
      <x:c r="G236">
        <x:f>IF(AND(AND('幕间与结算'!A143&lt;&gt;"",'幕间与结算'!B143&lt;&gt;"",'幕间与结算'!I143&lt;&gt;"",OR(LEFT(C236,3)="技能：",COUNTIF($L$2:$L$19,C236)&gt;0),ISNUMBER('幕间与结算'!E143),ISNUMBER('幕间与结算'!F143),ISNUMBER('幕间与结算'!G143),'幕间与结算'!E143&gt;=0,'幕间与结算'!G143='幕间与结算'!E143+'幕间与结算'!F143),OR(B236&lt;&gt;"成长",AND(LEFT(C236,3)="技能：",C236&lt;&gt;"技能：非自然知识",'幕间与结算'!E143&gt;=1,'幕间与结算'!E143&lt;=99,'幕间与结算'!F143&gt;=0,'幕间与结算'!F143&lt;=4,'幕间与结算'!G143&lt;=99))),1,0)</x:f>
        <x:v>0</x:v>
      </x:c>
      <x:c r="H236">
        <x:f>IF(AND(G236=1,COUNTIFS($I$200:I236,I236,$G$200:G236,1)=1),1,0)</x:f>
        <x:v>0</x:v>
      </x:c>
      <x:c r="I236" t="str">
        <x:f>IF(G236=1,IF(B236="成长",A236&amp;"-成长-"&amp;C236,'幕间与结算'!I143),"")</x:f>
        <x:v/>
      </x:c>
      <x:c r="BF236">
        <x:f>MAX(0,MIN(18,BF235+IF(C236="力量",E236,0)))</x:f>
        <x:v>0</x:v>
      </x:c>
      <x:c r="BG236">
        <x:f>MAX(0,MIN(18,BG235+IF(C236="体质",E236,0)))</x:f>
        <x:v>0</x:v>
      </x:c>
      <x:c r="BH236">
        <x:f>MAX(0,MIN(18,BH235+IF(C236="敏捷",E236,0)))</x:f>
        <x:v>0</x:v>
      </x:c>
      <x:c r="BI236">
        <x:f>MAX(0,MIN(18,BI235+IF(C236="智力",E236,0)))</x:f>
        <x:v>0</x:v>
      </x:c>
      <x:c r="BJ236">
        <x:f>MAX(0,MIN(18,BJ235+IF(C236="意志",E236,0)))</x:f>
        <x:v>0</x:v>
      </x:c>
      <x:c r="BK236">
        <x:f>MAX(0,MIN(18,BK235+IF(C236="魅力",E236,0)))</x:f>
        <x:v>0</x:v>
      </x:c>
      <x:c r="BL236">
        <x:f>MAX(0,MIN(99,BL235+IF(C236="技能：非自然知识",E236,0)))</x:f>
        <x:v>0</x:v>
      </x:c>
      <x:c r="BM236">
        <x:f>MAX(0,MIN(CEILING((BF236+BG236)/2,1),BM235+IF(C236="体力",E236,0)))</x:f>
        <x:v>0</x:v>
      </x:c>
      <x:c r="BN236">
        <x:f>MAX(0,MIN(BJ236,BN235+IF(C236="毅力",E236,0)))</x:f>
        <x:v>0</x:v>
      </x:c>
      <x:c r="BO236">
        <x:f>MAX(0,MIN(99-BL236,BO235+IF(C236="理智",E236,0)))</x:f>
        <x:v>0</x:v>
      </x:c>
      <x:c r="BP236">
        <x:f>MAX(0,MIN(99,BP235+IF(C236="崩溃点",E236,0)))</x:f>
        <x:v>0</x:v>
      </x:c>
      <x:c r="BQ236">
        <x:f>MAX(0,MIN(BK236,IF(AND(H236=1,C236="重要关系1",LEFT('幕间与结算'!H143,8)="建立新的重要关系"),'幕间与结算'!E143+E236,BQ235+IF(C236="重要关系1",E236,0)+IF(AND(C236="魅力",E236&lt;0),E236,0))))</x:f>
        <x:v>0</x:v>
      </x:c>
      <x:c r="BR236">
        <x:f>MAX(0,MIN(BK236,IF(AND(H236=1,C236="重要关系2",LEFT('幕间与结算'!H143,8)="建立新的重要关系"),'幕间与结算'!E143+E236,BR235+IF(C236="重要关系2",E236,0)+IF(AND(C236="魅力",E236&lt;0),E236,0))))</x:f>
        <x:v>0</x:v>
      </x:c>
      <x:c r="BS236">
        <x:f>MAX(0,MIN(BK236,IF(AND(H236=1,C236="重要关系3",LEFT('幕间与结算'!H143,8)="建立新的重要关系"),'幕间与结算'!E143+E236,BS235+IF(C236="重要关系3",E236,0)+IF(AND(C236="魅力",E236&lt;0),E236,0))))</x:f>
        <x:v>0</x:v>
      </x:c>
      <x:c r="BT236">
        <x:f>MAX(0,MIN(BK236,IF(AND(H236=1,C236="重要关系4",LEFT('幕间与结算'!H143,8)="建立新的重要关系"),'幕间与结算'!E143+E236,BT235+IF(C236="重要关系4",E236,0)+IF(AND(C236="魅力",E236&lt;0),E236,0))))</x:f>
        <x:v>0</x:v>
      </x:c>
      <x:c r="BU236">
        <x:f>MAX(0,MIN(BK236,IF(AND(H236=1,C236="重要关系5",LEFT('幕间与结算'!H143,8)="建立新的重要关系"),'幕间与结算'!E143+E236,BU235+IF(C236="重要关系5",E236,0)+IF(AND(C236="魅力",E236&lt;0),E236,0))))</x:f>
        <x:v>0</x:v>
      </x:c>
      <x:c r="BV236">
        <x:f>MAX(0,MIN(BK236,IF(AND(H236=1,C236="重要关系6",LEFT('幕间与结算'!H143,8)="建立新的重要关系"),'幕间与结算'!E143+E236,BV235+IF(C236="重要关系6",E236,0)+IF(AND(C236="魅力",E236&lt;0),E236,0))))</x:f>
        <x:v>0</x:v>
      </x:c>
      <x:c r="BW236">
        <x:f>MAX(0,MIN(BK236,IF(AND(H236=1,C236="重要关系7",LEFT('幕间与结算'!H143,8)="建立新的重要关系"),'幕间与结算'!E143+E236,BW235+IF(C236="重要关系7",E236,0)+IF(AND(C236="魅力",E236&lt;0),E236,0))))</x:f>
        <x:v>0</x:v>
      </x:c>
    </x:row>
    <x:row r="237">
      <x:c r="A237" t="str">
        <x:f>IFERROR(TEXT(VALUE('幕间与结算'!A144),"00"),"")</x:f>
        <x:v>00</x:v>
      </x:c>
      <x:c r="B237">
        <x:f>'幕间与结算'!B144</x:f>
        <x:v>0</x:v>
      </x:c>
      <x:c r="C237">
        <x:f>'幕间与结算'!D144</x:f>
        <x:v>0</x:v>
      </x:c>
      <x:c r="D237">
        <x:f>'幕间与结算'!F144</x:f>
        <x:v>0</x:v>
      </x:c>
      <x:c r="E237">
        <x:f>IF(H237=1,MAX(-'幕间与结算'!E144,MIN(D237,IF(LEFT(C237,3)="技能：",99,IF(COUNTIF($L$2:$L$7,C237)&gt;0,18,999))-'幕间与结算'!E144)),0)</x:f>
        <x:v>0</x:v>
      </x:c>
      <x:c r="F237" t="str">
        <x:f>IF(C237=0,"",IF(G237=0,"记录不完整",IF(H237=0,"重复未计","已计入")))</x:f>
        <x:v/>
      </x:c>
      <x:c r="G237">
        <x:f>IF(AND(AND('幕间与结算'!A144&lt;&gt;"",'幕间与结算'!B144&lt;&gt;"",'幕间与结算'!I144&lt;&gt;"",OR(LEFT(C237,3)="技能：",COUNTIF($L$2:$L$19,C237)&gt;0),ISNUMBER('幕间与结算'!E144),ISNUMBER('幕间与结算'!F144),ISNUMBER('幕间与结算'!G144),'幕间与结算'!E144&gt;=0,'幕间与结算'!G144='幕间与结算'!E144+'幕间与结算'!F144),OR(B237&lt;&gt;"成长",AND(LEFT(C237,3)="技能：",C237&lt;&gt;"技能：非自然知识",'幕间与结算'!E144&gt;=1,'幕间与结算'!E144&lt;=99,'幕间与结算'!F144&gt;=0,'幕间与结算'!F144&lt;=4,'幕间与结算'!G144&lt;=99))),1,0)</x:f>
        <x:v>0</x:v>
      </x:c>
      <x:c r="H237">
        <x:f>IF(AND(G237=1,COUNTIFS($I$200:I237,I237,$G$200:G237,1)=1),1,0)</x:f>
        <x:v>0</x:v>
      </x:c>
      <x:c r="I237" t="str">
        <x:f>IF(G237=1,IF(B237="成长",A237&amp;"-成长-"&amp;C237,'幕间与结算'!I144),"")</x:f>
        <x:v/>
      </x:c>
      <x:c r="BF237">
        <x:f>MAX(0,MIN(18,BF236+IF(C237="力量",E237,0)))</x:f>
        <x:v>0</x:v>
      </x:c>
      <x:c r="BG237">
        <x:f>MAX(0,MIN(18,BG236+IF(C237="体质",E237,0)))</x:f>
        <x:v>0</x:v>
      </x:c>
      <x:c r="BH237">
        <x:f>MAX(0,MIN(18,BH236+IF(C237="敏捷",E237,0)))</x:f>
        <x:v>0</x:v>
      </x:c>
      <x:c r="BI237">
        <x:f>MAX(0,MIN(18,BI236+IF(C237="智力",E237,0)))</x:f>
        <x:v>0</x:v>
      </x:c>
      <x:c r="BJ237">
        <x:f>MAX(0,MIN(18,BJ236+IF(C237="意志",E237,0)))</x:f>
        <x:v>0</x:v>
      </x:c>
      <x:c r="BK237">
        <x:f>MAX(0,MIN(18,BK236+IF(C237="魅力",E237,0)))</x:f>
        <x:v>0</x:v>
      </x:c>
      <x:c r="BL237">
        <x:f>MAX(0,MIN(99,BL236+IF(C237="技能：非自然知识",E237,0)))</x:f>
        <x:v>0</x:v>
      </x:c>
      <x:c r="BM237">
        <x:f>MAX(0,MIN(CEILING((BF237+BG237)/2,1),BM236+IF(C237="体力",E237,0)))</x:f>
        <x:v>0</x:v>
      </x:c>
      <x:c r="BN237">
        <x:f>MAX(0,MIN(BJ237,BN236+IF(C237="毅力",E237,0)))</x:f>
        <x:v>0</x:v>
      </x:c>
      <x:c r="BO237">
        <x:f>MAX(0,MIN(99-BL237,BO236+IF(C237="理智",E237,0)))</x:f>
        <x:v>0</x:v>
      </x:c>
      <x:c r="BP237">
        <x:f>MAX(0,MIN(99,BP236+IF(C237="崩溃点",E237,0)))</x:f>
        <x:v>0</x:v>
      </x:c>
      <x:c r="BQ237">
        <x:f>MAX(0,MIN(BK237,IF(AND(H237=1,C237="重要关系1",LEFT('幕间与结算'!H144,8)="建立新的重要关系"),'幕间与结算'!E144+E237,BQ236+IF(C237="重要关系1",E237,0)+IF(AND(C237="魅力",E237&lt;0),E237,0))))</x:f>
        <x:v>0</x:v>
      </x:c>
      <x:c r="BR237">
        <x:f>MAX(0,MIN(BK237,IF(AND(H237=1,C237="重要关系2",LEFT('幕间与结算'!H144,8)="建立新的重要关系"),'幕间与结算'!E144+E237,BR236+IF(C237="重要关系2",E237,0)+IF(AND(C237="魅力",E237&lt;0),E237,0))))</x:f>
        <x:v>0</x:v>
      </x:c>
      <x:c r="BS237">
        <x:f>MAX(0,MIN(BK237,IF(AND(H237=1,C237="重要关系3",LEFT('幕间与结算'!H144,8)="建立新的重要关系"),'幕间与结算'!E144+E237,BS236+IF(C237="重要关系3",E237,0)+IF(AND(C237="魅力",E237&lt;0),E237,0))))</x:f>
        <x:v>0</x:v>
      </x:c>
      <x:c r="BT237">
        <x:f>MAX(0,MIN(BK237,IF(AND(H237=1,C237="重要关系4",LEFT('幕间与结算'!H144,8)="建立新的重要关系"),'幕间与结算'!E144+E237,BT236+IF(C237="重要关系4",E237,0)+IF(AND(C237="魅力",E237&lt;0),E237,0))))</x:f>
        <x:v>0</x:v>
      </x:c>
      <x:c r="BU237">
        <x:f>MAX(0,MIN(BK237,IF(AND(H237=1,C237="重要关系5",LEFT('幕间与结算'!H144,8)="建立新的重要关系"),'幕间与结算'!E144+E237,BU236+IF(C237="重要关系5",E237,0)+IF(AND(C237="魅力",E237&lt;0),E237,0))))</x:f>
        <x:v>0</x:v>
      </x:c>
      <x:c r="BV237">
        <x:f>MAX(0,MIN(BK237,IF(AND(H237=1,C237="重要关系6",LEFT('幕间与结算'!H144,8)="建立新的重要关系"),'幕间与结算'!E144+E237,BV236+IF(C237="重要关系6",E237,0)+IF(AND(C237="魅力",E237&lt;0),E237,0))))</x:f>
        <x:v>0</x:v>
      </x:c>
      <x:c r="BW237">
        <x:f>MAX(0,MIN(BK237,IF(AND(H237=1,C237="重要关系7",LEFT('幕间与结算'!H144,8)="建立新的重要关系"),'幕间与结算'!E144+E237,BW236+IF(C237="重要关系7",E237,0)+IF(AND(C237="魅力",E237&lt;0),E237,0))))</x:f>
        <x:v>0</x:v>
      </x:c>
    </x:row>
    <x:row r="238">
      <x:c r="A238" t="str">
        <x:f>IFERROR(TEXT(VALUE('幕间与结算'!A145),"00"),"")</x:f>
        <x:v>00</x:v>
      </x:c>
      <x:c r="B238">
        <x:f>'幕间与结算'!B145</x:f>
        <x:v>0</x:v>
      </x:c>
      <x:c r="C238">
        <x:f>'幕间与结算'!D145</x:f>
        <x:v>0</x:v>
      </x:c>
      <x:c r="D238">
        <x:f>'幕间与结算'!F145</x:f>
        <x:v>0</x:v>
      </x:c>
      <x:c r="E238">
        <x:f>IF(H238=1,MAX(-'幕间与结算'!E145,MIN(D238,IF(LEFT(C238,3)="技能：",99,IF(COUNTIF($L$2:$L$7,C238)&gt;0,18,999))-'幕间与结算'!E145)),0)</x:f>
        <x:v>0</x:v>
      </x:c>
      <x:c r="F238" t="str">
        <x:f>IF(C238=0,"",IF(G238=0,"记录不完整",IF(H238=0,"重复未计","已计入")))</x:f>
        <x:v/>
      </x:c>
      <x:c r="G238">
        <x:f>IF(AND(AND('幕间与结算'!A145&lt;&gt;"",'幕间与结算'!B145&lt;&gt;"",'幕间与结算'!I145&lt;&gt;"",OR(LEFT(C238,3)="技能：",COUNTIF($L$2:$L$19,C238)&gt;0),ISNUMBER('幕间与结算'!E145),ISNUMBER('幕间与结算'!F145),ISNUMBER('幕间与结算'!G145),'幕间与结算'!E145&gt;=0,'幕间与结算'!G145='幕间与结算'!E145+'幕间与结算'!F145),OR(B238&lt;&gt;"成长",AND(LEFT(C238,3)="技能：",C238&lt;&gt;"技能：非自然知识",'幕间与结算'!E145&gt;=1,'幕间与结算'!E145&lt;=99,'幕间与结算'!F145&gt;=0,'幕间与结算'!F145&lt;=4,'幕间与结算'!G145&lt;=99))),1,0)</x:f>
        <x:v>0</x:v>
      </x:c>
      <x:c r="H238">
        <x:f>IF(AND(G238=1,COUNTIFS($I$200:I238,I238,$G$200:G238,1)=1),1,0)</x:f>
        <x:v>0</x:v>
      </x:c>
      <x:c r="I238" t="str">
        <x:f>IF(G238=1,IF(B238="成长",A238&amp;"-成长-"&amp;C238,'幕间与结算'!I145),"")</x:f>
        <x:v/>
      </x:c>
      <x:c r="BF238">
        <x:f>MAX(0,MIN(18,BF237+IF(C238="力量",E238,0)))</x:f>
        <x:v>0</x:v>
      </x:c>
      <x:c r="BG238">
        <x:f>MAX(0,MIN(18,BG237+IF(C238="体质",E238,0)))</x:f>
        <x:v>0</x:v>
      </x:c>
      <x:c r="BH238">
        <x:f>MAX(0,MIN(18,BH237+IF(C238="敏捷",E238,0)))</x:f>
        <x:v>0</x:v>
      </x:c>
      <x:c r="BI238">
        <x:f>MAX(0,MIN(18,BI237+IF(C238="智力",E238,0)))</x:f>
        <x:v>0</x:v>
      </x:c>
      <x:c r="BJ238">
        <x:f>MAX(0,MIN(18,BJ237+IF(C238="意志",E238,0)))</x:f>
        <x:v>0</x:v>
      </x:c>
      <x:c r="BK238">
        <x:f>MAX(0,MIN(18,BK237+IF(C238="魅力",E238,0)))</x:f>
        <x:v>0</x:v>
      </x:c>
      <x:c r="BL238">
        <x:f>MAX(0,MIN(99,BL237+IF(C238="技能：非自然知识",E238,0)))</x:f>
        <x:v>0</x:v>
      </x:c>
      <x:c r="BM238">
        <x:f>MAX(0,MIN(CEILING((BF238+BG238)/2,1),BM237+IF(C238="体力",E238,0)))</x:f>
        <x:v>0</x:v>
      </x:c>
      <x:c r="BN238">
        <x:f>MAX(0,MIN(BJ238,BN237+IF(C238="毅力",E238,0)))</x:f>
        <x:v>0</x:v>
      </x:c>
      <x:c r="BO238">
        <x:f>MAX(0,MIN(99-BL238,BO237+IF(C238="理智",E238,0)))</x:f>
        <x:v>0</x:v>
      </x:c>
      <x:c r="BP238">
        <x:f>MAX(0,MIN(99,BP237+IF(C238="崩溃点",E238,0)))</x:f>
        <x:v>0</x:v>
      </x:c>
      <x:c r="BQ238">
        <x:f>MAX(0,MIN(BK238,IF(AND(H238=1,C238="重要关系1",LEFT('幕间与结算'!H145,8)="建立新的重要关系"),'幕间与结算'!E145+E238,BQ237+IF(C238="重要关系1",E238,0)+IF(AND(C238="魅力",E238&lt;0),E238,0))))</x:f>
        <x:v>0</x:v>
      </x:c>
      <x:c r="BR238">
        <x:f>MAX(0,MIN(BK238,IF(AND(H238=1,C238="重要关系2",LEFT('幕间与结算'!H145,8)="建立新的重要关系"),'幕间与结算'!E145+E238,BR237+IF(C238="重要关系2",E238,0)+IF(AND(C238="魅力",E238&lt;0),E238,0))))</x:f>
        <x:v>0</x:v>
      </x:c>
      <x:c r="BS238">
        <x:f>MAX(0,MIN(BK238,IF(AND(H238=1,C238="重要关系3",LEFT('幕间与结算'!H145,8)="建立新的重要关系"),'幕间与结算'!E145+E238,BS237+IF(C238="重要关系3",E238,0)+IF(AND(C238="魅力",E238&lt;0),E238,0))))</x:f>
        <x:v>0</x:v>
      </x:c>
      <x:c r="BT238">
        <x:f>MAX(0,MIN(BK238,IF(AND(H238=1,C238="重要关系4",LEFT('幕间与结算'!H145,8)="建立新的重要关系"),'幕间与结算'!E145+E238,BT237+IF(C238="重要关系4",E238,0)+IF(AND(C238="魅力",E238&lt;0),E238,0))))</x:f>
        <x:v>0</x:v>
      </x:c>
      <x:c r="BU238">
        <x:f>MAX(0,MIN(BK238,IF(AND(H238=1,C238="重要关系5",LEFT('幕间与结算'!H145,8)="建立新的重要关系"),'幕间与结算'!E145+E238,BU237+IF(C238="重要关系5",E238,0)+IF(AND(C238="魅力",E238&lt;0),E238,0))))</x:f>
        <x:v>0</x:v>
      </x:c>
      <x:c r="BV238">
        <x:f>MAX(0,MIN(BK238,IF(AND(H238=1,C238="重要关系6",LEFT('幕间与结算'!H145,8)="建立新的重要关系"),'幕间与结算'!E145+E238,BV237+IF(C238="重要关系6",E238,0)+IF(AND(C238="魅力",E238&lt;0),E238,0))))</x:f>
        <x:v>0</x:v>
      </x:c>
      <x:c r="BW238">
        <x:f>MAX(0,MIN(BK238,IF(AND(H238=1,C238="重要关系7",LEFT('幕间与结算'!H145,8)="建立新的重要关系"),'幕间与结算'!E145+E238,BW237+IF(C238="重要关系7",E238,0)+IF(AND(C238="魅力",E238&lt;0),E238,0))))</x:f>
        <x:v>0</x:v>
      </x:c>
    </x:row>
    <x:row r="239">
      <x:c r="A239" t="str">
        <x:f>IFERROR(TEXT(VALUE('幕间与结算'!A146),"00"),"")</x:f>
        <x:v>00</x:v>
      </x:c>
      <x:c r="B239">
        <x:f>'幕间与结算'!B146</x:f>
        <x:v>0</x:v>
      </x:c>
      <x:c r="C239">
        <x:f>'幕间与结算'!D146</x:f>
        <x:v>0</x:v>
      </x:c>
      <x:c r="D239">
        <x:f>'幕间与结算'!F146</x:f>
        <x:v>0</x:v>
      </x:c>
      <x:c r="E239">
        <x:f>IF(H239=1,MAX(-'幕间与结算'!E146,MIN(D239,IF(LEFT(C239,3)="技能：",99,IF(COUNTIF($L$2:$L$7,C239)&gt;0,18,999))-'幕间与结算'!E146)),0)</x:f>
        <x:v>0</x:v>
      </x:c>
      <x:c r="F239" t="str">
        <x:f>IF(C239=0,"",IF(G239=0,"记录不完整",IF(H239=0,"重复未计","已计入")))</x:f>
        <x:v/>
      </x:c>
      <x:c r="G239">
        <x:f>IF(AND(AND('幕间与结算'!A146&lt;&gt;"",'幕间与结算'!B146&lt;&gt;"",'幕间与结算'!I146&lt;&gt;"",OR(LEFT(C239,3)="技能：",COUNTIF($L$2:$L$19,C239)&gt;0),ISNUMBER('幕间与结算'!E146),ISNUMBER('幕间与结算'!F146),ISNUMBER('幕间与结算'!G146),'幕间与结算'!E146&gt;=0,'幕间与结算'!G146='幕间与结算'!E146+'幕间与结算'!F146),OR(B239&lt;&gt;"成长",AND(LEFT(C239,3)="技能：",C239&lt;&gt;"技能：非自然知识",'幕间与结算'!E146&gt;=1,'幕间与结算'!E146&lt;=99,'幕间与结算'!F146&gt;=0,'幕间与结算'!F146&lt;=4,'幕间与结算'!G146&lt;=99))),1,0)</x:f>
        <x:v>0</x:v>
      </x:c>
      <x:c r="H239">
        <x:f>IF(AND(G239=1,COUNTIFS($I$200:I239,I239,$G$200:G239,1)=1),1,0)</x:f>
        <x:v>0</x:v>
      </x:c>
      <x:c r="I239" t="str">
        <x:f>IF(G239=1,IF(B239="成长",A239&amp;"-成长-"&amp;C239,'幕间与结算'!I146),"")</x:f>
        <x:v/>
      </x:c>
      <x:c r="BF239">
        <x:f>MAX(0,MIN(18,BF238+IF(C239="力量",E239,0)))</x:f>
        <x:v>0</x:v>
      </x:c>
      <x:c r="BG239">
        <x:f>MAX(0,MIN(18,BG238+IF(C239="体质",E239,0)))</x:f>
        <x:v>0</x:v>
      </x:c>
      <x:c r="BH239">
        <x:f>MAX(0,MIN(18,BH238+IF(C239="敏捷",E239,0)))</x:f>
        <x:v>0</x:v>
      </x:c>
      <x:c r="BI239">
        <x:f>MAX(0,MIN(18,BI238+IF(C239="智力",E239,0)))</x:f>
        <x:v>0</x:v>
      </x:c>
      <x:c r="BJ239">
        <x:f>MAX(0,MIN(18,BJ238+IF(C239="意志",E239,0)))</x:f>
        <x:v>0</x:v>
      </x:c>
      <x:c r="BK239">
        <x:f>MAX(0,MIN(18,BK238+IF(C239="魅力",E239,0)))</x:f>
        <x:v>0</x:v>
      </x:c>
      <x:c r="BL239">
        <x:f>MAX(0,MIN(99,BL238+IF(C239="技能：非自然知识",E239,0)))</x:f>
        <x:v>0</x:v>
      </x:c>
      <x:c r="BM239">
        <x:f>MAX(0,MIN(CEILING((BF239+BG239)/2,1),BM238+IF(C239="体力",E239,0)))</x:f>
        <x:v>0</x:v>
      </x:c>
      <x:c r="BN239">
        <x:f>MAX(0,MIN(BJ239,BN238+IF(C239="毅力",E239,0)))</x:f>
        <x:v>0</x:v>
      </x:c>
      <x:c r="BO239">
        <x:f>MAX(0,MIN(99-BL239,BO238+IF(C239="理智",E239,0)))</x:f>
        <x:v>0</x:v>
      </x:c>
      <x:c r="BP239">
        <x:f>MAX(0,MIN(99,BP238+IF(C239="崩溃点",E239,0)))</x:f>
        <x:v>0</x:v>
      </x:c>
      <x:c r="BQ239">
        <x:f>MAX(0,MIN(BK239,IF(AND(H239=1,C239="重要关系1",LEFT('幕间与结算'!H146,8)="建立新的重要关系"),'幕间与结算'!E146+E239,BQ238+IF(C239="重要关系1",E239,0)+IF(AND(C239="魅力",E239&lt;0),E239,0))))</x:f>
        <x:v>0</x:v>
      </x:c>
      <x:c r="BR239">
        <x:f>MAX(0,MIN(BK239,IF(AND(H239=1,C239="重要关系2",LEFT('幕间与结算'!H146,8)="建立新的重要关系"),'幕间与结算'!E146+E239,BR238+IF(C239="重要关系2",E239,0)+IF(AND(C239="魅力",E239&lt;0),E239,0))))</x:f>
        <x:v>0</x:v>
      </x:c>
      <x:c r="BS239">
        <x:f>MAX(0,MIN(BK239,IF(AND(H239=1,C239="重要关系3",LEFT('幕间与结算'!H146,8)="建立新的重要关系"),'幕间与结算'!E146+E239,BS238+IF(C239="重要关系3",E239,0)+IF(AND(C239="魅力",E239&lt;0),E239,0))))</x:f>
        <x:v>0</x:v>
      </x:c>
      <x:c r="BT239">
        <x:f>MAX(0,MIN(BK239,IF(AND(H239=1,C239="重要关系4",LEFT('幕间与结算'!H146,8)="建立新的重要关系"),'幕间与结算'!E146+E239,BT238+IF(C239="重要关系4",E239,0)+IF(AND(C239="魅力",E239&lt;0),E239,0))))</x:f>
        <x:v>0</x:v>
      </x:c>
      <x:c r="BU239">
        <x:f>MAX(0,MIN(BK239,IF(AND(H239=1,C239="重要关系5",LEFT('幕间与结算'!H146,8)="建立新的重要关系"),'幕间与结算'!E146+E239,BU238+IF(C239="重要关系5",E239,0)+IF(AND(C239="魅力",E239&lt;0),E239,0))))</x:f>
        <x:v>0</x:v>
      </x:c>
      <x:c r="BV239">
        <x:f>MAX(0,MIN(BK239,IF(AND(H239=1,C239="重要关系6",LEFT('幕间与结算'!H146,8)="建立新的重要关系"),'幕间与结算'!E146+E239,BV238+IF(C239="重要关系6",E239,0)+IF(AND(C239="魅力",E239&lt;0),E239,0))))</x:f>
        <x:v>0</x:v>
      </x:c>
      <x:c r="BW239">
        <x:f>MAX(0,MIN(BK239,IF(AND(H239=1,C239="重要关系7",LEFT('幕间与结算'!H146,8)="建立新的重要关系"),'幕间与结算'!E146+E239,BW238+IF(C239="重要关系7",E239,0)+IF(AND(C239="魅力",E239&lt;0),E239,0))))</x:f>
        <x:v>0</x:v>
      </x:c>
    </x:row>
    <x:row r="240">
      <x:c r="A240" t="str">
        <x:f>IFERROR(TEXT(VALUE('幕间与结算'!A147),"00"),"")</x:f>
        <x:v>00</x:v>
      </x:c>
      <x:c r="B240">
        <x:f>'幕间与结算'!B147</x:f>
        <x:v>0</x:v>
      </x:c>
      <x:c r="C240">
        <x:f>'幕间与结算'!D147</x:f>
        <x:v>0</x:v>
      </x:c>
      <x:c r="D240">
        <x:f>'幕间与结算'!F147</x:f>
        <x:v>0</x:v>
      </x:c>
      <x:c r="E240">
        <x:f>IF(H240=1,MAX(-'幕间与结算'!E147,MIN(D240,IF(LEFT(C240,3)="技能：",99,IF(COUNTIF($L$2:$L$7,C240)&gt;0,18,999))-'幕间与结算'!E147)),0)</x:f>
        <x:v>0</x:v>
      </x:c>
      <x:c r="F240" t="str">
        <x:f>IF(C240=0,"",IF(G240=0,"记录不完整",IF(H240=0,"重复未计","已计入")))</x:f>
        <x:v/>
      </x:c>
      <x:c r="G240">
        <x:f>IF(AND(AND('幕间与结算'!A147&lt;&gt;"",'幕间与结算'!B147&lt;&gt;"",'幕间与结算'!I147&lt;&gt;"",OR(LEFT(C240,3)="技能：",COUNTIF($L$2:$L$19,C240)&gt;0),ISNUMBER('幕间与结算'!E147),ISNUMBER('幕间与结算'!F147),ISNUMBER('幕间与结算'!G147),'幕间与结算'!E147&gt;=0,'幕间与结算'!G147='幕间与结算'!E147+'幕间与结算'!F147),OR(B240&lt;&gt;"成长",AND(LEFT(C240,3)="技能：",C240&lt;&gt;"技能：非自然知识",'幕间与结算'!E147&gt;=1,'幕间与结算'!E147&lt;=99,'幕间与结算'!F147&gt;=0,'幕间与结算'!F147&lt;=4,'幕间与结算'!G147&lt;=99))),1,0)</x:f>
        <x:v>0</x:v>
      </x:c>
      <x:c r="H240">
        <x:f>IF(AND(G240=1,COUNTIFS($I$200:I240,I240,$G$200:G240,1)=1),1,0)</x:f>
        <x:v>0</x:v>
      </x:c>
      <x:c r="I240" t="str">
        <x:f>IF(G240=1,IF(B240="成长",A240&amp;"-成长-"&amp;C240,'幕间与结算'!I147),"")</x:f>
        <x:v/>
      </x:c>
      <x:c r="BF240">
        <x:f>MAX(0,MIN(18,BF239+IF(C240="力量",E240,0)))</x:f>
        <x:v>0</x:v>
      </x:c>
      <x:c r="BG240">
        <x:f>MAX(0,MIN(18,BG239+IF(C240="体质",E240,0)))</x:f>
        <x:v>0</x:v>
      </x:c>
      <x:c r="BH240">
        <x:f>MAX(0,MIN(18,BH239+IF(C240="敏捷",E240,0)))</x:f>
        <x:v>0</x:v>
      </x:c>
      <x:c r="BI240">
        <x:f>MAX(0,MIN(18,BI239+IF(C240="智力",E240,0)))</x:f>
        <x:v>0</x:v>
      </x:c>
      <x:c r="BJ240">
        <x:f>MAX(0,MIN(18,BJ239+IF(C240="意志",E240,0)))</x:f>
        <x:v>0</x:v>
      </x:c>
      <x:c r="BK240">
        <x:f>MAX(0,MIN(18,BK239+IF(C240="魅力",E240,0)))</x:f>
        <x:v>0</x:v>
      </x:c>
      <x:c r="BL240">
        <x:f>MAX(0,MIN(99,BL239+IF(C240="技能：非自然知识",E240,0)))</x:f>
        <x:v>0</x:v>
      </x:c>
      <x:c r="BM240">
        <x:f>MAX(0,MIN(CEILING((BF240+BG240)/2,1),BM239+IF(C240="体力",E240,0)))</x:f>
        <x:v>0</x:v>
      </x:c>
      <x:c r="BN240">
        <x:f>MAX(0,MIN(BJ240,BN239+IF(C240="毅力",E240,0)))</x:f>
        <x:v>0</x:v>
      </x:c>
      <x:c r="BO240">
        <x:f>MAX(0,MIN(99-BL240,BO239+IF(C240="理智",E240,0)))</x:f>
        <x:v>0</x:v>
      </x:c>
      <x:c r="BP240">
        <x:f>MAX(0,MIN(99,BP239+IF(C240="崩溃点",E240,0)))</x:f>
        <x:v>0</x:v>
      </x:c>
      <x:c r="BQ240">
        <x:f>MAX(0,MIN(BK240,IF(AND(H240=1,C240="重要关系1",LEFT('幕间与结算'!H147,8)="建立新的重要关系"),'幕间与结算'!E147+E240,BQ239+IF(C240="重要关系1",E240,0)+IF(AND(C240="魅力",E240&lt;0),E240,0))))</x:f>
        <x:v>0</x:v>
      </x:c>
      <x:c r="BR240">
        <x:f>MAX(0,MIN(BK240,IF(AND(H240=1,C240="重要关系2",LEFT('幕间与结算'!H147,8)="建立新的重要关系"),'幕间与结算'!E147+E240,BR239+IF(C240="重要关系2",E240,0)+IF(AND(C240="魅力",E240&lt;0),E240,0))))</x:f>
        <x:v>0</x:v>
      </x:c>
      <x:c r="BS240">
        <x:f>MAX(0,MIN(BK240,IF(AND(H240=1,C240="重要关系3",LEFT('幕间与结算'!H147,8)="建立新的重要关系"),'幕间与结算'!E147+E240,BS239+IF(C240="重要关系3",E240,0)+IF(AND(C240="魅力",E240&lt;0),E240,0))))</x:f>
        <x:v>0</x:v>
      </x:c>
      <x:c r="BT240">
        <x:f>MAX(0,MIN(BK240,IF(AND(H240=1,C240="重要关系4",LEFT('幕间与结算'!H147,8)="建立新的重要关系"),'幕间与结算'!E147+E240,BT239+IF(C240="重要关系4",E240,0)+IF(AND(C240="魅力",E240&lt;0),E240,0))))</x:f>
        <x:v>0</x:v>
      </x:c>
      <x:c r="BU240">
        <x:f>MAX(0,MIN(BK240,IF(AND(H240=1,C240="重要关系5",LEFT('幕间与结算'!H147,8)="建立新的重要关系"),'幕间与结算'!E147+E240,BU239+IF(C240="重要关系5",E240,0)+IF(AND(C240="魅力",E240&lt;0),E240,0))))</x:f>
        <x:v>0</x:v>
      </x:c>
      <x:c r="BV240">
        <x:f>MAX(0,MIN(BK240,IF(AND(H240=1,C240="重要关系6",LEFT('幕间与结算'!H147,8)="建立新的重要关系"),'幕间与结算'!E147+E240,BV239+IF(C240="重要关系6",E240,0)+IF(AND(C240="魅力",E240&lt;0),E240,0))))</x:f>
        <x:v>0</x:v>
      </x:c>
      <x:c r="BW240">
        <x:f>MAX(0,MIN(BK240,IF(AND(H240=1,C240="重要关系7",LEFT('幕间与结算'!H147,8)="建立新的重要关系"),'幕间与结算'!E147+E240,BW239+IF(C240="重要关系7",E240,0)+IF(AND(C240="魅力",E240&lt;0),E240,0))))</x:f>
        <x:v>0</x:v>
      </x:c>
    </x:row>
    <x:row r="241">
      <x:c r="A241" t="str">
        <x:f>IFERROR(TEXT(VALUE('幕间与结算'!A148),"00"),"")</x:f>
        <x:v>00</x:v>
      </x:c>
      <x:c r="B241">
        <x:f>'幕间与结算'!B148</x:f>
        <x:v>0</x:v>
      </x:c>
      <x:c r="C241">
        <x:f>'幕间与结算'!D148</x:f>
        <x:v>0</x:v>
      </x:c>
      <x:c r="D241">
        <x:f>'幕间与结算'!F148</x:f>
        <x:v>0</x:v>
      </x:c>
      <x:c r="E241">
        <x:f>IF(H241=1,MAX(-'幕间与结算'!E148,MIN(D241,IF(LEFT(C241,3)="技能：",99,IF(COUNTIF($L$2:$L$7,C241)&gt;0,18,999))-'幕间与结算'!E148)),0)</x:f>
        <x:v>0</x:v>
      </x:c>
      <x:c r="F241" t="str">
        <x:f>IF(C241=0,"",IF(G241=0,"记录不完整",IF(H241=0,"重复未计","已计入")))</x:f>
        <x:v/>
      </x:c>
      <x:c r="G241">
        <x:f>IF(AND(AND('幕间与结算'!A148&lt;&gt;"",'幕间与结算'!B148&lt;&gt;"",'幕间与结算'!I148&lt;&gt;"",OR(LEFT(C241,3)="技能：",COUNTIF($L$2:$L$19,C241)&gt;0),ISNUMBER('幕间与结算'!E148),ISNUMBER('幕间与结算'!F148),ISNUMBER('幕间与结算'!G148),'幕间与结算'!E148&gt;=0,'幕间与结算'!G148='幕间与结算'!E148+'幕间与结算'!F148),OR(B241&lt;&gt;"成长",AND(LEFT(C241,3)="技能：",C241&lt;&gt;"技能：非自然知识",'幕间与结算'!E148&gt;=1,'幕间与结算'!E148&lt;=99,'幕间与结算'!F148&gt;=0,'幕间与结算'!F148&lt;=4,'幕间与结算'!G148&lt;=99))),1,0)</x:f>
        <x:v>0</x:v>
      </x:c>
      <x:c r="H241">
        <x:f>IF(AND(G241=1,COUNTIFS($I$200:I241,I241,$G$200:G241,1)=1),1,0)</x:f>
        <x:v>0</x:v>
      </x:c>
      <x:c r="I241" t="str">
        <x:f>IF(G241=1,IF(B241="成长",A241&amp;"-成长-"&amp;C241,'幕间与结算'!I148),"")</x:f>
        <x:v/>
      </x:c>
      <x:c r="BF241">
        <x:f>MAX(0,MIN(18,BF240+IF(C241="力量",E241,0)))</x:f>
        <x:v>0</x:v>
      </x:c>
      <x:c r="BG241">
        <x:f>MAX(0,MIN(18,BG240+IF(C241="体质",E241,0)))</x:f>
        <x:v>0</x:v>
      </x:c>
      <x:c r="BH241">
        <x:f>MAX(0,MIN(18,BH240+IF(C241="敏捷",E241,0)))</x:f>
        <x:v>0</x:v>
      </x:c>
      <x:c r="BI241">
        <x:f>MAX(0,MIN(18,BI240+IF(C241="智力",E241,0)))</x:f>
        <x:v>0</x:v>
      </x:c>
      <x:c r="BJ241">
        <x:f>MAX(0,MIN(18,BJ240+IF(C241="意志",E241,0)))</x:f>
        <x:v>0</x:v>
      </x:c>
      <x:c r="BK241">
        <x:f>MAX(0,MIN(18,BK240+IF(C241="魅力",E241,0)))</x:f>
        <x:v>0</x:v>
      </x:c>
      <x:c r="BL241">
        <x:f>MAX(0,MIN(99,BL240+IF(C241="技能：非自然知识",E241,0)))</x:f>
        <x:v>0</x:v>
      </x:c>
      <x:c r="BM241">
        <x:f>MAX(0,MIN(CEILING((BF241+BG241)/2,1),BM240+IF(C241="体力",E241,0)))</x:f>
        <x:v>0</x:v>
      </x:c>
      <x:c r="BN241">
        <x:f>MAX(0,MIN(BJ241,BN240+IF(C241="毅力",E241,0)))</x:f>
        <x:v>0</x:v>
      </x:c>
      <x:c r="BO241">
        <x:f>MAX(0,MIN(99-BL241,BO240+IF(C241="理智",E241,0)))</x:f>
        <x:v>0</x:v>
      </x:c>
      <x:c r="BP241">
        <x:f>MAX(0,MIN(99,BP240+IF(C241="崩溃点",E241,0)))</x:f>
        <x:v>0</x:v>
      </x:c>
      <x:c r="BQ241">
        <x:f>MAX(0,MIN(BK241,IF(AND(H241=1,C241="重要关系1",LEFT('幕间与结算'!H148,8)="建立新的重要关系"),'幕间与结算'!E148+E241,BQ240+IF(C241="重要关系1",E241,0)+IF(AND(C241="魅力",E241&lt;0),E241,0))))</x:f>
        <x:v>0</x:v>
      </x:c>
      <x:c r="BR241">
        <x:f>MAX(0,MIN(BK241,IF(AND(H241=1,C241="重要关系2",LEFT('幕间与结算'!H148,8)="建立新的重要关系"),'幕间与结算'!E148+E241,BR240+IF(C241="重要关系2",E241,0)+IF(AND(C241="魅力",E241&lt;0),E241,0))))</x:f>
        <x:v>0</x:v>
      </x:c>
      <x:c r="BS241">
        <x:f>MAX(0,MIN(BK241,IF(AND(H241=1,C241="重要关系3",LEFT('幕间与结算'!H148,8)="建立新的重要关系"),'幕间与结算'!E148+E241,BS240+IF(C241="重要关系3",E241,0)+IF(AND(C241="魅力",E241&lt;0),E241,0))))</x:f>
        <x:v>0</x:v>
      </x:c>
      <x:c r="BT241">
        <x:f>MAX(0,MIN(BK241,IF(AND(H241=1,C241="重要关系4",LEFT('幕间与结算'!H148,8)="建立新的重要关系"),'幕间与结算'!E148+E241,BT240+IF(C241="重要关系4",E241,0)+IF(AND(C241="魅力",E241&lt;0),E241,0))))</x:f>
        <x:v>0</x:v>
      </x:c>
      <x:c r="BU241">
        <x:f>MAX(0,MIN(BK241,IF(AND(H241=1,C241="重要关系5",LEFT('幕间与结算'!H148,8)="建立新的重要关系"),'幕间与结算'!E148+E241,BU240+IF(C241="重要关系5",E241,0)+IF(AND(C241="魅力",E241&lt;0),E241,0))))</x:f>
        <x:v>0</x:v>
      </x:c>
      <x:c r="BV241">
        <x:f>MAX(0,MIN(BK241,IF(AND(H241=1,C241="重要关系6",LEFT('幕间与结算'!H148,8)="建立新的重要关系"),'幕间与结算'!E148+E241,BV240+IF(C241="重要关系6",E241,0)+IF(AND(C241="魅力",E241&lt;0),E241,0))))</x:f>
        <x:v>0</x:v>
      </x:c>
      <x:c r="BW241">
        <x:f>MAX(0,MIN(BK241,IF(AND(H241=1,C241="重要关系7",LEFT('幕间与结算'!H148,8)="建立新的重要关系"),'幕间与结算'!E148+E241,BW240+IF(C241="重要关系7",E241,0)+IF(AND(C241="魅力",E241&lt;0),E241,0))))</x:f>
        <x:v>0</x:v>
      </x:c>
    </x:row>
    <x:row r="242">
      <x:c r="A242" t="str">
        <x:f>IFERROR(TEXT(VALUE('幕间与结算'!A149),"00"),"")</x:f>
        <x:v>00</x:v>
      </x:c>
      <x:c r="B242">
        <x:f>'幕间与结算'!B149</x:f>
        <x:v>0</x:v>
      </x:c>
      <x:c r="C242">
        <x:f>'幕间与结算'!D149</x:f>
        <x:v>0</x:v>
      </x:c>
      <x:c r="D242">
        <x:f>'幕间与结算'!F149</x:f>
        <x:v>0</x:v>
      </x:c>
      <x:c r="E242">
        <x:f>IF(H242=1,MAX(-'幕间与结算'!E149,MIN(D242,IF(LEFT(C242,3)="技能：",99,IF(COUNTIF($L$2:$L$7,C242)&gt;0,18,999))-'幕间与结算'!E149)),0)</x:f>
        <x:v>0</x:v>
      </x:c>
      <x:c r="F242" t="str">
        <x:f>IF(C242=0,"",IF(G242=0,"记录不完整",IF(H242=0,"重复未计","已计入")))</x:f>
        <x:v/>
      </x:c>
      <x:c r="G242">
        <x:f>IF(AND(AND('幕间与结算'!A149&lt;&gt;"",'幕间与结算'!B149&lt;&gt;"",'幕间与结算'!I149&lt;&gt;"",OR(LEFT(C242,3)="技能：",COUNTIF($L$2:$L$19,C242)&gt;0),ISNUMBER('幕间与结算'!E149),ISNUMBER('幕间与结算'!F149),ISNUMBER('幕间与结算'!G149),'幕间与结算'!E149&gt;=0,'幕间与结算'!G149='幕间与结算'!E149+'幕间与结算'!F149),OR(B242&lt;&gt;"成长",AND(LEFT(C242,3)="技能：",C242&lt;&gt;"技能：非自然知识",'幕间与结算'!E149&gt;=1,'幕间与结算'!E149&lt;=99,'幕间与结算'!F149&gt;=0,'幕间与结算'!F149&lt;=4,'幕间与结算'!G149&lt;=99))),1,0)</x:f>
        <x:v>0</x:v>
      </x:c>
      <x:c r="H242">
        <x:f>IF(AND(G242=1,COUNTIFS($I$200:I242,I242,$G$200:G242,1)=1),1,0)</x:f>
        <x:v>0</x:v>
      </x:c>
      <x:c r="I242" t="str">
        <x:f>IF(G242=1,IF(B242="成长",A242&amp;"-成长-"&amp;C242,'幕间与结算'!I149),"")</x:f>
        <x:v/>
      </x:c>
      <x:c r="BF242">
        <x:f>MAX(0,MIN(18,BF241+IF(C242="力量",E242,0)))</x:f>
        <x:v>0</x:v>
      </x:c>
      <x:c r="BG242">
        <x:f>MAX(0,MIN(18,BG241+IF(C242="体质",E242,0)))</x:f>
        <x:v>0</x:v>
      </x:c>
      <x:c r="BH242">
        <x:f>MAX(0,MIN(18,BH241+IF(C242="敏捷",E242,0)))</x:f>
        <x:v>0</x:v>
      </x:c>
      <x:c r="BI242">
        <x:f>MAX(0,MIN(18,BI241+IF(C242="智力",E242,0)))</x:f>
        <x:v>0</x:v>
      </x:c>
      <x:c r="BJ242">
        <x:f>MAX(0,MIN(18,BJ241+IF(C242="意志",E242,0)))</x:f>
        <x:v>0</x:v>
      </x:c>
      <x:c r="BK242">
        <x:f>MAX(0,MIN(18,BK241+IF(C242="魅力",E242,0)))</x:f>
        <x:v>0</x:v>
      </x:c>
      <x:c r="BL242">
        <x:f>MAX(0,MIN(99,BL241+IF(C242="技能：非自然知识",E242,0)))</x:f>
        <x:v>0</x:v>
      </x:c>
      <x:c r="BM242">
        <x:f>MAX(0,MIN(CEILING((BF242+BG242)/2,1),BM241+IF(C242="体力",E242,0)))</x:f>
        <x:v>0</x:v>
      </x:c>
      <x:c r="BN242">
        <x:f>MAX(0,MIN(BJ242,BN241+IF(C242="毅力",E242,0)))</x:f>
        <x:v>0</x:v>
      </x:c>
      <x:c r="BO242">
        <x:f>MAX(0,MIN(99-BL242,BO241+IF(C242="理智",E242,0)))</x:f>
        <x:v>0</x:v>
      </x:c>
      <x:c r="BP242">
        <x:f>MAX(0,MIN(99,BP241+IF(C242="崩溃点",E242,0)))</x:f>
        <x:v>0</x:v>
      </x:c>
      <x:c r="BQ242">
        <x:f>MAX(0,MIN(BK242,IF(AND(H242=1,C242="重要关系1",LEFT('幕间与结算'!H149,8)="建立新的重要关系"),'幕间与结算'!E149+E242,BQ241+IF(C242="重要关系1",E242,0)+IF(AND(C242="魅力",E242&lt;0),E242,0))))</x:f>
        <x:v>0</x:v>
      </x:c>
      <x:c r="BR242">
        <x:f>MAX(0,MIN(BK242,IF(AND(H242=1,C242="重要关系2",LEFT('幕间与结算'!H149,8)="建立新的重要关系"),'幕间与结算'!E149+E242,BR241+IF(C242="重要关系2",E242,0)+IF(AND(C242="魅力",E242&lt;0),E242,0))))</x:f>
        <x:v>0</x:v>
      </x:c>
      <x:c r="BS242">
        <x:f>MAX(0,MIN(BK242,IF(AND(H242=1,C242="重要关系3",LEFT('幕间与结算'!H149,8)="建立新的重要关系"),'幕间与结算'!E149+E242,BS241+IF(C242="重要关系3",E242,0)+IF(AND(C242="魅力",E242&lt;0),E242,0))))</x:f>
        <x:v>0</x:v>
      </x:c>
      <x:c r="BT242">
        <x:f>MAX(0,MIN(BK242,IF(AND(H242=1,C242="重要关系4",LEFT('幕间与结算'!H149,8)="建立新的重要关系"),'幕间与结算'!E149+E242,BT241+IF(C242="重要关系4",E242,0)+IF(AND(C242="魅力",E242&lt;0),E242,0))))</x:f>
        <x:v>0</x:v>
      </x:c>
      <x:c r="BU242">
        <x:f>MAX(0,MIN(BK242,IF(AND(H242=1,C242="重要关系5",LEFT('幕间与结算'!H149,8)="建立新的重要关系"),'幕间与结算'!E149+E242,BU241+IF(C242="重要关系5",E242,0)+IF(AND(C242="魅力",E242&lt;0),E242,0))))</x:f>
        <x:v>0</x:v>
      </x:c>
      <x:c r="BV242">
        <x:f>MAX(0,MIN(BK242,IF(AND(H242=1,C242="重要关系6",LEFT('幕间与结算'!H149,8)="建立新的重要关系"),'幕间与结算'!E149+E242,BV241+IF(C242="重要关系6",E242,0)+IF(AND(C242="魅力",E242&lt;0),E242,0))))</x:f>
        <x:v>0</x:v>
      </x:c>
      <x:c r="BW242">
        <x:f>MAX(0,MIN(BK242,IF(AND(H242=1,C242="重要关系7",LEFT('幕间与结算'!H149,8)="建立新的重要关系"),'幕间与结算'!E149+E242,BW241+IF(C242="重要关系7",E242,0)+IF(AND(C242="魅力",E242&lt;0),E242,0))))</x:f>
        <x:v>0</x:v>
      </x:c>
    </x:row>
    <x:row r="243">
      <x:c r="A243" t="str">
        <x:f>IFERROR(TEXT(VALUE('幕间与结算'!A150),"00"),"")</x:f>
        <x:v>00</x:v>
      </x:c>
      <x:c r="B243">
        <x:f>'幕间与结算'!B150</x:f>
        <x:v>0</x:v>
      </x:c>
      <x:c r="C243">
        <x:f>'幕间与结算'!D150</x:f>
        <x:v>0</x:v>
      </x:c>
      <x:c r="D243">
        <x:f>'幕间与结算'!F150</x:f>
        <x:v>0</x:v>
      </x:c>
      <x:c r="E243">
        <x:f>IF(H243=1,MAX(-'幕间与结算'!E150,MIN(D243,IF(LEFT(C243,3)="技能：",99,IF(COUNTIF($L$2:$L$7,C243)&gt;0,18,999))-'幕间与结算'!E150)),0)</x:f>
        <x:v>0</x:v>
      </x:c>
      <x:c r="F243" t="str">
        <x:f>IF(C243=0,"",IF(G243=0,"记录不完整",IF(H243=0,"重复未计","已计入")))</x:f>
        <x:v/>
      </x:c>
      <x:c r="G243">
        <x:f>IF(AND(AND('幕间与结算'!A150&lt;&gt;"",'幕间与结算'!B150&lt;&gt;"",'幕间与结算'!I150&lt;&gt;"",OR(LEFT(C243,3)="技能：",COUNTIF($L$2:$L$19,C243)&gt;0),ISNUMBER('幕间与结算'!E150),ISNUMBER('幕间与结算'!F150),ISNUMBER('幕间与结算'!G150),'幕间与结算'!E150&gt;=0,'幕间与结算'!G150='幕间与结算'!E150+'幕间与结算'!F150),OR(B243&lt;&gt;"成长",AND(LEFT(C243,3)="技能：",C243&lt;&gt;"技能：非自然知识",'幕间与结算'!E150&gt;=1,'幕间与结算'!E150&lt;=99,'幕间与结算'!F150&gt;=0,'幕间与结算'!F150&lt;=4,'幕间与结算'!G150&lt;=99))),1,0)</x:f>
        <x:v>0</x:v>
      </x:c>
      <x:c r="H243">
        <x:f>IF(AND(G243=1,COUNTIFS($I$200:I243,I243,$G$200:G243,1)=1),1,0)</x:f>
        <x:v>0</x:v>
      </x:c>
      <x:c r="I243" t="str">
        <x:f>IF(G243=1,IF(B243="成长",A243&amp;"-成长-"&amp;C243,'幕间与结算'!I150),"")</x:f>
        <x:v/>
      </x:c>
      <x:c r="BF243">
        <x:f>MAX(0,MIN(18,BF242+IF(C243="力量",E243,0)))</x:f>
        <x:v>0</x:v>
      </x:c>
      <x:c r="BG243">
        <x:f>MAX(0,MIN(18,BG242+IF(C243="体质",E243,0)))</x:f>
        <x:v>0</x:v>
      </x:c>
      <x:c r="BH243">
        <x:f>MAX(0,MIN(18,BH242+IF(C243="敏捷",E243,0)))</x:f>
        <x:v>0</x:v>
      </x:c>
      <x:c r="BI243">
        <x:f>MAX(0,MIN(18,BI242+IF(C243="智力",E243,0)))</x:f>
        <x:v>0</x:v>
      </x:c>
      <x:c r="BJ243">
        <x:f>MAX(0,MIN(18,BJ242+IF(C243="意志",E243,0)))</x:f>
        <x:v>0</x:v>
      </x:c>
      <x:c r="BK243">
        <x:f>MAX(0,MIN(18,BK242+IF(C243="魅力",E243,0)))</x:f>
        <x:v>0</x:v>
      </x:c>
      <x:c r="BL243">
        <x:f>MAX(0,MIN(99,BL242+IF(C243="技能：非自然知识",E243,0)))</x:f>
        <x:v>0</x:v>
      </x:c>
      <x:c r="BM243">
        <x:f>MAX(0,MIN(CEILING((BF243+BG243)/2,1),BM242+IF(C243="体力",E243,0)))</x:f>
        <x:v>0</x:v>
      </x:c>
      <x:c r="BN243">
        <x:f>MAX(0,MIN(BJ243,BN242+IF(C243="毅力",E243,0)))</x:f>
        <x:v>0</x:v>
      </x:c>
      <x:c r="BO243">
        <x:f>MAX(0,MIN(99-BL243,BO242+IF(C243="理智",E243,0)))</x:f>
        <x:v>0</x:v>
      </x:c>
      <x:c r="BP243">
        <x:f>MAX(0,MIN(99,BP242+IF(C243="崩溃点",E243,0)))</x:f>
        <x:v>0</x:v>
      </x:c>
      <x:c r="BQ243">
        <x:f>MAX(0,MIN(BK243,IF(AND(H243=1,C243="重要关系1",LEFT('幕间与结算'!H150,8)="建立新的重要关系"),'幕间与结算'!E150+E243,BQ242+IF(C243="重要关系1",E243,0)+IF(AND(C243="魅力",E243&lt;0),E243,0))))</x:f>
        <x:v>0</x:v>
      </x:c>
      <x:c r="BR243">
        <x:f>MAX(0,MIN(BK243,IF(AND(H243=1,C243="重要关系2",LEFT('幕间与结算'!H150,8)="建立新的重要关系"),'幕间与结算'!E150+E243,BR242+IF(C243="重要关系2",E243,0)+IF(AND(C243="魅力",E243&lt;0),E243,0))))</x:f>
        <x:v>0</x:v>
      </x:c>
      <x:c r="BS243">
        <x:f>MAX(0,MIN(BK243,IF(AND(H243=1,C243="重要关系3",LEFT('幕间与结算'!H150,8)="建立新的重要关系"),'幕间与结算'!E150+E243,BS242+IF(C243="重要关系3",E243,0)+IF(AND(C243="魅力",E243&lt;0),E243,0))))</x:f>
        <x:v>0</x:v>
      </x:c>
      <x:c r="BT243">
        <x:f>MAX(0,MIN(BK243,IF(AND(H243=1,C243="重要关系4",LEFT('幕间与结算'!H150,8)="建立新的重要关系"),'幕间与结算'!E150+E243,BT242+IF(C243="重要关系4",E243,0)+IF(AND(C243="魅力",E243&lt;0),E243,0))))</x:f>
        <x:v>0</x:v>
      </x:c>
      <x:c r="BU243">
        <x:f>MAX(0,MIN(BK243,IF(AND(H243=1,C243="重要关系5",LEFT('幕间与结算'!H150,8)="建立新的重要关系"),'幕间与结算'!E150+E243,BU242+IF(C243="重要关系5",E243,0)+IF(AND(C243="魅力",E243&lt;0),E243,0))))</x:f>
        <x:v>0</x:v>
      </x:c>
      <x:c r="BV243">
        <x:f>MAX(0,MIN(BK243,IF(AND(H243=1,C243="重要关系6",LEFT('幕间与结算'!H150,8)="建立新的重要关系"),'幕间与结算'!E150+E243,BV242+IF(C243="重要关系6",E243,0)+IF(AND(C243="魅力",E243&lt;0),E243,0))))</x:f>
        <x:v>0</x:v>
      </x:c>
      <x:c r="BW243">
        <x:f>MAX(0,MIN(BK243,IF(AND(H243=1,C243="重要关系7",LEFT('幕间与结算'!H150,8)="建立新的重要关系"),'幕间与结算'!E150+E243,BW242+IF(C243="重要关系7",E243,0)+IF(AND(C243="魅力",E243&lt;0),E243,0))))</x:f>
        <x:v>0</x:v>
      </x:c>
    </x:row>
    <x:row r="244">
      <x:c r="A244" t="str">
        <x:f>IFERROR(TEXT(VALUE('幕间与结算'!A151),"00"),"")</x:f>
        <x:v>00</x:v>
      </x:c>
      <x:c r="B244">
        <x:f>'幕间与结算'!B151</x:f>
        <x:v>0</x:v>
      </x:c>
      <x:c r="C244">
        <x:f>'幕间与结算'!D151</x:f>
        <x:v>0</x:v>
      </x:c>
      <x:c r="D244">
        <x:f>'幕间与结算'!F151</x:f>
        <x:v>0</x:v>
      </x:c>
      <x:c r="E244">
        <x:f>IF(H244=1,MAX(-'幕间与结算'!E151,MIN(D244,IF(LEFT(C244,3)="技能：",99,IF(COUNTIF($L$2:$L$7,C244)&gt;0,18,999))-'幕间与结算'!E151)),0)</x:f>
        <x:v>0</x:v>
      </x:c>
      <x:c r="F244" t="str">
        <x:f>IF(C244=0,"",IF(G244=0,"记录不完整",IF(H244=0,"重复未计","已计入")))</x:f>
        <x:v/>
      </x:c>
      <x:c r="G244">
        <x:f>IF(AND(AND('幕间与结算'!A151&lt;&gt;"",'幕间与结算'!B151&lt;&gt;"",'幕间与结算'!I151&lt;&gt;"",OR(LEFT(C244,3)="技能：",COUNTIF($L$2:$L$19,C244)&gt;0),ISNUMBER('幕间与结算'!E151),ISNUMBER('幕间与结算'!F151),ISNUMBER('幕间与结算'!G151),'幕间与结算'!E151&gt;=0,'幕间与结算'!G151='幕间与结算'!E151+'幕间与结算'!F151),OR(B244&lt;&gt;"成长",AND(LEFT(C244,3)="技能：",C244&lt;&gt;"技能：非自然知识",'幕间与结算'!E151&gt;=1,'幕间与结算'!E151&lt;=99,'幕间与结算'!F151&gt;=0,'幕间与结算'!F151&lt;=4,'幕间与结算'!G151&lt;=99))),1,0)</x:f>
        <x:v>0</x:v>
      </x:c>
      <x:c r="H244">
        <x:f>IF(AND(G244=1,COUNTIFS($I$200:I244,I244,$G$200:G244,1)=1),1,0)</x:f>
        <x:v>0</x:v>
      </x:c>
      <x:c r="I244" t="str">
        <x:f>IF(G244=1,IF(B244="成长",A244&amp;"-成长-"&amp;C244,'幕间与结算'!I151),"")</x:f>
        <x:v/>
      </x:c>
      <x:c r="BF244">
        <x:f>MAX(0,MIN(18,BF243+IF(C244="力量",E244,0)))</x:f>
        <x:v>0</x:v>
      </x:c>
      <x:c r="BG244">
        <x:f>MAX(0,MIN(18,BG243+IF(C244="体质",E244,0)))</x:f>
        <x:v>0</x:v>
      </x:c>
      <x:c r="BH244">
        <x:f>MAX(0,MIN(18,BH243+IF(C244="敏捷",E244,0)))</x:f>
        <x:v>0</x:v>
      </x:c>
      <x:c r="BI244">
        <x:f>MAX(0,MIN(18,BI243+IF(C244="智力",E244,0)))</x:f>
        <x:v>0</x:v>
      </x:c>
      <x:c r="BJ244">
        <x:f>MAX(0,MIN(18,BJ243+IF(C244="意志",E244,0)))</x:f>
        <x:v>0</x:v>
      </x:c>
      <x:c r="BK244">
        <x:f>MAX(0,MIN(18,BK243+IF(C244="魅力",E244,0)))</x:f>
        <x:v>0</x:v>
      </x:c>
      <x:c r="BL244">
        <x:f>MAX(0,MIN(99,BL243+IF(C244="技能：非自然知识",E244,0)))</x:f>
        <x:v>0</x:v>
      </x:c>
      <x:c r="BM244">
        <x:f>MAX(0,MIN(CEILING((BF244+BG244)/2,1),BM243+IF(C244="体力",E244,0)))</x:f>
        <x:v>0</x:v>
      </x:c>
      <x:c r="BN244">
        <x:f>MAX(0,MIN(BJ244,BN243+IF(C244="毅力",E244,0)))</x:f>
        <x:v>0</x:v>
      </x:c>
      <x:c r="BO244">
        <x:f>MAX(0,MIN(99-BL244,BO243+IF(C244="理智",E244,0)))</x:f>
        <x:v>0</x:v>
      </x:c>
      <x:c r="BP244">
        <x:f>MAX(0,MIN(99,BP243+IF(C244="崩溃点",E244,0)))</x:f>
        <x:v>0</x:v>
      </x:c>
      <x:c r="BQ244">
        <x:f>MAX(0,MIN(BK244,IF(AND(H244=1,C244="重要关系1",LEFT('幕间与结算'!H151,8)="建立新的重要关系"),'幕间与结算'!E151+E244,BQ243+IF(C244="重要关系1",E244,0)+IF(AND(C244="魅力",E244&lt;0),E244,0))))</x:f>
        <x:v>0</x:v>
      </x:c>
      <x:c r="BR244">
        <x:f>MAX(0,MIN(BK244,IF(AND(H244=1,C244="重要关系2",LEFT('幕间与结算'!H151,8)="建立新的重要关系"),'幕间与结算'!E151+E244,BR243+IF(C244="重要关系2",E244,0)+IF(AND(C244="魅力",E244&lt;0),E244,0))))</x:f>
        <x:v>0</x:v>
      </x:c>
      <x:c r="BS244">
        <x:f>MAX(0,MIN(BK244,IF(AND(H244=1,C244="重要关系3",LEFT('幕间与结算'!H151,8)="建立新的重要关系"),'幕间与结算'!E151+E244,BS243+IF(C244="重要关系3",E244,0)+IF(AND(C244="魅力",E244&lt;0),E244,0))))</x:f>
        <x:v>0</x:v>
      </x:c>
      <x:c r="BT244">
        <x:f>MAX(0,MIN(BK244,IF(AND(H244=1,C244="重要关系4",LEFT('幕间与结算'!H151,8)="建立新的重要关系"),'幕间与结算'!E151+E244,BT243+IF(C244="重要关系4",E244,0)+IF(AND(C244="魅力",E244&lt;0),E244,0))))</x:f>
        <x:v>0</x:v>
      </x:c>
      <x:c r="BU244">
        <x:f>MAX(0,MIN(BK244,IF(AND(H244=1,C244="重要关系5",LEFT('幕间与结算'!H151,8)="建立新的重要关系"),'幕间与结算'!E151+E244,BU243+IF(C244="重要关系5",E244,0)+IF(AND(C244="魅力",E244&lt;0),E244,0))))</x:f>
        <x:v>0</x:v>
      </x:c>
      <x:c r="BV244">
        <x:f>MAX(0,MIN(BK244,IF(AND(H244=1,C244="重要关系6",LEFT('幕间与结算'!H151,8)="建立新的重要关系"),'幕间与结算'!E151+E244,BV243+IF(C244="重要关系6",E244,0)+IF(AND(C244="魅力",E244&lt;0),E244,0))))</x:f>
        <x:v>0</x:v>
      </x:c>
      <x:c r="BW244">
        <x:f>MAX(0,MIN(BK244,IF(AND(H244=1,C244="重要关系7",LEFT('幕间与结算'!H151,8)="建立新的重要关系"),'幕间与结算'!E151+E244,BW243+IF(C244="重要关系7",E244,0)+IF(AND(C244="魅力",E244&lt;0),E244,0))))</x:f>
        <x:v>0</x:v>
      </x:c>
    </x:row>
    <x:row r="245">
      <x:c r="A245" t="str">
        <x:f>IFERROR(TEXT(VALUE('幕间与结算'!A152),"00"),"")</x:f>
        <x:v>00</x:v>
      </x:c>
      <x:c r="B245">
        <x:f>'幕间与结算'!B152</x:f>
        <x:v>0</x:v>
      </x:c>
      <x:c r="C245">
        <x:f>'幕间与结算'!D152</x:f>
        <x:v>0</x:v>
      </x:c>
      <x:c r="D245">
        <x:f>'幕间与结算'!F152</x:f>
        <x:v>0</x:v>
      </x:c>
      <x:c r="E245">
        <x:f>IF(H245=1,MAX(-'幕间与结算'!E152,MIN(D245,IF(LEFT(C245,3)="技能：",99,IF(COUNTIF($L$2:$L$7,C245)&gt;0,18,999))-'幕间与结算'!E152)),0)</x:f>
        <x:v>0</x:v>
      </x:c>
      <x:c r="F245" t="str">
        <x:f>IF(C245=0,"",IF(G245=0,"记录不完整",IF(H245=0,"重复未计","已计入")))</x:f>
        <x:v/>
      </x:c>
      <x:c r="G245">
        <x:f>IF(AND(AND('幕间与结算'!A152&lt;&gt;"",'幕间与结算'!B152&lt;&gt;"",'幕间与结算'!I152&lt;&gt;"",OR(LEFT(C245,3)="技能：",COUNTIF($L$2:$L$19,C245)&gt;0),ISNUMBER('幕间与结算'!E152),ISNUMBER('幕间与结算'!F152),ISNUMBER('幕间与结算'!G152),'幕间与结算'!E152&gt;=0,'幕间与结算'!G152='幕间与结算'!E152+'幕间与结算'!F152),OR(B245&lt;&gt;"成长",AND(LEFT(C245,3)="技能：",C245&lt;&gt;"技能：非自然知识",'幕间与结算'!E152&gt;=1,'幕间与结算'!E152&lt;=99,'幕间与结算'!F152&gt;=0,'幕间与结算'!F152&lt;=4,'幕间与结算'!G152&lt;=99))),1,0)</x:f>
        <x:v>0</x:v>
      </x:c>
      <x:c r="H245">
        <x:f>IF(AND(G245=1,COUNTIFS($I$200:I245,I245,$G$200:G245,1)=1),1,0)</x:f>
        <x:v>0</x:v>
      </x:c>
      <x:c r="I245" t="str">
        <x:f>IF(G245=1,IF(B245="成长",A245&amp;"-成长-"&amp;C245,'幕间与结算'!I152),"")</x:f>
        <x:v/>
      </x:c>
      <x:c r="BF245">
        <x:f>MAX(0,MIN(18,BF244+IF(C245="力量",E245,0)))</x:f>
        <x:v>0</x:v>
      </x:c>
      <x:c r="BG245">
        <x:f>MAX(0,MIN(18,BG244+IF(C245="体质",E245,0)))</x:f>
        <x:v>0</x:v>
      </x:c>
      <x:c r="BH245">
        <x:f>MAX(0,MIN(18,BH244+IF(C245="敏捷",E245,0)))</x:f>
        <x:v>0</x:v>
      </x:c>
      <x:c r="BI245">
        <x:f>MAX(0,MIN(18,BI244+IF(C245="智力",E245,0)))</x:f>
        <x:v>0</x:v>
      </x:c>
      <x:c r="BJ245">
        <x:f>MAX(0,MIN(18,BJ244+IF(C245="意志",E245,0)))</x:f>
        <x:v>0</x:v>
      </x:c>
      <x:c r="BK245">
        <x:f>MAX(0,MIN(18,BK244+IF(C245="魅力",E245,0)))</x:f>
        <x:v>0</x:v>
      </x:c>
      <x:c r="BL245">
        <x:f>MAX(0,MIN(99,BL244+IF(C245="技能：非自然知识",E245,0)))</x:f>
        <x:v>0</x:v>
      </x:c>
      <x:c r="BM245">
        <x:f>MAX(0,MIN(CEILING((BF245+BG245)/2,1),BM244+IF(C245="体力",E245,0)))</x:f>
        <x:v>0</x:v>
      </x:c>
      <x:c r="BN245">
        <x:f>MAX(0,MIN(BJ245,BN244+IF(C245="毅力",E245,0)))</x:f>
        <x:v>0</x:v>
      </x:c>
      <x:c r="BO245">
        <x:f>MAX(0,MIN(99-BL245,BO244+IF(C245="理智",E245,0)))</x:f>
        <x:v>0</x:v>
      </x:c>
      <x:c r="BP245">
        <x:f>MAX(0,MIN(99,BP244+IF(C245="崩溃点",E245,0)))</x:f>
        <x:v>0</x:v>
      </x:c>
      <x:c r="BQ245">
        <x:f>MAX(0,MIN(BK245,IF(AND(H245=1,C245="重要关系1",LEFT('幕间与结算'!H152,8)="建立新的重要关系"),'幕间与结算'!E152+E245,BQ244+IF(C245="重要关系1",E245,0)+IF(AND(C245="魅力",E245&lt;0),E245,0))))</x:f>
        <x:v>0</x:v>
      </x:c>
      <x:c r="BR245">
        <x:f>MAX(0,MIN(BK245,IF(AND(H245=1,C245="重要关系2",LEFT('幕间与结算'!H152,8)="建立新的重要关系"),'幕间与结算'!E152+E245,BR244+IF(C245="重要关系2",E245,0)+IF(AND(C245="魅力",E245&lt;0),E245,0))))</x:f>
        <x:v>0</x:v>
      </x:c>
      <x:c r="BS245">
        <x:f>MAX(0,MIN(BK245,IF(AND(H245=1,C245="重要关系3",LEFT('幕间与结算'!H152,8)="建立新的重要关系"),'幕间与结算'!E152+E245,BS244+IF(C245="重要关系3",E245,0)+IF(AND(C245="魅力",E245&lt;0),E245,0))))</x:f>
        <x:v>0</x:v>
      </x:c>
      <x:c r="BT245">
        <x:f>MAX(0,MIN(BK245,IF(AND(H245=1,C245="重要关系4",LEFT('幕间与结算'!H152,8)="建立新的重要关系"),'幕间与结算'!E152+E245,BT244+IF(C245="重要关系4",E245,0)+IF(AND(C245="魅力",E245&lt;0),E245,0))))</x:f>
        <x:v>0</x:v>
      </x:c>
      <x:c r="BU245">
        <x:f>MAX(0,MIN(BK245,IF(AND(H245=1,C245="重要关系5",LEFT('幕间与结算'!H152,8)="建立新的重要关系"),'幕间与结算'!E152+E245,BU244+IF(C245="重要关系5",E245,0)+IF(AND(C245="魅力",E245&lt;0),E245,0))))</x:f>
        <x:v>0</x:v>
      </x:c>
      <x:c r="BV245">
        <x:f>MAX(0,MIN(BK245,IF(AND(H245=1,C245="重要关系6",LEFT('幕间与结算'!H152,8)="建立新的重要关系"),'幕间与结算'!E152+E245,BV244+IF(C245="重要关系6",E245,0)+IF(AND(C245="魅力",E245&lt;0),E245,0))))</x:f>
        <x:v>0</x:v>
      </x:c>
      <x:c r="BW245">
        <x:f>MAX(0,MIN(BK245,IF(AND(H245=1,C245="重要关系7",LEFT('幕间与结算'!H152,8)="建立新的重要关系"),'幕间与结算'!E152+E245,BW244+IF(C245="重要关系7",E245,0)+IF(AND(C245="魅力",E245&lt;0),E245,0))))</x:f>
        <x:v>0</x:v>
      </x:c>
    </x:row>
    <x:row r="246">
      <x:c r="A246" t="str">
        <x:f>IFERROR(TEXT(VALUE('幕间与结算'!A153),"00"),"")</x:f>
        <x:v>00</x:v>
      </x:c>
      <x:c r="B246">
        <x:f>'幕间与结算'!B153</x:f>
        <x:v>0</x:v>
      </x:c>
      <x:c r="C246">
        <x:f>'幕间与结算'!D153</x:f>
        <x:v>0</x:v>
      </x:c>
      <x:c r="D246">
        <x:f>'幕间与结算'!F153</x:f>
        <x:v>0</x:v>
      </x:c>
      <x:c r="E246">
        <x:f>IF(H246=1,MAX(-'幕间与结算'!E153,MIN(D246,IF(LEFT(C246,3)="技能：",99,IF(COUNTIF($L$2:$L$7,C246)&gt;0,18,999))-'幕间与结算'!E153)),0)</x:f>
        <x:v>0</x:v>
      </x:c>
      <x:c r="F246" t="str">
        <x:f>IF(C246=0,"",IF(G246=0,"记录不完整",IF(H246=0,"重复未计","已计入")))</x:f>
        <x:v/>
      </x:c>
      <x:c r="G246">
        <x:f>IF(AND(AND('幕间与结算'!A153&lt;&gt;"",'幕间与结算'!B153&lt;&gt;"",'幕间与结算'!I153&lt;&gt;"",OR(LEFT(C246,3)="技能：",COUNTIF($L$2:$L$19,C246)&gt;0),ISNUMBER('幕间与结算'!E153),ISNUMBER('幕间与结算'!F153),ISNUMBER('幕间与结算'!G153),'幕间与结算'!E153&gt;=0,'幕间与结算'!G153='幕间与结算'!E153+'幕间与结算'!F153),OR(B246&lt;&gt;"成长",AND(LEFT(C246,3)="技能：",C246&lt;&gt;"技能：非自然知识",'幕间与结算'!E153&gt;=1,'幕间与结算'!E153&lt;=99,'幕间与结算'!F153&gt;=0,'幕间与结算'!F153&lt;=4,'幕间与结算'!G153&lt;=99))),1,0)</x:f>
        <x:v>0</x:v>
      </x:c>
      <x:c r="H246">
        <x:f>IF(AND(G246=1,COUNTIFS($I$200:I246,I246,$G$200:G246,1)=1),1,0)</x:f>
        <x:v>0</x:v>
      </x:c>
      <x:c r="I246" t="str">
        <x:f>IF(G246=1,IF(B246="成长",A246&amp;"-成长-"&amp;C246,'幕间与结算'!I153),"")</x:f>
        <x:v/>
      </x:c>
      <x:c r="BF246">
        <x:f>MAX(0,MIN(18,BF245+IF(C246="力量",E246,0)))</x:f>
        <x:v>0</x:v>
      </x:c>
      <x:c r="BG246">
        <x:f>MAX(0,MIN(18,BG245+IF(C246="体质",E246,0)))</x:f>
        <x:v>0</x:v>
      </x:c>
      <x:c r="BH246">
        <x:f>MAX(0,MIN(18,BH245+IF(C246="敏捷",E246,0)))</x:f>
        <x:v>0</x:v>
      </x:c>
      <x:c r="BI246">
        <x:f>MAX(0,MIN(18,BI245+IF(C246="智力",E246,0)))</x:f>
        <x:v>0</x:v>
      </x:c>
      <x:c r="BJ246">
        <x:f>MAX(0,MIN(18,BJ245+IF(C246="意志",E246,0)))</x:f>
        <x:v>0</x:v>
      </x:c>
      <x:c r="BK246">
        <x:f>MAX(0,MIN(18,BK245+IF(C246="魅力",E246,0)))</x:f>
        <x:v>0</x:v>
      </x:c>
      <x:c r="BL246">
        <x:f>MAX(0,MIN(99,BL245+IF(C246="技能：非自然知识",E246,0)))</x:f>
        <x:v>0</x:v>
      </x:c>
      <x:c r="BM246">
        <x:f>MAX(0,MIN(CEILING((BF246+BG246)/2,1),BM245+IF(C246="体力",E246,0)))</x:f>
        <x:v>0</x:v>
      </x:c>
      <x:c r="BN246">
        <x:f>MAX(0,MIN(BJ246,BN245+IF(C246="毅力",E246,0)))</x:f>
        <x:v>0</x:v>
      </x:c>
      <x:c r="BO246">
        <x:f>MAX(0,MIN(99-BL246,BO245+IF(C246="理智",E246,0)))</x:f>
        <x:v>0</x:v>
      </x:c>
      <x:c r="BP246">
        <x:f>MAX(0,MIN(99,BP245+IF(C246="崩溃点",E246,0)))</x:f>
        <x:v>0</x:v>
      </x:c>
      <x:c r="BQ246">
        <x:f>MAX(0,MIN(BK246,IF(AND(H246=1,C246="重要关系1",LEFT('幕间与结算'!H153,8)="建立新的重要关系"),'幕间与结算'!E153+E246,BQ245+IF(C246="重要关系1",E246,0)+IF(AND(C246="魅力",E246&lt;0),E246,0))))</x:f>
        <x:v>0</x:v>
      </x:c>
      <x:c r="BR246">
        <x:f>MAX(0,MIN(BK246,IF(AND(H246=1,C246="重要关系2",LEFT('幕间与结算'!H153,8)="建立新的重要关系"),'幕间与结算'!E153+E246,BR245+IF(C246="重要关系2",E246,0)+IF(AND(C246="魅力",E246&lt;0),E246,0))))</x:f>
        <x:v>0</x:v>
      </x:c>
      <x:c r="BS246">
        <x:f>MAX(0,MIN(BK246,IF(AND(H246=1,C246="重要关系3",LEFT('幕间与结算'!H153,8)="建立新的重要关系"),'幕间与结算'!E153+E246,BS245+IF(C246="重要关系3",E246,0)+IF(AND(C246="魅力",E246&lt;0),E246,0))))</x:f>
        <x:v>0</x:v>
      </x:c>
      <x:c r="BT246">
        <x:f>MAX(0,MIN(BK246,IF(AND(H246=1,C246="重要关系4",LEFT('幕间与结算'!H153,8)="建立新的重要关系"),'幕间与结算'!E153+E246,BT245+IF(C246="重要关系4",E246,0)+IF(AND(C246="魅力",E246&lt;0),E246,0))))</x:f>
        <x:v>0</x:v>
      </x:c>
      <x:c r="BU246">
        <x:f>MAX(0,MIN(BK246,IF(AND(H246=1,C246="重要关系5",LEFT('幕间与结算'!H153,8)="建立新的重要关系"),'幕间与结算'!E153+E246,BU245+IF(C246="重要关系5",E246,0)+IF(AND(C246="魅力",E246&lt;0),E246,0))))</x:f>
        <x:v>0</x:v>
      </x:c>
      <x:c r="BV246">
        <x:f>MAX(0,MIN(BK246,IF(AND(H246=1,C246="重要关系6",LEFT('幕间与结算'!H153,8)="建立新的重要关系"),'幕间与结算'!E153+E246,BV245+IF(C246="重要关系6",E246,0)+IF(AND(C246="魅力",E246&lt;0),E246,0))))</x:f>
        <x:v>0</x:v>
      </x:c>
      <x:c r="BW246">
        <x:f>MAX(0,MIN(BK246,IF(AND(H246=1,C246="重要关系7",LEFT('幕间与结算'!H153,8)="建立新的重要关系"),'幕间与结算'!E153+E246,BW245+IF(C246="重要关系7",E246,0)+IF(AND(C246="魅力",E246&lt;0),E246,0))))</x:f>
        <x:v>0</x:v>
      </x:c>
    </x:row>
    <x:row r="247">
      <x:c r="A247" t="str">
        <x:f>IFERROR(TEXT(VALUE('幕间与结算'!A154),"00"),"")</x:f>
        <x:v>00</x:v>
      </x:c>
      <x:c r="B247">
        <x:f>'幕间与结算'!B154</x:f>
        <x:v>0</x:v>
      </x:c>
      <x:c r="C247">
        <x:f>'幕间与结算'!D154</x:f>
        <x:v>0</x:v>
      </x:c>
      <x:c r="D247">
        <x:f>'幕间与结算'!F154</x:f>
        <x:v>0</x:v>
      </x:c>
      <x:c r="E247">
        <x:f>IF(H247=1,MAX(-'幕间与结算'!E154,MIN(D247,IF(LEFT(C247,3)="技能：",99,IF(COUNTIF($L$2:$L$7,C247)&gt;0,18,999))-'幕间与结算'!E154)),0)</x:f>
        <x:v>0</x:v>
      </x:c>
      <x:c r="F247" t="str">
        <x:f>IF(C247=0,"",IF(G247=0,"记录不完整",IF(H247=0,"重复未计","已计入")))</x:f>
        <x:v/>
      </x:c>
      <x:c r="G247">
        <x:f>IF(AND(AND('幕间与结算'!A154&lt;&gt;"",'幕间与结算'!B154&lt;&gt;"",'幕间与结算'!I154&lt;&gt;"",OR(LEFT(C247,3)="技能：",COUNTIF($L$2:$L$19,C247)&gt;0),ISNUMBER('幕间与结算'!E154),ISNUMBER('幕间与结算'!F154),ISNUMBER('幕间与结算'!G154),'幕间与结算'!E154&gt;=0,'幕间与结算'!G154='幕间与结算'!E154+'幕间与结算'!F154),OR(B247&lt;&gt;"成长",AND(LEFT(C247,3)="技能：",C247&lt;&gt;"技能：非自然知识",'幕间与结算'!E154&gt;=1,'幕间与结算'!E154&lt;=99,'幕间与结算'!F154&gt;=0,'幕间与结算'!F154&lt;=4,'幕间与结算'!G154&lt;=99))),1,0)</x:f>
        <x:v>0</x:v>
      </x:c>
      <x:c r="H247">
        <x:f>IF(AND(G247=1,COUNTIFS($I$200:I247,I247,$G$200:G247,1)=1),1,0)</x:f>
        <x:v>0</x:v>
      </x:c>
      <x:c r="I247" t="str">
        <x:f>IF(G247=1,IF(B247="成长",A247&amp;"-成长-"&amp;C247,'幕间与结算'!I154),"")</x:f>
        <x:v/>
      </x:c>
      <x:c r="BF247">
        <x:f>MAX(0,MIN(18,BF246+IF(C247="力量",E247,0)))</x:f>
        <x:v>0</x:v>
      </x:c>
      <x:c r="BG247">
        <x:f>MAX(0,MIN(18,BG246+IF(C247="体质",E247,0)))</x:f>
        <x:v>0</x:v>
      </x:c>
      <x:c r="BH247">
        <x:f>MAX(0,MIN(18,BH246+IF(C247="敏捷",E247,0)))</x:f>
        <x:v>0</x:v>
      </x:c>
      <x:c r="BI247">
        <x:f>MAX(0,MIN(18,BI246+IF(C247="智力",E247,0)))</x:f>
        <x:v>0</x:v>
      </x:c>
      <x:c r="BJ247">
        <x:f>MAX(0,MIN(18,BJ246+IF(C247="意志",E247,0)))</x:f>
        <x:v>0</x:v>
      </x:c>
      <x:c r="BK247">
        <x:f>MAX(0,MIN(18,BK246+IF(C247="魅力",E247,0)))</x:f>
        <x:v>0</x:v>
      </x:c>
      <x:c r="BL247">
        <x:f>MAX(0,MIN(99,BL246+IF(C247="技能：非自然知识",E247,0)))</x:f>
        <x:v>0</x:v>
      </x:c>
      <x:c r="BM247">
        <x:f>MAX(0,MIN(CEILING((BF247+BG247)/2,1),BM246+IF(C247="体力",E247,0)))</x:f>
        <x:v>0</x:v>
      </x:c>
      <x:c r="BN247">
        <x:f>MAX(0,MIN(BJ247,BN246+IF(C247="毅力",E247,0)))</x:f>
        <x:v>0</x:v>
      </x:c>
      <x:c r="BO247">
        <x:f>MAX(0,MIN(99-BL247,BO246+IF(C247="理智",E247,0)))</x:f>
        <x:v>0</x:v>
      </x:c>
      <x:c r="BP247">
        <x:f>MAX(0,MIN(99,BP246+IF(C247="崩溃点",E247,0)))</x:f>
        <x:v>0</x:v>
      </x:c>
      <x:c r="BQ247">
        <x:f>MAX(0,MIN(BK247,IF(AND(H247=1,C247="重要关系1",LEFT('幕间与结算'!H154,8)="建立新的重要关系"),'幕间与结算'!E154+E247,BQ246+IF(C247="重要关系1",E247,0)+IF(AND(C247="魅力",E247&lt;0),E247,0))))</x:f>
        <x:v>0</x:v>
      </x:c>
      <x:c r="BR247">
        <x:f>MAX(0,MIN(BK247,IF(AND(H247=1,C247="重要关系2",LEFT('幕间与结算'!H154,8)="建立新的重要关系"),'幕间与结算'!E154+E247,BR246+IF(C247="重要关系2",E247,0)+IF(AND(C247="魅力",E247&lt;0),E247,0))))</x:f>
        <x:v>0</x:v>
      </x:c>
      <x:c r="BS247">
        <x:f>MAX(0,MIN(BK247,IF(AND(H247=1,C247="重要关系3",LEFT('幕间与结算'!H154,8)="建立新的重要关系"),'幕间与结算'!E154+E247,BS246+IF(C247="重要关系3",E247,0)+IF(AND(C247="魅力",E247&lt;0),E247,0))))</x:f>
        <x:v>0</x:v>
      </x:c>
      <x:c r="BT247">
        <x:f>MAX(0,MIN(BK247,IF(AND(H247=1,C247="重要关系4",LEFT('幕间与结算'!H154,8)="建立新的重要关系"),'幕间与结算'!E154+E247,BT246+IF(C247="重要关系4",E247,0)+IF(AND(C247="魅力",E247&lt;0),E247,0))))</x:f>
        <x:v>0</x:v>
      </x:c>
      <x:c r="BU247">
        <x:f>MAX(0,MIN(BK247,IF(AND(H247=1,C247="重要关系5",LEFT('幕间与结算'!H154,8)="建立新的重要关系"),'幕间与结算'!E154+E247,BU246+IF(C247="重要关系5",E247,0)+IF(AND(C247="魅力",E247&lt;0),E247,0))))</x:f>
        <x:v>0</x:v>
      </x:c>
      <x:c r="BV247">
        <x:f>MAX(0,MIN(BK247,IF(AND(H247=1,C247="重要关系6",LEFT('幕间与结算'!H154,8)="建立新的重要关系"),'幕间与结算'!E154+E247,BV246+IF(C247="重要关系6",E247,0)+IF(AND(C247="魅力",E247&lt;0),E247,0))))</x:f>
        <x:v>0</x:v>
      </x:c>
      <x:c r="BW247">
        <x:f>MAX(0,MIN(BK247,IF(AND(H247=1,C247="重要关系7",LEFT('幕间与结算'!H154,8)="建立新的重要关系"),'幕间与结算'!E154+E247,BW246+IF(C247="重要关系7",E247,0)+IF(AND(C247="魅力",E247&lt;0),E247,0))))</x:f>
        <x:v>0</x:v>
      </x:c>
    </x:row>
    <x:row r="248">
      <x:c r="A248" t="str">
        <x:f>IFERROR(TEXT(VALUE('幕间与结算'!A155),"00"),"")</x:f>
        <x:v>00</x:v>
      </x:c>
      <x:c r="B248">
        <x:f>'幕间与结算'!B155</x:f>
        <x:v>0</x:v>
      </x:c>
      <x:c r="C248">
        <x:f>'幕间与结算'!D155</x:f>
        <x:v>0</x:v>
      </x:c>
      <x:c r="D248">
        <x:f>'幕间与结算'!F155</x:f>
        <x:v>0</x:v>
      </x:c>
      <x:c r="E248">
        <x:f>IF(H248=1,MAX(-'幕间与结算'!E155,MIN(D248,IF(LEFT(C248,3)="技能：",99,IF(COUNTIF($L$2:$L$7,C248)&gt;0,18,999))-'幕间与结算'!E155)),0)</x:f>
        <x:v>0</x:v>
      </x:c>
      <x:c r="F248" t="str">
        <x:f>IF(C248=0,"",IF(G248=0,"记录不完整",IF(H248=0,"重复未计","已计入")))</x:f>
        <x:v/>
      </x:c>
      <x:c r="G248">
        <x:f>IF(AND(AND('幕间与结算'!A155&lt;&gt;"",'幕间与结算'!B155&lt;&gt;"",'幕间与结算'!I155&lt;&gt;"",OR(LEFT(C248,3)="技能：",COUNTIF($L$2:$L$19,C248)&gt;0),ISNUMBER('幕间与结算'!E155),ISNUMBER('幕间与结算'!F155),ISNUMBER('幕间与结算'!G155),'幕间与结算'!E155&gt;=0,'幕间与结算'!G155='幕间与结算'!E155+'幕间与结算'!F155),OR(B248&lt;&gt;"成长",AND(LEFT(C248,3)="技能：",C248&lt;&gt;"技能：非自然知识",'幕间与结算'!E155&gt;=1,'幕间与结算'!E155&lt;=99,'幕间与结算'!F155&gt;=0,'幕间与结算'!F155&lt;=4,'幕间与结算'!G155&lt;=99))),1,0)</x:f>
        <x:v>0</x:v>
      </x:c>
      <x:c r="H248">
        <x:f>IF(AND(G248=1,COUNTIFS($I$200:I248,I248,$G$200:G248,1)=1),1,0)</x:f>
        <x:v>0</x:v>
      </x:c>
      <x:c r="I248" t="str">
        <x:f>IF(G248=1,IF(B248="成长",A248&amp;"-成长-"&amp;C248,'幕间与结算'!I155),"")</x:f>
        <x:v/>
      </x:c>
      <x:c r="BF248">
        <x:f>MAX(0,MIN(18,BF247+IF(C248="力量",E248,0)))</x:f>
        <x:v>0</x:v>
      </x:c>
      <x:c r="BG248">
        <x:f>MAX(0,MIN(18,BG247+IF(C248="体质",E248,0)))</x:f>
        <x:v>0</x:v>
      </x:c>
      <x:c r="BH248">
        <x:f>MAX(0,MIN(18,BH247+IF(C248="敏捷",E248,0)))</x:f>
        <x:v>0</x:v>
      </x:c>
      <x:c r="BI248">
        <x:f>MAX(0,MIN(18,BI247+IF(C248="智力",E248,0)))</x:f>
        <x:v>0</x:v>
      </x:c>
      <x:c r="BJ248">
        <x:f>MAX(0,MIN(18,BJ247+IF(C248="意志",E248,0)))</x:f>
        <x:v>0</x:v>
      </x:c>
      <x:c r="BK248">
        <x:f>MAX(0,MIN(18,BK247+IF(C248="魅力",E248,0)))</x:f>
        <x:v>0</x:v>
      </x:c>
      <x:c r="BL248">
        <x:f>MAX(0,MIN(99,BL247+IF(C248="技能：非自然知识",E248,0)))</x:f>
        <x:v>0</x:v>
      </x:c>
      <x:c r="BM248">
        <x:f>MAX(0,MIN(CEILING((BF248+BG248)/2,1),BM247+IF(C248="体力",E248,0)))</x:f>
        <x:v>0</x:v>
      </x:c>
      <x:c r="BN248">
        <x:f>MAX(0,MIN(BJ248,BN247+IF(C248="毅力",E248,0)))</x:f>
        <x:v>0</x:v>
      </x:c>
      <x:c r="BO248">
        <x:f>MAX(0,MIN(99-BL248,BO247+IF(C248="理智",E248,0)))</x:f>
        <x:v>0</x:v>
      </x:c>
      <x:c r="BP248">
        <x:f>MAX(0,MIN(99,BP247+IF(C248="崩溃点",E248,0)))</x:f>
        <x:v>0</x:v>
      </x:c>
      <x:c r="BQ248">
        <x:f>MAX(0,MIN(BK248,IF(AND(H248=1,C248="重要关系1",LEFT('幕间与结算'!H155,8)="建立新的重要关系"),'幕间与结算'!E155+E248,BQ247+IF(C248="重要关系1",E248,0)+IF(AND(C248="魅力",E248&lt;0),E248,0))))</x:f>
        <x:v>0</x:v>
      </x:c>
      <x:c r="BR248">
        <x:f>MAX(0,MIN(BK248,IF(AND(H248=1,C248="重要关系2",LEFT('幕间与结算'!H155,8)="建立新的重要关系"),'幕间与结算'!E155+E248,BR247+IF(C248="重要关系2",E248,0)+IF(AND(C248="魅力",E248&lt;0),E248,0))))</x:f>
        <x:v>0</x:v>
      </x:c>
      <x:c r="BS248">
        <x:f>MAX(0,MIN(BK248,IF(AND(H248=1,C248="重要关系3",LEFT('幕间与结算'!H155,8)="建立新的重要关系"),'幕间与结算'!E155+E248,BS247+IF(C248="重要关系3",E248,0)+IF(AND(C248="魅力",E248&lt;0),E248,0))))</x:f>
        <x:v>0</x:v>
      </x:c>
      <x:c r="BT248">
        <x:f>MAX(0,MIN(BK248,IF(AND(H248=1,C248="重要关系4",LEFT('幕间与结算'!H155,8)="建立新的重要关系"),'幕间与结算'!E155+E248,BT247+IF(C248="重要关系4",E248,0)+IF(AND(C248="魅力",E248&lt;0),E248,0))))</x:f>
        <x:v>0</x:v>
      </x:c>
      <x:c r="BU248">
        <x:f>MAX(0,MIN(BK248,IF(AND(H248=1,C248="重要关系5",LEFT('幕间与结算'!H155,8)="建立新的重要关系"),'幕间与结算'!E155+E248,BU247+IF(C248="重要关系5",E248,0)+IF(AND(C248="魅力",E248&lt;0),E248,0))))</x:f>
        <x:v>0</x:v>
      </x:c>
      <x:c r="BV248">
        <x:f>MAX(0,MIN(BK248,IF(AND(H248=1,C248="重要关系6",LEFT('幕间与结算'!H155,8)="建立新的重要关系"),'幕间与结算'!E155+E248,BV247+IF(C248="重要关系6",E248,0)+IF(AND(C248="魅力",E248&lt;0),E248,0))))</x:f>
        <x:v>0</x:v>
      </x:c>
      <x:c r="BW248">
        <x:f>MAX(0,MIN(BK248,IF(AND(H248=1,C248="重要关系7",LEFT('幕间与结算'!H155,8)="建立新的重要关系"),'幕间与结算'!E155+E248,BW247+IF(C248="重要关系7",E248,0)+IF(AND(C248="魅力",E248&lt;0),E248,0))))</x:f>
        <x:v>0</x:v>
      </x:c>
    </x:row>
    <x:row r="249">
      <x:c r="A249" t="str">
        <x:f>IFERROR(TEXT(VALUE('幕间与结算'!A156),"00"),"")</x:f>
        <x:v>00</x:v>
      </x:c>
      <x:c r="B249">
        <x:f>'幕间与结算'!B156</x:f>
        <x:v>0</x:v>
      </x:c>
      <x:c r="C249">
        <x:f>'幕间与结算'!D156</x:f>
        <x:v>0</x:v>
      </x:c>
      <x:c r="D249">
        <x:f>'幕间与结算'!F156</x:f>
        <x:v>0</x:v>
      </x:c>
      <x:c r="E249">
        <x:f>IF(H249=1,MAX(-'幕间与结算'!E156,MIN(D249,IF(LEFT(C249,3)="技能：",99,IF(COUNTIF($L$2:$L$7,C249)&gt;0,18,999))-'幕间与结算'!E156)),0)</x:f>
        <x:v>0</x:v>
      </x:c>
      <x:c r="F249" t="str">
        <x:f>IF(C249=0,"",IF(G249=0,"记录不完整",IF(H249=0,"重复未计","已计入")))</x:f>
        <x:v/>
      </x:c>
      <x:c r="G249">
        <x:f>IF(AND(AND('幕间与结算'!A156&lt;&gt;"",'幕间与结算'!B156&lt;&gt;"",'幕间与结算'!I156&lt;&gt;"",OR(LEFT(C249,3)="技能：",COUNTIF($L$2:$L$19,C249)&gt;0),ISNUMBER('幕间与结算'!E156),ISNUMBER('幕间与结算'!F156),ISNUMBER('幕间与结算'!G156),'幕间与结算'!E156&gt;=0,'幕间与结算'!G156='幕间与结算'!E156+'幕间与结算'!F156),OR(B249&lt;&gt;"成长",AND(LEFT(C249,3)="技能：",C249&lt;&gt;"技能：非自然知识",'幕间与结算'!E156&gt;=1,'幕间与结算'!E156&lt;=99,'幕间与结算'!F156&gt;=0,'幕间与结算'!F156&lt;=4,'幕间与结算'!G156&lt;=99))),1,0)</x:f>
        <x:v>0</x:v>
      </x:c>
      <x:c r="H249">
        <x:f>IF(AND(G249=1,COUNTIFS($I$200:I249,I249,$G$200:G249,1)=1),1,0)</x:f>
        <x:v>0</x:v>
      </x:c>
      <x:c r="I249" t="str">
        <x:f>IF(G249=1,IF(B249="成长",A249&amp;"-成长-"&amp;C249,'幕间与结算'!I156),"")</x:f>
        <x:v/>
      </x:c>
      <x:c r="BF249">
        <x:f>MAX(0,MIN(18,BF248+IF(C249="力量",E249,0)))</x:f>
        <x:v>0</x:v>
      </x:c>
      <x:c r="BG249">
        <x:f>MAX(0,MIN(18,BG248+IF(C249="体质",E249,0)))</x:f>
        <x:v>0</x:v>
      </x:c>
      <x:c r="BH249">
        <x:f>MAX(0,MIN(18,BH248+IF(C249="敏捷",E249,0)))</x:f>
        <x:v>0</x:v>
      </x:c>
      <x:c r="BI249">
        <x:f>MAX(0,MIN(18,BI248+IF(C249="智力",E249,0)))</x:f>
        <x:v>0</x:v>
      </x:c>
      <x:c r="BJ249">
        <x:f>MAX(0,MIN(18,BJ248+IF(C249="意志",E249,0)))</x:f>
        <x:v>0</x:v>
      </x:c>
      <x:c r="BK249">
        <x:f>MAX(0,MIN(18,BK248+IF(C249="魅力",E249,0)))</x:f>
        <x:v>0</x:v>
      </x:c>
      <x:c r="BL249">
        <x:f>MAX(0,MIN(99,BL248+IF(C249="技能：非自然知识",E249,0)))</x:f>
        <x:v>0</x:v>
      </x:c>
      <x:c r="BM249">
        <x:f>MAX(0,MIN(CEILING((BF249+BG249)/2,1),BM248+IF(C249="体力",E249,0)))</x:f>
        <x:v>0</x:v>
      </x:c>
      <x:c r="BN249">
        <x:f>MAX(0,MIN(BJ249,BN248+IF(C249="毅力",E249,0)))</x:f>
        <x:v>0</x:v>
      </x:c>
      <x:c r="BO249">
        <x:f>MAX(0,MIN(99-BL249,BO248+IF(C249="理智",E249,0)))</x:f>
        <x:v>0</x:v>
      </x:c>
      <x:c r="BP249">
        <x:f>MAX(0,MIN(99,BP248+IF(C249="崩溃点",E249,0)))</x:f>
        <x:v>0</x:v>
      </x:c>
      <x:c r="BQ249">
        <x:f>MAX(0,MIN(BK249,IF(AND(H249=1,C249="重要关系1",LEFT('幕间与结算'!H156,8)="建立新的重要关系"),'幕间与结算'!E156+E249,BQ248+IF(C249="重要关系1",E249,0)+IF(AND(C249="魅力",E249&lt;0),E249,0))))</x:f>
        <x:v>0</x:v>
      </x:c>
      <x:c r="BR249">
        <x:f>MAX(0,MIN(BK249,IF(AND(H249=1,C249="重要关系2",LEFT('幕间与结算'!H156,8)="建立新的重要关系"),'幕间与结算'!E156+E249,BR248+IF(C249="重要关系2",E249,0)+IF(AND(C249="魅力",E249&lt;0),E249,0))))</x:f>
        <x:v>0</x:v>
      </x:c>
      <x:c r="BS249">
        <x:f>MAX(0,MIN(BK249,IF(AND(H249=1,C249="重要关系3",LEFT('幕间与结算'!H156,8)="建立新的重要关系"),'幕间与结算'!E156+E249,BS248+IF(C249="重要关系3",E249,0)+IF(AND(C249="魅力",E249&lt;0),E249,0))))</x:f>
        <x:v>0</x:v>
      </x:c>
      <x:c r="BT249">
        <x:f>MAX(0,MIN(BK249,IF(AND(H249=1,C249="重要关系4",LEFT('幕间与结算'!H156,8)="建立新的重要关系"),'幕间与结算'!E156+E249,BT248+IF(C249="重要关系4",E249,0)+IF(AND(C249="魅力",E249&lt;0),E249,0))))</x:f>
        <x:v>0</x:v>
      </x:c>
      <x:c r="BU249">
        <x:f>MAX(0,MIN(BK249,IF(AND(H249=1,C249="重要关系5",LEFT('幕间与结算'!H156,8)="建立新的重要关系"),'幕间与结算'!E156+E249,BU248+IF(C249="重要关系5",E249,0)+IF(AND(C249="魅力",E249&lt;0),E249,0))))</x:f>
        <x:v>0</x:v>
      </x:c>
      <x:c r="BV249">
        <x:f>MAX(0,MIN(BK249,IF(AND(H249=1,C249="重要关系6",LEFT('幕间与结算'!H156,8)="建立新的重要关系"),'幕间与结算'!E156+E249,BV248+IF(C249="重要关系6",E249,0)+IF(AND(C249="魅力",E249&lt;0),E249,0))))</x:f>
        <x:v>0</x:v>
      </x:c>
      <x:c r="BW249">
        <x:f>MAX(0,MIN(BK249,IF(AND(H249=1,C249="重要关系7",LEFT('幕间与结算'!H156,8)="建立新的重要关系"),'幕间与结算'!E156+E249,BW248+IF(C249="重要关系7",E249,0)+IF(AND(C249="魅力",E249&lt;0),E249,0))))</x:f>
        <x:v>0</x:v>
      </x:c>
    </x:row>
    <x:row r="250">
      <x:c r="A250" t="str">
        <x:f>IFERROR(TEXT(VALUE('幕间与结算'!A157),"00"),"")</x:f>
        <x:v>00</x:v>
      </x:c>
      <x:c r="B250">
        <x:f>'幕间与结算'!B157</x:f>
        <x:v>0</x:v>
      </x:c>
      <x:c r="C250">
        <x:f>'幕间与结算'!D157</x:f>
        <x:v>0</x:v>
      </x:c>
      <x:c r="D250">
        <x:f>'幕间与结算'!F157</x:f>
        <x:v>0</x:v>
      </x:c>
      <x:c r="E250">
        <x:f>IF(H250=1,MAX(-'幕间与结算'!E157,MIN(D250,IF(LEFT(C250,3)="技能：",99,IF(COUNTIF($L$2:$L$7,C250)&gt;0,18,999))-'幕间与结算'!E157)),0)</x:f>
        <x:v>0</x:v>
      </x:c>
      <x:c r="F250" t="str">
        <x:f>IF(C250=0,"",IF(G250=0,"记录不完整",IF(H250=0,"重复未计","已计入")))</x:f>
        <x:v/>
      </x:c>
      <x:c r="G250">
        <x:f>IF(AND(AND('幕间与结算'!A157&lt;&gt;"",'幕间与结算'!B157&lt;&gt;"",'幕间与结算'!I157&lt;&gt;"",OR(LEFT(C250,3)="技能：",COUNTIF($L$2:$L$19,C250)&gt;0),ISNUMBER('幕间与结算'!E157),ISNUMBER('幕间与结算'!F157),ISNUMBER('幕间与结算'!G157),'幕间与结算'!E157&gt;=0,'幕间与结算'!G157='幕间与结算'!E157+'幕间与结算'!F157),OR(B250&lt;&gt;"成长",AND(LEFT(C250,3)="技能：",C250&lt;&gt;"技能：非自然知识",'幕间与结算'!E157&gt;=1,'幕间与结算'!E157&lt;=99,'幕间与结算'!F157&gt;=0,'幕间与结算'!F157&lt;=4,'幕间与结算'!G157&lt;=99))),1,0)</x:f>
        <x:v>0</x:v>
      </x:c>
      <x:c r="H250">
        <x:f>IF(AND(G250=1,COUNTIFS($I$200:I250,I250,$G$200:G250,1)=1),1,0)</x:f>
        <x:v>0</x:v>
      </x:c>
      <x:c r="I250" t="str">
        <x:f>IF(G250=1,IF(B250="成长",A250&amp;"-成长-"&amp;C250,'幕间与结算'!I157),"")</x:f>
        <x:v/>
      </x:c>
      <x:c r="BF250">
        <x:f>MAX(0,MIN(18,BF249+IF(C250="力量",E250,0)))</x:f>
        <x:v>0</x:v>
      </x:c>
      <x:c r="BG250">
        <x:f>MAX(0,MIN(18,BG249+IF(C250="体质",E250,0)))</x:f>
        <x:v>0</x:v>
      </x:c>
      <x:c r="BH250">
        <x:f>MAX(0,MIN(18,BH249+IF(C250="敏捷",E250,0)))</x:f>
        <x:v>0</x:v>
      </x:c>
      <x:c r="BI250">
        <x:f>MAX(0,MIN(18,BI249+IF(C250="智力",E250,0)))</x:f>
        <x:v>0</x:v>
      </x:c>
      <x:c r="BJ250">
        <x:f>MAX(0,MIN(18,BJ249+IF(C250="意志",E250,0)))</x:f>
        <x:v>0</x:v>
      </x:c>
      <x:c r="BK250">
        <x:f>MAX(0,MIN(18,BK249+IF(C250="魅力",E250,0)))</x:f>
        <x:v>0</x:v>
      </x:c>
      <x:c r="BL250">
        <x:f>MAX(0,MIN(99,BL249+IF(C250="技能：非自然知识",E250,0)))</x:f>
        <x:v>0</x:v>
      </x:c>
      <x:c r="BM250">
        <x:f>MAX(0,MIN(CEILING((BF250+BG250)/2,1),BM249+IF(C250="体力",E250,0)))</x:f>
        <x:v>0</x:v>
      </x:c>
      <x:c r="BN250">
        <x:f>MAX(0,MIN(BJ250,BN249+IF(C250="毅力",E250,0)))</x:f>
        <x:v>0</x:v>
      </x:c>
      <x:c r="BO250">
        <x:f>MAX(0,MIN(99-BL250,BO249+IF(C250="理智",E250,0)))</x:f>
        <x:v>0</x:v>
      </x:c>
      <x:c r="BP250">
        <x:f>MAX(0,MIN(99,BP249+IF(C250="崩溃点",E250,0)))</x:f>
        <x:v>0</x:v>
      </x:c>
      <x:c r="BQ250">
        <x:f>MAX(0,MIN(BK250,IF(AND(H250=1,C250="重要关系1",LEFT('幕间与结算'!H157,8)="建立新的重要关系"),'幕间与结算'!E157+E250,BQ249+IF(C250="重要关系1",E250,0)+IF(AND(C250="魅力",E250&lt;0),E250,0))))</x:f>
        <x:v>0</x:v>
      </x:c>
      <x:c r="BR250">
        <x:f>MAX(0,MIN(BK250,IF(AND(H250=1,C250="重要关系2",LEFT('幕间与结算'!H157,8)="建立新的重要关系"),'幕间与结算'!E157+E250,BR249+IF(C250="重要关系2",E250,0)+IF(AND(C250="魅力",E250&lt;0),E250,0))))</x:f>
        <x:v>0</x:v>
      </x:c>
      <x:c r="BS250">
        <x:f>MAX(0,MIN(BK250,IF(AND(H250=1,C250="重要关系3",LEFT('幕间与结算'!H157,8)="建立新的重要关系"),'幕间与结算'!E157+E250,BS249+IF(C250="重要关系3",E250,0)+IF(AND(C250="魅力",E250&lt;0),E250,0))))</x:f>
        <x:v>0</x:v>
      </x:c>
      <x:c r="BT250">
        <x:f>MAX(0,MIN(BK250,IF(AND(H250=1,C250="重要关系4",LEFT('幕间与结算'!H157,8)="建立新的重要关系"),'幕间与结算'!E157+E250,BT249+IF(C250="重要关系4",E250,0)+IF(AND(C250="魅力",E250&lt;0),E250,0))))</x:f>
        <x:v>0</x:v>
      </x:c>
      <x:c r="BU250">
        <x:f>MAX(0,MIN(BK250,IF(AND(H250=1,C250="重要关系5",LEFT('幕间与结算'!H157,8)="建立新的重要关系"),'幕间与结算'!E157+E250,BU249+IF(C250="重要关系5",E250,0)+IF(AND(C250="魅力",E250&lt;0),E250,0))))</x:f>
        <x:v>0</x:v>
      </x:c>
      <x:c r="BV250">
        <x:f>MAX(0,MIN(BK250,IF(AND(H250=1,C250="重要关系6",LEFT('幕间与结算'!H157,8)="建立新的重要关系"),'幕间与结算'!E157+E250,BV249+IF(C250="重要关系6",E250,0)+IF(AND(C250="魅力",E250&lt;0),E250,0))))</x:f>
        <x:v>0</x:v>
      </x:c>
      <x:c r="BW250">
        <x:f>MAX(0,MIN(BK250,IF(AND(H250=1,C250="重要关系7",LEFT('幕间与结算'!H157,8)="建立新的重要关系"),'幕间与结算'!E157+E250,BW249+IF(C250="重要关系7",E250,0)+IF(AND(C250="魅力",E250&lt;0),E250,0))))</x:f>
        <x:v>0</x:v>
      </x:c>
    </x:row>
    <x:row r="251">
      <x:c r="A251" t="str">
        <x:f>IFERROR(TEXT(VALUE('幕间与结算'!A158),"00"),"")</x:f>
        <x:v>00</x:v>
      </x:c>
      <x:c r="B251">
        <x:f>'幕间与结算'!B158</x:f>
        <x:v>0</x:v>
      </x:c>
      <x:c r="C251">
        <x:f>'幕间与结算'!D158</x:f>
        <x:v>0</x:v>
      </x:c>
      <x:c r="D251">
        <x:f>'幕间与结算'!F158</x:f>
        <x:v>0</x:v>
      </x:c>
      <x:c r="E251">
        <x:f>IF(H251=1,MAX(-'幕间与结算'!E158,MIN(D251,IF(LEFT(C251,3)="技能：",99,IF(COUNTIF($L$2:$L$7,C251)&gt;0,18,999))-'幕间与结算'!E158)),0)</x:f>
        <x:v>0</x:v>
      </x:c>
      <x:c r="F251" t="str">
        <x:f>IF(C251=0,"",IF(G251=0,"记录不完整",IF(H251=0,"重复未计","已计入")))</x:f>
        <x:v/>
      </x:c>
      <x:c r="G251">
        <x:f>IF(AND(AND('幕间与结算'!A158&lt;&gt;"",'幕间与结算'!B158&lt;&gt;"",'幕间与结算'!I158&lt;&gt;"",OR(LEFT(C251,3)="技能：",COUNTIF($L$2:$L$19,C251)&gt;0),ISNUMBER('幕间与结算'!E158),ISNUMBER('幕间与结算'!F158),ISNUMBER('幕间与结算'!G158),'幕间与结算'!E158&gt;=0,'幕间与结算'!G158='幕间与结算'!E158+'幕间与结算'!F158),OR(B251&lt;&gt;"成长",AND(LEFT(C251,3)="技能：",C251&lt;&gt;"技能：非自然知识",'幕间与结算'!E158&gt;=1,'幕间与结算'!E158&lt;=99,'幕间与结算'!F158&gt;=0,'幕间与结算'!F158&lt;=4,'幕间与结算'!G158&lt;=99))),1,0)</x:f>
        <x:v>0</x:v>
      </x:c>
      <x:c r="H251">
        <x:f>IF(AND(G251=1,COUNTIFS($I$200:I251,I251,$G$200:G251,1)=1),1,0)</x:f>
        <x:v>0</x:v>
      </x:c>
      <x:c r="I251" t="str">
        <x:f>IF(G251=1,IF(B251="成长",A251&amp;"-成长-"&amp;C251,'幕间与结算'!I158),"")</x:f>
        <x:v/>
      </x:c>
      <x:c r="BF251">
        <x:f>MAX(0,MIN(18,BF250+IF(C251="力量",E251,0)))</x:f>
        <x:v>0</x:v>
      </x:c>
      <x:c r="BG251">
        <x:f>MAX(0,MIN(18,BG250+IF(C251="体质",E251,0)))</x:f>
        <x:v>0</x:v>
      </x:c>
      <x:c r="BH251">
        <x:f>MAX(0,MIN(18,BH250+IF(C251="敏捷",E251,0)))</x:f>
        <x:v>0</x:v>
      </x:c>
      <x:c r="BI251">
        <x:f>MAX(0,MIN(18,BI250+IF(C251="智力",E251,0)))</x:f>
        <x:v>0</x:v>
      </x:c>
      <x:c r="BJ251">
        <x:f>MAX(0,MIN(18,BJ250+IF(C251="意志",E251,0)))</x:f>
        <x:v>0</x:v>
      </x:c>
      <x:c r="BK251">
        <x:f>MAX(0,MIN(18,BK250+IF(C251="魅力",E251,0)))</x:f>
        <x:v>0</x:v>
      </x:c>
      <x:c r="BL251">
        <x:f>MAX(0,MIN(99,BL250+IF(C251="技能：非自然知识",E251,0)))</x:f>
        <x:v>0</x:v>
      </x:c>
      <x:c r="BM251">
        <x:f>MAX(0,MIN(CEILING((BF251+BG251)/2,1),BM250+IF(C251="体力",E251,0)))</x:f>
        <x:v>0</x:v>
      </x:c>
      <x:c r="BN251">
        <x:f>MAX(0,MIN(BJ251,BN250+IF(C251="毅力",E251,0)))</x:f>
        <x:v>0</x:v>
      </x:c>
      <x:c r="BO251">
        <x:f>MAX(0,MIN(99-BL251,BO250+IF(C251="理智",E251,0)))</x:f>
        <x:v>0</x:v>
      </x:c>
      <x:c r="BP251">
        <x:f>MAX(0,MIN(99,BP250+IF(C251="崩溃点",E251,0)))</x:f>
        <x:v>0</x:v>
      </x:c>
      <x:c r="BQ251">
        <x:f>MAX(0,MIN(BK251,IF(AND(H251=1,C251="重要关系1",LEFT('幕间与结算'!H158,8)="建立新的重要关系"),'幕间与结算'!E158+E251,BQ250+IF(C251="重要关系1",E251,0)+IF(AND(C251="魅力",E251&lt;0),E251,0))))</x:f>
        <x:v>0</x:v>
      </x:c>
      <x:c r="BR251">
        <x:f>MAX(0,MIN(BK251,IF(AND(H251=1,C251="重要关系2",LEFT('幕间与结算'!H158,8)="建立新的重要关系"),'幕间与结算'!E158+E251,BR250+IF(C251="重要关系2",E251,0)+IF(AND(C251="魅力",E251&lt;0),E251,0))))</x:f>
        <x:v>0</x:v>
      </x:c>
      <x:c r="BS251">
        <x:f>MAX(0,MIN(BK251,IF(AND(H251=1,C251="重要关系3",LEFT('幕间与结算'!H158,8)="建立新的重要关系"),'幕间与结算'!E158+E251,BS250+IF(C251="重要关系3",E251,0)+IF(AND(C251="魅力",E251&lt;0),E251,0))))</x:f>
        <x:v>0</x:v>
      </x:c>
      <x:c r="BT251">
        <x:f>MAX(0,MIN(BK251,IF(AND(H251=1,C251="重要关系4",LEFT('幕间与结算'!H158,8)="建立新的重要关系"),'幕间与结算'!E158+E251,BT250+IF(C251="重要关系4",E251,0)+IF(AND(C251="魅力",E251&lt;0),E251,0))))</x:f>
        <x:v>0</x:v>
      </x:c>
      <x:c r="BU251">
        <x:f>MAX(0,MIN(BK251,IF(AND(H251=1,C251="重要关系5",LEFT('幕间与结算'!H158,8)="建立新的重要关系"),'幕间与结算'!E158+E251,BU250+IF(C251="重要关系5",E251,0)+IF(AND(C251="魅力",E251&lt;0),E251,0))))</x:f>
        <x:v>0</x:v>
      </x:c>
      <x:c r="BV251">
        <x:f>MAX(0,MIN(BK251,IF(AND(H251=1,C251="重要关系6",LEFT('幕间与结算'!H158,8)="建立新的重要关系"),'幕间与结算'!E158+E251,BV250+IF(C251="重要关系6",E251,0)+IF(AND(C251="魅力",E251&lt;0),E251,0))))</x:f>
        <x:v>0</x:v>
      </x:c>
      <x:c r="BW251">
        <x:f>MAX(0,MIN(BK251,IF(AND(H251=1,C251="重要关系7",LEFT('幕间与结算'!H158,8)="建立新的重要关系"),'幕间与结算'!E158+E251,BW250+IF(C251="重要关系7",E251,0)+IF(AND(C251="魅力",E251&lt;0),E251,0))))</x:f>
        <x:v>0</x:v>
      </x:c>
    </x:row>
    <x:row r="252">
      <x:c r="A252" t="str">
        <x:f>IFERROR(TEXT(VALUE('幕间与结算'!A159),"00"),"")</x:f>
        <x:v>00</x:v>
      </x:c>
      <x:c r="B252">
        <x:f>'幕间与结算'!B159</x:f>
        <x:v>0</x:v>
      </x:c>
      <x:c r="C252">
        <x:f>'幕间与结算'!D159</x:f>
        <x:v>0</x:v>
      </x:c>
      <x:c r="D252">
        <x:f>'幕间与结算'!F159</x:f>
        <x:v>0</x:v>
      </x:c>
      <x:c r="E252">
        <x:f>IF(H252=1,MAX(-'幕间与结算'!E159,MIN(D252,IF(LEFT(C252,3)="技能：",99,IF(COUNTIF($L$2:$L$7,C252)&gt;0,18,999))-'幕间与结算'!E159)),0)</x:f>
        <x:v>0</x:v>
      </x:c>
      <x:c r="F252" t="str">
        <x:f>IF(C252=0,"",IF(G252=0,"记录不完整",IF(H252=0,"重复未计","已计入")))</x:f>
        <x:v/>
      </x:c>
      <x:c r="G252">
        <x:f>IF(AND(AND('幕间与结算'!A159&lt;&gt;"",'幕间与结算'!B159&lt;&gt;"",'幕间与结算'!I159&lt;&gt;"",OR(LEFT(C252,3)="技能：",COUNTIF($L$2:$L$19,C252)&gt;0),ISNUMBER('幕间与结算'!E159),ISNUMBER('幕间与结算'!F159),ISNUMBER('幕间与结算'!G159),'幕间与结算'!E159&gt;=0,'幕间与结算'!G159='幕间与结算'!E159+'幕间与结算'!F159),OR(B252&lt;&gt;"成长",AND(LEFT(C252,3)="技能：",C252&lt;&gt;"技能：非自然知识",'幕间与结算'!E159&gt;=1,'幕间与结算'!E159&lt;=99,'幕间与结算'!F159&gt;=0,'幕间与结算'!F159&lt;=4,'幕间与结算'!G159&lt;=99))),1,0)</x:f>
        <x:v>0</x:v>
      </x:c>
      <x:c r="H252">
        <x:f>IF(AND(G252=1,COUNTIFS($I$200:I252,I252,$G$200:G252,1)=1),1,0)</x:f>
        <x:v>0</x:v>
      </x:c>
      <x:c r="I252" t="str">
        <x:f>IF(G252=1,IF(B252="成长",A252&amp;"-成长-"&amp;C252,'幕间与结算'!I159),"")</x:f>
        <x:v/>
      </x:c>
      <x:c r="BF252">
        <x:f>MAX(0,MIN(18,BF251+IF(C252="力量",E252,0)))</x:f>
        <x:v>0</x:v>
      </x:c>
      <x:c r="BG252">
        <x:f>MAX(0,MIN(18,BG251+IF(C252="体质",E252,0)))</x:f>
        <x:v>0</x:v>
      </x:c>
      <x:c r="BH252">
        <x:f>MAX(0,MIN(18,BH251+IF(C252="敏捷",E252,0)))</x:f>
        <x:v>0</x:v>
      </x:c>
      <x:c r="BI252">
        <x:f>MAX(0,MIN(18,BI251+IF(C252="智力",E252,0)))</x:f>
        <x:v>0</x:v>
      </x:c>
      <x:c r="BJ252">
        <x:f>MAX(0,MIN(18,BJ251+IF(C252="意志",E252,0)))</x:f>
        <x:v>0</x:v>
      </x:c>
      <x:c r="BK252">
        <x:f>MAX(0,MIN(18,BK251+IF(C252="魅力",E252,0)))</x:f>
        <x:v>0</x:v>
      </x:c>
      <x:c r="BL252">
        <x:f>MAX(0,MIN(99,BL251+IF(C252="技能：非自然知识",E252,0)))</x:f>
        <x:v>0</x:v>
      </x:c>
      <x:c r="BM252">
        <x:f>MAX(0,MIN(CEILING((BF252+BG252)/2,1),BM251+IF(C252="体力",E252,0)))</x:f>
        <x:v>0</x:v>
      </x:c>
      <x:c r="BN252">
        <x:f>MAX(0,MIN(BJ252,BN251+IF(C252="毅力",E252,0)))</x:f>
        <x:v>0</x:v>
      </x:c>
      <x:c r="BO252">
        <x:f>MAX(0,MIN(99-BL252,BO251+IF(C252="理智",E252,0)))</x:f>
        <x:v>0</x:v>
      </x:c>
      <x:c r="BP252">
        <x:f>MAX(0,MIN(99,BP251+IF(C252="崩溃点",E252,0)))</x:f>
        <x:v>0</x:v>
      </x:c>
      <x:c r="BQ252">
        <x:f>MAX(0,MIN(BK252,IF(AND(H252=1,C252="重要关系1",LEFT('幕间与结算'!H159,8)="建立新的重要关系"),'幕间与结算'!E159+E252,BQ251+IF(C252="重要关系1",E252,0)+IF(AND(C252="魅力",E252&lt;0),E252,0))))</x:f>
        <x:v>0</x:v>
      </x:c>
      <x:c r="BR252">
        <x:f>MAX(0,MIN(BK252,IF(AND(H252=1,C252="重要关系2",LEFT('幕间与结算'!H159,8)="建立新的重要关系"),'幕间与结算'!E159+E252,BR251+IF(C252="重要关系2",E252,0)+IF(AND(C252="魅力",E252&lt;0),E252,0))))</x:f>
        <x:v>0</x:v>
      </x:c>
      <x:c r="BS252">
        <x:f>MAX(0,MIN(BK252,IF(AND(H252=1,C252="重要关系3",LEFT('幕间与结算'!H159,8)="建立新的重要关系"),'幕间与结算'!E159+E252,BS251+IF(C252="重要关系3",E252,0)+IF(AND(C252="魅力",E252&lt;0),E252,0))))</x:f>
        <x:v>0</x:v>
      </x:c>
      <x:c r="BT252">
        <x:f>MAX(0,MIN(BK252,IF(AND(H252=1,C252="重要关系4",LEFT('幕间与结算'!H159,8)="建立新的重要关系"),'幕间与结算'!E159+E252,BT251+IF(C252="重要关系4",E252,0)+IF(AND(C252="魅力",E252&lt;0),E252,0))))</x:f>
        <x:v>0</x:v>
      </x:c>
      <x:c r="BU252">
        <x:f>MAX(0,MIN(BK252,IF(AND(H252=1,C252="重要关系5",LEFT('幕间与结算'!H159,8)="建立新的重要关系"),'幕间与结算'!E159+E252,BU251+IF(C252="重要关系5",E252,0)+IF(AND(C252="魅力",E252&lt;0),E252,0))))</x:f>
        <x:v>0</x:v>
      </x:c>
      <x:c r="BV252">
        <x:f>MAX(0,MIN(BK252,IF(AND(H252=1,C252="重要关系6",LEFT('幕间与结算'!H159,8)="建立新的重要关系"),'幕间与结算'!E159+E252,BV251+IF(C252="重要关系6",E252,0)+IF(AND(C252="魅力",E252&lt;0),E252,0))))</x:f>
        <x:v>0</x:v>
      </x:c>
      <x:c r="BW252">
        <x:f>MAX(0,MIN(BK252,IF(AND(H252=1,C252="重要关系7",LEFT('幕间与结算'!H159,8)="建立新的重要关系"),'幕间与结算'!E159+E252,BW251+IF(C252="重要关系7",E252,0)+IF(AND(C252="魅力",E252&lt;0),E252,0))))</x:f>
        <x:v>0</x:v>
      </x:c>
    </x:row>
    <x:row r="253">
      <x:c r="A253" t="str">
        <x:f>IFERROR(TEXT(VALUE('幕间与结算'!A160),"00"),"")</x:f>
        <x:v>00</x:v>
      </x:c>
      <x:c r="B253">
        <x:f>'幕间与结算'!B160</x:f>
        <x:v>0</x:v>
      </x:c>
      <x:c r="C253">
        <x:f>'幕间与结算'!D160</x:f>
        <x:v>0</x:v>
      </x:c>
      <x:c r="D253">
        <x:f>'幕间与结算'!F160</x:f>
        <x:v>0</x:v>
      </x:c>
      <x:c r="E253">
        <x:f>IF(H253=1,MAX(-'幕间与结算'!E160,MIN(D253,IF(LEFT(C253,3)="技能：",99,IF(COUNTIF($L$2:$L$7,C253)&gt;0,18,999))-'幕间与结算'!E160)),0)</x:f>
        <x:v>0</x:v>
      </x:c>
      <x:c r="F253" t="str">
        <x:f>IF(C253=0,"",IF(G253=0,"记录不完整",IF(H253=0,"重复未计","已计入")))</x:f>
        <x:v/>
      </x:c>
      <x:c r="G253">
        <x:f>IF(AND(AND('幕间与结算'!A160&lt;&gt;"",'幕间与结算'!B160&lt;&gt;"",'幕间与结算'!I160&lt;&gt;"",OR(LEFT(C253,3)="技能：",COUNTIF($L$2:$L$19,C253)&gt;0),ISNUMBER('幕间与结算'!E160),ISNUMBER('幕间与结算'!F160),ISNUMBER('幕间与结算'!G160),'幕间与结算'!E160&gt;=0,'幕间与结算'!G160='幕间与结算'!E160+'幕间与结算'!F160),OR(B253&lt;&gt;"成长",AND(LEFT(C253,3)="技能：",C253&lt;&gt;"技能：非自然知识",'幕间与结算'!E160&gt;=1,'幕间与结算'!E160&lt;=99,'幕间与结算'!F160&gt;=0,'幕间与结算'!F160&lt;=4,'幕间与结算'!G160&lt;=99))),1,0)</x:f>
        <x:v>0</x:v>
      </x:c>
      <x:c r="H253">
        <x:f>IF(AND(G253=1,COUNTIFS($I$200:I253,I253,$G$200:G253,1)=1),1,0)</x:f>
        <x:v>0</x:v>
      </x:c>
      <x:c r="I253" t="str">
        <x:f>IF(G253=1,IF(B253="成长",A253&amp;"-成长-"&amp;C253,'幕间与结算'!I160),"")</x:f>
        <x:v/>
      </x:c>
      <x:c r="BF253">
        <x:f>MAX(0,MIN(18,BF252+IF(C253="力量",E253,0)))</x:f>
        <x:v>0</x:v>
      </x:c>
      <x:c r="BG253">
        <x:f>MAX(0,MIN(18,BG252+IF(C253="体质",E253,0)))</x:f>
        <x:v>0</x:v>
      </x:c>
      <x:c r="BH253">
        <x:f>MAX(0,MIN(18,BH252+IF(C253="敏捷",E253,0)))</x:f>
        <x:v>0</x:v>
      </x:c>
      <x:c r="BI253">
        <x:f>MAX(0,MIN(18,BI252+IF(C253="智力",E253,0)))</x:f>
        <x:v>0</x:v>
      </x:c>
      <x:c r="BJ253">
        <x:f>MAX(0,MIN(18,BJ252+IF(C253="意志",E253,0)))</x:f>
        <x:v>0</x:v>
      </x:c>
      <x:c r="BK253">
        <x:f>MAX(0,MIN(18,BK252+IF(C253="魅力",E253,0)))</x:f>
        <x:v>0</x:v>
      </x:c>
      <x:c r="BL253">
        <x:f>MAX(0,MIN(99,BL252+IF(C253="技能：非自然知识",E253,0)))</x:f>
        <x:v>0</x:v>
      </x:c>
      <x:c r="BM253">
        <x:f>MAX(0,MIN(CEILING((BF253+BG253)/2,1),BM252+IF(C253="体力",E253,0)))</x:f>
        <x:v>0</x:v>
      </x:c>
      <x:c r="BN253">
        <x:f>MAX(0,MIN(BJ253,BN252+IF(C253="毅力",E253,0)))</x:f>
        <x:v>0</x:v>
      </x:c>
      <x:c r="BO253">
        <x:f>MAX(0,MIN(99-BL253,BO252+IF(C253="理智",E253,0)))</x:f>
        <x:v>0</x:v>
      </x:c>
      <x:c r="BP253">
        <x:f>MAX(0,MIN(99,BP252+IF(C253="崩溃点",E253,0)))</x:f>
        <x:v>0</x:v>
      </x:c>
      <x:c r="BQ253">
        <x:f>MAX(0,MIN(BK253,IF(AND(H253=1,C253="重要关系1",LEFT('幕间与结算'!H160,8)="建立新的重要关系"),'幕间与结算'!E160+E253,BQ252+IF(C253="重要关系1",E253,0)+IF(AND(C253="魅力",E253&lt;0),E253,0))))</x:f>
        <x:v>0</x:v>
      </x:c>
      <x:c r="BR253">
        <x:f>MAX(0,MIN(BK253,IF(AND(H253=1,C253="重要关系2",LEFT('幕间与结算'!H160,8)="建立新的重要关系"),'幕间与结算'!E160+E253,BR252+IF(C253="重要关系2",E253,0)+IF(AND(C253="魅力",E253&lt;0),E253,0))))</x:f>
        <x:v>0</x:v>
      </x:c>
      <x:c r="BS253">
        <x:f>MAX(0,MIN(BK253,IF(AND(H253=1,C253="重要关系3",LEFT('幕间与结算'!H160,8)="建立新的重要关系"),'幕间与结算'!E160+E253,BS252+IF(C253="重要关系3",E253,0)+IF(AND(C253="魅力",E253&lt;0),E253,0))))</x:f>
        <x:v>0</x:v>
      </x:c>
      <x:c r="BT253">
        <x:f>MAX(0,MIN(BK253,IF(AND(H253=1,C253="重要关系4",LEFT('幕间与结算'!H160,8)="建立新的重要关系"),'幕间与结算'!E160+E253,BT252+IF(C253="重要关系4",E253,0)+IF(AND(C253="魅力",E253&lt;0),E253,0))))</x:f>
        <x:v>0</x:v>
      </x:c>
      <x:c r="BU253">
        <x:f>MAX(0,MIN(BK253,IF(AND(H253=1,C253="重要关系5",LEFT('幕间与结算'!H160,8)="建立新的重要关系"),'幕间与结算'!E160+E253,BU252+IF(C253="重要关系5",E253,0)+IF(AND(C253="魅力",E253&lt;0),E253,0))))</x:f>
        <x:v>0</x:v>
      </x:c>
      <x:c r="BV253">
        <x:f>MAX(0,MIN(BK253,IF(AND(H253=1,C253="重要关系6",LEFT('幕间与结算'!H160,8)="建立新的重要关系"),'幕间与结算'!E160+E253,BV252+IF(C253="重要关系6",E253,0)+IF(AND(C253="魅力",E253&lt;0),E253,0))))</x:f>
        <x:v>0</x:v>
      </x:c>
      <x:c r="BW253">
        <x:f>MAX(0,MIN(BK253,IF(AND(H253=1,C253="重要关系7",LEFT('幕间与结算'!H160,8)="建立新的重要关系"),'幕间与结算'!E160+E253,BW252+IF(C253="重要关系7",E253,0)+IF(AND(C253="魅力",E253&lt;0),E253,0))))</x:f>
        <x:v>0</x:v>
      </x:c>
    </x:row>
    <x:row r="254">
      <x:c r="A254" t="str">
        <x:f>IFERROR(TEXT(VALUE('幕间与结算'!A161),"00"),"")</x:f>
        <x:v>00</x:v>
      </x:c>
      <x:c r="B254">
        <x:f>'幕间与结算'!B161</x:f>
        <x:v>0</x:v>
      </x:c>
      <x:c r="C254">
        <x:f>'幕间与结算'!D161</x:f>
        <x:v>0</x:v>
      </x:c>
      <x:c r="D254">
        <x:f>'幕间与结算'!F161</x:f>
        <x:v>0</x:v>
      </x:c>
      <x:c r="E254">
        <x:f>IF(H254=1,MAX(-'幕间与结算'!E161,MIN(D254,IF(LEFT(C254,3)="技能：",99,IF(COUNTIF($L$2:$L$7,C254)&gt;0,18,999))-'幕间与结算'!E161)),0)</x:f>
        <x:v>0</x:v>
      </x:c>
      <x:c r="F254" t="str">
        <x:f>IF(C254=0,"",IF(G254=0,"记录不完整",IF(H254=0,"重复未计","已计入")))</x:f>
        <x:v/>
      </x:c>
      <x:c r="G254">
        <x:f>IF(AND(AND('幕间与结算'!A161&lt;&gt;"",'幕间与结算'!B161&lt;&gt;"",'幕间与结算'!I161&lt;&gt;"",OR(LEFT(C254,3)="技能：",COUNTIF($L$2:$L$19,C254)&gt;0),ISNUMBER('幕间与结算'!E161),ISNUMBER('幕间与结算'!F161),ISNUMBER('幕间与结算'!G161),'幕间与结算'!E161&gt;=0,'幕间与结算'!G161='幕间与结算'!E161+'幕间与结算'!F161),OR(B254&lt;&gt;"成长",AND(LEFT(C254,3)="技能：",C254&lt;&gt;"技能：非自然知识",'幕间与结算'!E161&gt;=1,'幕间与结算'!E161&lt;=99,'幕间与结算'!F161&gt;=0,'幕间与结算'!F161&lt;=4,'幕间与结算'!G161&lt;=99))),1,0)</x:f>
        <x:v>0</x:v>
      </x:c>
      <x:c r="H254">
        <x:f>IF(AND(G254=1,COUNTIFS($I$200:I254,I254,$G$200:G254,1)=1),1,0)</x:f>
        <x:v>0</x:v>
      </x:c>
      <x:c r="I254" t="str">
        <x:f>IF(G254=1,IF(B254="成长",A254&amp;"-成长-"&amp;C254,'幕间与结算'!I161),"")</x:f>
        <x:v/>
      </x:c>
      <x:c r="BF254">
        <x:f>MAX(0,MIN(18,BF253+IF(C254="力量",E254,0)))</x:f>
        <x:v>0</x:v>
      </x:c>
      <x:c r="BG254">
        <x:f>MAX(0,MIN(18,BG253+IF(C254="体质",E254,0)))</x:f>
        <x:v>0</x:v>
      </x:c>
      <x:c r="BH254">
        <x:f>MAX(0,MIN(18,BH253+IF(C254="敏捷",E254,0)))</x:f>
        <x:v>0</x:v>
      </x:c>
      <x:c r="BI254">
        <x:f>MAX(0,MIN(18,BI253+IF(C254="智力",E254,0)))</x:f>
        <x:v>0</x:v>
      </x:c>
      <x:c r="BJ254">
        <x:f>MAX(0,MIN(18,BJ253+IF(C254="意志",E254,0)))</x:f>
        <x:v>0</x:v>
      </x:c>
      <x:c r="BK254">
        <x:f>MAX(0,MIN(18,BK253+IF(C254="魅力",E254,0)))</x:f>
        <x:v>0</x:v>
      </x:c>
      <x:c r="BL254">
        <x:f>MAX(0,MIN(99,BL253+IF(C254="技能：非自然知识",E254,0)))</x:f>
        <x:v>0</x:v>
      </x:c>
      <x:c r="BM254">
        <x:f>MAX(0,MIN(CEILING((BF254+BG254)/2,1),BM253+IF(C254="体力",E254,0)))</x:f>
        <x:v>0</x:v>
      </x:c>
      <x:c r="BN254">
        <x:f>MAX(0,MIN(BJ254,BN253+IF(C254="毅力",E254,0)))</x:f>
        <x:v>0</x:v>
      </x:c>
      <x:c r="BO254">
        <x:f>MAX(0,MIN(99-BL254,BO253+IF(C254="理智",E254,0)))</x:f>
        <x:v>0</x:v>
      </x:c>
      <x:c r="BP254">
        <x:f>MAX(0,MIN(99,BP253+IF(C254="崩溃点",E254,0)))</x:f>
        <x:v>0</x:v>
      </x:c>
      <x:c r="BQ254">
        <x:f>MAX(0,MIN(BK254,IF(AND(H254=1,C254="重要关系1",LEFT('幕间与结算'!H161,8)="建立新的重要关系"),'幕间与结算'!E161+E254,BQ253+IF(C254="重要关系1",E254,0)+IF(AND(C254="魅力",E254&lt;0),E254,0))))</x:f>
        <x:v>0</x:v>
      </x:c>
      <x:c r="BR254">
        <x:f>MAX(0,MIN(BK254,IF(AND(H254=1,C254="重要关系2",LEFT('幕间与结算'!H161,8)="建立新的重要关系"),'幕间与结算'!E161+E254,BR253+IF(C254="重要关系2",E254,0)+IF(AND(C254="魅力",E254&lt;0),E254,0))))</x:f>
        <x:v>0</x:v>
      </x:c>
      <x:c r="BS254">
        <x:f>MAX(0,MIN(BK254,IF(AND(H254=1,C254="重要关系3",LEFT('幕间与结算'!H161,8)="建立新的重要关系"),'幕间与结算'!E161+E254,BS253+IF(C254="重要关系3",E254,0)+IF(AND(C254="魅力",E254&lt;0),E254,0))))</x:f>
        <x:v>0</x:v>
      </x:c>
      <x:c r="BT254">
        <x:f>MAX(0,MIN(BK254,IF(AND(H254=1,C254="重要关系4",LEFT('幕间与结算'!H161,8)="建立新的重要关系"),'幕间与结算'!E161+E254,BT253+IF(C254="重要关系4",E254,0)+IF(AND(C254="魅力",E254&lt;0),E254,0))))</x:f>
        <x:v>0</x:v>
      </x:c>
      <x:c r="BU254">
        <x:f>MAX(0,MIN(BK254,IF(AND(H254=1,C254="重要关系5",LEFT('幕间与结算'!H161,8)="建立新的重要关系"),'幕间与结算'!E161+E254,BU253+IF(C254="重要关系5",E254,0)+IF(AND(C254="魅力",E254&lt;0),E254,0))))</x:f>
        <x:v>0</x:v>
      </x:c>
      <x:c r="BV254">
        <x:f>MAX(0,MIN(BK254,IF(AND(H254=1,C254="重要关系6",LEFT('幕间与结算'!H161,8)="建立新的重要关系"),'幕间与结算'!E161+E254,BV253+IF(C254="重要关系6",E254,0)+IF(AND(C254="魅力",E254&lt;0),E254,0))))</x:f>
        <x:v>0</x:v>
      </x:c>
      <x:c r="BW254">
        <x:f>MAX(0,MIN(BK254,IF(AND(H254=1,C254="重要关系7",LEFT('幕间与结算'!H161,8)="建立新的重要关系"),'幕间与结算'!E161+E254,BW253+IF(C254="重要关系7",E254,0)+IF(AND(C254="魅力",E254&lt;0),E254,0))))</x:f>
        <x:v>0</x:v>
      </x:c>
    </x:row>
    <x:row r="255">
      <x:c r="A255" t="str">
        <x:f>IFERROR(TEXT(VALUE('幕间与结算'!A162),"00"),"")</x:f>
        <x:v>00</x:v>
      </x:c>
      <x:c r="B255">
        <x:f>'幕间与结算'!B162</x:f>
        <x:v>0</x:v>
      </x:c>
      <x:c r="C255">
        <x:f>'幕间与结算'!D162</x:f>
        <x:v>0</x:v>
      </x:c>
      <x:c r="D255">
        <x:f>'幕间与结算'!F162</x:f>
        <x:v>0</x:v>
      </x:c>
      <x:c r="E255">
        <x:f>IF(H255=1,MAX(-'幕间与结算'!E162,MIN(D255,IF(LEFT(C255,3)="技能：",99,IF(COUNTIF($L$2:$L$7,C255)&gt;0,18,999))-'幕间与结算'!E162)),0)</x:f>
        <x:v>0</x:v>
      </x:c>
      <x:c r="F255" t="str">
        <x:f>IF(C255=0,"",IF(G255=0,"记录不完整",IF(H255=0,"重复未计","已计入")))</x:f>
        <x:v/>
      </x:c>
      <x:c r="G255">
        <x:f>IF(AND(AND('幕间与结算'!A162&lt;&gt;"",'幕间与结算'!B162&lt;&gt;"",'幕间与结算'!I162&lt;&gt;"",OR(LEFT(C255,3)="技能：",COUNTIF($L$2:$L$19,C255)&gt;0),ISNUMBER('幕间与结算'!E162),ISNUMBER('幕间与结算'!F162),ISNUMBER('幕间与结算'!G162),'幕间与结算'!E162&gt;=0,'幕间与结算'!G162='幕间与结算'!E162+'幕间与结算'!F162),OR(B255&lt;&gt;"成长",AND(LEFT(C255,3)="技能：",C255&lt;&gt;"技能：非自然知识",'幕间与结算'!E162&gt;=1,'幕间与结算'!E162&lt;=99,'幕间与结算'!F162&gt;=0,'幕间与结算'!F162&lt;=4,'幕间与结算'!G162&lt;=99))),1,0)</x:f>
        <x:v>0</x:v>
      </x:c>
      <x:c r="H255">
        <x:f>IF(AND(G255=1,COUNTIFS($I$200:I255,I255,$G$200:G255,1)=1),1,0)</x:f>
        <x:v>0</x:v>
      </x:c>
      <x:c r="I255" t="str">
        <x:f>IF(G255=1,IF(B255="成长",A255&amp;"-成长-"&amp;C255,'幕间与结算'!I162),"")</x:f>
        <x:v/>
      </x:c>
      <x:c r="BF255">
        <x:f>MAX(0,MIN(18,BF254+IF(C255="力量",E255,0)))</x:f>
        <x:v>0</x:v>
      </x:c>
      <x:c r="BG255">
        <x:f>MAX(0,MIN(18,BG254+IF(C255="体质",E255,0)))</x:f>
        <x:v>0</x:v>
      </x:c>
      <x:c r="BH255">
        <x:f>MAX(0,MIN(18,BH254+IF(C255="敏捷",E255,0)))</x:f>
        <x:v>0</x:v>
      </x:c>
      <x:c r="BI255">
        <x:f>MAX(0,MIN(18,BI254+IF(C255="智力",E255,0)))</x:f>
        <x:v>0</x:v>
      </x:c>
      <x:c r="BJ255">
        <x:f>MAX(0,MIN(18,BJ254+IF(C255="意志",E255,0)))</x:f>
        <x:v>0</x:v>
      </x:c>
      <x:c r="BK255">
        <x:f>MAX(0,MIN(18,BK254+IF(C255="魅力",E255,0)))</x:f>
        <x:v>0</x:v>
      </x:c>
      <x:c r="BL255">
        <x:f>MAX(0,MIN(99,BL254+IF(C255="技能：非自然知识",E255,0)))</x:f>
        <x:v>0</x:v>
      </x:c>
      <x:c r="BM255">
        <x:f>MAX(0,MIN(CEILING((BF255+BG255)/2,1),BM254+IF(C255="体力",E255,0)))</x:f>
        <x:v>0</x:v>
      </x:c>
      <x:c r="BN255">
        <x:f>MAX(0,MIN(BJ255,BN254+IF(C255="毅力",E255,0)))</x:f>
        <x:v>0</x:v>
      </x:c>
      <x:c r="BO255">
        <x:f>MAX(0,MIN(99-BL255,BO254+IF(C255="理智",E255,0)))</x:f>
        <x:v>0</x:v>
      </x:c>
      <x:c r="BP255">
        <x:f>MAX(0,MIN(99,BP254+IF(C255="崩溃点",E255,0)))</x:f>
        <x:v>0</x:v>
      </x:c>
      <x:c r="BQ255">
        <x:f>MAX(0,MIN(BK255,IF(AND(H255=1,C255="重要关系1",LEFT('幕间与结算'!H162,8)="建立新的重要关系"),'幕间与结算'!E162+E255,BQ254+IF(C255="重要关系1",E255,0)+IF(AND(C255="魅力",E255&lt;0),E255,0))))</x:f>
        <x:v>0</x:v>
      </x:c>
      <x:c r="BR255">
        <x:f>MAX(0,MIN(BK255,IF(AND(H255=1,C255="重要关系2",LEFT('幕间与结算'!H162,8)="建立新的重要关系"),'幕间与结算'!E162+E255,BR254+IF(C255="重要关系2",E255,0)+IF(AND(C255="魅力",E255&lt;0),E255,0))))</x:f>
        <x:v>0</x:v>
      </x:c>
      <x:c r="BS255">
        <x:f>MAX(0,MIN(BK255,IF(AND(H255=1,C255="重要关系3",LEFT('幕间与结算'!H162,8)="建立新的重要关系"),'幕间与结算'!E162+E255,BS254+IF(C255="重要关系3",E255,0)+IF(AND(C255="魅力",E255&lt;0),E255,0))))</x:f>
        <x:v>0</x:v>
      </x:c>
      <x:c r="BT255">
        <x:f>MAX(0,MIN(BK255,IF(AND(H255=1,C255="重要关系4",LEFT('幕间与结算'!H162,8)="建立新的重要关系"),'幕间与结算'!E162+E255,BT254+IF(C255="重要关系4",E255,0)+IF(AND(C255="魅力",E255&lt;0),E255,0))))</x:f>
        <x:v>0</x:v>
      </x:c>
      <x:c r="BU255">
        <x:f>MAX(0,MIN(BK255,IF(AND(H255=1,C255="重要关系5",LEFT('幕间与结算'!H162,8)="建立新的重要关系"),'幕间与结算'!E162+E255,BU254+IF(C255="重要关系5",E255,0)+IF(AND(C255="魅力",E255&lt;0),E255,0))))</x:f>
        <x:v>0</x:v>
      </x:c>
      <x:c r="BV255">
        <x:f>MAX(0,MIN(BK255,IF(AND(H255=1,C255="重要关系6",LEFT('幕间与结算'!H162,8)="建立新的重要关系"),'幕间与结算'!E162+E255,BV254+IF(C255="重要关系6",E255,0)+IF(AND(C255="魅力",E255&lt;0),E255,0))))</x:f>
        <x:v>0</x:v>
      </x:c>
      <x:c r="BW255">
        <x:f>MAX(0,MIN(BK255,IF(AND(H255=1,C255="重要关系7",LEFT('幕间与结算'!H162,8)="建立新的重要关系"),'幕间与结算'!E162+E255,BW254+IF(C255="重要关系7",E255,0)+IF(AND(C255="魅力",E255&lt;0),E255,0))))</x:f>
        <x:v>0</x:v>
      </x:c>
    </x:row>
    <x:row r="256">
      <x:c r="A256" t="str">
        <x:f>IFERROR(TEXT(VALUE('幕间与结算'!A163),"00"),"")</x:f>
        <x:v>00</x:v>
      </x:c>
      <x:c r="B256">
        <x:f>'幕间与结算'!B163</x:f>
        <x:v>0</x:v>
      </x:c>
      <x:c r="C256">
        <x:f>'幕间与结算'!D163</x:f>
        <x:v>0</x:v>
      </x:c>
      <x:c r="D256">
        <x:f>'幕间与结算'!F163</x:f>
        <x:v>0</x:v>
      </x:c>
      <x:c r="E256">
        <x:f>IF(H256=1,MAX(-'幕间与结算'!E163,MIN(D256,IF(LEFT(C256,3)="技能：",99,IF(COUNTIF($L$2:$L$7,C256)&gt;0,18,999))-'幕间与结算'!E163)),0)</x:f>
        <x:v>0</x:v>
      </x:c>
      <x:c r="F256" t="str">
        <x:f>IF(C256=0,"",IF(G256=0,"记录不完整",IF(H256=0,"重复未计","已计入")))</x:f>
        <x:v/>
      </x:c>
      <x:c r="G256">
        <x:f>IF(AND(AND('幕间与结算'!A163&lt;&gt;"",'幕间与结算'!B163&lt;&gt;"",'幕间与结算'!I163&lt;&gt;"",OR(LEFT(C256,3)="技能：",COUNTIF($L$2:$L$19,C256)&gt;0),ISNUMBER('幕间与结算'!E163),ISNUMBER('幕间与结算'!F163),ISNUMBER('幕间与结算'!G163),'幕间与结算'!E163&gt;=0,'幕间与结算'!G163='幕间与结算'!E163+'幕间与结算'!F163),OR(B256&lt;&gt;"成长",AND(LEFT(C256,3)="技能：",C256&lt;&gt;"技能：非自然知识",'幕间与结算'!E163&gt;=1,'幕间与结算'!E163&lt;=99,'幕间与结算'!F163&gt;=0,'幕间与结算'!F163&lt;=4,'幕间与结算'!G163&lt;=99))),1,0)</x:f>
        <x:v>0</x:v>
      </x:c>
      <x:c r="H256">
        <x:f>IF(AND(G256=1,COUNTIFS($I$200:I256,I256,$G$200:G256,1)=1),1,0)</x:f>
        <x:v>0</x:v>
      </x:c>
      <x:c r="I256" t="str">
        <x:f>IF(G256=1,IF(B256="成长",A256&amp;"-成长-"&amp;C256,'幕间与结算'!I163),"")</x:f>
        <x:v/>
      </x:c>
      <x:c r="BF256">
        <x:f>MAX(0,MIN(18,BF255+IF(C256="力量",E256,0)))</x:f>
        <x:v>0</x:v>
      </x:c>
      <x:c r="BG256">
        <x:f>MAX(0,MIN(18,BG255+IF(C256="体质",E256,0)))</x:f>
        <x:v>0</x:v>
      </x:c>
      <x:c r="BH256">
        <x:f>MAX(0,MIN(18,BH255+IF(C256="敏捷",E256,0)))</x:f>
        <x:v>0</x:v>
      </x:c>
      <x:c r="BI256">
        <x:f>MAX(0,MIN(18,BI255+IF(C256="智力",E256,0)))</x:f>
        <x:v>0</x:v>
      </x:c>
      <x:c r="BJ256">
        <x:f>MAX(0,MIN(18,BJ255+IF(C256="意志",E256,0)))</x:f>
        <x:v>0</x:v>
      </x:c>
      <x:c r="BK256">
        <x:f>MAX(0,MIN(18,BK255+IF(C256="魅力",E256,0)))</x:f>
        <x:v>0</x:v>
      </x:c>
      <x:c r="BL256">
        <x:f>MAX(0,MIN(99,BL255+IF(C256="技能：非自然知识",E256,0)))</x:f>
        <x:v>0</x:v>
      </x:c>
      <x:c r="BM256">
        <x:f>MAX(0,MIN(CEILING((BF256+BG256)/2,1),BM255+IF(C256="体力",E256,0)))</x:f>
        <x:v>0</x:v>
      </x:c>
      <x:c r="BN256">
        <x:f>MAX(0,MIN(BJ256,BN255+IF(C256="毅力",E256,0)))</x:f>
        <x:v>0</x:v>
      </x:c>
      <x:c r="BO256">
        <x:f>MAX(0,MIN(99-BL256,BO255+IF(C256="理智",E256,0)))</x:f>
        <x:v>0</x:v>
      </x:c>
      <x:c r="BP256">
        <x:f>MAX(0,MIN(99,BP255+IF(C256="崩溃点",E256,0)))</x:f>
        <x:v>0</x:v>
      </x:c>
      <x:c r="BQ256">
        <x:f>MAX(0,MIN(BK256,IF(AND(H256=1,C256="重要关系1",LEFT('幕间与结算'!H163,8)="建立新的重要关系"),'幕间与结算'!E163+E256,BQ255+IF(C256="重要关系1",E256,0)+IF(AND(C256="魅力",E256&lt;0),E256,0))))</x:f>
        <x:v>0</x:v>
      </x:c>
      <x:c r="BR256">
        <x:f>MAX(0,MIN(BK256,IF(AND(H256=1,C256="重要关系2",LEFT('幕间与结算'!H163,8)="建立新的重要关系"),'幕间与结算'!E163+E256,BR255+IF(C256="重要关系2",E256,0)+IF(AND(C256="魅力",E256&lt;0),E256,0))))</x:f>
        <x:v>0</x:v>
      </x:c>
      <x:c r="BS256">
        <x:f>MAX(0,MIN(BK256,IF(AND(H256=1,C256="重要关系3",LEFT('幕间与结算'!H163,8)="建立新的重要关系"),'幕间与结算'!E163+E256,BS255+IF(C256="重要关系3",E256,0)+IF(AND(C256="魅力",E256&lt;0),E256,0))))</x:f>
        <x:v>0</x:v>
      </x:c>
      <x:c r="BT256">
        <x:f>MAX(0,MIN(BK256,IF(AND(H256=1,C256="重要关系4",LEFT('幕间与结算'!H163,8)="建立新的重要关系"),'幕间与结算'!E163+E256,BT255+IF(C256="重要关系4",E256,0)+IF(AND(C256="魅力",E256&lt;0),E256,0))))</x:f>
        <x:v>0</x:v>
      </x:c>
      <x:c r="BU256">
        <x:f>MAX(0,MIN(BK256,IF(AND(H256=1,C256="重要关系5",LEFT('幕间与结算'!H163,8)="建立新的重要关系"),'幕间与结算'!E163+E256,BU255+IF(C256="重要关系5",E256,0)+IF(AND(C256="魅力",E256&lt;0),E256,0))))</x:f>
        <x:v>0</x:v>
      </x:c>
      <x:c r="BV256">
        <x:f>MAX(0,MIN(BK256,IF(AND(H256=1,C256="重要关系6",LEFT('幕间与结算'!H163,8)="建立新的重要关系"),'幕间与结算'!E163+E256,BV255+IF(C256="重要关系6",E256,0)+IF(AND(C256="魅力",E256&lt;0),E256,0))))</x:f>
        <x:v>0</x:v>
      </x:c>
      <x:c r="BW256">
        <x:f>MAX(0,MIN(BK256,IF(AND(H256=1,C256="重要关系7",LEFT('幕间与结算'!H163,8)="建立新的重要关系"),'幕间与结算'!E163+E256,BW255+IF(C256="重要关系7",E256,0)+IF(AND(C256="魅力",E256&lt;0),E256,0))))</x:f>
        <x:v>0</x:v>
      </x:c>
    </x:row>
    <x:row r="257">
      <x:c r="A257" t="str">
        <x:f>IFERROR(TEXT(VALUE('幕间与结算'!A164),"00"),"")</x:f>
        <x:v>00</x:v>
      </x:c>
      <x:c r="B257">
        <x:f>'幕间与结算'!B164</x:f>
        <x:v>0</x:v>
      </x:c>
      <x:c r="C257">
        <x:f>'幕间与结算'!D164</x:f>
        <x:v>0</x:v>
      </x:c>
      <x:c r="D257">
        <x:f>'幕间与结算'!F164</x:f>
        <x:v>0</x:v>
      </x:c>
      <x:c r="E257">
        <x:f>IF(H257=1,MAX(-'幕间与结算'!E164,MIN(D257,IF(LEFT(C257,3)="技能：",99,IF(COUNTIF($L$2:$L$7,C257)&gt;0,18,999))-'幕间与结算'!E164)),0)</x:f>
        <x:v>0</x:v>
      </x:c>
      <x:c r="F257" t="str">
        <x:f>IF(C257=0,"",IF(G257=0,"记录不完整",IF(H257=0,"重复未计","已计入")))</x:f>
        <x:v/>
      </x:c>
      <x:c r="G257">
        <x:f>IF(AND(AND('幕间与结算'!A164&lt;&gt;"",'幕间与结算'!B164&lt;&gt;"",'幕间与结算'!I164&lt;&gt;"",OR(LEFT(C257,3)="技能：",COUNTIF($L$2:$L$19,C257)&gt;0),ISNUMBER('幕间与结算'!E164),ISNUMBER('幕间与结算'!F164),ISNUMBER('幕间与结算'!G164),'幕间与结算'!E164&gt;=0,'幕间与结算'!G164='幕间与结算'!E164+'幕间与结算'!F164),OR(B257&lt;&gt;"成长",AND(LEFT(C257,3)="技能：",C257&lt;&gt;"技能：非自然知识",'幕间与结算'!E164&gt;=1,'幕间与结算'!E164&lt;=99,'幕间与结算'!F164&gt;=0,'幕间与结算'!F164&lt;=4,'幕间与结算'!G164&lt;=99))),1,0)</x:f>
        <x:v>0</x:v>
      </x:c>
      <x:c r="H257">
        <x:f>IF(AND(G257=1,COUNTIFS($I$200:I257,I257,$G$200:G257,1)=1),1,0)</x:f>
        <x:v>0</x:v>
      </x:c>
      <x:c r="I257" t="str">
        <x:f>IF(G257=1,IF(B257="成长",A257&amp;"-成长-"&amp;C257,'幕间与结算'!I164),"")</x:f>
        <x:v/>
      </x:c>
      <x:c r="BF257">
        <x:f>MAX(0,MIN(18,BF256+IF(C257="力量",E257,0)))</x:f>
        <x:v>0</x:v>
      </x:c>
      <x:c r="BG257">
        <x:f>MAX(0,MIN(18,BG256+IF(C257="体质",E257,0)))</x:f>
        <x:v>0</x:v>
      </x:c>
      <x:c r="BH257">
        <x:f>MAX(0,MIN(18,BH256+IF(C257="敏捷",E257,0)))</x:f>
        <x:v>0</x:v>
      </x:c>
      <x:c r="BI257">
        <x:f>MAX(0,MIN(18,BI256+IF(C257="智力",E257,0)))</x:f>
        <x:v>0</x:v>
      </x:c>
      <x:c r="BJ257">
        <x:f>MAX(0,MIN(18,BJ256+IF(C257="意志",E257,0)))</x:f>
        <x:v>0</x:v>
      </x:c>
      <x:c r="BK257">
        <x:f>MAX(0,MIN(18,BK256+IF(C257="魅力",E257,0)))</x:f>
        <x:v>0</x:v>
      </x:c>
      <x:c r="BL257">
        <x:f>MAX(0,MIN(99,BL256+IF(C257="技能：非自然知识",E257,0)))</x:f>
        <x:v>0</x:v>
      </x:c>
      <x:c r="BM257">
        <x:f>MAX(0,MIN(CEILING((BF257+BG257)/2,1),BM256+IF(C257="体力",E257,0)))</x:f>
        <x:v>0</x:v>
      </x:c>
      <x:c r="BN257">
        <x:f>MAX(0,MIN(BJ257,BN256+IF(C257="毅力",E257,0)))</x:f>
        <x:v>0</x:v>
      </x:c>
      <x:c r="BO257">
        <x:f>MAX(0,MIN(99-BL257,BO256+IF(C257="理智",E257,0)))</x:f>
        <x:v>0</x:v>
      </x:c>
      <x:c r="BP257">
        <x:f>MAX(0,MIN(99,BP256+IF(C257="崩溃点",E257,0)))</x:f>
        <x:v>0</x:v>
      </x:c>
      <x:c r="BQ257">
        <x:f>MAX(0,MIN(BK257,IF(AND(H257=1,C257="重要关系1",LEFT('幕间与结算'!H164,8)="建立新的重要关系"),'幕间与结算'!E164+E257,BQ256+IF(C257="重要关系1",E257,0)+IF(AND(C257="魅力",E257&lt;0),E257,0))))</x:f>
        <x:v>0</x:v>
      </x:c>
      <x:c r="BR257">
        <x:f>MAX(0,MIN(BK257,IF(AND(H257=1,C257="重要关系2",LEFT('幕间与结算'!H164,8)="建立新的重要关系"),'幕间与结算'!E164+E257,BR256+IF(C257="重要关系2",E257,0)+IF(AND(C257="魅力",E257&lt;0),E257,0))))</x:f>
        <x:v>0</x:v>
      </x:c>
      <x:c r="BS257">
        <x:f>MAX(0,MIN(BK257,IF(AND(H257=1,C257="重要关系3",LEFT('幕间与结算'!H164,8)="建立新的重要关系"),'幕间与结算'!E164+E257,BS256+IF(C257="重要关系3",E257,0)+IF(AND(C257="魅力",E257&lt;0),E257,0))))</x:f>
        <x:v>0</x:v>
      </x:c>
      <x:c r="BT257">
        <x:f>MAX(0,MIN(BK257,IF(AND(H257=1,C257="重要关系4",LEFT('幕间与结算'!H164,8)="建立新的重要关系"),'幕间与结算'!E164+E257,BT256+IF(C257="重要关系4",E257,0)+IF(AND(C257="魅力",E257&lt;0),E257,0))))</x:f>
        <x:v>0</x:v>
      </x:c>
      <x:c r="BU257">
        <x:f>MAX(0,MIN(BK257,IF(AND(H257=1,C257="重要关系5",LEFT('幕间与结算'!H164,8)="建立新的重要关系"),'幕间与结算'!E164+E257,BU256+IF(C257="重要关系5",E257,0)+IF(AND(C257="魅力",E257&lt;0),E257,0))))</x:f>
        <x:v>0</x:v>
      </x:c>
      <x:c r="BV257">
        <x:f>MAX(0,MIN(BK257,IF(AND(H257=1,C257="重要关系6",LEFT('幕间与结算'!H164,8)="建立新的重要关系"),'幕间与结算'!E164+E257,BV256+IF(C257="重要关系6",E257,0)+IF(AND(C257="魅力",E257&lt;0),E257,0))))</x:f>
        <x:v>0</x:v>
      </x:c>
      <x:c r="BW257">
        <x:f>MAX(0,MIN(BK257,IF(AND(H257=1,C257="重要关系7",LEFT('幕间与结算'!H164,8)="建立新的重要关系"),'幕间与结算'!E164+E257,BW256+IF(C257="重要关系7",E257,0)+IF(AND(C257="魅力",E257&lt;0),E257,0))))</x:f>
        <x:v>0</x:v>
      </x:c>
    </x:row>
    <x:row r="258">
      <x:c r="A258" t="str">
        <x:f>IFERROR(TEXT(VALUE('幕间与结算'!A165),"00"),"")</x:f>
        <x:v>00</x:v>
      </x:c>
      <x:c r="B258">
        <x:f>'幕间与结算'!B165</x:f>
        <x:v>0</x:v>
      </x:c>
      <x:c r="C258">
        <x:f>'幕间与结算'!D165</x:f>
        <x:v>0</x:v>
      </x:c>
      <x:c r="D258">
        <x:f>'幕间与结算'!F165</x:f>
        <x:v>0</x:v>
      </x:c>
      <x:c r="E258">
        <x:f>IF(H258=1,MAX(-'幕间与结算'!E165,MIN(D258,IF(LEFT(C258,3)="技能：",99,IF(COUNTIF($L$2:$L$7,C258)&gt;0,18,999))-'幕间与结算'!E165)),0)</x:f>
        <x:v>0</x:v>
      </x:c>
      <x:c r="F258" t="str">
        <x:f>IF(C258=0,"",IF(G258=0,"记录不完整",IF(H258=0,"重复未计","已计入")))</x:f>
        <x:v/>
      </x:c>
      <x:c r="G258">
        <x:f>IF(AND(AND('幕间与结算'!A165&lt;&gt;"",'幕间与结算'!B165&lt;&gt;"",'幕间与结算'!I165&lt;&gt;"",OR(LEFT(C258,3)="技能：",COUNTIF($L$2:$L$19,C258)&gt;0),ISNUMBER('幕间与结算'!E165),ISNUMBER('幕间与结算'!F165),ISNUMBER('幕间与结算'!G165),'幕间与结算'!E165&gt;=0,'幕间与结算'!G165='幕间与结算'!E165+'幕间与结算'!F165),OR(B258&lt;&gt;"成长",AND(LEFT(C258,3)="技能：",C258&lt;&gt;"技能：非自然知识",'幕间与结算'!E165&gt;=1,'幕间与结算'!E165&lt;=99,'幕间与结算'!F165&gt;=0,'幕间与结算'!F165&lt;=4,'幕间与结算'!G165&lt;=99))),1,0)</x:f>
        <x:v>0</x:v>
      </x:c>
      <x:c r="H258">
        <x:f>IF(AND(G258=1,COUNTIFS($I$200:I258,I258,$G$200:G258,1)=1),1,0)</x:f>
        <x:v>0</x:v>
      </x:c>
      <x:c r="I258" t="str">
        <x:f>IF(G258=1,IF(B258="成长",A258&amp;"-成长-"&amp;C258,'幕间与结算'!I165),"")</x:f>
        <x:v/>
      </x:c>
      <x:c r="BF258">
        <x:f>MAX(0,MIN(18,BF257+IF(C258="力量",E258,0)))</x:f>
        <x:v>0</x:v>
      </x:c>
      <x:c r="BG258">
        <x:f>MAX(0,MIN(18,BG257+IF(C258="体质",E258,0)))</x:f>
        <x:v>0</x:v>
      </x:c>
      <x:c r="BH258">
        <x:f>MAX(0,MIN(18,BH257+IF(C258="敏捷",E258,0)))</x:f>
        <x:v>0</x:v>
      </x:c>
      <x:c r="BI258">
        <x:f>MAX(0,MIN(18,BI257+IF(C258="智力",E258,0)))</x:f>
        <x:v>0</x:v>
      </x:c>
      <x:c r="BJ258">
        <x:f>MAX(0,MIN(18,BJ257+IF(C258="意志",E258,0)))</x:f>
        <x:v>0</x:v>
      </x:c>
      <x:c r="BK258">
        <x:f>MAX(0,MIN(18,BK257+IF(C258="魅力",E258,0)))</x:f>
        <x:v>0</x:v>
      </x:c>
      <x:c r="BL258">
        <x:f>MAX(0,MIN(99,BL257+IF(C258="技能：非自然知识",E258,0)))</x:f>
        <x:v>0</x:v>
      </x:c>
      <x:c r="BM258">
        <x:f>MAX(0,MIN(CEILING((BF258+BG258)/2,1),BM257+IF(C258="体力",E258,0)))</x:f>
        <x:v>0</x:v>
      </x:c>
      <x:c r="BN258">
        <x:f>MAX(0,MIN(BJ258,BN257+IF(C258="毅力",E258,0)))</x:f>
        <x:v>0</x:v>
      </x:c>
      <x:c r="BO258">
        <x:f>MAX(0,MIN(99-BL258,BO257+IF(C258="理智",E258,0)))</x:f>
        <x:v>0</x:v>
      </x:c>
      <x:c r="BP258">
        <x:f>MAX(0,MIN(99,BP257+IF(C258="崩溃点",E258,0)))</x:f>
        <x:v>0</x:v>
      </x:c>
      <x:c r="BQ258">
        <x:f>MAX(0,MIN(BK258,IF(AND(H258=1,C258="重要关系1",LEFT('幕间与结算'!H165,8)="建立新的重要关系"),'幕间与结算'!E165+E258,BQ257+IF(C258="重要关系1",E258,0)+IF(AND(C258="魅力",E258&lt;0),E258,0))))</x:f>
        <x:v>0</x:v>
      </x:c>
      <x:c r="BR258">
        <x:f>MAX(0,MIN(BK258,IF(AND(H258=1,C258="重要关系2",LEFT('幕间与结算'!H165,8)="建立新的重要关系"),'幕间与结算'!E165+E258,BR257+IF(C258="重要关系2",E258,0)+IF(AND(C258="魅力",E258&lt;0),E258,0))))</x:f>
        <x:v>0</x:v>
      </x:c>
      <x:c r="BS258">
        <x:f>MAX(0,MIN(BK258,IF(AND(H258=1,C258="重要关系3",LEFT('幕间与结算'!H165,8)="建立新的重要关系"),'幕间与结算'!E165+E258,BS257+IF(C258="重要关系3",E258,0)+IF(AND(C258="魅力",E258&lt;0),E258,0))))</x:f>
        <x:v>0</x:v>
      </x:c>
      <x:c r="BT258">
        <x:f>MAX(0,MIN(BK258,IF(AND(H258=1,C258="重要关系4",LEFT('幕间与结算'!H165,8)="建立新的重要关系"),'幕间与结算'!E165+E258,BT257+IF(C258="重要关系4",E258,0)+IF(AND(C258="魅力",E258&lt;0),E258,0))))</x:f>
        <x:v>0</x:v>
      </x:c>
      <x:c r="BU258">
        <x:f>MAX(0,MIN(BK258,IF(AND(H258=1,C258="重要关系5",LEFT('幕间与结算'!H165,8)="建立新的重要关系"),'幕间与结算'!E165+E258,BU257+IF(C258="重要关系5",E258,0)+IF(AND(C258="魅力",E258&lt;0),E258,0))))</x:f>
        <x:v>0</x:v>
      </x:c>
      <x:c r="BV258">
        <x:f>MAX(0,MIN(BK258,IF(AND(H258=1,C258="重要关系6",LEFT('幕间与结算'!H165,8)="建立新的重要关系"),'幕间与结算'!E165+E258,BV257+IF(C258="重要关系6",E258,0)+IF(AND(C258="魅力",E258&lt;0),E258,0))))</x:f>
        <x:v>0</x:v>
      </x:c>
      <x:c r="BW258">
        <x:f>MAX(0,MIN(BK258,IF(AND(H258=1,C258="重要关系7",LEFT('幕间与结算'!H165,8)="建立新的重要关系"),'幕间与结算'!E165+E258,BW257+IF(C258="重要关系7",E258,0)+IF(AND(C258="魅力",E258&lt;0),E258,0))))</x:f>
        <x:v>0</x:v>
      </x:c>
    </x:row>
    <x:row r="259">
      <x:c r="A259" t="str">
        <x:f>IFERROR(TEXT(VALUE('幕间与结算'!A166),"00"),"")</x:f>
        <x:v>00</x:v>
      </x:c>
      <x:c r="B259">
        <x:f>'幕间与结算'!B166</x:f>
        <x:v>0</x:v>
      </x:c>
      <x:c r="C259">
        <x:f>'幕间与结算'!D166</x:f>
        <x:v>0</x:v>
      </x:c>
      <x:c r="D259">
        <x:f>'幕间与结算'!F166</x:f>
        <x:v>0</x:v>
      </x:c>
      <x:c r="E259">
        <x:f>IF(H259=1,MAX(-'幕间与结算'!E166,MIN(D259,IF(LEFT(C259,3)="技能：",99,IF(COUNTIF($L$2:$L$7,C259)&gt;0,18,999))-'幕间与结算'!E166)),0)</x:f>
        <x:v>0</x:v>
      </x:c>
      <x:c r="F259" t="str">
        <x:f>IF(C259=0,"",IF(G259=0,"记录不完整",IF(H259=0,"重复未计","已计入")))</x:f>
        <x:v/>
      </x:c>
      <x:c r="G259">
        <x:f>IF(AND(AND('幕间与结算'!A166&lt;&gt;"",'幕间与结算'!B166&lt;&gt;"",'幕间与结算'!I166&lt;&gt;"",OR(LEFT(C259,3)="技能：",COUNTIF($L$2:$L$19,C259)&gt;0),ISNUMBER('幕间与结算'!E166),ISNUMBER('幕间与结算'!F166),ISNUMBER('幕间与结算'!G166),'幕间与结算'!E166&gt;=0,'幕间与结算'!G166='幕间与结算'!E166+'幕间与结算'!F166),OR(B259&lt;&gt;"成长",AND(LEFT(C259,3)="技能：",C259&lt;&gt;"技能：非自然知识",'幕间与结算'!E166&gt;=1,'幕间与结算'!E166&lt;=99,'幕间与结算'!F166&gt;=0,'幕间与结算'!F166&lt;=4,'幕间与结算'!G166&lt;=99))),1,0)</x:f>
        <x:v>0</x:v>
      </x:c>
      <x:c r="H259">
        <x:f>IF(AND(G259=1,COUNTIFS($I$200:I259,I259,$G$200:G259,1)=1),1,0)</x:f>
        <x:v>0</x:v>
      </x:c>
      <x:c r="I259" t="str">
        <x:f>IF(G259=1,IF(B259="成长",A259&amp;"-成长-"&amp;C259,'幕间与结算'!I166),"")</x:f>
        <x:v/>
      </x:c>
      <x:c r="BF259">
        <x:f>MAX(0,MIN(18,BF258+IF(C259="力量",E259,0)))</x:f>
        <x:v>0</x:v>
      </x:c>
      <x:c r="BG259">
        <x:f>MAX(0,MIN(18,BG258+IF(C259="体质",E259,0)))</x:f>
        <x:v>0</x:v>
      </x:c>
      <x:c r="BH259">
        <x:f>MAX(0,MIN(18,BH258+IF(C259="敏捷",E259,0)))</x:f>
        <x:v>0</x:v>
      </x:c>
      <x:c r="BI259">
        <x:f>MAX(0,MIN(18,BI258+IF(C259="智力",E259,0)))</x:f>
        <x:v>0</x:v>
      </x:c>
      <x:c r="BJ259">
        <x:f>MAX(0,MIN(18,BJ258+IF(C259="意志",E259,0)))</x:f>
        <x:v>0</x:v>
      </x:c>
      <x:c r="BK259">
        <x:f>MAX(0,MIN(18,BK258+IF(C259="魅力",E259,0)))</x:f>
        <x:v>0</x:v>
      </x:c>
      <x:c r="BL259">
        <x:f>MAX(0,MIN(99,BL258+IF(C259="技能：非自然知识",E259,0)))</x:f>
        <x:v>0</x:v>
      </x:c>
      <x:c r="BM259">
        <x:f>MAX(0,MIN(CEILING((BF259+BG259)/2,1),BM258+IF(C259="体力",E259,0)))</x:f>
        <x:v>0</x:v>
      </x:c>
      <x:c r="BN259">
        <x:f>MAX(0,MIN(BJ259,BN258+IF(C259="毅力",E259,0)))</x:f>
        <x:v>0</x:v>
      </x:c>
      <x:c r="BO259">
        <x:f>MAX(0,MIN(99-BL259,BO258+IF(C259="理智",E259,0)))</x:f>
        <x:v>0</x:v>
      </x:c>
      <x:c r="BP259">
        <x:f>MAX(0,MIN(99,BP258+IF(C259="崩溃点",E259,0)))</x:f>
        <x:v>0</x:v>
      </x:c>
      <x:c r="BQ259">
        <x:f>MAX(0,MIN(BK259,IF(AND(H259=1,C259="重要关系1",LEFT('幕间与结算'!H166,8)="建立新的重要关系"),'幕间与结算'!E166+E259,BQ258+IF(C259="重要关系1",E259,0)+IF(AND(C259="魅力",E259&lt;0),E259,0))))</x:f>
        <x:v>0</x:v>
      </x:c>
      <x:c r="BR259">
        <x:f>MAX(0,MIN(BK259,IF(AND(H259=1,C259="重要关系2",LEFT('幕间与结算'!H166,8)="建立新的重要关系"),'幕间与结算'!E166+E259,BR258+IF(C259="重要关系2",E259,0)+IF(AND(C259="魅力",E259&lt;0),E259,0))))</x:f>
        <x:v>0</x:v>
      </x:c>
      <x:c r="BS259">
        <x:f>MAX(0,MIN(BK259,IF(AND(H259=1,C259="重要关系3",LEFT('幕间与结算'!H166,8)="建立新的重要关系"),'幕间与结算'!E166+E259,BS258+IF(C259="重要关系3",E259,0)+IF(AND(C259="魅力",E259&lt;0),E259,0))))</x:f>
        <x:v>0</x:v>
      </x:c>
      <x:c r="BT259">
        <x:f>MAX(0,MIN(BK259,IF(AND(H259=1,C259="重要关系4",LEFT('幕间与结算'!H166,8)="建立新的重要关系"),'幕间与结算'!E166+E259,BT258+IF(C259="重要关系4",E259,0)+IF(AND(C259="魅力",E259&lt;0),E259,0))))</x:f>
        <x:v>0</x:v>
      </x:c>
      <x:c r="BU259">
        <x:f>MAX(0,MIN(BK259,IF(AND(H259=1,C259="重要关系5",LEFT('幕间与结算'!H166,8)="建立新的重要关系"),'幕间与结算'!E166+E259,BU258+IF(C259="重要关系5",E259,0)+IF(AND(C259="魅力",E259&lt;0),E259,0))))</x:f>
        <x:v>0</x:v>
      </x:c>
      <x:c r="BV259">
        <x:f>MAX(0,MIN(BK259,IF(AND(H259=1,C259="重要关系6",LEFT('幕间与结算'!H166,8)="建立新的重要关系"),'幕间与结算'!E166+E259,BV258+IF(C259="重要关系6",E259,0)+IF(AND(C259="魅力",E259&lt;0),E259,0))))</x:f>
        <x:v>0</x:v>
      </x:c>
      <x:c r="BW259">
        <x:f>MAX(0,MIN(BK259,IF(AND(H259=1,C259="重要关系7",LEFT('幕间与结算'!H166,8)="建立新的重要关系"),'幕间与结算'!E166+E259,BW258+IF(C259="重要关系7",E259,0)+IF(AND(C259="魅力",E259&lt;0),E259,0))))</x:f>
        <x:v>0</x:v>
      </x:c>
    </x:row>
    <x:row r="260">
      <x:c r="A260" t="str">
        <x:f>IFERROR(TEXT(VALUE('幕间与结算'!A167),"00"),"")</x:f>
        <x:v>00</x:v>
      </x:c>
      <x:c r="B260">
        <x:f>'幕间与结算'!B167</x:f>
        <x:v>0</x:v>
      </x:c>
      <x:c r="C260">
        <x:f>'幕间与结算'!D167</x:f>
        <x:v>0</x:v>
      </x:c>
      <x:c r="D260">
        <x:f>'幕间与结算'!F167</x:f>
        <x:v>0</x:v>
      </x:c>
      <x:c r="E260">
        <x:f>IF(H260=1,MAX(-'幕间与结算'!E167,MIN(D260,IF(LEFT(C260,3)="技能：",99,IF(COUNTIF($L$2:$L$7,C260)&gt;0,18,999))-'幕间与结算'!E167)),0)</x:f>
        <x:v>0</x:v>
      </x:c>
      <x:c r="F260" t="str">
        <x:f>IF(C260=0,"",IF(G260=0,"记录不完整",IF(H260=0,"重复未计","已计入")))</x:f>
        <x:v/>
      </x:c>
      <x:c r="G260">
        <x:f>IF(AND(AND('幕间与结算'!A167&lt;&gt;"",'幕间与结算'!B167&lt;&gt;"",'幕间与结算'!I167&lt;&gt;"",OR(LEFT(C260,3)="技能：",COUNTIF($L$2:$L$19,C260)&gt;0),ISNUMBER('幕间与结算'!E167),ISNUMBER('幕间与结算'!F167),ISNUMBER('幕间与结算'!G167),'幕间与结算'!E167&gt;=0,'幕间与结算'!G167='幕间与结算'!E167+'幕间与结算'!F167),OR(B260&lt;&gt;"成长",AND(LEFT(C260,3)="技能：",C260&lt;&gt;"技能：非自然知识",'幕间与结算'!E167&gt;=1,'幕间与结算'!E167&lt;=99,'幕间与结算'!F167&gt;=0,'幕间与结算'!F167&lt;=4,'幕间与结算'!G167&lt;=99))),1,0)</x:f>
        <x:v>0</x:v>
      </x:c>
      <x:c r="H260">
        <x:f>IF(AND(G260=1,COUNTIFS($I$200:I260,I260,$G$200:G260,1)=1),1,0)</x:f>
        <x:v>0</x:v>
      </x:c>
      <x:c r="I260" t="str">
        <x:f>IF(G260=1,IF(B260="成长",A260&amp;"-成长-"&amp;C260,'幕间与结算'!I167),"")</x:f>
        <x:v/>
      </x:c>
      <x:c r="BF260">
        <x:f>MAX(0,MIN(18,BF259+IF(C260="力量",E260,0)))</x:f>
        <x:v>0</x:v>
      </x:c>
      <x:c r="BG260">
        <x:f>MAX(0,MIN(18,BG259+IF(C260="体质",E260,0)))</x:f>
        <x:v>0</x:v>
      </x:c>
      <x:c r="BH260">
        <x:f>MAX(0,MIN(18,BH259+IF(C260="敏捷",E260,0)))</x:f>
        <x:v>0</x:v>
      </x:c>
      <x:c r="BI260">
        <x:f>MAX(0,MIN(18,BI259+IF(C260="智力",E260,0)))</x:f>
        <x:v>0</x:v>
      </x:c>
      <x:c r="BJ260">
        <x:f>MAX(0,MIN(18,BJ259+IF(C260="意志",E260,0)))</x:f>
        <x:v>0</x:v>
      </x:c>
      <x:c r="BK260">
        <x:f>MAX(0,MIN(18,BK259+IF(C260="魅力",E260,0)))</x:f>
        <x:v>0</x:v>
      </x:c>
      <x:c r="BL260">
        <x:f>MAX(0,MIN(99,BL259+IF(C260="技能：非自然知识",E260,0)))</x:f>
        <x:v>0</x:v>
      </x:c>
      <x:c r="BM260">
        <x:f>MAX(0,MIN(CEILING((BF260+BG260)/2,1),BM259+IF(C260="体力",E260,0)))</x:f>
        <x:v>0</x:v>
      </x:c>
      <x:c r="BN260">
        <x:f>MAX(0,MIN(BJ260,BN259+IF(C260="毅力",E260,0)))</x:f>
        <x:v>0</x:v>
      </x:c>
      <x:c r="BO260">
        <x:f>MAX(0,MIN(99-BL260,BO259+IF(C260="理智",E260,0)))</x:f>
        <x:v>0</x:v>
      </x:c>
      <x:c r="BP260">
        <x:f>MAX(0,MIN(99,BP259+IF(C260="崩溃点",E260,0)))</x:f>
        <x:v>0</x:v>
      </x:c>
      <x:c r="BQ260">
        <x:f>MAX(0,MIN(BK260,IF(AND(H260=1,C260="重要关系1",LEFT('幕间与结算'!H167,8)="建立新的重要关系"),'幕间与结算'!E167+E260,BQ259+IF(C260="重要关系1",E260,0)+IF(AND(C260="魅力",E260&lt;0),E260,0))))</x:f>
        <x:v>0</x:v>
      </x:c>
      <x:c r="BR260">
        <x:f>MAX(0,MIN(BK260,IF(AND(H260=1,C260="重要关系2",LEFT('幕间与结算'!H167,8)="建立新的重要关系"),'幕间与结算'!E167+E260,BR259+IF(C260="重要关系2",E260,0)+IF(AND(C260="魅力",E260&lt;0),E260,0))))</x:f>
        <x:v>0</x:v>
      </x:c>
      <x:c r="BS260">
        <x:f>MAX(0,MIN(BK260,IF(AND(H260=1,C260="重要关系3",LEFT('幕间与结算'!H167,8)="建立新的重要关系"),'幕间与结算'!E167+E260,BS259+IF(C260="重要关系3",E260,0)+IF(AND(C260="魅力",E260&lt;0),E260,0))))</x:f>
        <x:v>0</x:v>
      </x:c>
      <x:c r="BT260">
        <x:f>MAX(0,MIN(BK260,IF(AND(H260=1,C260="重要关系4",LEFT('幕间与结算'!H167,8)="建立新的重要关系"),'幕间与结算'!E167+E260,BT259+IF(C260="重要关系4",E260,0)+IF(AND(C260="魅力",E260&lt;0),E260,0))))</x:f>
        <x:v>0</x:v>
      </x:c>
      <x:c r="BU260">
        <x:f>MAX(0,MIN(BK260,IF(AND(H260=1,C260="重要关系5",LEFT('幕间与结算'!H167,8)="建立新的重要关系"),'幕间与结算'!E167+E260,BU259+IF(C260="重要关系5",E260,0)+IF(AND(C260="魅力",E260&lt;0),E260,0))))</x:f>
        <x:v>0</x:v>
      </x:c>
      <x:c r="BV260">
        <x:f>MAX(0,MIN(BK260,IF(AND(H260=1,C260="重要关系6",LEFT('幕间与结算'!H167,8)="建立新的重要关系"),'幕间与结算'!E167+E260,BV259+IF(C260="重要关系6",E260,0)+IF(AND(C260="魅力",E260&lt;0),E260,0))))</x:f>
        <x:v>0</x:v>
      </x:c>
      <x:c r="BW260">
        <x:f>MAX(0,MIN(BK260,IF(AND(H260=1,C260="重要关系7",LEFT('幕间与结算'!H167,8)="建立新的重要关系"),'幕间与结算'!E167+E260,BW259+IF(C260="重要关系7",E260,0)+IF(AND(C260="魅力",E260&lt;0),E260,0))))</x:f>
        <x:v>0</x:v>
      </x:c>
    </x:row>
    <x:row r="261">
      <x:c r="A261" t="str">
        <x:f>IFERROR(TEXT(VALUE('幕间与结算'!A168),"00"),"")</x:f>
        <x:v>00</x:v>
      </x:c>
      <x:c r="B261">
        <x:f>'幕间与结算'!B168</x:f>
        <x:v>0</x:v>
      </x:c>
      <x:c r="C261">
        <x:f>'幕间与结算'!D168</x:f>
        <x:v>0</x:v>
      </x:c>
      <x:c r="D261">
        <x:f>'幕间与结算'!F168</x:f>
        <x:v>0</x:v>
      </x:c>
      <x:c r="E261">
        <x:f>IF(H261=1,MAX(-'幕间与结算'!E168,MIN(D261,IF(LEFT(C261,3)="技能：",99,IF(COUNTIF($L$2:$L$7,C261)&gt;0,18,999))-'幕间与结算'!E168)),0)</x:f>
        <x:v>0</x:v>
      </x:c>
      <x:c r="F261" t="str">
        <x:f>IF(C261=0,"",IF(G261=0,"记录不完整",IF(H261=0,"重复未计","已计入")))</x:f>
        <x:v/>
      </x:c>
      <x:c r="G261">
        <x:f>IF(AND(AND('幕间与结算'!A168&lt;&gt;"",'幕间与结算'!B168&lt;&gt;"",'幕间与结算'!I168&lt;&gt;"",OR(LEFT(C261,3)="技能：",COUNTIF($L$2:$L$19,C261)&gt;0),ISNUMBER('幕间与结算'!E168),ISNUMBER('幕间与结算'!F168),ISNUMBER('幕间与结算'!G168),'幕间与结算'!E168&gt;=0,'幕间与结算'!G168='幕间与结算'!E168+'幕间与结算'!F168),OR(B261&lt;&gt;"成长",AND(LEFT(C261,3)="技能：",C261&lt;&gt;"技能：非自然知识",'幕间与结算'!E168&gt;=1,'幕间与结算'!E168&lt;=99,'幕间与结算'!F168&gt;=0,'幕间与结算'!F168&lt;=4,'幕间与结算'!G168&lt;=99))),1,0)</x:f>
        <x:v>0</x:v>
      </x:c>
      <x:c r="H261">
        <x:f>IF(AND(G261=1,COUNTIFS($I$200:I261,I261,$G$200:G261,1)=1),1,0)</x:f>
        <x:v>0</x:v>
      </x:c>
      <x:c r="I261" t="str">
        <x:f>IF(G261=1,IF(B261="成长",A261&amp;"-成长-"&amp;C261,'幕间与结算'!I168),"")</x:f>
        <x:v/>
      </x:c>
      <x:c r="BF261">
        <x:f>MAX(0,MIN(18,BF260+IF(C261="力量",E261,0)))</x:f>
        <x:v>0</x:v>
      </x:c>
      <x:c r="BG261">
        <x:f>MAX(0,MIN(18,BG260+IF(C261="体质",E261,0)))</x:f>
        <x:v>0</x:v>
      </x:c>
      <x:c r="BH261">
        <x:f>MAX(0,MIN(18,BH260+IF(C261="敏捷",E261,0)))</x:f>
        <x:v>0</x:v>
      </x:c>
      <x:c r="BI261">
        <x:f>MAX(0,MIN(18,BI260+IF(C261="智力",E261,0)))</x:f>
        <x:v>0</x:v>
      </x:c>
      <x:c r="BJ261">
        <x:f>MAX(0,MIN(18,BJ260+IF(C261="意志",E261,0)))</x:f>
        <x:v>0</x:v>
      </x:c>
      <x:c r="BK261">
        <x:f>MAX(0,MIN(18,BK260+IF(C261="魅力",E261,0)))</x:f>
        <x:v>0</x:v>
      </x:c>
      <x:c r="BL261">
        <x:f>MAX(0,MIN(99,BL260+IF(C261="技能：非自然知识",E261,0)))</x:f>
        <x:v>0</x:v>
      </x:c>
      <x:c r="BM261">
        <x:f>MAX(0,MIN(CEILING((BF261+BG261)/2,1),BM260+IF(C261="体力",E261,0)))</x:f>
        <x:v>0</x:v>
      </x:c>
      <x:c r="BN261">
        <x:f>MAX(0,MIN(BJ261,BN260+IF(C261="毅力",E261,0)))</x:f>
        <x:v>0</x:v>
      </x:c>
      <x:c r="BO261">
        <x:f>MAX(0,MIN(99-BL261,BO260+IF(C261="理智",E261,0)))</x:f>
        <x:v>0</x:v>
      </x:c>
      <x:c r="BP261">
        <x:f>MAX(0,MIN(99,BP260+IF(C261="崩溃点",E261,0)))</x:f>
        <x:v>0</x:v>
      </x:c>
      <x:c r="BQ261">
        <x:f>MAX(0,MIN(BK261,IF(AND(H261=1,C261="重要关系1",LEFT('幕间与结算'!H168,8)="建立新的重要关系"),'幕间与结算'!E168+E261,BQ260+IF(C261="重要关系1",E261,0)+IF(AND(C261="魅力",E261&lt;0),E261,0))))</x:f>
        <x:v>0</x:v>
      </x:c>
      <x:c r="BR261">
        <x:f>MAX(0,MIN(BK261,IF(AND(H261=1,C261="重要关系2",LEFT('幕间与结算'!H168,8)="建立新的重要关系"),'幕间与结算'!E168+E261,BR260+IF(C261="重要关系2",E261,0)+IF(AND(C261="魅力",E261&lt;0),E261,0))))</x:f>
        <x:v>0</x:v>
      </x:c>
      <x:c r="BS261">
        <x:f>MAX(0,MIN(BK261,IF(AND(H261=1,C261="重要关系3",LEFT('幕间与结算'!H168,8)="建立新的重要关系"),'幕间与结算'!E168+E261,BS260+IF(C261="重要关系3",E261,0)+IF(AND(C261="魅力",E261&lt;0),E261,0))))</x:f>
        <x:v>0</x:v>
      </x:c>
      <x:c r="BT261">
        <x:f>MAX(0,MIN(BK261,IF(AND(H261=1,C261="重要关系4",LEFT('幕间与结算'!H168,8)="建立新的重要关系"),'幕间与结算'!E168+E261,BT260+IF(C261="重要关系4",E261,0)+IF(AND(C261="魅力",E261&lt;0),E261,0))))</x:f>
        <x:v>0</x:v>
      </x:c>
      <x:c r="BU261">
        <x:f>MAX(0,MIN(BK261,IF(AND(H261=1,C261="重要关系5",LEFT('幕间与结算'!H168,8)="建立新的重要关系"),'幕间与结算'!E168+E261,BU260+IF(C261="重要关系5",E261,0)+IF(AND(C261="魅力",E261&lt;0),E261,0))))</x:f>
        <x:v>0</x:v>
      </x:c>
      <x:c r="BV261">
        <x:f>MAX(0,MIN(BK261,IF(AND(H261=1,C261="重要关系6",LEFT('幕间与结算'!H168,8)="建立新的重要关系"),'幕间与结算'!E168+E261,BV260+IF(C261="重要关系6",E261,0)+IF(AND(C261="魅力",E261&lt;0),E261,0))))</x:f>
        <x:v>0</x:v>
      </x:c>
      <x:c r="BW261">
        <x:f>MAX(0,MIN(BK261,IF(AND(H261=1,C261="重要关系7",LEFT('幕间与结算'!H168,8)="建立新的重要关系"),'幕间与结算'!E168+E261,BW260+IF(C261="重要关系7",E261,0)+IF(AND(C261="魅力",E261&lt;0),E261,0))))</x:f>
        <x:v>0</x:v>
      </x:c>
    </x:row>
    <x:row r="262">
      <x:c r="A262" t="str">
        <x:f>IFERROR(TEXT(VALUE('幕间与结算'!A169),"00"),"")</x:f>
        <x:v>00</x:v>
      </x:c>
      <x:c r="B262">
        <x:f>'幕间与结算'!B169</x:f>
        <x:v>0</x:v>
      </x:c>
      <x:c r="C262">
        <x:f>'幕间与结算'!D169</x:f>
        <x:v>0</x:v>
      </x:c>
      <x:c r="D262">
        <x:f>'幕间与结算'!F169</x:f>
        <x:v>0</x:v>
      </x:c>
      <x:c r="E262">
        <x:f>IF(H262=1,MAX(-'幕间与结算'!E169,MIN(D262,IF(LEFT(C262,3)="技能：",99,IF(COUNTIF($L$2:$L$7,C262)&gt;0,18,999))-'幕间与结算'!E169)),0)</x:f>
        <x:v>0</x:v>
      </x:c>
      <x:c r="F262" t="str">
        <x:f>IF(C262=0,"",IF(G262=0,"记录不完整",IF(H262=0,"重复未计","已计入")))</x:f>
        <x:v/>
      </x:c>
      <x:c r="G262">
        <x:f>IF(AND(AND('幕间与结算'!A169&lt;&gt;"",'幕间与结算'!B169&lt;&gt;"",'幕间与结算'!I169&lt;&gt;"",OR(LEFT(C262,3)="技能：",COUNTIF($L$2:$L$19,C262)&gt;0),ISNUMBER('幕间与结算'!E169),ISNUMBER('幕间与结算'!F169),ISNUMBER('幕间与结算'!G169),'幕间与结算'!E169&gt;=0,'幕间与结算'!G169='幕间与结算'!E169+'幕间与结算'!F169),OR(B262&lt;&gt;"成长",AND(LEFT(C262,3)="技能：",C262&lt;&gt;"技能：非自然知识",'幕间与结算'!E169&gt;=1,'幕间与结算'!E169&lt;=99,'幕间与结算'!F169&gt;=0,'幕间与结算'!F169&lt;=4,'幕间与结算'!G169&lt;=99))),1,0)</x:f>
        <x:v>0</x:v>
      </x:c>
      <x:c r="H262">
        <x:f>IF(AND(G262=1,COUNTIFS($I$200:I262,I262,$G$200:G262,1)=1),1,0)</x:f>
        <x:v>0</x:v>
      </x:c>
      <x:c r="I262" t="str">
        <x:f>IF(G262=1,IF(B262="成长",A262&amp;"-成长-"&amp;C262,'幕间与结算'!I169),"")</x:f>
        <x:v/>
      </x:c>
      <x:c r="BF262">
        <x:f>MAX(0,MIN(18,BF261+IF(C262="力量",E262,0)))</x:f>
        <x:v>0</x:v>
      </x:c>
      <x:c r="BG262">
        <x:f>MAX(0,MIN(18,BG261+IF(C262="体质",E262,0)))</x:f>
        <x:v>0</x:v>
      </x:c>
      <x:c r="BH262">
        <x:f>MAX(0,MIN(18,BH261+IF(C262="敏捷",E262,0)))</x:f>
        <x:v>0</x:v>
      </x:c>
      <x:c r="BI262">
        <x:f>MAX(0,MIN(18,BI261+IF(C262="智力",E262,0)))</x:f>
        <x:v>0</x:v>
      </x:c>
      <x:c r="BJ262">
        <x:f>MAX(0,MIN(18,BJ261+IF(C262="意志",E262,0)))</x:f>
        <x:v>0</x:v>
      </x:c>
      <x:c r="BK262">
        <x:f>MAX(0,MIN(18,BK261+IF(C262="魅力",E262,0)))</x:f>
        <x:v>0</x:v>
      </x:c>
      <x:c r="BL262">
        <x:f>MAX(0,MIN(99,BL261+IF(C262="技能：非自然知识",E262,0)))</x:f>
        <x:v>0</x:v>
      </x:c>
      <x:c r="BM262">
        <x:f>MAX(0,MIN(CEILING((BF262+BG262)/2,1),BM261+IF(C262="体力",E262,0)))</x:f>
        <x:v>0</x:v>
      </x:c>
      <x:c r="BN262">
        <x:f>MAX(0,MIN(BJ262,BN261+IF(C262="毅力",E262,0)))</x:f>
        <x:v>0</x:v>
      </x:c>
      <x:c r="BO262">
        <x:f>MAX(0,MIN(99-BL262,BO261+IF(C262="理智",E262,0)))</x:f>
        <x:v>0</x:v>
      </x:c>
      <x:c r="BP262">
        <x:f>MAX(0,MIN(99,BP261+IF(C262="崩溃点",E262,0)))</x:f>
        <x:v>0</x:v>
      </x:c>
      <x:c r="BQ262">
        <x:f>MAX(0,MIN(BK262,IF(AND(H262=1,C262="重要关系1",LEFT('幕间与结算'!H169,8)="建立新的重要关系"),'幕间与结算'!E169+E262,BQ261+IF(C262="重要关系1",E262,0)+IF(AND(C262="魅力",E262&lt;0),E262,0))))</x:f>
        <x:v>0</x:v>
      </x:c>
      <x:c r="BR262">
        <x:f>MAX(0,MIN(BK262,IF(AND(H262=1,C262="重要关系2",LEFT('幕间与结算'!H169,8)="建立新的重要关系"),'幕间与结算'!E169+E262,BR261+IF(C262="重要关系2",E262,0)+IF(AND(C262="魅力",E262&lt;0),E262,0))))</x:f>
        <x:v>0</x:v>
      </x:c>
      <x:c r="BS262">
        <x:f>MAX(0,MIN(BK262,IF(AND(H262=1,C262="重要关系3",LEFT('幕间与结算'!H169,8)="建立新的重要关系"),'幕间与结算'!E169+E262,BS261+IF(C262="重要关系3",E262,0)+IF(AND(C262="魅力",E262&lt;0),E262,0))))</x:f>
        <x:v>0</x:v>
      </x:c>
      <x:c r="BT262">
        <x:f>MAX(0,MIN(BK262,IF(AND(H262=1,C262="重要关系4",LEFT('幕间与结算'!H169,8)="建立新的重要关系"),'幕间与结算'!E169+E262,BT261+IF(C262="重要关系4",E262,0)+IF(AND(C262="魅力",E262&lt;0),E262,0))))</x:f>
        <x:v>0</x:v>
      </x:c>
      <x:c r="BU262">
        <x:f>MAX(0,MIN(BK262,IF(AND(H262=1,C262="重要关系5",LEFT('幕间与结算'!H169,8)="建立新的重要关系"),'幕间与结算'!E169+E262,BU261+IF(C262="重要关系5",E262,0)+IF(AND(C262="魅力",E262&lt;0),E262,0))))</x:f>
        <x:v>0</x:v>
      </x:c>
      <x:c r="BV262">
        <x:f>MAX(0,MIN(BK262,IF(AND(H262=1,C262="重要关系6",LEFT('幕间与结算'!H169,8)="建立新的重要关系"),'幕间与结算'!E169+E262,BV261+IF(C262="重要关系6",E262,0)+IF(AND(C262="魅力",E262&lt;0),E262,0))))</x:f>
        <x:v>0</x:v>
      </x:c>
      <x:c r="BW262">
        <x:f>MAX(0,MIN(BK262,IF(AND(H262=1,C262="重要关系7",LEFT('幕间与结算'!H169,8)="建立新的重要关系"),'幕间与结算'!E169+E262,BW261+IF(C262="重要关系7",E262,0)+IF(AND(C262="魅力",E262&lt;0),E262,0))))</x:f>
        <x:v>0</x:v>
      </x:c>
    </x:row>
    <x:row r="263">
      <x:c r="A263" t="str">
        <x:f>IFERROR(TEXT(VALUE('幕间与结算'!A170),"00"),"")</x:f>
        <x:v>00</x:v>
      </x:c>
      <x:c r="B263">
        <x:f>'幕间与结算'!B170</x:f>
        <x:v>0</x:v>
      </x:c>
      <x:c r="C263">
        <x:f>'幕间与结算'!D170</x:f>
        <x:v>0</x:v>
      </x:c>
      <x:c r="D263">
        <x:f>'幕间与结算'!F170</x:f>
        <x:v>0</x:v>
      </x:c>
      <x:c r="E263">
        <x:f>IF(H263=1,MAX(-'幕间与结算'!E170,MIN(D263,IF(LEFT(C263,3)="技能：",99,IF(COUNTIF($L$2:$L$7,C263)&gt;0,18,999))-'幕间与结算'!E170)),0)</x:f>
        <x:v>0</x:v>
      </x:c>
      <x:c r="F263" t="str">
        <x:f>IF(C263=0,"",IF(G263=0,"记录不完整",IF(H263=0,"重复未计","已计入")))</x:f>
        <x:v/>
      </x:c>
      <x:c r="G263">
        <x:f>IF(AND(AND('幕间与结算'!A170&lt;&gt;"",'幕间与结算'!B170&lt;&gt;"",'幕间与结算'!I170&lt;&gt;"",OR(LEFT(C263,3)="技能：",COUNTIF($L$2:$L$19,C263)&gt;0),ISNUMBER('幕间与结算'!E170),ISNUMBER('幕间与结算'!F170),ISNUMBER('幕间与结算'!G170),'幕间与结算'!E170&gt;=0,'幕间与结算'!G170='幕间与结算'!E170+'幕间与结算'!F170),OR(B263&lt;&gt;"成长",AND(LEFT(C263,3)="技能：",C263&lt;&gt;"技能：非自然知识",'幕间与结算'!E170&gt;=1,'幕间与结算'!E170&lt;=99,'幕间与结算'!F170&gt;=0,'幕间与结算'!F170&lt;=4,'幕间与结算'!G170&lt;=99))),1,0)</x:f>
        <x:v>0</x:v>
      </x:c>
      <x:c r="H263">
        <x:f>IF(AND(G263=1,COUNTIFS($I$200:I263,I263,$G$200:G263,1)=1),1,0)</x:f>
        <x:v>0</x:v>
      </x:c>
      <x:c r="I263" t="str">
        <x:f>IF(G263=1,IF(B263="成长",A263&amp;"-成长-"&amp;C263,'幕间与结算'!I170),"")</x:f>
        <x:v/>
      </x:c>
      <x:c r="BF263">
        <x:f>MAX(0,MIN(18,BF262+IF(C263="力量",E263,0)))</x:f>
        <x:v>0</x:v>
      </x:c>
      <x:c r="BG263">
        <x:f>MAX(0,MIN(18,BG262+IF(C263="体质",E263,0)))</x:f>
        <x:v>0</x:v>
      </x:c>
      <x:c r="BH263">
        <x:f>MAX(0,MIN(18,BH262+IF(C263="敏捷",E263,0)))</x:f>
        <x:v>0</x:v>
      </x:c>
      <x:c r="BI263">
        <x:f>MAX(0,MIN(18,BI262+IF(C263="智力",E263,0)))</x:f>
        <x:v>0</x:v>
      </x:c>
      <x:c r="BJ263">
        <x:f>MAX(0,MIN(18,BJ262+IF(C263="意志",E263,0)))</x:f>
        <x:v>0</x:v>
      </x:c>
      <x:c r="BK263">
        <x:f>MAX(0,MIN(18,BK262+IF(C263="魅力",E263,0)))</x:f>
        <x:v>0</x:v>
      </x:c>
      <x:c r="BL263">
        <x:f>MAX(0,MIN(99,BL262+IF(C263="技能：非自然知识",E263,0)))</x:f>
        <x:v>0</x:v>
      </x:c>
      <x:c r="BM263">
        <x:f>MAX(0,MIN(CEILING((BF263+BG263)/2,1),BM262+IF(C263="体力",E263,0)))</x:f>
        <x:v>0</x:v>
      </x:c>
      <x:c r="BN263">
        <x:f>MAX(0,MIN(BJ263,BN262+IF(C263="毅力",E263,0)))</x:f>
        <x:v>0</x:v>
      </x:c>
      <x:c r="BO263">
        <x:f>MAX(0,MIN(99-BL263,BO262+IF(C263="理智",E263,0)))</x:f>
        <x:v>0</x:v>
      </x:c>
      <x:c r="BP263">
        <x:f>MAX(0,MIN(99,BP262+IF(C263="崩溃点",E263,0)))</x:f>
        <x:v>0</x:v>
      </x:c>
      <x:c r="BQ263">
        <x:f>MAX(0,MIN(BK263,IF(AND(H263=1,C263="重要关系1",LEFT('幕间与结算'!H170,8)="建立新的重要关系"),'幕间与结算'!E170+E263,BQ262+IF(C263="重要关系1",E263,0)+IF(AND(C263="魅力",E263&lt;0),E263,0))))</x:f>
        <x:v>0</x:v>
      </x:c>
      <x:c r="BR263">
        <x:f>MAX(0,MIN(BK263,IF(AND(H263=1,C263="重要关系2",LEFT('幕间与结算'!H170,8)="建立新的重要关系"),'幕间与结算'!E170+E263,BR262+IF(C263="重要关系2",E263,0)+IF(AND(C263="魅力",E263&lt;0),E263,0))))</x:f>
        <x:v>0</x:v>
      </x:c>
      <x:c r="BS263">
        <x:f>MAX(0,MIN(BK263,IF(AND(H263=1,C263="重要关系3",LEFT('幕间与结算'!H170,8)="建立新的重要关系"),'幕间与结算'!E170+E263,BS262+IF(C263="重要关系3",E263,0)+IF(AND(C263="魅力",E263&lt;0),E263,0))))</x:f>
        <x:v>0</x:v>
      </x:c>
      <x:c r="BT263">
        <x:f>MAX(0,MIN(BK263,IF(AND(H263=1,C263="重要关系4",LEFT('幕间与结算'!H170,8)="建立新的重要关系"),'幕间与结算'!E170+E263,BT262+IF(C263="重要关系4",E263,0)+IF(AND(C263="魅力",E263&lt;0),E263,0))))</x:f>
        <x:v>0</x:v>
      </x:c>
      <x:c r="BU263">
        <x:f>MAX(0,MIN(BK263,IF(AND(H263=1,C263="重要关系5",LEFT('幕间与结算'!H170,8)="建立新的重要关系"),'幕间与结算'!E170+E263,BU262+IF(C263="重要关系5",E263,0)+IF(AND(C263="魅力",E263&lt;0),E263,0))))</x:f>
        <x:v>0</x:v>
      </x:c>
      <x:c r="BV263">
        <x:f>MAX(0,MIN(BK263,IF(AND(H263=1,C263="重要关系6",LEFT('幕间与结算'!H170,8)="建立新的重要关系"),'幕间与结算'!E170+E263,BV262+IF(C263="重要关系6",E263,0)+IF(AND(C263="魅力",E263&lt;0),E263,0))))</x:f>
        <x:v>0</x:v>
      </x:c>
      <x:c r="BW263">
        <x:f>MAX(0,MIN(BK263,IF(AND(H263=1,C263="重要关系7",LEFT('幕间与结算'!H170,8)="建立新的重要关系"),'幕间与结算'!E170+E263,BW262+IF(C263="重要关系7",E263,0)+IF(AND(C263="魅力",E263&lt;0),E263,0))))</x:f>
        <x:v>0</x:v>
      </x:c>
    </x:row>
    <x:row r="264">
      <x:c r="A264" t="str">
        <x:f>IFERROR(TEXT(VALUE('幕间与结算'!A171),"00"),"")</x:f>
        <x:v>00</x:v>
      </x:c>
      <x:c r="B264">
        <x:f>'幕间与结算'!B171</x:f>
        <x:v>0</x:v>
      </x:c>
      <x:c r="C264">
        <x:f>'幕间与结算'!D171</x:f>
        <x:v>0</x:v>
      </x:c>
      <x:c r="D264">
        <x:f>'幕间与结算'!F171</x:f>
        <x:v>0</x:v>
      </x:c>
      <x:c r="E264">
        <x:f>IF(H264=1,MAX(-'幕间与结算'!E171,MIN(D264,IF(LEFT(C264,3)="技能：",99,IF(COUNTIF($L$2:$L$7,C264)&gt;0,18,999))-'幕间与结算'!E171)),0)</x:f>
        <x:v>0</x:v>
      </x:c>
      <x:c r="F264" t="str">
        <x:f>IF(C264=0,"",IF(G264=0,"记录不完整",IF(H264=0,"重复未计","已计入")))</x:f>
        <x:v/>
      </x:c>
      <x:c r="G264">
        <x:f>IF(AND(AND('幕间与结算'!A171&lt;&gt;"",'幕间与结算'!B171&lt;&gt;"",'幕间与结算'!I171&lt;&gt;"",OR(LEFT(C264,3)="技能：",COUNTIF($L$2:$L$19,C264)&gt;0),ISNUMBER('幕间与结算'!E171),ISNUMBER('幕间与结算'!F171),ISNUMBER('幕间与结算'!G171),'幕间与结算'!E171&gt;=0,'幕间与结算'!G171='幕间与结算'!E171+'幕间与结算'!F171),OR(B264&lt;&gt;"成长",AND(LEFT(C264,3)="技能：",C264&lt;&gt;"技能：非自然知识",'幕间与结算'!E171&gt;=1,'幕间与结算'!E171&lt;=99,'幕间与结算'!F171&gt;=0,'幕间与结算'!F171&lt;=4,'幕间与结算'!G171&lt;=99))),1,0)</x:f>
        <x:v>0</x:v>
      </x:c>
      <x:c r="H264">
        <x:f>IF(AND(G264=1,COUNTIFS($I$200:I264,I264,$G$200:G264,1)=1),1,0)</x:f>
        <x:v>0</x:v>
      </x:c>
      <x:c r="I264" t="str">
        <x:f>IF(G264=1,IF(B264="成长",A264&amp;"-成长-"&amp;C264,'幕间与结算'!I171),"")</x:f>
        <x:v/>
      </x:c>
      <x:c r="BF264">
        <x:f>MAX(0,MIN(18,BF263+IF(C264="力量",E264,0)))</x:f>
        <x:v>0</x:v>
      </x:c>
      <x:c r="BG264">
        <x:f>MAX(0,MIN(18,BG263+IF(C264="体质",E264,0)))</x:f>
        <x:v>0</x:v>
      </x:c>
      <x:c r="BH264">
        <x:f>MAX(0,MIN(18,BH263+IF(C264="敏捷",E264,0)))</x:f>
        <x:v>0</x:v>
      </x:c>
      <x:c r="BI264">
        <x:f>MAX(0,MIN(18,BI263+IF(C264="智力",E264,0)))</x:f>
        <x:v>0</x:v>
      </x:c>
      <x:c r="BJ264">
        <x:f>MAX(0,MIN(18,BJ263+IF(C264="意志",E264,0)))</x:f>
        <x:v>0</x:v>
      </x:c>
      <x:c r="BK264">
        <x:f>MAX(0,MIN(18,BK263+IF(C264="魅力",E264,0)))</x:f>
        <x:v>0</x:v>
      </x:c>
      <x:c r="BL264">
        <x:f>MAX(0,MIN(99,BL263+IF(C264="技能：非自然知识",E264,0)))</x:f>
        <x:v>0</x:v>
      </x:c>
      <x:c r="BM264">
        <x:f>MAX(0,MIN(CEILING((BF264+BG264)/2,1),BM263+IF(C264="体力",E264,0)))</x:f>
        <x:v>0</x:v>
      </x:c>
      <x:c r="BN264">
        <x:f>MAX(0,MIN(BJ264,BN263+IF(C264="毅力",E264,0)))</x:f>
        <x:v>0</x:v>
      </x:c>
      <x:c r="BO264">
        <x:f>MAX(0,MIN(99-BL264,BO263+IF(C264="理智",E264,0)))</x:f>
        <x:v>0</x:v>
      </x:c>
      <x:c r="BP264">
        <x:f>MAX(0,MIN(99,BP263+IF(C264="崩溃点",E264,0)))</x:f>
        <x:v>0</x:v>
      </x:c>
      <x:c r="BQ264">
        <x:f>MAX(0,MIN(BK264,IF(AND(H264=1,C264="重要关系1",LEFT('幕间与结算'!H171,8)="建立新的重要关系"),'幕间与结算'!E171+E264,BQ263+IF(C264="重要关系1",E264,0)+IF(AND(C264="魅力",E264&lt;0),E264,0))))</x:f>
        <x:v>0</x:v>
      </x:c>
      <x:c r="BR264">
        <x:f>MAX(0,MIN(BK264,IF(AND(H264=1,C264="重要关系2",LEFT('幕间与结算'!H171,8)="建立新的重要关系"),'幕间与结算'!E171+E264,BR263+IF(C264="重要关系2",E264,0)+IF(AND(C264="魅力",E264&lt;0),E264,0))))</x:f>
        <x:v>0</x:v>
      </x:c>
      <x:c r="BS264">
        <x:f>MAX(0,MIN(BK264,IF(AND(H264=1,C264="重要关系3",LEFT('幕间与结算'!H171,8)="建立新的重要关系"),'幕间与结算'!E171+E264,BS263+IF(C264="重要关系3",E264,0)+IF(AND(C264="魅力",E264&lt;0),E264,0))))</x:f>
        <x:v>0</x:v>
      </x:c>
      <x:c r="BT264">
        <x:f>MAX(0,MIN(BK264,IF(AND(H264=1,C264="重要关系4",LEFT('幕间与结算'!H171,8)="建立新的重要关系"),'幕间与结算'!E171+E264,BT263+IF(C264="重要关系4",E264,0)+IF(AND(C264="魅力",E264&lt;0),E264,0))))</x:f>
        <x:v>0</x:v>
      </x:c>
      <x:c r="BU264">
        <x:f>MAX(0,MIN(BK264,IF(AND(H264=1,C264="重要关系5",LEFT('幕间与结算'!H171,8)="建立新的重要关系"),'幕间与结算'!E171+E264,BU263+IF(C264="重要关系5",E264,0)+IF(AND(C264="魅力",E264&lt;0),E264,0))))</x:f>
        <x:v>0</x:v>
      </x:c>
      <x:c r="BV264">
        <x:f>MAX(0,MIN(BK264,IF(AND(H264=1,C264="重要关系6",LEFT('幕间与结算'!H171,8)="建立新的重要关系"),'幕间与结算'!E171+E264,BV263+IF(C264="重要关系6",E264,0)+IF(AND(C264="魅力",E264&lt;0),E264,0))))</x:f>
        <x:v>0</x:v>
      </x:c>
      <x:c r="BW264">
        <x:f>MAX(0,MIN(BK264,IF(AND(H264=1,C264="重要关系7",LEFT('幕间与结算'!H171,8)="建立新的重要关系"),'幕间与结算'!E171+E264,BW263+IF(C264="重要关系7",E264,0)+IF(AND(C264="魅力",E264&lt;0),E264,0))))</x:f>
        <x:v>0</x:v>
      </x:c>
    </x:row>
    <x:row r="265">
      <x:c r="A265" t="str">
        <x:f>IFERROR(TEXT(VALUE('幕间与结算'!A172),"00"),"")</x:f>
        <x:v>00</x:v>
      </x:c>
      <x:c r="B265">
        <x:f>'幕间与结算'!B172</x:f>
        <x:v>0</x:v>
      </x:c>
      <x:c r="C265">
        <x:f>'幕间与结算'!D172</x:f>
        <x:v>0</x:v>
      </x:c>
      <x:c r="D265">
        <x:f>'幕间与结算'!F172</x:f>
        <x:v>0</x:v>
      </x:c>
      <x:c r="E265">
        <x:f>IF(H265=1,MAX(-'幕间与结算'!E172,MIN(D265,IF(LEFT(C265,3)="技能：",99,IF(COUNTIF($L$2:$L$7,C265)&gt;0,18,999))-'幕间与结算'!E172)),0)</x:f>
        <x:v>0</x:v>
      </x:c>
      <x:c r="F265" t="str">
        <x:f>IF(C265=0,"",IF(G265=0,"记录不完整",IF(H265=0,"重复未计","已计入")))</x:f>
        <x:v/>
      </x:c>
      <x:c r="G265">
        <x:f>IF(AND(AND('幕间与结算'!A172&lt;&gt;"",'幕间与结算'!B172&lt;&gt;"",'幕间与结算'!I172&lt;&gt;"",OR(LEFT(C265,3)="技能：",COUNTIF($L$2:$L$19,C265)&gt;0),ISNUMBER('幕间与结算'!E172),ISNUMBER('幕间与结算'!F172),ISNUMBER('幕间与结算'!G172),'幕间与结算'!E172&gt;=0,'幕间与结算'!G172='幕间与结算'!E172+'幕间与结算'!F172),OR(B265&lt;&gt;"成长",AND(LEFT(C265,3)="技能：",C265&lt;&gt;"技能：非自然知识",'幕间与结算'!E172&gt;=1,'幕间与结算'!E172&lt;=99,'幕间与结算'!F172&gt;=0,'幕间与结算'!F172&lt;=4,'幕间与结算'!G172&lt;=99))),1,0)</x:f>
        <x:v>0</x:v>
      </x:c>
      <x:c r="H265">
        <x:f>IF(AND(G265=1,COUNTIFS($I$200:I265,I265,$G$200:G265,1)=1),1,0)</x:f>
        <x:v>0</x:v>
      </x:c>
      <x:c r="I265" t="str">
        <x:f>IF(G265=1,IF(B265="成长",A265&amp;"-成长-"&amp;C265,'幕间与结算'!I172),"")</x:f>
        <x:v/>
      </x:c>
      <x:c r="BF265">
        <x:f>MAX(0,MIN(18,BF264+IF(C265="力量",E265,0)))</x:f>
        <x:v>0</x:v>
      </x:c>
      <x:c r="BG265">
        <x:f>MAX(0,MIN(18,BG264+IF(C265="体质",E265,0)))</x:f>
        <x:v>0</x:v>
      </x:c>
      <x:c r="BH265">
        <x:f>MAX(0,MIN(18,BH264+IF(C265="敏捷",E265,0)))</x:f>
        <x:v>0</x:v>
      </x:c>
      <x:c r="BI265">
        <x:f>MAX(0,MIN(18,BI264+IF(C265="智力",E265,0)))</x:f>
        <x:v>0</x:v>
      </x:c>
      <x:c r="BJ265">
        <x:f>MAX(0,MIN(18,BJ264+IF(C265="意志",E265,0)))</x:f>
        <x:v>0</x:v>
      </x:c>
      <x:c r="BK265">
        <x:f>MAX(0,MIN(18,BK264+IF(C265="魅力",E265,0)))</x:f>
        <x:v>0</x:v>
      </x:c>
      <x:c r="BL265">
        <x:f>MAX(0,MIN(99,BL264+IF(C265="技能：非自然知识",E265,0)))</x:f>
        <x:v>0</x:v>
      </x:c>
      <x:c r="BM265">
        <x:f>MAX(0,MIN(CEILING((BF265+BG265)/2,1),BM264+IF(C265="体力",E265,0)))</x:f>
        <x:v>0</x:v>
      </x:c>
      <x:c r="BN265">
        <x:f>MAX(0,MIN(BJ265,BN264+IF(C265="毅力",E265,0)))</x:f>
        <x:v>0</x:v>
      </x:c>
      <x:c r="BO265">
        <x:f>MAX(0,MIN(99-BL265,BO264+IF(C265="理智",E265,0)))</x:f>
        <x:v>0</x:v>
      </x:c>
      <x:c r="BP265">
        <x:f>MAX(0,MIN(99,BP264+IF(C265="崩溃点",E265,0)))</x:f>
        <x:v>0</x:v>
      </x:c>
      <x:c r="BQ265">
        <x:f>MAX(0,MIN(BK265,IF(AND(H265=1,C265="重要关系1",LEFT('幕间与结算'!H172,8)="建立新的重要关系"),'幕间与结算'!E172+E265,BQ264+IF(C265="重要关系1",E265,0)+IF(AND(C265="魅力",E265&lt;0),E265,0))))</x:f>
        <x:v>0</x:v>
      </x:c>
      <x:c r="BR265">
        <x:f>MAX(0,MIN(BK265,IF(AND(H265=1,C265="重要关系2",LEFT('幕间与结算'!H172,8)="建立新的重要关系"),'幕间与结算'!E172+E265,BR264+IF(C265="重要关系2",E265,0)+IF(AND(C265="魅力",E265&lt;0),E265,0))))</x:f>
        <x:v>0</x:v>
      </x:c>
      <x:c r="BS265">
        <x:f>MAX(0,MIN(BK265,IF(AND(H265=1,C265="重要关系3",LEFT('幕间与结算'!H172,8)="建立新的重要关系"),'幕间与结算'!E172+E265,BS264+IF(C265="重要关系3",E265,0)+IF(AND(C265="魅力",E265&lt;0),E265,0))))</x:f>
        <x:v>0</x:v>
      </x:c>
      <x:c r="BT265">
        <x:f>MAX(0,MIN(BK265,IF(AND(H265=1,C265="重要关系4",LEFT('幕间与结算'!H172,8)="建立新的重要关系"),'幕间与结算'!E172+E265,BT264+IF(C265="重要关系4",E265,0)+IF(AND(C265="魅力",E265&lt;0),E265,0))))</x:f>
        <x:v>0</x:v>
      </x:c>
      <x:c r="BU265">
        <x:f>MAX(0,MIN(BK265,IF(AND(H265=1,C265="重要关系5",LEFT('幕间与结算'!H172,8)="建立新的重要关系"),'幕间与结算'!E172+E265,BU264+IF(C265="重要关系5",E265,0)+IF(AND(C265="魅力",E265&lt;0),E265,0))))</x:f>
        <x:v>0</x:v>
      </x:c>
      <x:c r="BV265">
        <x:f>MAX(0,MIN(BK265,IF(AND(H265=1,C265="重要关系6",LEFT('幕间与结算'!H172,8)="建立新的重要关系"),'幕间与结算'!E172+E265,BV264+IF(C265="重要关系6",E265,0)+IF(AND(C265="魅力",E265&lt;0),E265,0))))</x:f>
        <x:v>0</x:v>
      </x:c>
      <x:c r="BW265">
        <x:f>MAX(0,MIN(BK265,IF(AND(H265=1,C265="重要关系7",LEFT('幕间与结算'!H172,8)="建立新的重要关系"),'幕间与结算'!E172+E265,BW264+IF(C265="重要关系7",E265,0)+IF(AND(C265="魅力",E265&lt;0),E265,0))))</x:f>
        <x:v>0</x:v>
      </x:c>
    </x:row>
    <x:row r="266">
      <x:c r="A266" t="str">
        <x:f>IFERROR(TEXT(VALUE('幕间与结算'!A173),"00"),"")</x:f>
        <x:v>00</x:v>
      </x:c>
      <x:c r="B266">
        <x:f>'幕间与结算'!B173</x:f>
        <x:v>0</x:v>
      </x:c>
      <x:c r="C266">
        <x:f>'幕间与结算'!D173</x:f>
        <x:v>0</x:v>
      </x:c>
      <x:c r="D266">
        <x:f>'幕间与结算'!F173</x:f>
        <x:v>0</x:v>
      </x:c>
      <x:c r="E266">
        <x:f>IF(H266=1,MAX(-'幕间与结算'!E173,MIN(D266,IF(LEFT(C266,3)="技能：",99,IF(COUNTIF($L$2:$L$7,C266)&gt;0,18,999))-'幕间与结算'!E173)),0)</x:f>
        <x:v>0</x:v>
      </x:c>
      <x:c r="F266" t="str">
        <x:f>IF(C266=0,"",IF(G266=0,"记录不完整",IF(H266=0,"重复未计","已计入")))</x:f>
        <x:v/>
      </x:c>
      <x:c r="G266">
        <x:f>IF(AND(AND('幕间与结算'!A173&lt;&gt;"",'幕间与结算'!B173&lt;&gt;"",'幕间与结算'!I173&lt;&gt;"",OR(LEFT(C266,3)="技能：",COUNTIF($L$2:$L$19,C266)&gt;0),ISNUMBER('幕间与结算'!E173),ISNUMBER('幕间与结算'!F173),ISNUMBER('幕间与结算'!G173),'幕间与结算'!E173&gt;=0,'幕间与结算'!G173='幕间与结算'!E173+'幕间与结算'!F173),OR(B266&lt;&gt;"成长",AND(LEFT(C266,3)="技能：",C266&lt;&gt;"技能：非自然知识",'幕间与结算'!E173&gt;=1,'幕间与结算'!E173&lt;=99,'幕间与结算'!F173&gt;=0,'幕间与结算'!F173&lt;=4,'幕间与结算'!G173&lt;=99))),1,0)</x:f>
        <x:v>0</x:v>
      </x:c>
      <x:c r="H266">
        <x:f>IF(AND(G266=1,COUNTIFS($I$200:I266,I266,$G$200:G266,1)=1),1,0)</x:f>
        <x:v>0</x:v>
      </x:c>
      <x:c r="I266" t="str">
        <x:f>IF(G266=1,IF(B266="成长",A266&amp;"-成长-"&amp;C266,'幕间与结算'!I173),"")</x:f>
        <x:v/>
      </x:c>
      <x:c r="BF266">
        <x:f>MAX(0,MIN(18,BF265+IF(C266="力量",E266,0)))</x:f>
        <x:v>0</x:v>
      </x:c>
      <x:c r="BG266">
        <x:f>MAX(0,MIN(18,BG265+IF(C266="体质",E266,0)))</x:f>
        <x:v>0</x:v>
      </x:c>
      <x:c r="BH266">
        <x:f>MAX(0,MIN(18,BH265+IF(C266="敏捷",E266,0)))</x:f>
        <x:v>0</x:v>
      </x:c>
      <x:c r="BI266">
        <x:f>MAX(0,MIN(18,BI265+IF(C266="智力",E266,0)))</x:f>
        <x:v>0</x:v>
      </x:c>
      <x:c r="BJ266">
        <x:f>MAX(0,MIN(18,BJ265+IF(C266="意志",E266,0)))</x:f>
        <x:v>0</x:v>
      </x:c>
      <x:c r="BK266">
        <x:f>MAX(0,MIN(18,BK265+IF(C266="魅力",E266,0)))</x:f>
        <x:v>0</x:v>
      </x:c>
      <x:c r="BL266">
        <x:f>MAX(0,MIN(99,BL265+IF(C266="技能：非自然知识",E266,0)))</x:f>
        <x:v>0</x:v>
      </x:c>
      <x:c r="BM266">
        <x:f>MAX(0,MIN(CEILING((BF266+BG266)/2,1),BM265+IF(C266="体力",E266,0)))</x:f>
        <x:v>0</x:v>
      </x:c>
      <x:c r="BN266">
        <x:f>MAX(0,MIN(BJ266,BN265+IF(C266="毅力",E266,0)))</x:f>
        <x:v>0</x:v>
      </x:c>
      <x:c r="BO266">
        <x:f>MAX(0,MIN(99-BL266,BO265+IF(C266="理智",E266,0)))</x:f>
        <x:v>0</x:v>
      </x:c>
      <x:c r="BP266">
        <x:f>MAX(0,MIN(99,BP265+IF(C266="崩溃点",E266,0)))</x:f>
        <x:v>0</x:v>
      </x:c>
      <x:c r="BQ266">
        <x:f>MAX(0,MIN(BK266,IF(AND(H266=1,C266="重要关系1",LEFT('幕间与结算'!H173,8)="建立新的重要关系"),'幕间与结算'!E173+E266,BQ265+IF(C266="重要关系1",E266,0)+IF(AND(C266="魅力",E266&lt;0),E266,0))))</x:f>
        <x:v>0</x:v>
      </x:c>
      <x:c r="BR266">
        <x:f>MAX(0,MIN(BK266,IF(AND(H266=1,C266="重要关系2",LEFT('幕间与结算'!H173,8)="建立新的重要关系"),'幕间与结算'!E173+E266,BR265+IF(C266="重要关系2",E266,0)+IF(AND(C266="魅力",E266&lt;0),E266,0))))</x:f>
        <x:v>0</x:v>
      </x:c>
      <x:c r="BS266">
        <x:f>MAX(0,MIN(BK266,IF(AND(H266=1,C266="重要关系3",LEFT('幕间与结算'!H173,8)="建立新的重要关系"),'幕间与结算'!E173+E266,BS265+IF(C266="重要关系3",E266,0)+IF(AND(C266="魅力",E266&lt;0),E266,0))))</x:f>
        <x:v>0</x:v>
      </x:c>
      <x:c r="BT266">
        <x:f>MAX(0,MIN(BK266,IF(AND(H266=1,C266="重要关系4",LEFT('幕间与结算'!H173,8)="建立新的重要关系"),'幕间与结算'!E173+E266,BT265+IF(C266="重要关系4",E266,0)+IF(AND(C266="魅力",E266&lt;0),E266,0))))</x:f>
        <x:v>0</x:v>
      </x:c>
      <x:c r="BU266">
        <x:f>MAX(0,MIN(BK266,IF(AND(H266=1,C266="重要关系5",LEFT('幕间与结算'!H173,8)="建立新的重要关系"),'幕间与结算'!E173+E266,BU265+IF(C266="重要关系5",E266,0)+IF(AND(C266="魅力",E266&lt;0),E266,0))))</x:f>
        <x:v>0</x:v>
      </x:c>
      <x:c r="BV266">
        <x:f>MAX(0,MIN(BK266,IF(AND(H266=1,C266="重要关系6",LEFT('幕间与结算'!H173,8)="建立新的重要关系"),'幕间与结算'!E173+E266,BV265+IF(C266="重要关系6",E266,0)+IF(AND(C266="魅力",E266&lt;0),E266,0))))</x:f>
        <x:v>0</x:v>
      </x:c>
      <x:c r="BW266">
        <x:f>MAX(0,MIN(BK266,IF(AND(H266=1,C266="重要关系7",LEFT('幕间与结算'!H173,8)="建立新的重要关系"),'幕间与结算'!E173+E266,BW265+IF(C266="重要关系7",E266,0)+IF(AND(C266="魅力",E266&lt;0),E266,0))))</x:f>
        <x:v>0</x:v>
      </x:c>
    </x:row>
    <x:row r="267">
      <x:c r="A267" t="str">
        <x:f>IFERROR(TEXT(VALUE('幕间与结算'!A174),"00"),"")</x:f>
        <x:v>00</x:v>
      </x:c>
      <x:c r="B267">
        <x:f>'幕间与结算'!B174</x:f>
        <x:v>0</x:v>
      </x:c>
      <x:c r="C267">
        <x:f>'幕间与结算'!D174</x:f>
        <x:v>0</x:v>
      </x:c>
      <x:c r="D267">
        <x:f>'幕间与结算'!F174</x:f>
        <x:v>0</x:v>
      </x:c>
      <x:c r="E267">
        <x:f>IF(H267=1,MAX(-'幕间与结算'!E174,MIN(D267,IF(LEFT(C267,3)="技能：",99,IF(COUNTIF($L$2:$L$7,C267)&gt;0,18,999))-'幕间与结算'!E174)),0)</x:f>
        <x:v>0</x:v>
      </x:c>
      <x:c r="F267" t="str">
        <x:f>IF(C267=0,"",IF(G267=0,"记录不完整",IF(H267=0,"重复未计","已计入")))</x:f>
        <x:v/>
      </x:c>
      <x:c r="G267">
        <x:f>IF(AND(AND('幕间与结算'!A174&lt;&gt;"",'幕间与结算'!B174&lt;&gt;"",'幕间与结算'!I174&lt;&gt;"",OR(LEFT(C267,3)="技能：",COUNTIF($L$2:$L$19,C267)&gt;0),ISNUMBER('幕间与结算'!E174),ISNUMBER('幕间与结算'!F174),ISNUMBER('幕间与结算'!G174),'幕间与结算'!E174&gt;=0,'幕间与结算'!G174='幕间与结算'!E174+'幕间与结算'!F174),OR(B267&lt;&gt;"成长",AND(LEFT(C267,3)="技能：",C267&lt;&gt;"技能：非自然知识",'幕间与结算'!E174&gt;=1,'幕间与结算'!E174&lt;=99,'幕间与结算'!F174&gt;=0,'幕间与结算'!F174&lt;=4,'幕间与结算'!G174&lt;=99))),1,0)</x:f>
        <x:v>0</x:v>
      </x:c>
      <x:c r="H267">
        <x:f>IF(AND(G267=1,COUNTIFS($I$200:I267,I267,$G$200:G267,1)=1),1,0)</x:f>
        <x:v>0</x:v>
      </x:c>
      <x:c r="I267" t="str">
        <x:f>IF(G267=1,IF(B267="成长",A267&amp;"-成长-"&amp;C267,'幕间与结算'!I174),"")</x:f>
        <x:v/>
      </x:c>
      <x:c r="BF267">
        <x:f>MAX(0,MIN(18,BF266+IF(C267="力量",E267,0)))</x:f>
        <x:v>0</x:v>
      </x:c>
      <x:c r="BG267">
        <x:f>MAX(0,MIN(18,BG266+IF(C267="体质",E267,0)))</x:f>
        <x:v>0</x:v>
      </x:c>
      <x:c r="BH267">
        <x:f>MAX(0,MIN(18,BH266+IF(C267="敏捷",E267,0)))</x:f>
        <x:v>0</x:v>
      </x:c>
      <x:c r="BI267">
        <x:f>MAX(0,MIN(18,BI266+IF(C267="智力",E267,0)))</x:f>
        <x:v>0</x:v>
      </x:c>
      <x:c r="BJ267">
        <x:f>MAX(0,MIN(18,BJ266+IF(C267="意志",E267,0)))</x:f>
        <x:v>0</x:v>
      </x:c>
      <x:c r="BK267">
        <x:f>MAX(0,MIN(18,BK266+IF(C267="魅力",E267,0)))</x:f>
        <x:v>0</x:v>
      </x:c>
      <x:c r="BL267">
        <x:f>MAX(0,MIN(99,BL266+IF(C267="技能：非自然知识",E267,0)))</x:f>
        <x:v>0</x:v>
      </x:c>
      <x:c r="BM267">
        <x:f>MAX(0,MIN(CEILING((BF267+BG267)/2,1),BM266+IF(C267="体力",E267,0)))</x:f>
        <x:v>0</x:v>
      </x:c>
      <x:c r="BN267">
        <x:f>MAX(0,MIN(BJ267,BN266+IF(C267="毅力",E267,0)))</x:f>
        <x:v>0</x:v>
      </x:c>
      <x:c r="BO267">
        <x:f>MAX(0,MIN(99-BL267,BO266+IF(C267="理智",E267,0)))</x:f>
        <x:v>0</x:v>
      </x:c>
      <x:c r="BP267">
        <x:f>MAX(0,MIN(99,BP266+IF(C267="崩溃点",E267,0)))</x:f>
        <x:v>0</x:v>
      </x:c>
      <x:c r="BQ267">
        <x:f>MAX(0,MIN(BK267,IF(AND(H267=1,C267="重要关系1",LEFT('幕间与结算'!H174,8)="建立新的重要关系"),'幕间与结算'!E174+E267,BQ266+IF(C267="重要关系1",E267,0)+IF(AND(C267="魅力",E267&lt;0),E267,0))))</x:f>
        <x:v>0</x:v>
      </x:c>
      <x:c r="BR267">
        <x:f>MAX(0,MIN(BK267,IF(AND(H267=1,C267="重要关系2",LEFT('幕间与结算'!H174,8)="建立新的重要关系"),'幕间与结算'!E174+E267,BR266+IF(C267="重要关系2",E267,0)+IF(AND(C267="魅力",E267&lt;0),E267,0))))</x:f>
        <x:v>0</x:v>
      </x:c>
      <x:c r="BS267">
        <x:f>MAX(0,MIN(BK267,IF(AND(H267=1,C267="重要关系3",LEFT('幕间与结算'!H174,8)="建立新的重要关系"),'幕间与结算'!E174+E267,BS266+IF(C267="重要关系3",E267,0)+IF(AND(C267="魅力",E267&lt;0),E267,0))))</x:f>
        <x:v>0</x:v>
      </x:c>
      <x:c r="BT267">
        <x:f>MAX(0,MIN(BK267,IF(AND(H267=1,C267="重要关系4",LEFT('幕间与结算'!H174,8)="建立新的重要关系"),'幕间与结算'!E174+E267,BT266+IF(C267="重要关系4",E267,0)+IF(AND(C267="魅力",E267&lt;0),E267,0))))</x:f>
        <x:v>0</x:v>
      </x:c>
      <x:c r="BU267">
        <x:f>MAX(0,MIN(BK267,IF(AND(H267=1,C267="重要关系5",LEFT('幕间与结算'!H174,8)="建立新的重要关系"),'幕间与结算'!E174+E267,BU266+IF(C267="重要关系5",E267,0)+IF(AND(C267="魅力",E267&lt;0),E267,0))))</x:f>
        <x:v>0</x:v>
      </x:c>
      <x:c r="BV267">
        <x:f>MAX(0,MIN(BK267,IF(AND(H267=1,C267="重要关系6",LEFT('幕间与结算'!H174,8)="建立新的重要关系"),'幕间与结算'!E174+E267,BV266+IF(C267="重要关系6",E267,0)+IF(AND(C267="魅力",E267&lt;0),E267,0))))</x:f>
        <x:v>0</x:v>
      </x:c>
      <x:c r="BW267">
        <x:f>MAX(0,MIN(BK267,IF(AND(H267=1,C267="重要关系7",LEFT('幕间与结算'!H174,8)="建立新的重要关系"),'幕间与结算'!E174+E267,BW266+IF(C267="重要关系7",E267,0)+IF(AND(C267="魅力",E267&lt;0),E267,0))))</x:f>
        <x:v>0</x:v>
      </x:c>
    </x:row>
    <x:row r="268">
      <x:c r="A268" t="str">
        <x:f>IFERROR(TEXT(VALUE('幕间与结算'!A175),"00"),"")</x:f>
        <x:v>00</x:v>
      </x:c>
      <x:c r="B268">
        <x:f>'幕间与结算'!B175</x:f>
        <x:v>0</x:v>
      </x:c>
      <x:c r="C268">
        <x:f>'幕间与结算'!D175</x:f>
        <x:v>0</x:v>
      </x:c>
      <x:c r="D268">
        <x:f>'幕间与结算'!F175</x:f>
        <x:v>0</x:v>
      </x:c>
      <x:c r="E268">
        <x:f>IF(H268=1,MAX(-'幕间与结算'!E175,MIN(D268,IF(LEFT(C268,3)="技能：",99,IF(COUNTIF($L$2:$L$7,C268)&gt;0,18,999))-'幕间与结算'!E175)),0)</x:f>
        <x:v>0</x:v>
      </x:c>
      <x:c r="F268" t="str">
        <x:f>IF(C268=0,"",IF(G268=0,"记录不完整",IF(H268=0,"重复未计","已计入")))</x:f>
        <x:v/>
      </x:c>
      <x:c r="G268">
        <x:f>IF(AND(AND('幕间与结算'!A175&lt;&gt;"",'幕间与结算'!B175&lt;&gt;"",'幕间与结算'!I175&lt;&gt;"",OR(LEFT(C268,3)="技能：",COUNTIF($L$2:$L$19,C268)&gt;0),ISNUMBER('幕间与结算'!E175),ISNUMBER('幕间与结算'!F175),ISNUMBER('幕间与结算'!G175),'幕间与结算'!E175&gt;=0,'幕间与结算'!G175='幕间与结算'!E175+'幕间与结算'!F175),OR(B268&lt;&gt;"成长",AND(LEFT(C268,3)="技能：",C268&lt;&gt;"技能：非自然知识",'幕间与结算'!E175&gt;=1,'幕间与结算'!E175&lt;=99,'幕间与结算'!F175&gt;=0,'幕间与结算'!F175&lt;=4,'幕间与结算'!G175&lt;=99))),1,0)</x:f>
        <x:v>0</x:v>
      </x:c>
      <x:c r="H268">
        <x:f>IF(AND(G268=1,COUNTIFS($I$200:I268,I268,$G$200:G268,1)=1),1,0)</x:f>
        <x:v>0</x:v>
      </x:c>
      <x:c r="I268" t="str">
        <x:f>IF(G268=1,IF(B268="成长",A268&amp;"-成长-"&amp;C268,'幕间与结算'!I175),"")</x:f>
        <x:v/>
      </x:c>
      <x:c r="BF268">
        <x:f>MAX(0,MIN(18,BF267+IF(C268="力量",E268,0)))</x:f>
        <x:v>0</x:v>
      </x:c>
      <x:c r="BG268">
        <x:f>MAX(0,MIN(18,BG267+IF(C268="体质",E268,0)))</x:f>
        <x:v>0</x:v>
      </x:c>
      <x:c r="BH268">
        <x:f>MAX(0,MIN(18,BH267+IF(C268="敏捷",E268,0)))</x:f>
        <x:v>0</x:v>
      </x:c>
      <x:c r="BI268">
        <x:f>MAX(0,MIN(18,BI267+IF(C268="智力",E268,0)))</x:f>
        <x:v>0</x:v>
      </x:c>
      <x:c r="BJ268">
        <x:f>MAX(0,MIN(18,BJ267+IF(C268="意志",E268,0)))</x:f>
        <x:v>0</x:v>
      </x:c>
      <x:c r="BK268">
        <x:f>MAX(0,MIN(18,BK267+IF(C268="魅力",E268,0)))</x:f>
        <x:v>0</x:v>
      </x:c>
      <x:c r="BL268">
        <x:f>MAX(0,MIN(99,BL267+IF(C268="技能：非自然知识",E268,0)))</x:f>
        <x:v>0</x:v>
      </x:c>
      <x:c r="BM268">
        <x:f>MAX(0,MIN(CEILING((BF268+BG268)/2,1),BM267+IF(C268="体力",E268,0)))</x:f>
        <x:v>0</x:v>
      </x:c>
      <x:c r="BN268">
        <x:f>MAX(0,MIN(BJ268,BN267+IF(C268="毅力",E268,0)))</x:f>
        <x:v>0</x:v>
      </x:c>
      <x:c r="BO268">
        <x:f>MAX(0,MIN(99-BL268,BO267+IF(C268="理智",E268,0)))</x:f>
        <x:v>0</x:v>
      </x:c>
      <x:c r="BP268">
        <x:f>MAX(0,MIN(99,BP267+IF(C268="崩溃点",E268,0)))</x:f>
        <x:v>0</x:v>
      </x:c>
      <x:c r="BQ268">
        <x:f>MAX(0,MIN(BK268,IF(AND(H268=1,C268="重要关系1",LEFT('幕间与结算'!H175,8)="建立新的重要关系"),'幕间与结算'!E175+E268,BQ267+IF(C268="重要关系1",E268,0)+IF(AND(C268="魅力",E268&lt;0),E268,0))))</x:f>
        <x:v>0</x:v>
      </x:c>
      <x:c r="BR268">
        <x:f>MAX(0,MIN(BK268,IF(AND(H268=1,C268="重要关系2",LEFT('幕间与结算'!H175,8)="建立新的重要关系"),'幕间与结算'!E175+E268,BR267+IF(C268="重要关系2",E268,0)+IF(AND(C268="魅力",E268&lt;0),E268,0))))</x:f>
        <x:v>0</x:v>
      </x:c>
      <x:c r="BS268">
        <x:f>MAX(0,MIN(BK268,IF(AND(H268=1,C268="重要关系3",LEFT('幕间与结算'!H175,8)="建立新的重要关系"),'幕间与结算'!E175+E268,BS267+IF(C268="重要关系3",E268,0)+IF(AND(C268="魅力",E268&lt;0),E268,0))))</x:f>
        <x:v>0</x:v>
      </x:c>
      <x:c r="BT268">
        <x:f>MAX(0,MIN(BK268,IF(AND(H268=1,C268="重要关系4",LEFT('幕间与结算'!H175,8)="建立新的重要关系"),'幕间与结算'!E175+E268,BT267+IF(C268="重要关系4",E268,0)+IF(AND(C268="魅力",E268&lt;0),E268,0))))</x:f>
        <x:v>0</x:v>
      </x:c>
      <x:c r="BU268">
        <x:f>MAX(0,MIN(BK268,IF(AND(H268=1,C268="重要关系5",LEFT('幕间与结算'!H175,8)="建立新的重要关系"),'幕间与结算'!E175+E268,BU267+IF(C268="重要关系5",E268,0)+IF(AND(C268="魅力",E268&lt;0),E268,0))))</x:f>
        <x:v>0</x:v>
      </x:c>
      <x:c r="BV268">
        <x:f>MAX(0,MIN(BK268,IF(AND(H268=1,C268="重要关系6",LEFT('幕间与结算'!H175,8)="建立新的重要关系"),'幕间与结算'!E175+E268,BV267+IF(C268="重要关系6",E268,0)+IF(AND(C268="魅力",E268&lt;0),E268,0))))</x:f>
        <x:v>0</x:v>
      </x:c>
      <x:c r="BW268">
        <x:f>MAX(0,MIN(BK268,IF(AND(H268=1,C268="重要关系7",LEFT('幕间与结算'!H175,8)="建立新的重要关系"),'幕间与结算'!E175+E268,BW267+IF(C268="重要关系7",E268,0)+IF(AND(C268="魅力",E268&lt;0),E268,0))))</x:f>
        <x:v>0</x:v>
      </x:c>
    </x:row>
    <x:row r="269">
      <x:c r="A269" t="str">
        <x:f>IFERROR(TEXT(VALUE('幕间与结算'!A176),"00"),"")</x:f>
        <x:v>00</x:v>
      </x:c>
      <x:c r="B269">
        <x:f>'幕间与结算'!B176</x:f>
        <x:v>0</x:v>
      </x:c>
      <x:c r="C269">
        <x:f>'幕间与结算'!D176</x:f>
        <x:v>0</x:v>
      </x:c>
      <x:c r="D269">
        <x:f>'幕间与结算'!F176</x:f>
        <x:v>0</x:v>
      </x:c>
      <x:c r="E269">
        <x:f>IF(H269=1,MAX(-'幕间与结算'!E176,MIN(D269,IF(LEFT(C269,3)="技能：",99,IF(COUNTIF($L$2:$L$7,C269)&gt;0,18,999))-'幕间与结算'!E176)),0)</x:f>
        <x:v>0</x:v>
      </x:c>
      <x:c r="F269" t="str">
        <x:f>IF(C269=0,"",IF(G269=0,"记录不完整",IF(H269=0,"重复未计","已计入")))</x:f>
        <x:v/>
      </x:c>
      <x:c r="G269">
        <x:f>IF(AND(AND('幕间与结算'!A176&lt;&gt;"",'幕间与结算'!B176&lt;&gt;"",'幕间与结算'!I176&lt;&gt;"",OR(LEFT(C269,3)="技能：",COUNTIF($L$2:$L$19,C269)&gt;0),ISNUMBER('幕间与结算'!E176),ISNUMBER('幕间与结算'!F176),ISNUMBER('幕间与结算'!G176),'幕间与结算'!E176&gt;=0,'幕间与结算'!G176='幕间与结算'!E176+'幕间与结算'!F176),OR(B269&lt;&gt;"成长",AND(LEFT(C269,3)="技能：",C269&lt;&gt;"技能：非自然知识",'幕间与结算'!E176&gt;=1,'幕间与结算'!E176&lt;=99,'幕间与结算'!F176&gt;=0,'幕间与结算'!F176&lt;=4,'幕间与结算'!G176&lt;=99))),1,0)</x:f>
        <x:v>0</x:v>
      </x:c>
      <x:c r="H269">
        <x:f>IF(AND(G269=1,COUNTIFS($I$200:I269,I269,$G$200:G269,1)=1),1,0)</x:f>
        <x:v>0</x:v>
      </x:c>
      <x:c r="I269" t="str">
        <x:f>IF(G269=1,IF(B269="成长",A269&amp;"-成长-"&amp;C269,'幕间与结算'!I176),"")</x:f>
        <x:v/>
      </x:c>
      <x:c r="BF269">
        <x:f>MAX(0,MIN(18,BF268+IF(C269="力量",E269,0)))</x:f>
        <x:v>0</x:v>
      </x:c>
      <x:c r="BG269">
        <x:f>MAX(0,MIN(18,BG268+IF(C269="体质",E269,0)))</x:f>
        <x:v>0</x:v>
      </x:c>
      <x:c r="BH269">
        <x:f>MAX(0,MIN(18,BH268+IF(C269="敏捷",E269,0)))</x:f>
        <x:v>0</x:v>
      </x:c>
      <x:c r="BI269">
        <x:f>MAX(0,MIN(18,BI268+IF(C269="智力",E269,0)))</x:f>
        <x:v>0</x:v>
      </x:c>
      <x:c r="BJ269">
        <x:f>MAX(0,MIN(18,BJ268+IF(C269="意志",E269,0)))</x:f>
        <x:v>0</x:v>
      </x:c>
      <x:c r="BK269">
        <x:f>MAX(0,MIN(18,BK268+IF(C269="魅力",E269,0)))</x:f>
        <x:v>0</x:v>
      </x:c>
      <x:c r="BL269">
        <x:f>MAX(0,MIN(99,BL268+IF(C269="技能：非自然知识",E269,0)))</x:f>
        <x:v>0</x:v>
      </x:c>
      <x:c r="BM269">
        <x:f>MAX(0,MIN(CEILING((BF269+BG269)/2,1),BM268+IF(C269="体力",E269,0)))</x:f>
        <x:v>0</x:v>
      </x:c>
      <x:c r="BN269">
        <x:f>MAX(0,MIN(BJ269,BN268+IF(C269="毅力",E269,0)))</x:f>
        <x:v>0</x:v>
      </x:c>
      <x:c r="BO269">
        <x:f>MAX(0,MIN(99-BL269,BO268+IF(C269="理智",E269,0)))</x:f>
        <x:v>0</x:v>
      </x:c>
      <x:c r="BP269">
        <x:f>MAX(0,MIN(99,BP268+IF(C269="崩溃点",E269,0)))</x:f>
        <x:v>0</x:v>
      </x:c>
      <x:c r="BQ269">
        <x:f>MAX(0,MIN(BK269,IF(AND(H269=1,C269="重要关系1",LEFT('幕间与结算'!H176,8)="建立新的重要关系"),'幕间与结算'!E176+E269,BQ268+IF(C269="重要关系1",E269,0)+IF(AND(C269="魅力",E269&lt;0),E269,0))))</x:f>
        <x:v>0</x:v>
      </x:c>
      <x:c r="BR269">
        <x:f>MAX(0,MIN(BK269,IF(AND(H269=1,C269="重要关系2",LEFT('幕间与结算'!H176,8)="建立新的重要关系"),'幕间与结算'!E176+E269,BR268+IF(C269="重要关系2",E269,0)+IF(AND(C269="魅力",E269&lt;0),E269,0))))</x:f>
        <x:v>0</x:v>
      </x:c>
      <x:c r="BS269">
        <x:f>MAX(0,MIN(BK269,IF(AND(H269=1,C269="重要关系3",LEFT('幕间与结算'!H176,8)="建立新的重要关系"),'幕间与结算'!E176+E269,BS268+IF(C269="重要关系3",E269,0)+IF(AND(C269="魅力",E269&lt;0),E269,0))))</x:f>
        <x:v>0</x:v>
      </x:c>
      <x:c r="BT269">
        <x:f>MAX(0,MIN(BK269,IF(AND(H269=1,C269="重要关系4",LEFT('幕间与结算'!H176,8)="建立新的重要关系"),'幕间与结算'!E176+E269,BT268+IF(C269="重要关系4",E269,0)+IF(AND(C269="魅力",E269&lt;0),E269,0))))</x:f>
        <x:v>0</x:v>
      </x:c>
      <x:c r="BU269">
        <x:f>MAX(0,MIN(BK269,IF(AND(H269=1,C269="重要关系5",LEFT('幕间与结算'!H176,8)="建立新的重要关系"),'幕间与结算'!E176+E269,BU268+IF(C269="重要关系5",E269,0)+IF(AND(C269="魅力",E269&lt;0),E269,0))))</x:f>
        <x:v>0</x:v>
      </x:c>
      <x:c r="BV269">
        <x:f>MAX(0,MIN(BK269,IF(AND(H269=1,C269="重要关系6",LEFT('幕间与结算'!H176,8)="建立新的重要关系"),'幕间与结算'!E176+E269,BV268+IF(C269="重要关系6",E269,0)+IF(AND(C269="魅力",E269&lt;0),E269,0))))</x:f>
        <x:v>0</x:v>
      </x:c>
      <x:c r="BW269">
        <x:f>MAX(0,MIN(BK269,IF(AND(H269=1,C269="重要关系7",LEFT('幕间与结算'!H176,8)="建立新的重要关系"),'幕间与结算'!E176+E269,BW268+IF(C269="重要关系7",E269,0)+IF(AND(C269="魅力",E269&lt;0),E269,0))))</x:f>
        <x:v>0</x:v>
      </x:c>
    </x:row>
    <x:row r="270">
      <x:c r="A270" t="str">
        <x:f>IFERROR(TEXT(VALUE('幕间与结算'!A177),"00"),"")</x:f>
        <x:v>00</x:v>
      </x:c>
      <x:c r="B270">
        <x:f>'幕间与结算'!B177</x:f>
        <x:v>0</x:v>
      </x:c>
      <x:c r="C270">
        <x:f>'幕间与结算'!D177</x:f>
        <x:v>0</x:v>
      </x:c>
      <x:c r="D270">
        <x:f>'幕间与结算'!F177</x:f>
        <x:v>0</x:v>
      </x:c>
      <x:c r="E270">
        <x:f>IF(H270=1,MAX(-'幕间与结算'!E177,MIN(D270,IF(LEFT(C270,3)="技能：",99,IF(COUNTIF($L$2:$L$7,C270)&gt;0,18,999))-'幕间与结算'!E177)),0)</x:f>
        <x:v>0</x:v>
      </x:c>
      <x:c r="F270" t="str">
        <x:f>IF(C270=0,"",IF(G270=0,"记录不完整",IF(H270=0,"重复未计","已计入")))</x:f>
        <x:v/>
      </x:c>
      <x:c r="G270">
        <x:f>IF(AND(AND('幕间与结算'!A177&lt;&gt;"",'幕间与结算'!B177&lt;&gt;"",'幕间与结算'!I177&lt;&gt;"",OR(LEFT(C270,3)="技能：",COUNTIF($L$2:$L$19,C270)&gt;0),ISNUMBER('幕间与结算'!E177),ISNUMBER('幕间与结算'!F177),ISNUMBER('幕间与结算'!G177),'幕间与结算'!E177&gt;=0,'幕间与结算'!G177='幕间与结算'!E177+'幕间与结算'!F177),OR(B270&lt;&gt;"成长",AND(LEFT(C270,3)="技能：",C270&lt;&gt;"技能：非自然知识",'幕间与结算'!E177&gt;=1,'幕间与结算'!E177&lt;=99,'幕间与结算'!F177&gt;=0,'幕间与结算'!F177&lt;=4,'幕间与结算'!G177&lt;=99))),1,0)</x:f>
        <x:v>0</x:v>
      </x:c>
      <x:c r="H270">
        <x:f>IF(AND(G270=1,COUNTIFS($I$200:I270,I270,$G$200:G270,1)=1),1,0)</x:f>
        <x:v>0</x:v>
      </x:c>
      <x:c r="I270" t="str">
        <x:f>IF(G270=1,IF(B270="成长",A270&amp;"-成长-"&amp;C270,'幕间与结算'!I177),"")</x:f>
        <x:v/>
      </x:c>
      <x:c r="BF270">
        <x:f>MAX(0,MIN(18,BF269+IF(C270="力量",E270,0)))</x:f>
        <x:v>0</x:v>
      </x:c>
      <x:c r="BG270">
        <x:f>MAX(0,MIN(18,BG269+IF(C270="体质",E270,0)))</x:f>
        <x:v>0</x:v>
      </x:c>
      <x:c r="BH270">
        <x:f>MAX(0,MIN(18,BH269+IF(C270="敏捷",E270,0)))</x:f>
        <x:v>0</x:v>
      </x:c>
      <x:c r="BI270">
        <x:f>MAX(0,MIN(18,BI269+IF(C270="智力",E270,0)))</x:f>
        <x:v>0</x:v>
      </x:c>
      <x:c r="BJ270">
        <x:f>MAX(0,MIN(18,BJ269+IF(C270="意志",E270,0)))</x:f>
        <x:v>0</x:v>
      </x:c>
      <x:c r="BK270">
        <x:f>MAX(0,MIN(18,BK269+IF(C270="魅力",E270,0)))</x:f>
        <x:v>0</x:v>
      </x:c>
      <x:c r="BL270">
        <x:f>MAX(0,MIN(99,BL269+IF(C270="技能：非自然知识",E270,0)))</x:f>
        <x:v>0</x:v>
      </x:c>
      <x:c r="BM270">
        <x:f>MAX(0,MIN(CEILING((BF270+BG270)/2,1),BM269+IF(C270="体力",E270,0)))</x:f>
        <x:v>0</x:v>
      </x:c>
      <x:c r="BN270">
        <x:f>MAX(0,MIN(BJ270,BN269+IF(C270="毅力",E270,0)))</x:f>
        <x:v>0</x:v>
      </x:c>
      <x:c r="BO270">
        <x:f>MAX(0,MIN(99-BL270,BO269+IF(C270="理智",E270,0)))</x:f>
        <x:v>0</x:v>
      </x:c>
      <x:c r="BP270">
        <x:f>MAX(0,MIN(99,BP269+IF(C270="崩溃点",E270,0)))</x:f>
        <x:v>0</x:v>
      </x:c>
      <x:c r="BQ270">
        <x:f>MAX(0,MIN(BK270,IF(AND(H270=1,C270="重要关系1",LEFT('幕间与结算'!H177,8)="建立新的重要关系"),'幕间与结算'!E177+E270,BQ269+IF(C270="重要关系1",E270,0)+IF(AND(C270="魅力",E270&lt;0),E270,0))))</x:f>
        <x:v>0</x:v>
      </x:c>
      <x:c r="BR270">
        <x:f>MAX(0,MIN(BK270,IF(AND(H270=1,C270="重要关系2",LEFT('幕间与结算'!H177,8)="建立新的重要关系"),'幕间与结算'!E177+E270,BR269+IF(C270="重要关系2",E270,0)+IF(AND(C270="魅力",E270&lt;0),E270,0))))</x:f>
        <x:v>0</x:v>
      </x:c>
      <x:c r="BS270">
        <x:f>MAX(0,MIN(BK270,IF(AND(H270=1,C270="重要关系3",LEFT('幕间与结算'!H177,8)="建立新的重要关系"),'幕间与结算'!E177+E270,BS269+IF(C270="重要关系3",E270,0)+IF(AND(C270="魅力",E270&lt;0),E270,0))))</x:f>
        <x:v>0</x:v>
      </x:c>
      <x:c r="BT270">
        <x:f>MAX(0,MIN(BK270,IF(AND(H270=1,C270="重要关系4",LEFT('幕间与结算'!H177,8)="建立新的重要关系"),'幕间与结算'!E177+E270,BT269+IF(C270="重要关系4",E270,0)+IF(AND(C270="魅力",E270&lt;0),E270,0))))</x:f>
        <x:v>0</x:v>
      </x:c>
      <x:c r="BU270">
        <x:f>MAX(0,MIN(BK270,IF(AND(H270=1,C270="重要关系5",LEFT('幕间与结算'!H177,8)="建立新的重要关系"),'幕间与结算'!E177+E270,BU269+IF(C270="重要关系5",E270,0)+IF(AND(C270="魅力",E270&lt;0),E270,0))))</x:f>
        <x:v>0</x:v>
      </x:c>
      <x:c r="BV270">
        <x:f>MAX(0,MIN(BK270,IF(AND(H270=1,C270="重要关系6",LEFT('幕间与结算'!H177,8)="建立新的重要关系"),'幕间与结算'!E177+E270,BV269+IF(C270="重要关系6",E270,0)+IF(AND(C270="魅力",E270&lt;0),E270,0))))</x:f>
        <x:v>0</x:v>
      </x:c>
      <x:c r="BW270">
        <x:f>MAX(0,MIN(BK270,IF(AND(H270=1,C270="重要关系7",LEFT('幕间与结算'!H177,8)="建立新的重要关系"),'幕间与结算'!E177+E270,BW269+IF(C270="重要关系7",E270,0)+IF(AND(C270="魅力",E270&lt;0),E270,0))))</x:f>
        <x:v>0</x:v>
      </x:c>
    </x:row>
    <x:row r="271">
      <x:c r="A271" t="str">
        <x:f>IFERROR(TEXT(VALUE('幕间与结算'!A178),"00"),"")</x:f>
        <x:v>00</x:v>
      </x:c>
      <x:c r="B271">
        <x:f>'幕间与结算'!B178</x:f>
        <x:v>0</x:v>
      </x:c>
      <x:c r="C271">
        <x:f>'幕间与结算'!D178</x:f>
        <x:v>0</x:v>
      </x:c>
      <x:c r="D271">
        <x:f>'幕间与结算'!F178</x:f>
        <x:v>0</x:v>
      </x:c>
      <x:c r="E271">
        <x:f>IF(H271=1,MAX(-'幕间与结算'!E178,MIN(D271,IF(LEFT(C271,3)="技能：",99,IF(COUNTIF($L$2:$L$7,C271)&gt;0,18,999))-'幕间与结算'!E178)),0)</x:f>
        <x:v>0</x:v>
      </x:c>
      <x:c r="F271" t="str">
        <x:f>IF(C271=0,"",IF(G271=0,"记录不完整",IF(H271=0,"重复未计","已计入")))</x:f>
        <x:v/>
      </x:c>
      <x:c r="G271">
        <x:f>IF(AND(AND('幕间与结算'!A178&lt;&gt;"",'幕间与结算'!B178&lt;&gt;"",'幕间与结算'!I178&lt;&gt;"",OR(LEFT(C271,3)="技能：",COUNTIF($L$2:$L$19,C271)&gt;0),ISNUMBER('幕间与结算'!E178),ISNUMBER('幕间与结算'!F178),ISNUMBER('幕间与结算'!G178),'幕间与结算'!E178&gt;=0,'幕间与结算'!G178='幕间与结算'!E178+'幕间与结算'!F178),OR(B271&lt;&gt;"成长",AND(LEFT(C271,3)="技能：",C271&lt;&gt;"技能：非自然知识",'幕间与结算'!E178&gt;=1,'幕间与结算'!E178&lt;=99,'幕间与结算'!F178&gt;=0,'幕间与结算'!F178&lt;=4,'幕间与结算'!G178&lt;=99))),1,0)</x:f>
        <x:v>0</x:v>
      </x:c>
      <x:c r="H271">
        <x:f>IF(AND(G271=1,COUNTIFS($I$200:I271,I271,$G$200:G271,1)=1),1,0)</x:f>
        <x:v>0</x:v>
      </x:c>
      <x:c r="I271" t="str">
        <x:f>IF(G271=1,IF(B271="成长",A271&amp;"-成长-"&amp;C271,'幕间与结算'!I178),"")</x:f>
        <x:v/>
      </x:c>
      <x:c r="BF271">
        <x:f>MAX(0,MIN(18,BF270+IF(C271="力量",E271,0)))</x:f>
        <x:v>0</x:v>
      </x:c>
      <x:c r="BG271">
        <x:f>MAX(0,MIN(18,BG270+IF(C271="体质",E271,0)))</x:f>
        <x:v>0</x:v>
      </x:c>
      <x:c r="BH271">
        <x:f>MAX(0,MIN(18,BH270+IF(C271="敏捷",E271,0)))</x:f>
        <x:v>0</x:v>
      </x:c>
      <x:c r="BI271">
        <x:f>MAX(0,MIN(18,BI270+IF(C271="智力",E271,0)))</x:f>
        <x:v>0</x:v>
      </x:c>
      <x:c r="BJ271">
        <x:f>MAX(0,MIN(18,BJ270+IF(C271="意志",E271,0)))</x:f>
        <x:v>0</x:v>
      </x:c>
      <x:c r="BK271">
        <x:f>MAX(0,MIN(18,BK270+IF(C271="魅力",E271,0)))</x:f>
        <x:v>0</x:v>
      </x:c>
      <x:c r="BL271">
        <x:f>MAX(0,MIN(99,BL270+IF(C271="技能：非自然知识",E271,0)))</x:f>
        <x:v>0</x:v>
      </x:c>
      <x:c r="BM271">
        <x:f>MAX(0,MIN(CEILING((BF271+BG271)/2,1),BM270+IF(C271="体力",E271,0)))</x:f>
        <x:v>0</x:v>
      </x:c>
      <x:c r="BN271">
        <x:f>MAX(0,MIN(BJ271,BN270+IF(C271="毅力",E271,0)))</x:f>
        <x:v>0</x:v>
      </x:c>
      <x:c r="BO271">
        <x:f>MAX(0,MIN(99-BL271,BO270+IF(C271="理智",E271,0)))</x:f>
        <x:v>0</x:v>
      </x:c>
      <x:c r="BP271">
        <x:f>MAX(0,MIN(99,BP270+IF(C271="崩溃点",E271,0)))</x:f>
        <x:v>0</x:v>
      </x:c>
      <x:c r="BQ271">
        <x:f>MAX(0,MIN(BK271,IF(AND(H271=1,C271="重要关系1",LEFT('幕间与结算'!H178,8)="建立新的重要关系"),'幕间与结算'!E178+E271,BQ270+IF(C271="重要关系1",E271,0)+IF(AND(C271="魅力",E271&lt;0),E271,0))))</x:f>
        <x:v>0</x:v>
      </x:c>
      <x:c r="BR271">
        <x:f>MAX(0,MIN(BK271,IF(AND(H271=1,C271="重要关系2",LEFT('幕间与结算'!H178,8)="建立新的重要关系"),'幕间与结算'!E178+E271,BR270+IF(C271="重要关系2",E271,0)+IF(AND(C271="魅力",E271&lt;0),E271,0))))</x:f>
        <x:v>0</x:v>
      </x:c>
      <x:c r="BS271">
        <x:f>MAX(0,MIN(BK271,IF(AND(H271=1,C271="重要关系3",LEFT('幕间与结算'!H178,8)="建立新的重要关系"),'幕间与结算'!E178+E271,BS270+IF(C271="重要关系3",E271,0)+IF(AND(C271="魅力",E271&lt;0),E271,0))))</x:f>
        <x:v>0</x:v>
      </x:c>
      <x:c r="BT271">
        <x:f>MAX(0,MIN(BK271,IF(AND(H271=1,C271="重要关系4",LEFT('幕间与结算'!H178,8)="建立新的重要关系"),'幕间与结算'!E178+E271,BT270+IF(C271="重要关系4",E271,0)+IF(AND(C271="魅力",E271&lt;0),E271,0))))</x:f>
        <x:v>0</x:v>
      </x:c>
      <x:c r="BU271">
        <x:f>MAX(0,MIN(BK271,IF(AND(H271=1,C271="重要关系5",LEFT('幕间与结算'!H178,8)="建立新的重要关系"),'幕间与结算'!E178+E271,BU270+IF(C271="重要关系5",E271,0)+IF(AND(C271="魅力",E271&lt;0),E271,0))))</x:f>
        <x:v>0</x:v>
      </x:c>
      <x:c r="BV271">
        <x:f>MAX(0,MIN(BK271,IF(AND(H271=1,C271="重要关系6",LEFT('幕间与结算'!H178,8)="建立新的重要关系"),'幕间与结算'!E178+E271,BV270+IF(C271="重要关系6",E271,0)+IF(AND(C271="魅力",E271&lt;0),E271,0))))</x:f>
        <x:v>0</x:v>
      </x:c>
      <x:c r="BW271">
        <x:f>MAX(0,MIN(BK271,IF(AND(H271=1,C271="重要关系7",LEFT('幕间与结算'!H178,8)="建立新的重要关系"),'幕间与结算'!E178+E271,BW270+IF(C271="重要关系7",E271,0)+IF(AND(C271="魅力",E271&lt;0),E271,0))))</x:f>
        <x:v>0</x:v>
      </x:c>
    </x:row>
    <x:row r="272">
      <x:c r="A272" t="str">
        <x:f>IFERROR(TEXT(VALUE('幕间与结算'!A179),"00"),"")</x:f>
        <x:v>00</x:v>
      </x:c>
      <x:c r="B272">
        <x:f>'幕间与结算'!B179</x:f>
        <x:v>0</x:v>
      </x:c>
      <x:c r="C272">
        <x:f>'幕间与结算'!D179</x:f>
        <x:v>0</x:v>
      </x:c>
      <x:c r="D272">
        <x:f>'幕间与结算'!F179</x:f>
        <x:v>0</x:v>
      </x:c>
      <x:c r="E272">
        <x:f>IF(H272=1,MAX(-'幕间与结算'!E179,MIN(D272,IF(LEFT(C272,3)="技能：",99,IF(COUNTIF($L$2:$L$7,C272)&gt;0,18,999))-'幕间与结算'!E179)),0)</x:f>
        <x:v>0</x:v>
      </x:c>
      <x:c r="F272" t="str">
        <x:f>IF(C272=0,"",IF(G272=0,"记录不完整",IF(H272=0,"重复未计","已计入")))</x:f>
        <x:v/>
      </x:c>
      <x:c r="G272">
        <x:f>IF(AND(AND('幕间与结算'!A179&lt;&gt;"",'幕间与结算'!B179&lt;&gt;"",'幕间与结算'!I179&lt;&gt;"",OR(LEFT(C272,3)="技能：",COUNTIF($L$2:$L$19,C272)&gt;0),ISNUMBER('幕间与结算'!E179),ISNUMBER('幕间与结算'!F179),ISNUMBER('幕间与结算'!G179),'幕间与结算'!E179&gt;=0,'幕间与结算'!G179='幕间与结算'!E179+'幕间与结算'!F179),OR(B272&lt;&gt;"成长",AND(LEFT(C272,3)="技能：",C272&lt;&gt;"技能：非自然知识",'幕间与结算'!E179&gt;=1,'幕间与结算'!E179&lt;=99,'幕间与结算'!F179&gt;=0,'幕间与结算'!F179&lt;=4,'幕间与结算'!G179&lt;=99))),1,0)</x:f>
        <x:v>0</x:v>
      </x:c>
      <x:c r="H272">
        <x:f>IF(AND(G272=1,COUNTIFS($I$200:I272,I272,$G$200:G272,1)=1),1,0)</x:f>
        <x:v>0</x:v>
      </x:c>
      <x:c r="I272" t="str">
        <x:f>IF(G272=1,IF(B272="成长",A272&amp;"-成长-"&amp;C272,'幕间与结算'!I179),"")</x:f>
        <x:v/>
      </x:c>
      <x:c r="BF272">
        <x:f>MAX(0,MIN(18,BF271+IF(C272="力量",E272,0)))</x:f>
        <x:v>0</x:v>
      </x:c>
      <x:c r="BG272">
        <x:f>MAX(0,MIN(18,BG271+IF(C272="体质",E272,0)))</x:f>
        <x:v>0</x:v>
      </x:c>
      <x:c r="BH272">
        <x:f>MAX(0,MIN(18,BH271+IF(C272="敏捷",E272,0)))</x:f>
        <x:v>0</x:v>
      </x:c>
      <x:c r="BI272">
        <x:f>MAX(0,MIN(18,BI271+IF(C272="智力",E272,0)))</x:f>
        <x:v>0</x:v>
      </x:c>
      <x:c r="BJ272">
        <x:f>MAX(0,MIN(18,BJ271+IF(C272="意志",E272,0)))</x:f>
        <x:v>0</x:v>
      </x:c>
      <x:c r="BK272">
        <x:f>MAX(0,MIN(18,BK271+IF(C272="魅力",E272,0)))</x:f>
        <x:v>0</x:v>
      </x:c>
      <x:c r="BL272">
        <x:f>MAX(0,MIN(99,BL271+IF(C272="技能：非自然知识",E272,0)))</x:f>
        <x:v>0</x:v>
      </x:c>
      <x:c r="BM272">
        <x:f>MAX(0,MIN(CEILING((BF272+BG272)/2,1),BM271+IF(C272="体力",E272,0)))</x:f>
        <x:v>0</x:v>
      </x:c>
      <x:c r="BN272">
        <x:f>MAX(0,MIN(BJ272,BN271+IF(C272="毅力",E272,0)))</x:f>
        <x:v>0</x:v>
      </x:c>
      <x:c r="BO272">
        <x:f>MAX(0,MIN(99-BL272,BO271+IF(C272="理智",E272,0)))</x:f>
        <x:v>0</x:v>
      </x:c>
      <x:c r="BP272">
        <x:f>MAX(0,MIN(99,BP271+IF(C272="崩溃点",E272,0)))</x:f>
        <x:v>0</x:v>
      </x:c>
      <x:c r="BQ272">
        <x:f>MAX(0,MIN(BK272,IF(AND(H272=1,C272="重要关系1",LEFT('幕间与结算'!H179,8)="建立新的重要关系"),'幕间与结算'!E179+E272,BQ271+IF(C272="重要关系1",E272,0)+IF(AND(C272="魅力",E272&lt;0),E272,0))))</x:f>
        <x:v>0</x:v>
      </x:c>
      <x:c r="BR272">
        <x:f>MAX(0,MIN(BK272,IF(AND(H272=1,C272="重要关系2",LEFT('幕间与结算'!H179,8)="建立新的重要关系"),'幕间与结算'!E179+E272,BR271+IF(C272="重要关系2",E272,0)+IF(AND(C272="魅力",E272&lt;0),E272,0))))</x:f>
        <x:v>0</x:v>
      </x:c>
      <x:c r="BS272">
        <x:f>MAX(0,MIN(BK272,IF(AND(H272=1,C272="重要关系3",LEFT('幕间与结算'!H179,8)="建立新的重要关系"),'幕间与结算'!E179+E272,BS271+IF(C272="重要关系3",E272,0)+IF(AND(C272="魅力",E272&lt;0),E272,0))))</x:f>
        <x:v>0</x:v>
      </x:c>
      <x:c r="BT272">
        <x:f>MAX(0,MIN(BK272,IF(AND(H272=1,C272="重要关系4",LEFT('幕间与结算'!H179,8)="建立新的重要关系"),'幕间与结算'!E179+E272,BT271+IF(C272="重要关系4",E272,0)+IF(AND(C272="魅力",E272&lt;0),E272,0))))</x:f>
        <x:v>0</x:v>
      </x:c>
      <x:c r="BU272">
        <x:f>MAX(0,MIN(BK272,IF(AND(H272=1,C272="重要关系5",LEFT('幕间与结算'!H179,8)="建立新的重要关系"),'幕间与结算'!E179+E272,BU271+IF(C272="重要关系5",E272,0)+IF(AND(C272="魅力",E272&lt;0),E272,0))))</x:f>
        <x:v>0</x:v>
      </x:c>
      <x:c r="BV272">
        <x:f>MAX(0,MIN(BK272,IF(AND(H272=1,C272="重要关系6",LEFT('幕间与结算'!H179,8)="建立新的重要关系"),'幕间与结算'!E179+E272,BV271+IF(C272="重要关系6",E272,0)+IF(AND(C272="魅力",E272&lt;0),E272,0))))</x:f>
        <x:v>0</x:v>
      </x:c>
      <x:c r="BW272">
        <x:f>MAX(0,MIN(BK272,IF(AND(H272=1,C272="重要关系7",LEFT('幕间与结算'!H179,8)="建立新的重要关系"),'幕间与结算'!E179+E272,BW271+IF(C272="重要关系7",E272,0)+IF(AND(C272="魅力",E272&lt;0),E272,0))))</x:f>
        <x:v>0</x:v>
      </x:c>
    </x:row>
    <x:row r="273">
      <x:c r="A273" t="str">
        <x:f>IFERROR(TEXT(VALUE('幕间与结算'!A180),"00"),"")</x:f>
        <x:v>00</x:v>
      </x:c>
      <x:c r="B273">
        <x:f>'幕间与结算'!B180</x:f>
        <x:v>0</x:v>
      </x:c>
      <x:c r="C273">
        <x:f>'幕间与结算'!D180</x:f>
        <x:v>0</x:v>
      </x:c>
      <x:c r="D273">
        <x:f>'幕间与结算'!F180</x:f>
        <x:v>0</x:v>
      </x:c>
      <x:c r="E273">
        <x:f>IF(H273=1,MAX(-'幕间与结算'!E180,MIN(D273,IF(LEFT(C273,3)="技能：",99,IF(COUNTIF($L$2:$L$7,C273)&gt;0,18,999))-'幕间与结算'!E180)),0)</x:f>
        <x:v>0</x:v>
      </x:c>
      <x:c r="F273" t="str">
        <x:f>IF(C273=0,"",IF(G273=0,"记录不完整",IF(H273=0,"重复未计","已计入")))</x:f>
        <x:v/>
      </x:c>
      <x:c r="G273">
        <x:f>IF(AND(AND('幕间与结算'!A180&lt;&gt;"",'幕间与结算'!B180&lt;&gt;"",'幕间与结算'!I180&lt;&gt;"",OR(LEFT(C273,3)="技能：",COUNTIF($L$2:$L$19,C273)&gt;0),ISNUMBER('幕间与结算'!E180),ISNUMBER('幕间与结算'!F180),ISNUMBER('幕间与结算'!G180),'幕间与结算'!E180&gt;=0,'幕间与结算'!G180='幕间与结算'!E180+'幕间与结算'!F180),OR(B273&lt;&gt;"成长",AND(LEFT(C273,3)="技能：",C273&lt;&gt;"技能：非自然知识",'幕间与结算'!E180&gt;=1,'幕间与结算'!E180&lt;=99,'幕间与结算'!F180&gt;=0,'幕间与结算'!F180&lt;=4,'幕间与结算'!G180&lt;=99))),1,0)</x:f>
        <x:v>0</x:v>
      </x:c>
      <x:c r="H273">
        <x:f>IF(AND(G273=1,COUNTIFS($I$200:I273,I273,$G$200:G273,1)=1),1,0)</x:f>
        <x:v>0</x:v>
      </x:c>
      <x:c r="I273" t="str">
        <x:f>IF(G273=1,IF(B273="成长",A273&amp;"-成长-"&amp;C273,'幕间与结算'!I180),"")</x:f>
        <x:v/>
      </x:c>
      <x:c r="BF273">
        <x:f>MAX(0,MIN(18,BF272+IF(C273="力量",E273,0)))</x:f>
        <x:v>0</x:v>
      </x:c>
      <x:c r="BG273">
        <x:f>MAX(0,MIN(18,BG272+IF(C273="体质",E273,0)))</x:f>
        <x:v>0</x:v>
      </x:c>
      <x:c r="BH273">
        <x:f>MAX(0,MIN(18,BH272+IF(C273="敏捷",E273,0)))</x:f>
        <x:v>0</x:v>
      </x:c>
      <x:c r="BI273">
        <x:f>MAX(0,MIN(18,BI272+IF(C273="智力",E273,0)))</x:f>
        <x:v>0</x:v>
      </x:c>
      <x:c r="BJ273">
        <x:f>MAX(0,MIN(18,BJ272+IF(C273="意志",E273,0)))</x:f>
        <x:v>0</x:v>
      </x:c>
      <x:c r="BK273">
        <x:f>MAX(0,MIN(18,BK272+IF(C273="魅力",E273,0)))</x:f>
        <x:v>0</x:v>
      </x:c>
      <x:c r="BL273">
        <x:f>MAX(0,MIN(99,BL272+IF(C273="技能：非自然知识",E273,0)))</x:f>
        <x:v>0</x:v>
      </x:c>
      <x:c r="BM273">
        <x:f>MAX(0,MIN(CEILING((BF273+BG273)/2,1),BM272+IF(C273="体力",E273,0)))</x:f>
        <x:v>0</x:v>
      </x:c>
      <x:c r="BN273">
        <x:f>MAX(0,MIN(BJ273,BN272+IF(C273="毅力",E273,0)))</x:f>
        <x:v>0</x:v>
      </x:c>
      <x:c r="BO273">
        <x:f>MAX(0,MIN(99-BL273,BO272+IF(C273="理智",E273,0)))</x:f>
        <x:v>0</x:v>
      </x:c>
      <x:c r="BP273">
        <x:f>MAX(0,MIN(99,BP272+IF(C273="崩溃点",E273,0)))</x:f>
        <x:v>0</x:v>
      </x:c>
      <x:c r="BQ273">
        <x:f>MAX(0,MIN(BK273,IF(AND(H273=1,C273="重要关系1",LEFT('幕间与结算'!H180,8)="建立新的重要关系"),'幕间与结算'!E180+E273,BQ272+IF(C273="重要关系1",E273,0)+IF(AND(C273="魅力",E273&lt;0),E273,0))))</x:f>
        <x:v>0</x:v>
      </x:c>
      <x:c r="BR273">
        <x:f>MAX(0,MIN(BK273,IF(AND(H273=1,C273="重要关系2",LEFT('幕间与结算'!H180,8)="建立新的重要关系"),'幕间与结算'!E180+E273,BR272+IF(C273="重要关系2",E273,0)+IF(AND(C273="魅力",E273&lt;0),E273,0))))</x:f>
        <x:v>0</x:v>
      </x:c>
      <x:c r="BS273">
        <x:f>MAX(0,MIN(BK273,IF(AND(H273=1,C273="重要关系3",LEFT('幕间与结算'!H180,8)="建立新的重要关系"),'幕间与结算'!E180+E273,BS272+IF(C273="重要关系3",E273,0)+IF(AND(C273="魅力",E273&lt;0),E273,0))))</x:f>
        <x:v>0</x:v>
      </x:c>
      <x:c r="BT273">
        <x:f>MAX(0,MIN(BK273,IF(AND(H273=1,C273="重要关系4",LEFT('幕间与结算'!H180,8)="建立新的重要关系"),'幕间与结算'!E180+E273,BT272+IF(C273="重要关系4",E273,0)+IF(AND(C273="魅力",E273&lt;0),E273,0))))</x:f>
        <x:v>0</x:v>
      </x:c>
      <x:c r="BU273">
        <x:f>MAX(0,MIN(BK273,IF(AND(H273=1,C273="重要关系5",LEFT('幕间与结算'!H180,8)="建立新的重要关系"),'幕间与结算'!E180+E273,BU272+IF(C273="重要关系5",E273,0)+IF(AND(C273="魅力",E273&lt;0),E273,0))))</x:f>
        <x:v>0</x:v>
      </x:c>
      <x:c r="BV273">
        <x:f>MAX(0,MIN(BK273,IF(AND(H273=1,C273="重要关系6",LEFT('幕间与结算'!H180,8)="建立新的重要关系"),'幕间与结算'!E180+E273,BV272+IF(C273="重要关系6",E273,0)+IF(AND(C273="魅力",E273&lt;0),E273,0))))</x:f>
        <x:v>0</x:v>
      </x:c>
      <x:c r="BW273">
        <x:f>MAX(0,MIN(BK273,IF(AND(H273=1,C273="重要关系7",LEFT('幕间与结算'!H180,8)="建立新的重要关系"),'幕间与结算'!E180+E273,BW272+IF(C273="重要关系7",E273,0)+IF(AND(C273="魅力",E273&lt;0),E273,0))))</x:f>
        <x:v>0</x:v>
      </x:c>
    </x:row>
    <x:row r="274">
      <x:c r="A274" t="str">
        <x:f>IFERROR(TEXT(VALUE('幕间与结算'!A181),"00"),"")</x:f>
        <x:v>00</x:v>
      </x:c>
      <x:c r="B274">
        <x:f>'幕间与结算'!B181</x:f>
        <x:v>0</x:v>
      </x:c>
      <x:c r="C274">
        <x:f>'幕间与结算'!D181</x:f>
        <x:v>0</x:v>
      </x:c>
      <x:c r="D274">
        <x:f>'幕间与结算'!F181</x:f>
        <x:v>0</x:v>
      </x:c>
      <x:c r="E274">
        <x:f>IF(H274=1,MAX(-'幕间与结算'!E181,MIN(D274,IF(LEFT(C274,3)="技能：",99,IF(COUNTIF($L$2:$L$7,C274)&gt;0,18,999))-'幕间与结算'!E181)),0)</x:f>
        <x:v>0</x:v>
      </x:c>
      <x:c r="F274" t="str">
        <x:f>IF(C274=0,"",IF(G274=0,"记录不完整",IF(H274=0,"重复未计","已计入")))</x:f>
        <x:v/>
      </x:c>
      <x:c r="G274">
        <x:f>IF(AND(AND('幕间与结算'!A181&lt;&gt;"",'幕间与结算'!B181&lt;&gt;"",'幕间与结算'!I181&lt;&gt;"",OR(LEFT(C274,3)="技能：",COUNTIF($L$2:$L$19,C274)&gt;0),ISNUMBER('幕间与结算'!E181),ISNUMBER('幕间与结算'!F181),ISNUMBER('幕间与结算'!G181),'幕间与结算'!E181&gt;=0,'幕间与结算'!G181='幕间与结算'!E181+'幕间与结算'!F181),OR(B274&lt;&gt;"成长",AND(LEFT(C274,3)="技能：",C274&lt;&gt;"技能：非自然知识",'幕间与结算'!E181&gt;=1,'幕间与结算'!E181&lt;=99,'幕间与结算'!F181&gt;=0,'幕间与结算'!F181&lt;=4,'幕间与结算'!G181&lt;=99))),1,0)</x:f>
        <x:v>0</x:v>
      </x:c>
      <x:c r="H274">
        <x:f>IF(AND(G274=1,COUNTIFS($I$200:I274,I274,$G$200:G274,1)=1),1,0)</x:f>
        <x:v>0</x:v>
      </x:c>
      <x:c r="I274" t="str">
        <x:f>IF(G274=1,IF(B274="成长",A274&amp;"-成长-"&amp;C274,'幕间与结算'!I181),"")</x:f>
        <x:v/>
      </x:c>
      <x:c r="BF274">
        <x:f>MAX(0,MIN(18,BF273+IF(C274="力量",E274,0)))</x:f>
        <x:v>0</x:v>
      </x:c>
      <x:c r="BG274">
        <x:f>MAX(0,MIN(18,BG273+IF(C274="体质",E274,0)))</x:f>
        <x:v>0</x:v>
      </x:c>
      <x:c r="BH274">
        <x:f>MAX(0,MIN(18,BH273+IF(C274="敏捷",E274,0)))</x:f>
        <x:v>0</x:v>
      </x:c>
      <x:c r="BI274">
        <x:f>MAX(0,MIN(18,BI273+IF(C274="智力",E274,0)))</x:f>
        <x:v>0</x:v>
      </x:c>
      <x:c r="BJ274">
        <x:f>MAX(0,MIN(18,BJ273+IF(C274="意志",E274,0)))</x:f>
        <x:v>0</x:v>
      </x:c>
      <x:c r="BK274">
        <x:f>MAX(0,MIN(18,BK273+IF(C274="魅力",E274,0)))</x:f>
        <x:v>0</x:v>
      </x:c>
      <x:c r="BL274">
        <x:f>MAX(0,MIN(99,BL273+IF(C274="技能：非自然知识",E274,0)))</x:f>
        <x:v>0</x:v>
      </x:c>
      <x:c r="BM274">
        <x:f>MAX(0,MIN(CEILING((BF274+BG274)/2,1),BM273+IF(C274="体力",E274,0)))</x:f>
        <x:v>0</x:v>
      </x:c>
      <x:c r="BN274">
        <x:f>MAX(0,MIN(BJ274,BN273+IF(C274="毅力",E274,0)))</x:f>
        <x:v>0</x:v>
      </x:c>
      <x:c r="BO274">
        <x:f>MAX(0,MIN(99-BL274,BO273+IF(C274="理智",E274,0)))</x:f>
        <x:v>0</x:v>
      </x:c>
      <x:c r="BP274">
        <x:f>MAX(0,MIN(99,BP273+IF(C274="崩溃点",E274,0)))</x:f>
        <x:v>0</x:v>
      </x:c>
      <x:c r="BQ274">
        <x:f>MAX(0,MIN(BK274,IF(AND(H274=1,C274="重要关系1",LEFT('幕间与结算'!H181,8)="建立新的重要关系"),'幕间与结算'!E181+E274,BQ273+IF(C274="重要关系1",E274,0)+IF(AND(C274="魅力",E274&lt;0),E274,0))))</x:f>
        <x:v>0</x:v>
      </x:c>
      <x:c r="BR274">
        <x:f>MAX(0,MIN(BK274,IF(AND(H274=1,C274="重要关系2",LEFT('幕间与结算'!H181,8)="建立新的重要关系"),'幕间与结算'!E181+E274,BR273+IF(C274="重要关系2",E274,0)+IF(AND(C274="魅力",E274&lt;0),E274,0))))</x:f>
        <x:v>0</x:v>
      </x:c>
      <x:c r="BS274">
        <x:f>MAX(0,MIN(BK274,IF(AND(H274=1,C274="重要关系3",LEFT('幕间与结算'!H181,8)="建立新的重要关系"),'幕间与结算'!E181+E274,BS273+IF(C274="重要关系3",E274,0)+IF(AND(C274="魅力",E274&lt;0),E274,0))))</x:f>
        <x:v>0</x:v>
      </x:c>
      <x:c r="BT274">
        <x:f>MAX(0,MIN(BK274,IF(AND(H274=1,C274="重要关系4",LEFT('幕间与结算'!H181,8)="建立新的重要关系"),'幕间与结算'!E181+E274,BT273+IF(C274="重要关系4",E274,0)+IF(AND(C274="魅力",E274&lt;0),E274,0))))</x:f>
        <x:v>0</x:v>
      </x:c>
      <x:c r="BU274">
        <x:f>MAX(0,MIN(BK274,IF(AND(H274=1,C274="重要关系5",LEFT('幕间与结算'!H181,8)="建立新的重要关系"),'幕间与结算'!E181+E274,BU273+IF(C274="重要关系5",E274,0)+IF(AND(C274="魅力",E274&lt;0),E274,0))))</x:f>
        <x:v>0</x:v>
      </x:c>
      <x:c r="BV274">
        <x:f>MAX(0,MIN(BK274,IF(AND(H274=1,C274="重要关系6",LEFT('幕间与结算'!H181,8)="建立新的重要关系"),'幕间与结算'!E181+E274,BV273+IF(C274="重要关系6",E274,0)+IF(AND(C274="魅力",E274&lt;0),E274,0))))</x:f>
        <x:v>0</x:v>
      </x:c>
      <x:c r="BW274">
        <x:f>MAX(0,MIN(BK274,IF(AND(H274=1,C274="重要关系7",LEFT('幕间与结算'!H181,8)="建立新的重要关系"),'幕间与结算'!E181+E274,BW273+IF(C274="重要关系7",E274,0)+IF(AND(C274="魅力",E274&lt;0),E274,0))))</x:f>
        <x:v>0</x:v>
      </x:c>
    </x:row>
    <x:row r="275">
      <x:c r="A275" t="str">
        <x:f>IFERROR(TEXT(VALUE('幕间与结算'!A182),"00"),"")</x:f>
        <x:v>00</x:v>
      </x:c>
      <x:c r="B275">
        <x:f>'幕间与结算'!B182</x:f>
        <x:v>0</x:v>
      </x:c>
      <x:c r="C275">
        <x:f>'幕间与结算'!D182</x:f>
        <x:v>0</x:v>
      </x:c>
      <x:c r="D275">
        <x:f>'幕间与结算'!F182</x:f>
        <x:v>0</x:v>
      </x:c>
      <x:c r="E275">
        <x:f>IF(H275=1,MAX(-'幕间与结算'!E182,MIN(D275,IF(LEFT(C275,3)="技能：",99,IF(COUNTIF($L$2:$L$7,C275)&gt;0,18,999))-'幕间与结算'!E182)),0)</x:f>
        <x:v>0</x:v>
      </x:c>
      <x:c r="F275" t="str">
        <x:f>IF(C275=0,"",IF(G275=0,"记录不完整",IF(H275=0,"重复未计","已计入")))</x:f>
        <x:v/>
      </x:c>
      <x:c r="G275">
        <x:f>IF(AND(AND('幕间与结算'!A182&lt;&gt;"",'幕间与结算'!B182&lt;&gt;"",'幕间与结算'!I182&lt;&gt;"",OR(LEFT(C275,3)="技能：",COUNTIF($L$2:$L$19,C275)&gt;0),ISNUMBER('幕间与结算'!E182),ISNUMBER('幕间与结算'!F182),ISNUMBER('幕间与结算'!G182),'幕间与结算'!E182&gt;=0,'幕间与结算'!G182='幕间与结算'!E182+'幕间与结算'!F182),OR(B275&lt;&gt;"成长",AND(LEFT(C275,3)="技能：",C275&lt;&gt;"技能：非自然知识",'幕间与结算'!E182&gt;=1,'幕间与结算'!E182&lt;=99,'幕间与结算'!F182&gt;=0,'幕间与结算'!F182&lt;=4,'幕间与结算'!G182&lt;=99))),1,0)</x:f>
        <x:v>0</x:v>
      </x:c>
      <x:c r="H275">
        <x:f>IF(AND(G275=1,COUNTIFS($I$200:I275,I275,$G$200:G275,1)=1),1,0)</x:f>
        <x:v>0</x:v>
      </x:c>
      <x:c r="I275" t="str">
        <x:f>IF(G275=1,IF(B275="成长",A275&amp;"-成长-"&amp;C275,'幕间与结算'!I182),"")</x:f>
        <x:v/>
      </x:c>
      <x:c r="BF275">
        <x:f>MAX(0,MIN(18,BF274+IF(C275="力量",E275,0)))</x:f>
        <x:v>0</x:v>
      </x:c>
      <x:c r="BG275">
        <x:f>MAX(0,MIN(18,BG274+IF(C275="体质",E275,0)))</x:f>
        <x:v>0</x:v>
      </x:c>
      <x:c r="BH275">
        <x:f>MAX(0,MIN(18,BH274+IF(C275="敏捷",E275,0)))</x:f>
        <x:v>0</x:v>
      </x:c>
      <x:c r="BI275">
        <x:f>MAX(0,MIN(18,BI274+IF(C275="智力",E275,0)))</x:f>
        <x:v>0</x:v>
      </x:c>
      <x:c r="BJ275">
        <x:f>MAX(0,MIN(18,BJ274+IF(C275="意志",E275,0)))</x:f>
        <x:v>0</x:v>
      </x:c>
      <x:c r="BK275">
        <x:f>MAX(0,MIN(18,BK274+IF(C275="魅力",E275,0)))</x:f>
        <x:v>0</x:v>
      </x:c>
      <x:c r="BL275">
        <x:f>MAX(0,MIN(99,BL274+IF(C275="技能：非自然知识",E275,0)))</x:f>
        <x:v>0</x:v>
      </x:c>
      <x:c r="BM275">
        <x:f>MAX(0,MIN(CEILING((BF275+BG275)/2,1),BM274+IF(C275="体力",E275,0)))</x:f>
        <x:v>0</x:v>
      </x:c>
      <x:c r="BN275">
        <x:f>MAX(0,MIN(BJ275,BN274+IF(C275="毅力",E275,0)))</x:f>
        <x:v>0</x:v>
      </x:c>
      <x:c r="BO275">
        <x:f>MAX(0,MIN(99-BL275,BO274+IF(C275="理智",E275,0)))</x:f>
        <x:v>0</x:v>
      </x:c>
      <x:c r="BP275">
        <x:f>MAX(0,MIN(99,BP274+IF(C275="崩溃点",E275,0)))</x:f>
        <x:v>0</x:v>
      </x:c>
      <x:c r="BQ275">
        <x:f>MAX(0,MIN(BK275,IF(AND(H275=1,C275="重要关系1",LEFT('幕间与结算'!H182,8)="建立新的重要关系"),'幕间与结算'!E182+E275,BQ274+IF(C275="重要关系1",E275,0)+IF(AND(C275="魅力",E275&lt;0),E275,0))))</x:f>
        <x:v>0</x:v>
      </x:c>
      <x:c r="BR275">
        <x:f>MAX(0,MIN(BK275,IF(AND(H275=1,C275="重要关系2",LEFT('幕间与结算'!H182,8)="建立新的重要关系"),'幕间与结算'!E182+E275,BR274+IF(C275="重要关系2",E275,0)+IF(AND(C275="魅力",E275&lt;0),E275,0))))</x:f>
        <x:v>0</x:v>
      </x:c>
      <x:c r="BS275">
        <x:f>MAX(0,MIN(BK275,IF(AND(H275=1,C275="重要关系3",LEFT('幕间与结算'!H182,8)="建立新的重要关系"),'幕间与结算'!E182+E275,BS274+IF(C275="重要关系3",E275,0)+IF(AND(C275="魅力",E275&lt;0),E275,0))))</x:f>
        <x:v>0</x:v>
      </x:c>
      <x:c r="BT275">
        <x:f>MAX(0,MIN(BK275,IF(AND(H275=1,C275="重要关系4",LEFT('幕间与结算'!H182,8)="建立新的重要关系"),'幕间与结算'!E182+E275,BT274+IF(C275="重要关系4",E275,0)+IF(AND(C275="魅力",E275&lt;0),E275,0))))</x:f>
        <x:v>0</x:v>
      </x:c>
      <x:c r="BU275">
        <x:f>MAX(0,MIN(BK275,IF(AND(H275=1,C275="重要关系5",LEFT('幕间与结算'!H182,8)="建立新的重要关系"),'幕间与结算'!E182+E275,BU274+IF(C275="重要关系5",E275,0)+IF(AND(C275="魅力",E275&lt;0),E275,0))))</x:f>
        <x:v>0</x:v>
      </x:c>
      <x:c r="BV275">
        <x:f>MAX(0,MIN(BK275,IF(AND(H275=1,C275="重要关系6",LEFT('幕间与结算'!H182,8)="建立新的重要关系"),'幕间与结算'!E182+E275,BV274+IF(C275="重要关系6",E275,0)+IF(AND(C275="魅力",E275&lt;0),E275,0))))</x:f>
        <x:v>0</x:v>
      </x:c>
      <x:c r="BW275">
        <x:f>MAX(0,MIN(BK275,IF(AND(H275=1,C275="重要关系7",LEFT('幕间与结算'!H182,8)="建立新的重要关系"),'幕间与结算'!E182+E275,BW274+IF(C275="重要关系7",E275,0)+IF(AND(C275="魅力",E275&lt;0),E275,0))))</x:f>
        <x:v>0</x:v>
      </x:c>
    </x:row>
    <x:row r="276">
      <x:c r="A276" t="str">
        <x:f>IFERROR(TEXT(VALUE('幕间与结算'!A183),"00"),"")</x:f>
        <x:v>00</x:v>
      </x:c>
      <x:c r="B276">
        <x:f>'幕间与结算'!B183</x:f>
        <x:v>0</x:v>
      </x:c>
      <x:c r="C276">
        <x:f>'幕间与结算'!D183</x:f>
        <x:v>0</x:v>
      </x:c>
      <x:c r="D276">
        <x:f>'幕间与结算'!F183</x:f>
        <x:v>0</x:v>
      </x:c>
      <x:c r="E276">
        <x:f>IF(H276=1,MAX(-'幕间与结算'!E183,MIN(D276,IF(LEFT(C276,3)="技能：",99,IF(COUNTIF($L$2:$L$7,C276)&gt;0,18,999))-'幕间与结算'!E183)),0)</x:f>
        <x:v>0</x:v>
      </x:c>
      <x:c r="F276" t="str">
        <x:f>IF(C276=0,"",IF(G276=0,"记录不完整",IF(H276=0,"重复未计","已计入")))</x:f>
        <x:v/>
      </x:c>
      <x:c r="G276">
        <x:f>IF(AND(AND('幕间与结算'!A183&lt;&gt;"",'幕间与结算'!B183&lt;&gt;"",'幕间与结算'!I183&lt;&gt;"",OR(LEFT(C276,3)="技能：",COUNTIF($L$2:$L$19,C276)&gt;0),ISNUMBER('幕间与结算'!E183),ISNUMBER('幕间与结算'!F183),ISNUMBER('幕间与结算'!G183),'幕间与结算'!E183&gt;=0,'幕间与结算'!G183='幕间与结算'!E183+'幕间与结算'!F183),OR(B276&lt;&gt;"成长",AND(LEFT(C276,3)="技能：",C276&lt;&gt;"技能：非自然知识",'幕间与结算'!E183&gt;=1,'幕间与结算'!E183&lt;=99,'幕间与结算'!F183&gt;=0,'幕间与结算'!F183&lt;=4,'幕间与结算'!G183&lt;=99))),1,0)</x:f>
        <x:v>0</x:v>
      </x:c>
      <x:c r="H276">
        <x:f>IF(AND(G276=1,COUNTIFS($I$200:I276,I276,$G$200:G276,1)=1),1,0)</x:f>
        <x:v>0</x:v>
      </x:c>
      <x:c r="I276" t="str">
        <x:f>IF(G276=1,IF(B276="成长",A276&amp;"-成长-"&amp;C276,'幕间与结算'!I183),"")</x:f>
        <x:v/>
      </x:c>
      <x:c r="BF276">
        <x:f>MAX(0,MIN(18,BF275+IF(C276="力量",E276,0)))</x:f>
        <x:v>0</x:v>
      </x:c>
      <x:c r="BG276">
        <x:f>MAX(0,MIN(18,BG275+IF(C276="体质",E276,0)))</x:f>
        <x:v>0</x:v>
      </x:c>
      <x:c r="BH276">
        <x:f>MAX(0,MIN(18,BH275+IF(C276="敏捷",E276,0)))</x:f>
        <x:v>0</x:v>
      </x:c>
      <x:c r="BI276">
        <x:f>MAX(0,MIN(18,BI275+IF(C276="智力",E276,0)))</x:f>
        <x:v>0</x:v>
      </x:c>
      <x:c r="BJ276">
        <x:f>MAX(0,MIN(18,BJ275+IF(C276="意志",E276,0)))</x:f>
        <x:v>0</x:v>
      </x:c>
      <x:c r="BK276">
        <x:f>MAX(0,MIN(18,BK275+IF(C276="魅力",E276,0)))</x:f>
        <x:v>0</x:v>
      </x:c>
      <x:c r="BL276">
        <x:f>MAX(0,MIN(99,BL275+IF(C276="技能：非自然知识",E276,0)))</x:f>
        <x:v>0</x:v>
      </x:c>
      <x:c r="BM276">
        <x:f>MAX(0,MIN(CEILING((BF276+BG276)/2,1),BM275+IF(C276="体力",E276,0)))</x:f>
        <x:v>0</x:v>
      </x:c>
      <x:c r="BN276">
        <x:f>MAX(0,MIN(BJ276,BN275+IF(C276="毅力",E276,0)))</x:f>
        <x:v>0</x:v>
      </x:c>
      <x:c r="BO276">
        <x:f>MAX(0,MIN(99-BL276,BO275+IF(C276="理智",E276,0)))</x:f>
        <x:v>0</x:v>
      </x:c>
      <x:c r="BP276">
        <x:f>MAX(0,MIN(99,BP275+IF(C276="崩溃点",E276,0)))</x:f>
        <x:v>0</x:v>
      </x:c>
      <x:c r="BQ276">
        <x:f>MAX(0,MIN(BK276,IF(AND(H276=1,C276="重要关系1",LEFT('幕间与结算'!H183,8)="建立新的重要关系"),'幕间与结算'!E183+E276,BQ275+IF(C276="重要关系1",E276,0)+IF(AND(C276="魅力",E276&lt;0),E276,0))))</x:f>
        <x:v>0</x:v>
      </x:c>
      <x:c r="BR276">
        <x:f>MAX(0,MIN(BK276,IF(AND(H276=1,C276="重要关系2",LEFT('幕间与结算'!H183,8)="建立新的重要关系"),'幕间与结算'!E183+E276,BR275+IF(C276="重要关系2",E276,0)+IF(AND(C276="魅力",E276&lt;0),E276,0))))</x:f>
        <x:v>0</x:v>
      </x:c>
      <x:c r="BS276">
        <x:f>MAX(0,MIN(BK276,IF(AND(H276=1,C276="重要关系3",LEFT('幕间与结算'!H183,8)="建立新的重要关系"),'幕间与结算'!E183+E276,BS275+IF(C276="重要关系3",E276,0)+IF(AND(C276="魅力",E276&lt;0),E276,0))))</x:f>
        <x:v>0</x:v>
      </x:c>
      <x:c r="BT276">
        <x:f>MAX(0,MIN(BK276,IF(AND(H276=1,C276="重要关系4",LEFT('幕间与结算'!H183,8)="建立新的重要关系"),'幕间与结算'!E183+E276,BT275+IF(C276="重要关系4",E276,0)+IF(AND(C276="魅力",E276&lt;0),E276,0))))</x:f>
        <x:v>0</x:v>
      </x:c>
      <x:c r="BU276">
        <x:f>MAX(0,MIN(BK276,IF(AND(H276=1,C276="重要关系5",LEFT('幕间与结算'!H183,8)="建立新的重要关系"),'幕间与结算'!E183+E276,BU275+IF(C276="重要关系5",E276,0)+IF(AND(C276="魅力",E276&lt;0),E276,0))))</x:f>
        <x:v>0</x:v>
      </x:c>
      <x:c r="BV276">
        <x:f>MAX(0,MIN(BK276,IF(AND(H276=1,C276="重要关系6",LEFT('幕间与结算'!H183,8)="建立新的重要关系"),'幕间与结算'!E183+E276,BV275+IF(C276="重要关系6",E276,0)+IF(AND(C276="魅力",E276&lt;0),E276,0))))</x:f>
        <x:v>0</x:v>
      </x:c>
      <x:c r="BW276">
        <x:f>MAX(0,MIN(BK276,IF(AND(H276=1,C276="重要关系7",LEFT('幕间与结算'!H183,8)="建立新的重要关系"),'幕间与结算'!E183+E276,BW275+IF(C276="重要关系7",E276,0)+IF(AND(C276="魅力",E276&lt;0),E276,0))))</x:f>
        <x:v>0</x:v>
      </x:c>
    </x:row>
    <x:row r="277">
      <x:c r="A277" t="str">
        <x:f>IFERROR(TEXT(VALUE('幕间与结算'!A184),"00"),"")</x:f>
        <x:v>00</x:v>
      </x:c>
      <x:c r="B277">
        <x:f>'幕间与结算'!B184</x:f>
        <x:v>0</x:v>
      </x:c>
      <x:c r="C277">
        <x:f>'幕间与结算'!D184</x:f>
        <x:v>0</x:v>
      </x:c>
      <x:c r="D277">
        <x:f>'幕间与结算'!F184</x:f>
        <x:v>0</x:v>
      </x:c>
      <x:c r="E277">
        <x:f>IF(H277=1,MAX(-'幕间与结算'!E184,MIN(D277,IF(LEFT(C277,3)="技能：",99,IF(COUNTIF($L$2:$L$7,C277)&gt;0,18,999))-'幕间与结算'!E184)),0)</x:f>
        <x:v>0</x:v>
      </x:c>
      <x:c r="F277" t="str">
        <x:f>IF(C277=0,"",IF(G277=0,"记录不完整",IF(H277=0,"重复未计","已计入")))</x:f>
        <x:v/>
      </x:c>
      <x:c r="G277">
        <x:f>IF(AND(AND('幕间与结算'!A184&lt;&gt;"",'幕间与结算'!B184&lt;&gt;"",'幕间与结算'!I184&lt;&gt;"",OR(LEFT(C277,3)="技能：",COUNTIF($L$2:$L$19,C277)&gt;0),ISNUMBER('幕间与结算'!E184),ISNUMBER('幕间与结算'!F184),ISNUMBER('幕间与结算'!G184),'幕间与结算'!E184&gt;=0,'幕间与结算'!G184='幕间与结算'!E184+'幕间与结算'!F184),OR(B277&lt;&gt;"成长",AND(LEFT(C277,3)="技能：",C277&lt;&gt;"技能：非自然知识",'幕间与结算'!E184&gt;=1,'幕间与结算'!E184&lt;=99,'幕间与结算'!F184&gt;=0,'幕间与结算'!F184&lt;=4,'幕间与结算'!G184&lt;=99))),1,0)</x:f>
        <x:v>0</x:v>
      </x:c>
      <x:c r="H277">
        <x:f>IF(AND(G277=1,COUNTIFS($I$200:I277,I277,$G$200:G277,1)=1),1,0)</x:f>
        <x:v>0</x:v>
      </x:c>
      <x:c r="I277" t="str">
        <x:f>IF(G277=1,IF(B277="成长",A277&amp;"-成长-"&amp;C277,'幕间与结算'!I184),"")</x:f>
        <x:v/>
      </x:c>
      <x:c r="BF277">
        <x:f>MAX(0,MIN(18,BF276+IF(C277="力量",E277,0)))</x:f>
        <x:v>0</x:v>
      </x:c>
      <x:c r="BG277">
        <x:f>MAX(0,MIN(18,BG276+IF(C277="体质",E277,0)))</x:f>
        <x:v>0</x:v>
      </x:c>
      <x:c r="BH277">
        <x:f>MAX(0,MIN(18,BH276+IF(C277="敏捷",E277,0)))</x:f>
        <x:v>0</x:v>
      </x:c>
      <x:c r="BI277">
        <x:f>MAX(0,MIN(18,BI276+IF(C277="智力",E277,0)))</x:f>
        <x:v>0</x:v>
      </x:c>
      <x:c r="BJ277">
        <x:f>MAX(0,MIN(18,BJ276+IF(C277="意志",E277,0)))</x:f>
        <x:v>0</x:v>
      </x:c>
      <x:c r="BK277">
        <x:f>MAX(0,MIN(18,BK276+IF(C277="魅力",E277,0)))</x:f>
        <x:v>0</x:v>
      </x:c>
      <x:c r="BL277">
        <x:f>MAX(0,MIN(99,BL276+IF(C277="技能：非自然知识",E277,0)))</x:f>
        <x:v>0</x:v>
      </x:c>
      <x:c r="BM277">
        <x:f>MAX(0,MIN(CEILING((BF277+BG277)/2,1),BM276+IF(C277="体力",E277,0)))</x:f>
        <x:v>0</x:v>
      </x:c>
      <x:c r="BN277">
        <x:f>MAX(0,MIN(BJ277,BN276+IF(C277="毅力",E277,0)))</x:f>
        <x:v>0</x:v>
      </x:c>
      <x:c r="BO277">
        <x:f>MAX(0,MIN(99-BL277,BO276+IF(C277="理智",E277,0)))</x:f>
        <x:v>0</x:v>
      </x:c>
      <x:c r="BP277">
        <x:f>MAX(0,MIN(99,BP276+IF(C277="崩溃点",E277,0)))</x:f>
        <x:v>0</x:v>
      </x:c>
      <x:c r="BQ277">
        <x:f>MAX(0,MIN(BK277,IF(AND(H277=1,C277="重要关系1",LEFT('幕间与结算'!H184,8)="建立新的重要关系"),'幕间与结算'!E184+E277,BQ276+IF(C277="重要关系1",E277,0)+IF(AND(C277="魅力",E277&lt;0),E277,0))))</x:f>
        <x:v>0</x:v>
      </x:c>
      <x:c r="BR277">
        <x:f>MAX(0,MIN(BK277,IF(AND(H277=1,C277="重要关系2",LEFT('幕间与结算'!H184,8)="建立新的重要关系"),'幕间与结算'!E184+E277,BR276+IF(C277="重要关系2",E277,0)+IF(AND(C277="魅力",E277&lt;0),E277,0))))</x:f>
        <x:v>0</x:v>
      </x:c>
      <x:c r="BS277">
        <x:f>MAX(0,MIN(BK277,IF(AND(H277=1,C277="重要关系3",LEFT('幕间与结算'!H184,8)="建立新的重要关系"),'幕间与结算'!E184+E277,BS276+IF(C277="重要关系3",E277,0)+IF(AND(C277="魅力",E277&lt;0),E277,0))))</x:f>
        <x:v>0</x:v>
      </x:c>
      <x:c r="BT277">
        <x:f>MAX(0,MIN(BK277,IF(AND(H277=1,C277="重要关系4",LEFT('幕间与结算'!H184,8)="建立新的重要关系"),'幕间与结算'!E184+E277,BT276+IF(C277="重要关系4",E277,0)+IF(AND(C277="魅力",E277&lt;0),E277,0))))</x:f>
        <x:v>0</x:v>
      </x:c>
      <x:c r="BU277">
        <x:f>MAX(0,MIN(BK277,IF(AND(H277=1,C277="重要关系5",LEFT('幕间与结算'!H184,8)="建立新的重要关系"),'幕间与结算'!E184+E277,BU276+IF(C277="重要关系5",E277,0)+IF(AND(C277="魅力",E277&lt;0),E277,0))))</x:f>
        <x:v>0</x:v>
      </x:c>
      <x:c r="BV277">
        <x:f>MAX(0,MIN(BK277,IF(AND(H277=1,C277="重要关系6",LEFT('幕间与结算'!H184,8)="建立新的重要关系"),'幕间与结算'!E184+E277,BV276+IF(C277="重要关系6",E277,0)+IF(AND(C277="魅力",E277&lt;0),E277,0))))</x:f>
        <x:v>0</x:v>
      </x:c>
      <x:c r="BW277">
        <x:f>MAX(0,MIN(BK277,IF(AND(H277=1,C277="重要关系7",LEFT('幕间与结算'!H184,8)="建立新的重要关系"),'幕间与结算'!E184+E277,BW276+IF(C277="重要关系7",E277,0)+IF(AND(C277="魅力",E277&lt;0),E277,0))))</x:f>
        <x:v>0</x:v>
      </x:c>
    </x:row>
    <x:row r="278">
      <x:c r="A278" t="str">
        <x:f>IFERROR(TEXT(VALUE('幕间与结算'!A185),"00"),"")</x:f>
        <x:v>00</x:v>
      </x:c>
      <x:c r="B278">
        <x:f>'幕间与结算'!B185</x:f>
        <x:v>0</x:v>
      </x:c>
      <x:c r="C278">
        <x:f>'幕间与结算'!D185</x:f>
        <x:v>0</x:v>
      </x:c>
      <x:c r="D278">
        <x:f>'幕间与结算'!F185</x:f>
        <x:v>0</x:v>
      </x:c>
      <x:c r="E278">
        <x:f>IF(H278=1,MAX(-'幕间与结算'!E185,MIN(D278,IF(LEFT(C278,3)="技能：",99,IF(COUNTIF($L$2:$L$7,C278)&gt;0,18,999))-'幕间与结算'!E185)),0)</x:f>
        <x:v>0</x:v>
      </x:c>
      <x:c r="F278" t="str">
        <x:f>IF(C278=0,"",IF(G278=0,"记录不完整",IF(H278=0,"重复未计","已计入")))</x:f>
        <x:v/>
      </x:c>
      <x:c r="G278">
        <x:f>IF(AND(AND('幕间与结算'!A185&lt;&gt;"",'幕间与结算'!B185&lt;&gt;"",'幕间与结算'!I185&lt;&gt;"",OR(LEFT(C278,3)="技能：",COUNTIF($L$2:$L$19,C278)&gt;0),ISNUMBER('幕间与结算'!E185),ISNUMBER('幕间与结算'!F185),ISNUMBER('幕间与结算'!G185),'幕间与结算'!E185&gt;=0,'幕间与结算'!G185='幕间与结算'!E185+'幕间与结算'!F185),OR(B278&lt;&gt;"成长",AND(LEFT(C278,3)="技能：",C278&lt;&gt;"技能：非自然知识",'幕间与结算'!E185&gt;=1,'幕间与结算'!E185&lt;=99,'幕间与结算'!F185&gt;=0,'幕间与结算'!F185&lt;=4,'幕间与结算'!G185&lt;=99))),1,0)</x:f>
        <x:v>0</x:v>
      </x:c>
      <x:c r="H278">
        <x:f>IF(AND(G278=1,COUNTIFS($I$200:I278,I278,$G$200:G278,1)=1),1,0)</x:f>
        <x:v>0</x:v>
      </x:c>
      <x:c r="I278" t="str">
        <x:f>IF(G278=1,IF(B278="成长",A278&amp;"-成长-"&amp;C278,'幕间与结算'!I185),"")</x:f>
        <x:v/>
      </x:c>
      <x:c r="BF278">
        <x:f>MAX(0,MIN(18,BF277+IF(C278="力量",E278,0)))</x:f>
        <x:v>0</x:v>
      </x:c>
      <x:c r="BG278">
        <x:f>MAX(0,MIN(18,BG277+IF(C278="体质",E278,0)))</x:f>
        <x:v>0</x:v>
      </x:c>
      <x:c r="BH278">
        <x:f>MAX(0,MIN(18,BH277+IF(C278="敏捷",E278,0)))</x:f>
        <x:v>0</x:v>
      </x:c>
      <x:c r="BI278">
        <x:f>MAX(0,MIN(18,BI277+IF(C278="智力",E278,0)))</x:f>
        <x:v>0</x:v>
      </x:c>
      <x:c r="BJ278">
        <x:f>MAX(0,MIN(18,BJ277+IF(C278="意志",E278,0)))</x:f>
        <x:v>0</x:v>
      </x:c>
      <x:c r="BK278">
        <x:f>MAX(0,MIN(18,BK277+IF(C278="魅力",E278,0)))</x:f>
        <x:v>0</x:v>
      </x:c>
      <x:c r="BL278">
        <x:f>MAX(0,MIN(99,BL277+IF(C278="技能：非自然知识",E278,0)))</x:f>
        <x:v>0</x:v>
      </x:c>
      <x:c r="BM278">
        <x:f>MAX(0,MIN(CEILING((BF278+BG278)/2,1),BM277+IF(C278="体力",E278,0)))</x:f>
        <x:v>0</x:v>
      </x:c>
      <x:c r="BN278">
        <x:f>MAX(0,MIN(BJ278,BN277+IF(C278="毅力",E278,0)))</x:f>
        <x:v>0</x:v>
      </x:c>
      <x:c r="BO278">
        <x:f>MAX(0,MIN(99-BL278,BO277+IF(C278="理智",E278,0)))</x:f>
        <x:v>0</x:v>
      </x:c>
      <x:c r="BP278">
        <x:f>MAX(0,MIN(99,BP277+IF(C278="崩溃点",E278,0)))</x:f>
        <x:v>0</x:v>
      </x:c>
      <x:c r="BQ278">
        <x:f>MAX(0,MIN(BK278,IF(AND(H278=1,C278="重要关系1",LEFT('幕间与结算'!H185,8)="建立新的重要关系"),'幕间与结算'!E185+E278,BQ277+IF(C278="重要关系1",E278,0)+IF(AND(C278="魅力",E278&lt;0),E278,0))))</x:f>
        <x:v>0</x:v>
      </x:c>
      <x:c r="BR278">
        <x:f>MAX(0,MIN(BK278,IF(AND(H278=1,C278="重要关系2",LEFT('幕间与结算'!H185,8)="建立新的重要关系"),'幕间与结算'!E185+E278,BR277+IF(C278="重要关系2",E278,0)+IF(AND(C278="魅力",E278&lt;0),E278,0))))</x:f>
        <x:v>0</x:v>
      </x:c>
      <x:c r="BS278">
        <x:f>MAX(0,MIN(BK278,IF(AND(H278=1,C278="重要关系3",LEFT('幕间与结算'!H185,8)="建立新的重要关系"),'幕间与结算'!E185+E278,BS277+IF(C278="重要关系3",E278,0)+IF(AND(C278="魅力",E278&lt;0),E278,0))))</x:f>
        <x:v>0</x:v>
      </x:c>
      <x:c r="BT278">
        <x:f>MAX(0,MIN(BK278,IF(AND(H278=1,C278="重要关系4",LEFT('幕间与结算'!H185,8)="建立新的重要关系"),'幕间与结算'!E185+E278,BT277+IF(C278="重要关系4",E278,0)+IF(AND(C278="魅力",E278&lt;0),E278,0))))</x:f>
        <x:v>0</x:v>
      </x:c>
      <x:c r="BU278">
        <x:f>MAX(0,MIN(BK278,IF(AND(H278=1,C278="重要关系5",LEFT('幕间与结算'!H185,8)="建立新的重要关系"),'幕间与结算'!E185+E278,BU277+IF(C278="重要关系5",E278,0)+IF(AND(C278="魅力",E278&lt;0),E278,0))))</x:f>
        <x:v>0</x:v>
      </x:c>
      <x:c r="BV278">
        <x:f>MAX(0,MIN(BK278,IF(AND(H278=1,C278="重要关系6",LEFT('幕间与结算'!H185,8)="建立新的重要关系"),'幕间与结算'!E185+E278,BV277+IF(C278="重要关系6",E278,0)+IF(AND(C278="魅力",E278&lt;0),E278,0))))</x:f>
        <x:v>0</x:v>
      </x:c>
      <x:c r="BW278">
        <x:f>MAX(0,MIN(BK278,IF(AND(H278=1,C278="重要关系7",LEFT('幕间与结算'!H185,8)="建立新的重要关系"),'幕间与结算'!E185+E278,BW277+IF(C278="重要关系7",E278,0)+IF(AND(C278="魅力",E278&lt;0),E278,0))))</x:f>
        <x:v>0</x:v>
      </x:c>
    </x:row>
    <x:row r="279">
      <x:c r="A279" t="str">
        <x:f>IFERROR(TEXT(VALUE('幕间与结算'!A186),"00"),"")</x:f>
        <x:v>00</x:v>
      </x:c>
      <x:c r="B279">
        <x:f>'幕间与结算'!B186</x:f>
        <x:v>0</x:v>
      </x:c>
      <x:c r="C279">
        <x:f>'幕间与结算'!D186</x:f>
        <x:v>0</x:v>
      </x:c>
      <x:c r="D279">
        <x:f>'幕间与结算'!F186</x:f>
        <x:v>0</x:v>
      </x:c>
      <x:c r="E279">
        <x:f>IF(H279=1,MAX(-'幕间与结算'!E186,MIN(D279,IF(LEFT(C279,3)="技能：",99,IF(COUNTIF($L$2:$L$7,C279)&gt;0,18,999))-'幕间与结算'!E186)),0)</x:f>
        <x:v>0</x:v>
      </x:c>
      <x:c r="F279" t="str">
        <x:f>IF(C279=0,"",IF(G279=0,"记录不完整",IF(H279=0,"重复未计","已计入")))</x:f>
        <x:v/>
      </x:c>
      <x:c r="G279">
        <x:f>IF(AND(AND('幕间与结算'!A186&lt;&gt;"",'幕间与结算'!B186&lt;&gt;"",'幕间与结算'!I186&lt;&gt;"",OR(LEFT(C279,3)="技能：",COUNTIF($L$2:$L$19,C279)&gt;0),ISNUMBER('幕间与结算'!E186),ISNUMBER('幕间与结算'!F186),ISNUMBER('幕间与结算'!G186),'幕间与结算'!E186&gt;=0,'幕间与结算'!G186='幕间与结算'!E186+'幕间与结算'!F186),OR(B279&lt;&gt;"成长",AND(LEFT(C279,3)="技能：",C279&lt;&gt;"技能：非自然知识",'幕间与结算'!E186&gt;=1,'幕间与结算'!E186&lt;=99,'幕间与结算'!F186&gt;=0,'幕间与结算'!F186&lt;=4,'幕间与结算'!G186&lt;=99))),1,0)</x:f>
        <x:v>0</x:v>
      </x:c>
      <x:c r="H279">
        <x:f>IF(AND(G279=1,COUNTIFS($I$200:I279,I279,$G$200:G279,1)=1),1,0)</x:f>
        <x:v>0</x:v>
      </x:c>
      <x:c r="I279" t="str">
        <x:f>IF(G279=1,IF(B279="成长",A279&amp;"-成长-"&amp;C279,'幕间与结算'!I186),"")</x:f>
        <x:v/>
      </x:c>
      <x:c r="BF279">
        <x:f>MAX(0,MIN(18,BF278+IF(C279="力量",E279,0)))</x:f>
        <x:v>0</x:v>
      </x:c>
      <x:c r="BG279">
        <x:f>MAX(0,MIN(18,BG278+IF(C279="体质",E279,0)))</x:f>
        <x:v>0</x:v>
      </x:c>
      <x:c r="BH279">
        <x:f>MAX(0,MIN(18,BH278+IF(C279="敏捷",E279,0)))</x:f>
        <x:v>0</x:v>
      </x:c>
      <x:c r="BI279">
        <x:f>MAX(0,MIN(18,BI278+IF(C279="智力",E279,0)))</x:f>
        <x:v>0</x:v>
      </x:c>
      <x:c r="BJ279">
        <x:f>MAX(0,MIN(18,BJ278+IF(C279="意志",E279,0)))</x:f>
        <x:v>0</x:v>
      </x:c>
      <x:c r="BK279">
        <x:f>MAX(0,MIN(18,BK278+IF(C279="魅力",E279,0)))</x:f>
        <x:v>0</x:v>
      </x:c>
      <x:c r="BL279">
        <x:f>MAX(0,MIN(99,BL278+IF(C279="技能：非自然知识",E279,0)))</x:f>
        <x:v>0</x:v>
      </x:c>
      <x:c r="BM279">
        <x:f>MAX(0,MIN(CEILING((BF279+BG279)/2,1),BM278+IF(C279="体力",E279,0)))</x:f>
        <x:v>0</x:v>
      </x:c>
      <x:c r="BN279">
        <x:f>MAX(0,MIN(BJ279,BN278+IF(C279="毅力",E279,0)))</x:f>
        <x:v>0</x:v>
      </x:c>
      <x:c r="BO279">
        <x:f>MAX(0,MIN(99-BL279,BO278+IF(C279="理智",E279,0)))</x:f>
        <x:v>0</x:v>
      </x:c>
      <x:c r="BP279">
        <x:f>MAX(0,MIN(99,BP278+IF(C279="崩溃点",E279,0)))</x:f>
        <x:v>0</x:v>
      </x:c>
      <x:c r="BQ279">
        <x:f>MAX(0,MIN(BK279,IF(AND(H279=1,C279="重要关系1",LEFT('幕间与结算'!H186,8)="建立新的重要关系"),'幕间与结算'!E186+E279,BQ278+IF(C279="重要关系1",E279,0)+IF(AND(C279="魅力",E279&lt;0),E279,0))))</x:f>
        <x:v>0</x:v>
      </x:c>
      <x:c r="BR279">
        <x:f>MAX(0,MIN(BK279,IF(AND(H279=1,C279="重要关系2",LEFT('幕间与结算'!H186,8)="建立新的重要关系"),'幕间与结算'!E186+E279,BR278+IF(C279="重要关系2",E279,0)+IF(AND(C279="魅力",E279&lt;0),E279,0))))</x:f>
        <x:v>0</x:v>
      </x:c>
      <x:c r="BS279">
        <x:f>MAX(0,MIN(BK279,IF(AND(H279=1,C279="重要关系3",LEFT('幕间与结算'!H186,8)="建立新的重要关系"),'幕间与结算'!E186+E279,BS278+IF(C279="重要关系3",E279,0)+IF(AND(C279="魅力",E279&lt;0),E279,0))))</x:f>
        <x:v>0</x:v>
      </x:c>
      <x:c r="BT279">
        <x:f>MAX(0,MIN(BK279,IF(AND(H279=1,C279="重要关系4",LEFT('幕间与结算'!H186,8)="建立新的重要关系"),'幕间与结算'!E186+E279,BT278+IF(C279="重要关系4",E279,0)+IF(AND(C279="魅力",E279&lt;0),E279,0))))</x:f>
        <x:v>0</x:v>
      </x:c>
      <x:c r="BU279">
        <x:f>MAX(0,MIN(BK279,IF(AND(H279=1,C279="重要关系5",LEFT('幕间与结算'!H186,8)="建立新的重要关系"),'幕间与结算'!E186+E279,BU278+IF(C279="重要关系5",E279,0)+IF(AND(C279="魅力",E279&lt;0),E279,0))))</x:f>
        <x:v>0</x:v>
      </x:c>
      <x:c r="BV279">
        <x:f>MAX(0,MIN(BK279,IF(AND(H279=1,C279="重要关系6",LEFT('幕间与结算'!H186,8)="建立新的重要关系"),'幕间与结算'!E186+E279,BV278+IF(C279="重要关系6",E279,0)+IF(AND(C279="魅力",E279&lt;0),E279,0))))</x:f>
        <x:v>0</x:v>
      </x:c>
      <x:c r="BW279">
        <x:f>MAX(0,MIN(BK279,IF(AND(H279=1,C279="重要关系7",LEFT('幕间与结算'!H186,8)="建立新的重要关系"),'幕间与结算'!E186+E279,BW278+IF(C279="重要关系7",E279,0)+IF(AND(C279="魅力",E279&lt;0),E279,0))))</x:f>
        <x:v>0</x:v>
      </x:c>
    </x:row>
    <x:row r="280">
      <x:c r="A280" t="str">
        <x:f>IFERROR(TEXT(VALUE('幕间与结算'!A187),"00"),"")</x:f>
        <x:v>00</x:v>
      </x:c>
      <x:c r="B280">
        <x:f>'幕间与结算'!B187</x:f>
        <x:v>0</x:v>
      </x:c>
      <x:c r="C280">
        <x:f>'幕间与结算'!D187</x:f>
        <x:v>0</x:v>
      </x:c>
      <x:c r="D280">
        <x:f>'幕间与结算'!F187</x:f>
        <x:v>0</x:v>
      </x:c>
      <x:c r="E280">
        <x:f>IF(H280=1,MAX(-'幕间与结算'!E187,MIN(D280,IF(LEFT(C280,3)="技能：",99,IF(COUNTIF($L$2:$L$7,C280)&gt;0,18,999))-'幕间与结算'!E187)),0)</x:f>
        <x:v>0</x:v>
      </x:c>
      <x:c r="F280" t="str">
        <x:f>IF(C280=0,"",IF(G280=0,"记录不完整",IF(H280=0,"重复未计","已计入")))</x:f>
        <x:v/>
      </x:c>
      <x:c r="G280">
        <x:f>IF(AND(AND('幕间与结算'!A187&lt;&gt;"",'幕间与结算'!B187&lt;&gt;"",'幕间与结算'!I187&lt;&gt;"",OR(LEFT(C280,3)="技能：",COUNTIF($L$2:$L$19,C280)&gt;0),ISNUMBER('幕间与结算'!E187),ISNUMBER('幕间与结算'!F187),ISNUMBER('幕间与结算'!G187),'幕间与结算'!E187&gt;=0,'幕间与结算'!G187='幕间与结算'!E187+'幕间与结算'!F187),OR(B280&lt;&gt;"成长",AND(LEFT(C280,3)="技能：",C280&lt;&gt;"技能：非自然知识",'幕间与结算'!E187&gt;=1,'幕间与结算'!E187&lt;=99,'幕间与结算'!F187&gt;=0,'幕间与结算'!F187&lt;=4,'幕间与结算'!G187&lt;=99))),1,0)</x:f>
        <x:v>0</x:v>
      </x:c>
      <x:c r="H280">
        <x:f>IF(AND(G280=1,COUNTIFS($I$200:I280,I280,$G$200:G280,1)=1),1,0)</x:f>
        <x:v>0</x:v>
      </x:c>
      <x:c r="I280" t="str">
        <x:f>IF(G280=1,IF(B280="成长",A280&amp;"-成长-"&amp;C280,'幕间与结算'!I187),"")</x:f>
        <x:v/>
      </x:c>
      <x:c r="BF280">
        <x:f>MAX(0,MIN(18,BF279+IF(C280="力量",E280,0)))</x:f>
        <x:v>0</x:v>
      </x:c>
      <x:c r="BG280">
        <x:f>MAX(0,MIN(18,BG279+IF(C280="体质",E280,0)))</x:f>
        <x:v>0</x:v>
      </x:c>
      <x:c r="BH280">
        <x:f>MAX(0,MIN(18,BH279+IF(C280="敏捷",E280,0)))</x:f>
        <x:v>0</x:v>
      </x:c>
      <x:c r="BI280">
        <x:f>MAX(0,MIN(18,BI279+IF(C280="智力",E280,0)))</x:f>
        <x:v>0</x:v>
      </x:c>
      <x:c r="BJ280">
        <x:f>MAX(0,MIN(18,BJ279+IF(C280="意志",E280,0)))</x:f>
        <x:v>0</x:v>
      </x:c>
      <x:c r="BK280">
        <x:f>MAX(0,MIN(18,BK279+IF(C280="魅力",E280,0)))</x:f>
        <x:v>0</x:v>
      </x:c>
      <x:c r="BL280">
        <x:f>MAX(0,MIN(99,BL279+IF(C280="技能：非自然知识",E280,0)))</x:f>
        <x:v>0</x:v>
      </x:c>
      <x:c r="BM280">
        <x:f>MAX(0,MIN(CEILING((BF280+BG280)/2,1),BM279+IF(C280="体力",E280,0)))</x:f>
        <x:v>0</x:v>
      </x:c>
      <x:c r="BN280">
        <x:f>MAX(0,MIN(BJ280,BN279+IF(C280="毅力",E280,0)))</x:f>
        <x:v>0</x:v>
      </x:c>
      <x:c r="BO280">
        <x:f>MAX(0,MIN(99-BL280,BO279+IF(C280="理智",E280,0)))</x:f>
        <x:v>0</x:v>
      </x:c>
      <x:c r="BP280">
        <x:f>MAX(0,MIN(99,BP279+IF(C280="崩溃点",E280,0)))</x:f>
        <x:v>0</x:v>
      </x:c>
      <x:c r="BQ280">
        <x:f>MAX(0,MIN(BK280,IF(AND(H280=1,C280="重要关系1",LEFT('幕间与结算'!H187,8)="建立新的重要关系"),'幕间与结算'!E187+E280,BQ279+IF(C280="重要关系1",E280,0)+IF(AND(C280="魅力",E280&lt;0),E280,0))))</x:f>
        <x:v>0</x:v>
      </x:c>
      <x:c r="BR280">
        <x:f>MAX(0,MIN(BK280,IF(AND(H280=1,C280="重要关系2",LEFT('幕间与结算'!H187,8)="建立新的重要关系"),'幕间与结算'!E187+E280,BR279+IF(C280="重要关系2",E280,0)+IF(AND(C280="魅力",E280&lt;0),E280,0))))</x:f>
        <x:v>0</x:v>
      </x:c>
      <x:c r="BS280">
        <x:f>MAX(0,MIN(BK280,IF(AND(H280=1,C280="重要关系3",LEFT('幕间与结算'!H187,8)="建立新的重要关系"),'幕间与结算'!E187+E280,BS279+IF(C280="重要关系3",E280,0)+IF(AND(C280="魅力",E280&lt;0),E280,0))))</x:f>
        <x:v>0</x:v>
      </x:c>
      <x:c r="BT280">
        <x:f>MAX(0,MIN(BK280,IF(AND(H280=1,C280="重要关系4",LEFT('幕间与结算'!H187,8)="建立新的重要关系"),'幕间与结算'!E187+E280,BT279+IF(C280="重要关系4",E280,0)+IF(AND(C280="魅力",E280&lt;0),E280,0))))</x:f>
        <x:v>0</x:v>
      </x:c>
      <x:c r="BU280">
        <x:f>MAX(0,MIN(BK280,IF(AND(H280=1,C280="重要关系5",LEFT('幕间与结算'!H187,8)="建立新的重要关系"),'幕间与结算'!E187+E280,BU279+IF(C280="重要关系5",E280,0)+IF(AND(C280="魅力",E280&lt;0),E280,0))))</x:f>
        <x:v>0</x:v>
      </x:c>
      <x:c r="BV280">
        <x:f>MAX(0,MIN(BK280,IF(AND(H280=1,C280="重要关系6",LEFT('幕间与结算'!H187,8)="建立新的重要关系"),'幕间与结算'!E187+E280,BV279+IF(C280="重要关系6",E280,0)+IF(AND(C280="魅力",E280&lt;0),E280,0))))</x:f>
        <x:v>0</x:v>
      </x:c>
      <x:c r="BW280">
        <x:f>MAX(0,MIN(BK280,IF(AND(H280=1,C280="重要关系7",LEFT('幕间与结算'!H187,8)="建立新的重要关系"),'幕间与结算'!E187+E280,BW279+IF(C280="重要关系7",E280,0)+IF(AND(C280="魅力",E280&lt;0),E280,0))))</x:f>
        <x:v>0</x:v>
      </x:c>
    </x:row>
    <x:row r="281">
      <x:c r="A281" t="str">
        <x:f>IFERROR(TEXT(VALUE('幕间与结算'!A188),"00"),"")</x:f>
        <x:v>00</x:v>
      </x:c>
      <x:c r="B281">
        <x:f>'幕间与结算'!B188</x:f>
        <x:v>0</x:v>
      </x:c>
      <x:c r="C281">
        <x:f>'幕间与结算'!D188</x:f>
        <x:v>0</x:v>
      </x:c>
      <x:c r="D281">
        <x:f>'幕间与结算'!F188</x:f>
        <x:v>0</x:v>
      </x:c>
      <x:c r="E281">
        <x:f>IF(H281=1,MAX(-'幕间与结算'!E188,MIN(D281,IF(LEFT(C281,3)="技能：",99,IF(COUNTIF($L$2:$L$7,C281)&gt;0,18,999))-'幕间与结算'!E188)),0)</x:f>
        <x:v>0</x:v>
      </x:c>
      <x:c r="F281" t="str">
        <x:f>IF(C281=0,"",IF(G281=0,"记录不完整",IF(H281=0,"重复未计","已计入")))</x:f>
        <x:v/>
      </x:c>
      <x:c r="G281">
        <x:f>IF(AND(AND('幕间与结算'!A188&lt;&gt;"",'幕间与结算'!B188&lt;&gt;"",'幕间与结算'!I188&lt;&gt;"",OR(LEFT(C281,3)="技能：",COUNTIF($L$2:$L$19,C281)&gt;0),ISNUMBER('幕间与结算'!E188),ISNUMBER('幕间与结算'!F188),ISNUMBER('幕间与结算'!G188),'幕间与结算'!E188&gt;=0,'幕间与结算'!G188='幕间与结算'!E188+'幕间与结算'!F188),OR(B281&lt;&gt;"成长",AND(LEFT(C281,3)="技能：",C281&lt;&gt;"技能：非自然知识",'幕间与结算'!E188&gt;=1,'幕间与结算'!E188&lt;=99,'幕间与结算'!F188&gt;=0,'幕间与结算'!F188&lt;=4,'幕间与结算'!G188&lt;=99))),1,0)</x:f>
        <x:v>0</x:v>
      </x:c>
      <x:c r="H281">
        <x:f>IF(AND(G281=1,COUNTIFS($I$200:I281,I281,$G$200:G281,1)=1),1,0)</x:f>
        <x:v>0</x:v>
      </x:c>
      <x:c r="I281" t="str">
        <x:f>IF(G281=1,IF(B281="成长",A281&amp;"-成长-"&amp;C281,'幕间与结算'!I188),"")</x:f>
        <x:v/>
      </x:c>
      <x:c r="BF281">
        <x:f>MAX(0,MIN(18,BF280+IF(C281="力量",E281,0)))</x:f>
        <x:v>0</x:v>
      </x:c>
      <x:c r="BG281">
        <x:f>MAX(0,MIN(18,BG280+IF(C281="体质",E281,0)))</x:f>
        <x:v>0</x:v>
      </x:c>
      <x:c r="BH281">
        <x:f>MAX(0,MIN(18,BH280+IF(C281="敏捷",E281,0)))</x:f>
        <x:v>0</x:v>
      </x:c>
      <x:c r="BI281">
        <x:f>MAX(0,MIN(18,BI280+IF(C281="智力",E281,0)))</x:f>
        <x:v>0</x:v>
      </x:c>
      <x:c r="BJ281">
        <x:f>MAX(0,MIN(18,BJ280+IF(C281="意志",E281,0)))</x:f>
        <x:v>0</x:v>
      </x:c>
      <x:c r="BK281">
        <x:f>MAX(0,MIN(18,BK280+IF(C281="魅力",E281,0)))</x:f>
        <x:v>0</x:v>
      </x:c>
      <x:c r="BL281">
        <x:f>MAX(0,MIN(99,BL280+IF(C281="技能：非自然知识",E281,0)))</x:f>
        <x:v>0</x:v>
      </x:c>
      <x:c r="BM281">
        <x:f>MAX(0,MIN(CEILING((BF281+BG281)/2,1),BM280+IF(C281="体力",E281,0)))</x:f>
        <x:v>0</x:v>
      </x:c>
      <x:c r="BN281">
        <x:f>MAX(0,MIN(BJ281,BN280+IF(C281="毅力",E281,0)))</x:f>
        <x:v>0</x:v>
      </x:c>
      <x:c r="BO281">
        <x:f>MAX(0,MIN(99-BL281,BO280+IF(C281="理智",E281,0)))</x:f>
        <x:v>0</x:v>
      </x:c>
      <x:c r="BP281">
        <x:f>MAX(0,MIN(99,BP280+IF(C281="崩溃点",E281,0)))</x:f>
        <x:v>0</x:v>
      </x:c>
      <x:c r="BQ281">
        <x:f>MAX(0,MIN(BK281,IF(AND(H281=1,C281="重要关系1",LEFT('幕间与结算'!H188,8)="建立新的重要关系"),'幕间与结算'!E188+E281,BQ280+IF(C281="重要关系1",E281,0)+IF(AND(C281="魅力",E281&lt;0),E281,0))))</x:f>
        <x:v>0</x:v>
      </x:c>
      <x:c r="BR281">
        <x:f>MAX(0,MIN(BK281,IF(AND(H281=1,C281="重要关系2",LEFT('幕间与结算'!H188,8)="建立新的重要关系"),'幕间与结算'!E188+E281,BR280+IF(C281="重要关系2",E281,0)+IF(AND(C281="魅力",E281&lt;0),E281,0))))</x:f>
        <x:v>0</x:v>
      </x:c>
      <x:c r="BS281">
        <x:f>MAX(0,MIN(BK281,IF(AND(H281=1,C281="重要关系3",LEFT('幕间与结算'!H188,8)="建立新的重要关系"),'幕间与结算'!E188+E281,BS280+IF(C281="重要关系3",E281,0)+IF(AND(C281="魅力",E281&lt;0),E281,0))))</x:f>
        <x:v>0</x:v>
      </x:c>
      <x:c r="BT281">
        <x:f>MAX(0,MIN(BK281,IF(AND(H281=1,C281="重要关系4",LEFT('幕间与结算'!H188,8)="建立新的重要关系"),'幕间与结算'!E188+E281,BT280+IF(C281="重要关系4",E281,0)+IF(AND(C281="魅力",E281&lt;0),E281,0))))</x:f>
        <x:v>0</x:v>
      </x:c>
      <x:c r="BU281">
        <x:f>MAX(0,MIN(BK281,IF(AND(H281=1,C281="重要关系5",LEFT('幕间与结算'!H188,8)="建立新的重要关系"),'幕间与结算'!E188+E281,BU280+IF(C281="重要关系5",E281,0)+IF(AND(C281="魅力",E281&lt;0),E281,0))))</x:f>
        <x:v>0</x:v>
      </x:c>
      <x:c r="BV281">
        <x:f>MAX(0,MIN(BK281,IF(AND(H281=1,C281="重要关系6",LEFT('幕间与结算'!H188,8)="建立新的重要关系"),'幕间与结算'!E188+E281,BV280+IF(C281="重要关系6",E281,0)+IF(AND(C281="魅力",E281&lt;0),E281,0))))</x:f>
        <x:v>0</x:v>
      </x:c>
      <x:c r="BW281">
        <x:f>MAX(0,MIN(BK281,IF(AND(H281=1,C281="重要关系7",LEFT('幕间与结算'!H188,8)="建立新的重要关系"),'幕间与结算'!E188+E281,BW280+IF(C281="重要关系7",E281,0)+IF(AND(C281="魅力",E281&lt;0),E281,0))))</x:f>
        <x:v>0</x:v>
      </x:c>
    </x:row>
    <x:row r="282">
      <x:c r="A282" t="str">
        <x:f>IFERROR(TEXT(VALUE('幕间与结算'!A189),"00"),"")</x:f>
        <x:v>00</x:v>
      </x:c>
      <x:c r="B282">
        <x:f>'幕间与结算'!B189</x:f>
        <x:v>0</x:v>
      </x:c>
      <x:c r="C282">
        <x:f>'幕间与结算'!D189</x:f>
        <x:v>0</x:v>
      </x:c>
      <x:c r="D282">
        <x:f>'幕间与结算'!F189</x:f>
        <x:v>0</x:v>
      </x:c>
      <x:c r="E282">
        <x:f>IF(H282=1,MAX(-'幕间与结算'!E189,MIN(D282,IF(LEFT(C282,3)="技能：",99,IF(COUNTIF($L$2:$L$7,C282)&gt;0,18,999))-'幕间与结算'!E189)),0)</x:f>
        <x:v>0</x:v>
      </x:c>
      <x:c r="F282" t="str">
        <x:f>IF(C282=0,"",IF(G282=0,"记录不完整",IF(H282=0,"重复未计","已计入")))</x:f>
        <x:v/>
      </x:c>
      <x:c r="G282">
        <x:f>IF(AND(AND('幕间与结算'!A189&lt;&gt;"",'幕间与结算'!B189&lt;&gt;"",'幕间与结算'!I189&lt;&gt;"",OR(LEFT(C282,3)="技能：",COUNTIF($L$2:$L$19,C282)&gt;0),ISNUMBER('幕间与结算'!E189),ISNUMBER('幕间与结算'!F189),ISNUMBER('幕间与结算'!G189),'幕间与结算'!E189&gt;=0,'幕间与结算'!G189='幕间与结算'!E189+'幕间与结算'!F189),OR(B282&lt;&gt;"成长",AND(LEFT(C282,3)="技能：",C282&lt;&gt;"技能：非自然知识",'幕间与结算'!E189&gt;=1,'幕间与结算'!E189&lt;=99,'幕间与结算'!F189&gt;=0,'幕间与结算'!F189&lt;=4,'幕间与结算'!G189&lt;=99))),1,0)</x:f>
        <x:v>0</x:v>
      </x:c>
      <x:c r="H282">
        <x:f>IF(AND(G282=1,COUNTIFS($I$200:I282,I282,$G$200:G282,1)=1),1,0)</x:f>
        <x:v>0</x:v>
      </x:c>
      <x:c r="I282" t="str">
        <x:f>IF(G282=1,IF(B282="成长",A282&amp;"-成长-"&amp;C282,'幕间与结算'!I189),"")</x:f>
        <x:v/>
      </x:c>
      <x:c r="BF282">
        <x:f>MAX(0,MIN(18,BF281+IF(C282="力量",E282,0)))</x:f>
        <x:v>0</x:v>
      </x:c>
      <x:c r="BG282">
        <x:f>MAX(0,MIN(18,BG281+IF(C282="体质",E282,0)))</x:f>
        <x:v>0</x:v>
      </x:c>
      <x:c r="BH282">
        <x:f>MAX(0,MIN(18,BH281+IF(C282="敏捷",E282,0)))</x:f>
        <x:v>0</x:v>
      </x:c>
      <x:c r="BI282">
        <x:f>MAX(0,MIN(18,BI281+IF(C282="智力",E282,0)))</x:f>
        <x:v>0</x:v>
      </x:c>
      <x:c r="BJ282">
        <x:f>MAX(0,MIN(18,BJ281+IF(C282="意志",E282,0)))</x:f>
        <x:v>0</x:v>
      </x:c>
      <x:c r="BK282">
        <x:f>MAX(0,MIN(18,BK281+IF(C282="魅力",E282,0)))</x:f>
        <x:v>0</x:v>
      </x:c>
      <x:c r="BL282">
        <x:f>MAX(0,MIN(99,BL281+IF(C282="技能：非自然知识",E282,0)))</x:f>
        <x:v>0</x:v>
      </x:c>
      <x:c r="BM282">
        <x:f>MAX(0,MIN(CEILING((BF282+BG282)/2,1),BM281+IF(C282="体力",E282,0)))</x:f>
        <x:v>0</x:v>
      </x:c>
      <x:c r="BN282">
        <x:f>MAX(0,MIN(BJ282,BN281+IF(C282="毅力",E282,0)))</x:f>
        <x:v>0</x:v>
      </x:c>
      <x:c r="BO282">
        <x:f>MAX(0,MIN(99-BL282,BO281+IF(C282="理智",E282,0)))</x:f>
        <x:v>0</x:v>
      </x:c>
      <x:c r="BP282">
        <x:f>MAX(0,MIN(99,BP281+IF(C282="崩溃点",E282,0)))</x:f>
        <x:v>0</x:v>
      </x:c>
      <x:c r="BQ282">
        <x:f>MAX(0,MIN(BK282,IF(AND(H282=1,C282="重要关系1",LEFT('幕间与结算'!H189,8)="建立新的重要关系"),'幕间与结算'!E189+E282,BQ281+IF(C282="重要关系1",E282,0)+IF(AND(C282="魅力",E282&lt;0),E282,0))))</x:f>
        <x:v>0</x:v>
      </x:c>
      <x:c r="BR282">
        <x:f>MAX(0,MIN(BK282,IF(AND(H282=1,C282="重要关系2",LEFT('幕间与结算'!H189,8)="建立新的重要关系"),'幕间与结算'!E189+E282,BR281+IF(C282="重要关系2",E282,0)+IF(AND(C282="魅力",E282&lt;0),E282,0))))</x:f>
        <x:v>0</x:v>
      </x:c>
      <x:c r="BS282">
        <x:f>MAX(0,MIN(BK282,IF(AND(H282=1,C282="重要关系3",LEFT('幕间与结算'!H189,8)="建立新的重要关系"),'幕间与结算'!E189+E282,BS281+IF(C282="重要关系3",E282,0)+IF(AND(C282="魅力",E282&lt;0),E282,0))))</x:f>
        <x:v>0</x:v>
      </x:c>
      <x:c r="BT282">
        <x:f>MAX(0,MIN(BK282,IF(AND(H282=1,C282="重要关系4",LEFT('幕间与结算'!H189,8)="建立新的重要关系"),'幕间与结算'!E189+E282,BT281+IF(C282="重要关系4",E282,0)+IF(AND(C282="魅力",E282&lt;0),E282,0))))</x:f>
        <x:v>0</x:v>
      </x:c>
      <x:c r="BU282">
        <x:f>MAX(0,MIN(BK282,IF(AND(H282=1,C282="重要关系5",LEFT('幕间与结算'!H189,8)="建立新的重要关系"),'幕间与结算'!E189+E282,BU281+IF(C282="重要关系5",E282,0)+IF(AND(C282="魅力",E282&lt;0),E282,0))))</x:f>
        <x:v>0</x:v>
      </x:c>
      <x:c r="BV282">
        <x:f>MAX(0,MIN(BK282,IF(AND(H282=1,C282="重要关系6",LEFT('幕间与结算'!H189,8)="建立新的重要关系"),'幕间与结算'!E189+E282,BV281+IF(C282="重要关系6",E282,0)+IF(AND(C282="魅力",E282&lt;0),E282,0))))</x:f>
        <x:v>0</x:v>
      </x:c>
      <x:c r="BW282">
        <x:f>MAX(0,MIN(BK282,IF(AND(H282=1,C282="重要关系7",LEFT('幕间与结算'!H189,8)="建立新的重要关系"),'幕间与结算'!E189+E282,BW281+IF(C282="重要关系7",E282,0)+IF(AND(C282="魅力",E282&lt;0),E282,0))))</x:f>
        <x:v>0</x:v>
      </x:c>
    </x:row>
    <x:row r="283">
      <x:c r="A283" t="str">
        <x:f>IFERROR(TEXT(VALUE('幕间与结算'!A190),"00"),"")</x:f>
        <x:v>00</x:v>
      </x:c>
      <x:c r="B283">
        <x:f>'幕间与结算'!B190</x:f>
        <x:v>0</x:v>
      </x:c>
      <x:c r="C283">
        <x:f>'幕间与结算'!D190</x:f>
        <x:v>0</x:v>
      </x:c>
      <x:c r="D283">
        <x:f>'幕间与结算'!F190</x:f>
        <x:v>0</x:v>
      </x:c>
      <x:c r="E283">
        <x:f>IF(H283=1,MAX(-'幕间与结算'!E190,MIN(D283,IF(LEFT(C283,3)="技能：",99,IF(COUNTIF($L$2:$L$7,C283)&gt;0,18,999))-'幕间与结算'!E190)),0)</x:f>
        <x:v>0</x:v>
      </x:c>
      <x:c r="F283" t="str">
        <x:f>IF(C283=0,"",IF(G283=0,"记录不完整",IF(H283=0,"重复未计","已计入")))</x:f>
        <x:v/>
      </x:c>
      <x:c r="G283">
        <x:f>IF(AND(AND('幕间与结算'!A190&lt;&gt;"",'幕间与结算'!B190&lt;&gt;"",'幕间与结算'!I190&lt;&gt;"",OR(LEFT(C283,3)="技能：",COUNTIF($L$2:$L$19,C283)&gt;0),ISNUMBER('幕间与结算'!E190),ISNUMBER('幕间与结算'!F190),ISNUMBER('幕间与结算'!G190),'幕间与结算'!E190&gt;=0,'幕间与结算'!G190='幕间与结算'!E190+'幕间与结算'!F190),OR(B283&lt;&gt;"成长",AND(LEFT(C283,3)="技能：",C283&lt;&gt;"技能：非自然知识",'幕间与结算'!E190&gt;=1,'幕间与结算'!E190&lt;=99,'幕间与结算'!F190&gt;=0,'幕间与结算'!F190&lt;=4,'幕间与结算'!G190&lt;=99))),1,0)</x:f>
        <x:v>0</x:v>
      </x:c>
      <x:c r="H283">
        <x:f>IF(AND(G283=1,COUNTIFS($I$200:I283,I283,$G$200:G283,1)=1),1,0)</x:f>
        <x:v>0</x:v>
      </x:c>
      <x:c r="I283" t="str">
        <x:f>IF(G283=1,IF(B283="成长",A283&amp;"-成长-"&amp;C283,'幕间与结算'!I190),"")</x:f>
        <x:v/>
      </x:c>
      <x:c r="BF283">
        <x:f>MAX(0,MIN(18,BF282+IF(C283="力量",E283,0)))</x:f>
        <x:v>0</x:v>
      </x:c>
      <x:c r="BG283">
        <x:f>MAX(0,MIN(18,BG282+IF(C283="体质",E283,0)))</x:f>
        <x:v>0</x:v>
      </x:c>
      <x:c r="BH283">
        <x:f>MAX(0,MIN(18,BH282+IF(C283="敏捷",E283,0)))</x:f>
        <x:v>0</x:v>
      </x:c>
      <x:c r="BI283">
        <x:f>MAX(0,MIN(18,BI282+IF(C283="智力",E283,0)))</x:f>
        <x:v>0</x:v>
      </x:c>
      <x:c r="BJ283">
        <x:f>MAX(0,MIN(18,BJ282+IF(C283="意志",E283,0)))</x:f>
        <x:v>0</x:v>
      </x:c>
      <x:c r="BK283">
        <x:f>MAX(0,MIN(18,BK282+IF(C283="魅力",E283,0)))</x:f>
        <x:v>0</x:v>
      </x:c>
      <x:c r="BL283">
        <x:f>MAX(0,MIN(99,BL282+IF(C283="技能：非自然知识",E283,0)))</x:f>
        <x:v>0</x:v>
      </x:c>
      <x:c r="BM283">
        <x:f>MAX(0,MIN(CEILING((BF283+BG283)/2,1),BM282+IF(C283="体力",E283,0)))</x:f>
        <x:v>0</x:v>
      </x:c>
      <x:c r="BN283">
        <x:f>MAX(0,MIN(BJ283,BN282+IF(C283="毅力",E283,0)))</x:f>
        <x:v>0</x:v>
      </x:c>
      <x:c r="BO283">
        <x:f>MAX(0,MIN(99-BL283,BO282+IF(C283="理智",E283,0)))</x:f>
        <x:v>0</x:v>
      </x:c>
      <x:c r="BP283">
        <x:f>MAX(0,MIN(99,BP282+IF(C283="崩溃点",E283,0)))</x:f>
        <x:v>0</x:v>
      </x:c>
      <x:c r="BQ283">
        <x:f>MAX(0,MIN(BK283,IF(AND(H283=1,C283="重要关系1",LEFT('幕间与结算'!H190,8)="建立新的重要关系"),'幕间与结算'!E190+E283,BQ282+IF(C283="重要关系1",E283,0)+IF(AND(C283="魅力",E283&lt;0),E283,0))))</x:f>
        <x:v>0</x:v>
      </x:c>
      <x:c r="BR283">
        <x:f>MAX(0,MIN(BK283,IF(AND(H283=1,C283="重要关系2",LEFT('幕间与结算'!H190,8)="建立新的重要关系"),'幕间与结算'!E190+E283,BR282+IF(C283="重要关系2",E283,0)+IF(AND(C283="魅力",E283&lt;0),E283,0))))</x:f>
        <x:v>0</x:v>
      </x:c>
      <x:c r="BS283">
        <x:f>MAX(0,MIN(BK283,IF(AND(H283=1,C283="重要关系3",LEFT('幕间与结算'!H190,8)="建立新的重要关系"),'幕间与结算'!E190+E283,BS282+IF(C283="重要关系3",E283,0)+IF(AND(C283="魅力",E283&lt;0),E283,0))))</x:f>
        <x:v>0</x:v>
      </x:c>
      <x:c r="BT283">
        <x:f>MAX(0,MIN(BK283,IF(AND(H283=1,C283="重要关系4",LEFT('幕间与结算'!H190,8)="建立新的重要关系"),'幕间与结算'!E190+E283,BT282+IF(C283="重要关系4",E283,0)+IF(AND(C283="魅力",E283&lt;0),E283,0))))</x:f>
        <x:v>0</x:v>
      </x:c>
      <x:c r="BU283">
        <x:f>MAX(0,MIN(BK283,IF(AND(H283=1,C283="重要关系5",LEFT('幕间与结算'!H190,8)="建立新的重要关系"),'幕间与结算'!E190+E283,BU282+IF(C283="重要关系5",E283,0)+IF(AND(C283="魅力",E283&lt;0),E283,0))))</x:f>
        <x:v>0</x:v>
      </x:c>
      <x:c r="BV283">
        <x:f>MAX(0,MIN(BK283,IF(AND(H283=1,C283="重要关系6",LEFT('幕间与结算'!H190,8)="建立新的重要关系"),'幕间与结算'!E190+E283,BV282+IF(C283="重要关系6",E283,0)+IF(AND(C283="魅力",E283&lt;0),E283,0))))</x:f>
        <x:v>0</x:v>
      </x:c>
      <x:c r="BW283">
        <x:f>MAX(0,MIN(BK283,IF(AND(H283=1,C283="重要关系7",LEFT('幕间与结算'!H190,8)="建立新的重要关系"),'幕间与结算'!E190+E283,BW282+IF(C283="重要关系7",E283,0)+IF(AND(C283="魅力",E283&lt;0),E283,0))))</x:f>
        <x:v>0</x:v>
      </x:c>
    </x:row>
    <x:row r="284">
      <x:c r="A284" t="str">
        <x:f>IFERROR(TEXT(VALUE('幕间与结算'!A191),"00"),"")</x:f>
        <x:v>00</x:v>
      </x:c>
      <x:c r="B284">
        <x:f>'幕间与结算'!B191</x:f>
        <x:v>0</x:v>
      </x:c>
      <x:c r="C284">
        <x:f>'幕间与结算'!D191</x:f>
        <x:v>0</x:v>
      </x:c>
      <x:c r="D284">
        <x:f>'幕间与结算'!F191</x:f>
        <x:v>0</x:v>
      </x:c>
      <x:c r="E284">
        <x:f>IF(H284=1,MAX(-'幕间与结算'!E191,MIN(D284,IF(LEFT(C284,3)="技能：",99,IF(COUNTIF($L$2:$L$7,C284)&gt;0,18,999))-'幕间与结算'!E191)),0)</x:f>
        <x:v>0</x:v>
      </x:c>
      <x:c r="F284" t="str">
        <x:f>IF(C284=0,"",IF(G284=0,"记录不完整",IF(H284=0,"重复未计","已计入")))</x:f>
        <x:v/>
      </x:c>
      <x:c r="G284">
        <x:f>IF(AND(AND('幕间与结算'!A191&lt;&gt;"",'幕间与结算'!B191&lt;&gt;"",'幕间与结算'!I191&lt;&gt;"",OR(LEFT(C284,3)="技能：",COUNTIF($L$2:$L$19,C284)&gt;0),ISNUMBER('幕间与结算'!E191),ISNUMBER('幕间与结算'!F191),ISNUMBER('幕间与结算'!G191),'幕间与结算'!E191&gt;=0,'幕间与结算'!G191='幕间与结算'!E191+'幕间与结算'!F191),OR(B284&lt;&gt;"成长",AND(LEFT(C284,3)="技能：",C284&lt;&gt;"技能：非自然知识",'幕间与结算'!E191&gt;=1,'幕间与结算'!E191&lt;=99,'幕间与结算'!F191&gt;=0,'幕间与结算'!F191&lt;=4,'幕间与结算'!G191&lt;=99))),1,0)</x:f>
        <x:v>0</x:v>
      </x:c>
      <x:c r="H284">
        <x:f>IF(AND(G284=1,COUNTIFS($I$200:I284,I284,$G$200:G284,1)=1),1,0)</x:f>
        <x:v>0</x:v>
      </x:c>
      <x:c r="I284" t="str">
        <x:f>IF(G284=1,IF(B284="成长",A284&amp;"-成长-"&amp;C284,'幕间与结算'!I191),"")</x:f>
        <x:v/>
      </x:c>
      <x:c r="BF284">
        <x:f>MAX(0,MIN(18,BF283+IF(C284="力量",E284,0)))</x:f>
        <x:v>0</x:v>
      </x:c>
      <x:c r="BG284">
        <x:f>MAX(0,MIN(18,BG283+IF(C284="体质",E284,0)))</x:f>
        <x:v>0</x:v>
      </x:c>
      <x:c r="BH284">
        <x:f>MAX(0,MIN(18,BH283+IF(C284="敏捷",E284,0)))</x:f>
        <x:v>0</x:v>
      </x:c>
      <x:c r="BI284">
        <x:f>MAX(0,MIN(18,BI283+IF(C284="智力",E284,0)))</x:f>
        <x:v>0</x:v>
      </x:c>
      <x:c r="BJ284">
        <x:f>MAX(0,MIN(18,BJ283+IF(C284="意志",E284,0)))</x:f>
        <x:v>0</x:v>
      </x:c>
      <x:c r="BK284">
        <x:f>MAX(0,MIN(18,BK283+IF(C284="魅力",E284,0)))</x:f>
        <x:v>0</x:v>
      </x:c>
      <x:c r="BL284">
        <x:f>MAX(0,MIN(99,BL283+IF(C284="技能：非自然知识",E284,0)))</x:f>
        <x:v>0</x:v>
      </x:c>
      <x:c r="BM284">
        <x:f>MAX(0,MIN(CEILING((BF284+BG284)/2,1),BM283+IF(C284="体力",E284,0)))</x:f>
        <x:v>0</x:v>
      </x:c>
      <x:c r="BN284">
        <x:f>MAX(0,MIN(BJ284,BN283+IF(C284="毅力",E284,0)))</x:f>
        <x:v>0</x:v>
      </x:c>
      <x:c r="BO284">
        <x:f>MAX(0,MIN(99-BL284,BO283+IF(C284="理智",E284,0)))</x:f>
        <x:v>0</x:v>
      </x:c>
      <x:c r="BP284">
        <x:f>MAX(0,MIN(99,BP283+IF(C284="崩溃点",E284,0)))</x:f>
        <x:v>0</x:v>
      </x:c>
      <x:c r="BQ284">
        <x:f>MAX(0,MIN(BK284,IF(AND(H284=1,C284="重要关系1",LEFT('幕间与结算'!H191,8)="建立新的重要关系"),'幕间与结算'!E191+E284,BQ283+IF(C284="重要关系1",E284,0)+IF(AND(C284="魅力",E284&lt;0),E284,0))))</x:f>
        <x:v>0</x:v>
      </x:c>
      <x:c r="BR284">
        <x:f>MAX(0,MIN(BK284,IF(AND(H284=1,C284="重要关系2",LEFT('幕间与结算'!H191,8)="建立新的重要关系"),'幕间与结算'!E191+E284,BR283+IF(C284="重要关系2",E284,0)+IF(AND(C284="魅力",E284&lt;0),E284,0))))</x:f>
        <x:v>0</x:v>
      </x:c>
      <x:c r="BS284">
        <x:f>MAX(0,MIN(BK284,IF(AND(H284=1,C284="重要关系3",LEFT('幕间与结算'!H191,8)="建立新的重要关系"),'幕间与结算'!E191+E284,BS283+IF(C284="重要关系3",E284,0)+IF(AND(C284="魅力",E284&lt;0),E284,0))))</x:f>
        <x:v>0</x:v>
      </x:c>
      <x:c r="BT284">
        <x:f>MAX(0,MIN(BK284,IF(AND(H284=1,C284="重要关系4",LEFT('幕间与结算'!H191,8)="建立新的重要关系"),'幕间与结算'!E191+E284,BT283+IF(C284="重要关系4",E284,0)+IF(AND(C284="魅力",E284&lt;0),E284,0))))</x:f>
        <x:v>0</x:v>
      </x:c>
      <x:c r="BU284">
        <x:f>MAX(0,MIN(BK284,IF(AND(H284=1,C284="重要关系5",LEFT('幕间与结算'!H191,8)="建立新的重要关系"),'幕间与结算'!E191+E284,BU283+IF(C284="重要关系5",E284,0)+IF(AND(C284="魅力",E284&lt;0),E284,0))))</x:f>
        <x:v>0</x:v>
      </x:c>
      <x:c r="BV284">
        <x:f>MAX(0,MIN(BK284,IF(AND(H284=1,C284="重要关系6",LEFT('幕间与结算'!H191,8)="建立新的重要关系"),'幕间与结算'!E191+E284,BV283+IF(C284="重要关系6",E284,0)+IF(AND(C284="魅力",E284&lt;0),E284,0))))</x:f>
        <x:v>0</x:v>
      </x:c>
      <x:c r="BW284">
        <x:f>MAX(0,MIN(BK284,IF(AND(H284=1,C284="重要关系7",LEFT('幕间与结算'!H191,8)="建立新的重要关系"),'幕间与结算'!E191+E284,BW283+IF(C284="重要关系7",E284,0)+IF(AND(C284="魅力",E284&lt;0),E284,0))))</x:f>
        <x:v>0</x:v>
      </x:c>
    </x:row>
    <x:row r="285">
      <x:c r="A285" t="str">
        <x:f>IFERROR(TEXT(VALUE('幕间与结算'!A192),"00"),"")</x:f>
        <x:v>00</x:v>
      </x:c>
      <x:c r="B285">
        <x:f>'幕间与结算'!B192</x:f>
        <x:v>0</x:v>
      </x:c>
      <x:c r="C285">
        <x:f>'幕间与结算'!D192</x:f>
        <x:v>0</x:v>
      </x:c>
      <x:c r="D285">
        <x:f>'幕间与结算'!F192</x:f>
        <x:v>0</x:v>
      </x:c>
      <x:c r="E285">
        <x:f>IF(H285=1,MAX(-'幕间与结算'!E192,MIN(D285,IF(LEFT(C285,3)="技能：",99,IF(COUNTIF($L$2:$L$7,C285)&gt;0,18,999))-'幕间与结算'!E192)),0)</x:f>
        <x:v>0</x:v>
      </x:c>
      <x:c r="F285" t="str">
        <x:f>IF(C285=0,"",IF(G285=0,"记录不完整",IF(H285=0,"重复未计","已计入")))</x:f>
        <x:v/>
      </x:c>
      <x:c r="G285">
        <x:f>IF(AND(AND('幕间与结算'!A192&lt;&gt;"",'幕间与结算'!B192&lt;&gt;"",'幕间与结算'!I192&lt;&gt;"",OR(LEFT(C285,3)="技能：",COUNTIF($L$2:$L$19,C285)&gt;0),ISNUMBER('幕间与结算'!E192),ISNUMBER('幕间与结算'!F192),ISNUMBER('幕间与结算'!G192),'幕间与结算'!E192&gt;=0,'幕间与结算'!G192='幕间与结算'!E192+'幕间与结算'!F192),OR(B285&lt;&gt;"成长",AND(LEFT(C285,3)="技能：",C285&lt;&gt;"技能：非自然知识",'幕间与结算'!E192&gt;=1,'幕间与结算'!E192&lt;=99,'幕间与结算'!F192&gt;=0,'幕间与结算'!F192&lt;=4,'幕间与结算'!G192&lt;=99))),1,0)</x:f>
        <x:v>0</x:v>
      </x:c>
      <x:c r="H285">
        <x:f>IF(AND(G285=1,COUNTIFS($I$200:I285,I285,$G$200:G285,1)=1),1,0)</x:f>
        <x:v>0</x:v>
      </x:c>
      <x:c r="I285" t="str">
        <x:f>IF(G285=1,IF(B285="成长",A285&amp;"-成长-"&amp;C285,'幕间与结算'!I192),"")</x:f>
        <x:v/>
      </x:c>
      <x:c r="BF285">
        <x:f>MAX(0,MIN(18,BF284+IF(C285="力量",E285,0)))</x:f>
        <x:v>0</x:v>
      </x:c>
      <x:c r="BG285">
        <x:f>MAX(0,MIN(18,BG284+IF(C285="体质",E285,0)))</x:f>
        <x:v>0</x:v>
      </x:c>
      <x:c r="BH285">
        <x:f>MAX(0,MIN(18,BH284+IF(C285="敏捷",E285,0)))</x:f>
        <x:v>0</x:v>
      </x:c>
      <x:c r="BI285">
        <x:f>MAX(0,MIN(18,BI284+IF(C285="智力",E285,0)))</x:f>
        <x:v>0</x:v>
      </x:c>
      <x:c r="BJ285">
        <x:f>MAX(0,MIN(18,BJ284+IF(C285="意志",E285,0)))</x:f>
        <x:v>0</x:v>
      </x:c>
      <x:c r="BK285">
        <x:f>MAX(0,MIN(18,BK284+IF(C285="魅力",E285,0)))</x:f>
        <x:v>0</x:v>
      </x:c>
      <x:c r="BL285">
        <x:f>MAX(0,MIN(99,BL284+IF(C285="技能：非自然知识",E285,0)))</x:f>
        <x:v>0</x:v>
      </x:c>
      <x:c r="BM285">
        <x:f>MAX(0,MIN(CEILING((BF285+BG285)/2,1),BM284+IF(C285="体力",E285,0)))</x:f>
        <x:v>0</x:v>
      </x:c>
      <x:c r="BN285">
        <x:f>MAX(0,MIN(BJ285,BN284+IF(C285="毅力",E285,0)))</x:f>
        <x:v>0</x:v>
      </x:c>
      <x:c r="BO285">
        <x:f>MAX(0,MIN(99-BL285,BO284+IF(C285="理智",E285,0)))</x:f>
        <x:v>0</x:v>
      </x:c>
      <x:c r="BP285">
        <x:f>MAX(0,MIN(99,BP284+IF(C285="崩溃点",E285,0)))</x:f>
        <x:v>0</x:v>
      </x:c>
      <x:c r="BQ285">
        <x:f>MAX(0,MIN(BK285,IF(AND(H285=1,C285="重要关系1",LEFT('幕间与结算'!H192,8)="建立新的重要关系"),'幕间与结算'!E192+E285,BQ284+IF(C285="重要关系1",E285,0)+IF(AND(C285="魅力",E285&lt;0),E285,0))))</x:f>
        <x:v>0</x:v>
      </x:c>
      <x:c r="BR285">
        <x:f>MAX(0,MIN(BK285,IF(AND(H285=1,C285="重要关系2",LEFT('幕间与结算'!H192,8)="建立新的重要关系"),'幕间与结算'!E192+E285,BR284+IF(C285="重要关系2",E285,0)+IF(AND(C285="魅力",E285&lt;0),E285,0))))</x:f>
        <x:v>0</x:v>
      </x:c>
      <x:c r="BS285">
        <x:f>MAX(0,MIN(BK285,IF(AND(H285=1,C285="重要关系3",LEFT('幕间与结算'!H192,8)="建立新的重要关系"),'幕间与结算'!E192+E285,BS284+IF(C285="重要关系3",E285,0)+IF(AND(C285="魅力",E285&lt;0),E285,0))))</x:f>
        <x:v>0</x:v>
      </x:c>
      <x:c r="BT285">
        <x:f>MAX(0,MIN(BK285,IF(AND(H285=1,C285="重要关系4",LEFT('幕间与结算'!H192,8)="建立新的重要关系"),'幕间与结算'!E192+E285,BT284+IF(C285="重要关系4",E285,0)+IF(AND(C285="魅力",E285&lt;0),E285,0))))</x:f>
        <x:v>0</x:v>
      </x:c>
      <x:c r="BU285">
        <x:f>MAX(0,MIN(BK285,IF(AND(H285=1,C285="重要关系5",LEFT('幕间与结算'!H192,8)="建立新的重要关系"),'幕间与结算'!E192+E285,BU284+IF(C285="重要关系5",E285,0)+IF(AND(C285="魅力",E285&lt;0),E285,0))))</x:f>
        <x:v>0</x:v>
      </x:c>
      <x:c r="BV285">
        <x:f>MAX(0,MIN(BK285,IF(AND(H285=1,C285="重要关系6",LEFT('幕间与结算'!H192,8)="建立新的重要关系"),'幕间与结算'!E192+E285,BV284+IF(C285="重要关系6",E285,0)+IF(AND(C285="魅力",E285&lt;0),E285,0))))</x:f>
        <x:v>0</x:v>
      </x:c>
      <x:c r="BW285">
        <x:f>MAX(0,MIN(BK285,IF(AND(H285=1,C285="重要关系7",LEFT('幕间与结算'!H192,8)="建立新的重要关系"),'幕间与结算'!E192+E285,BW284+IF(C285="重要关系7",E285,0)+IF(AND(C285="魅力",E285&lt;0),E285,0))))</x:f>
        <x:v>0</x:v>
      </x:c>
    </x:row>
    <x:row r="286">
      <x:c r="A286" t="str">
        <x:f>IFERROR(TEXT(VALUE('幕间与结算'!A193),"00"),"")</x:f>
        <x:v>00</x:v>
      </x:c>
      <x:c r="B286">
        <x:f>'幕间与结算'!B193</x:f>
        <x:v>0</x:v>
      </x:c>
      <x:c r="C286">
        <x:f>'幕间与结算'!D193</x:f>
        <x:v>0</x:v>
      </x:c>
      <x:c r="D286">
        <x:f>'幕间与结算'!F193</x:f>
        <x:v>0</x:v>
      </x:c>
      <x:c r="E286">
        <x:f>IF(H286=1,MAX(-'幕间与结算'!E193,MIN(D286,IF(LEFT(C286,3)="技能：",99,IF(COUNTIF($L$2:$L$7,C286)&gt;0,18,999))-'幕间与结算'!E193)),0)</x:f>
        <x:v>0</x:v>
      </x:c>
      <x:c r="F286" t="str">
        <x:f>IF(C286=0,"",IF(G286=0,"记录不完整",IF(H286=0,"重复未计","已计入")))</x:f>
        <x:v/>
      </x:c>
      <x:c r="G286">
        <x:f>IF(AND(AND('幕间与结算'!A193&lt;&gt;"",'幕间与结算'!B193&lt;&gt;"",'幕间与结算'!I193&lt;&gt;"",OR(LEFT(C286,3)="技能：",COUNTIF($L$2:$L$19,C286)&gt;0),ISNUMBER('幕间与结算'!E193),ISNUMBER('幕间与结算'!F193),ISNUMBER('幕间与结算'!G193),'幕间与结算'!E193&gt;=0,'幕间与结算'!G193='幕间与结算'!E193+'幕间与结算'!F193),OR(B286&lt;&gt;"成长",AND(LEFT(C286,3)="技能：",C286&lt;&gt;"技能：非自然知识",'幕间与结算'!E193&gt;=1,'幕间与结算'!E193&lt;=99,'幕间与结算'!F193&gt;=0,'幕间与结算'!F193&lt;=4,'幕间与结算'!G193&lt;=99))),1,0)</x:f>
        <x:v>0</x:v>
      </x:c>
      <x:c r="H286">
        <x:f>IF(AND(G286=1,COUNTIFS($I$200:I286,I286,$G$200:G286,1)=1),1,0)</x:f>
        <x:v>0</x:v>
      </x:c>
      <x:c r="I286" t="str">
        <x:f>IF(G286=1,IF(B286="成长",A286&amp;"-成长-"&amp;C286,'幕间与结算'!I193),"")</x:f>
        <x:v/>
      </x:c>
      <x:c r="BF286">
        <x:f>MAX(0,MIN(18,BF285+IF(C286="力量",E286,0)))</x:f>
        <x:v>0</x:v>
      </x:c>
      <x:c r="BG286">
        <x:f>MAX(0,MIN(18,BG285+IF(C286="体质",E286,0)))</x:f>
        <x:v>0</x:v>
      </x:c>
      <x:c r="BH286">
        <x:f>MAX(0,MIN(18,BH285+IF(C286="敏捷",E286,0)))</x:f>
        <x:v>0</x:v>
      </x:c>
      <x:c r="BI286">
        <x:f>MAX(0,MIN(18,BI285+IF(C286="智力",E286,0)))</x:f>
        <x:v>0</x:v>
      </x:c>
      <x:c r="BJ286">
        <x:f>MAX(0,MIN(18,BJ285+IF(C286="意志",E286,0)))</x:f>
        <x:v>0</x:v>
      </x:c>
      <x:c r="BK286">
        <x:f>MAX(0,MIN(18,BK285+IF(C286="魅力",E286,0)))</x:f>
        <x:v>0</x:v>
      </x:c>
      <x:c r="BL286">
        <x:f>MAX(0,MIN(99,BL285+IF(C286="技能：非自然知识",E286,0)))</x:f>
        <x:v>0</x:v>
      </x:c>
      <x:c r="BM286">
        <x:f>MAX(0,MIN(CEILING((BF286+BG286)/2,1),BM285+IF(C286="体力",E286,0)))</x:f>
        <x:v>0</x:v>
      </x:c>
      <x:c r="BN286">
        <x:f>MAX(0,MIN(BJ286,BN285+IF(C286="毅力",E286,0)))</x:f>
        <x:v>0</x:v>
      </x:c>
      <x:c r="BO286">
        <x:f>MAX(0,MIN(99-BL286,BO285+IF(C286="理智",E286,0)))</x:f>
        <x:v>0</x:v>
      </x:c>
      <x:c r="BP286">
        <x:f>MAX(0,MIN(99,BP285+IF(C286="崩溃点",E286,0)))</x:f>
        <x:v>0</x:v>
      </x:c>
      <x:c r="BQ286">
        <x:f>MAX(0,MIN(BK286,IF(AND(H286=1,C286="重要关系1",LEFT('幕间与结算'!H193,8)="建立新的重要关系"),'幕间与结算'!E193+E286,BQ285+IF(C286="重要关系1",E286,0)+IF(AND(C286="魅力",E286&lt;0),E286,0))))</x:f>
        <x:v>0</x:v>
      </x:c>
      <x:c r="BR286">
        <x:f>MAX(0,MIN(BK286,IF(AND(H286=1,C286="重要关系2",LEFT('幕间与结算'!H193,8)="建立新的重要关系"),'幕间与结算'!E193+E286,BR285+IF(C286="重要关系2",E286,0)+IF(AND(C286="魅力",E286&lt;0),E286,0))))</x:f>
        <x:v>0</x:v>
      </x:c>
      <x:c r="BS286">
        <x:f>MAX(0,MIN(BK286,IF(AND(H286=1,C286="重要关系3",LEFT('幕间与结算'!H193,8)="建立新的重要关系"),'幕间与结算'!E193+E286,BS285+IF(C286="重要关系3",E286,0)+IF(AND(C286="魅力",E286&lt;0),E286,0))))</x:f>
        <x:v>0</x:v>
      </x:c>
      <x:c r="BT286">
        <x:f>MAX(0,MIN(BK286,IF(AND(H286=1,C286="重要关系4",LEFT('幕间与结算'!H193,8)="建立新的重要关系"),'幕间与结算'!E193+E286,BT285+IF(C286="重要关系4",E286,0)+IF(AND(C286="魅力",E286&lt;0),E286,0))))</x:f>
        <x:v>0</x:v>
      </x:c>
      <x:c r="BU286">
        <x:f>MAX(0,MIN(BK286,IF(AND(H286=1,C286="重要关系5",LEFT('幕间与结算'!H193,8)="建立新的重要关系"),'幕间与结算'!E193+E286,BU285+IF(C286="重要关系5",E286,0)+IF(AND(C286="魅力",E286&lt;0),E286,0))))</x:f>
        <x:v>0</x:v>
      </x:c>
      <x:c r="BV286">
        <x:f>MAX(0,MIN(BK286,IF(AND(H286=1,C286="重要关系6",LEFT('幕间与结算'!H193,8)="建立新的重要关系"),'幕间与结算'!E193+E286,BV285+IF(C286="重要关系6",E286,0)+IF(AND(C286="魅力",E286&lt;0),E286,0))))</x:f>
        <x:v>0</x:v>
      </x:c>
      <x:c r="BW286">
        <x:f>MAX(0,MIN(BK286,IF(AND(H286=1,C286="重要关系7",LEFT('幕间与结算'!H193,8)="建立新的重要关系"),'幕间与结算'!E193+E286,BW285+IF(C286="重要关系7",E286,0)+IF(AND(C286="魅力",E286&lt;0),E286,0))))</x:f>
        <x:v>0</x:v>
      </x:c>
    </x:row>
    <x:row r="287">
      <x:c r="A287" t="str">
        <x:f>IFERROR(TEXT(VALUE('幕间与结算'!A194),"00"),"")</x:f>
        <x:v>00</x:v>
      </x:c>
      <x:c r="B287">
        <x:f>'幕间与结算'!B194</x:f>
        <x:v>0</x:v>
      </x:c>
      <x:c r="C287">
        <x:f>'幕间与结算'!D194</x:f>
        <x:v>0</x:v>
      </x:c>
      <x:c r="D287">
        <x:f>'幕间与结算'!F194</x:f>
        <x:v>0</x:v>
      </x:c>
      <x:c r="E287">
        <x:f>IF(H287=1,MAX(-'幕间与结算'!E194,MIN(D287,IF(LEFT(C287,3)="技能：",99,IF(COUNTIF($L$2:$L$7,C287)&gt;0,18,999))-'幕间与结算'!E194)),0)</x:f>
        <x:v>0</x:v>
      </x:c>
      <x:c r="F287" t="str">
        <x:f>IF(C287=0,"",IF(G287=0,"记录不完整",IF(H287=0,"重复未计","已计入")))</x:f>
        <x:v/>
      </x:c>
      <x:c r="G287">
        <x:f>IF(AND(AND('幕间与结算'!A194&lt;&gt;"",'幕间与结算'!B194&lt;&gt;"",'幕间与结算'!I194&lt;&gt;"",OR(LEFT(C287,3)="技能：",COUNTIF($L$2:$L$19,C287)&gt;0),ISNUMBER('幕间与结算'!E194),ISNUMBER('幕间与结算'!F194),ISNUMBER('幕间与结算'!G194),'幕间与结算'!E194&gt;=0,'幕间与结算'!G194='幕间与结算'!E194+'幕间与结算'!F194),OR(B287&lt;&gt;"成长",AND(LEFT(C287,3)="技能：",C287&lt;&gt;"技能：非自然知识",'幕间与结算'!E194&gt;=1,'幕间与结算'!E194&lt;=99,'幕间与结算'!F194&gt;=0,'幕间与结算'!F194&lt;=4,'幕间与结算'!G194&lt;=99))),1,0)</x:f>
        <x:v>0</x:v>
      </x:c>
      <x:c r="H287">
        <x:f>IF(AND(G287=1,COUNTIFS($I$200:I287,I287,$G$200:G287,1)=1),1,0)</x:f>
        <x:v>0</x:v>
      </x:c>
      <x:c r="I287" t="str">
        <x:f>IF(G287=1,IF(B287="成长",A287&amp;"-成长-"&amp;C287,'幕间与结算'!I194),"")</x:f>
        <x:v/>
      </x:c>
      <x:c r="BF287">
        <x:f>MAX(0,MIN(18,BF286+IF(C287="力量",E287,0)))</x:f>
        <x:v>0</x:v>
      </x:c>
      <x:c r="BG287">
        <x:f>MAX(0,MIN(18,BG286+IF(C287="体质",E287,0)))</x:f>
        <x:v>0</x:v>
      </x:c>
      <x:c r="BH287">
        <x:f>MAX(0,MIN(18,BH286+IF(C287="敏捷",E287,0)))</x:f>
        <x:v>0</x:v>
      </x:c>
      <x:c r="BI287">
        <x:f>MAX(0,MIN(18,BI286+IF(C287="智力",E287,0)))</x:f>
        <x:v>0</x:v>
      </x:c>
      <x:c r="BJ287">
        <x:f>MAX(0,MIN(18,BJ286+IF(C287="意志",E287,0)))</x:f>
        <x:v>0</x:v>
      </x:c>
      <x:c r="BK287">
        <x:f>MAX(0,MIN(18,BK286+IF(C287="魅力",E287,0)))</x:f>
        <x:v>0</x:v>
      </x:c>
      <x:c r="BL287">
        <x:f>MAX(0,MIN(99,BL286+IF(C287="技能：非自然知识",E287,0)))</x:f>
        <x:v>0</x:v>
      </x:c>
      <x:c r="BM287">
        <x:f>MAX(0,MIN(CEILING((BF287+BG287)/2,1),BM286+IF(C287="体力",E287,0)))</x:f>
        <x:v>0</x:v>
      </x:c>
      <x:c r="BN287">
        <x:f>MAX(0,MIN(BJ287,BN286+IF(C287="毅力",E287,0)))</x:f>
        <x:v>0</x:v>
      </x:c>
      <x:c r="BO287">
        <x:f>MAX(0,MIN(99-BL287,BO286+IF(C287="理智",E287,0)))</x:f>
        <x:v>0</x:v>
      </x:c>
      <x:c r="BP287">
        <x:f>MAX(0,MIN(99,BP286+IF(C287="崩溃点",E287,0)))</x:f>
        <x:v>0</x:v>
      </x:c>
      <x:c r="BQ287">
        <x:f>MAX(0,MIN(BK287,IF(AND(H287=1,C287="重要关系1",LEFT('幕间与结算'!H194,8)="建立新的重要关系"),'幕间与结算'!E194+E287,BQ286+IF(C287="重要关系1",E287,0)+IF(AND(C287="魅力",E287&lt;0),E287,0))))</x:f>
        <x:v>0</x:v>
      </x:c>
      <x:c r="BR287">
        <x:f>MAX(0,MIN(BK287,IF(AND(H287=1,C287="重要关系2",LEFT('幕间与结算'!H194,8)="建立新的重要关系"),'幕间与结算'!E194+E287,BR286+IF(C287="重要关系2",E287,0)+IF(AND(C287="魅力",E287&lt;0),E287,0))))</x:f>
        <x:v>0</x:v>
      </x:c>
      <x:c r="BS287">
        <x:f>MAX(0,MIN(BK287,IF(AND(H287=1,C287="重要关系3",LEFT('幕间与结算'!H194,8)="建立新的重要关系"),'幕间与结算'!E194+E287,BS286+IF(C287="重要关系3",E287,0)+IF(AND(C287="魅力",E287&lt;0),E287,0))))</x:f>
        <x:v>0</x:v>
      </x:c>
      <x:c r="BT287">
        <x:f>MAX(0,MIN(BK287,IF(AND(H287=1,C287="重要关系4",LEFT('幕间与结算'!H194,8)="建立新的重要关系"),'幕间与结算'!E194+E287,BT286+IF(C287="重要关系4",E287,0)+IF(AND(C287="魅力",E287&lt;0),E287,0))))</x:f>
        <x:v>0</x:v>
      </x:c>
      <x:c r="BU287">
        <x:f>MAX(0,MIN(BK287,IF(AND(H287=1,C287="重要关系5",LEFT('幕间与结算'!H194,8)="建立新的重要关系"),'幕间与结算'!E194+E287,BU286+IF(C287="重要关系5",E287,0)+IF(AND(C287="魅力",E287&lt;0),E287,0))))</x:f>
        <x:v>0</x:v>
      </x:c>
      <x:c r="BV287">
        <x:f>MAX(0,MIN(BK287,IF(AND(H287=1,C287="重要关系6",LEFT('幕间与结算'!H194,8)="建立新的重要关系"),'幕间与结算'!E194+E287,BV286+IF(C287="重要关系6",E287,0)+IF(AND(C287="魅力",E287&lt;0),E287,0))))</x:f>
        <x:v>0</x:v>
      </x:c>
      <x:c r="BW287">
        <x:f>MAX(0,MIN(BK287,IF(AND(H287=1,C287="重要关系7",LEFT('幕间与结算'!H194,8)="建立新的重要关系"),'幕间与结算'!E194+E287,BW286+IF(C287="重要关系7",E287,0)+IF(AND(C287="魅力",E287&lt;0),E287,0))))</x:f>
        <x:v>0</x:v>
      </x:c>
    </x:row>
    <x:row r="288">
      <x:c r="A288" t="str">
        <x:f>IFERROR(TEXT(VALUE('幕间与结算'!A195),"00"),"")</x:f>
        <x:v>00</x:v>
      </x:c>
      <x:c r="B288">
        <x:f>'幕间与结算'!B195</x:f>
        <x:v>0</x:v>
      </x:c>
      <x:c r="C288">
        <x:f>'幕间与结算'!D195</x:f>
        <x:v>0</x:v>
      </x:c>
      <x:c r="D288">
        <x:f>'幕间与结算'!F195</x:f>
        <x:v>0</x:v>
      </x:c>
      <x:c r="E288">
        <x:f>IF(H288=1,MAX(-'幕间与结算'!E195,MIN(D288,IF(LEFT(C288,3)="技能：",99,IF(COUNTIF($L$2:$L$7,C288)&gt;0,18,999))-'幕间与结算'!E195)),0)</x:f>
        <x:v>0</x:v>
      </x:c>
      <x:c r="F288" t="str">
        <x:f>IF(C288=0,"",IF(G288=0,"记录不完整",IF(H288=0,"重复未计","已计入")))</x:f>
        <x:v/>
      </x:c>
      <x:c r="G288">
        <x:f>IF(AND(AND('幕间与结算'!A195&lt;&gt;"",'幕间与结算'!B195&lt;&gt;"",'幕间与结算'!I195&lt;&gt;"",OR(LEFT(C288,3)="技能：",COUNTIF($L$2:$L$19,C288)&gt;0),ISNUMBER('幕间与结算'!E195),ISNUMBER('幕间与结算'!F195),ISNUMBER('幕间与结算'!G195),'幕间与结算'!E195&gt;=0,'幕间与结算'!G195='幕间与结算'!E195+'幕间与结算'!F195),OR(B288&lt;&gt;"成长",AND(LEFT(C288,3)="技能：",C288&lt;&gt;"技能：非自然知识",'幕间与结算'!E195&gt;=1,'幕间与结算'!E195&lt;=99,'幕间与结算'!F195&gt;=0,'幕间与结算'!F195&lt;=4,'幕间与结算'!G195&lt;=99))),1,0)</x:f>
        <x:v>0</x:v>
      </x:c>
      <x:c r="H288">
        <x:f>IF(AND(G288=1,COUNTIFS($I$200:I288,I288,$G$200:G288,1)=1),1,0)</x:f>
        <x:v>0</x:v>
      </x:c>
      <x:c r="I288" t="str">
        <x:f>IF(G288=1,IF(B288="成长",A288&amp;"-成长-"&amp;C288,'幕间与结算'!I195),"")</x:f>
        <x:v/>
      </x:c>
      <x:c r="BF288">
        <x:f>MAX(0,MIN(18,BF287+IF(C288="力量",E288,0)))</x:f>
        <x:v>0</x:v>
      </x:c>
      <x:c r="BG288">
        <x:f>MAX(0,MIN(18,BG287+IF(C288="体质",E288,0)))</x:f>
        <x:v>0</x:v>
      </x:c>
      <x:c r="BH288">
        <x:f>MAX(0,MIN(18,BH287+IF(C288="敏捷",E288,0)))</x:f>
        <x:v>0</x:v>
      </x:c>
      <x:c r="BI288">
        <x:f>MAX(0,MIN(18,BI287+IF(C288="智力",E288,0)))</x:f>
        <x:v>0</x:v>
      </x:c>
      <x:c r="BJ288">
        <x:f>MAX(0,MIN(18,BJ287+IF(C288="意志",E288,0)))</x:f>
        <x:v>0</x:v>
      </x:c>
      <x:c r="BK288">
        <x:f>MAX(0,MIN(18,BK287+IF(C288="魅力",E288,0)))</x:f>
        <x:v>0</x:v>
      </x:c>
      <x:c r="BL288">
        <x:f>MAX(0,MIN(99,BL287+IF(C288="技能：非自然知识",E288,0)))</x:f>
        <x:v>0</x:v>
      </x:c>
      <x:c r="BM288">
        <x:f>MAX(0,MIN(CEILING((BF288+BG288)/2,1),BM287+IF(C288="体力",E288,0)))</x:f>
        <x:v>0</x:v>
      </x:c>
      <x:c r="BN288">
        <x:f>MAX(0,MIN(BJ288,BN287+IF(C288="毅力",E288,0)))</x:f>
        <x:v>0</x:v>
      </x:c>
      <x:c r="BO288">
        <x:f>MAX(0,MIN(99-BL288,BO287+IF(C288="理智",E288,0)))</x:f>
        <x:v>0</x:v>
      </x:c>
      <x:c r="BP288">
        <x:f>MAX(0,MIN(99,BP287+IF(C288="崩溃点",E288,0)))</x:f>
        <x:v>0</x:v>
      </x:c>
      <x:c r="BQ288">
        <x:f>MAX(0,MIN(BK288,IF(AND(H288=1,C288="重要关系1",LEFT('幕间与结算'!H195,8)="建立新的重要关系"),'幕间与结算'!E195+E288,BQ287+IF(C288="重要关系1",E288,0)+IF(AND(C288="魅力",E288&lt;0),E288,0))))</x:f>
        <x:v>0</x:v>
      </x:c>
      <x:c r="BR288">
        <x:f>MAX(0,MIN(BK288,IF(AND(H288=1,C288="重要关系2",LEFT('幕间与结算'!H195,8)="建立新的重要关系"),'幕间与结算'!E195+E288,BR287+IF(C288="重要关系2",E288,0)+IF(AND(C288="魅力",E288&lt;0),E288,0))))</x:f>
        <x:v>0</x:v>
      </x:c>
      <x:c r="BS288">
        <x:f>MAX(0,MIN(BK288,IF(AND(H288=1,C288="重要关系3",LEFT('幕间与结算'!H195,8)="建立新的重要关系"),'幕间与结算'!E195+E288,BS287+IF(C288="重要关系3",E288,0)+IF(AND(C288="魅力",E288&lt;0),E288,0))))</x:f>
        <x:v>0</x:v>
      </x:c>
      <x:c r="BT288">
        <x:f>MAX(0,MIN(BK288,IF(AND(H288=1,C288="重要关系4",LEFT('幕间与结算'!H195,8)="建立新的重要关系"),'幕间与结算'!E195+E288,BT287+IF(C288="重要关系4",E288,0)+IF(AND(C288="魅力",E288&lt;0),E288,0))))</x:f>
        <x:v>0</x:v>
      </x:c>
      <x:c r="BU288">
        <x:f>MAX(0,MIN(BK288,IF(AND(H288=1,C288="重要关系5",LEFT('幕间与结算'!H195,8)="建立新的重要关系"),'幕间与结算'!E195+E288,BU287+IF(C288="重要关系5",E288,0)+IF(AND(C288="魅力",E288&lt;0),E288,0))))</x:f>
        <x:v>0</x:v>
      </x:c>
      <x:c r="BV288">
        <x:f>MAX(0,MIN(BK288,IF(AND(H288=1,C288="重要关系6",LEFT('幕间与结算'!H195,8)="建立新的重要关系"),'幕间与结算'!E195+E288,BV287+IF(C288="重要关系6",E288,0)+IF(AND(C288="魅力",E288&lt;0),E288,0))))</x:f>
        <x:v>0</x:v>
      </x:c>
      <x:c r="BW288">
        <x:f>MAX(0,MIN(BK288,IF(AND(H288=1,C288="重要关系7",LEFT('幕间与结算'!H195,8)="建立新的重要关系"),'幕间与结算'!E195+E288,BW287+IF(C288="重要关系7",E288,0)+IF(AND(C288="魅力",E288&lt;0),E288,0))))</x:f>
        <x:v>0</x:v>
      </x:c>
    </x:row>
    <x:row r="289">
      <x:c r="A289" t="str">
        <x:f>IFERROR(TEXT(VALUE('幕间与结算'!A196),"00"),"")</x:f>
        <x:v>00</x:v>
      </x:c>
      <x:c r="B289">
        <x:f>'幕间与结算'!B196</x:f>
        <x:v>0</x:v>
      </x:c>
      <x:c r="C289">
        <x:f>'幕间与结算'!D196</x:f>
        <x:v>0</x:v>
      </x:c>
      <x:c r="D289">
        <x:f>'幕间与结算'!F196</x:f>
        <x:v>0</x:v>
      </x:c>
      <x:c r="E289">
        <x:f>IF(H289=1,MAX(-'幕间与结算'!E196,MIN(D289,IF(LEFT(C289,3)="技能：",99,IF(COUNTIF($L$2:$L$7,C289)&gt;0,18,999))-'幕间与结算'!E196)),0)</x:f>
        <x:v>0</x:v>
      </x:c>
      <x:c r="F289" t="str">
        <x:f>IF(C289=0,"",IF(G289=0,"记录不完整",IF(H289=0,"重复未计","已计入")))</x:f>
        <x:v/>
      </x:c>
      <x:c r="G289">
        <x:f>IF(AND(AND('幕间与结算'!A196&lt;&gt;"",'幕间与结算'!B196&lt;&gt;"",'幕间与结算'!I196&lt;&gt;"",OR(LEFT(C289,3)="技能：",COUNTIF($L$2:$L$19,C289)&gt;0),ISNUMBER('幕间与结算'!E196),ISNUMBER('幕间与结算'!F196),ISNUMBER('幕间与结算'!G196),'幕间与结算'!E196&gt;=0,'幕间与结算'!G196='幕间与结算'!E196+'幕间与结算'!F196),OR(B289&lt;&gt;"成长",AND(LEFT(C289,3)="技能：",C289&lt;&gt;"技能：非自然知识",'幕间与结算'!E196&gt;=1,'幕间与结算'!E196&lt;=99,'幕间与结算'!F196&gt;=0,'幕间与结算'!F196&lt;=4,'幕间与结算'!G196&lt;=99))),1,0)</x:f>
        <x:v>0</x:v>
      </x:c>
      <x:c r="H289">
        <x:f>IF(AND(G289=1,COUNTIFS($I$200:I289,I289,$G$200:G289,1)=1),1,0)</x:f>
        <x:v>0</x:v>
      </x:c>
      <x:c r="I289" t="str">
        <x:f>IF(G289=1,IF(B289="成长",A289&amp;"-成长-"&amp;C289,'幕间与结算'!I196),"")</x:f>
        <x:v/>
      </x:c>
      <x:c r="BF289">
        <x:f>MAX(0,MIN(18,BF288+IF(C289="力量",E289,0)))</x:f>
        <x:v>0</x:v>
      </x:c>
      <x:c r="BG289">
        <x:f>MAX(0,MIN(18,BG288+IF(C289="体质",E289,0)))</x:f>
        <x:v>0</x:v>
      </x:c>
      <x:c r="BH289">
        <x:f>MAX(0,MIN(18,BH288+IF(C289="敏捷",E289,0)))</x:f>
        <x:v>0</x:v>
      </x:c>
      <x:c r="BI289">
        <x:f>MAX(0,MIN(18,BI288+IF(C289="智力",E289,0)))</x:f>
        <x:v>0</x:v>
      </x:c>
      <x:c r="BJ289">
        <x:f>MAX(0,MIN(18,BJ288+IF(C289="意志",E289,0)))</x:f>
        <x:v>0</x:v>
      </x:c>
      <x:c r="BK289">
        <x:f>MAX(0,MIN(18,BK288+IF(C289="魅力",E289,0)))</x:f>
        <x:v>0</x:v>
      </x:c>
      <x:c r="BL289">
        <x:f>MAX(0,MIN(99,BL288+IF(C289="技能：非自然知识",E289,0)))</x:f>
        <x:v>0</x:v>
      </x:c>
      <x:c r="BM289">
        <x:f>MAX(0,MIN(CEILING((BF289+BG289)/2,1),BM288+IF(C289="体力",E289,0)))</x:f>
        <x:v>0</x:v>
      </x:c>
      <x:c r="BN289">
        <x:f>MAX(0,MIN(BJ289,BN288+IF(C289="毅力",E289,0)))</x:f>
        <x:v>0</x:v>
      </x:c>
      <x:c r="BO289">
        <x:f>MAX(0,MIN(99-BL289,BO288+IF(C289="理智",E289,0)))</x:f>
        <x:v>0</x:v>
      </x:c>
      <x:c r="BP289">
        <x:f>MAX(0,MIN(99,BP288+IF(C289="崩溃点",E289,0)))</x:f>
        <x:v>0</x:v>
      </x:c>
      <x:c r="BQ289">
        <x:f>MAX(0,MIN(BK289,IF(AND(H289=1,C289="重要关系1",LEFT('幕间与结算'!H196,8)="建立新的重要关系"),'幕间与结算'!E196+E289,BQ288+IF(C289="重要关系1",E289,0)+IF(AND(C289="魅力",E289&lt;0),E289,0))))</x:f>
        <x:v>0</x:v>
      </x:c>
      <x:c r="BR289">
        <x:f>MAX(0,MIN(BK289,IF(AND(H289=1,C289="重要关系2",LEFT('幕间与结算'!H196,8)="建立新的重要关系"),'幕间与结算'!E196+E289,BR288+IF(C289="重要关系2",E289,0)+IF(AND(C289="魅力",E289&lt;0),E289,0))))</x:f>
        <x:v>0</x:v>
      </x:c>
      <x:c r="BS289">
        <x:f>MAX(0,MIN(BK289,IF(AND(H289=1,C289="重要关系3",LEFT('幕间与结算'!H196,8)="建立新的重要关系"),'幕间与结算'!E196+E289,BS288+IF(C289="重要关系3",E289,0)+IF(AND(C289="魅力",E289&lt;0),E289,0))))</x:f>
        <x:v>0</x:v>
      </x:c>
      <x:c r="BT289">
        <x:f>MAX(0,MIN(BK289,IF(AND(H289=1,C289="重要关系4",LEFT('幕间与结算'!H196,8)="建立新的重要关系"),'幕间与结算'!E196+E289,BT288+IF(C289="重要关系4",E289,0)+IF(AND(C289="魅力",E289&lt;0),E289,0))))</x:f>
        <x:v>0</x:v>
      </x:c>
      <x:c r="BU289">
        <x:f>MAX(0,MIN(BK289,IF(AND(H289=1,C289="重要关系5",LEFT('幕间与结算'!H196,8)="建立新的重要关系"),'幕间与结算'!E196+E289,BU288+IF(C289="重要关系5",E289,0)+IF(AND(C289="魅力",E289&lt;0),E289,0))))</x:f>
        <x:v>0</x:v>
      </x:c>
      <x:c r="BV289">
        <x:f>MAX(0,MIN(BK289,IF(AND(H289=1,C289="重要关系6",LEFT('幕间与结算'!H196,8)="建立新的重要关系"),'幕间与结算'!E196+E289,BV288+IF(C289="重要关系6",E289,0)+IF(AND(C289="魅力",E289&lt;0),E289,0))))</x:f>
        <x:v>0</x:v>
      </x:c>
      <x:c r="BW289">
        <x:f>MAX(0,MIN(BK289,IF(AND(H289=1,C289="重要关系7",LEFT('幕间与结算'!H196,8)="建立新的重要关系"),'幕间与结算'!E196+E289,BW288+IF(C289="重要关系7",E289,0)+IF(AND(C289="魅力",E289&lt;0),E289,0))))</x:f>
        <x:v>0</x:v>
      </x:c>
    </x:row>
    <x:row r="290">
      <x:c r="A290" t="str">
        <x:f>IFERROR(TEXT(VALUE('幕间与结算'!A197),"00"),"")</x:f>
        <x:v>00</x:v>
      </x:c>
      <x:c r="B290">
        <x:f>'幕间与结算'!B197</x:f>
        <x:v>0</x:v>
      </x:c>
      <x:c r="C290">
        <x:f>'幕间与结算'!D197</x:f>
        <x:v>0</x:v>
      </x:c>
      <x:c r="D290">
        <x:f>'幕间与结算'!F197</x:f>
        <x:v>0</x:v>
      </x:c>
      <x:c r="E290">
        <x:f>IF(H290=1,MAX(-'幕间与结算'!E197,MIN(D290,IF(LEFT(C290,3)="技能：",99,IF(COUNTIF($L$2:$L$7,C290)&gt;0,18,999))-'幕间与结算'!E197)),0)</x:f>
        <x:v>0</x:v>
      </x:c>
      <x:c r="F290" t="str">
        <x:f>IF(C290=0,"",IF(G290=0,"记录不完整",IF(H290=0,"重复未计","已计入")))</x:f>
        <x:v/>
      </x:c>
      <x:c r="G290">
        <x:f>IF(AND(AND('幕间与结算'!A197&lt;&gt;"",'幕间与结算'!B197&lt;&gt;"",'幕间与结算'!I197&lt;&gt;"",OR(LEFT(C290,3)="技能：",COUNTIF($L$2:$L$19,C290)&gt;0),ISNUMBER('幕间与结算'!E197),ISNUMBER('幕间与结算'!F197),ISNUMBER('幕间与结算'!G197),'幕间与结算'!E197&gt;=0,'幕间与结算'!G197='幕间与结算'!E197+'幕间与结算'!F197),OR(B290&lt;&gt;"成长",AND(LEFT(C290,3)="技能：",C290&lt;&gt;"技能：非自然知识",'幕间与结算'!E197&gt;=1,'幕间与结算'!E197&lt;=99,'幕间与结算'!F197&gt;=0,'幕间与结算'!F197&lt;=4,'幕间与结算'!G197&lt;=99))),1,0)</x:f>
        <x:v>0</x:v>
      </x:c>
      <x:c r="H290">
        <x:f>IF(AND(G290=1,COUNTIFS($I$200:I290,I290,$G$200:G290,1)=1),1,0)</x:f>
        <x:v>0</x:v>
      </x:c>
      <x:c r="I290" t="str">
        <x:f>IF(G290=1,IF(B290="成长",A290&amp;"-成长-"&amp;C290,'幕间与结算'!I197),"")</x:f>
        <x:v/>
      </x:c>
      <x:c r="BF290">
        <x:f>MAX(0,MIN(18,BF289+IF(C290="力量",E290,0)))</x:f>
        <x:v>0</x:v>
      </x:c>
      <x:c r="BG290">
        <x:f>MAX(0,MIN(18,BG289+IF(C290="体质",E290,0)))</x:f>
        <x:v>0</x:v>
      </x:c>
      <x:c r="BH290">
        <x:f>MAX(0,MIN(18,BH289+IF(C290="敏捷",E290,0)))</x:f>
        <x:v>0</x:v>
      </x:c>
      <x:c r="BI290">
        <x:f>MAX(0,MIN(18,BI289+IF(C290="智力",E290,0)))</x:f>
        <x:v>0</x:v>
      </x:c>
      <x:c r="BJ290">
        <x:f>MAX(0,MIN(18,BJ289+IF(C290="意志",E290,0)))</x:f>
        <x:v>0</x:v>
      </x:c>
      <x:c r="BK290">
        <x:f>MAX(0,MIN(18,BK289+IF(C290="魅力",E290,0)))</x:f>
        <x:v>0</x:v>
      </x:c>
      <x:c r="BL290">
        <x:f>MAX(0,MIN(99,BL289+IF(C290="技能：非自然知识",E290,0)))</x:f>
        <x:v>0</x:v>
      </x:c>
      <x:c r="BM290">
        <x:f>MAX(0,MIN(CEILING((BF290+BG290)/2,1),BM289+IF(C290="体力",E290,0)))</x:f>
        <x:v>0</x:v>
      </x:c>
      <x:c r="BN290">
        <x:f>MAX(0,MIN(BJ290,BN289+IF(C290="毅力",E290,0)))</x:f>
        <x:v>0</x:v>
      </x:c>
      <x:c r="BO290">
        <x:f>MAX(0,MIN(99-BL290,BO289+IF(C290="理智",E290,0)))</x:f>
        <x:v>0</x:v>
      </x:c>
      <x:c r="BP290">
        <x:f>MAX(0,MIN(99,BP289+IF(C290="崩溃点",E290,0)))</x:f>
        <x:v>0</x:v>
      </x:c>
      <x:c r="BQ290">
        <x:f>MAX(0,MIN(BK290,IF(AND(H290=1,C290="重要关系1",LEFT('幕间与结算'!H197,8)="建立新的重要关系"),'幕间与结算'!E197+E290,BQ289+IF(C290="重要关系1",E290,0)+IF(AND(C290="魅力",E290&lt;0),E290,0))))</x:f>
        <x:v>0</x:v>
      </x:c>
      <x:c r="BR290">
        <x:f>MAX(0,MIN(BK290,IF(AND(H290=1,C290="重要关系2",LEFT('幕间与结算'!H197,8)="建立新的重要关系"),'幕间与结算'!E197+E290,BR289+IF(C290="重要关系2",E290,0)+IF(AND(C290="魅力",E290&lt;0),E290,0))))</x:f>
        <x:v>0</x:v>
      </x:c>
      <x:c r="BS290">
        <x:f>MAX(0,MIN(BK290,IF(AND(H290=1,C290="重要关系3",LEFT('幕间与结算'!H197,8)="建立新的重要关系"),'幕间与结算'!E197+E290,BS289+IF(C290="重要关系3",E290,0)+IF(AND(C290="魅力",E290&lt;0),E290,0))))</x:f>
        <x:v>0</x:v>
      </x:c>
      <x:c r="BT290">
        <x:f>MAX(0,MIN(BK290,IF(AND(H290=1,C290="重要关系4",LEFT('幕间与结算'!H197,8)="建立新的重要关系"),'幕间与结算'!E197+E290,BT289+IF(C290="重要关系4",E290,0)+IF(AND(C290="魅力",E290&lt;0),E290,0))))</x:f>
        <x:v>0</x:v>
      </x:c>
      <x:c r="BU290">
        <x:f>MAX(0,MIN(BK290,IF(AND(H290=1,C290="重要关系5",LEFT('幕间与结算'!H197,8)="建立新的重要关系"),'幕间与结算'!E197+E290,BU289+IF(C290="重要关系5",E290,0)+IF(AND(C290="魅力",E290&lt;0),E290,0))))</x:f>
        <x:v>0</x:v>
      </x:c>
      <x:c r="BV290">
        <x:f>MAX(0,MIN(BK290,IF(AND(H290=1,C290="重要关系6",LEFT('幕间与结算'!H197,8)="建立新的重要关系"),'幕间与结算'!E197+E290,BV289+IF(C290="重要关系6",E290,0)+IF(AND(C290="魅力",E290&lt;0),E290,0))))</x:f>
        <x:v>0</x:v>
      </x:c>
      <x:c r="BW290">
        <x:f>MAX(0,MIN(BK290,IF(AND(H290=1,C290="重要关系7",LEFT('幕间与结算'!H197,8)="建立新的重要关系"),'幕间与结算'!E197+E290,BW289+IF(C290="重要关系7",E290,0)+IF(AND(C290="魅力",E290&lt;0),E290,0))))</x:f>
        <x:v>0</x:v>
      </x:c>
    </x:row>
    <x:row r="291">
      <x:c r="A291" t="str">
        <x:f>IFERROR(TEXT(VALUE('幕间与结算'!A198),"00"),"")</x:f>
        <x:v>00</x:v>
      </x:c>
      <x:c r="B291">
        <x:f>'幕间与结算'!B198</x:f>
        <x:v>0</x:v>
      </x:c>
      <x:c r="C291">
        <x:f>'幕间与结算'!D198</x:f>
        <x:v>0</x:v>
      </x:c>
      <x:c r="D291">
        <x:f>'幕间与结算'!F198</x:f>
        <x:v>0</x:v>
      </x:c>
      <x:c r="E291">
        <x:f>IF(H291=1,MAX(-'幕间与结算'!E198,MIN(D291,IF(LEFT(C291,3)="技能：",99,IF(COUNTIF($L$2:$L$7,C291)&gt;0,18,999))-'幕间与结算'!E198)),0)</x:f>
        <x:v>0</x:v>
      </x:c>
      <x:c r="F291" t="str">
        <x:f>IF(C291=0,"",IF(G291=0,"记录不完整",IF(H291=0,"重复未计","已计入")))</x:f>
        <x:v/>
      </x:c>
      <x:c r="G291">
        <x:f>IF(AND(AND('幕间与结算'!A198&lt;&gt;"",'幕间与结算'!B198&lt;&gt;"",'幕间与结算'!I198&lt;&gt;"",OR(LEFT(C291,3)="技能：",COUNTIF($L$2:$L$19,C291)&gt;0),ISNUMBER('幕间与结算'!E198),ISNUMBER('幕间与结算'!F198),ISNUMBER('幕间与结算'!G198),'幕间与结算'!E198&gt;=0,'幕间与结算'!G198='幕间与结算'!E198+'幕间与结算'!F198),OR(B291&lt;&gt;"成长",AND(LEFT(C291,3)="技能：",C291&lt;&gt;"技能：非自然知识",'幕间与结算'!E198&gt;=1,'幕间与结算'!E198&lt;=99,'幕间与结算'!F198&gt;=0,'幕间与结算'!F198&lt;=4,'幕间与结算'!G198&lt;=99))),1,0)</x:f>
        <x:v>0</x:v>
      </x:c>
      <x:c r="H291">
        <x:f>IF(AND(G291=1,COUNTIFS($I$200:I291,I291,$G$200:G291,1)=1),1,0)</x:f>
        <x:v>0</x:v>
      </x:c>
      <x:c r="I291" t="str">
        <x:f>IF(G291=1,IF(B291="成长",A291&amp;"-成长-"&amp;C291,'幕间与结算'!I198),"")</x:f>
        <x:v/>
      </x:c>
      <x:c r="BF291">
        <x:f>MAX(0,MIN(18,BF290+IF(C291="力量",E291,0)))</x:f>
        <x:v>0</x:v>
      </x:c>
      <x:c r="BG291">
        <x:f>MAX(0,MIN(18,BG290+IF(C291="体质",E291,0)))</x:f>
        <x:v>0</x:v>
      </x:c>
      <x:c r="BH291">
        <x:f>MAX(0,MIN(18,BH290+IF(C291="敏捷",E291,0)))</x:f>
        <x:v>0</x:v>
      </x:c>
      <x:c r="BI291">
        <x:f>MAX(0,MIN(18,BI290+IF(C291="智力",E291,0)))</x:f>
        <x:v>0</x:v>
      </x:c>
      <x:c r="BJ291">
        <x:f>MAX(0,MIN(18,BJ290+IF(C291="意志",E291,0)))</x:f>
        <x:v>0</x:v>
      </x:c>
      <x:c r="BK291">
        <x:f>MAX(0,MIN(18,BK290+IF(C291="魅力",E291,0)))</x:f>
        <x:v>0</x:v>
      </x:c>
      <x:c r="BL291">
        <x:f>MAX(0,MIN(99,BL290+IF(C291="技能：非自然知识",E291,0)))</x:f>
        <x:v>0</x:v>
      </x:c>
      <x:c r="BM291">
        <x:f>MAX(0,MIN(CEILING((BF291+BG291)/2,1),BM290+IF(C291="体力",E291,0)))</x:f>
        <x:v>0</x:v>
      </x:c>
      <x:c r="BN291">
        <x:f>MAX(0,MIN(BJ291,BN290+IF(C291="毅力",E291,0)))</x:f>
        <x:v>0</x:v>
      </x:c>
      <x:c r="BO291">
        <x:f>MAX(0,MIN(99-BL291,BO290+IF(C291="理智",E291,0)))</x:f>
        <x:v>0</x:v>
      </x:c>
      <x:c r="BP291">
        <x:f>MAX(0,MIN(99,BP290+IF(C291="崩溃点",E291,0)))</x:f>
        <x:v>0</x:v>
      </x:c>
      <x:c r="BQ291">
        <x:f>MAX(0,MIN(BK291,IF(AND(H291=1,C291="重要关系1",LEFT('幕间与结算'!H198,8)="建立新的重要关系"),'幕间与结算'!E198+E291,BQ290+IF(C291="重要关系1",E291,0)+IF(AND(C291="魅力",E291&lt;0),E291,0))))</x:f>
        <x:v>0</x:v>
      </x:c>
      <x:c r="BR291">
        <x:f>MAX(0,MIN(BK291,IF(AND(H291=1,C291="重要关系2",LEFT('幕间与结算'!H198,8)="建立新的重要关系"),'幕间与结算'!E198+E291,BR290+IF(C291="重要关系2",E291,0)+IF(AND(C291="魅力",E291&lt;0),E291,0))))</x:f>
        <x:v>0</x:v>
      </x:c>
      <x:c r="BS291">
        <x:f>MAX(0,MIN(BK291,IF(AND(H291=1,C291="重要关系3",LEFT('幕间与结算'!H198,8)="建立新的重要关系"),'幕间与结算'!E198+E291,BS290+IF(C291="重要关系3",E291,0)+IF(AND(C291="魅力",E291&lt;0),E291,0))))</x:f>
        <x:v>0</x:v>
      </x:c>
      <x:c r="BT291">
        <x:f>MAX(0,MIN(BK291,IF(AND(H291=1,C291="重要关系4",LEFT('幕间与结算'!H198,8)="建立新的重要关系"),'幕间与结算'!E198+E291,BT290+IF(C291="重要关系4",E291,0)+IF(AND(C291="魅力",E291&lt;0),E291,0))))</x:f>
        <x:v>0</x:v>
      </x:c>
      <x:c r="BU291">
        <x:f>MAX(0,MIN(BK291,IF(AND(H291=1,C291="重要关系5",LEFT('幕间与结算'!H198,8)="建立新的重要关系"),'幕间与结算'!E198+E291,BU290+IF(C291="重要关系5",E291,0)+IF(AND(C291="魅力",E291&lt;0),E291,0))))</x:f>
        <x:v>0</x:v>
      </x:c>
      <x:c r="BV291">
        <x:f>MAX(0,MIN(BK291,IF(AND(H291=1,C291="重要关系6",LEFT('幕间与结算'!H198,8)="建立新的重要关系"),'幕间与结算'!E198+E291,BV290+IF(C291="重要关系6",E291,0)+IF(AND(C291="魅力",E291&lt;0),E291,0))))</x:f>
        <x:v>0</x:v>
      </x:c>
      <x:c r="BW291">
        <x:f>MAX(0,MIN(BK291,IF(AND(H291=1,C291="重要关系7",LEFT('幕间与结算'!H198,8)="建立新的重要关系"),'幕间与结算'!E198+E291,BW290+IF(C291="重要关系7",E291,0)+IF(AND(C291="魅力",E291&lt;0),E291,0))))</x:f>
        <x:v>0</x:v>
      </x:c>
    </x:row>
    <x:row r="292">
      <x:c r="A292" t="str">
        <x:f>IFERROR(TEXT(VALUE('幕间与结算'!A199),"00"),"")</x:f>
        <x:v>00</x:v>
      </x:c>
      <x:c r="B292">
        <x:f>'幕间与结算'!B199</x:f>
        <x:v>0</x:v>
      </x:c>
      <x:c r="C292">
        <x:f>'幕间与结算'!D199</x:f>
        <x:v>0</x:v>
      </x:c>
      <x:c r="D292">
        <x:f>'幕间与结算'!F199</x:f>
        <x:v>0</x:v>
      </x:c>
      <x:c r="E292">
        <x:f>IF(H292=1,MAX(-'幕间与结算'!E199,MIN(D292,IF(LEFT(C292,3)="技能：",99,IF(COUNTIF($L$2:$L$7,C292)&gt;0,18,999))-'幕间与结算'!E199)),0)</x:f>
        <x:v>0</x:v>
      </x:c>
      <x:c r="F292" t="str">
        <x:f>IF(C292=0,"",IF(G292=0,"记录不完整",IF(H292=0,"重复未计","已计入")))</x:f>
        <x:v/>
      </x:c>
      <x:c r="G292">
        <x:f>IF(AND(AND('幕间与结算'!A199&lt;&gt;"",'幕间与结算'!B199&lt;&gt;"",'幕间与结算'!I199&lt;&gt;"",OR(LEFT(C292,3)="技能：",COUNTIF($L$2:$L$19,C292)&gt;0),ISNUMBER('幕间与结算'!E199),ISNUMBER('幕间与结算'!F199),ISNUMBER('幕间与结算'!G199),'幕间与结算'!E199&gt;=0,'幕间与结算'!G199='幕间与结算'!E199+'幕间与结算'!F199),OR(B292&lt;&gt;"成长",AND(LEFT(C292,3)="技能：",C292&lt;&gt;"技能：非自然知识",'幕间与结算'!E199&gt;=1,'幕间与结算'!E199&lt;=99,'幕间与结算'!F199&gt;=0,'幕间与结算'!F199&lt;=4,'幕间与结算'!G199&lt;=99))),1,0)</x:f>
        <x:v>0</x:v>
      </x:c>
      <x:c r="H292">
        <x:f>IF(AND(G292=1,COUNTIFS($I$200:I292,I292,$G$200:G292,1)=1),1,0)</x:f>
        <x:v>0</x:v>
      </x:c>
      <x:c r="I292" t="str">
        <x:f>IF(G292=1,IF(B292="成长",A292&amp;"-成长-"&amp;C292,'幕间与结算'!I199),"")</x:f>
        <x:v/>
      </x:c>
      <x:c r="BF292">
        <x:f>MAX(0,MIN(18,BF291+IF(C292="力量",E292,0)))</x:f>
        <x:v>0</x:v>
      </x:c>
      <x:c r="BG292">
        <x:f>MAX(0,MIN(18,BG291+IF(C292="体质",E292,0)))</x:f>
        <x:v>0</x:v>
      </x:c>
      <x:c r="BH292">
        <x:f>MAX(0,MIN(18,BH291+IF(C292="敏捷",E292,0)))</x:f>
        <x:v>0</x:v>
      </x:c>
      <x:c r="BI292">
        <x:f>MAX(0,MIN(18,BI291+IF(C292="智力",E292,0)))</x:f>
        <x:v>0</x:v>
      </x:c>
      <x:c r="BJ292">
        <x:f>MAX(0,MIN(18,BJ291+IF(C292="意志",E292,0)))</x:f>
        <x:v>0</x:v>
      </x:c>
      <x:c r="BK292">
        <x:f>MAX(0,MIN(18,BK291+IF(C292="魅力",E292,0)))</x:f>
        <x:v>0</x:v>
      </x:c>
      <x:c r="BL292">
        <x:f>MAX(0,MIN(99,BL291+IF(C292="技能：非自然知识",E292,0)))</x:f>
        <x:v>0</x:v>
      </x:c>
      <x:c r="BM292">
        <x:f>MAX(0,MIN(CEILING((BF292+BG292)/2,1),BM291+IF(C292="体力",E292,0)))</x:f>
        <x:v>0</x:v>
      </x:c>
      <x:c r="BN292">
        <x:f>MAX(0,MIN(BJ292,BN291+IF(C292="毅力",E292,0)))</x:f>
        <x:v>0</x:v>
      </x:c>
      <x:c r="BO292">
        <x:f>MAX(0,MIN(99-BL292,BO291+IF(C292="理智",E292,0)))</x:f>
        <x:v>0</x:v>
      </x:c>
      <x:c r="BP292">
        <x:f>MAX(0,MIN(99,BP291+IF(C292="崩溃点",E292,0)))</x:f>
        <x:v>0</x:v>
      </x:c>
      <x:c r="BQ292">
        <x:f>MAX(0,MIN(BK292,IF(AND(H292=1,C292="重要关系1",LEFT('幕间与结算'!H199,8)="建立新的重要关系"),'幕间与结算'!E199+E292,BQ291+IF(C292="重要关系1",E292,0)+IF(AND(C292="魅力",E292&lt;0),E292,0))))</x:f>
        <x:v>0</x:v>
      </x:c>
      <x:c r="BR292">
        <x:f>MAX(0,MIN(BK292,IF(AND(H292=1,C292="重要关系2",LEFT('幕间与结算'!H199,8)="建立新的重要关系"),'幕间与结算'!E199+E292,BR291+IF(C292="重要关系2",E292,0)+IF(AND(C292="魅力",E292&lt;0),E292,0))))</x:f>
        <x:v>0</x:v>
      </x:c>
      <x:c r="BS292">
        <x:f>MAX(0,MIN(BK292,IF(AND(H292=1,C292="重要关系3",LEFT('幕间与结算'!H199,8)="建立新的重要关系"),'幕间与结算'!E199+E292,BS291+IF(C292="重要关系3",E292,0)+IF(AND(C292="魅力",E292&lt;0),E292,0))))</x:f>
        <x:v>0</x:v>
      </x:c>
      <x:c r="BT292">
        <x:f>MAX(0,MIN(BK292,IF(AND(H292=1,C292="重要关系4",LEFT('幕间与结算'!H199,8)="建立新的重要关系"),'幕间与结算'!E199+E292,BT291+IF(C292="重要关系4",E292,0)+IF(AND(C292="魅力",E292&lt;0),E292,0))))</x:f>
        <x:v>0</x:v>
      </x:c>
      <x:c r="BU292">
        <x:f>MAX(0,MIN(BK292,IF(AND(H292=1,C292="重要关系5",LEFT('幕间与结算'!H199,8)="建立新的重要关系"),'幕间与结算'!E199+E292,BU291+IF(C292="重要关系5",E292,0)+IF(AND(C292="魅力",E292&lt;0),E292,0))))</x:f>
        <x:v>0</x:v>
      </x:c>
      <x:c r="BV292">
        <x:f>MAX(0,MIN(BK292,IF(AND(H292=1,C292="重要关系6",LEFT('幕间与结算'!H199,8)="建立新的重要关系"),'幕间与结算'!E199+E292,BV291+IF(C292="重要关系6",E292,0)+IF(AND(C292="魅力",E292&lt;0),E292,0))))</x:f>
        <x:v>0</x:v>
      </x:c>
      <x:c r="BW292">
        <x:f>MAX(0,MIN(BK292,IF(AND(H292=1,C292="重要关系7",LEFT('幕间与结算'!H199,8)="建立新的重要关系"),'幕间与结算'!E199+E292,BW291+IF(C292="重要关系7",E292,0)+IF(AND(C292="魅力",E292&lt;0),E292,0))))</x:f>
        <x:v>0</x:v>
      </x:c>
    </x:row>
    <x:row r="293">
      <x:c r="A293" t="str">
        <x:f>IFERROR(TEXT(VALUE('幕间与结算'!A200),"00"),"")</x:f>
        <x:v>00</x:v>
      </x:c>
      <x:c r="B293">
        <x:f>'幕间与结算'!B200</x:f>
        <x:v>0</x:v>
      </x:c>
      <x:c r="C293">
        <x:f>'幕间与结算'!D200</x:f>
        <x:v>0</x:v>
      </x:c>
      <x:c r="D293">
        <x:f>'幕间与结算'!F200</x:f>
        <x:v>0</x:v>
      </x:c>
      <x:c r="E293">
        <x:f>IF(H293=1,MAX(-'幕间与结算'!E200,MIN(D293,IF(LEFT(C293,3)="技能：",99,IF(COUNTIF($L$2:$L$7,C293)&gt;0,18,999))-'幕间与结算'!E200)),0)</x:f>
        <x:v>0</x:v>
      </x:c>
      <x:c r="F293" t="str">
        <x:f>IF(C293=0,"",IF(G293=0,"记录不完整",IF(H293=0,"重复未计","已计入")))</x:f>
        <x:v/>
      </x:c>
      <x:c r="G293">
        <x:f>IF(AND(AND('幕间与结算'!A200&lt;&gt;"",'幕间与结算'!B200&lt;&gt;"",'幕间与结算'!I200&lt;&gt;"",OR(LEFT(C293,3)="技能：",COUNTIF($L$2:$L$19,C293)&gt;0),ISNUMBER('幕间与结算'!E200),ISNUMBER('幕间与结算'!F200),ISNUMBER('幕间与结算'!G200),'幕间与结算'!E200&gt;=0,'幕间与结算'!G200='幕间与结算'!E200+'幕间与结算'!F200),OR(B293&lt;&gt;"成长",AND(LEFT(C293,3)="技能：",C293&lt;&gt;"技能：非自然知识",'幕间与结算'!E200&gt;=1,'幕间与结算'!E200&lt;=99,'幕间与结算'!F200&gt;=0,'幕间与结算'!F200&lt;=4,'幕间与结算'!G200&lt;=99))),1,0)</x:f>
        <x:v>0</x:v>
      </x:c>
      <x:c r="H293">
        <x:f>IF(AND(G293=1,COUNTIFS($I$200:I293,I293,$G$200:G293,1)=1),1,0)</x:f>
        <x:v>0</x:v>
      </x:c>
      <x:c r="I293" t="str">
        <x:f>IF(G293=1,IF(B293="成长",A293&amp;"-成长-"&amp;C293,'幕间与结算'!I200),"")</x:f>
        <x:v/>
      </x:c>
      <x:c r="BF293">
        <x:f>MAX(0,MIN(18,BF292+IF(C293="力量",E293,0)))</x:f>
        <x:v>0</x:v>
      </x:c>
      <x:c r="BG293">
        <x:f>MAX(0,MIN(18,BG292+IF(C293="体质",E293,0)))</x:f>
        <x:v>0</x:v>
      </x:c>
      <x:c r="BH293">
        <x:f>MAX(0,MIN(18,BH292+IF(C293="敏捷",E293,0)))</x:f>
        <x:v>0</x:v>
      </x:c>
      <x:c r="BI293">
        <x:f>MAX(0,MIN(18,BI292+IF(C293="智力",E293,0)))</x:f>
        <x:v>0</x:v>
      </x:c>
      <x:c r="BJ293">
        <x:f>MAX(0,MIN(18,BJ292+IF(C293="意志",E293,0)))</x:f>
        <x:v>0</x:v>
      </x:c>
      <x:c r="BK293">
        <x:f>MAX(0,MIN(18,BK292+IF(C293="魅力",E293,0)))</x:f>
        <x:v>0</x:v>
      </x:c>
      <x:c r="BL293">
        <x:f>MAX(0,MIN(99,BL292+IF(C293="技能：非自然知识",E293,0)))</x:f>
        <x:v>0</x:v>
      </x:c>
      <x:c r="BM293">
        <x:f>MAX(0,MIN(CEILING((BF293+BG293)/2,1),BM292+IF(C293="体力",E293,0)))</x:f>
        <x:v>0</x:v>
      </x:c>
      <x:c r="BN293">
        <x:f>MAX(0,MIN(BJ293,BN292+IF(C293="毅力",E293,0)))</x:f>
        <x:v>0</x:v>
      </x:c>
      <x:c r="BO293">
        <x:f>MAX(0,MIN(99-BL293,BO292+IF(C293="理智",E293,0)))</x:f>
        <x:v>0</x:v>
      </x:c>
      <x:c r="BP293">
        <x:f>MAX(0,MIN(99,BP292+IF(C293="崩溃点",E293,0)))</x:f>
        <x:v>0</x:v>
      </x:c>
      <x:c r="BQ293">
        <x:f>MAX(0,MIN(BK293,IF(AND(H293=1,C293="重要关系1",LEFT('幕间与结算'!H200,8)="建立新的重要关系"),'幕间与结算'!E200+E293,BQ292+IF(C293="重要关系1",E293,0)+IF(AND(C293="魅力",E293&lt;0),E293,0))))</x:f>
        <x:v>0</x:v>
      </x:c>
      <x:c r="BR293">
        <x:f>MAX(0,MIN(BK293,IF(AND(H293=1,C293="重要关系2",LEFT('幕间与结算'!H200,8)="建立新的重要关系"),'幕间与结算'!E200+E293,BR292+IF(C293="重要关系2",E293,0)+IF(AND(C293="魅力",E293&lt;0),E293,0))))</x:f>
        <x:v>0</x:v>
      </x:c>
      <x:c r="BS293">
        <x:f>MAX(0,MIN(BK293,IF(AND(H293=1,C293="重要关系3",LEFT('幕间与结算'!H200,8)="建立新的重要关系"),'幕间与结算'!E200+E293,BS292+IF(C293="重要关系3",E293,0)+IF(AND(C293="魅力",E293&lt;0),E293,0))))</x:f>
        <x:v>0</x:v>
      </x:c>
      <x:c r="BT293">
        <x:f>MAX(0,MIN(BK293,IF(AND(H293=1,C293="重要关系4",LEFT('幕间与结算'!H200,8)="建立新的重要关系"),'幕间与结算'!E200+E293,BT292+IF(C293="重要关系4",E293,0)+IF(AND(C293="魅力",E293&lt;0),E293,0))))</x:f>
        <x:v>0</x:v>
      </x:c>
      <x:c r="BU293">
        <x:f>MAX(0,MIN(BK293,IF(AND(H293=1,C293="重要关系5",LEFT('幕间与结算'!H200,8)="建立新的重要关系"),'幕间与结算'!E200+E293,BU292+IF(C293="重要关系5",E293,0)+IF(AND(C293="魅力",E293&lt;0),E293,0))))</x:f>
        <x:v>0</x:v>
      </x:c>
      <x:c r="BV293">
        <x:f>MAX(0,MIN(BK293,IF(AND(H293=1,C293="重要关系6",LEFT('幕间与结算'!H200,8)="建立新的重要关系"),'幕间与结算'!E200+E293,BV292+IF(C293="重要关系6",E293,0)+IF(AND(C293="魅力",E293&lt;0),E293,0))))</x:f>
        <x:v>0</x:v>
      </x:c>
      <x:c r="BW293">
        <x:f>MAX(0,MIN(BK293,IF(AND(H293=1,C293="重要关系7",LEFT('幕间与结算'!H200,8)="建立新的重要关系"),'幕间与结算'!E200+E293,BW292+IF(C293="重要关系7",E293,0)+IF(AND(C293="魅力",E293&lt;0),E293,0))))</x:f>
        <x:v>0</x:v>
      </x:c>
    </x:row>
    <x:row r="294">
      <x:c r="A294" t="str">
        <x:f>IFERROR(TEXT(VALUE('幕间与结算'!A201),"00"),"")</x:f>
        <x:v>00</x:v>
      </x:c>
      <x:c r="B294">
        <x:f>'幕间与结算'!B201</x:f>
        <x:v>0</x:v>
      </x:c>
      <x:c r="C294">
        <x:f>'幕间与结算'!D201</x:f>
        <x:v>0</x:v>
      </x:c>
      <x:c r="D294">
        <x:f>'幕间与结算'!F201</x:f>
        <x:v>0</x:v>
      </x:c>
      <x:c r="E294">
        <x:f>IF(H294=1,MAX(-'幕间与结算'!E201,MIN(D294,IF(LEFT(C294,3)="技能：",99,IF(COUNTIF($L$2:$L$7,C294)&gt;0,18,999))-'幕间与结算'!E201)),0)</x:f>
        <x:v>0</x:v>
      </x:c>
      <x:c r="F294" t="str">
        <x:f>IF(C294=0,"",IF(G294=0,"记录不完整",IF(H294=0,"重复未计","已计入")))</x:f>
        <x:v/>
      </x:c>
      <x:c r="G294">
        <x:f>IF(AND(AND('幕间与结算'!A201&lt;&gt;"",'幕间与结算'!B201&lt;&gt;"",'幕间与结算'!I201&lt;&gt;"",OR(LEFT(C294,3)="技能：",COUNTIF($L$2:$L$19,C294)&gt;0),ISNUMBER('幕间与结算'!E201),ISNUMBER('幕间与结算'!F201),ISNUMBER('幕间与结算'!G201),'幕间与结算'!E201&gt;=0,'幕间与结算'!G201='幕间与结算'!E201+'幕间与结算'!F201),OR(B294&lt;&gt;"成长",AND(LEFT(C294,3)="技能：",C294&lt;&gt;"技能：非自然知识",'幕间与结算'!E201&gt;=1,'幕间与结算'!E201&lt;=99,'幕间与结算'!F201&gt;=0,'幕间与结算'!F201&lt;=4,'幕间与结算'!G201&lt;=99))),1,0)</x:f>
        <x:v>0</x:v>
      </x:c>
      <x:c r="H294">
        <x:f>IF(AND(G294=1,COUNTIFS($I$200:I294,I294,$G$200:G294,1)=1),1,0)</x:f>
        <x:v>0</x:v>
      </x:c>
      <x:c r="I294" t="str">
        <x:f>IF(G294=1,IF(B294="成长",A294&amp;"-成长-"&amp;C294,'幕间与结算'!I201),"")</x:f>
        <x:v/>
      </x:c>
      <x:c r="BF294">
        <x:f>MAX(0,MIN(18,BF293+IF(C294="力量",E294,0)))</x:f>
        <x:v>0</x:v>
      </x:c>
      <x:c r="BG294">
        <x:f>MAX(0,MIN(18,BG293+IF(C294="体质",E294,0)))</x:f>
        <x:v>0</x:v>
      </x:c>
      <x:c r="BH294">
        <x:f>MAX(0,MIN(18,BH293+IF(C294="敏捷",E294,0)))</x:f>
        <x:v>0</x:v>
      </x:c>
      <x:c r="BI294">
        <x:f>MAX(0,MIN(18,BI293+IF(C294="智力",E294,0)))</x:f>
        <x:v>0</x:v>
      </x:c>
      <x:c r="BJ294">
        <x:f>MAX(0,MIN(18,BJ293+IF(C294="意志",E294,0)))</x:f>
        <x:v>0</x:v>
      </x:c>
      <x:c r="BK294">
        <x:f>MAX(0,MIN(18,BK293+IF(C294="魅力",E294,0)))</x:f>
        <x:v>0</x:v>
      </x:c>
      <x:c r="BL294">
        <x:f>MAX(0,MIN(99,BL293+IF(C294="技能：非自然知识",E294,0)))</x:f>
        <x:v>0</x:v>
      </x:c>
      <x:c r="BM294">
        <x:f>MAX(0,MIN(CEILING((BF294+BG294)/2,1),BM293+IF(C294="体力",E294,0)))</x:f>
        <x:v>0</x:v>
      </x:c>
      <x:c r="BN294">
        <x:f>MAX(0,MIN(BJ294,BN293+IF(C294="毅力",E294,0)))</x:f>
        <x:v>0</x:v>
      </x:c>
      <x:c r="BO294">
        <x:f>MAX(0,MIN(99-BL294,BO293+IF(C294="理智",E294,0)))</x:f>
        <x:v>0</x:v>
      </x:c>
      <x:c r="BP294">
        <x:f>MAX(0,MIN(99,BP293+IF(C294="崩溃点",E294,0)))</x:f>
        <x:v>0</x:v>
      </x:c>
      <x:c r="BQ294">
        <x:f>MAX(0,MIN(BK294,IF(AND(H294=1,C294="重要关系1",LEFT('幕间与结算'!H201,8)="建立新的重要关系"),'幕间与结算'!E201+E294,BQ293+IF(C294="重要关系1",E294,0)+IF(AND(C294="魅力",E294&lt;0),E294,0))))</x:f>
        <x:v>0</x:v>
      </x:c>
      <x:c r="BR294">
        <x:f>MAX(0,MIN(BK294,IF(AND(H294=1,C294="重要关系2",LEFT('幕间与结算'!H201,8)="建立新的重要关系"),'幕间与结算'!E201+E294,BR293+IF(C294="重要关系2",E294,0)+IF(AND(C294="魅力",E294&lt;0),E294,0))))</x:f>
        <x:v>0</x:v>
      </x:c>
      <x:c r="BS294">
        <x:f>MAX(0,MIN(BK294,IF(AND(H294=1,C294="重要关系3",LEFT('幕间与结算'!H201,8)="建立新的重要关系"),'幕间与结算'!E201+E294,BS293+IF(C294="重要关系3",E294,0)+IF(AND(C294="魅力",E294&lt;0),E294,0))))</x:f>
        <x:v>0</x:v>
      </x:c>
      <x:c r="BT294">
        <x:f>MAX(0,MIN(BK294,IF(AND(H294=1,C294="重要关系4",LEFT('幕间与结算'!H201,8)="建立新的重要关系"),'幕间与结算'!E201+E294,BT293+IF(C294="重要关系4",E294,0)+IF(AND(C294="魅力",E294&lt;0),E294,0))))</x:f>
        <x:v>0</x:v>
      </x:c>
      <x:c r="BU294">
        <x:f>MAX(0,MIN(BK294,IF(AND(H294=1,C294="重要关系5",LEFT('幕间与结算'!H201,8)="建立新的重要关系"),'幕间与结算'!E201+E294,BU293+IF(C294="重要关系5",E294,0)+IF(AND(C294="魅力",E294&lt;0),E294,0))))</x:f>
        <x:v>0</x:v>
      </x:c>
      <x:c r="BV294">
        <x:f>MAX(0,MIN(BK294,IF(AND(H294=1,C294="重要关系6",LEFT('幕间与结算'!H201,8)="建立新的重要关系"),'幕间与结算'!E201+E294,BV293+IF(C294="重要关系6",E294,0)+IF(AND(C294="魅力",E294&lt;0),E294,0))))</x:f>
        <x:v>0</x:v>
      </x:c>
      <x:c r="BW294">
        <x:f>MAX(0,MIN(BK294,IF(AND(H294=1,C294="重要关系7",LEFT('幕间与结算'!H201,8)="建立新的重要关系"),'幕间与结算'!E201+E294,BW293+IF(C294="重要关系7",E294,0)+IF(AND(C294="魅力",E294&lt;0),E294,0))))</x:f>
        <x:v>0</x:v>
      </x:c>
    </x:row>
    <x:row r="295">
      <x:c r="A295" t="str">
        <x:f>IFERROR(TEXT(VALUE('幕间与结算'!A202),"00"),"")</x:f>
        <x:v>00</x:v>
      </x:c>
      <x:c r="B295">
        <x:f>'幕间与结算'!B202</x:f>
        <x:v>0</x:v>
      </x:c>
      <x:c r="C295">
        <x:f>'幕间与结算'!D202</x:f>
        <x:v>0</x:v>
      </x:c>
      <x:c r="D295">
        <x:f>'幕间与结算'!F202</x:f>
        <x:v>0</x:v>
      </x:c>
      <x:c r="E295">
        <x:f>IF(H295=1,MAX(-'幕间与结算'!E202,MIN(D295,IF(LEFT(C295,3)="技能：",99,IF(COUNTIF($L$2:$L$7,C295)&gt;0,18,999))-'幕间与结算'!E202)),0)</x:f>
        <x:v>0</x:v>
      </x:c>
      <x:c r="F295" t="str">
        <x:f>IF(C295=0,"",IF(G295=0,"记录不完整",IF(H295=0,"重复未计","已计入")))</x:f>
        <x:v/>
      </x:c>
      <x:c r="G295">
        <x:f>IF(AND(AND('幕间与结算'!A202&lt;&gt;"",'幕间与结算'!B202&lt;&gt;"",'幕间与结算'!I202&lt;&gt;"",OR(LEFT(C295,3)="技能：",COUNTIF($L$2:$L$19,C295)&gt;0),ISNUMBER('幕间与结算'!E202),ISNUMBER('幕间与结算'!F202),ISNUMBER('幕间与结算'!G202),'幕间与结算'!E202&gt;=0,'幕间与结算'!G202='幕间与结算'!E202+'幕间与结算'!F202),OR(B295&lt;&gt;"成长",AND(LEFT(C295,3)="技能：",C295&lt;&gt;"技能：非自然知识",'幕间与结算'!E202&gt;=1,'幕间与结算'!E202&lt;=99,'幕间与结算'!F202&gt;=0,'幕间与结算'!F202&lt;=4,'幕间与结算'!G202&lt;=99))),1,0)</x:f>
        <x:v>0</x:v>
      </x:c>
      <x:c r="H295">
        <x:f>IF(AND(G295=1,COUNTIFS($I$200:I295,I295,$G$200:G295,1)=1),1,0)</x:f>
        <x:v>0</x:v>
      </x:c>
      <x:c r="I295" t="str">
        <x:f>IF(G295=1,IF(B295="成长",A295&amp;"-成长-"&amp;C295,'幕间与结算'!I202),"")</x:f>
        <x:v/>
      </x:c>
      <x:c r="BF295">
        <x:f>MAX(0,MIN(18,BF294+IF(C295="力量",E295,0)))</x:f>
        <x:v>0</x:v>
      </x:c>
      <x:c r="BG295">
        <x:f>MAX(0,MIN(18,BG294+IF(C295="体质",E295,0)))</x:f>
        <x:v>0</x:v>
      </x:c>
      <x:c r="BH295">
        <x:f>MAX(0,MIN(18,BH294+IF(C295="敏捷",E295,0)))</x:f>
        <x:v>0</x:v>
      </x:c>
      <x:c r="BI295">
        <x:f>MAX(0,MIN(18,BI294+IF(C295="智力",E295,0)))</x:f>
        <x:v>0</x:v>
      </x:c>
      <x:c r="BJ295">
        <x:f>MAX(0,MIN(18,BJ294+IF(C295="意志",E295,0)))</x:f>
        <x:v>0</x:v>
      </x:c>
      <x:c r="BK295">
        <x:f>MAX(0,MIN(18,BK294+IF(C295="魅力",E295,0)))</x:f>
        <x:v>0</x:v>
      </x:c>
      <x:c r="BL295">
        <x:f>MAX(0,MIN(99,BL294+IF(C295="技能：非自然知识",E295,0)))</x:f>
        <x:v>0</x:v>
      </x:c>
      <x:c r="BM295">
        <x:f>MAX(0,MIN(CEILING((BF295+BG295)/2,1),BM294+IF(C295="体力",E295,0)))</x:f>
        <x:v>0</x:v>
      </x:c>
      <x:c r="BN295">
        <x:f>MAX(0,MIN(BJ295,BN294+IF(C295="毅力",E295,0)))</x:f>
        <x:v>0</x:v>
      </x:c>
      <x:c r="BO295">
        <x:f>MAX(0,MIN(99-BL295,BO294+IF(C295="理智",E295,0)))</x:f>
        <x:v>0</x:v>
      </x:c>
      <x:c r="BP295">
        <x:f>MAX(0,MIN(99,BP294+IF(C295="崩溃点",E295,0)))</x:f>
        <x:v>0</x:v>
      </x:c>
      <x:c r="BQ295">
        <x:f>MAX(0,MIN(BK295,IF(AND(H295=1,C295="重要关系1",LEFT('幕间与结算'!H202,8)="建立新的重要关系"),'幕间与结算'!E202+E295,BQ294+IF(C295="重要关系1",E295,0)+IF(AND(C295="魅力",E295&lt;0),E295,0))))</x:f>
        <x:v>0</x:v>
      </x:c>
      <x:c r="BR295">
        <x:f>MAX(0,MIN(BK295,IF(AND(H295=1,C295="重要关系2",LEFT('幕间与结算'!H202,8)="建立新的重要关系"),'幕间与结算'!E202+E295,BR294+IF(C295="重要关系2",E295,0)+IF(AND(C295="魅力",E295&lt;0),E295,0))))</x:f>
        <x:v>0</x:v>
      </x:c>
      <x:c r="BS295">
        <x:f>MAX(0,MIN(BK295,IF(AND(H295=1,C295="重要关系3",LEFT('幕间与结算'!H202,8)="建立新的重要关系"),'幕间与结算'!E202+E295,BS294+IF(C295="重要关系3",E295,0)+IF(AND(C295="魅力",E295&lt;0),E295,0))))</x:f>
        <x:v>0</x:v>
      </x:c>
      <x:c r="BT295">
        <x:f>MAX(0,MIN(BK295,IF(AND(H295=1,C295="重要关系4",LEFT('幕间与结算'!H202,8)="建立新的重要关系"),'幕间与结算'!E202+E295,BT294+IF(C295="重要关系4",E295,0)+IF(AND(C295="魅力",E295&lt;0),E295,0))))</x:f>
        <x:v>0</x:v>
      </x:c>
      <x:c r="BU295">
        <x:f>MAX(0,MIN(BK295,IF(AND(H295=1,C295="重要关系5",LEFT('幕间与结算'!H202,8)="建立新的重要关系"),'幕间与结算'!E202+E295,BU294+IF(C295="重要关系5",E295,0)+IF(AND(C295="魅力",E295&lt;0),E295,0))))</x:f>
        <x:v>0</x:v>
      </x:c>
      <x:c r="BV295">
        <x:f>MAX(0,MIN(BK295,IF(AND(H295=1,C295="重要关系6",LEFT('幕间与结算'!H202,8)="建立新的重要关系"),'幕间与结算'!E202+E295,BV294+IF(C295="重要关系6",E295,0)+IF(AND(C295="魅力",E295&lt;0),E295,0))))</x:f>
        <x:v>0</x:v>
      </x:c>
      <x:c r="BW295">
        <x:f>MAX(0,MIN(BK295,IF(AND(H295=1,C295="重要关系7",LEFT('幕间与结算'!H202,8)="建立新的重要关系"),'幕间与结算'!E202+E295,BW294+IF(C295="重要关系7",E295,0)+IF(AND(C295="魅力",E295&lt;0),E295,0))))</x:f>
        <x:v>0</x:v>
      </x:c>
    </x:row>
    <x:row r="296">
      <x:c r="A296" t="str">
        <x:f>IFERROR(TEXT(VALUE('幕间与结算'!A203),"00"),"")</x:f>
        <x:v>00</x:v>
      </x:c>
      <x:c r="B296">
        <x:f>'幕间与结算'!B203</x:f>
        <x:v>0</x:v>
      </x:c>
      <x:c r="C296">
        <x:f>'幕间与结算'!D203</x:f>
        <x:v>0</x:v>
      </x:c>
      <x:c r="D296">
        <x:f>'幕间与结算'!F203</x:f>
        <x:v>0</x:v>
      </x:c>
      <x:c r="E296">
        <x:f>IF(H296=1,MAX(-'幕间与结算'!E203,MIN(D296,IF(LEFT(C296,3)="技能：",99,IF(COUNTIF($L$2:$L$7,C296)&gt;0,18,999))-'幕间与结算'!E203)),0)</x:f>
        <x:v>0</x:v>
      </x:c>
      <x:c r="F296" t="str">
        <x:f>IF(C296=0,"",IF(G296=0,"记录不完整",IF(H296=0,"重复未计","已计入")))</x:f>
        <x:v/>
      </x:c>
      <x:c r="G296">
        <x:f>IF(AND(AND('幕间与结算'!A203&lt;&gt;"",'幕间与结算'!B203&lt;&gt;"",'幕间与结算'!I203&lt;&gt;"",OR(LEFT(C296,3)="技能：",COUNTIF($L$2:$L$19,C296)&gt;0),ISNUMBER('幕间与结算'!E203),ISNUMBER('幕间与结算'!F203),ISNUMBER('幕间与结算'!G203),'幕间与结算'!E203&gt;=0,'幕间与结算'!G203='幕间与结算'!E203+'幕间与结算'!F203),OR(B296&lt;&gt;"成长",AND(LEFT(C296,3)="技能：",C296&lt;&gt;"技能：非自然知识",'幕间与结算'!E203&gt;=1,'幕间与结算'!E203&lt;=99,'幕间与结算'!F203&gt;=0,'幕间与结算'!F203&lt;=4,'幕间与结算'!G203&lt;=99))),1,0)</x:f>
        <x:v>0</x:v>
      </x:c>
      <x:c r="H296">
        <x:f>IF(AND(G296=1,COUNTIFS($I$200:I296,I296,$G$200:G296,1)=1),1,0)</x:f>
        <x:v>0</x:v>
      </x:c>
      <x:c r="I296" t="str">
        <x:f>IF(G296=1,IF(B296="成长",A296&amp;"-成长-"&amp;C296,'幕间与结算'!I203),"")</x:f>
        <x:v/>
      </x:c>
      <x:c r="BF296">
        <x:f>MAX(0,MIN(18,BF295+IF(C296="力量",E296,0)))</x:f>
        <x:v>0</x:v>
      </x:c>
      <x:c r="BG296">
        <x:f>MAX(0,MIN(18,BG295+IF(C296="体质",E296,0)))</x:f>
        <x:v>0</x:v>
      </x:c>
      <x:c r="BH296">
        <x:f>MAX(0,MIN(18,BH295+IF(C296="敏捷",E296,0)))</x:f>
        <x:v>0</x:v>
      </x:c>
      <x:c r="BI296">
        <x:f>MAX(0,MIN(18,BI295+IF(C296="智力",E296,0)))</x:f>
        <x:v>0</x:v>
      </x:c>
      <x:c r="BJ296">
        <x:f>MAX(0,MIN(18,BJ295+IF(C296="意志",E296,0)))</x:f>
        <x:v>0</x:v>
      </x:c>
      <x:c r="BK296">
        <x:f>MAX(0,MIN(18,BK295+IF(C296="魅力",E296,0)))</x:f>
        <x:v>0</x:v>
      </x:c>
      <x:c r="BL296">
        <x:f>MAX(0,MIN(99,BL295+IF(C296="技能：非自然知识",E296,0)))</x:f>
        <x:v>0</x:v>
      </x:c>
      <x:c r="BM296">
        <x:f>MAX(0,MIN(CEILING((BF296+BG296)/2,1),BM295+IF(C296="体力",E296,0)))</x:f>
        <x:v>0</x:v>
      </x:c>
      <x:c r="BN296">
        <x:f>MAX(0,MIN(BJ296,BN295+IF(C296="毅力",E296,0)))</x:f>
        <x:v>0</x:v>
      </x:c>
      <x:c r="BO296">
        <x:f>MAX(0,MIN(99-BL296,BO295+IF(C296="理智",E296,0)))</x:f>
        <x:v>0</x:v>
      </x:c>
      <x:c r="BP296">
        <x:f>MAX(0,MIN(99,BP295+IF(C296="崩溃点",E296,0)))</x:f>
        <x:v>0</x:v>
      </x:c>
      <x:c r="BQ296">
        <x:f>MAX(0,MIN(BK296,IF(AND(H296=1,C296="重要关系1",LEFT('幕间与结算'!H203,8)="建立新的重要关系"),'幕间与结算'!E203+E296,BQ295+IF(C296="重要关系1",E296,0)+IF(AND(C296="魅力",E296&lt;0),E296,0))))</x:f>
        <x:v>0</x:v>
      </x:c>
      <x:c r="BR296">
        <x:f>MAX(0,MIN(BK296,IF(AND(H296=1,C296="重要关系2",LEFT('幕间与结算'!H203,8)="建立新的重要关系"),'幕间与结算'!E203+E296,BR295+IF(C296="重要关系2",E296,0)+IF(AND(C296="魅力",E296&lt;0),E296,0))))</x:f>
        <x:v>0</x:v>
      </x:c>
      <x:c r="BS296">
        <x:f>MAX(0,MIN(BK296,IF(AND(H296=1,C296="重要关系3",LEFT('幕间与结算'!H203,8)="建立新的重要关系"),'幕间与结算'!E203+E296,BS295+IF(C296="重要关系3",E296,0)+IF(AND(C296="魅力",E296&lt;0),E296,0))))</x:f>
        <x:v>0</x:v>
      </x:c>
      <x:c r="BT296">
        <x:f>MAX(0,MIN(BK296,IF(AND(H296=1,C296="重要关系4",LEFT('幕间与结算'!H203,8)="建立新的重要关系"),'幕间与结算'!E203+E296,BT295+IF(C296="重要关系4",E296,0)+IF(AND(C296="魅力",E296&lt;0),E296,0))))</x:f>
        <x:v>0</x:v>
      </x:c>
      <x:c r="BU296">
        <x:f>MAX(0,MIN(BK296,IF(AND(H296=1,C296="重要关系5",LEFT('幕间与结算'!H203,8)="建立新的重要关系"),'幕间与结算'!E203+E296,BU295+IF(C296="重要关系5",E296,0)+IF(AND(C296="魅力",E296&lt;0),E296,0))))</x:f>
        <x:v>0</x:v>
      </x:c>
      <x:c r="BV296">
        <x:f>MAX(0,MIN(BK296,IF(AND(H296=1,C296="重要关系6",LEFT('幕间与结算'!H203,8)="建立新的重要关系"),'幕间与结算'!E203+E296,BV295+IF(C296="重要关系6",E296,0)+IF(AND(C296="魅力",E296&lt;0),E296,0))))</x:f>
        <x:v>0</x:v>
      </x:c>
      <x:c r="BW296">
        <x:f>MAX(0,MIN(BK296,IF(AND(H296=1,C296="重要关系7",LEFT('幕间与结算'!H203,8)="建立新的重要关系"),'幕间与结算'!E203+E296,BW295+IF(C296="重要关系7",E296,0)+IF(AND(C296="魅力",E296&lt;0),E296,0))))</x:f>
        <x:v>0</x:v>
      </x:c>
    </x:row>
    <x:row r="297">
      <x:c r="A297" t="str">
        <x:f>IFERROR(TEXT(VALUE('幕间与结算'!A204),"00"),"")</x:f>
        <x:v>00</x:v>
      </x:c>
      <x:c r="B297">
        <x:f>'幕间与结算'!B204</x:f>
        <x:v>0</x:v>
      </x:c>
      <x:c r="C297">
        <x:f>'幕间与结算'!D204</x:f>
        <x:v>0</x:v>
      </x:c>
      <x:c r="D297">
        <x:f>'幕间与结算'!F204</x:f>
        <x:v>0</x:v>
      </x:c>
      <x:c r="E297">
        <x:f>IF(H297=1,MAX(-'幕间与结算'!E204,MIN(D297,IF(LEFT(C297,3)="技能：",99,IF(COUNTIF($L$2:$L$7,C297)&gt;0,18,999))-'幕间与结算'!E204)),0)</x:f>
        <x:v>0</x:v>
      </x:c>
      <x:c r="F297" t="str">
        <x:f>IF(C297=0,"",IF(G297=0,"记录不完整",IF(H297=0,"重复未计","已计入")))</x:f>
        <x:v/>
      </x:c>
      <x:c r="G297">
        <x:f>IF(AND(AND('幕间与结算'!A204&lt;&gt;"",'幕间与结算'!B204&lt;&gt;"",'幕间与结算'!I204&lt;&gt;"",OR(LEFT(C297,3)="技能：",COUNTIF($L$2:$L$19,C297)&gt;0),ISNUMBER('幕间与结算'!E204),ISNUMBER('幕间与结算'!F204),ISNUMBER('幕间与结算'!G204),'幕间与结算'!E204&gt;=0,'幕间与结算'!G204='幕间与结算'!E204+'幕间与结算'!F204),OR(B297&lt;&gt;"成长",AND(LEFT(C297,3)="技能：",C297&lt;&gt;"技能：非自然知识",'幕间与结算'!E204&gt;=1,'幕间与结算'!E204&lt;=99,'幕间与结算'!F204&gt;=0,'幕间与结算'!F204&lt;=4,'幕间与结算'!G204&lt;=99))),1,0)</x:f>
        <x:v>0</x:v>
      </x:c>
      <x:c r="H297">
        <x:f>IF(AND(G297=1,COUNTIFS($I$200:I297,I297,$G$200:G297,1)=1),1,0)</x:f>
        <x:v>0</x:v>
      </x:c>
      <x:c r="I297" t="str">
        <x:f>IF(G297=1,IF(B297="成长",A297&amp;"-成长-"&amp;C297,'幕间与结算'!I204),"")</x:f>
        <x:v/>
      </x:c>
      <x:c r="BF297">
        <x:f>MAX(0,MIN(18,BF296+IF(C297="力量",E297,0)))</x:f>
        <x:v>0</x:v>
      </x:c>
      <x:c r="BG297">
        <x:f>MAX(0,MIN(18,BG296+IF(C297="体质",E297,0)))</x:f>
        <x:v>0</x:v>
      </x:c>
      <x:c r="BH297">
        <x:f>MAX(0,MIN(18,BH296+IF(C297="敏捷",E297,0)))</x:f>
        <x:v>0</x:v>
      </x:c>
      <x:c r="BI297">
        <x:f>MAX(0,MIN(18,BI296+IF(C297="智力",E297,0)))</x:f>
        <x:v>0</x:v>
      </x:c>
      <x:c r="BJ297">
        <x:f>MAX(0,MIN(18,BJ296+IF(C297="意志",E297,0)))</x:f>
        <x:v>0</x:v>
      </x:c>
      <x:c r="BK297">
        <x:f>MAX(0,MIN(18,BK296+IF(C297="魅力",E297,0)))</x:f>
        <x:v>0</x:v>
      </x:c>
      <x:c r="BL297">
        <x:f>MAX(0,MIN(99,BL296+IF(C297="技能：非自然知识",E297,0)))</x:f>
        <x:v>0</x:v>
      </x:c>
      <x:c r="BM297">
        <x:f>MAX(0,MIN(CEILING((BF297+BG297)/2,1),BM296+IF(C297="体力",E297,0)))</x:f>
        <x:v>0</x:v>
      </x:c>
      <x:c r="BN297">
        <x:f>MAX(0,MIN(BJ297,BN296+IF(C297="毅力",E297,0)))</x:f>
        <x:v>0</x:v>
      </x:c>
      <x:c r="BO297">
        <x:f>MAX(0,MIN(99-BL297,BO296+IF(C297="理智",E297,0)))</x:f>
        <x:v>0</x:v>
      </x:c>
      <x:c r="BP297">
        <x:f>MAX(0,MIN(99,BP296+IF(C297="崩溃点",E297,0)))</x:f>
        <x:v>0</x:v>
      </x:c>
      <x:c r="BQ297">
        <x:f>MAX(0,MIN(BK297,IF(AND(H297=1,C297="重要关系1",LEFT('幕间与结算'!H204,8)="建立新的重要关系"),'幕间与结算'!E204+E297,BQ296+IF(C297="重要关系1",E297,0)+IF(AND(C297="魅力",E297&lt;0),E297,0))))</x:f>
        <x:v>0</x:v>
      </x:c>
      <x:c r="BR297">
        <x:f>MAX(0,MIN(BK297,IF(AND(H297=1,C297="重要关系2",LEFT('幕间与结算'!H204,8)="建立新的重要关系"),'幕间与结算'!E204+E297,BR296+IF(C297="重要关系2",E297,0)+IF(AND(C297="魅力",E297&lt;0),E297,0))))</x:f>
        <x:v>0</x:v>
      </x:c>
      <x:c r="BS297">
        <x:f>MAX(0,MIN(BK297,IF(AND(H297=1,C297="重要关系3",LEFT('幕间与结算'!H204,8)="建立新的重要关系"),'幕间与结算'!E204+E297,BS296+IF(C297="重要关系3",E297,0)+IF(AND(C297="魅力",E297&lt;0),E297,0))))</x:f>
        <x:v>0</x:v>
      </x:c>
      <x:c r="BT297">
        <x:f>MAX(0,MIN(BK297,IF(AND(H297=1,C297="重要关系4",LEFT('幕间与结算'!H204,8)="建立新的重要关系"),'幕间与结算'!E204+E297,BT296+IF(C297="重要关系4",E297,0)+IF(AND(C297="魅力",E297&lt;0),E297,0))))</x:f>
        <x:v>0</x:v>
      </x:c>
      <x:c r="BU297">
        <x:f>MAX(0,MIN(BK297,IF(AND(H297=1,C297="重要关系5",LEFT('幕间与结算'!H204,8)="建立新的重要关系"),'幕间与结算'!E204+E297,BU296+IF(C297="重要关系5",E297,0)+IF(AND(C297="魅力",E297&lt;0),E297,0))))</x:f>
        <x:v>0</x:v>
      </x:c>
      <x:c r="BV297">
        <x:f>MAX(0,MIN(BK297,IF(AND(H297=1,C297="重要关系6",LEFT('幕间与结算'!H204,8)="建立新的重要关系"),'幕间与结算'!E204+E297,BV296+IF(C297="重要关系6",E297,0)+IF(AND(C297="魅力",E297&lt;0),E297,0))))</x:f>
        <x:v>0</x:v>
      </x:c>
      <x:c r="BW297">
        <x:f>MAX(0,MIN(BK297,IF(AND(H297=1,C297="重要关系7",LEFT('幕间与结算'!H204,8)="建立新的重要关系"),'幕间与结算'!E204+E297,BW296+IF(C297="重要关系7",E297,0)+IF(AND(C297="魅力",E297&lt;0),E297,0))))</x:f>
        <x:v>0</x:v>
      </x:c>
    </x:row>
    <x:row r="298">
      <x:c r="A298" t="str">
        <x:f>IFERROR(TEXT(VALUE('幕间与结算'!A205),"00"),"")</x:f>
        <x:v>00</x:v>
      </x:c>
      <x:c r="B298">
        <x:f>'幕间与结算'!B205</x:f>
        <x:v>0</x:v>
      </x:c>
      <x:c r="C298">
        <x:f>'幕间与结算'!D205</x:f>
        <x:v>0</x:v>
      </x:c>
      <x:c r="D298">
        <x:f>'幕间与结算'!F205</x:f>
        <x:v>0</x:v>
      </x:c>
      <x:c r="E298">
        <x:f>IF(H298=1,MAX(-'幕间与结算'!E205,MIN(D298,IF(LEFT(C298,3)="技能：",99,IF(COUNTIF($L$2:$L$7,C298)&gt;0,18,999))-'幕间与结算'!E205)),0)</x:f>
        <x:v>0</x:v>
      </x:c>
      <x:c r="F298" t="str">
        <x:f>IF(C298=0,"",IF(G298=0,"记录不完整",IF(H298=0,"重复未计","已计入")))</x:f>
        <x:v/>
      </x:c>
      <x:c r="G298">
        <x:f>IF(AND(AND('幕间与结算'!A205&lt;&gt;"",'幕间与结算'!B205&lt;&gt;"",'幕间与结算'!I205&lt;&gt;"",OR(LEFT(C298,3)="技能：",COUNTIF($L$2:$L$19,C298)&gt;0),ISNUMBER('幕间与结算'!E205),ISNUMBER('幕间与结算'!F205),ISNUMBER('幕间与结算'!G205),'幕间与结算'!E205&gt;=0,'幕间与结算'!G205='幕间与结算'!E205+'幕间与结算'!F205),OR(B298&lt;&gt;"成长",AND(LEFT(C298,3)="技能：",C298&lt;&gt;"技能：非自然知识",'幕间与结算'!E205&gt;=1,'幕间与结算'!E205&lt;=99,'幕间与结算'!F205&gt;=0,'幕间与结算'!F205&lt;=4,'幕间与结算'!G205&lt;=99))),1,0)</x:f>
        <x:v>0</x:v>
      </x:c>
      <x:c r="H298">
        <x:f>IF(AND(G298=1,COUNTIFS($I$200:I298,I298,$G$200:G298,1)=1),1,0)</x:f>
        <x:v>0</x:v>
      </x:c>
      <x:c r="I298" t="str">
        <x:f>IF(G298=1,IF(B298="成长",A298&amp;"-成长-"&amp;C298,'幕间与结算'!I205),"")</x:f>
        <x:v/>
      </x:c>
      <x:c r="BF298">
        <x:f>MAX(0,MIN(18,BF297+IF(C298="力量",E298,0)))</x:f>
        <x:v>0</x:v>
      </x:c>
      <x:c r="BG298">
        <x:f>MAX(0,MIN(18,BG297+IF(C298="体质",E298,0)))</x:f>
        <x:v>0</x:v>
      </x:c>
      <x:c r="BH298">
        <x:f>MAX(0,MIN(18,BH297+IF(C298="敏捷",E298,0)))</x:f>
        <x:v>0</x:v>
      </x:c>
      <x:c r="BI298">
        <x:f>MAX(0,MIN(18,BI297+IF(C298="智力",E298,0)))</x:f>
        <x:v>0</x:v>
      </x:c>
      <x:c r="BJ298">
        <x:f>MAX(0,MIN(18,BJ297+IF(C298="意志",E298,0)))</x:f>
        <x:v>0</x:v>
      </x:c>
      <x:c r="BK298">
        <x:f>MAX(0,MIN(18,BK297+IF(C298="魅力",E298,0)))</x:f>
        <x:v>0</x:v>
      </x:c>
      <x:c r="BL298">
        <x:f>MAX(0,MIN(99,BL297+IF(C298="技能：非自然知识",E298,0)))</x:f>
        <x:v>0</x:v>
      </x:c>
      <x:c r="BM298">
        <x:f>MAX(0,MIN(CEILING((BF298+BG298)/2,1),BM297+IF(C298="体力",E298,0)))</x:f>
        <x:v>0</x:v>
      </x:c>
      <x:c r="BN298">
        <x:f>MAX(0,MIN(BJ298,BN297+IF(C298="毅力",E298,0)))</x:f>
        <x:v>0</x:v>
      </x:c>
      <x:c r="BO298">
        <x:f>MAX(0,MIN(99-BL298,BO297+IF(C298="理智",E298,0)))</x:f>
        <x:v>0</x:v>
      </x:c>
      <x:c r="BP298">
        <x:f>MAX(0,MIN(99,BP297+IF(C298="崩溃点",E298,0)))</x:f>
        <x:v>0</x:v>
      </x:c>
      <x:c r="BQ298">
        <x:f>MAX(0,MIN(BK298,IF(AND(H298=1,C298="重要关系1",LEFT('幕间与结算'!H205,8)="建立新的重要关系"),'幕间与结算'!E205+E298,BQ297+IF(C298="重要关系1",E298,0)+IF(AND(C298="魅力",E298&lt;0),E298,0))))</x:f>
        <x:v>0</x:v>
      </x:c>
      <x:c r="BR298">
        <x:f>MAX(0,MIN(BK298,IF(AND(H298=1,C298="重要关系2",LEFT('幕间与结算'!H205,8)="建立新的重要关系"),'幕间与结算'!E205+E298,BR297+IF(C298="重要关系2",E298,0)+IF(AND(C298="魅力",E298&lt;0),E298,0))))</x:f>
        <x:v>0</x:v>
      </x:c>
      <x:c r="BS298">
        <x:f>MAX(0,MIN(BK298,IF(AND(H298=1,C298="重要关系3",LEFT('幕间与结算'!H205,8)="建立新的重要关系"),'幕间与结算'!E205+E298,BS297+IF(C298="重要关系3",E298,0)+IF(AND(C298="魅力",E298&lt;0),E298,0))))</x:f>
        <x:v>0</x:v>
      </x:c>
      <x:c r="BT298">
        <x:f>MAX(0,MIN(BK298,IF(AND(H298=1,C298="重要关系4",LEFT('幕间与结算'!H205,8)="建立新的重要关系"),'幕间与结算'!E205+E298,BT297+IF(C298="重要关系4",E298,0)+IF(AND(C298="魅力",E298&lt;0),E298,0))))</x:f>
        <x:v>0</x:v>
      </x:c>
      <x:c r="BU298">
        <x:f>MAX(0,MIN(BK298,IF(AND(H298=1,C298="重要关系5",LEFT('幕间与结算'!H205,8)="建立新的重要关系"),'幕间与结算'!E205+E298,BU297+IF(C298="重要关系5",E298,0)+IF(AND(C298="魅力",E298&lt;0),E298,0))))</x:f>
        <x:v>0</x:v>
      </x:c>
      <x:c r="BV298">
        <x:f>MAX(0,MIN(BK298,IF(AND(H298=1,C298="重要关系6",LEFT('幕间与结算'!H205,8)="建立新的重要关系"),'幕间与结算'!E205+E298,BV297+IF(C298="重要关系6",E298,0)+IF(AND(C298="魅力",E298&lt;0),E298,0))))</x:f>
        <x:v>0</x:v>
      </x:c>
      <x:c r="BW298">
        <x:f>MAX(0,MIN(BK298,IF(AND(H298=1,C298="重要关系7",LEFT('幕间与结算'!H205,8)="建立新的重要关系"),'幕间与结算'!E205+E298,BW297+IF(C298="重要关系7",E298,0)+IF(AND(C298="魅力",E298&lt;0),E298,0))))</x:f>
        <x:v>0</x:v>
      </x:c>
    </x:row>
    <x:row r="299">
      <x:c r="A299" t="str">
        <x:f>IFERROR(TEXT(VALUE('幕间与结算'!A206),"00"),"")</x:f>
        <x:v>00</x:v>
      </x:c>
      <x:c r="B299">
        <x:f>'幕间与结算'!B206</x:f>
        <x:v>0</x:v>
      </x:c>
      <x:c r="C299">
        <x:f>'幕间与结算'!D206</x:f>
        <x:v>0</x:v>
      </x:c>
      <x:c r="D299">
        <x:f>'幕间与结算'!F206</x:f>
        <x:v>0</x:v>
      </x:c>
      <x:c r="E299">
        <x:f>IF(H299=1,MAX(-'幕间与结算'!E206,MIN(D299,IF(LEFT(C299,3)="技能：",99,IF(COUNTIF($L$2:$L$7,C299)&gt;0,18,999))-'幕间与结算'!E206)),0)</x:f>
        <x:v>0</x:v>
      </x:c>
      <x:c r="F299" t="str">
        <x:f>IF(C299=0,"",IF(G299=0,"记录不完整",IF(H299=0,"重复未计","已计入")))</x:f>
        <x:v/>
      </x:c>
      <x:c r="G299">
        <x:f>IF(AND(AND('幕间与结算'!A206&lt;&gt;"",'幕间与结算'!B206&lt;&gt;"",'幕间与结算'!I206&lt;&gt;"",OR(LEFT(C299,3)="技能：",COUNTIF($L$2:$L$19,C299)&gt;0),ISNUMBER('幕间与结算'!E206),ISNUMBER('幕间与结算'!F206),ISNUMBER('幕间与结算'!G206),'幕间与结算'!E206&gt;=0,'幕间与结算'!G206='幕间与结算'!E206+'幕间与结算'!F206),OR(B299&lt;&gt;"成长",AND(LEFT(C299,3)="技能：",C299&lt;&gt;"技能：非自然知识",'幕间与结算'!E206&gt;=1,'幕间与结算'!E206&lt;=99,'幕间与结算'!F206&gt;=0,'幕间与结算'!F206&lt;=4,'幕间与结算'!G206&lt;=99))),1,0)</x:f>
        <x:v>0</x:v>
      </x:c>
      <x:c r="H299">
        <x:f>IF(AND(G299=1,COUNTIFS($I$200:I299,I299,$G$200:G299,1)=1),1,0)</x:f>
        <x:v>0</x:v>
      </x:c>
      <x:c r="I299" t="str">
        <x:f>IF(G299=1,IF(B299="成长",A299&amp;"-成长-"&amp;C299,'幕间与结算'!I206),"")</x:f>
        <x:v/>
      </x:c>
      <x:c r="BF299">
        <x:f>MAX(0,MIN(18,BF298+IF(C299="力量",E299,0)))</x:f>
        <x:v>0</x:v>
      </x:c>
      <x:c r="BG299">
        <x:f>MAX(0,MIN(18,BG298+IF(C299="体质",E299,0)))</x:f>
        <x:v>0</x:v>
      </x:c>
      <x:c r="BH299">
        <x:f>MAX(0,MIN(18,BH298+IF(C299="敏捷",E299,0)))</x:f>
        <x:v>0</x:v>
      </x:c>
      <x:c r="BI299">
        <x:f>MAX(0,MIN(18,BI298+IF(C299="智力",E299,0)))</x:f>
        <x:v>0</x:v>
      </x:c>
      <x:c r="BJ299">
        <x:f>MAX(0,MIN(18,BJ298+IF(C299="意志",E299,0)))</x:f>
        <x:v>0</x:v>
      </x:c>
      <x:c r="BK299">
        <x:f>MAX(0,MIN(18,BK298+IF(C299="魅力",E299,0)))</x:f>
        <x:v>0</x:v>
      </x:c>
      <x:c r="BL299">
        <x:f>MAX(0,MIN(99,BL298+IF(C299="技能：非自然知识",E299,0)))</x:f>
        <x:v>0</x:v>
      </x:c>
      <x:c r="BM299">
        <x:f>MAX(0,MIN(CEILING((BF299+BG299)/2,1),BM298+IF(C299="体力",E299,0)))</x:f>
        <x:v>0</x:v>
      </x:c>
      <x:c r="BN299">
        <x:f>MAX(0,MIN(BJ299,BN298+IF(C299="毅力",E299,0)))</x:f>
        <x:v>0</x:v>
      </x:c>
      <x:c r="BO299">
        <x:f>MAX(0,MIN(99-BL299,BO298+IF(C299="理智",E299,0)))</x:f>
        <x:v>0</x:v>
      </x:c>
      <x:c r="BP299">
        <x:f>MAX(0,MIN(99,BP298+IF(C299="崩溃点",E299,0)))</x:f>
        <x:v>0</x:v>
      </x:c>
      <x:c r="BQ299">
        <x:f>MAX(0,MIN(BK299,IF(AND(H299=1,C299="重要关系1",LEFT('幕间与结算'!H206,8)="建立新的重要关系"),'幕间与结算'!E206+E299,BQ298+IF(C299="重要关系1",E299,0)+IF(AND(C299="魅力",E299&lt;0),E299,0))))</x:f>
        <x:v>0</x:v>
      </x:c>
      <x:c r="BR299">
        <x:f>MAX(0,MIN(BK299,IF(AND(H299=1,C299="重要关系2",LEFT('幕间与结算'!H206,8)="建立新的重要关系"),'幕间与结算'!E206+E299,BR298+IF(C299="重要关系2",E299,0)+IF(AND(C299="魅力",E299&lt;0),E299,0))))</x:f>
        <x:v>0</x:v>
      </x:c>
      <x:c r="BS299">
        <x:f>MAX(0,MIN(BK299,IF(AND(H299=1,C299="重要关系3",LEFT('幕间与结算'!H206,8)="建立新的重要关系"),'幕间与结算'!E206+E299,BS298+IF(C299="重要关系3",E299,0)+IF(AND(C299="魅力",E299&lt;0),E299,0))))</x:f>
        <x:v>0</x:v>
      </x:c>
      <x:c r="BT299">
        <x:f>MAX(0,MIN(BK299,IF(AND(H299=1,C299="重要关系4",LEFT('幕间与结算'!H206,8)="建立新的重要关系"),'幕间与结算'!E206+E299,BT298+IF(C299="重要关系4",E299,0)+IF(AND(C299="魅力",E299&lt;0),E299,0))))</x:f>
        <x:v>0</x:v>
      </x:c>
      <x:c r="BU299">
        <x:f>MAX(0,MIN(BK299,IF(AND(H299=1,C299="重要关系5",LEFT('幕间与结算'!H206,8)="建立新的重要关系"),'幕间与结算'!E206+E299,BU298+IF(C299="重要关系5",E299,0)+IF(AND(C299="魅力",E299&lt;0),E299,0))))</x:f>
        <x:v>0</x:v>
      </x:c>
      <x:c r="BV299">
        <x:f>MAX(0,MIN(BK299,IF(AND(H299=1,C299="重要关系6",LEFT('幕间与结算'!H206,8)="建立新的重要关系"),'幕间与结算'!E206+E299,BV298+IF(C299="重要关系6",E299,0)+IF(AND(C299="魅力",E299&lt;0),E299,0))))</x:f>
        <x:v>0</x:v>
      </x:c>
      <x:c r="BW299">
        <x:f>MAX(0,MIN(BK299,IF(AND(H299=1,C299="重要关系7",LEFT('幕间与结算'!H206,8)="建立新的重要关系"),'幕间与结算'!E206+E299,BW298+IF(C299="重要关系7",E299,0)+IF(AND(C299="魅力",E299&lt;0),E299,0))))</x:f>
        <x:v>0</x:v>
      </x:c>
    </x:row>
    <x:row r="300">
      <x:c r="A300" t="str">
        <x:f>IFERROR(TEXT(VALUE('幕间与结算'!A207),"00"),"")</x:f>
        <x:v>00</x:v>
      </x:c>
      <x:c r="B300">
        <x:f>'幕间与结算'!B207</x:f>
        <x:v>0</x:v>
      </x:c>
      <x:c r="C300">
        <x:f>'幕间与结算'!D207</x:f>
        <x:v>0</x:v>
      </x:c>
      <x:c r="D300">
        <x:f>'幕间与结算'!F207</x:f>
        <x:v>0</x:v>
      </x:c>
      <x:c r="E300">
        <x:f>IF(H300=1,MAX(-'幕间与结算'!E207,MIN(D300,IF(LEFT(C300,3)="技能：",99,IF(COUNTIF($L$2:$L$7,C300)&gt;0,18,999))-'幕间与结算'!E207)),0)</x:f>
        <x:v>0</x:v>
      </x:c>
      <x:c r="F300" t="str">
        <x:f>IF(C300=0,"",IF(G300=0,"记录不完整",IF(H300=0,"重复未计","已计入")))</x:f>
        <x:v/>
      </x:c>
      <x:c r="G300">
        <x:f>IF(AND(AND('幕间与结算'!A207&lt;&gt;"",'幕间与结算'!B207&lt;&gt;"",'幕间与结算'!I207&lt;&gt;"",OR(LEFT(C300,3)="技能：",COUNTIF($L$2:$L$19,C300)&gt;0),ISNUMBER('幕间与结算'!E207),ISNUMBER('幕间与结算'!F207),ISNUMBER('幕间与结算'!G207),'幕间与结算'!E207&gt;=0,'幕间与结算'!G207='幕间与结算'!E207+'幕间与结算'!F207),OR(B300&lt;&gt;"成长",AND(LEFT(C300,3)="技能：",C300&lt;&gt;"技能：非自然知识",'幕间与结算'!E207&gt;=1,'幕间与结算'!E207&lt;=99,'幕间与结算'!F207&gt;=0,'幕间与结算'!F207&lt;=4,'幕间与结算'!G207&lt;=99))),1,0)</x:f>
        <x:v>0</x:v>
      </x:c>
      <x:c r="H300">
        <x:f>IF(AND(G300=1,COUNTIFS($I$200:I300,I300,$G$200:G300,1)=1),1,0)</x:f>
        <x:v>0</x:v>
      </x:c>
      <x:c r="I300" t="str">
        <x:f>IF(G300=1,IF(B300="成长",A300&amp;"-成长-"&amp;C300,'幕间与结算'!I207),"")</x:f>
        <x:v/>
      </x:c>
      <x:c r="BF300">
        <x:f>MAX(0,MIN(18,BF299+IF(C300="力量",E300,0)))</x:f>
        <x:v>0</x:v>
      </x:c>
      <x:c r="BG300">
        <x:f>MAX(0,MIN(18,BG299+IF(C300="体质",E300,0)))</x:f>
        <x:v>0</x:v>
      </x:c>
      <x:c r="BH300">
        <x:f>MAX(0,MIN(18,BH299+IF(C300="敏捷",E300,0)))</x:f>
        <x:v>0</x:v>
      </x:c>
      <x:c r="BI300">
        <x:f>MAX(0,MIN(18,BI299+IF(C300="智力",E300,0)))</x:f>
        <x:v>0</x:v>
      </x:c>
      <x:c r="BJ300">
        <x:f>MAX(0,MIN(18,BJ299+IF(C300="意志",E300,0)))</x:f>
        <x:v>0</x:v>
      </x:c>
      <x:c r="BK300">
        <x:f>MAX(0,MIN(18,BK299+IF(C300="魅力",E300,0)))</x:f>
        <x:v>0</x:v>
      </x:c>
      <x:c r="BL300">
        <x:f>MAX(0,MIN(99,BL299+IF(C300="技能：非自然知识",E300,0)))</x:f>
        <x:v>0</x:v>
      </x:c>
      <x:c r="BM300">
        <x:f>MAX(0,MIN(CEILING((BF300+BG300)/2,1),BM299+IF(C300="体力",E300,0)))</x:f>
        <x:v>0</x:v>
      </x:c>
      <x:c r="BN300">
        <x:f>MAX(0,MIN(BJ300,BN299+IF(C300="毅力",E300,0)))</x:f>
        <x:v>0</x:v>
      </x:c>
      <x:c r="BO300">
        <x:f>MAX(0,MIN(99-BL300,BO299+IF(C300="理智",E300,0)))</x:f>
        <x:v>0</x:v>
      </x:c>
      <x:c r="BP300">
        <x:f>MAX(0,MIN(99,BP299+IF(C300="崩溃点",E300,0)))</x:f>
        <x:v>0</x:v>
      </x:c>
      <x:c r="BQ300">
        <x:f>MAX(0,MIN(BK300,IF(AND(H300=1,C300="重要关系1",LEFT('幕间与结算'!H207,8)="建立新的重要关系"),'幕间与结算'!E207+E300,BQ299+IF(C300="重要关系1",E300,0)+IF(AND(C300="魅力",E300&lt;0),E300,0))))</x:f>
        <x:v>0</x:v>
      </x:c>
      <x:c r="BR300">
        <x:f>MAX(0,MIN(BK300,IF(AND(H300=1,C300="重要关系2",LEFT('幕间与结算'!H207,8)="建立新的重要关系"),'幕间与结算'!E207+E300,BR299+IF(C300="重要关系2",E300,0)+IF(AND(C300="魅力",E300&lt;0),E300,0))))</x:f>
        <x:v>0</x:v>
      </x:c>
      <x:c r="BS300">
        <x:f>MAX(0,MIN(BK300,IF(AND(H300=1,C300="重要关系3",LEFT('幕间与结算'!H207,8)="建立新的重要关系"),'幕间与结算'!E207+E300,BS299+IF(C300="重要关系3",E300,0)+IF(AND(C300="魅力",E300&lt;0),E300,0))))</x:f>
        <x:v>0</x:v>
      </x:c>
      <x:c r="BT300">
        <x:f>MAX(0,MIN(BK300,IF(AND(H300=1,C300="重要关系4",LEFT('幕间与结算'!H207,8)="建立新的重要关系"),'幕间与结算'!E207+E300,BT299+IF(C300="重要关系4",E300,0)+IF(AND(C300="魅力",E300&lt;0),E300,0))))</x:f>
        <x:v>0</x:v>
      </x:c>
      <x:c r="BU300">
        <x:f>MAX(0,MIN(BK300,IF(AND(H300=1,C300="重要关系5",LEFT('幕间与结算'!H207,8)="建立新的重要关系"),'幕间与结算'!E207+E300,BU299+IF(C300="重要关系5",E300,0)+IF(AND(C300="魅力",E300&lt;0),E300,0))))</x:f>
        <x:v>0</x:v>
      </x:c>
      <x:c r="BV300">
        <x:f>MAX(0,MIN(BK300,IF(AND(H300=1,C300="重要关系6",LEFT('幕间与结算'!H207,8)="建立新的重要关系"),'幕间与结算'!E207+E300,BV299+IF(C300="重要关系6",E300,0)+IF(AND(C300="魅力",E300&lt;0),E300,0))))</x:f>
        <x:v>0</x:v>
      </x:c>
      <x:c r="BW300">
        <x:f>MAX(0,MIN(BK300,IF(AND(H300=1,C300="重要关系7",LEFT('幕间与结算'!H207,8)="建立新的重要关系"),'幕间与结算'!E207+E300,BW299+IF(C300="重要关系7",E300,0)+IF(AND(C300="魅力",E300&lt;0),E300,0))))</x:f>
        <x:v>0</x:v>
      </x:c>
    </x:row>
    <x:row r="301">
      <x:c r="A301" t="str">
        <x:f>IFERROR(TEXT(VALUE('幕间与结算'!A208),"00"),"")</x:f>
        <x:v>00</x:v>
      </x:c>
      <x:c r="B301">
        <x:f>'幕间与结算'!B208</x:f>
        <x:v>0</x:v>
      </x:c>
      <x:c r="C301">
        <x:f>'幕间与结算'!D208</x:f>
        <x:v>0</x:v>
      </x:c>
      <x:c r="D301">
        <x:f>'幕间与结算'!F208</x:f>
        <x:v>0</x:v>
      </x:c>
      <x:c r="E301">
        <x:f>IF(H301=1,MAX(-'幕间与结算'!E208,MIN(D301,IF(LEFT(C301,3)="技能：",99,IF(COUNTIF($L$2:$L$7,C301)&gt;0,18,999))-'幕间与结算'!E208)),0)</x:f>
        <x:v>0</x:v>
      </x:c>
      <x:c r="F301" t="str">
        <x:f>IF(C301=0,"",IF(G301=0,"记录不完整",IF(H301=0,"重复未计","已计入")))</x:f>
        <x:v/>
      </x:c>
      <x:c r="G301">
        <x:f>IF(AND(AND('幕间与结算'!A208&lt;&gt;"",'幕间与结算'!B208&lt;&gt;"",'幕间与结算'!I208&lt;&gt;"",OR(LEFT(C301,3)="技能：",COUNTIF($L$2:$L$19,C301)&gt;0),ISNUMBER('幕间与结算'!E208),ISNUMBER('幕间与结算'!F208),ISNUMBER('幕间与结算'!G208),'幕间与结算'!E208&gt;=0,'幕间与结算'!G208='幕间与结算'!E208+'幕间与结算'!F208),OR(B301&lt;&gt;"成长",AND(LEFT(C301,3)="技能：",C301&lt;&gt;"技能：非自然知识",'幕间与结算'!E208&gt;=1,'幕间与结算'!E208&lt;=99,'幕间与结算'!F208&gt;=0,'幕间与结算'!F208&lt;=4,'幕间与结算'!G208&lt;=99))),1,0)</x:f>
        <x:v>0</x:v>
      </x:c>
      <x:c r="H301">
        <x:f>IF(AND(G301=1,COUNTIFS($I$200:I301,I301,$G$200:G301,1)=1),1,0)</x:f>
        <x:v>0</x:v>
      </x:c>
      <x:c r="I301" t="str">
        <x:f>IF(G301=1,IF(B301="成长",A301&amp;"-成长-"&amp;C301,'幕间与结算'!I208),"")</x:f>
        <x:v/>
      </x:c>
      <x:c r="BF301">
        <x:f>MAX(0,MIN(18,BF300+IF(C301="力量",E301,0)))</x:f>
        <x:v>0</x:v>
      </x:c>
      <x:c r="BG301">
        <x:f>MAX(0,MIN(18,BG300+IF(C301="体质",E301,0)))</x:f>
        <x:v>0</x:v>
      </x:c>
      <x:c r="BH301">
        <x:f>MAX(0,MIN(18,BH300+IF(C301="敏捷",E301,0)))</x:f>
        <x:v>0</x:v>
      </x:c>
      <x:c r="BI301">
        <x:f>MAX(0,MIN(18,BI300+IF(C301="智力",E301,0)))</x:f>
        <x:v>0</x:v>
      </x:c>
      <x:c r="BJ301">
        <x:f>MAX(0,MIN(18,BJ300+IF(C301="意志",E301,0)))</x:f>
        <x:v>0</x:v>
      </x:c>
      <x:c r="BK301">
        <x:f>MAX(0,MIN(18,BK300+IF(C301="魅力",E301,0)))</x:f>
        <x:v>0</x:v>
      </x:c>
      <x:c r="BL301">
        <x:f>MAX(0,MIN(99,BL300+IF(C301="技能：非自然知识",E301,0)))</x:f>
        <x:v>0</x:v>
      </x:c>
      <x:c r="BM301">
        <x:f>MAX(0,MIN(CEILING((BF301+BG301)/2,1),BM300+IF(C301="体力",E301,0)))</x:f>
        <x:v>0</x:v>
      </x:c>
      <x:c r="BN301">
        <x:f>MAX(0,MIN(BJ301,BN300+IF(C301="毅力",E301,0)))</x:f>
        <x:v>0</x:v>
      </x:c>
      <x:c r="BO301">
        <x:f>MAX(0,MIN(99-BL301,BO300+IF(C301="理智",E301,0)))</x:f>
        <x:v>0</x:v>
      </x:c>
      <x:c r="BP301">
        <x:f>MAX(0,MIN(99,BP300+IF(C301="崩溃点",E301,0)))</x:f>
        <x:v>0</x:v>
      </x:c>
      <x:c r="BQ301">
        <x:f>MAX(0,MIN(BK301,IF(AND(H301=1,C301="重要关系1",LEFT('幕间与结算'!H208,8)="建立新的重要关系"),'幕间与结算'!E208+E301,BQ300+IF(C301="重要关系1",E301,0)+IF(AND(C301="魅力",E301&lt;0),E301,0))))</x:f>
        <x:v>0</x:v>
      </x:c>
      <x:c r="BR301">
        <x:f>MAX(0,MIN(BK301,IF(AND(H301=1,C301="重要关系2",LEFT('幕间与结算'!H208,8)="建立新的重要关系"),'幕间与结算'!E208+E301,BR300+IF(C301="重要关系2",E301,0)+IF(AND(C301="魅力",E301&lt;0),E301,0))))</x:f>
        <x:v>0</x:v>
      </x:c>
      <x:c r="BS301">
        <x:f>MAX(0,MIN(BK301,IF(AND(H301=1,C301="重要关系3",LEFT('幕间与结算'!H208,8)="建立新的重要关系"),'幕间与结算'!E208+E301,BS300+IF(C301="重要关系3",E301,0)+IF(AND(C301="魅力",E301&lt;0),E301,0))))</x:f>
        <x:v>0</x:v>
      </x:c>
      <x:c r="BT301">
        <x:f>MAX(0,MIN(BK301,IF(AND(H301=1,C301="重要关系4",LEFT('幕间与结算'!H208,8)="建立新的重要关系"),'幕间与结算'!E208+E301,BT300+IF(C301="重要关系4",E301,0)+IF(AND(C301="魅力",E301&lt;0),E301,0))))</x:f>
        <x:v>0</x:v>
      </x:c>
      <x:c r="BU301">
        <x:f>MAX(0,MIN(BK301,IF(AND(H301=1,C301="重要关系5",LEFT('幕间与结算'!H208,8)="建立新的重要关系"),'幕间与结算'!E208+E301,BU300+IF(C301="重要关系5",E301,0)+IF(AND(C301="魅力",E301&lt;0),E301,0))))</x:f>
        <x:v>0</x:v>
      </x:c>
      <x:c r="BV301">
        <x:f>MAX(0,MIN(BK301,IF(AND(H301=1,C301="重要关系6",LEFT('幕间与结算'!H208,8)="建立新的重要关系"),'幕间与结算'!E208+E301,BV300+IF(C301="重要关系6",E301,0)+IF(AND(C301="魅力",E301&lt;0),E301,0))))</x:f>
        <x:v>0</x:v>
      </x:c>
      <x:c r="BW301">
        <x:f>MAX(0,MIN(BK301,IF(AND(H301=1,C301="重要关系7",LEFT('幕间与结算'!H208,8)="建立新的重要关系"),'幕间与结算'!E208+E301,BW300+IF(C301="重要关系7",E301,0)+IF(AND(C301="魅力",E301&lt;0),E301,0))))</x:f>
        <x:v>0</x:v>
      </x:c>
    </x:row>
    <x:row r="302">
      <x:c r="A302" t="str">
        <x:f>IFERROR(TEXT(VALUE('幕间与结算'!A209),"00"),"")</x:f>
        <x:v>00</x:v>
      </x:c>
      <x:c r="B302">
        <x:f>'幕间与结算'!B209</x:f>
        <x:v>0</x:v>
      </x:c>
      <x:c r="C302">
        <x:f>'幕间与结算'!D209</x:f>
        <x:v>0</x:v>
      </x:c>
      <x:c r="D302">
        <x:f>'幕间与结算'!F209</x:f>
        <x:v>0</x:v>
      </x:c>
      <x:c r="E302">
        <x:f>IF(H302=1,MAX(-'幕间与结算'!E209,MIN(D302,IF(LEFT(C302,3)="技能：",99,IF(COUNTIF($L$2:$L$7,C302)&gt;0,18,999))-'幕间与结算'!E209)),0)</x:f>
        <x:v>0</x:v>
      </x:c>
      <x:c r="F302" t="str">
        <x:f>IF(C302=0,"",IF(G302=0,"记录不完整",IF(H302=0,"重复未计","已计入")))</x:f>
        <x:v/>
      </x:c>
      <x:c r="G302">
        <x:f>IF(AND(AND('幕间与结算'!A209&lt;&gt;"",'幕间与结算'!B209&lt;&gt;"",'幕间与结算'!I209&lt;&gt;"",OR(LEFT(C302,3)="技能：",COUNTIF($L$2:$L$19,C302)&gt;0),ISNUMBER('幕间与结算'!E209),ISNUMBER('幕间与结算'!F209),ISNUMBER('幕间与结算'!G209),'幕间与结算'!E209&gt;=0,'幕间与结算'!G209='幕间与结算'!E209+'幕间与结算'!F209),OR(B302&lt;&gt;"成长",AND(LEFT(C302,3)="技能：",C302&lt;&gt;"技能：非自然知识",'幕间与结算'!E209&gt;=1,'幕间与结算'!E209&lt;=99,'幕间与结算'!F209&gt;=0,'幕间与结算'!F209&lt;=4,'幕间与结算'!G209&lt;=99))),1,0)</x:f>
        <x:v>0</x:v>
      </x:c>
      <x:c r="H302">
        <x:f>IF(AND(G302=1,COUNTIFS($I$200:I302,I302,$G$200:G302,1)=1),1,0)</x:f>
        <x:v>0</x:v>
      </x:c>
      <x:c r="I302" t="str">
        <x:f>IF(G302=1,IF(B302="成长",A302&amp;"-成长-"&amp;C302,'幕间与结算'!I209),"")</x:f>
        <x:v/>
      </x:c>
      <x:c r="BF302">
        <x:f>MAX(0,MIN(18,BF301+IF(C302="力量",E302,0)))</x:f>
        <x:v>0</x:v>
      </x:c>
      <x:c r="BG302">
        <x:f>MAX(0,MIN(18,BG301+IF(C302="体质",E302,0)))</x:f>
        <x:v>0</x:v>
      </x:c>
      <x:c r="BH302">
        <x:f>MAX(0,MIN(18,BH301+IF(C302="敏捷",E302,0)))</x:f>
        <x:v>0</x:v>
      </x:c>
      <x:c r="BI302">
        <x:f>MAX(0,MIN(18,BI301+IF(C302="智力",E302,0)))</x:f>
        <x:v>0</x:v>
      </x:c>
      <x:c r="BJ302">
        <x:f>MAX(0,MIN(18,BJ301+IF(C302="意志",E302,0)))</x:f>
        <x:v>0</x:v>
      </x:c>
      <x:c r="BK302">
        <x:f>MAX(0,MIN(18,BK301+IF(C302="魅力",E302,0)))</x:f>
        <x:v>0</x:v>
      </x:c>
      <x:c r="BL302">
        <x:f>MAX(0,MIN(99,BL301+IF(C302="技能：非自然知识",E302,0)))</x:f>
        <x:v>0</x:v>
      </x:c>
      <x:c r="BM302">
        <x:f>MAX(0,MIN(CEILING((BF302+BG302)/2,1),BM301+IF(C302="体力",E302,0)))</x:f>
        <x:v>0</x:v>
      </x:c>
      <x:c r="BN302">
        <x:f>MAX(0,MIN(BJ302,BN301+IF(C302="毅力",E302,0)))</x:f>
        <x:v>0</x:v>
      </x:c>
      <x:c r="BO302">
        <x:f>MAX(0,MIN(99-BL302,BO301+IF(C302="理智",E302,0)))</x:f>
        <x:v>0</x:v>
      </x:c>
      <x:c r="BP302">
        <x:f>MAX(0,MIN(99,BP301+IF(C302="崩溃点",E302,0)))</x:f>
        <x:v>0</x:v>
      </x:c>
      <x:c r="BQ302">
        <x:f>MAX(0,MIN(BK302,IF(AND(H302=1,C302="重要关系1",LEFT('幕间与结算'!H209,8)="建立新的重要关系"),'幕间与结算'!E209+E302,BQ301+IF(C302="重要关系1",E302,0)+IF(AND(C302="魅力",E302&lt;0),E302,0))))</x:f>
        <x:v>0</x:v>
      </x:c>
      <x:c r="BR302">
        <x:f>MAX(0,MIN(BK302,IF(AND(H302=1,C302="重要关系2",LEFT('幕间与结算'!H209,8)="建立新的重要关系"),'幕间与结算'!E209+E302,BR301+IF(C302="重要关系2",E302,0)+IF(AND(C302="魅力",E302&lt;0),E302,0))))</x:f>
        <x:v>0</x:v>
      </x:c>
      <x:c r="BS302">
        <x:f>MAX(0,MIN(BK302,IF(AND(H302=1,C302="重要关系3",LEFT('幕间与结算'!H209,8)="建立新的重要关系"),'幕间与结算'!E209+E302,BS301+IF(C302="重要关系3",E302,0)+IF(AND(C302="魅力",E302&lt;0),E302,0))))</x:f>
        <x:v>0</x:v>
      </x:c>
      <x:c r="BT302">
        <x:f>MAX(0,MIN(BK302,IF(AND(H302=1,C302="重要关系4",LEFT('幕间与结算'!H209,8)="建立新的重要关系"),'幕间与结算'!E209+E302,BT301+IF(C302="重要关系4",E302,0)+IF(AND(C302="魅力",E302&lt;0),E302,0))))</x:f>
        <x:v>0</x:v>
      </x:c>
      <x:c r="BU302">
        <x:f>MAX(0,MIN(BK302,IF(AND(H302=1,C302="重要关系5",LEFT('幕间与结算'!H209,8)="建立新的重要关系"),'幕间与结算'!E209+E302,BU301+IF(C302="重要关系5",E302,0)+IF(AND(C302="魅力",E302&lt;0),E302,0))))</x:f>
        <x:v>0</x:v>
      </x:c>
      <x:c r="BV302">
        <x:f>MAX(0,MIN(BK302,IF(AND(H302=1,C302="重要关系6",LEFT('幕间与结算'!H209,8)="建立新的重要关系"),'幕间与结算'!E209+E302,BV301+IF(C302="重要关系6",E302,0)+IF(AND(C302="魅力",E302&lt;0),E302,0))))</x:f>
        <x:v>0</x:v>
      </x:c>
      <x:c r="BW302">
        <x:f>MAX(0,MIN(BK302,IF(AND(H302=1,C302="重要关系7",LEFT('幕间与结算'!H209,8)="建立新的重要关系"),'幕间与结算'!E209+E302,BW301+IF(C302="重要关系7",E302,0)+IF(AND(C302="魅力",E302&lt;0),E302,0))))</x:f>
        <x:v>0</x:v>
      </x:c>
    </x:row>
    <x:row r="303">
      <x:c r="A303" t="str">
        <x:f>IFERROR(TEXT(VALUE('幕间与结算'!A210),"00"),"")</x:f>
        <x:v>00</x:v>
      </x:c>
      <x:c r="B303">
        <x:f>'幕间与结算'!B210</x:f>
        <x:v>0</x:v>
      </x:c>
      <x:c r="C303">
        <x:f>'幕间与结算'!D210</x:f>
        <x:v>0</x:v>
      </x:c>
      <x:c r="D303">
        <x:f>'幕间与结算'!F210</x:f>
        <x:v>0</x:v>
      </x:c>
      <x:c r="E303">
        <x:f>IF(H303=1,MAX(-'幕间与结算'!E210,MIN(D303,IF(LEFT(C303,3)="技能：",99,IF(COUNTIF($L$2:$L$7,C303)&gt;0,18,999))-'幕间与结算'!E210)),0)</x:f>
        <x:v>0</x:v>
      </x:c>
      <x:c r="F303" t="str">
        <x:f>IF(C303=0,"",IF(G303=0,"记录不完整",IF(H303=0,"重复未计","已计入")))</x:f>
        <x:v/>
      </x:c>
      <x:c r="G303">
        <x:f>IF(AND(AND('幕间与结算'!A210&lt;&gt;"",'幕间与结算'!B210&lt;&gt;"",'幕间与结算'!I210&lt;&gt;"",OR(LEFT(C303,3)="技能：",COUNTIF($L$2:$L$19,C303)&gt;0),ISNUMBER('幕间与结算'!E210),ISNUMBER('幕间与结算'!F210),ISNUMBER('幕间与结算'!G210),'幕间与结算'!E210&gt;=0,'幕间与结算'!G210='幕间与结算'!E210+'幕间与结算'!F210),OR(B303&lt;&gt;"成长",AND(LEFT(C303,3)="技能：",C303&lt;&gt;"技能：非自然知识",'幕间与结算'!E210&gt;=1,'幕间与结算'!E210&lt;=99,'幕间与结算'!F210&gt;=0,'幕间与结算'!F210&lt;=4,'幕间与结算'!G210&lt;=99))),1,0)</x:f>
        <x:v>0</x:v>
      </x:c>
      <x:c r="H303">
        <x:f>IF(AND(G303=1,COUNTIFS($I$200:I303,I303,$G$200:G303,1)=1),1,0)</x:f>
        <x:v>0</x:v>
      </x:c>
      <x:c r="I303" t="str">
        <x:f>IF(G303=1,IF(B303="成长",A303&amp;"-成长-"&amp;C303,'幕间与结算'!I210),"")</x:f>
        <x:v/>
      </x:c>
      <x:c r="BF303">
        <x:f>MAX(0,MIN(18,BF302+IF(C303="力量",E303,0)))</x:f>
        <x:v>0</x:v>
      </x:c>
      <x:c r="BG303">
        <x:f>MAX(0,MIN(18,BG302+IF(C303="体质",E303,0)))</x:f>
        <x:v>0</x:v>
      </x:c>
      <x:c r="BH303">
        <x:f>MAX(0,MIN(18,BH302+IF(C303="敏捷",E303,0)))</x:f>
        <x:v>0</x:v>
      </x:c>
      <x:c r="BI303">
        <x:f>MAX(0,MIN(18,BI302+IF(C303="智力",E303,0)))</x:f>
        <x:v>0</x:v>
      </x:c>
      <x:c r="BJ303">
        <x:f>MAX(0,MIN(18,BJ302+IF(C303="意志",E303,0)))</x:f>
        <x:v>0</x:v>
      </x:c>
      <x:c r="BK303">
        <x:f>MAX(0,MIN(18,BK302+IF(C303="魅力",E303,0)))</x:f>
        <x:v>0</x:v>
      </x:c>
      <x:c r="BL303">
        <x:f>MAX(0,MIN(99,BL302+IF(C303="技能：非自然知识",E303,0)))</x:f>
        <x:v>0</x:v>
      </x:c>
      <x:c r="BM303">
        <x:f>MAX(0,MIN(CEILING((BF303+BG303)/2,1),BM302+IF(C303="体力",E303,0)))</x:f>
        <x:v>0</x:v>
      </x:c>
      <x:c r="BN303">
        <x:f>MAX(0,MIN(BJ303,BN302+IF(C303="毅力",E303,0)))</x:f>
        <x:v>0</x:v>
      </x:c>
      <x:c r="BO303">
        <x:f>MAX(0,MIN(99-BL303,BO302+IF(C303="理智",E303,0)))</x:f>
        <x:v>0</x:v>
      </x:c>
      <x:c r="BP303">
        <x:f>MAX(0,MIN(99,BP302+IF(C303="崩溃点",E303,0)))</x:f>
        <x:v>0</x:v>
      </x:c>
      <x:c r="BQ303">
        <x:f>MAX(0,MIN(BK303,IF(AND(H303=1,C303="重要关系1",LEFT('幕间与结算'!H210,8)="建立新的重要关系"),'幕间与结算'!E210+E303,BQ302+IF(C303="重要关系1",E303,0)+IF(AND(C303="魅力",E303&lt;0),E303,0))))</x:f>
        <x:v>0</x:v>
      </x:c>
      <x:c r="BR303">
        <x:f>MAX(0,MIN(BK303,IF(AND(H303=1,C303="重要关系2",LEFT('幕间与结算'!H210,8)="建立新的重要关系"),'幕间与结算'!E210+E303,BR302+IF(C303="重要关系2",E303,0)+IF(AND(C303="魅力",E303&lt;0),E303,0))))</x:f>
        <x:v>0</x:v>
      </x:c>
      <x:c r="BS303">
        <x:f>MAX(0,MIN(BK303,IF(AND(H303=1,C303="重要关系3",LEFT('幕间与结算'!H210,8)="建立新的重要关系"),'幕间与结算'!E210+E303,BS302+IF(C303="重要关系3",E303,0)+IF(AND(C303="魅力",E303&lt;0),E303,0))))</x:f>
        <x:v>0</x:v>
      </x:c>
      <x:c r="BT303">
        <x:f>MAX(0,MIN(BK303,IF(AND(H303=1,C303="重要关系4",LEFT('幕间与结算'!H210,8)="建立新的重要关系"),'幕间与结算'!E210+E303,BT302+IF(C303="重要关系4",E303,0)+IF(AND(C303="魅力",E303&lt;0),E303,0))))</x:f>
        <x:v>0</x:v>
      </x:c>
      <x:c r="BU303">
        <x:f>MAX(0,MIN(BK303,IF(AND(H303=1,C303="重要关系5",LEFT('幕间与结算'!H210,8)="建立新的重要关系"),'幕间与结算'!E210+E303,BU302+IF(C303="重要关系5",E303,0)+IF(AND(C303="魅力",E303&lt;0),E303,0))))</x:f>
        <x:v>0</x:v>
      </x:c>
      <x:c r="BV303">
        <x:f>MAX(0,MIN(BK303,IF(AND(H303=1,C303="重要关系6",LEFT('幕间与结算'!H210,8)="建立新的重要关系"),'幕间与结算'!E210+E303,BV302+IF(C303="重要关系6",E303,0)+IF(AND(C303="魅力",E303&lt;0),E303,0))))</x:f>
        <x:v>0</x:v>
      </x:c>
      <x:c r="BW303">
        <x:f>MAX(0,MIN(BK303,IF(AND(H303=1,C303="重要关系7",LEFT('幕间与结算'!H210,8)="建立新的重要关系"),'幕间与结算'!E210+E303,BW302+IF(C303="重要关系7",E303,0)+IF(AND(C303="魅力",E303&lt;0),E303,0))))</x:f>
        <x:v>0</x:v>
      </x:c>
    </x:row>
    <x:row r="304">
      <x:c r="A304" t="str">
        <x:f>IFERROR(TEXT(VALUE('幕间与结算'!A211),"00"),"")</x:f>
        <x:v>00</x:v>
      </x:c>
      <x:c r="B304">
        <x:f>'幕间与结算'!B211</x:f>
        <x:v>0</x:v>
      </x:c>
      <x:c r="C304">
        <x:f>'幕间与结算'!D211</x:f>
        <x:v>0</x:v>
      </x:c>
      <x:c r="D304">
        <x:f>'幕间与结算'!F211</x:f>
        <x:v>0</x:v>
      </x:c>
      <x:c r="E304">
        <x:f>IF(H304=1,MAX(-'幕间与结算'!E211,MIN(D304,IF(LEFT(C304,3)="技能：",99,IF(COUNTIF($L$2:$L$7,C304)&gt;0,18,999))-'幕间与结算'!E211)),0)</x:f>
        <x:v>0</x:v>
      </x:c>
      <x:c r="F304" t="str">
        <x:f>IF(C304=0,"",IF(G304=0,"记录不完整",IF(H304=0,"重复未计","已计入")))</x:f>
        <x:v/>
      </x:c>
      <x:c r="G304">
        <x:f>IF(AND(AND('幕间与结算'!A211&lt;&gt;"",'幕间与结算'!B211&lt;&gt;"",'幕间与结算'!I211&lt;&gt;"",OR(LEFT(C304,3)="技能：",COUNTIF($L$2:$L$19,C304)&gt;0),ISNUMBER('幕间与结算'!E211),ISNUMBER('幕间与结算'!F211),ISNUMBER('幕间与结算'!G211),'幕间与结算'!E211&gt;=0,'幕间与结算'!G211='幕间与结算'!E211+'幕间与结算'!F211),OR(B304&lt;&gt;"成长",AND(LEFT(C304,3)="技能：",C304&lt;&gt;"技能：非自然知识",'幕间与结算'!E211&gt;=1,'幕间与结算'!E211&lt;=99,'幕间与结算'!F211&gt;=0,'幕间与结算'!F211&lt;=4,'幕间与结算'!G211&lt;=99))),1,0)</x:f>
        <x:v>0</x:v>
      </x:c>
      <x:c r="H304">
        <x:f>IF(AND(G304=1,COUNTIFS($I$200:I304,I304,$G$200:G304,1)=1),1,0)</x:f>
        <x:v>0</x:v>
      </x:c>
      <x:c r="I304" t="str">
        <x:f>IF(G304=1,IF(B304="成长",A304&amp;"-成长-"&amp;C304,'幕间与结算'!I211),"")</x:f>
        <x:v/>
      </x:c>
      <x:c r="BF304">
        <x:f>MAX(0,MIN(18,BF303+IF(C304="力量",E304,0)))</x:f>
        <x:v>0</x:v>
      </x:c>
      <x:c r="BG304">
        <x:f>MAX(0,MIN(18,BG303+IF(C304="体质",E304,0)))</x:f>
        <x:v>0</x:v>
      </x:c>
      <x:c r="BH304">
        <x:f>MAX(0,MIN(18,BH303+IF(C304="敏捷",E304,0)))</x:f>
        <x:v>0</x:v>
      </x:c>
      <x:c r="BI304">
        <x:f>MAX(0,MIN(18,BI303+IF(C304="智力",E304,0)))</x:f>
        <x:v>0</x:v>
      </x:c>
      <x:c r="BJ304">
        <x:f>MAX(0,MIN(18,BJ303+IF(C304="意志",E304,0)))</x:f>
        <x:v>0</x:v>
      </x:c>
      <x:c r="BK304">
        <x:f>MAX(0,MIN(18,BK303+IF(C304="魅力",E304,0)))</x:f>
        <x:v>0</x:v>
      </x:c>
      <x:c r="BL304">
        <x:f>MAX(0,MIN(99,BL303+IF(C304="技能：非自然知识",E304,0)))</x:f>
        <x:v>0</x:v>
      </x:c>
      <x:c r="BM304">
        <x:f>MAX(0,MIN(CEILING((BF304+BG304)/2,1),BM303+IF(C304="体力",E304,0)))</x:f>
        <x:v>0</x:v>
      </x:c>
      <x:c r="BN304">
        <x:f>MAX(0,MIN(BJ304,BN303+IF(C304="毅力",E304,0)))</x:f>
        <x:v>0</x:v>
      </x:c>
      <x:c r="BO304">
        <x:f>MAX(0,MIN(99-BL304,BO303+IF(C304="理智",E304,0)))</x:f>
        <x:v>0</x:v>
      </x:c>
      <x:c r="BP304">
        <x:f>MAX(0,MIN(99,BP303+IF(C304="崩溃点",E304,0)))</x:f>
        <x:v>0</x:v>
      </x:c>
      <x:c r="BQ304">
        <x:f>MAX(0,MIN(BK304,IF(AND(H304=1,C304="重要关系1",LEFT('幕间与结算'!H211,8)="建立新的重要关系"),'幕间与结算'!E211+E304,BQ303+IF(C304="重要关系1",E304,0)+IF(AND(C304="魅力",E304&lt;0),E304,0))))</x:f>
        <x:v>0</x:v>
      </x:c>
      <x:c r="BR304">
        <x:f>MAX(0,MIN(BK304,IF(AND(H304=1,C304="重要关系2",LEFT('幕间与结算'!H211,8)="建立新的重要关系"),'幕间与结算'!E211+E304,BR303+IF(C304="重要关系2",E304,0)+IF(AND(C304="魅力",E304&lt;0),E304,0))))</x:f>
        <x:v>0</x:v>
      </x:c>
      <x:c r="BS304">
        <x:f>MAX(0,MIN(BK304,IF(AND(H304=1,C304="重要关系3",LEFT('幕间与结算'!H211,8)="建立新的重要关系"),'幕间与结算'!E211+E304,BS303+IF(C304="重要关系3",E304,0)+IF(AND(C304="魅力",E304&lt;0),E304,0))))</x:f>
        <x:v>0</x:v>
      </x:c>
      <x:c r="BT304">
        <x:f>MAX(0,MIN(BK304,IF(AND(H304=1,C304="重要关系4",LEFT('幕间与结算'!H211,8)="建立新的重要关系"),'幕间与结算'!E211+E304,BT303+IF(C304="重要关系4",E304,0)+IF(AND(C304="魅力",E304&lt;0),E304,0))))</x:f>
        <x:v>0</x:v>
      </x:c>
      <x:c r="BU304">
        <x:f>MAX(0,MIN(BK304,IF(AND(H304=1,C304="重要关系5",LEFT('幕间与结算'!H211,8)="建立新的重要关系"),'幕间与结算'!E211+E304,BU303+IF(C304="重要关系5",E304,0)+IF(AND(C304="魅力",E304&lt;0),E304,0))))</x:f>
        <x:v>0</x:v>
      </x:c>
      <x:c r="BV304">
        <x:f>MAX(0,MIN(BK304,IF(AND(H304=1,C304="重要关系6",LEFT('幕间与结算'!H211,8)="建立新的重要关系"),'幕间与结算'!E211+E304,BV303+IF(C304="重要关系6",E304,0)+IF(AND(C304="魅力",E304&lt;0),E304,0))))</x:f>
        <x:v>0</x:v>
      </x:c>
      <x:c r="BW304">
        <x:f>MAX(0,MIN(BK304,IF(AND(H304=1,C304="重要关系7",LEFT('幕间与结算'!H211,8)="建立新的重要关系"),'幕间与结算'!E211+E304,BW303+IF(C304="重要关系7",E304,0)+IF(AND(C304="魅力",E304&lt;0),E304,0))))</x:f>
        <x:v>0</x:v>
      </x:c>
    </x:row>
    <x:row r="305">
      <x:c r="A305" t="str">
        <x:f>IFERROR(TEXT(VALUE('幕间与结算'!A212),"00"),"")</x:f>
        <x:v>00</x:v>
      </x:c>
      <x:c r="B305">
        <x:f>'幕间与结算'!B212</x:f>
        <x:v>0</x:v>
      </x:c>
      <x:c r="C305">
        <x:f>'幕间与结算'!D212</x:f>
        <x:v>0</x:v>
      </x:c>
      <x:c r="D305">
        <x:f>'幕间与结算'!F212</x:f>
        <x:v>0</x:v>
      </x:c>
      <x:c r="E305">
        <x:f>IF(H305=1,MAX(-'幕间与结算'!E212,MIN(D305,IF(LEFT(C305,3)="技能：",99,IF(COUNTIF($L$2:$L$7,C305)&gt;0,18,999))-'幕间与结算'!E212)),0)</x:f>
        <x:v>0</x:v>
      </x:c>
      <x:c r="F305" t="str">
        <x:f>IF(C305=0,"",IF(G305=0,"记录不完整",IF(H305=0,"重复未计","已计入")))</x:f>
        <x:v/>
      </x:c>
      <x:c r="G305">
        <x:f>IF(AND(AND('幕间与结算'!A212&lt;&gt;"",'幕间与结算'!B212&lt;&gt;"",'幕间与结算'!I212&lt;&gt;"",OR(LEFT(C305,3)="技能：",COUNTIF($L$2:$L$19,C305)&gt;0),ISNUMBER('幕间与结算'!E212),ISNUMBER('幕间与结算'!F212),ISNUMBER('幕间与结算'!G212),'幕间与结算'!E212&gt;=0,'幕间与结算'!G212='幕间与结算'!E212+'幕间与结算'!F212),OR(B305&lt;&gt;"成长",AND(LEFT(C305,3)="技能：",C305&lt;&gt;"技能：非自然知识",'幕间与结算'!E212&gt;=1,'幕间与结算'!E212&lt;=99,'幕间与结算'!F212&gt;=0,'幕间与结算'!F212&lt;=4,'幕间与结算'!G212&lt;=99))),1,0)</x:f>
        <x:v>0</x:v>
      </x:c>
      <x:c r="H305">
        <x:f>IF(AND(G305=1,COUNTIFS($I$200:I305,I305,$G$200:G305,1)=1),1,0)</x:f>
        <x:v>0</x:v>
      </x:c>
      <x:c r="I305" t="str">
        <x:f>IF(G305=1,IF(B305="成长",A305&amp;"-成长-"&amp;C305,'幕间与结算'!I212),"")</x:f>
        <x:v/>
      </x:c>
      <x:c r="BF305">
        <x:f>MAX(0,MIN(18,BF304+IF(C305="力量",E305,0)))</x:f>
        <x:v>0</x:v>
      </x:c>
      <x:c r="BG305">
        <x:f>MAX(0,MIN(18,BG304+IF(C305="体质",E305,0)))</x:f>
        <x:v>0</x:v>
      </x:c>
      <x:c r="BH305">
        <x:f>MAX(0,MIN(18,BH304+IF(C305="敏捷",E305,0)))</x:f>
        <x:v>0</x:v>
      </x:c>
      <x:c r="BI305">
        <x:f>MAX(0,MIN(18,BI304+IF(C305="智力",E305,0)))</x:f>
        <x:v>0</x:v>
      </x:c>
      <x:c r="BJ305">
        <x:f>MAX(0,MIN(18,BJ304+IF(C305="意志",E305,0)))</x:f>
        <x:v>0</x:v>
      </x:c>
      <x:c r="BK305">
        <x:f>MAX(0,MIN(18,BK304+IF(C305="魅力",E305,0)))</x:f>
        <x:v>0</x:v>
      </x:c>
      <x:c r="BL305">
        <x:f>MAX(0,MIN(99,BL304+IF(C305="技能：非自然知识",E305,0)))</x:f>
        <x:v>0</x:v>
      </x:c>
      <x:c r="BM305">
        <x:f>MAX(0,MIN(CEILING((BF305+BG305)/2,1),BM304+IF(C305="体力",E305,0)))</x:f>
        <x:v>0</x:v>
      </x:c>
      <x:c r="BN305">
        <x:f>MAX(0,MIN(BJ305,BN304+IF(C305="毅力",E305,0)))</x:f>
        <x:v>0</x:v>
      </x:c>
      <x:c r="BO305">
        <x:f>MAX(0,MIN(99-BL305,BO304+IF(C305="理智",E305,0)))</x:f>
        <x:v>0</x:v>
      </x:c>
      <x:c r="BP305">
        <x:f>MAX(0,MIN(99,BP304+IF(C305="崩溃点",E305,0)))</x:f>
        <x:v>0</x:v>
      </x:c>
      <x:c r="BQ305">
        <x:f>MAX(0,MIN(BK305,IF(AND(H305=1,C305="重要关系1",LEFT('幕间与结算'!H212,8)="建立新的重要关系"),'幕间与结算'!E212+E305,BQ304+IF(C305="重要关系1",E305,0)+IF(AND(C305="魅力",E305&lt;0),E305,0))))</x:f>
        <x:v>0</x:v>
      </x:c>
      <x:c r="BR305">
        <x:f>MAX(0,MIN(BK305,IF(AND(H305=1,C305="重要关系2",LEFT('幕间与结算'!H212,8)="建立新的重要关系"),'幕间与结算'!E212+E305,BR304+IF(C305="重要关系2",E305,0)+IF(AND(C305="魅力",E305&lt;0),E305,0))))</x:f>
        <x:v>0</x:v>
      </x:c>
      <x:c r="BS305">
        <x:f>MAX(0,MIN(BK305,IF(AND(H305=1,C305="重要关系3",LEFT('幕间与结算'!H212,8)="建立新的重要关系"),'幕间与结算'!E212+E305,BS304+IF(C305="重要关系3",E305,0)+IF(AND(C305="魅力",E305&lt;0),E305,0))))</x:f>
        <x:v>0</x:v>
      </x:c>
      <x:c r="BT305">
        <x:f>MAX(0,MIN(BK305,IF(AND(H305=1,C305="重要关系4",LEFT('幕间与结算'!H212,8)="建立新的重要关系"),'幕间与结算'!E212+E305,BT304+IF(C305="重要关系4",E305,0)+IF(AND(C305="魅力",E305&lt;0),E305,0))))</x:f>
        <x:v>0</x:v>
      </x:c>
      <x:c r="BU305">
        <x:f>MAX(0,MIN(BK305,IF(AND(H305=1,C305="重要关系5",LEFT('幕间与结算'!H212,8)="建立新的重要关系"),'幕间与结算'!E212+E305,BU304+IF(C305="重要关系5",E305,0)+IF(AND(C305="魅力",E305&lt;0),E305,0))))</x:f>
        <x:v>0</x:v>
      </x:c>
      <x:c r="BV305">
        <x:f>MAX(0,MIN(BK305,IF(AND(H305=1,C305="重要关系6",LEFT('幕间与结算'!H212,8)="建立新的重要关系"),'幕间与结算'!E212+E305,BV304+IF(C305="重要关系6",E305,0)+IF(AND(C305="魅力",E305&lt;0),E305,0))))</x:f>
        <x:v>0</x:v>
      </x:c>
      <x:c r="BW305">
        <x:f>MAX(0,MIN(BK305,IF(AND(H305=1,C305="重要关系7",LEFT('幕间与结算'!H212,8)="建立新的重要关系"),'幕间与结算'!E212+E305,BW304+IF(C305="重要关系7",E305,0)+IF(AND(C305="魅力",E305&lt;0),E305,0))))</x:f>
        <x:v>0</x:v>
      </x:c>
    </x:row>
    <x:row r="306">
      <x:c r="A306" t="str">
        <x:f>IFERROR(TEXT(VALUE('幕间与结算'!A213),"00"),"")</x:f>
        <x:v>00</x:v>
      </x:c>
      <x:c r="B306">
        <x:f>'幕间与结算'!B213</x:f>
        <x:v>0</x:v>
      </x:c>
      <x:c r="C306">
        <x:f>'幕间与结算'!D213</x:f>
        <x:v>0</x:v>
      </x:c>
      <x:c r="D306">
        <x:f>'幕间与结算'!F213</x:f>
        <x:v>0</x:v>
      </x:c>
      <x:c r="E306">
        <x:f>IF(H306=1,MAX(-'幕间与结算'!E213,MIN(D306,IF(LEFT(C306,3)="技能：",99,IF(COUNTIF($L$2:$L$7,C306)&gt;0,18,999))-'幕间与结算'!E213)),0)</x:f>
        <x:v>0</x:v>
      </x:c>
      <x:c r="F306" t="str">
        <x:f>IF(C306=0,"",IF(G306=0,"记录不完整",IF(H306=0,"重复未计","已计入")))</x:f>
        <x:v/>
      </x:c>
      <x:c r="G306">
        <x:f>IF(AND(AND('幕间与结算'!A213&lt;&gt;"",'幕间与结算'!B213&lt;&gt;"",'幕间与结算'!I213&lt;&gt;"",OR(LEFT(C306,3)="技能：",COUNTIF($L$2:$L$19,C306)&gt;0),ISNUMBER('幕间与结算'!E213),ISNUMBER('幕间与结算'!F213),ISNUMBER('幕间与结算'!G213),'幕间与结算'!E213&gt;=0,'幕间与结算'!G213='幕间与结算'!E213+'幕间与结算'!F213),OR(B306&lt;&gt;"成长",AND(LEFT(C306,3)="技能：",C306&lt;&gt;"技能：非自然知识",'幕间与结算'!E213&gt;=1,'幕间与结算'!E213&lt;=99,'幕间与结算'!F213&gt;=0,'幕间与结算'!F213&lt;=4,'幕间与结算'!G213&lt;=99))),1,0)</x:f>
        <x:v>0</x:v>
      </x:c>
      <x:c r="H306">
        <x:f>IF(AND(G306=1,COUNTIFS($I$200:I306,I306,$G$200:G306,1)=1),1,0)</x:f>
        <x:v>0</x:v>
      </x:c>
      <x:c r="I306" t="str">
        <x:f>IF(G306=1,IF(B306="成长",A306&amp;"-成长-"&amp;C306,'幕间与结算'!I213),"")</x:f>
        <x:v/>
      </x:c>
      <x:c r="BF306">
        <x:f>MAX(0,MIN(18,BF305+IF(C306="力量",E306,0)))</x:f>
        <x:v>0</x:v>
      </x:c>
      <x:c r="BG306">
        <x:f>MAX(0,MIN(18,BG305+IF(C306="体质",E306,0)))</x:f>
        <x:v>0</x:v>
      </x:c>
      <x:c r="BH306">
        <x:f>MAX(0,MIN(18,BH305+IF(C306="敏捷",E306,0)))</x:f>
        <x:v>0</x:v>
      </x:c>
      <x:c r="BI306">
        <x:f>MAX(0,MIN(18,BI305+IF(C306="智力",E306,0)))</x:f>
        <x:v>0</x:v>
      </x:c>
      <x:c r="BJ306">
        <x:f>MAX(0,MIN(18,BJ305+IF(C306="意志",E306,0)))</x:f>
        <x:v>0</x:v>
      </x:c>
      <x:c r="BK306">
        <x:f>MAX(0,MIN(18,BK305+IF(C306="魅力",E306,0)))</x:f>
        <x:v>0</x:v>
      </x:c>
      <x:c r="BL306">
        <x:f>MAX(0,MIN(99,BL305+IF(C306="技能：非自然知识",E306,0)))</x:f>
        <x:v>0</x:v>
      </x:c>
      <x:c r="BM306">
        <x:f>MAX(0,MIN(CEILING((BF306+BG306)/2,1),BM305+IF(C306="体力",E306,0)))</x:f>
        <x:v>0</x:v>
      </x:c>
      <x:c r="BN306">
        <x:f>MAX(0,MIN(BJ306,BN305+IF(C306="毅力",E306,0)))</x:f>
        <x:v>0</x:v>
      </x:c>
      <x:c r="BO306">
        <x:f>MAX(0,MIN(99-BL306,BO305+IF(C306="理智",E306,0)))</x:f>
        <x:v>0</x:v>
      </x:c>
      <x:c r="BP306">
        <x:f>MAX(0,MIN(99,BP305+IF(C306="崩溃点",E306,0)))</x:f>
        <x:v>0</x:v>
      </x:c>
      <x:c r="BQ306">
        <x:f>MAX(0,MIN(BK306,IF(AND(H306=1,C306="重要关系1",LEFT('幕间与结算'!H213,8)="建立新的重要关系"),'幕间与结算'!E213+E306,BQ305+IF(C306="重要关系1",E306,0)+IF(AND(C306="魅力",E306&lt;0),E306,0))))</x:f>
        <x:v>0</x:v>
      </x:c>
      <x:c r="BR306">
        <x:f>MAX(0,MIN(BK306,IF(AND(H306=1,C306="重要关系2",LEFT('幕间与结算'!H213,8)="建立新的重要关系"),'幕间与结算'!E213+E306,BR305+IF(C306="重要关系2",E306,0)+IF(AND(C306="魅力",E306&lt;0),E306,0))))</x:f>
        <x:v>0</x:v>
      </x:c>
      <x:c r="BS306">
        <x:f>MAX(0,MIN(BK306,IF(AND(H306=1,C306="重要关系3",LEFT('幕间与结算'!H213,8)="建立新的重要关系"),'幕间与结算'!E213+E306,BS305+IF(C306="重要关系3",E306,0)+IF(AND(C306="魅力",E306&lt;0),E306,0))))</x:f>
        <x:v>0</x:v>
      </x:c>
      <x:c r="BT306">
        <x:f>MAX(0,MIN(BK306,IF(AND(H306=1,C306="重要关系4",LEFT('幕间与结算'!H213,8)="建立新的重要关系"),'幕间与结算'!E213+E306,BT305+IF(C306="重要关系4",E306,0)+IF(AND(C306="魅力",E306&lt;0),E306,0))))</x:f>
        <x:v>0</x:v>
      </x:c>
      <x:c r="BU306">
        <x:f>MAX(0,MIN(BK306,IF(AND(H306=1,C306="重要关系5",LEFT('幕间与结算'!H213,8)="建立新的重要关系"),'幕间与结算'!E213+E306,BU305+IF(C306="重要关系5",E306,0)+IF(AND(C306="魅力",E306&lt;0),E306,0))))</x:f>
        <x:v>0</x:v>
      </x:c>
      <x:c r="BV306">
        <x:f>MAX(0,MIN(BK306,IF(AND(H306=1,C306="重要关系6",LEFT('幕间与结算'!H213,8)="建立新的重要关系"),'幕间与结算'!E213+E306,BV305+IF(C306="重要关系6",E306,0)+IF(AND(C306="魅力",E306&lt;0),E306,0))))</x:f>
        <x:v>0</x:v>
      </x:c>
      <x:c r="BW306">
        <x:f>MAX(0,MIN(BK306,IF(AND(H306=1,C306="重要关系7",LEFT('幕间与结算'!H213,8)="建立新的重要关系"),'幕间与结算'!E213+E306,BW305+IF(C306="重要关系7",E306,0)+IF(AND(C306="魅力",E306&lt;0),E306,0))))</x:f>
        <x:v>0</x:v>
      </x:c>
    </x:row>
    <x:row r="307">
      <x:c r="A307" t="str">
        <x:f>IFERROR(TEXT(VALUE('幕间与结算'!A214),"00"),"")</x:f>
        <x:v>00</x:v>
      </x:c>
      <x:c r="B307">
        <x:f>'幕间与结算'!B214</x:f>
        <x:v>0</x:v>
      </x:c>
      <x:c r="C307">
        <x:f>'幕间与结算'!D214</x:f>
        <x:v>0</x:v>
      </x:c>
      <x:c r="D307">
        <x:f>'幕间与结算'!F214</x:f>
        <x:v>0</x:v>
      </x:c>
      <x:c r="E307">
        <x:f>IF(H307=1,MAX(-'幕间与结算'!E214,MIN(D307,IF(LEFT(C307,3)="技能：",99,IF(COUNTIF($L$2:$L$7,C307)&gt;0,18,999))-'幕间与结算'!E214)),0)</x:f>
        <x:v>0</x:v>
      </x:c>
      <x:c r="F307" t="str">
        <x:f>IF(C307=0,"",IF(G307=0,"记录不完整",IF(H307=0,"重复未计","已计入")))</x:f>
        <x:v/>
      </x:c>
      <x:c r="G307">
        <x:f>IF(AND(AND('幕间与结算'!A214&lt;&gt;"",'幕间与结算'!B214&lt;&gt;"",'幕间与结算'!I214&lt;&gt;"",OR(LEFT(C307,3)="技能：",COUNTIF($L$2:$L$19,C307)&gt;0),ISNUMBER('幕间与结算'!E214),ISNUMBER('幕间与结算'!F214),ISNUMBER('幕间与结算'!G214),'幕间与结算'!E214&gt;=0,'幕间与结算'!G214='幕间与结算'!E214+'幕间与结算'!F214),OR(B307&lt;&gt;"成长",AND(LEFT(C307,3)="技能：",C307&lt;&gt;"技能：非自然知识",'幕间与结算'!E214&gt;=1,'幕间与结算'!E214&lt;=99,'幕间与结算'!F214&gt;=0,'幕间与结算'!F214&lt;=4,'幕间与结算'!G214&lt;=99))),1,0)</x:f>
        <x:v>0</x:v>
      </x:c>
      <x:c r="H307">
        <x:f>IF(AND(G307=1,COUNTIFS($I$200:I307,I307,$G$200:G307,1)=1),1,0)</x:f>
        <x:v>0</x:v>
      </x:c>
      <x:c r="I307" t="str">
        <x:f>IF(G307=1,IF(B307="成长",A307&amp;"-成长-"&amp;C307,'幕间与结算'!I214),"")</x:f>
        <x:v/>
      </x:c>
      <x:c r="BF307">
        <x:f>MAX(0,MIN(18,BF306+IF(C307="力量",E307,0)))</x:f>
        <x:v>0</x:v>
      </x:c>
      <x:c r="BG307">
        <x:f>MAX(0,MIN(18,BG306+IF(C307="体质",E307,0)))</x:f>
        <x:v>0</x:v>
      </x:c>
      <x:c r="BH307">
        <x:f>MAX(0,MIN(18,BH306+IF(C307="敏捷",E307,0)))</x:f>
        <x:v>0</x:v>
      </x:c>
      <x:c r="BI307">
        <x:f>MAX(0,MIN(18,BI306+IF(C307="智力",E307,0)))</x:f>
        <x:v>0</x:v>
      </x:c>
      <x:c r="BJ307">
        <x:f>MAX(0,MIN(18,BJ306+IF(C307="意志",E307,0)))</x:f>
        <x:v>0</x:v>
      </x:c>
      <x:c r="BK307">
        <x:f>MAX(0,MIN(18,BK306+IF(C307="魅力",E307,0)))</x:f>
        <x:v>0</x:v>
      </x:c>
      <x:c r="BL307">
        <x:f>MAX(0,MIN(99,BL306+IF(C307="技能：非自然知识",E307,0)))</x:f>
        <x:v>0</x:v>
      </x:c>
      <x:c r="BM307">
        <x:f>MAX(0,MIN(CEILING((BF307+BG307)/2,1),BM306+IF(C307="体力",E307,0)))</x:f>
        <x:v>0</x:v>
      </x:c>
      <x:c r="BN307">
        <x:f>MAX(0,MIN(BJ307,BN306+IF(C307="毅力",E307,0)))</x:f>
        <x:v>0</x:v>
      </x:c>
      <x:c r="BO307">
        <x:f>MAX(0,MIN(99-BL307,BO306+IF(C307="理智",E307,0)))</x:f>
        <x:v>0</x:v>
      </x:c>
      <x:c r="BP307">
        <x:f>MAX(0,MIN(99,BP306+IF(C307="崩溃点",E307,0)))</x:f>
        <x:v>0</x:v>
      </x:c>
      <x:c r="BQ307">
        <x:f>MAX(0,MIN(BK307,IF(AND(H307=1,C307="重要关系1",LEFT('幕间与结算'!H214,8)="建立新的重要关系"),'幕间与结算'!E214+E307,BQ306+IF(C307="重要关系1",E307,0)+IF(AND(C307="魅力",E307&lt;0),E307,0))))</x:f>
        <x:v>0</x:v>
      </x:c>
      <x:c r="BR307">
        <x:f>MAX(0,MIN(BK307,IF(AND(H307=1,C307="重要关系2",LEFT('幕间与结算'!H214,8)="建立新的重要关系"),'幕间与结算'!E214+E307,BR306+IF(C307="重要关系2",E307,0)+IF(AND(C307="魅力",E307&lt;0),E307,0))))</x:f>
        <x:v>0</x:v>
      </x:c>
      <x:c r="BS307">
        <x:f>MAX(0,MIN(BK307,IF(AND(H307=1,C307="重要关系3",LEFT('幕间与结算'!H214,8)="建立新的重要关系"),'幕间与结算'!E214+E307,BS306+IF(C307="重要关系3",E307,0)+IF(AND(C307="魅力",E307&lt;0),E307,0))))</x:f>
        <x:v>0</x:v>
      </x:c>
      <x:c r="BT307">
        <x:f>MAX(0,MIN(BK307,IF(AND(H307=1,C307="重要关系4",LEFT('幕间与结算'!H214,8)="建立新的重要关系"),'幕间与结算'!E214+E307,BT306+IF(C307="重要关系4",E307,0)+IF(AND(C307="魅力",E307&lt;0),E307,0))))</x:f>
        <x:v>0</x:v>
      </x:c>
      <x:c r="BU307">
        <x:f>MAX(0,MIN(BK307,IF(AND(H307=1,C307="重要关系5",LEFT('幕间与结算'!H214,8)="建立新的重要关系"),'幕间与结算'!E214+E307,BU306+IF(C307="重要关系5",E307,0)+IF(AND(C307="魅力",E307&lt;0),E307,0))))</x:f>
        <x:v>0</x:v>
      </x:c>
      <x:c r="BV307">
        <x:f>MAX(0,MIN(BK307,IF(AND(H307=1,C307="重要关系6",LEFT('幕间与结算'!H214,8)="建立新的重要关系"),'幕间与结算'!E214+E307,BV306+IF(C307="重要关系6",E307,0)+IF(AND(C307="魅力",E307&lt;0),E307,0))))</x:f>
        <x:v>0</x:v>
      </x:c>
      <x:c r="BW307">
        <x:f>MAX(0,MIN(BK307,IF(AND(H307=1,C307="重要关系7",LEFT('幕间与结算'!H214,8)="建立新的重要关系"),'幕间与结算'!E214+E307,BW306+IF(C307="重要关系7",E307,0)+IF(AND(C307="魅力",E307&lt;0),E307,0))))</x:f>
        <x:v>0</x:v>
      </x:c>
    </x:row>
    <x:row r="308">
      <x:c r="A308" t="str">
        <x:f>IFERROR(TEXT(VALUE('幕间与结算'!A215),"00"),"")</x:f>
        <x:v>00</x:v>
      </x:c>
      <x:c r="B308">
        <x:f>'幕间与结算'!B215</x:f>
        <x:v>0</x:v>
      </x:c>
      <x:c r="C308">
        <x:f>'幕间与结算'!D215</x:f>
        <x:v>0</x:v>
      </x:c>
      <x:c r="D308">
        <x:f>'幕间与结算'!F215</x:f>
        <x:v>0</x:v>
      </x:c>
      <x:c r="E308">
        <x:f>IF(H308=1,MAX(-'幕间与结算'!E215,MIN(D308,IF(LEFT(C308,3)="技能：",99,IF(COUNTIF($L$2:$L$7,C308)&gt;0,18,999))-'幕间与结算'!E215)),0)</x:f>
        <x:v>0</x:v>
      </x:c>
      <x:c r="F308" t="str">
        <x:f>IF(C308=0,"",IF(G308=0,"记录不完整",IF(H308=0,"重复未计","已计入")))</x:f>
        <x:v/>
      </x:c>
      <x:c r="G308">
        <x:f>IF(AND(AND('幕间与结算'!A215&lt;&gt;"",'幕间与结算'!B215&lt;&gt;"",'幕间与结算'!I215&lt;&gt;"",OR(LEFT(C308,3)="技能：",COUNTIF($L$2:$L$19,C308)&gt;0),ISNUMBER('幕间与结算'!E215),ISNUMBER('幕间与结算'!F215),ISNUMBER('幕间与结算'!G215),'幕间与结算'!E215&gt;=0,'幕间与结算'!G215='幕间与结算'!E215+'幕间与结算'!F215),OR(B308&lt;&gt;"成长",AND(LEFT(C308,3)="技能：",C308&lt;&gt;"技能：非自然知识",'幕间与结算'!E215&gt;=1,'幕间与结算'!E215&lt;=99,'幕间与结算'!F215&gt;=0,'幕间与结算'!F215&lt;=4,'幕间与结算'!G215&lt;=99))),1,0)</x:f>
        <x:v>0</x:v>
      </x:c>
      <x:c r="H308">
        <x:f>IF(AND(G308=1,COUNTIFS($I$200:I308,I308,$G$200:G308,1)=1),1,0)</x:f>
        <x:v>0</x:v>
      </x:c>
      <x:c r="I308" t="str">
        <x:f>IF(G308=1,IF(B308="成长",A308&amp;"-成长-"&amp;C308,'幕间与结算'!I215),"")</x:f>
        <x:v/>
      </x:c>
      <x:c r="BF308">
        <x:f>MAX(0,MIN(18,BF307+IF(C308="力量",E308,0)))</x:f>
        <x:v>0</x:v>
      </x:c>
      <x:c r="BG308">
        <x:f>MAX(0,MIN(18,BG307+IF(C308="体质",E308,0)))</x:f>
        <x:v>0</x:v>
      </x:c>
      <x:c r="BH308">
        <x:f>MAX(0,MIN(18,BH307+IF(C308="敏捷",E308,0)))</x:f>
        <x:v>0</x:v>
      </x:c>
      <x:c r="BI308">
        <x:f>MAX(0,MIN(18,BI307+IF(C308="智力",E308,0)))</x:f>
        <x:v>0</x:v>
      </x:c>
      <x:c r="BJ308">
        <x:f>MAX(0,MIN(18,BJ307+IF(C308="意志",E308,0)))</x:f>
        <x:v>0</x:v>
      </x:c>
      <x:c r="BK308">
        <x:f>MAX(0,MIN(18,BK307+IF(C308="魅力",E308,0)))</x:f>
        <x:v>0</x:v>
      </x:c>
      <x:c r="BL308">
        <x:f>MAX(0,MIN(99,BL307+IF(C308="技能：非自然知识",E308,0)))</x:f>
        <x:v>0</x:v>
      </x:c>
      <x:c r="BM308">
        <x:f>MAX(0,MIN(CEILING((BF308+BG308)/2,1),BM307+IF(C308="体力",E308,0)))</x:f>
        <x:v>0</x:v>
      </x:c>
      <x:c r="BN308">
        <x:f>MAX(0,MIN(BJ308,BN307+IF(C308="毅力",E308,0)))</x:f>
        <x:v>0</x:v>
      </x:c>
      <x:c r="BO308">
        <x:f>MAX(0,MIN(99-BL308,BO307+IF(C308="理智",E308,0)))</x:f>
        <x:v>0</x:v>
      </x:c>
      <x:c r="BP308">
        <x:f>MAX(0,MIN(99,BP307+IF(C308="崩溃点",E308,0)))</x:f>
        <x:v>0</x:v>
      </x:c>
      <x:c r="BQ308">
        <x:f>MAX(0,MIN(BK308,IF(AND(H308=1,C308="重要关系1",LEFT('幕间与结算'!H215,8)="建立新的重要关系"),'幕间与结算'!E215+E308,BQ307+IF(C308="重要关系1",E308,0)+IF(AND(C308="魅力",E308&lt;0),E308,0))))</x:f>
        <x:v>0</x:v>
      </x:c>
      <x:c r="BR308">
        <x:f>MAX(0,MIN(BK308,IF(AND(H308=1,C308="重要关系2",LEFT('幕间与结算'!H215,8)="建立新的重要关系"),'幕间与结算'!E215+E308,BR307+IF(C308="重要关系2",E308,0)+IF(AND(C308="魅力",E308&lt;0),E308,0))))</x:f>
        <x:v>0</x:v>
      </x:c>
      <x:c r="BS308">
        <x:f>MAX(0,MIN(BK308,IF(AND(H308=1,C308="重要关系3",LEFT('幕间与结算'!H215,8)="建立新的重要关系"),'幕间与结算'!E215+E308,BS307+IF(C308="重要关系3",E308,0)+IF(AND(C308="魅力",E308&lt;0),E308,0))))</x:f>
        <x:v>0</x:v>
      </x:c>
      <x:c r="BT308">
        <x:f>MAX(0,MIN(BK308,IF(AND(H308=1,C308="重要关系4",LEFT('幕间与结算'!H215,8)="建立新的重要关系"),'幕间与结算'!E215+E308,BT307+IF(C308="重要关系4",E308,0)+IF(AND(C308="魅力",E308&lt;0),E308,0))))</x:f>
        <x:v>0</x:v>
      </x:c>
      <x:c r="BU308">
        <x:f>MAX(0,MIN(BK308,IF(AND(H308=1,C308="重要关系5",LEFT('幕间与结算'!H215,8)="建立新的重要关系"),'幕间与结算'!E215+E308,BU307+IF(C308="重要关系5",E308,0)+IF(AND(C308="魅力",E308&lt;0),E308,0))))</x:f>
        <x:v>0</x:v>
      </x:c>
      <x:c r="BV308">
        <x:f>MAX(0,MIN(BK308,IF(AND(H308=1,C308="重要关系6",LEFT('幕间与结算'!H215,8)="建立新的重要关系"),'幕间与结算'!E215+E308,BV307+IF(C308="重要关系6",E308,0)+IF(AND(C308="魅力",E308&lt;0),E308,0))))</x:f>
        <x:v>0</x:v>
      </x:c>
      <x:c r="BW308">
        <x:f>MAX(0,MIN(BK308,IF(AND(H308=1,C308="重要关系7",LEFT('幕间与结算'!H215,8)="建立新的重要关系"),'幕间与结算'!E215+E308,BW307+IF(C308="重要关系7",E308,0)+IF(AND(C308="魅力",E308&lt;0),E308,0))))</x:f>
        <x:v>0</x:v>
      </x:c>
    </x:row>
    <x:row r="309">
      <x:c r="A309" t="str">
        <x:f>IFERROR(TEXT(VALUE('幕间与结算'!A216),"00"),"")</x:f>
        <x:v>00</x:v>
      </x:c>
      <x:c r="B309">
        <x:f>'幕间与结算'!B216</x:f>
        <x:v>0</x:v>
      </x:c>
      <x:c r="C309">
        <x:f>'幕间与结算'!D216</x:f>
        <x:v>0</x:v>
      </x:c>
      <x:c r="D309">
        <x:f>'幕间与结算'!F216</x:f>
        <x:v>0</x:v>
      </x:c>
      <x:c r="E309">
        <x:f>IF(H309=1,MAX(-'幕间与结算'!E216,MIN(D309,IF(LEFT(C309,3)="技能：",99,IF(COUNTIF($L$2:$L$7,C309)&gt;0,18,999))-'幕间与结算'!E216)),0)</x:f>
        <x:v>0</x:v>
      </x:c>
      <x:c r="F309" t="str">
        <x:f>IF(C309=0,"",IF(G309=0,"记录不完整",IF(H309=0,"重复未计","已计入")))</x:f>
        <x:v/>
      </x:c>
      <x:c r="G309">
        <x:f>IF(AND(AND('幕间与结算'!A216&lt;&gt;"",'幕间与结算'!B216&lt;&gt;"",'幕间与结算'!I216&lt;&gt;"",OR(LEFT(C309,3)="技能：",COUNTIF($L$2:$L$19,C309)&gt;0),ISNUMBER('幕间与结算'!E216),ISNUMBER('幕间与结算'!F216),ISNUMBER('幕间与结算'!G216),'幕间与结算'!E216&gt;=0,'幕间与结算'!G216='幕间与结算'!E216+'幕间与结算'!F216),OR(B309&lt;&gt;"成长",AND(LEFT(C309,3)="技能：",C309&lt;&gt;"技能：非自然知识",'幕间与结算'!E216&gt;=1,'幕间与结算'!E216&lt;=99,'幕间与结算'!F216&gt;=0,'幕间与结算'!F216&lt;=4,'幕间与结算'!G216&lt;=99))),1,0)</x:f>
        <x:v>0</x:v>
      </x:c>
      <x:c r="H309">
        <x:f>IF(AND(G309=1,COUNTIFS($I$200:I309,I309,$G$200:G309,1)=1),1,0)</x:f>
        <x:v>0</x:v>
      </x:c>
      <x:c r="I309" t="str">
        <x:f>IF(G309=1,IF(B309="成长",A309&amp;"-成长-"&amp;C309,'幕间与结算'!I216),"")</x:f>
        <x:v/>
      </x:c>
      <x:c r="BF309">
        <x:f>MAX(0,MIN(18,BF308+IF(C309="力量",E309,0)))</x:f>
        <x:v>0</x:v>
      </x:c>
      <x:c r="BG309">
        <x:f>MAX(0,MIN(18,BG308+IF(C309="体质",E309,0)))</x:f>
        <x:v>0</x:v>
      </x:c>
      <x:c r="BH309">
        <x:f>MAX(0,MIN(18,BH308+IF(C309="敏捷",E309,0)))</x:f>
        <x:v>0</x:v>
      </x:c>
      <x:c r="BI309">
        <x:f>MAX(0,MIN(18,BI308+IF(C309="智力",E309,0)))</x:f>
        <x:v>0</x:v>
      </x:c>
      <x:c r="BJ309">
        <x:f>MAX(0,MIN(18,BJ308+IF(C309="意志",E309,0)))</x:f>
        <x:v>0</x:v>
      </x:c>
      <x:c r="BK309">
        <x:f>MAX(0,MIN(18,BK308+IF(C309="魅力",E309,0)))</x:f>
        <x:v>0</x:v>
      </x:c>
      <x:c r="BL309">
        <x:f>MAX(0,MIN(99,BL308+IF(C309="技能：非自然知识",E309,0)))</x:f>
        <x:v>0</x:v>
      </x:c>
      <x:c r="BM309">
        <x:f>MAX(0,MIN(CEILING((BF309+BG309)/2,1),BM308+IF(C309="体力",E309,0)))</x:f>
        <x:v>0</x:v>
      </x:c>
      <x:c r="BN309">
        <x:f>MAX(0,MIN(BJ309,BN308+IF(C309="毅力",E309,0)))</x:f>
        <x:v>0</x:v>
      </x:c>
      <x:c r="BO309">
        <x:f>MAX(0,MIN(99-BL309,BO308+IF(C309="理智",E309,0)))</x:f>
        <x:v>0</x:v>
      </x:c>
      <x:c r="BP309">
        <x:f>MAX(0,MIN(99,BP308+IF(C309="崩溃点",E309,0)))</x:f>
        <x:v>0</x:v>
      </x:c>
      <x:c r="BQ309">
        <x:f>MAX(0,MIN(BK309,IF(AND(H309=1,C309="重要关系1",LEFT('幕间与结算'!H216,8)="建立新的重要关系"),'幕间与结算'!E216+E309,BQ308+IF(C309="重要关系1",E309,0)+IF(AND(C309="魅力",E309&lt;0),E309,0))))</x:f>
        <x:v>0</x:v>
      </x:c>
      <x:c r="BR309">
        <x:f>MAX(0,MIN(BK309,IF(AND(H309=1,C309="重要关系2",LEFT('幕间与结算'!H216,8)="建立新的重要关系"),'幕间与结算'!E216+E309,BR308+IF(C309="重要关系2",E309,0)+IF(AND(C309="魅力",E309&lt;0),E309,0))))</x:f>
        <x:v>0</x:v>
      </x:c>
      <x:c r="BS309">
        <x:f>MAX(0,MIN(BK309,IF(AND(H309=1,C309="重要关系3",LEFT('幕间与结算'!H216,8)="建立新的重要关系"),'幕间与结算'!E216+E309,BS308+IF(C309="重要关系3",E309,0)+IF(AND(C309="魅力",E309&lt;0),E309,0))))</x:f>
        <x:v>0</x:v>
      </x:c>
      <x:c r="BT309">
        <x:f>MAX(0,MIN(BK309,IF(AND(H309=1,C309="重要关系4",LEFT('幕间与结算'!H216,8)="建立新的重要关系"),'幕间与结算'!E216+E309,BT308+IF(C309="重要关系4",E309,0)+IF(AND(C309="魅力",E309&lt;0),E309,0))))</x:f>
        <x:v>0</x:v>
      </x:c>
      <x:c r="BU309">
        <x:f>MAX(0,MIN(BK309,IF(AND(H309=1,C309="重要关系5",LEFT('幕间与结算'!H216,8)="建立新的重要关系"),'幕间与结算'!E216+E309,BU308+IF(C309="重要关系5",E309,0)+IF(AND(C309="魅力",E309&lt;0),E309,0))))</x:f>
        <x:v>0</x:v>
      </x:c>
      <x:c r="BV309">
        <x:f>MAX(0,MIN(BK309,IF(AND(H309=1,C309="重要关系6",LEFT('幕间与结算'!H216,8)="建立新的重要关系"),'幕间与结算'!E216+E309,BV308+IF(C309="重要关系6",E309,0)+IF(AND(C309="魅力",E309&lt;0),E309,0))))</x:f>
        <x:v>0</x:v>
      </x:c>
      <x:c r="BW309">
        <x:f>MAX(0,MIN(BK309,IF(AND(H309=1,C309="重要关系7",LEFT('幕间与结算'!H216,8)="建立新的重要关系"),'幕间与结算'!E216+E309,BW308+IF(C309="重要关系7",E309,0)+IF(AND(C309="魅力",E309&lt;0),E309,0))))</x:f>
        <x:v>0</x:v>
      </x:c>
    </x:row>
    <x:row r="310">
      <x:c r="A310" t="str">
        <x:f>IFERROR(TEXT(VALUE('幕间与结算'!A217),"00"),"")</x:f>
        <x:v>00</x:v>
      </x:c>
      <x:c r="B310">
        <x:f>'幕间与结算'!B217</x:f>
        <x:v>0</x:v>
      </x:c>
      <x:c r="C310">
        <x:f>'幕间与结算'!D217</x:f>
        <x:v>0</x:v>
      </x:c>
      <x:c r="D310">
        <x:f>'幕间与结算'!F217</x:f>
        <x:v>0</x:v>
      </x:c>
      <x:c r="E310">
        <x:f>IF(H310=1,MAX(-'幕间与结算'!E217,MIN(D310,IF(LEFT(C310,3)="技能：",99,IF(COUNTIF($L$2:$L$7,C310)&gt;0,18,999))-'幕间与结算'!E217)),0)</x:f>
        <x:v>0</x:v>
      </x:c>
      <x:c r="F310" t="str">
        <x:f>IF(C310=0,"",IF(G310=0,"记录不完整",IF(H310=0,"重复未计","已计入")))</x:f>
        <x:v/>
      </x:c>
      <x:c r="G310">
        <x:f>IF(AND(AND('幕间与结算'!A217&lt;&gt;"",'幕间与结算'!B217&lt;&gt;"",'幕间与结算'!I217&lt;&gt;"",OR(LEFT(C310,3)="技能：",COUNTIF($L$2:$L$19,C310)&gt;0),ISNUMBER('幕间与结算'!E217),ISNUMBER('幕间与结算'!F217),ISNUMBER('幕间与结算'!G217),'幕间与结算'!E217&gt;=0,'幕间与结算'!G217='幕间与结算'!E217+'幕间与结算'!F217),OR(B310&lt;&gt;"成长",AND(LEFT(C310,3)="技能：",C310&lt;&gt;"技能：非自然知识",'幕间与结算'!E217&gt;=1,'幕间与结算'!E217&lt;=99,'幕间与结算'!F217&gt;=0,'幕间与结算'!F217&lt;=4,'幕间与结算'!G217&lt;=99))),1,0)</x:f>
        <x:v>0</x:v>
      </x:c>
      <x:c r="H310">
        <x:f>IF(AND(G310=1,COUNTIFS($I$200:I310,I310,$G$200:G310,1)=1),1,0)</x:f>
        <x:v>0</x:v>
      </x:c>
      <x:c r="I310" t="str">
        <x:f>IF(G310=1,IF(B310="成长",A310&amp;"-成长-"&amp;C310,'幕间与结算'!I217),"")</x:f>
        <x:v/>
      </x:c>
      <x:c r="BF310">
        <x:f>MAX(0,MIN(18,BF309+IF(C310="力量",E310,0)))</x:f>
        <x:v>0</x:v>
      </x:c>
      <x:c r="BG310">
        <x:f>MAX(0,MIN(18,BG309+IF(C310="体质",E310,0)))</x:f>
        <x:v>0</x:v>
      </x:c>
      <x:c r="BH310">
        <x:f>MAX(0,MIN(18,BH309+IF(C310="敏捷",E310,0)))</x:f>
        <x:v>0</x:v>
      </x:c>
      <x:c r="BI310">
        <x:f>MAX(0,MIN(18,BI309+IF(C310="智力",E310,0)))</x:f>
        <x:v>0</x:v>
      </x:c>
      <x:c r="BJ310">
        <x:f>MAX(0,MIN(18,BJ309+IF(C310="意志",E310,0)))</x:f>
        <x:v>0</x:v>
      </x:c>
      <x:c r="BK310">
        <x:f>MAX(0,MIN(18,BK309+IF(C310="魅力",E310,0)))</x:f>
        <x:v>0</x:v>
      </x:c>
      <x:c r="BL310">
        <x:f>MAX(0,MIN(99,BL309+IF(C310="技能：非自然知识",E310,0)))</x:f>
        <x:v>0</x:v>
      </x:c>
      <x:c r="BM310">
        <x:f>MAX(0,MIN(CEILING((BF310+BG310)/2,1),BM309+IF(C310="体力",E310,0)))</x:f>
        <x:v>0</x:v>
      </x:c>
      <x:c r="BN310">
        <x:f>MAX(0,MIN(BJ310,BN309+IF(C310="毅力",E310,0)))</x:f>
        <x:v>0</x:v>
      </x:c>
      <x:c r="BO310">
        <x:f>MAX(0,MIN(99-BL310,BO309+IF(C310="理智",E310,0)))</x:f>
        <x:v>0</x:v>
      </x:c>
      <x:c r="BP310">
        <x:f>MAX(0,MIN(99,BP309+IF(C310="崩溃点",E310,0)))</x:f>
        <x:v>0</x:v>
      </x:c>
      <x:c r="BQ310">
        <x:f>MAX(0,MIN(BK310,IF(AND(H310=1,C310="重要关系1",LEFT('幕间与结算'!H217,8)="建立新的重要关系"),'幕间与结算'!E217+E310,BQ309+IF(C310="重要关系1",E310,0)+IF(AND(C310="魅力",E310&lt;0),E310,0))))</x:f>
        <x:v>0</x:v>
      </x:c>
      <x:c r="BR310">
        <x:f>MAX(0,MIN(BK310,IF(AND(H310=1,C310="重要关系2",LEFT('幕间与结算'!H217,8)="建立新的重要关系"),'幕间与结算'!E217+E310,BR309+IF(C310="重要关系2",E310,0)+IF(AND(C310="魅力",E310&lt;0),E310,0))))</x:f>
        <x:v>0</x:v>
      </x:c>
      <x:c r="BS310">
        <x:f>MAX(0,MIN(BK310,IF(AND(H310=1,C310="重要关系3",LEFT('幕间与结算'!H217,8)="建立新的重要关系"),'幕间与结算'!E217+E310,BS309+IF(C310="重要关系3",E310,0)+IF(AND(C310="魅力",E310&lt;0),E310,0))))</x:f>
        <x:v>0</x:v>
      </x:c>
      <x:c r="BT310">
        <x:f>MAX(0,MIN(BK310,IF(AND(H310=1,C310="重要关系4",LEFT('幕间与结算'!H217,8)="建立新的重要关系"),'幕间与结算'!E217+E310,BT309+IF(C310="重要关系4",E310,0)+IF(AND(C310="魅力",E310&lt;0),E310,0))))</x:f>
        <x:v>0</x:v>
      </x:c>
      <x:c r="BU310">
        <x:f>MAX(0,MIN(BK310,IF(AND(H310=1,C310="重要关系5",LEFT('幕间与结算'!H217,8)="建立新的重要关系"),'幕间与结算'!E217+E310,BU309+IF(C310="重要关系5",E310,0)+IF(AND(C310="魅力",E310&lt;0),E310,0))))</x:f>
        <x:v>0</x:v>
      </x:c>
      <x:c r="BV310">
        <x:f>MAX(0,MIN(BK310,IF(AND(H310=1,C310="重要关系6",LEFT('幕间与结算'!H217,8)="建立新的重要关系"),'幕间与结算'!E217+E310,BV309+IF(C310="重要关系6",E310,0)+IF(AND(C310="魅力",E310&lt;0),E310,0))))</x:f>
        <x:v>0</x:v>
      </x:c>
      <x:c r="BW310">
        <x:f>MAX(0,MIN(BK310,IF(AND(H310=1,C310="重要关系7",LEFT('幕间与结算'!H217,8)="建立新的重要关系"),'幕间与结算'!E217+E310,BW309+IF(C310="重要关系7",E310,0)+IF(AND(C310="魅力",E310&lt;0),E310,0))))</x:f>
        <x:v>0</x:v>
      </x:c>
    </x:row>
    <x:row r="311">
      <x:c r="A311" t="str">
        <x:f>IFERROR(TEXT(VALUE('幕间与结算'!A218),"00"),"")</x:f>
        <x:v>00</x:v>
      </x:c>
      <x:c r="B311">
        <x:f>'幕间与结算'!B218</x:f>
        <x:v>0</x:v>
      </x:c>
      <x:c r="C311">
        <x:f>'幕间与结算'!D218</x:f>
        <x:v>0</x:v>
      </x:c>
      <x:c r="D311">
        <x:f>'幕间与结算'!F218</x:f>
        <x:v>0</x:v>
      </x:c>
      <x:c r="E311">
        <x:f>IF(H311=1,MAX(-'幕间与结算'!E218,MIN(D311,IF(LEFT(C311,3)="技能：",99,IF(COUNTIF($L$2:$L$7,C311)&gt;0,18,999))-'幕间与结算'!E218)),0)</x:f>
        <x:v>0</x:v>
      </x:c>
      <x:c r="F311" t="str">
        <x:f>IF(C311=0,"",IF(G311=0,"记录不完整",IF(H311=0,"重复未计","已计入")))</x:f>
        <x:v/>
      </x:c>
      <x:c r="G311">
        <x:f>IF(AND(AND('幕间与结算'!A218&lt;&gt;"",'幕间与结算'!B218&lt;&gt;"",'幕间与结算'!I218&lt;&gt;"",OR(LEFT(C311,3)="技能：",COUNTIF($L$2:$L$19,C311)&gt;0),ISNUMBER('幕间与结算'!E218),ISNUMBER('幕间与结算'!F218),ISNUMBER('幕间与结算'!G218),'幕间与结算'!E218&gt;=0,'幕间与结算'!G218='幕间与结算'!E218+'幕间与结算'!F218),OR(B311&lt;&gt;"成长",AND(LEFT(C311,3)="技能：",C311&lt;&gt;"技能：非自然知识",'幕间与结算'!E218&gt;=1,'幕间与结算'!E218&lt;=99,'幕间与结算'!F218&gt;=0,'幕间与结算'!F218&lt;=4,'幕间与结算'!G218&lt;=99))),1,0)</x:f>
        <x:v>0</x:v>
      </x:c>
      <x:c r="H311">
        <x:f>IF(AND(G311=1,COUNTIFS($I$200:I311,I311,$G$200:G311,1)=1),1,0)</x:f>
        <x:v>0</x:v>
      </x:c>
      <x:c r="I311" t="str">
        <x:f>IF(G311=1,IF(B311="成长",A311&amp;"-成长-"&amp;C311,'幕间与结算'!I218),"")</x:f>
        <x:v/>
      </x:c>
      <x:c r="BF311">
        <x:f>MAX(0,MIN(18,BF310+IF(C311="力量",E311,0)))</x:f>
        <x:v>0</x:v>
      </x:c>
      <x:c r="BG311">
        <x:f>MAX(0,MIN(18,BG310+IF(C311="体质",E311,0)))</x:f>
        <x:v>0</x:v>
      </x:c>
      <x:c r="BH311">
        <x:f>MAX(0,MIN(18,BH310+IF(C311="敏捷",E311,0)))</x:f>
        <x:v>0</x:v>
      </x:c>
      <x:c r="BI311">
        <x:f>MAX(0,MIN(18,BI310+IF(C311="智力",E311,0)))</x:f>
        <x:v>0</x:v>
      </x:c>
      <x:c r="BJ311">
        <x:f>MAX(0,MIN(18,BJ310+IF(C311="意志",E311,0)))</x:f>
        <x:v>0</x:v>
      </x:c>
      <x:c r="BK311">
        <x:f>MAX(0,MIN(18,BK310+IF(C311="魅力",E311,0)))</x:f>
        <x:v>0</x:v>
      </x:c>
      <x:c r="BL311">
        <x:f>MAX(0,MIN(99,BL310+IF(C311="技能：非自然知识",E311,0)))</x:f>
        <x:v>0</x:v>
      </x:c>
      <x:c r="BM311">
        <x:f>MAX(0,MIN(CEILING((BF311+BG311)/2,1),BM310+IF(C311="体力",E311,0)))</x:f>
        <x:v>0</x:v>
      </x:c>
      <x:c r="BN311">
        <x:f>MAX(0,MIN(BJ311,BN310+IF(C311="毅力",E311,0)))</x:f>
        <x:v>0</x:v>
      </x:c>
      <x:c r="BO311">
        <x:f>MAX(0,MIN(99-BL311,BO310+IF(C311="理智",E311,0)))</x:f>
        <x:v>0</x:v>
      </x:c>
      <x:c r="BP311">
        <x:f>MAX(0,MIN(99,BP310+IF(C311="崩溃点",E311,0)))</x:f>
        <x:v>0</x:v>
      </x:c>
      <x:c r="BQ311">
        <x:f>MAX(0,MIN(BK311,IF(AND(H311=1,C311="重要关系1",LEFT('幕间与结算'!H218,8)="建立新的重要关系"),'幕间与结算'!E218+E311,BQ310+IF(C311="重要关系1",E311,0)+IF(AND(C311="魅力",E311&lt;0),E311,0))))</x:f>
        <x:v>0</x:v>
      </x:c>
      <x:c r="BR311">
        <x:f>MAX(0,MIN(BK311,IF(AND(H311=1,C311="重要关系2",LEFT('幕间与结算'!H218,8)="建立新的重要关系"),'幕间与结算'!E218+E311,BR310+IF(C311="重要关系2",E311,0)+IF(AND(C311="魅力",E311&lt;0),E311,0))))</x:f>
        <x:v>0</x:v>
      </x:c>
      <x:c r="BS311">
        <x:f>MAX(0,MIN(BK311,IF(AND(H311=1,C311="重要关系3",LEFT('幕间与结算'!H218,8)="建立新的重要关系"),'幕间与结算'!E218+E311,BS310+IF(C311="重要关系3",E311,0)+IF(AND(C311="魅力",E311&lt;0),E311,0))))</x:f>
        <x:v>0</x:v>
      </x:c>
      <x:c r="BT311">
        <x:f>MAX(0,MIN(BK311,IF(AND(H311=1,C311="重要关系4",LEFT('幕间与结算'!H218,8)="建立新的重要关系"),'幕间与结算'!E218+E311,BT310+IF(C311="重要关系4",E311,0)+IF(AND(C311="魅力",E311&lt;0),E311,0))))</x:f>
        <x:v>0</x:v>
      </x:c>
      <x:c r="BU311">
        <x:f>MAX(0,MIN(BK311,IF(AND(H311=1,C311="重要关系5",LEFT('幕间与结算'!H218,8)="建立新的重要关系"),'幕间与结算'!E218+E311,BU310+IF(C311="重要关系5",E311,0)+IF(AND(C311="魅力",E311&lt;0),E311,0))))</x:f>
        <x:v>0</x:v>
      </x:c>
      <x:c r="BV311">
        <x:f>MAX(0,MIN(BK311,IF(AND(H311=1,C311="重要关系6",LEFT('幕间与结算'!H218,8)="建立新的重要关系"),'幕间与结算'!E218+E311,BV310+IF(C311="重要关系6",E311,0)+IF(AND(C311="魅力",E311&lt;0),E311,0))))</x:f>
        <x:v>0</x:v>
      </x:c>
      <x:c r="BW311">
        <x:f>MAX(0,MIN(BK311,IF(AND(H311=1,C311="重要关系7",LEFT('幕间与结算'!H218,8)="建立新的重要关系"),'幕间与结算'!E218+E311,BW310+IF(C311="重要关系7",E311,0)+IF(AND(C311="魅力",E311&lt;0),E311,0))))</x:f>
        <x:v>0</x:v>
      </x:c>
    </x:row>
    <x:row r="312">
      <x:c r="A312" t="str">
        <x:f>IFERROR(TEXT(VALUE('幕间与结算'!A219),"00"),"")</x:f>
        <x:v>00</x:v>
      </x:c>
      <x:c r="B312">
        <x:f>'幕间与结算'!B219</x:f>
        <x:v>0</x:v>
      </x:c>
      <x:c r="C312">
        <x:f>'幕间与结算'!D219</x:f>
        <x:v>0</x:v>
      </x:c>
      <x:c r="D312">
        <x:f>'幕间与结算'!F219</x:f>
        <x:v>0</x:v>
      </x:c>
      <x:c r="E312">
        <x:f>IF(H312=1,MAX(-'幕间与结算'!E219,MIN(D312,IF(LEFT(C312,3)="技能：",99,IF(COUNTIF($L$2:$L$7,C312)&gt;0,18,999))-'幕间与结算'!E219)),0)</x:f>
        <x:v>0</x:v>
      </x:c>
      <x:c r="F312" t="str">
        <x:f>IF(C312=0,"",IF(G312=0,"记录不完整",IF(H312=0,"重复未计","已计入")))</x:f>
        <x:v/>
      </x:c>
      <x:c r="G312">
        <x:f>IF(AND(AND('幕间与结算'!A219&lt;&gt;"",'幕间与结算'!B219&lt;&gt;"",'幕间与结算'!I219&lt;&gt;"",OR(LEFT(C312,3)="技能：",COUNTIF($L$2:$L$19,C312)&gt;0),ISNUMBER('幕间与结算'!E219),ISNUMBER('幕间与结算'!F219),ISNUMBER('幕间与结算'!G219),'幕间与结算'!E219&gt;=0,'幕间与结算'!G219='幕间与结算'!E219+'幕间与结算'!F219),OR(B312&lt;&gt;"成长",AND(LEFT(C312,3)="技能：",C312&lt;&gt;"技能：非自然知识",'幕间与结算'!E219&gt;=1,'幕间与结算'!E219&lt;=99,'幕间与结算'!F219&gt;=0,'幕间与结算'!F219&lt;=4,'幕间与结算'!G219&lt;=99))),1,0)</x:f>
        <x:v>0</x:v>
      </x:c>
      <x:c r="H312">
        <x:f>IF(AND(G312=1,COUNTIFS($I$200:I312,I312,$G$200:G312,1)=1),1,0)</x:f>
        <x:v>0</x:v>
      </x:c>
      <x:c r="I312" t="str">
        <x:f>IF(G312=1,IF(B312="成长",A312&amp;"-成长-"&amp;C312,'幕间与结算'!I219),"")</x:f>
        <x:v/>
      </x:c>
      <x:c r="BF312">
        <x:f>MAX(0,MIN(18,BF311+IF(C312="力量",E312,0)))</x:f>
        <x:v>0</x:v>
      </x:c>
      <x:c r="BG312">
        <x:f>MAX(0,MIN(18,BG311+IF(C312="体质",E312,0)))</x:f>
        <x:v>0</x:v>
      </x:c>
      <x:c r="BH312">
        <x:f>MAX(0,MIN(18,BH311+IF(C312="敏捷",E312,0)))</x:f>
        <x:v>0</x:v>
      </x:c>
      <x:c r="BI312">
        <x:f>MAX(0,MIN(18,BI311+IF(C312="智力",E312,0)))</x:f>
        <x:v>0</x:v>
      </x:c>
      <x:c r="BJ312">
        <x:f>MAX(0,MIN(18,BJ311+IF(C312="意志",E312,0)))</x:f>
        <x:v>0</x:v>
      </x:c>
      <x:c r="BK312">
        <x:f>MAX(0,MIN(18,BK311+IF(C312="魅力",E312,0)))</x:f>
        <x:v>0</x:v>
      </x:c>
      <x:c r="BL312">
        <x:f>MAX(0,MIN(99,BL311+IF(C312="技能：非自然知识",E312,0)))</x:f>
        <x:v>0</x:v>
      </x:c>
      <x:c r="BM312">
        <x:f>MAX(0,MIN(CEILING((BF312+BG312)/2,1),BM311+IF(C312="体力",E312,0)))</x:f>
        <x:v>0</x:v>
      </x:c>
      <x:c r="BN312">
        <x:f>MAX(0,MIN(BJ312,BN311+IF(C312="毅力",E312,0)))</x:f>
        <x:v>0</x:v>
      </x:c>
      <x:c r="BO312">
        <x:f>MAX(0,MIN(99-BL312,BO311+IF(C312="理智",E312,0)))</x:f>
        <x:v>0</x:v>
      </x:c>
      <x:c r="BP312">
        <x:f>MAX(0,MIN(99,BP311+IF(C312="崩溃点",E312,0)))</x:f>
        <x:v>0</x:v>
      </x:c>
      <x:c r="BQ312">
        <x:f>MAX(0,MIN(BK312,IF(AND(H312=1,C312="重要关系1",LEFT('幕间与结算'!H219,8)="建立新的重要关系"),'幕间与结算'!E219+E312,BQ311+IF(C312="重要关系1",E312,0)+IF(AND(C312="魅力",E312&lt;0),E312,0))))</x:f>
        <x:v>0</x:v>
      </x:c>
      <x:c r="BR312">
        <x:f>MAX(0,MIN(BK312,IF(AND(H312=1,C312="重要关系2",LEFT('幕间与结算'!H219,8)="建立新的重要关系"),'幕间与结算'!E219+E312,BR311+IF(C312="重要关系2",E312,0)+IF(AND(C312="魅力",E312&lt;0),E312,0))))</x:f>
        <x:v>0</x:v>
      </x:c>
      <x:c r="BS312">
        <x:f>MAX(0,MIN(BK312,IF(AND(H312=1,C312="重要关系3",LEFT('幕间与结算'!H219,8)="建立新的重要关系"),'幕间与结算'!E219+E312,BS311+IF(C312="重要关系3",E312,0)+IF(AND(C312="魅力",E312&lt;0),E312,0))))</x:f>
        <x:v>0</x:v>
      </x:c>
      <x:c r="BT312">
        <x:f>MAX(0,MIN(BK312,IF(AND(H312=1,C312="重要关系4",LEFT('幕间与结算'!H219,8)="建立新的重要关系"),'幕间与结算'!E219+E312,BT311+IF(C312="重要关系4",E312,0)+IF(AND(C312="魅力",E312&lt;0),E312,0))))</x:f>
        <x:v>0</x:v>
      </x:c>
      <x:c r="BU312">
        <x:f>MAX(0,MIN(BK312,IF(AND(H312=1,C312="重要关系5",LEFT('幕间与结算'!H219,8)="建立新的重要关系"),'幕间与结算'!E219+E312,BU311+IF(C312="重要关系5",E312,0)+IF(AND(C312="魅力",E312&lt;0),E312,0))))</x:f>
        <x:v>0</x:v>
      </x:c>
      <x:c r="BV312">
        <x:f>MAX(0,MIN(BK312,IF(AND(H312=1,C312="重要关系6",LEFT('幕间与结算'!H219,8)="建立新的重要关系"),'幕间与结算'!E219+E312,BV311+IF(C312="重要关系6",E312,0)+IF(AND(C312="魅力",E312&lt;0),E312,0))))</x:f>
        <x:v>0</x:v>
      </x:c>
      <x:c r="BW312">
        <x:f>MAX(0,MIN(BK312,IF(AND(H312=1,C312="重要关系7",LEFT('幕间与结算'!H219,8)="建立新的重要关系"),'幕间与结算'!E219+E312,BW311+IF(C312="重要关系7",E312,0)+IF(AND(C312="魅力",E312&lt;0),E312,0))))</x:f>
        <x:v>0</x:v>
      </x:c>
    </x:row>
    <x:row r="313">
      <x:c r="A313" t="str">
        <x:f>IFERROR(TEXT(VALUE('幕间与结算'!A220),"00"),"")</x:f>
        <x:v>00</x:v>
      </x:c>
      <x:c r="B313">
        <x:f>'幕间与结算'!B220</x:f>
        <x:v>0</x:v>
      </x:c>
      <x:c r="C313">
        <x:f>'幕间与结算'!D220</x:f>
        <x:v>0</x:v>
      </x:c>
      <x:c r="D313">
        <x:f>'幕间与结算'!F220</x:f>
        <x:v>0</x:v>
      </x:c>
      <x:c r="E313">
        <x:f>IF(H313=1,MAX(-'幕间与结算'!E220,MIN(D313,IF(LEFT(C313,3)="技能：",99,IF(COUNTIF($L$2:$L$7,C313)&gt;0,18,999))-'幕间与结算'!E220)),0)</x:f>
        <x:v>0</x:v>
      </x:c>
      <x:c r="F313" t="str">
        <x:f>IF(C313=0,"",IF(G313=0,"记录不完整",IF(H313=0,"重复未计","已计入")))</x:f>
        <x:v/>
      </x:c>
      <x:c r="G313">
        <x:f>IF(AND(AND('幕间与结算'!A220&lt;&gt;"",'幕间与结算'!B220&lt;&gt;"",'幕间与结算'!I220&lt;&gt;"",OR(LEFT(C313,3)="技能：",COUNTIF($L$2:$L$19,C313)&gt;0),ISNUMBER('幕间与结算'!E220),ISNUMBER('幕间与结算'!F220),ISNUMBER('幕间与结算'!G220),'幕间与结算'!E220&gt;=0,'幕间与结算'!G220='幕间与结算'!E220+'幕间与结算'!F220),OR(B313&lt;&gt;"成长",AND(LEFT(C313,3)="技能：",C313&lt;&gt;"技能：非自然知识",'幕间与结算'!E220&gt;=1,'幕间与结算'!E220&lt;=99,'幕间与结算'!F220&gt;=0,'幕间与结算'!F220&lt;=4,'幕间与结算'!G220&lt;=99))),1,0)</x:f>
        <x:v>0</x:v>
      </x:c>
      <x:c r="H313">
        <x:f>IF(AND(G313=1,COUNTIFS($I$200:I313,I313,$G$200:G313,1)=1),1,0)</x:f>
        <x:v>0</x:v>
      </x:c>
      <x:c r="I313" t="str">
        <x:f>IF(G313=1,IF(B313="成长",A313&amp;"-成长-"&amp;C313,'幕间与结算'!I220),"")</x:f>
        <x:v/>
      </x:c>
      <x:c r="BF313">
        <x:f>MAX(0,MIN(18,BF312+IF(C313="力量",E313,0)))</x:f>
        <x:v>0</x:v>
      </x:c>
      <x:c r="BG313">
        <x:f>MAX(0,MIN(18,BG312+IF(C313="体质",E313,0)))</x:f>
        <x:v>0</x:v>
      </x:c>
      <x:c r="BH313">
        <x:f>MAX(0,MIN(18,BH312+IF(C313="敏捷",E313,0)))</x:f>
        <x:v>0</x:v>
      </x:c>
      <x:c r="BI313">
        <x:f>MAX(0,MIN(18,BI312+IF(C313="智力",E313,0)))</x:f>
        <x:v>0</x:v>
      </x:c>
      <x:c r="BJ313">
        <x:f>MAX(0,MIN(18,BJ312+IF(C313="意志",E313,0)))</x:f>
        <x:v>0</x:v>
      </x:c>
      <x:c r="BK313">
        <x:f>MAX(0,MIN(18,BK312+IF(C313="魅力",E313,0)))</x:f>
        <x:v>0</x:v>
      </x:c>
      <x:c r="BL313">
        <x:f>MAX(0,MIN(99,BL312+IF(C313="技能：非自然知识",E313,0)))</x:f>
        <x:v>0</x:v>
      </x:c>
      <x:c r="BM313">
        <x:f>MAX(0,MIN(CEILING((BF313+BG313)/2,1),BM312+IF(C313="体力",E313,0)))</x:f>
        <x:v>0</x:v>
      </x:c>
      <x:c r="BN313">
        <x:f>MAX(0,MIN(BJ313,BN312+IF(C313="毅力",E313,0)))</x:f>
        <x:v>0</x:v>
      </x:c>
      <x:c r="BO313">
        <x:f>MAX(0,MIN(99-BL313,BO312+IF(C313="理智",E313,0)))</x:f>
        <x:v>0</x:v>
      </x:c>
      <x:c r="BP313">
        <x:f>MAX(0,MIN(99,BP312+IF(C313="崩溃点",E313,0)))</x:f>
        <x:v>0</x:v>
      </x:c>
      <x:c r="BQ313">
        <x:f>MAX(0,MIN(BK313,IF(AND(H313=1,C313="重要关系1",LEFT('幕间与结算'!H220,8)="建立新的重要关系"),'幕间与结算'!E220+E313,BQ312+IF(C313="重要关系1",E313,0)+IF(AND(C313="魅力",E313&lt;0),E313,0))))</x:f>
        <x:v>0</x:v>
      </x:c>
      <x:c r="BR313">
        <x:f>MAX(0,MIN(BK313,IF(AND(H313=1,C313="重要关系2",LEFT('幕间与结算'!H220,8)="建立新的重要关系"),'幕间与结算'!E220+E313,BR312+IF(C313="重要关系2",E313,0)+IF(AND(C313="魅力",E313&lt;0),E313,0))))</x:f>
        <x:v>0</x:v>
      </x:c>
      <x:c r="BS313">
        <x:f>MAX(0,MIN(BK313,IF(AND(H313=1,C313="重要关系3",LEFT('幕间与结算'!H220,8)="建立新的重要关系"),'幕间与结算'!E220+E313,BS312+IF(C313="重要关系3",E313,0)+IF(AND(C313="魅力",E313&lt;0),E313,0))))</x:f>
        <x:v>0</x:v>
      </x:c>
      <x:c r="BT313">
        <x:f>MAX(0,MIN(BK313,IF(AND(H313=1,C313="重要关系4",LEFT('幕间与结算'!H220,8)="建立新的重要关系"),'幕间与结算'!E220+E313,BT312+IF(C313="重要关系4",E313,0)+IF(AND(C313="魅力",E313&lt;0),E313,0))))</x:f>
        <x:v>0</x:v>
      </x:c>
      <x:c r="BU313">
        <x:f>MAX(0,MIN(BK313,IF(AND(H313=1,C313="重要关系5",LEFT('幕间与结算'!H220,8)="建立新的重要关系"),'幕间与结算'!E220+E313,BU312+IF(C313="重要关系5",E313,0)+IF(AND(C313="魅力",E313&lt;0),E313,0))))</x:f>
        <x:v>0</x:v>
      </x:c>
      <x:c r="BV313">
        <x:f>MAX(0,MIN(BK313,IF(AND(H313=1,C313="重要关系6",LEFT('幕间与结算'!H220,8)="建立新的重要关系"),'幕间与结算'!E220+E313,BV312+IF(C313="重要关系6",E313,0)+IF(AND(C313="魅力",E313&lt;0),E313,0))))</x:f>
        <x:v>0</x:v>
      </x:c>
      <x:c r="BW313">
        <x:f>MAX(0,MIN(BK313,IF(AND(H313=1,C313="重要关系7",LEFT('幕间与结算'!H220,8)="建立新的重要关系"),'幕间与结算'!E220+E313,BW312+IF(C313="重要关系7",E313,0)+IF(AND(C313="魅力",E313&lt;0),E313,0))))</x:f>
        <x:v>0</x:v>
      </x:c>
    </x:row>
    <x:row r="314">
      <x:c r="A314" t="str">
        <x:f>IFERROR(TEXT(VALUE('幕间与结算'!A221),"00"),"")</x:f>
        <x:v>00</x:v>
      </x:c>
      <x:c r="B314">
        <x:f>'幕间与结算'!B221</x:f>
        <x:v>0</x:v>
      </x:c>
      <x:c r="C314">
        <x:f>'幕间与结算'!D221</x:f>
        <x:v>0</x:v>
      </x:c>
      <x:c r="D314">
        <x:f>'幕间与结算'!F221</x:f>
        <x:v>0</x:v>
      </x:c>
      <x:c r="E314">
        <x:f>IF(H314=1,MAX(-'幕间与结算'!E221,MIN(D314,IF(LEFT(C314,3)="技能：",99,IF(COUNTIF($L$2:$L$7,C314)&gt;0,18,999))-'幕间与结算'!E221)),0)</x:f>
        <x:v>0</x:v>
      </x:c>
      <x:c r="F314" t="str">
        <x:f>IF(C314=0,"",IF(G314=0,"记录不完整",IF(H314=0,"重复未计","已计入")))</x:f>
        <x:v/>
      </x:c>
      <x:c r="G314">
        <x:f>IF(AND(AND('幕间与结算'!A221&lt;&gt;"",'幕间与结算'!B221&lt;&gt;"",'幕间与结算'!I221&lt;&gt;"",OR(LEFT(C314,3)="技能：",COUNTIF($L$2:$L$19,C314)&gt;0),ISNUMBER('幕间与结算'!E221),ISNUMBER('幕间与结算'!F221),ISNUMBER('幕间与结算'!G221),'幕间与结算'!E221&gt;=0,'幕间与结算'!G221='幕间与结算'!E221+'幕间与结算'!F221),OR(B314&lt;&gt;"成长",AND(LEFT(C314,3)="技能：",C314&lt;&gt;"技能：非自然知识",'幕间与结算'!E221&gt;=1,'幕间与结算'!E221&lt;=99,'幕间与结算'!F221&gt;=0,'幕间与结算'!F221&lt;=4,'幕间与结算'!G221&lt;=99))),1,0)</x:f>
        <x:v>0</x:v>
      </x:c>
      <x:c r="H314">
        <x:f>IF(AND(G314=1,COUNTIFS($I$200:I314,I314,$G$200:G314,1)=1),1,0)</x:f>
        <x:v>0</x:v>
      </x:c>
      <x:c r="I314" t="str">
        <x:f>IF(G314=1,IF(B314="成长",A314&amp;"-成长-"&amp;C314,'幕间与结算'!I221),"")</x:f>
        <x:v/>
      </x:c>
      <x:c r="BF314">
        <x:f>MAX(0,MIN(18,BF313+IF(C314="力量",E314,0)))</x:f>
        <x:v>0</x:v>
      </x:c>
      <x:c r="BG314">
        <x:f>MAX(0,MIN(18,BG313+IF(C314="体质",E314,0)))</x:f>
        <x:v>0</x:v>
      </x:c>
      <x:c r="BH314">
        <x:f>MAX(0,MIN(18,BH313+IF(C314="敏捷",E314,0)))</x:f>
        <x:v>0</x:v>
      </x:c>
      <x:c r="BI314">
        <x:f>MAX(0,MIN(18,BI313+IF(C314="智力",E314,0)))</x:f>
        <x:v>0</x:v>
      </x:c>
      <x:c r="BJ314">
        <x:f>MAX(0,MIN(18,BJ313+IF(C314="意志",E314,0)))</x:f>
        <x:v>0</x:v>
      </x:c>
      <x:c r="BK314">
        <x:f>MAX(0,MIN(18,BK313+IF(C314="魅力",E314,0)))</x:f>
        <x:v>0</x:v>
      </x:c>
      <x:c r="BL314">
        <x:f>MAX(0,MIN(99,BL313+IF(C314="技能：非自然知识",E314,0)))</x:f>
        <x:v>0</x:v>
      </x:c>
      <x:c r="BM314">
        <x:f>MAX(0,MIN(CEILING((BF314+BG314)/2,1),BM313+IF(C314="体力",E314,0)))</x:f>
        <x:v>0</x:v>
      </x:c>
      <x:c r="BN314">
        <x:f>MAX(0,MIN(BJ314,BN313+IF(C314="毅力",E314,0)))</x:f>
        <x:v>0</x:v>
      </x:c>
      <x:c r="BO314">
        <x:f>MAX(0,MIN(99-BL314,BO313+IF(C314="理智",E314,0)))</x:f>
        <x:v>0</x:v>
      </x:c>
      <x:c r="BP314">
        <x:f>MAX(0,MIN(99,BP313+IF(C314="崩溃点",E314,0)))</x:f>
        <x:v>0</x:v>
      </x:c>
      <x:c r="BQ314">
        <x:f>MAX(0,MIN(BK314,IF(AND(H314=1,C314="重要关系1",LEFT('幕间与结算'!H221,8)="建立新的重要关系"),'幕间与结算'!E221+E314,BQ313+IF(C314="重要关系1",E314,0)+IF(AND(C314="魅力",E314&lt;0),E314,0))))</x:f>
        <x:v>0</x:v>
      </x:c>
      <x:c r="BR314">
        <x:f>MAX(0,MIN(BK314,IF(AND(H314=1,C314="重要关系2",LEFT('幕间与结算'!H221,8)="建立新的重要关系"),'幕间与结算'!E221+E314,BR313+IF(C314="重要关系2",E314,0)+IF(AND(C314="魅力",E314&lt;0),E314,0))))</x:f>
        <x:v>0</x:v>
      </x:c>
      <x:c r="BS314">
        <x:f>MAX(0,MIN(BK314,IF(AND(H314=1,C314="重要关系3",LEFT('幕间与结算'!H221,8)="建立新的重要关系"),'幕间与结算'!E221+E314,BS313+IF(C314="重要关系3",E314,0)+IF(AND(C314="魅力",E314&lt;0),E314,0))))</x:f>
        <x:v>0</x:v>
      </x:c>
      <x:c r="BT314">
        <x:f>MAX(0,MIN(BK314,IF(AND(H314=1,C314="重要关系4",LEFT('幕间与结算'!H221,8)="建立新的重要关系"),'幕间与结算'!E221+E314,BT313+IF(C314="重要关系4",E314,0)+IF(AND(C314="魅力",E314&lt;0),E314,0))))</x:f>
        <x:v>0</x:v>
      </x:c>
      <x:c r="BU314">
        <x:f>MAX(0,MIN(BK314,IF(AND(H314=1,C314="重要关系5",LEFT('幕间与结算'!H221,8)="建立新的重要关系"),'幕间与结算'!E221+E314,BU313+IF(C314="重要关系5",E314,0)+IF(AND(C314="魅力",E314&lt;0),E314,0))))</x:f>
        <x:v>0</x:v>
      </x:c>
      <x:c r="BV314">
        <x:f>MAX(0,MIN(BK314,IF(AND(H314=1,C314="重要关系6",LEFT('幕间与结算'!H221,8)="建立新的重要关系"),'幕间与结算'!E221+E314,BV313+IF(C314="重要关系6",E314,0)+IF(AND(C314="魅力",E314&lt;0),E314,0))))</x:f>
        <x:v>0</x:v>
      </x:c>
      <x:c r="BW314">
        <x:f>MAX(0,MIN(BK314,IF(AND(H314=1,C314="重要关系7",LEFT('幕间与结算'!H221,8)="建立新的重要关系"),'幕间与结算'!E221+E314,BW313+IF(C314="重要关系7",E314,0)+IF(AND(C314="魅力",E314&lt;0),E314,0))))</x:f>
        <x:v>0</x:v>
      </x:c>
    </x:row>
    <x:row r="315">
      <x:c r="A315" t="str">
        <x:f>IFERROR(TEXT(VALUE('幕间与结算'!A222),"00"),"")</x:f>
        <x:v>00</x:v>
      </x:c>
      <x:c r="B315">
        <x:f>'幕间与结算'!B222</x:f>
        <x:v>0</x:v>
      </x:c>
      <x:c r="C315">
        <x:f>'幕间与结算'!D222</x:f>
        <x:v>0</x:v>
      </x:c>
      <x:c r="D315">
        <x:f>'幕间与结算'!F222</x:f>
        <x:v>0</x:v>
      </x:c>
      <x:c r="E315">
        <x:f>IF(H315=1,MAX(-'幕间与结算'!E222,MIN(D315,IF(LEFT(C315,3)="技能：",99,IF(COUNTIF($L$2:$L$7,C315)&gt;0,18,999))-'幕间与结算'!E222)),0)</x:f>
        <x:v>0</x:v>
      </x:c>
      <x:c r="F315" t="str">
        <x:f>IF(C315=0,"",IF(G315=0,"记录不完整",IF(H315=0,"重复未计","已计入")))</x:f>
        <x:v/>
      </x:c>
      <x:c r="G315">
        <x:f>IF(AND(AND('幕间与结算'!A222&lt;&gt;"",'幕间与结算'!B222&lt;&gt;"",'幕间与结算'!I222&lt;&gt;"",OR(LEFT(C315,3)="技能：",COUNTIF($L$2:$L$19,C315)&gt;0),ISNUMBER('幕间与结算'!E222),ISNUMBER('幕间与结算'!F222),ISNUMBER('幕间与结算'!G222),'幕间与结算'!E222&gt;=0,'幕间与结算'!G222='幕间与结算'!E222+'幕间与结算'!F222),OR(B315&lt;&gt;"成长",AND(LEFT(C315,3)="技能：",C315&lt;&gt;"技能：非自然知识",'幕间与结算'!E222&gt;=1,'幕间与结算'!E222&lt;=99,'幕间与结算'!F222&gt;=0,'幕间与结算'!F222&lt;=4,'幕间与结算'!G222&lt;=99))),1,0)</x:f>
        <x:v>0</x:v>
      </x:c>
      <x:c r="H315">
        <x:f>IF(AND(G315=1,COUNTIFS($I$200:I315,I315,$G$200:G315,1)=1),1,0)</x:f>
        <x:v>0</x:v>
      </x:c>
      <x:c r="I315" t="str">
        <x:f>IF(G315=1,IF(B315="成长",A315&amp;"-成长-"&amp;C315,'幕间与结算'!I222),"")</x:f>
        <x:v/>
      </x:c>
      <x:c r="BF315">
        <x:f>MAX(0,MIN(18,BF314+IF(C315="力量",E315,0)))</x:f>
        <x:v>0</x:v>
      </x:c>
      <x:c r="BG315">
        <x:f>MAX(0,MIN(18,BG314+IF(C315="体质",E315,0)))</x:f>
        <x:v>0</x:v>
      </x:c>
      <x:c r="BH315">
        <x:f>MAX(0,MIN(18,BH314+IF(C315="敏捷",E315,0)))</x:f>
        <x:v>0</x:v>
      </x:c>
      <x:c r="BI315">
        <x:f>MAX(0,MIN(18,BI314+IF(C315="智力",E315,0)))</x:f>
        <x:v>0</x:v>
      </x:c>
      <x:c r="BJ315">
        <x:f>MAX(0,MIN(18,BJ314+IF(C315="意志",E315,0)))</x:f>
        <x:v>0</x:v>
      </x:c>
      <x:c r="BK315">
        <x:f>MAX(0,MIN(18,BK314+IF(C315="魅力",E315,0)))</x:f>
        <x:v>0</x:v>
      </x:c>
      <x:c r="BL315">
        <x:f>MAX(0,MIN(99,BL314+IF(C315="技能：非自然知识",E315,0)))</x:f>
        <x:v>0</x:v>
      </x:c>
      <x:c r="BM315">
        <x:f>MAX(0,MIN(CEILING((BF315+BG315)/2,1),BM314+IF(C315="体力",E315,0)))</x:f>
        <x:v>0</x:v>
      </x:c>
      <x:c r="BN315">
        <x:f>MAX(0,MIN(BJ315,BN314+IF(C315="毅力",E315,0)))</x:f>
        <x:v>0</x:v>
      </x:c>
      <x:c r="BO315">
        <x:f>MAX(0,MIN(99-BL315,BO314+IF(C315="理智",E315,0)))</x:f>
        <x:v>0</x:v>
      </x:c>
      <x:c r="BP315">
        <x:f>MAX(0,MIN(99,BP314+IF(C315="崩溃点",E315,0)))</x:f>
        <x:v>0</x:v>
      </x:c>
      <x:c r="BQ315">
        <x:f>MAX(0,MIN(BK315,IF(AND(H315=1,C315="重要关系1",LEFT('幕间与结算'!H222,8)="建立新的重要关系"),'幕间与结算'!E222+E315,BQ314+IF(C315="重要关系1",E315,0)+IF(AND(C315="魅力",E315&lt;0),E315,0))))</x:f>
        <x:v>0</x:v>
      </x:c>
      <x:c r="BR315">
        <x:f>MAX(0,MIN(BK315,IF(AND(H315=1,C315="重要关系2",LEFT('幕间与结算'!H222,8)="建立新的重要关系"),'幕间与结算'!E222+E315,BR314+IF(C315="重要关系2",E315,0)+IF(AND(C315="魅力",E315&lt;0),E315,0))))</x:f>
        <x:v>0</x:v>
      </x:c>
      <x:c r="BS315">
        <x:f>MAX(0,MIN(BK315,IF(AND(H315=1,C315="重要关系3",LEFT('幕间与结算'!H222,8)="建立新的重要关系"),'幕间与结算'!E222+E315,BS314+IF(C315="重要关系3",E315,0)+IF(AND(C315="魅力",E315&lt;0),E315,0))))</x:f>
        <x:v>0</x:v>
      </x:c>
      <x:c r="BT315">
        <x:f>MAX(0,MIN(BK315,IF(AND(H315=1,C315="重要关系4",LEFT('幕间与结算'!H222,8)="建立新的重要关系"),'幕间与结算'!E222+E315,BT314+IF(C315="重要关系4",E315,0)+IF(AND(C315="魅力",E315&lt;0),E315,0))))</x:f>
        <x:v>0</x:v>
      </x:c>
      <x:c r="BU315">
        <x:f>MAX(0,MIN(BK315,IF(AND(H315=1,C315="重要关系5",LEFT('幕间与结算'!H222,8)="建立新的重要关系"),'幕间与结算'!E222+E315,BU314+IF(C315="重要关系5",E315,0)+IF(AND(C315="魅力",E315&lt;0),E315,0))))</x:f>
        <x:v>0</x:v>
      </x:c>
      <x:c r="BV315">
        <x:f>MAX(0,MIN(BK315,IF(AND(H315=1,C315="重要关系6",LEFT('幕间与结算'!H222,8)="建立新的重要关系"),'幕间与结算'!E222+E315,BV314+IF(C315="重要关系6",E315,0)+IF(AND(C315="魅力",E315&lt;0),E315,0))))</x:f>
        <x:v>0</x:v>
      </x:c>
      <x:c r="BW315">
        <x:f>MAX(0,MIN(BK315,IF(AND(H315=1,C315="重要关系7",LEFT('幕间与结算'!H222,8)="建立新的重要关系"),'幕间与结算'!E222+E315,BW314+IF(C315="重要关系7",E315,0)+IF(AND(C315="魅力",E315&lt;0),E315,0))))</x:f>
        <x:v>0</x:v>
      </x:c>
    </x:row>
    <x:row r="316">
      <x:c r="A316" t="str">
        <x:f>IFERROR(TEXT(VALUE('幕间与结算'!A223),"00"),"")</x:f>
        <x:v>00</x:v>
      </x:c>
      <x:c r="B316">
        <x:f>'幕间与结算'!B223</x:f>
        <x:v>0</x:v>
      </x:c>
      <x:c r="C316">
        <x:f>'幕间与结算'!D223</x:f>
        <x:v>0</x:v>
      </x:c>
      <x:c r="D316">
        <x:f>'幕间与结算'!F223</x:f>
        <x:v>0</x:v>
      </x:c>
      <x:c r="E316">
        <x:f>IF(H316=1,MAX(-'幕间与结算'!E223,MIN(D316,IF(LEFT(C316,3)="技能：",99,IF(COUNTIF($L$2:$L$7,C316)&gt;0,18,999))-'幕间与结算'!E223)),0)</x:f>
        <x:v>0</x:v>
      </x:c>
      <x:c r="F316" t="str">
        <x:f>IF(C316=0,"",IF(G316=0,"记录不完整",IF(H316=0,"重复未计","已计入")))</x:f>
        <x:v/>
      </x:c>
      <x:c r="G316">
        <x:f>IF(AND(AND('幕间与结算'!A223&lt;&gt;"",'幕间与结算'!B223&lt;&gt;"",'幕间与结算'!I223&lt;&gt;"",OR(LEFT(C316,3)="技能：",COUNTIF($L$2:$L$19,C316)&gt;0),ISNUMBER('幕间与结算'!E223),ISNUMBER('幕间与结算'!F223),ISNUMBER('幕间与结算'!G223),'幕间与结算'!E223&gt;=0,'幕间与结算'!G223='幕间与结算'!E223+'幕间与结算'!F223),OR(B316&lt;&gt;"成长",AND(LEFT(C316,3)="技能：",C316&lt;&gt;"技能：非自然知识",'幕间与结算'!E223&gt;=1,'幕间与结算'!E223&lt;=99,'幕间与结算'!F223&gt;=0,'幕间与结算'!F223&lt;=4,'幕间与结算'!G223&lt;=99))),1,0)</x:f>
        <x:v>0</x:v>
      </x:c>
      <x:c r="H316">
        <x:f>IF(AND(G316=1,COUNTIFS($I$200:I316,I316,$G$200:G316,1)=1),1,0)</x:f>
        <x:v>0</x:v>
      </x:c>
      <x:c r="I316" t="str">
        <x:f>IF(G316=1,IF(B316="成长",A316&amp;"-成长-"&amp;C316,'幕间与结算'!I223),"")</x:f>
        <x:v/>
      </x:c>
      <x:c r="BF316">
        <x:f>MAX(0,MIN(18,BF315+IF(C316="力量",E316,0)))</x:f>
        <x:v>0</x:v>
      </x:c>
      <x:c r="BG316">
        <x:f>MAX(0,MIN(18,BG315+IF(C316="体质",E316,0)))</x:f>
        <x:v>0</x:v>
      </x:c>
      <x:c r="BH316">
        <x:f>MAX(0,MIN(18,BH315+IF(C316="敏捷",E316,0)))</x:f>
        <x:v>0</x:v>
      </x:c>
      <x:c r="BI316">
        <x:f>MAX(0,MIN(18,BI315+IF(C316="智力",E316,0)))</x:f>
        <x:v>0</x:v>
      </x:c>
      <x:c r="BJ316">
        <x:f>MAX(0,MIN(18,BJ315+IF(C316="意志",E316,0)))</x:f>
        <x:v>0</x:v>
      </x:c>
      <x:c r="BK316">
        <x:f>MAX(0,MIN(18,BK315+IF(C316="魅力",E316,0)))</x:f>
        <x:v>0</x:v>
      </x:c>
      <x:c r="BL316">
        <x:f>MAX(0,MIN(99,BL315+IF(C316="技能：非自然知识",E316,0)))</x:f>
        <x:v>0</x:v>
      </x:c>
      <x:c r="BM316">
        <x:f>MAX(0,MIN(CEILING((BF316+BG316)/2,1),BM315+IF(C316="体力",E316,0)))</x:f>
        <x:v>0</x:v>
      </x:c>
      <x:c r="BN316">
        <x:f>MAX(0,MIN(BJ316,BN315+IF(C316="毅力",E316,0)))</x:f>
        <x:v>0</x:v>
      </x:c>
      <x:c r="BO316">
        <x:f>MAX(0,MIN(99-BL316,BO315+IF(C316="理智",E316,0)))</x:f>
        <x:v>0</x:v>
      </x:c>
      <x:c r="BP316">
        <x:f>MAX(0,MIN(99,BP315+IF(C316="崩溃点",E316,0)))</x:f>
        <x:v>0</x:v>
      </x:c>
      <x:c r="BQ316">
        <x:f>MAX(0,MIN(BK316,IF(AND(H316=1,C316="重要关系1",LEFT('幕间与结算'!H223,8)="建立新的重要关系"),'幕间与结算'!E223+E316,BQ315+IF(C316="重要关系1",E316,0)+IF(AND(C316="魅力",E316&lt;0),E316,0))))</x:f>
        <x:v>0</x:v>
      </x:c>
      <x:c r="BR316">
        <x:f>MAX(0,MIN(BK316,IF(AND(H316=1,C316="重要关系2",LEFT('幕间与结算'!H223,8)="建立新的重要关系"),'幕间与结算'!E223+E316,BR315+IF(C316="重要关系2",E316,0)+IF(AND(C316="魅力",E316&lt;0),E316,0))))</x:f>
        <x:v>0</x:v>
      </x:c>
      <x:c r="BS316">
        <x:f>MAX(0,MIN(BK316,IF(AND(H316=1,C316="重要关系3",LEFT('幕间与结算'!H223,8)="建立新的重要关系"),'幕间与结算'!E223+E316,BS315+IF(C316="重要关系3",E316,0)+IF(AND(C316="魅力",E316&lt;0),E316,0))))</x:f>
        <x:v>0</x:v>
      </x:c>
      <x:c r="BT316">
        <x:f>MAX(0,MIN(BK316,IF(AND(H316=1,C316="重要关系4",LEFT('幕间与结算'!H223,8)="建立新的重要关系"),'幕间与结算'!E223+E316,BT315+IF(C316="重要关系4",E316,0)+IF(AND(C316="魅力",E316&lt;0),E316,0))))</x:f>
        <x:v>0</x:v>
      </x:c>
      <x:c r="BU316">
        <x:f>MAX(0,MIN(BK316,IF(AND(H316=1,C316="重要关系5",LEFT('幕间与结算'!H223,8)="建立新的重要关系"),'幕间与结算'!E223+E316,BU315+IF(C316="重要关系5",E316,0)+IF(AND(C316="魅力",E316&lt;0),E316,0))))</x:f>
        <x:v>0</x:v>
      </x:c>
      <x:c r="BV316">
        <x:f>MAX(0,MIN(BK316,IF(AND(H316=1,C316="重要关系6",LEFT('幕间与结算'!H223,8)="建立新的重要关系"),'幕间与结算'!E223+E316,BV315+IF(C316="重要关系6",E316,0)+IF(AND(C316="魅力",E316&lt;0),E316,0))))</x:f>
        <x:v>0</x:v>
      </x:c>
      <x:c r="BW316">
        <x:f>MAX(0,MIN(BK316,IF(AND(H316=1,C316="重要关系7",LEFT('幕间与结算'!H223,8)="建立新的重要关系"),'幕间与结算'!E223+E316,BW315+IF(C316="重要关系7",E316,0)+IF(AND(C316="魅力",E316&lt;0),E316,0))))</x:f>
        <x:v>0</x:v>
      </x:c>
    </x:row>
    <x:row r="317">
      <x:c r="A317" t="str">
        <x:f>IFERROR(TEXT(VALUE('幕间与结算'!A224),"00"),"")</x:f>
        <x:v>00</x:v>
      </x:c>
      <x:c r="B317">
        <x:f>'幕间与结算'!B224</x:f>
        <x:v>0</x:v>
      </x:c>
      <x:c r="C317">
        <x:f>'幕间与结算'!D224</x:f>
        <x:v>0</x:v>
      </x:c>
      <x:c r="D317">
        <x:f>'幕间与结算'!F224</x:f>
        <x:v>0</x:v>
      </x:c>
      <x:c r="E317">
        <x:f>IF(H317=1,MAX(-'幕间与结算'!E224,MIN(D317,IF(LEFT(C317,3)="技能：",99,IF(COUNTIF($L$2:$L$7,C317)&gt;0,18,999))-'幕间与结算'!E224)),0)</x:f>
        <x:v>0</x:v>
      </x:c>
      <x:c r="F317" t="str">
        <x:f>IF(C317=0,"",IF(G317=0,"记录不完整",IF(H317=0,"重复未计","已计入")))</x:f>
        <x:v/>
      </x:c>
      <x:c r="G317">
        <x:f>IF(AND(AND('幕间与结算'!A224&lt;&gt;"",'幕间与结算'!B224&lt;&gt;"",'幕间与结算'!I224&lt;&gt;"",OR(LEFT(C317,3)="技能：",COUNTIF($L$2:$L$19,C317)&gt;0),ISNUMBER('幕间与结算'!E224),ISNUMBER('幕间与结算'!F224),ISNUMBER('幕间与结算'!G224),'幕间与结算'!E224&gt;=0,'幕间与结算'!G224='幕间与结算'!E224+'幕间与结算'!F224),OR(B317&lt;&gt;"成长",AND(LEFT(C317,3)="技能：",C317&lt;&gt;"技能：非自然知识",'幕间与结算'!E224&gt;=1,'幕间与结算'!E224&lt;=99,'幕间与结算'!F224&gt;=0,'幕间与结算'!F224&lt;=4,'幕间与结算'!G224&lt;=99))),1,0)</x:f>
        <x:v>0</x:v>
      </x:c>
      <x:c r="H317">
        <x:f>IF(AND(G317=1,COUNTIFS($I$200:I317,I317,$G$200:G317,1)=1),1,0)</x:f>
        <x:v>0</x:v>
      </x:c>
      <x:c r="I317" t="str">
        <x:f>IF(G317=1,IF(B317="成长",A317&amp;"-成长-"&amp;C317,'幕间与结算'!I224),"")</x:f>
        <x:v/>
      </x:c>
      <x:c r="BF317">
        <x:f>MAX(0,MIN(18,BF316+IF(C317="力量",E317,0)))</x:f>
        <x:v>0</x:v>
      </x:c>
      <x:c r="BG317">
        <x:f>MAX(0,MIN(18,BG316+IF(C317="体质",E317,0)))</x:f>
        <x:v>0</x:v>
      </x:c>
      <x:c r="BH317">
        <x:f>MAX(0,MIN(18,BH316+IF(C317="敏捷",E317,0)))</x:f>
        <x:v>0</x:v>
      </x:c>
      <x:c r="BI317">
        <x:f>MAX(0,MIN(18,BI316+IF(C317="智力",E317,0)))</x:f>
        <x:v>0</x:v>
      </x:c>
      <x:c r="BJ317">
        <x:f>MAX(0,MIN(18,BJ316+IF(C317="意志",E317,0)))</x:f>
        <x:v>0</x:v>
      </x:c>
      <x:c r="BK317">
        <x:f>MAX(0,MIN(18,BK316+IF(C317="魅力",E317,0)))</x:f>
        <x:v>0</x:v>
      </x:c>
      <x:c r="BL317">
        <x:f>MAX(0,MIN(99,BL316+IF(C317="技能：非自然知识",E317,0)))</x:f>
        <x:v>0</x:v>
      </x:c>
      <x:c r="BM317">
        <x:f>MAX(0,MIN(CEILING((BF317+BG317)/2,1),BM316+IF(C317="体力",E317,0)))</x:f>
        <x:v>0</x:v>
      </x:c>
      <x:c r="BN317">
        <x:f>MAX(0,MIN(BJ317,BN316+IF(C317="毅力",E317,0)))</x:f>
        <x:v>0</x:v>
      </x:c>
      <x:c r="BO317">
        <x:f>MAX(0,MIN(99-BL317,BO316+IF(C317="理智",E317,0)))</x:f>
        <x:v>0</x:v>
      </x:c>
      <x:c r="BP317">
        <x:f>MAX(0,MIN(99,BP316+IF(C317="崩溃点",E317,0)))</x:f>
        <x:v>0</x:v>
      </x:c>
      <x:c r="BQ317">
        <x:f>MAX(0,MIN(BK317,IF(AND(H317=1,C317="重要关系1",LEFT('幕间与结算'!H224,8)="建立新的重要关系"),'幕间与结算'!E224+E317,BQ316+IF(C317="重要关系1",E317,0)+IF(AND(C317="魅力",E317&lt;0),E317,0))))</x:f>
        <x:v>0</x:v>
      </x:c>
      <x:c r="BR317">
        <x:f>MAX(0,MIN(BK317,IF(AND(H317=1,C317="重要关系2",LEFT('幕间与结算'!H224,8)="建立新的重要关系"),'幕间与结算'!E224+E317,BR316+IF(C317="重要关系2",E317,0)+IF(AND(C317="魅力",E317&lt;0),E317,0))))</x:f>
        <x:v>0</x:v>
      </x:c>
      <x:c r="BS317">
        <x:f>MAX(0,MIN(BK317,IF(AND(H317=1,C317="重要关系3",LEFT('幕间与结算'!H224,8)="建立新的重要关系"),'幕间与结算'!E224+E317,BS316+IF(C317="重要关系3",E317,0)+IF(AND(C317="魅力",E317&lt;0),E317,0))))</x:f>
        <x:v>0</x:v>
      </x:c>
      <x:c r="BT317">
        <x:f>MAX(0,MIN(BK317,IF(AND(H317=1,C317="重要关系4",LEFT('幕间与结算'!H224,8)="建立新的重要关系"),'幕间与结算'!E224+E317,BT316+IF(C317="重要关系4",E317,0)+IF(AND(C317="魅力",E317&lt;0),E317,0))))</x:f>
        <x:v>0</x:v>
      </x:c>
      <x:c r="BU317">
        <x:f>MAX(0,MIN(BK317,IF(AND(H317=1,C317="重要关系5",LEFT('幕间与结算'!H224,8)="建立新的重要关系"),'幕间与结算'!E224+E317,BU316+IF(C317="重要关系5",E317,0)+IF(AND(C317="魅力",E317&lt;0),E317,0))))</x:f>
        <x:v>0</x:v>
      </x:c>
      <x:c r="BV317">
        <x:f>MAX(0,MIN(BK317,IF(AND(H317=1,C317="重要关系6",LEFT('幕间与结算'!H224,8)="建立新的重要关系"),'幕间与结算'!E224+E317,BV316+IF(C317="重要关系6",E317,0)+IF(AND(C317="魅力",E317&lt;0),E317,0))))</x:f>
        <x:v>0</x:v>
      </x:c>
      <x:c r="BW317">
        <x:f>MAX(0,MIN(BK317,IF(AND(H317=1,C317="重要关系7",LEFT('幕间与结算'!H224,8)="建立新的重要关系"),'幕间与结算'!E224+E317,BW316+IF(C317="重要关系7",E317,0)+IF(AND(C317="魅力",E317&lt;0),E317,0))))</x:f>
        <x:v>0</x:v>
      </x:c>
    </x:row>
    <x:row r="318">
      <x:c r="A318" t="str">
        <x:f>IFERROR(TEXT(VALUE('幕间与结算'!A225),"00"),"")</x:f>
        <x:v>00</x:v>
      </x:c>
      <x:c r="B318">
        <x:f>'幕间与结算'!B225</x:f>
        <x:v>0</x:v>
      </x:c>
      <x:c r="C318">
        <x:f>'幕间与结算'!D225</x:f>
        <x:v>0</x:v>
      </x:c>
      <x:c r="D318">
        <x:f>'幕间与结算'!F225</x:f>
        <x:v>0</x:v>
      </x:c>
      <x:c r="E318">
        <x:f>IF(H318=1,MAX(-'幕间与结算'!E225,MIN(D318,IF(LEFT(C318,3)="技能：",99,IF(COUNTIF($L$2:$L$7,C318)&gt;0,18,999))-'幕间与结算'!E225)),0)</x:f>
        <x:v>0</x:v>
      </x:c>
      <x:c r="F318" t="str">
        <x:f>IF(C318=0,"",IF(G318=0,"记录不完整",IF(H318=0,"重复未计","已计入")))</x:f>
        <x:v/>
      </x:c>
      <x:c r="G318">
        <x:f>IF(AND(AND('幕间与结算'!A225&lt;&gt;"",'幕间与结算'!B225&lt;&gt;"",'幕间与结算'!I225&lt;&gt;"",OR(LEFT(C318,3)="技能：",COUNTIF($L$2:$L$19,C318)&gt;0),ISNUMBER('幕间与结算'!E225),ISNUMBER('幕间与结算'!F225),ISNUMBER('幕间与结算'!G225),'幕间与结算'!E225&gt;=0,'幕间与结算'!G225='幕间与结算'!E225+'幕间与结算'!F225),OR(B318&lt;&gt;"成长",AND(LEFT(C318,3)="技能：",C318&lt;&gt;"技能：非自然知识",'幕间与结算'!E225&gt;=1,'幕间与结算'!E225&lt;=99,'幕间与结算'!F225&gt;=0,'幕间与结算'!F225&lt;=4,'幕间与结算'!G225&lt;=99))),1,0)</x:f>
        <x:v>0</x:v>
      </x:c>
      <x:c r="H318">
        <x:f>IF(AND(G318=1,COUNTIFS($I$200:I318,I318,$G$200:G318,1)=1),1,0)</x:f>
        <x:v>0</x:v>
      </x:c>
      <x:c r="I318" t="str">
        <x:f>IF(G318=1,IF(B318="成长",A318&amp;"-成长-"&amp;C318,'幕间与结算'!I225),"")</x:f>
        <x:v/>
      </x:c>
      <x:c r="BF318">
        <x:f>MAX(0,MIN(18,BF317+IF(C318="力量",E318,0)))</x:f>
        <x:v>0</x:v>
      </x:c>
      <x:c r="BG318">
        <x:f>MAX(0,MIN(18,BG317+IF(C318="体质",E318,0)))</x:f>
        <x:v>0</x:v>
      </x:c>
      <x:c r="BH318">
        <x:f>MAX(0,MIN(18,BH317+IF(C318="敏捷",E318,0)))</x:f>
        <x:v>0</x:v>
      </x:c>
      <x:c r="BI318">
        <x:f>MAX(0,MIN(18,BI317+IF(C318="智力",E318,0)))</x:f>
        <x:v>0</x:v>
      </x:c>
      <x:c r="BJ318">
        <x:f>MAX(0,MIN(18,BJ317+IF(C318="意志",E318,0)))</x:f>
        <x:v>0</x:v>
      </x:c>
      <x:c r="BK318">
        <x:f>MAX(0,MIN(18,BK317+IF(C318="魅力",E318,0)))</x:f>
        <x:v>0</x:v>
      </x:c>
      <x:c r="BL318">
        <x:f>MAX(0,MIN(99,BL317+IF(C318="技能：非自然知识",E318,0)))</x:f>
        <x:v>0</x:v>
      </x:c>
      <x:c r="BM318">
        <x:f>MAX(0,MIN(CEILING((BF318+BG318)/2,1),BM317+IF(C318="体力",E318,0)))</x:f>
        <x:v>0</x:v>
      </x:c>
      <x:c r="BN318">
        <x:f>MAX(0,MIN(BJ318,BN317+IF(C318="毅力",E318,0)))</x:f>
        <x:v>0</x:v>
      </x:c>
      <x:c r="BO318">
        <x:f>MAX(0,MIN(99-BL318,BO317+IF(C318="理智",E318,0)))</x:f>
        <x:v>0</x:v>
      </x:c>
      <x:c r="BP318">
        <x:f>MAX(0,MIN(99,BP317+IF(C318="崩溃点",E318,0)))</x:f>
        <x:v>0</x:v>
      </x:c>
      <x:c r="BQ318">
        <x:f>MAX(0,MIN(BK318,IF(AND(H318=1,C318="重要关系1",LEFT('幕间与结算'!H225,8)="建立新的重要关系"),'幕间与结算'!E225+E318,BQ317+IF(C318="重要关系1",E318,0)+IF(AND(C318="魅力",E318&lt;0),E318,0))))</x:f>
        <x:v>0</x:v>
      </x:c>
      <x:c r="BR318">
        <x:f>MAX(0,MIN(BK318,IF(AND(H318=1,C318="重要关系2",LEFT('幕间与结算'!H225,8)="建立新的重要关系"),'幕间与结算'!E225+E318,BR317+IF(C318="重要关系2",E318,0)+IF(AND(C318="魅力",E318&lt;0),E318,0))))</x:f>
        <x:v>0</x:v>
      </x:c>
      <x:c r="BS318">
        <x:f>MAX(0,MIN(BK318,IF(AND(H318=1,C318="重要关系3",LEFT('幕间与结算'!H225,8)="建立新的重要关系"),'幕间与结算'!E225+E318,BS317+IF(C318="重要关系3",E318,0)+IF(AND(C318="魅力",E318&lt;0),E318,0))))</x:f>
        <x:v>0</x:v>
      </x:c>
      <x:c r="BT318">
        <x:f>MAX(0,MIN(BK318,IF(AND(H318=1,C318="重要关系4",LEFT('幕间与结算'!H225,8)="建立新的重要关系"),'幕间与结算'!E225+E318,BT317+IF(C318="重要关系4",E318,0)+IF(AND(C318="魅力",E318&lt;0),E318,0))))</x:f>
        <x:v>0</x:v>
      </x:c>
      <x:c r="BU318">
        <x:f>MAX(0,MIN(BK318,IF(AND(H318=1,C318="重要关系5",LEFT('幕间与结算'!H225,8)="建立新的重要关系"),'幕间与结算'!E225+E318,BU317+IF(C318="重要关系5",E318,0)+IF(AND(C318="魅力",E318&lt;0),E318,0))))</x:f>
        <x:v>0</x:v>
      </x:c>
      <x:c r="BV318">
        <x:f>MAX(0,MIN(BK318,IF(AND(H318=1,C318="重要关系6",LEFT('幕间与结算'!H225,8)="建立新的重要关系"),'幕间与结算'!E225+E318,BV317+IF(C318="重要关系6",E318,0)+IF(AND(C318="魅力",E318&lt;0),E318,0))))</x:f>
        <x:v>0</x:v>
      </x:c>
      <x:c r="BW318">
        <x:f>MAX(0,MIN(BK318,IF(AND(H318=1,C318="重要关系7",LEFT('幕间与结算'!H225,8)="建立新的重要关系"),'幕间与结算'!E225+E318,BW317+IF(C318="重要关系7",E318,0)+IF(AND(C318="魅力",E318&lt;0),E318,0))))</x:f>
        <x:v>0</x:v>
      </x:c>
    </x:row>
    <x:row r="319">
      <x:c r="A319" t="str">
        <x:f>IFERROR(TEXT(VALUE('幕间与结算'!A226),"00"),"")</x:f>
        <x:v>00</x:v>
      </x:c>
      <x:c r="B319">
        <x:f>'幕间与结算'!B226</x:f>
        <x:v>0</x:v>
      </x:c>
      <x:c r="C319">
        <x:f>'幕间与结算'!D226</x:f>
        <x:v>0</x:v>
      </x:c>
      <x:c r="D319">
        <x:f>'幕间与结算'!F226</x:f>
        <x:v>0</x:v>
      </x:c>
      <x:c r="E319">
        <x:f>IF(H319=1,MAX(-'幕间与结算'!E226,MIN(D319,IF(LEFT(C319,3)="技能：",99,IF(COUNTIF($L$2:$L$7,C319)&gt;0,18,999))-'幕间与结算'!E226)),0)</x:f>
        <x:v>0</x:v>
      </x:c>
      <x:c r="F319" t="str">
        <x:f>IF(C319=0,"",IF(G319=0,"记录不完整",IF(H319=0,"重复未计","已计入")))</x:f>
        <x:v/>
      </x:c>
      <x:c r="G319">
        <x:f>IF(AND(AND('幕间与结算'!A226&lt;&gt;"",'幕间与结算'!B226&lt;&gt;"",'幕间与结算'!I226&lt;&gt;"",OR(LEFT(C319,3)="技能：",COUNTIF($L$2:$L$19,C319)&gt;0),ISNUMBER('幕间与结算'!E226),ISNUMBER('幕间与结算'!F226),ISNUMBER('幕间与结算'!G226),'幕间与结算'!E226&gt;=0,'幕间与结算'!G226='幕间与结算'!E226+'幕间与结算'!F226),OR(B319&lt;&gt;"成长",AND(LEFT(C319,3)="技能：",C319&lt;&gt;"技能：非自然知识",'幕间与结算'!E226&gt;=1,'幕间与结算'!E226&lt;=99,'幕间与结算'!F226&gt;=0,'幕间与结算'!F226&lt;=4,'幕间与结算'!G226&lt;=99))),1,0)</x:f>
        <x:v>0</x:v>
      </x:c>
      <x:c r="H319">
        <x:f>IF(AND(G319=1,COUNTIFS($I$200:I319,I319,$G$200:G319,1)=1),1,0)</x:f>
        <x:v>0</x:v>
      </x:c>
      <x:c r="I319" t="str">
        <x:f>IF(G319=1,IF(B319="成长",A319&amp;"-成长-"&amp;C319,'幕间与结算'!I226),"")</x:f>
        <x:v/>
      </x:c>
      <x:c r="BF319">
        <x:f>MAX(0,MIN(18,BF318+IF(C319="力量",E319,0)))</x:f>
        <x:v>0</x:v>
      </x:c>
      <x:c r="BG319">
        <x:f>MAX(0,MIN(18,BG318+IF(C319="体质",E319,0)))</x:f>
        <x:v>0</x:v>
      </x:c>
      <x:c r="BH319">
        <x:f>MAX(0,MIN(18,BH318+IF(C319="敏捷",E319,0)))</x:f>
        <x:v>0</x:v>
      </x:c>
      <x:c r="BI319">
        <x:f>MAX(0,MIN(18,BI318+IF(C319="智力",E319,0)))</x:f>
        <x:v>0</x:v>
      </x:c>
      <x:c r="BJ319">
        <x:f>MAX(0,MIN(18,BJ318+IF(C319="意志",E319,0)))</x:f>
        <x:v>0</x:v>
      </x:c>
      <x:c r="BK319">
        <x:f>MAX(0,MIN(18,BK318+IF(C319="魅力",E319,0)))</x:f>
        <x:v>0</x:v>
      </x:c>
      <x:c r="BL319">
        <x:f>MAX(0,MIN(99,BL318+IF(C319="技能：非自然知识",E319,0)))</x:f>
        <x:v>0</x:v>
      </x:c>
      <x:c r="BM319">
        <x:f>MAX(0,MIN(CEILING((BF319+BG319)/2,1),BM318+IF(C319="体力",E319,0)))</x:f>
        <x:v>0</x:v>
      </x:c>
      <x:c r="BN319">
        <x:f>MAX(0,MIN(BJ319,BN318+IF(C319="毅力",E319,0)))</x:f>
        <x:v>0</x:v>
      </x:c>
      <x:c r="BO319">
        <x:f>MAX(0,MIN(99-BL319,BO318+IF(C319="理智",E319,0)))</x:f>
        <x:v>0</x:v>
      </x:c>
      <x:c r="BP319">
        <x:f>MAX(0,MIN(99,BP318+IF(C319="崩溃点",E319,0)))</x:f>
        <x:v>0</x:v>
      </x:c>
      <x:c r="BQ319">
        <x:f>MAX(0,MIN(BK319,IF(AND(H319=1,C319="重要关系1",LEFT('幕间与结算'!H226,8)="建立新的重要关系"),'幕间与结算'!E226+E319,BQ318+IF(C319="重要关系1",E319,0)+IF(AND(C319="魅力",E319&lt;0),E319,0))))</x:f>
        <x:v>0</x:v>
      </x:c>
      <x:c r="BR319">
        <x:f>MAX(0,MIN(BK319,IF(AND(H319=1,C319="重要关系2",LEFT('幕间与结算'!H226,8)="建立新的重要关系"),'幕间与结算'!E226+E319,BR318+IF(C319="重要关系2",E319,0)+IF(AND(C319="魅力",E319&lt;0),E319,0))))</x:f>
        <x:v>0</x:v>
      </x:c>
      <x:c r="BS319">
        <x:f>MAX(0,MIN(BK319,IF(AND(H319=1,C319="重要关系3",LEFT('幕间与结算'!H226,8)="建立新的重要关系"),'幕间与结算'!E226+E319,BS318+IF(C319="重要关系3",E319,0)+IF(AND(C319="魅力",E319&lt;0),E319,0))))</x:f>
        <x:v>0</x:v>
      </x:c>
      <x:c r="BT319">
        <x:f>MAX(0,MIN(BK319,IF(AND(H319=1,C319="重要关系4",LEFT('幕间与结算'!H226,8)="建立新的重要关系"),'幕间与结算'!E226+E319,BT318+IF(C319="重要关系4",E319,0)+IF(AND(C319="魅力",E319&lt;0),E319,0))))</x:f>
        <x:v>0</x:v>
      </x:c>
      <x:c r="BU319">
        <x:f>MAX(0,MIN(BK319,IF(AND(H319=1,C319="重要关系5",LEFT('幕间与结算'!H226,8)="建立新的重要关系"),'幕间与结算'!E226+E319,BU318+IF(C319="重要关系5",E319,0)+IF(AND(C319="魅力",E319&lt;0),E319,0))))</x:f>
        <x:v>0</x:v>
      </x:c>
      <x:c r="BV319">
        <x:f>MAX(0,MIN(BK319,IF(AND(H319=1,C319="重要关系6",LEFT('幕间与结算'!H226,8)="建立新的重要关系"),'幕间与结算'!E226+E319,BV318+IF(C319="重要关系6",E319,0)+IF(AND(C319="魅力",E319&lt;0),E319,0))))</x:f>
        <x:v>0</x:v>
      </x:c>
      <x:c r="BW319">
        <x:f>MAX(0,MIN(BK319,IF(AND(H319=1,C319="重要关系7",LEFT('幕间与结算'!H226,8)="建立新的重要关系"),'幕间与结算'!E226+E319,BW318+IF(C319="重要关系7",E319,0)+IF(AND(C319="魅力",E319&lt;0),E319,0))))</x:f>
        <x:v>0</x:v>
      </x:c>
    </x:row>
    <x:row r="320">
      <x:c r="A320" t="str">
        <x:f>IFERROR(TEXT(VALUE('幕间与结算'!A227),"00"),"")</x:f>
        <x:v>00</x:v>
      </x:c>
      <x:c r="B320">
        <x:f>'幕间与结算'!B227</x:f>
        <x:v>0</x:v>
      </x:c>
      <x:c r="C320">
        <x:f>'幕间与结算'!D227</x:f>
        <x:v>0</x:v>
      </x:c>
      <x:c r="D320">
        <x:f>'幕间与结算'!F227</x:f>
        <x:v>0</x:v>
      </x:c>
      <x:c r="E320">
        <x:f>IF(H320=1,MAX(-'幕间与结算'!E227,MIN(D320,IF(LEFT(C320,3)="技能：",99,IF(COUNTIF($L$2:$L$7,C320)&gt;0,18,999))-'幕间与结算'!E227)),0)</x:f>
        <x:v>0</x:v>
      </x:c>
      <x:c r="F320" t="str">
        <x:f>IF(C320=0,"",IF(G320=0,"记录不完整",IF(H320=0,"重复未计","已计入")))</x:f>
        <x:v/>
      </x:c>
      <x:c r="G320">
        <x:f>IF(AND(AND('幕间与结算'!A227&lt;&gt;"",'幕间与结算'!B227&lt;&gt;"",'幕间与结算'!I227&lt;&gt;"",OR(LEFT(C320,3)="技能：",COUNTIF($L$2:$L$19,C320)&gt;0),ISNUMBER('幕间与结算'!E227),ISNUMBER('幕间与结算'!F227),ISNUMBER('幕间与结算'!G227),'幕间与结算'!E227&gt;=0,'幕间与结算'!G227='幕间与结算'!E227+'幕间与结算'!F227),OR(B320&lt;&gt;"成长",AND(LEFT(C320,3)="技能：",C320&lt;&gt;"技能：非自然知识",'幕间与结算'!E227&gt;=1,'幕间与结算'!E227&lt;=99,'幕间与结算'!F227&gt;=0,'幕间与结算'!F227&lt;=4,'幕间与结算'!G227&lt;=99))),1,0)</x:f>
        <x:v>0</x:v>
      </x:c>
      <x:c r="H320">
        <x:f>IF(AND(G320=1,COUNTIFS($I$200:I320,I320,$G$200:G320,1)=1),1,0)</x:f>
        <x:v>0</x:v>
      </x:c>
      <x:c r="I320" t="str">
        <x:f>IF(G320=1,IF(B320="成长",A320&amp;"-成长-"&amp;C320,'幕间与结算'!I227),"")</x:f>
        <x:v/>
      </x:c>
      <x:c r="BF320">
        <x:f>MAX(0,MIN(18,BF319+IF(C320="力量",E320,0)))</x:f>
        <x:v>0</x:v>
      </x:c>
      <x:c r="BG320">
        <x:f>MAX(0,MIN(18,BG319+IF(C320="体质",E320,0)))</x:f>
        <x:v>0</x:v>
      </x:c>
      <x:c r="BH320">
        <x:f>MAX(0,MIN(18,BH319+IF(C320="敏捷",E320,0)))</x:f>
        <x:v>0</x:v>
      </x:c>
      <x:c r="BI320">
        <x:f>MAX(0,MIN(18,BI319+IF(C320="智力",E320,0)))</x:f>
        <x:v>0</x:v>
      </x:c>
      <x:c r="BJ320">
        <x:f>MAX(0,MIN(18,BJ319+IF(C320="意志",E320,0)))</x:f>
        <x:v>0</x:v>
      </x:c>
      <x:c r="BK320">
        <x:f>MAX(0,MIN(18,BK319+IF(C320="魅力",E320,0)))</x:f>
        <x:v>0</x:v>
      </x:c>
      <x:c r="BL320">
        <x:f>MAX(0,MIN(99,BL319+IF(C320="技能：非自然知识",E320,0)))</x:f>
        <x:v>0</x:v>
      </x:c>
      <x:c r="BM320">
        <x:f>MAX(0,MIN(CEILING((BF320+BG320)/2,1),BM319+IF(C320="体力",E320,0)))</x:f>
        <x:v>0</x:v>
      </x:c>
      <x:c r="BN320">
        <x:f>MAX(0,MIN(BJ320,BN319+IF(C320="毅力",E320,0)))</x:f>
        <x:v>0</x:v>
      </x:c>
      <x:c r="BO320">
        <x:f>MAX(0,MIN(99-BL320,BO319+IF(C320="理智",E320,0)))</x:f>
        <x:v>0</x:v>
      </x:c>
      <x:c r="BP320">
        <x:f>MAX(0,MIN(99,BP319+IF(C320="崩溃点",E320,0)))</x:f>
        <x:v>0</x:v>
      </x:c>
      <x:c r="BQ320">
        <x:f>MAX(0,MIN(BK320,IF(AND(H320=1,C320="重要关系1",LEFT('幕间与结算'!H227,8)="建立新的重要关系"),'幕间与结算'!E227+E320,BQ319+IF(C320="重要关系1",E320,0)+IF(AND(C320="魅力",E320&lt;0),E320,0))))</x:f>
        <x:v>0</x:v>
      </x:c>
      <x:c r="BR320">
        <x:f>MAX(0,MIN(BK320,IF(AND(H320=1,C320="重要关系2",LEFT('幕间与结算'!H227,8)="建立新的重要关系"),'幕间与结算'!E227+E320,BR319+IF(C320="重要关系2",E320,0)+IF(AND(C320="魅力",E320&lt;0),E320,0))))</x:f>
        <x:v>0</x:v>
      </x:c>
      <x:c r="BS320">
        <x:f>MAX(0,MIN(BK320,IF(AND(H320=1,C320="重要关系3",LEFT('幕间与结算'!H227,8)="建立新的重要关系"),'幕间与结算'!E227+E320,BS319+IF(C320="重要关系3",E320,0)+IF(AND(C320="魅力",E320&lt;0),E320,0))))</x:f>
        <x:v>0</x:v>
      </x:c>
      <x:c r="BT320">
        <x:f>MAX(0,MIN(BK320,IF(AND(H320=1,C320="重要关系4",LEFT('幕间与结算'!H227,8)="建立新的重要关系"),'幕间与结算'!E227+E320,BT319+IF(C320="重要关系4",E320,0)+IF(AND(C320="魅力",E320&lt;0),E320,0))))</x:f>
        <x:v>0</x:v>
      </x:c>
      <x:c r="BU320">
        <x:f>MAX(0,MIN(BK320,IF(AND(H320=1,C320="重要关系5",LEFT('幕间与结算'!H227,8)="建立新的重要关系"),'幕间与结算'!E227+E320,BU319+IF(C320="重要关系5",E320,0)+IF(AND(C320="魅力",E320&lt;0),E320,0))))</x:f>
        <x:v>0</x:v>
      </x:c>
      <x:c r="BV320">
        <x:f>MAX(0,MIN(BK320,IF(AND(H320=1,C320="重要关系6",LEFT('幕间与结算'!H227,8)="建立新的重要关系"),'幕间与结算'!E227+E320,BV319+IF(C320="重要关系6",E320,0)+IF(AND(C320="魅力",E320&lt;0),E320,0))))</x:f>
        <x:v>0</x:v>
      </x:c>
      <x:c r="BW320">
        <x:f>MAX(0,MIN(BK320,IF(AND(H320=1,C320="重要关系7",LEFT('幕间与结算'!H227,8)="建立新的重要关系"),'幕间与结算'!E227+E320,BW319+IF(C320="重要关系7",E320,0)+IF(AND(C320="魅力",E320&lt;0),E320,0))))</x:f>
        <x:v>0</x:v>
      </x:c>
    </x:row>
    <x:row r="321">
      <x:c r="A321" t="str">
        <x:f>IFERROR(TEXT(VALUE('幕间与结算'!A228),"00"),"")</x:f>
        <x:v>00</x:v>
      </x:c>
      <x:c r="B321">
        <x:f>'幕间与结算'!B228</x:f>
        <x:v>0</x:v>
      </x:c>
      <x:c r="C321">
        <x:f>'幕间与结算'!D228</x:f>
        <x:v>0</x:v>
      </x:c>
      <x:c r="D321">
        <x:f>'幕间与结算'!F228</x:f>
        <x:v>0</x:v>
      </x:c>
      <x:c r="E321">
        <x:f>IF(H321=1,MAX(-'幕间与结算'!E228,MIN(D321,IF(LEFT(C321,3)="技能：",99,IF(COUNTIF($L$2:$L$7,C321)&gt;0,18,999))-'幕间与结算'!E228)),0)</x:f>
        <x:v>0</x:v>
      </x:c>
      <x:c r="F321" t="str">
        <x:f>IF(C321=0,"",IF(G321=0,"记录不完整",IF(H321=0,"重复未计","已计入")))</x:f>
        <x:v/>
      </x:c>
      <x:c r="G321">
        <x:f>IF(AND(AND('幕间与结算'!A228&lt;&gt;"",'幕间与结算'!B228&lt;&gt;"",'幕间与结算'!I228&lt;&gt;"",OR(LEFT(C321,3)="技能：",COUNTIF($L$2:$L$19,C321)&gt;0),ISNUMBER('幕间与结算'!E228),ISNUMBER('幕间与结算'!F228),ISNUMBER('幕间与结算'!G228),'幕间与结算'!E228&gt;=0,'幕间与结算'!G228='幕间与结算'!E228+'幕间与结算'!F228),OR(B321&lt;&gt;"成长",AND(LEFT(C321,3)="技能：",C321&lt;&gt;"技能：非自然知识",'幕间与结算'!E228&gt;=1,'幕间与结算'!E228&lt;=99,'幕间与结算'!F228&gt;=0,'幕间与结算'!F228&lt;=4,'幕间与结算'!G228&lt;=99))),1,0)</x:f>
        <x:v>0</x:v>
      </x:c>
      <x:c r="H321">
        <x:f>IF(AND(G321=1,COUNTIFS($I$200:I321,I321,$G$200:G321,1)=1),1,0)</x:f>
        <x:v>0</x:v>
      </x:c>
      <x:c r="I321" t="str">
        <x:f>IF(G321=1,IF(B321="成长",A321&amp;"-成长-"&amp;C321,'幕间与结算'!I228),"")</x:f>
        <x:v/>
      </x:c>
      <x:c r="BF321">
        <x:f>MAX(0,MIN(18,BF320+IF(C321="力量",E321,0)))</x:f>
        <x:v>0</x:v>
      </x:c>
      <x:c r="BG321">
        <x:f>MAX(0,MIN(18,BG320+IF(C321="体质",E321,0)))</x:f>
        <x:v>0</x:v>
      </x:c>
      <x:c r="BH321">
        <x:f>MAX(0,MIN(18,BH320+IF(C321="敏捷",E321,0)))</x:f>
        <x:v>0</x:v>
      </x:c>
      <x:c r="BI321">
        <x:f>MAX(0,MIN(18,BI320+IF(C321="智力",E321,0)))</x:f>
        <x:v>0</x:v>
      </x:c>
      <x:c r="BJ321">
        <x:f>MAX(0,MIN(18,BJ320+IF(C321="意志",E321,0)))</x:f>
        <x:v>0</x:v>
      </x:c>
      <x:c r="BK321">
        <x:f>MAX(0,MIN(18,BK320+IF(C321="魅力",E321,0)))</x:f>
        <x:v>0</x:v>
      </x:c>
      <x:c r="BL321">
        <x:f>MAX(0,MIN(99,BL320+IF(C321="技能：非自然知识",E321,0)))</x:f>
        <x:v>0</x:v>
      </x:c>
      <x:c r="BM321">
        <x:f>MAX(0,MIN(CEILING((BF321+BG321)/2,1),BM320+IF(C321="体力",E321,0)))</x:f>
        <x:v>0</x:v>
      </x:c>
      <x:c r="BN321">
        <x:f>MAX(0,MIN(BJ321,BN320+IF(C321="毅力",E321,0)))</x:f>
        <x:v>0</x:v>
      </x:c>
      <x:c r="BO321">
        <x:f>MAX(0,MIN(99-BL321,BO320+IF(C321="理智",E321,0)))</x:f>
        <x:v>0</x:v>
      </x:c>
      <x:c r="BP321">
        <x:f>MAX(0,MIN(99,BP320+IF(C321="崩溃点",E321,0)))</x:f>
        <x:v>0</x:v>
      </x:c>
      <x:c r="BQ321">
        <x:f>MAX(0,MIN(BK321,IF(AND(H321=1,C321="重要关系1",LEFT('幕间与结算'!H228,8)="建立新的重要关系"),'幕间与结算'!E228+E321,BQ320+IF(C321="重要关系1",E321,0)+IF(AND(C321="魅力",E321&lt;0),E321,0))))</x:f>
        <x:v>0</x:v>
      </x:c>
      <x:c r="BR321">
        <x:f>MAX(0,MIN(BK321,IF(AND(H321=1,C321="重要关系2",LEFT('幕间与结算'!H228,8)="建立新的重要关系"),'幕间与结算'!E228+E321,BR320+IF(C321="重要关系2",E321,0)+IF(AND(C321="魅力",E321&lt;0),E321,0))))</x:f>
        <x:v>0</x:v>
      </x:c>
      <x:c r="BS321">
        <x:f>MAX(0,MIN(BK321,IF(AND(H321=1,C321="重要关系3",LEFT('幕间与结算'!H228,8)="建立新的重要关系"),'幕间与结算'!E228+E321,BS320+IF(C321="重要关系3",E321,0)+IF(AND(C321="魅力",E321&lt;0),E321,0))))</x:f>
        <x:v>0</x:v>
      </x:c>
      <x:c r="BT321">
        <x:f>MAX(0,MIN(BK321,IF(AND(H321=1,C321="重要关系4",LEFT('幕间与结算'!H228,8)="建立新的重要关系"),'幕间与结算'!E228+E321,BT320+IF(C321="重要关系4",E321,0)+IF(AND(C321="魅力",E321&lt;0),E321,0))))</x:f>
        <x:v>0</x:v>
      </x:c>
      <x:c r="BU321">
        <x:f>MAX(0,MIN(BK321,IF(AND(H321=1,C321="重要关系5",LEFT('幕间与结算'!H228,8)="建立新的重要关系"),'幕间与结算'!E228+E321,BU320+IF(C321="重要关系5",E321,0)+IF(AND(C321="魅力",E321&lt;0),E321,0))))</x:f>
        <x:v>0</x:v>
      </x:c>
      <x:c r="BV321">
        <x:f>MAX(0,MIN(BK321,IF(AND(H321=1,C321="重要关系6",LEFT('幕间与结算'!H228,8)="建立新的重要关系"),'幕间与结算'!E228+E321,BV320+IF(C321="重要关系6",E321,0)+IF(AND(C321="魅力",E321&lt;0),E321,0))))</x:f>
        <x:v>0</x:v>
      </x:c>
      <x:c r="BW321">
        <x:f>MAX(0,MIN(BK321,IF(AND(H321=1,C321="重要关系7",LEFT('幕间与结算'!H228,8)="建立新的重要关系"),'幕间与结算'!E228+E321,BW320+IF(C321="重要关系7",E321,0)+IF(AND(C321="魅力",E321&lt;0),E321,0))))</x:f>
        <x:v>0</x:v>
      </x:c>
    </x:row>
    <x:row r="322">
      <x:c r="A322" t="str">
        <x:f>IFERROR(TEXT(VALUE('幕间与结算'!A229),"00"),"")</x:f>
        <x:v>00</x:v>
      </x:c>
      <x:c r="B322">
        <x:f>'幕间与结算'!B229</x:f>
        <x:v>0</x:v>
      </x:c>
      <x:c r="C322">
        <x:f>'幕间与结算'!D229</x:f>
        <x:v>0</x:v>
      </x:c>
      <x:c r="D322">
        <x:f>'幕间与结算'!F229</x:f>
        <x:v>0</x:v>
      </x:c>
      <x:c r="E322">
        <x:f>IF(H322=1,MAX(-'幕间与结算'!E229,MIN(D322,IF(LEFT(C322,3)="技能：",99,IF(COUNTIF($L$2:$L$7,C322)&gt;0,18,999))-'幕间与结算'!E229)),0)</x:f>
        <x:v>0</x:v>
      </x:c>
      <x:c r="F322" t="str">
        <x:f>IF(C322=0,"",IF(G322=0,"记录不完整",IF(H322=0,"重复未计","已计入")))</x:f>
        <x:v/>
      </x:c>
      <x:c r="G322">
        <x:f>IF(AND(AND('幕间与结算'!A229&lt;&gt;"",'幕间与结算'!B229&lt;&gt;"",'幕间与结算'!I229&lt;&gt;"",OR(LEFT(C322,3)="技能：",COUNTIF($L$2:$L$19,C322)&gt;0),ISNUMBER('幕间与结算'!E229),ISNUMBER('幕间与结算'!F229),ISNUMBER('幕间与结算'!G229),'幕间与结算'!E229&gt;=0,'幕间与结算'!G229='幕间与结算'!E229+'幕间与结算'!F229),OR(B322&lt;&gt;"成长",AND(LEFT(C322,3)="技能：",C322&lt;&gt;"技能：非自然知识",'幕间与结算'!E229&gt;=1,'幕间与结算'!E229&lt;=99,'幕间与结算'!F229&gt;=0,'幕间与结算'!F229&lt;=4,'幕间与结算'!G229&lt;=99))),1,0)</x:f>
        <x:v>0</x:v>
      </x:c>
      <x:c r="H322">
        <x:f>IF(AND(G322=1,COUNTIFS($I$200:I322,I322,$G$200:G322,1)=1),1,0)</x:f>
        <x:v>0</x:v>
      </x:c>
      <x:c r="I322" t="str">
        <x:f>IF(G322=1,IF(B322="成长",A322&amp;"-成长-"&amp;C322,'幕间与结算'!I229),"")</x:f>
        <x:v/>
      </x:c>
      <x:c r="BF322">
        <x:f>MAX(0,MIN(18,BF321+IF(C322="力量",E322,0)))</x:f>
        <x:v>0</x:v>
      </x:c>
      <x:c r="BG322">
        <x:f>MAX(0,MIN(18,BG321+IF(C322="体质",E322,0)))</x:f>
        <x:v>0</x:v>
      </x:c>
      <x:c r="BH322">
        <x:f>MAX(0,MIN(18,BH321+IF(C322="敏捷",E322,0)))</x:f>
        <x:v>0</x:v>
      </x:c>
      <x:c r="BI322">
        <x:f>MAX(0,MIN(18,BI321+IF(C322="智力",E322,0)))</x:f>
        <x:v>0</x:v>
      </x:c>
      <x:c r="BJ322">
        <x:f>MAX(0,MIN(18,BJ321+IF(C322="意志",E322,0)))</x:f>
        <x:v>0</x:v>
      </x:c>
      <x:c r="BK322">
        <x:f>MAX(0,MIN(18,BK321+IF(C322="魅力",E322,0)))</x:f>
        <x:v>0</x:v>
      </x:c>
      <x:c r="BL322">
        <x:f>MAX(0,MIN(99,BL321+IF(C322="技能：非自然知识",E322,0)))</x:f>
        <x:v>0</x:v>
      </x:c>
      <x:c r="BM322">
        <x:f>MAX(0,MIN(CEILING((BF322+BG322)/2,1),BM321+IF(C322="体力",E322,0)))</x:f>
        <x:v>0</x:v>
      </x:c>
      <x:c r="BN322">
        <x:f>MAX(0,MIN(BJ322,BN321+IF(C322="毅力",E322,0)))</x:f>
        <x:v>0</x:v>
      </x:c>
      <x:c r="BO322">
        <x:f>MAX(0,MIN(99-BL322,BO321+IF(C322="理智",E322,0)))</x:f>
        <x:v>0</x:v>
      </x:c>
      <x:c r="BP322">
        <x:f>MAX(0,MIN(99,BP321+IF(C322="崩溃点",E322,0)))</x:f>
        <x:v>0</x:v>
      </x:c>
      <x:c r="BQ322">
        <x:f>MAX(0,MIN(BK322,IF(AND(H322=1,C322="重要关系1",LEFT('幕间与结算'!H229,8)="建立新的重要关系"),'幕间与结算'!E229+E322,BQ321+IF(C322="重要关系1",E322,0)+IF(AND(C322="魅力",E322&lt;0),E322,0))))</x:f>
        <x:v>0</x:v>
      </x:c>
      <x:c r="BR322">
        <x:f>MAX(0,MIN(BK322,IF(AND(H322=1,C322="重要关系2",LEFT('幕间与结算'!H229,8)="建立新的重要关系"),'幕间与结算'!E229+E322,BR321+IF(C322="重要关系2",E322,0)+IF(AND(C322="魅力",E322&lt;0),E322,0))))</x:f>
        <x:v>0</x:v>
      </x:c>
      <x:c r="BS322">
        <x:f>MAX(0,MIN(BK322,IF(AND(H322=1,C322="重要关系3",LEFT('幕间与结算'!H229,8)="建立新的重要关系"),'幕间与结算'!E229+E322,BS321+IF(C322="重要关系3",E322,0)+IF(AND(C322="魅力",E322&lt;0),E322,0))))</x:f>
        <x:v>0</x:v>
      </x:c>
      <x:c r="BT322">
        <x:f>MAX(0,MIN(BK322,IF(AND(H322=1,C322="重要关系4",LEFT('幕间与结算'!H229,8)="建立新的重要关系"),'幕间与结算'!E229+E322,BT321+IF(C322="重要关系4",E322,0)+IF(AND(C322="魅力",E322&lt;0),E322,0))))</x:f>
        <x:v>0</x:v>
      </x:c>
      <x:c r="BU322">
        <x:f>MAX(0,MIN(BK322,IF(AND(H322=1,C322="重要关系5",LEFT('幕间与结算'!H229,8)="建立新的重要关系"),'幕间与结算'!E229+E322,BU321+IF(C322="重要关系5",E322,0)+IF(AND(C322="魅力",E322&lt;0),E322,0))))</x:f>
        <x:v>0</x:v>
      </x:c>
      <x:c r="BV322">
        <x:f>MAX(0,MIN(BK322,IF(AND(H322=1,C322="重要关系6",LEFT('幕间与结算'!H229,8)="建立新的重要关系"),'幕间与结算'!E229+E322,BV321+IF(C322="重要关系6",E322,0)+IF(AND(C322="魅力",E322&lt;0),E322,0))))</x:f>
        <x:v>0</x:v>
      </x:c>
      <x:c r="BW322">
        <x:f>MAX(0,MIN(BK322,IF(AND(H322=1,C322="重要关系7",LEFT('幕间与结算'!H229,8)="建立新的重要关系"),'幕间与结算'!E229+E322,BW321+IF(C322="重要关系7",E322,0)+IF(AND(C322="魅力",E322&lt;0),E322,0))))</x:f>
        <x:v>0</x:v>
      </x:c>
    </x:row>
    <x:row r="323">
      <x:c r="A323" t="str">
        <x:f>IFERROR(TEXT(VALUE('幕间与结算'!A230),"00"),"")</x:f>
        <x:v>00</x:v>
      </x:c>
      <x:c r="B323">
        <x:f>'幕间与结算'!B230</x:f>
        <x:v>0</x:v>
      </x:c>
      <x:c r="C323">
        <x:f>'幕间与结算'!D230</x:f>
        <x:v>0</x:v>
      </x:c>
      <x:c r="D323">
        <x:f>'幕间与结算'!F230</x:f>
        <x:v>0</x:v>
      </x:c>
      <x:c r="E323">
        <x:f>IF(H323=1,MAX(-'幕间与结算'!E230,MIN(D323,IF(LEFT(C323,3)="技能：",99,IF(COUNTIF($L$2:$L$7,C323)&gt;0,18,999))-'幕间与结算'!E230)),0)</x:f>
        <x:v>0</x:v>
      </x:c>
      <x:c r="F323" t="str">
        <x:f>IF(C323=0,"",IF(G323=0,"记录不完整",IF(H323=0,"重复未计","已计入")))</x:f>
        <x:v/>
      </x:c>
      <x:c r="G323">
        <x:f>IF(AND(AND('幕间与结算'!A230&lt;&gt;"",'幕间与结算'!B230&lt;&gt;"",'幕间与结算'!I230&lt;&gt;"",OR(LEFT(C323,3)="技能：",COUNTIF($L$2:$L$19,C323)&gt;0),ISNUMBER('幕间与结算'!E230),ISNUMBER('幕间与结算'!F230),ISNUMBER('幕间与结算'!G230),'幕间与结算'!E230&gt;=0,'幕间与结算'!G230='幕间与结算'!E230+'幕间与结算'!F230),OR(B323&lt;&gt;"成长",AND(LEFT(C323,3)="技能：",C323&lt;&gt;"技能：非自然知识",'幕间与结算'!E230&gt;=1,'幕间与结算'!E230&lt;=99,'幕间与结算'!F230&gt;=0,'幕间与结算'!F230&lt;=4,'幕间与结算'!G230&lt;=99))),1,0)</x:f>
        <x:v>0</x:v>
      </x:c>
      <x:c r="H323">
        <x:f>IF(AND(G323=1,COUNTIFS($I$200:I323,I323,$G$200:G323,1)=1),1,0)</x:f>
        <x:v>0</x:v>
      </x:c>
      <x:c r="I323" t="str">
        <x:f>IF(G323=1,IF(B323="成长",A323&amp;"-成长-"&amp;C323,'幕间与结算'!I230),"")</x:f>
        <x:v/>
      </x:c>
      <x:c r="BF323">
        <x:f>MAX(0,MIN(18,BF322+IF(C323="力量",E323,0)))</x:f>
        <x:v>0</x:v>
      </x:c>
      <x:c r="BG323">
        <x:f>MAX(0,MIN(18,BG322+IF(C323="体质",E323,0)))</x:f>
        <x:v>0</x:v>
      </x:c>
      <x:c r="BH323">
        <x:f>MAX(0,MIN(18,BH322+IF(C323="敏捷",E323,0)))</x:f>
        <x:v>0</x:v>
      </x:c>
      <x:c r="BI323">
        <x:f>MAX(0,MIN(18,BI322+IF(C323="智力",E323,0)))</x:f>
        <x:v>0</x:v>
      </x:c>
      <x:c r="BJ323">
        <x:f>MAX(0,MIN(18,BJ322+IF(C323="意志",E323,0)))</x:f>
        <x:v>0</x:v>
      </x:c>
      <x:c r="BK323">
        <x:f>MAX(0,MIN(18,BK322+IF(C323="魅力",E323,0)))</x:f>
        <x:v>0</x:v>
      </x:c>
      <x:c r="BL323">
        <x:f>MAX(0,MIN(99,BL322+IF(C323="技能：非自然知识",E323,0)))</x:f>
        <x:v>0</x:v>
      </x:c>
      <x:c r="BM323">
        <x:f>MAX(0,MIN(CEILING((BF323+BG323)/2,1),BM322+IF(C323="体力",E323,0)))</x:f>
        <x:v>0</x:v>
      </x:c>
      <x:c r="BN323">
        <x:f>MAX(0,MIN(BJ323,BN322+IF(C323="毅力",E323,0)))</x:f>
        <x:v>0</x:v>
      </x:c>
      <x:c r="BO323">
        <x:f>MAX(0,MIN(99-BL323,BO322+IF(C323="理智",E323,0)))</x:f>
        <x:v>0</x:v>
      </x:c>
      <x:c r="BP323">
        <x:f>MAX(0,MIN(99,BP322+IF(C323="崩溃点",E323,0)))</x:f>
        <x:v>0</x:v>
      </x:c>
      <x:c r="BQ323">
        <x:f>MAX(0,MIN(BK323,IF(AND(H323=1,C323="重要关系1",LEFT('幕间与结算'!H230,8)="建立新的重要关系"),'幕间与结算'!E230+E323,BQ322+IF(C323="重要关系1",E323,0)+IF(AND(C323="魅力",E323&lt;0),E323,0))))</x:f>
        <x:v>0</x:v>
      </x:c>
      <x:c r="BR323">
        <x:f>MAX(0,MIN(BK323,IF(AND(H323=1,C323="重要关系2",LEFT('幕间与结算'!H230,8)="建立新的重要关系"),'幕间与结算'!E230+E323,BR322+IF(C323="重要关系2",E323,0)+IF(AND(C323="魅力",E323&lt;0),E323,0))))</x:f>
        <x:v>0</x:v>
      </x:c>
      <x:c r="BS323">
        <x:f>MAX(0,MIN(BK323,IF(AND(H323=1,C323="重要关系3",LEFT('幕间与结算'!H230,8)="建立新的重要关系"),'幕间与结算'!E230+E323,BS322+IF(C323="重要关系3",E323,0)+IF(AND(C323="魅力",E323&lt;0),E323,0))))</x:f>
        <x:v>0</x:v>
      </x:c>
      <x:c r="BT323">
        <x:f>MAX(0,MIN(BK323,IF(AND(H323=1,C323="重要关系4",LEFT('幕间与结算'!H230,8)="建立新的重要关系"),'幕间与结算'!E230+E323,BT322+IF(C323="重要关系4",E323,0)+IF(AND(C323="魅力",E323&lt;0),E323,0))))</x:f>
        <x:v>0</x:v>
      </x:c>
      <x:c r="BU323">
        <x:f>MAX(0,MIN(BK323,IF(AND(H323=1,C323="重要关系5",LEFT('幕间与结算'!H230,8)="建立新的重要关系"),'幕间与结算'!E230+E323,BU322+IF(C323="重要关系5",E323,0)+IF(AND(C323="魅力",E323&lt;0),E323,0))))</x:f>
        <x:v>0</x:v>
      </x:c>
      <x:c r="BV323">
        <x:f>MAX(0,MIN(BK323,IF(AND(H323=1,C323="重要关系6",LEFT('幕间与结算'!H230,8)="建立新的重要关系"),'幕间与结算'!E230+E323,BV322+IF(C323="重要关系6",E323,0)+IF(AND(C323="魅力",E323&lt;0),E323,0))))</x:f>
        <x:v>0</x:v>
      </x:c>
      <x:c r="BW323">
        <x:f>MAX(0,MIN(BK323,IF(AND(H323=1,C323="重要关系7",LEFT('幕间与结算'!H230,8)="建立新的重要关系"),'幕间与结算'!E230+E323,BW322+IF(C323="重要关系7",E323,0)+IF(AND(C323="魅力",E323&lt;0),E323,0))))</x:f>
        <x:v>0</x:v>
      </x:c>
    </x:row>
    <x:row r="324">
      <x:c r="A324" t="str">
        <x:f>IFERROR(TEXT(VALUE('幕间与结算'!A231),"00"),"")</x:f>
        <x:v>00</x:v>
      </x:c>
      <x:c r="B324">
        <x:f>'幕间与结算'!B231</x:f>
        <x:v>0</x:v>
      </x:c>
      <x:c r="C324">
        <x:f>'幕间与结算'!D231</x:f>
        <x:v>0</x:v>
      </x:c>
      <x:c r="D324">
        <x:f>'幕间与结算'!F231</x:f>
        <x:v>0</x:v>
      </x:c>
      <x:c r="E324">
        <x:f>IF(H324=1,MAX(-'幕间与结算'!E231,MIN(D324,IF(LEFT(C324,3)="技能：",99,IF(COUNTIF($L$2:$L$7,C324)&gt;0,18,999))-'幕间与结算'!E231)),0)</x:f>
        <x:v>0</x:v>
      </x:c>
      <x:c r="F324" t="str">
        <x:f>IF(C324=0,"",IF(G324=0,"记录不完整",IF(H324=0,"重复未计","已计入")))</x:f>
        <x:v/>
      </x:c>
      <x:c r="G324">
        <x:f>IF(AND(AND('幕间与结算'!A231&lt;&gt;"",'幕间与结算'!B231&lt;&gt;"",'幕间与结算'!I231&lt;&gt;"",OR(LEFT(C324,3)="技能：",COUNTIF($L$2:$L$19,C324)&gt;0),ISNUMBER('幕间与结算'!E231),ISNUMBER('幕间与结算'!F231),ISNUMBER('幕间与结算'!G231),'幕间与结算'!E231&gt;=0,'幕间与结算'!G231='幕间与结算'!E231+'幕间与结算'!F231),OR(B324&lt;&gt;"成长",AND(LEFT(C324,3)="技能：",C324&lt;&gt;"技能：非自然知识",'幕间与结算'!E231&gt;=1,'幕间与结算'!E231&lt;=99,'幕间与结算'!F231&gt;=0,'幕间与结算'!F231&lt;=4,'幕间与结算'!G231&lt;=99))),1,0)</x:f>
        <x:v>0</x:v>
      </x:c>
      <x:c r="H324">
        <x:f>IF(AND(G324=1,COUNTIFS($I$200:I324,I324,$G$200:G324,1)=1),1,0)</x:f>
        <x:v>0</x:v>
      </x:c>
      <x:c r="I324" t="str">
        <x:f>IF(G324=1,IF(B324="成长",A324&amp;"-成长-"&amp;C324,'幕间与结算'!I231),"")</x:f>
        <x:v/>
      </x:c>
      <x:c r="BF324">
        <x:f>MAX(0,MIN(18,BF323+IF(C324="力量",E324,0)))</x:f>
        <x:v>0</x:v>
      </x:c>
      <x:c r="BG324">
        <x:f>MAX(0,MIN(18,BG323+IF(C324="体质",E324,0)))</x:f>
        <x:v>0</x:v>
      </x:c>
      <x:c r="BH324">
        <x:f>MAX(0,MIN(18,BH323+IF(C324="敏捷",E324,0)))</x:f>
        <x:v>0</x:v>
      </x:c>
      <x:c r="BI324">
        <x:f>MAX(0,MIN(18,BI323+IF(C324="智力",E324,0)))</x:f>
        <x:v>0</x:v>
      </x:c>
      <x:c r="BJ324">
        <x:f>MAX(0,MIN(18,BJ323+IF(C324="意志",E324,0)))</x:f>
        <x:v>0</x:v>
      </x:c>
      <x:c r="BK324">
        <x:f>MAX(0,MIN(18,BK323+IF(C324="魅力",E324,0)))</x:f>
        <x:v>0</x:v>
      </x:c>
      <x:c r="BL324">
        <x:f>MAX(0,MIN(99,BL323+IF(C324="技能：非自然知识",E324,0)))</x:f>
        <x:v>0</x:v>
      </x:c>
      <x:c r="BM324">
        <x:f>MAX(0,MIN(CEILING((BF324+BG324)/2,1),BM323+IF(C324="体力",E324,0)))</x:f>
        <x:v>0</x:v>
      </x:c>
      <x:c r="BN324">
        <x:f>MAX(0,MIN(BJ324,BN323+IF(C324="毅力",E324,0)))</x:f>
        <x:v>0</x:v>
      </x:c>
      <x:c r="BO324">
        <x:f>MAX(0,MIN(99-BL324,BO323+IF(C324="理智",E324,0)))</x:f>
        <x:v>0</x:v>
      </x:c>
      <x:c r="BP324">
        <x:f>MAX(0,MIN(99,BP323+IF(C324="崩溃点",E324,0)))</x:f>
        <x:v>0</x:v>
      </x:c>
      <x:c r="BQ324">
        <x:f>MAX(0,MIN(BK324,IF(AND(H324=1,C324="重要关系1",LEFT('幕间与结算'!H231,8)="建立新的重要关系"),'幕间与结算'!E231+E324,BQ323+IF(C324="重要关系1",E324,0)+IF(AND(C324="魅力",E324&lt;0),E324,0))))</x:f>
        <x:v>0</x:v>
      </x:c>
      <x:c r="BR324">
        <x:f>MAX(0,MIN(BK324,IF(AND(H324=1,C324="重要关系2",LEFT('幕间与结算'!H231,8)="建立新的重要关系"),'幕间与结算'!E231+E324,BR323+IF(C324="重要关系2",E324,0)+IF(AND(C324="魅力",E324&lt;0),E324,0))))</x:f>
        <x:v>0</x:v>
      </x:c>
      <x:c r="BS324">
        <x:f>MAX(0,MIN(BK324,IF(AND(H324=1,C324="重要关系3",LEFT('幕间与结算'!H231,8)="建立新的重要关系"),'幕间与结算'!E231+E324,BS323+IF(C324="重要关系3",E324,0)+IF(AND(C324="魅力",E324&lt;0),E324,0))))</x:f>
        <x:v>0</x:v>
      </x:c>
      <x:c r="BT324">
        <x:f>MAX(0,MIN(BK324,IF(AND(H324=1,C324="重要关系4",LEFT('幕间与结算'!H231,8)="建立新的重要关系"),'幕间与结算'!E231+E324,BT323+IF(C324="重要关系4",E324,0)+IF(AND(C324="魅力",E324&lt;0),E324,0))))</x:f>
        <x:v>0</x:v>
      </x:c>
      <x:c r="BU324">
        <x:f>MAX(0,MIN(BK324,IF(AND(H324=1,C324="重要关系5",LEFT('幕间与结算'!H231,8)="建立新的重要关系"),'幕间与结算'!E231+E324,BU323+IF(C324="重要关系5",E324,0)+IF(AND(C324="魅力",E324&lt;0),E324,0))))</x:f>
        <x:v>0</x:v>
      </x:c>
      <x:c r="BV324">
        <x:f>MAX(0,MIN(BK324,IF(AND(H324=1,C324="重要关系6",LEFT('幕间与结算'!H231,8)="建立新的重要关系"),'幕间与结算'!E231+E324,BV323+IF(C324="重要关系6",E324,0)+IF(AND(C324="魅力",E324&lt;0),E324,0))))</x:f>
        <x:v>0</x:v>
      </x:c>
      <x:c r="BW324">
        <x:f>MAX(0,MIN(BK324,IF(AND(H324=1,C324="重要关系7",LEFT('幕间与结算'!H231,8)="建立新的重要关系"),'幕间与结算'!E231+E324,BW323+IF(C324="重要关系7",E324,0)+IF(AND(C324="魅力",E324&lt;0),E324,0))))</x:f>
        <x:v>0</x:v>
      </x:c>
    </x:row>
    <x:row r="325">
      <x:c r="A325" t="str">
        <x:f>IFERROR(TEXT(VALUE('幕间与结算'!A232),"00"),"")</x:f>
        <x:v>00</x:v>
      </x:c>
      <x:c r="B325">
        <x:f>'幕间与结算'!B232</x:f>
        <x:v>0</x:v>
      </x:c>
      <x:c r="C325">
        <x:f>'幕间与结算'!D232</x:f>
        <x:v>0</x:v>
      </x:c>
      <x:c r="D325">
        <x:f>'幕间与结算'!F232</x:f>
        <x:v>0</x:v>
      </x:c>
      <x:c r="E325">
        <x:f>IF(H325=1,MAX(-'幕间与结算'!E232,MIN(D325,IF(LEFT(C325,3)="技能：",99,IF(COUNTIF($L$2:$L$7,C325)&gt;0,18,999))-'幕间与结算'!E232)),0)</x:f>
        <x:v>0</x:v>
      </x:c>
      <x:c r="F325" t="str">
        <x:f>IF(C325=0,"",IF(G325=0,"记录不完整",IF(H325=0,"重复未计","已计入")))</x:f>
        <x:v/>
      </x:c>
      <x:c r="G325">
        <x:f>IF(AND(AND('幕间与结算'!A232&lt;&gt;"",'幕间与结算'!B232&lt;&gt;"",'幕间与结算'!I232&lt;&gt;"",OR(LEFT(C325,3)="技能：",COUNTIF($L$2:$L$19,C325)&gt;0),ISNUMBER('幕间与结算'!E232),ISNUMBER('幕间与结算'!F232),ISNUMBER('幕间与结算'!G232),'幕间与结算'!E232&gt;=0,'幕间与结算'!G232='幕间与结算'!E232+'幕间与结算'!F232),OR(B325&lt;&gt;"成长",AND(LEFT(C325,3)="技能：",C325&lt;&gt;"技能：非自然知识",'幕间与结算'!E232&gt;=1,'幕间与结算'!E232&lt;=99,'幕间与结算'!F232&gt;=0,'幕间与结算'!F232&lt;=4,'幕间与结算'!G232&lt;=99))),1,0)</x:f>
        <x:v>0</x:v>
      </x:c>
      <x:c r="H325">
        <x:f>IF(AND(G325=1,COUNTIFS($I$200:I325,I325,$G$200:G325,1)=1),1,0)</x:f>
        <x:v>0</x:v>
      </x:c>
      <x:c r="I325" t="str">
        <x:f>IF(G325=1,IF(B325="成长",A325&amp;"-成长-"&amp;C325,'幕间与结算'!I232),"")</x:f>
        <x:v/>
      </x:c>
      <x:c r="BF325">
        <x:f>MAX(0,MIN(18,BF324+IF(C325="力量",E325,0)))</x:f>
        <x:v>0</x:v>
      </x:c>
      <x:c r="BG325">
        <x:f>MAX(0,MIN(18,BG324+IF(C325="体质",E325,0)))</x:f>
        <x:v>0</x:v>
      </x:c>
      <x:c r="BH325">
        <x:f>MAX(0,MIN(18,BH324+IF(C325="敏捷",E325,0)))</x:f>
        <x:v>0</x:v>
      </x:c>
      <x:c r="BI325">
        <x:f>MAX(0,MIN(18,BI324+IF(C325="智力",E325,0)))</x:f>
        <x:v>0</x:v>
      </x:c>
      <x:c r="BJ325">
        <x:f>MAX(0,MIN(18,BJ324+IF(C325="意志",E325,0)))</x:f>
        <x:v>0</x:v>
      </x:c>
      <x:c r="BK325">
        <x:f>MAX(0,MIN(18,BK324+IF(C325="魅力",E325,0)))</x:f>
        <x:v>0</x:v>
      </x:c>
      <x:c r="BL325">
        <x:f>MAX(0,MIN(99,BL324+IF(C325="技能：非自然知识",E325,0)))</x:f>
        <x:v>0</x:v>
      </x:c>
      <x:c r="BM325">
        <x:f>MAX(0,MIN(CEILING((BF325+BG325)/2,1),BM324+IF(C325="体力",E325,0)))</x:f>
        <x:v>0</x:v>
      </x:c>
      <x:c r="BN325">
        <x:f>MAX(0,MIN(BJ325,BN324+IF(C325="毅力",E325,0)))</x:f>
        <x:v>0</x:v>
      </x:c>
      <x:c r="BO325">
        <x:f>MAX(0,MIN(99-BL325,BO324+IF(C325="理智",E325,0)))</x:f>
        <x:v>0</x:v>
      </x:c>
      <x:c r="BP325">
        <x:f>MAX(0,MIN(99,BP324+IF(C325="崩溃点",E325,0)))</x:f>
        <x:v>0</x:v>
      </x:c>
      <x:c r="BQ325">
        <x:f>MAX(0,MIN(BK325,IF(AND(H325=1,C325="重要关系1",LEFT('幕间与结算'!H232,8)="建立新的重要关系"),'幕间与结算'!E232+E325,BQ324+IF(C325="重要关系1",E325,0)+IF(AND(C325="魅力",E325&lt;0),E325,0))))</x:f>
        <x:v>0</x:v>
      </x:c>
      <x:c r="BR325">
        <x:f>MAX(0,MIN(BK325,IF(AND(H325=1,C325="重要关系2",LEFT('幕间与结算'!H232,8)="建立新的重要关系"),'幕间与结算'!E232+E325,BR324+IF(C325="重要关系2",E325,0)+IF(AND(C325="魅力",E325&lt;0),E325,0))))</x:f>
        <x:v>0</x:v>
      </x:c>
      <x:c r="BS325">
        <x:f>MAX(0,MIN(BK325,IF(AND(H325=1,C325="重要关系3",LEFT('幕间与结算'!H232,8)="建立新的重要关系"),'幕间与结算'!E232+E325,BS324+IF(C325="重要关系3",E325,0)+IF(AND(C325="魅力",E325&lt;0),E325,0))))</x:f>
        <x:v>0</x:v>
      </x:c>
      <x:c r="BT325">
        <x:f>MAX(0,MIN(BK325,IF(AND(H325=1,C325="重要关系4",LEFT('幕间与结算'!H232,8)="建立新的重要关系"),'幕间与结算'!E232+E325,BT324+IF(C325="重要关系4",E325,0)+IF(AND(C325="魅力",E325&lt;0),E325,0))))</x:f>
        <x:v>0</x:v>
      </x:c>
      <x:c r="BU325">
        <x:f>MAX(0,MIN(BK325,IF(AND(H325=1,C325="重要关系5",LEFT('幕间与结算'!H232,8)="建立新的重要关系"),'幕间与结算'!E232+E325,BU324+IF(C325="重要关系5",E325,0)+IF(AND(C325="魅力",E325&lt;0),E325,0))))</x:f>
        <x:v>0</x:v>
      </x:c>
      <x:c r="BV325">
        <x:f>MAX(0,MIN(BK325,IF(AND(H325=1,C325="重要关系6",LEFT('幕间与结算'!H232,8)="建立新的重要关系"),'幕间与结算'!E232+E325,BV324+IF(C325="重要关系6",E325,0)+IF(AND(C325="魅力",E325&lt;0),E325,0))))</x:f>
        <x:v>0</x:v>
      </x:c>
      <x:c r="BW325">
        <x:f>MAX(0,MIN(BK325,IF(AND(H325=1,C325="重要关系7",LEFT('幕间与结算'!H232,8)="建立新的重要关系"),'幕间与结算'!E232+E325,BW324+IF(C325="重要关系7",E325,0)+IF(AND(C325="魅力",E325&lt;0),E325,0))))</x:f>
        <x:v>0</x:v>
      </x:c>
    </x:row>
    <x:row r="326">
      <x:c r="A326" t="str">
        <x:f>IFERROR(TEXT(VALUE('幕间与结算'!A233),"00"),"")</x:f>
        <x:v>00</x:v>
      </x:c>
      <x:c r="B326">
        <x:f>'幕间与结算'!B233</x:f>
        <x:v>0</x:v>
      </x:c>
      <x:c r="C326">
        <x:f>'幕间与结算'!D233</x:f>
        <x:v>0</x:v>
      </x:c>
      <x:c r="D326">
        <x:f>'幕间与结算'!F233</x:f>
        <x:v>0</x:v>
      </x:c>
      <x:c r="E326">
        <x:f>IF(H326=1,MAX(-'幕间与结算'!E233,MIN(D326,IF(LEFT(C326,3)="技能：",99,IF(COUNTIF($L$2:$L$7,C326)&gt;0,18,999))-'幕间与结算'!E233)),0)</x:f>
        <x:v>0</x:v>
      </x:c>
      <x:c r="F326" t="str">
        <x:f>IF(C326=0,"",IF(G326=0,"记录不完整",IF(H326=0,"重复未计","已计入")))</x:f>
        <x:v/>
      </x:c>
      <x:c r="G326">
        <x:f>IF(AND(AND('幕间与结算'!A233&lt;&gt;"",'幕间与结算'!B233&lt;&gt;"",'幕间与结算'!I233&lt;&gt;"",OR(LEFT(C326,3)="技能：",COUNTIF($L$2:$L$19,C326)&gt;0),ISNUMBER('幕间与结算'!E233),ISNUMBER('幕间与结算'!F233),ISNUMBER('幕间与结算'!G233),'幕间与结算'!E233&gt;=0,'幕间与结算'!G233='幕间与结算'!E233+'幕间与结算'!F233),OR(B326&lt;&gt;"成长",AND(LEFT(C326,3)="技能：",C326&lt;&gt;"技能：非自然知识",'幕间与结算'!E233&gt;=1,'幕间与结算'!E233&lt;=99,'幕间与结算'!F233&gt;=0,'幕间与结算'!F233&lt;=4,'幕间与结算'!G233&lt;=99))),1,0)</x:f>
        <x:v>0</x:v>
      </x:c>
      <x:c r="H326">
        <x:f>IF(AND(G326=1,COUNTIFS($I$200:I326,I326,$G$200:G326,1)=1),1,0)</x:f>
        <x:v>0</x:v>
      </x:c>
      <x:c r="I326" t="str">
        <x:f>IF(G326=1,IF(B326="成长",A326&amp;"-成长-"&amp;C326,'幕间与结算'!I233),"")</x:f>
        <x:v/>
      </x:c>
      <x:c r="BF326">
        <x:f>MAX(0,MIN(18,BF325+IF(C326="力量",E326,0)))</x:f>
        <x:v>0</x:v>
      </x:c>
      <x:c r="BG326">
        <x:f>MAX(0,MIN(18,BG325+IF(C326="体质",E326,0)))</x:f>
        <x:v>0</x:v>
      </x:c>
      <x:c r="BH326">
        <x:f>MAX(0,MIN(18,BH325+IF(C326="敏捷",E326,0)))</x:f>
        <x:v>0</x:v>
      </x:c>
      <x:c r="BI326">
        <x:f>MAX(0,MIN(18,BI325+IF(C326="智力",E326,0)))</x:f>
        <x:v>0</x:v>
      </x:c>
      <x:c r="BJ326">
        <x:f>MAX(0,MIN(18,BJ325+IF(C326="意志",E326,0)))</x:f>
        <x:v>0</x:v>
      </x:c>
      <x:c r="BK326">
        <x:f>MAX(0,MIN(18,BK325+IF(C326="魅力",E326,0)))</x:f>
        <x:v>0</x:v>
      </x:c>
      <x:c r="BL326">
        <x:f>MAX(0,MIN(99,BL325+IF(C326="技能：非自然知识",E326,0)))</x:f>
        <x:v>0</x:v>
      </x:c>
      <x:c r="BM326">
        <x:f>MAX(0,MIN(CEILING((BF326+BG326)/2,1),BM325+IF(C326="体力",E326,0)))</x:f>
        <x:v>0</x:v>
      </x:c>
      <x:c r="BN326">
        <x:f>MAX(0,MIN(BJ326,BN325+IF(C326="毅力",E326,0)))</x:f>
        <x:v>0</x:v>
      </x:c>
      <x:c r="BO326">
        <x:f>MAX(0,MIN(99-BL326,BO325+IF(C326="理智",E326,0)))</x:f>
        <x:v>0</x:v>
      </x:c>
      <x:c r="BP326">
        <x:f>MAX(0,MIN(99,BP325+IF(C326="崩溃点",E326,0)))</x:f>
        <x:v>0</x:v>
      </x:c>
      <x:c r="BQ326">
        <x:f>MAX(0,MIN(BK326,IF(AND(H326=1,C326="重要关系1",LEFT('幕间与结算'!H233,8)="建立新的重要关系"),'幕间与结算'!E233+E326,BQ325+IF(C326="重要关系1",E326,0)+IF(AND(C326="魅力",E326&lt;0),E326,0))))</x:f>
        <x:v>0</x:v>
      </x:c>
      <x:c r="BR326">
        <x:f>MAX(0,MIN(BK326,IF(AND(H326=1,C326="重要关系2",LEFT('幕间与结算'!H233,8)="建立新的重要关系"),'幕间与结算'!E233+E326,BR325+IF(C326="重要关系2",E326,0)+IF(AND(C326="魅力",E326&lt;0),E326,0))))</x:f>
        <x:v>0</x:v>
      </x:c>
      <x:c r="BS326">
        <x:f>MAX(0,MIN(BK326,IF(AND(H326=1,C326="重要关系3",LEFT('幕间与结算'!H233,8)="建立新的重要关系"),'幕间与结算'!E233+E326,BS325+IF(C326="重要关系3",E326,0)+IF(AND(C326="魅力",E326&lt;0),E326,0))))</x:f>
        <x:v>0</x:v>
      </x:c>
      <x:c r="BT326">
        <x:f>MAX(0,MIN(BK326,IF(AND(H326=1,C326="重要关系4",LEFT('幕间与结算'!H233,8)="建立新的重要关系"),'幕间与结算'!E233+E326,BT325+IF(C326="重要关系4",E326,0)+IF(AND(C326="魅力",E326&lt;0),E326,0))))</x:f>
        <x:v>0</x:v>
      </x:c>
      <x:c r="BU326">
        <x:f>MAX(0,MIN(BK326,IF(AND(H326=1,C326="重要关系5",LEFT('幕间与结算'!H233,8)="建立新的重要关系"),'幕间与结算'!E233+E326,BU325+IF(C326="重要关系5",E326,0)+IF(AND(C326="魅力",E326&lt;0),E326,0))))</x:f>
        <x:v>0</x:v>
      </x:c>
      <x:c r="BV326">
        <x:f>MAX(0,MIN(BK326,IF(AND(H326=1,C326="重要关系6",LEFT('幕间与结算'!H233,8)="建立新的重要关系"),'幕间与结算'!E233+E326,BV325+IF(C326="重要关系6",E326,0)+IF(AND(C326="魅力",E326&lt;0),E326,0))))</x:f>
        <x:v>0</x:v>
      </x:c>
      <x:c r="BW326">
        <x:f>MAX(0,MIN(BK326,IF(AND(H326=1,C326="重要关系7",LEFT('幕间与结算'!H233,8)="建立新的重要关系"),'幕间与结算'!E233+E326,BW325+IF(C326="重要关系7",E326,0)+IF(AND(C326="魅力",E326&lt;0),E326,0))))</x:f>
        <x:v>0</x:v>
      </x:c>
    </x:row>
    <x:row r="327">
      <x:c r="A327" t="str">
        <x:f>IFERROR(TEXT(VALUE('幕间与结算'!A234),"00"),"")</x:f>
        <x:v>00</x:v>
      </x:c>
      <x:c r="B327">
        <x:f>'幕间与结算'!B234</x:f>
        <x:v>0</x:v>
      </x:c>
      <x:c r="C327">
        <x:f>'幕间与结算'!D234</x:f>
        <x:v>0</x:v>
      </x:c>
      <x:c r="D327">
        <x:f>'幕间与结算'!F234</x:f>
        <x:v>0</x:v>
      </x:c>
      <x:c r="E327">
        <x:f>IF(H327=1,MAX(-'幕间与结算'!E234,MIN(D327,IF(LEFT(C327,3)="技能：",99,IF(COUNTIF($L$2:$L$7,C327)&gt;0,18,999))-'幕间与结算'!E234)),0)</x:f>
        <x:v>0</x:v>
      </x:c>
      <x:c r="F327" t="str">
        <x:f>IF(C327=0,"",IF(G327=0,"记录不完整",IF(H327=0,"重复未计","已计入")))</x:f>
        <x:v/>
      </x:c>
      <x:c r="G327">
        <x:f>IF(AND(AND('幕间与结算'!A234&lt;&gt;"",'幕间与结算'!B234&lt;&gt;"",'幕间与结算'!I234&lt;&gt;"",OR(LEFT(C327,3)="技能：",COUNTIF($L$2:$L$19,C327)&gt;0),ISNUMBER('幕间与结算'!E234),ISNUMBER('幕间与结算'!F234),ISNUMBER('幕间与结算'!G234),'幕间与结算'!E234&gt;=0,'幕间与结算'!G234='幕间与结算'!E234+'幕间与结算'!F234),OR(B327&lt;&gt;"成长",AND(LEFT(C327,3)="技能：",C327&lt;&gt;"技能：非自然知识",'幕间与结算'!E234&gt;=1,'幕间与结算'!E234&lt;=99,'幕间与结算'!F234&gt;=0,'幕间与结算'!F234&lt;=4,'幕间与结算'!G234&lt;=99))),1,0)</x:f>
        <x:v>0</x:v>
      </x:c>
      <x:c r="H327">
        <x:f>IF(AND(G327=1,COUNTIFS($I$200:I327,I327,$G$200:G327,1)=1),1,0)</x:f>
        <x:v>0</x:v>
      </x:c>
      <x:c r="I327" t="str">
        <x:f>IF(G327=1,IF(B327="成长",A327&amp;"-成长-"&amp;C327,'幕间与结算'!I234),"")</x:f>
        <x:v/>
      </x:c>
      <x:c r="BF327">
        <x:f>MAX(0,MIN(18,BF326+IF(C327="力量",E327,0)))</x:f>
        <x:v>0</x:v>
      </x:c>
      <x:c r="BG327">
        <x:f>MAX(0,MIN(18,BG326+IF(C327="体质",E327,0)))</x:f>
        <x:v>0</x:v>
      </x:c>
      <x:c r="BH327">
        <x:f>MAX(0,MIN(18,BH326+IF(C327="敏捷",E327,0)))</x:f>
        <x:v>0</x:v>
      </x:c>
      <x:c r="BI327">
        <x:f>MAX(0,MIN(18,BI326+IF(C327="智力",E327,0)))</x:f>
        <x:v>0</x:v>
      </x:c>
      <x:c r="BJ327">
        <x:f>MAX(0,MIN(18,BJ326+IF(C327="意志",E327,0)))</x:f>
        <x:v>0</x:v>
      </x:c>
      <x:c r="BK327">
        <x:f>MAX(0,MIN(18,BK326+IF(C327="魅力",E327,0)))</x:f>
        <x:v>0</x:v>
      </x:c>
      <x:c r="BL327">
        <x:f>MAX(0,MIN(99,BL326+IF(C327="技能：非自然知识",E327,0)))</x:f>
        <x:v>0</x:v>
      </x:c>
      <x:c r="BM327">
        <x:f>MAX(0,MIN(CEILING((BF327+BG327)/2,1),BM326+IF(C327="体力",E327,0)))</x:f>
        <x:v>0</x:v>
      </x:c>
      <x:c r="BN327">
        <x:f>MAX(0,MIN(BJ327,BN326+IF(C327="毅力",E327,0)))</x:f>
        <x:v>0</x:v>
      </x:c>
      <x:c r="BO327">
        <x:f>MAX(0,MIN(99-BL327,BO326+IF(C327="理智",E327,0)))</x:f>
        <x:v>0</x:v>
      </x:c>
      <x:c r="BP327">
        <x:f>MAX(0,MIN(99,BP326+IF(C327="崩溃点",E327,0)))</x:f>
        <x:v>0</x:v>
      </x:c>
      <x:c r="BQ327">
        <x:f>MAX(0,MIN(BK327,IF(AND(H327=1,C327="重要关系1",LEFT('幕间与结算'!H234,8)="建立新的重要关系"),'幕间与结算'!E234+E327,BQ326+IF(C327="重要关系1",E327,0)+IF(AND(C327="魅力",E327&lt;0),E327,0))))</x:f>
        <x:v>0</x:v>
      </x:c>
      <x:c r="BR327">
        <x:f>MAX(0,MIN(BK327,IF(AND(H327=1,C327="重要关系2",LEFT('幕间与结算'!H234,8)="建立新的重要关系"),'幕间与结算'!E234+E327,BR326+IF(C327="重要关系2",E327,0)+IF(AND(C327="魅力",E327&lt;0),E327,0))))</x:f>
        <x:v>0</x:v>
      </x:c>
      <x:c r="BS327">
        <x:f>MAX(0,MIN(BK327,IF(AND(H327=1,C327="重要关系3",LEFT('幕间与结算'!H234,8)="建立新的重要关系"),'幕间与结算'!E234+E327,BS326+IF(C327="重要关系3",E327,0)+IF(AND(C327="魅力",E327&lt;0),E327,0))))</x:f>
        <x:v>0</x:v>
      </x:c>
      <x:c r="BT327">
        <x:f>MAX(0,MIN(BK327,IF(AND(H327=1,C327="重要关系4",LEFT('幕间与结算'!H234,8)="建立新的重要关系"),'幕间与结算'!E234+E327,BT326+IF(C327="重要关系4",E327,0)+IF(AND(C327="魅力",E327&lt;0),E327,0))))</x:f>
        <x:v>0</x:v>
      </x:c>
      <x:c r="BU327">
        <x:f>MAX(0,MIN(BK327,IF(AND(H327=1,C327="重要关系5",LEFT('幕间与结算'!H234,8)="建立新的重要关系"),'幕间与结算'!E234+E327,BU326+IF(C327="重要关系5",E327,0)+IF(AND(C327="魅力",E327&lt;0),E327,0))))</x:f>
        <x:v>0</x:v>
      </x:c>
      <x:c r="BV327">
        <x:f>MAX(0,MIN(BK327,IF(AND(H327=1,C327="重要关系6",LEFT('幕间与结算'!H234,8)="建立新的重要关系"),'幕间与结算'!E234+E327,BV326+IF(C327="重要关系6",E327,0)+IF(AND(C327="魅力",E327&lt;0),E327,0))))</x:f>
        <x:v>0</x:v>
      </x:c>
      <x:c r="BW327">
        <x:f>MAX(0,MIN(BK327,IF(AND(H327=1,C327="重要关系7",LEFT('幕间与结算'!H234,8)="建立新的重要关系"),'幕间与结算'!E234+E327,BW326+IF(C327="重要关系7",E327,0)+IF(AND(C327="魅力",E327&lt;0),E327,0))))</x:f>
        <x:v>0</x:v>
      </x:c>
    </x:row>
    <x:row r="328">
      <x:c r="A328" t="str">
        <x:f>IFERROR(TEXT(VALUE('幕间与结算'!A235),"00"),"")</x:f>
        <x:v>00</x:v>
      </x:c>
      <x:c r="B328">
        <x:f>'幕间与结算'!B235</x:f>
        <x:v>0</x:v>
      </x:c>
      <x:c r="C328">
        <x:f>'幕间与结算'!D235</x:f>
        <x:v>0</x:v>
      </x:c>
      <x:c r="D328">
        <x:f>'幕间与结算'!F235</x:f>
        <x:v>0</x:v>
      </x:c>
      <x:c r="E328">
        <x:f>IF(H328=1,MAX(-'幕间与结算'!E235,MIN(D328,IF(LEFT(C328,3)="技能：",99,IF(COUNTIF($L$2:$L$7,C328)&gt;0,18,999))-'幕间与结算'!E235)),0)</x:f>
        <x:v>0</x:v>
      </x:c>
      <x:c r="F328" t="str">
        <x:f>IF(C328=0,"",IF(G328=0,"记录不完整",IF(H328=0,"重复未计","已计入")))</x:f>
        <x:v/>
      </x:c>
      <x:c r="G328">
        <x:f>IF(AND(AND('幕间与结算'!A235&lt;&gt;"",'幕间与结算'!B235&lt;&gt;"",'幕间与结算'!I235&lt;&gt;"",OR(LEFT(C328,3)="技能：",COUNTIF($L$2:$L$19,C328)&gt;0),ISNUMBER('幕间与结算'!E235),ISNUMBER('幕间与结算'!F235),ISNUMBER('幕间与结算'!G235),'幕间与结算'!E235&gt;=0,'幕间与结算'!G235='幕间与结算'!E235+'幕间与结算'!F235),OR(B328&lt;&gt;"成长",AND(LEFT(C328,3)="技能：",C328&lt;&gt;"技能：非自然知识",'幕间与结算'!E235&gt;=1,'幕间与结算'!E235&lt;=99,'幕间与结算'!F235&gt;=0,'幕间与结算'!F235&lt;=4,'幕间与结算'!G235&lt;=99))),1,0)</x:f>
        <x:v>0</x:v>
      </x:c>
      <x:c r="H328">
        <x:f>IF(AND(G328=1,COUNTIFS($I$200:I328,I328,$G$200:G328,1)=1),1,0)</x:f>
        <x:v>0</x:v>
      </x:c>
      <x:c r="I328" t="str">
        <x:f>IF(G328=1,IF(B328="成长",A328&amp;"-成长-"&amp;C328,'幕间与结算'!I235),"")</x:f>
        <x:v/>
      </x:c>
      <x:c r="BF328">
        <x:f>MAX(0,MIN(18,BF327+IF(C328="力量",E328,0)))</x:f>
        <x:v>0</x:v>
      </x:c>
      <x:c r="BG328">
        <x:f>MAX(0,MIN(18,BG327+IF(C328="体质",E328,0)))</x:f>
        <x:v>0</x:v>
      </x:c>
      <x:c r="BH328">
        <x:f>MAX(0,MIN(18,BH327+IF(C328="敏捷",E328,0)))</x:f>
        <x:v>0</x:v>
      </x:c>
      <x:c r="BI328">
        <x:f>MAX(0,MIN(18,BI327+IF(C328="智力",E328,0)))</x:f>
        <x:v>0</x:v>
      </x:c>
      <x:c r="BJ328">
        <x:f>MAX(0,MIN(18,BJ327+IF(C328="意志",E328,0)))</x:f>
        <x:v>0</x:v>
      </x:c>
      <x:c r="BK328">
        <x:f>MAX(0,MIN(18,BK327+IF(C328="魅力",E328,0)))</x:f>
        <x:v>0</x:v>
      </x:c>
      <x:c r="BL328">
        <x:f>MAX(0,MIN(99,BL327+IF(C328="技能：非自然知识",E328,0)))</x:f>
        <x:v>0</x:v>
      </x:c>
      <x:c r="BM328">
        <x:f>MAX(0,MIN(CEILING((BF328+BG328)/2,1),BM327+IF(C328="体力",E328,0)))</x:f>
        <x:v>0</x:v>
      </x:c>
      <x:c r="BN328">
        <x:f>MAX(0,MIN(BJ328,BN327+IF(C328="毅力",E328,0)))</x:f>
        <x:v>0</x:v>
      </x:c>
      <x:c r="BO328">
        <x:f>MAX(0,MIN(99-BL328,BO327+IF(C328="理智",E328,0)))</x:f>
        <x:v>0</x:v>
      </x:c>
      <x:c r="BP328">
        <x:f>MAX(0,MIN(99,BP327+IF(C328="崩溃点",E328,0)))</x:f>
        <x:v>0</x:v>
      </x:c>
      <x:c r="BQ328">
        <x:f>MAX(0,MIN(BK328,IF(AND(H328=1,C328="重要关系1",LEFT('幕间与结算'!H235,8)="建立新的重要关系"),'幕间与结算'!E235+E328,BQ327+IF(C328="重要关系1",E328,0)+IF(AND(C328="魅力",E328&lt;0),E328,0))))</x:f>
        <x:v>0</x:v>
      </x:c>
      <x:c r="BR328">
        <x:f>MAX(0,MIN(BK328,IF(AND(H328=1,C328="重要关系2",LEFT('幕间与结算'!H235,8)="建立新的重要关系"),'幕间与结算'!E235+E328,BR327+IF(C328="重要关系2",E328,0)+IF(AND(C328="魅力",E328&lt;0),E328,0))))</x:f>
        <x:v>0</x:v>
      </x:c>
      <x:c r="BS328">
        <x:f>MAX(0,MIN(BK328,IF(AND(H328=1,C328="重要关系3",LEFT('幕间与结算'!H235,8)="建立新的重要关系"),'幕间与结算'!E235+E328,BS327+IF(C328="重要关系3",E328,0)+IF(AND(C328="魅力",E328&lt;0),E328,0))))</x:f>
        <x:v>0</x:v>
      </x:c>
      <x:c r="BT328">
        <x:f>MAX(0,MIN(BK328,IF(AND(H328=1,C328="重要关系4",LEFT('幕间与结算'!H235,8)="建立新的重要关系"),'幕间与结算'!E235+E328,BT327+IF(C328="重要关系4",E328,0)+IF(AND(C328="魅力",E328&lt;0),E328,0))))</x:f>
        <x:v>0</x:v>
      </x:c>
      <x:c r="BU328">
        <x:f>MAX(0,MIN(BK328,IF(AND(H328=1,C328="重要关系5",LEFT('幕间与结算'!H235,8)="建立新的重要关系"),'幕间与结算'!E235+E328,BU327+IF(C328="重要关系5",E328,0)+IF(AND(C328="魅力",E328&lt;0),E328,0))))</x:f>
        <x:v>0</x:v>
      </x:c>
      <x:c r="BV328">
        <x:f>MAX(0,MIN(BK328,IF(AND(H328=1,C328="重要关系6",LEFT('幕间与结算'!H235,8)="建立新的重要关系"),'幕间与结算'!E235+E328,BV327+IF(C328="重要关系6",E328,0)+IF(AND(C328="魅力",E328&lt;0),E328,0))))</x:f>
        <x:v>0</x:v>
      </x:c>
      <x:c r="BW328">
        <x:f>MAX(0,MIN(BK328,IF(AND(H328=1,C328="重要关系7",LEFT('幕间与结算'!H235,8)="建立新的重要关系"),'幕间与结算'!E235+E328,BW327+IF(C328="重要关系7",E328,0)+IF(AND(C328="魅力",E328&lt;0),E328,0))))</x:f>
        <x:v>0</x:v>
      </x:c>
    </x:row>
    <x:row r="329">
      <x:c r="A329" t="str">
        <x:f>IFERROR(TEXT(VALUE('幕间与结算'!A236),"00"),"")</x:f>
        <x:v>00</x:v>
      </x:c>
      <x:c r="B329">
        <x:f>'幕间与结算'!B236</x:f>
        <x:v>0</x:v>
      </x:c>
      <x:c r="C329">
        <x:f>'幕间与结算'!D236</x:f>
        <x:v>0</x:v>
      </x:c>
      <x:c r="D329">
        <x:f>'幕间与结算'!F236</x:f>
        <x:v>0</x:v>
      </x:c>
      <x:c r="E329">
        <x:f>IF(H329=1,MAX(-'幕间与结算'!E236,MIN(D329,IF(LEFT(C329,3)="技能：",99,IF(COUNTIF($L$2:$L$7,C329)&gt;0,18,999))-'幕间与结算'!E236)),0)</x:f>
        <x:v>0</x:v>
      </x:c>
      <x:c r="F329" t="str">
        <x:f>IF(C329=0,"",IF(G329=0,"记录不完整",IF(H329=0,"重复未计","已计入")))</x:f>
        <x:v/>
      </x:c>
      <x:c r="G329">
        <x:f>IF(AND(AND('幕间与结算'!A236&lt;&gt;"",'幕间与结算'!B236&lt;&gt;"",'幕间与结算'!I236&lt;&gt;"",OR(LEFT(C329,3)="技能：",COUNTIF($L$2:$L$19,C329)&gt;0),ISNUMBER('幕间与结算'!E236),ISNUMBER('幕间与结算'!F236),ISNUMBER('幕间与结算'!G236),'幕间与结算'!E236&gt;=0,'幕间与结算'!G236='幕间与结算'!E236+'幕间与结算'!F236),OR(B329&lt;&gt;"成长",AND(LEFT(C329,3)="技能：",C329&lt;&gt;"技能：非自然知识",'幕间与结算'!E236&gt;=1,'幕间与结算'!E236&lt;=99,'幕间与结算'!F236&gt;=0,'幕间与结算'!F236&lt;=4,'幕间与结算'!G236&lt;=99))),1,0)</x:f>
        <x:v>0</x:v>
      </x:c>
      <x:c r="H329">
        <x:f>IF(AND(G329=1,COUNTIFS($I$200:I329,I329,$G$200:G329,1)=1),1,0)</x:f>
        <x:v>0</x:v>
      </x:c>
      <x:c r="I329" t="str">
        <x:f>IF(G329=1,IF(B329="成长",A329&amp;"-成长-"&amp;C329,'幕间与结算'!I236),"")</x:f>
        <x:v/>
      </x:c>
      <x:c r="BF329">
        <x:f>MAX(0,MIN(18,BF328+IF(C329="力量",E329,0)))</x:f>
        <x:v>0</x:v>
      </x:c>
      <x:c r="BG329">
        <x:f>MAX(0,MIN(18,BG328+IF(C329="体质",E329,0)))</x:f>
        <x:v>0</x:v>
      </x:c>
      <x:c r="BH329">
        <x:f>MAX(0,MIN(18,BH328+IF(C329="敏捷",E329,0)))</x:f>
        <x:v>0</x:v>
      </x:c>
      <x:c r="BI329">
        <x:f>MAX(0,MIN(18,BI328+IF(C329="智力",E329,0)))</x:f>
        <x:v>0</x:v>
      </x:c>
      <x:c r="BJ329">
        <x:f>MAX(0,MIN(18,BJ328+IF(C329="意志",E329,0)))</x:f>
        <x:v>0</x:v>
      </x:c>
      <x:c r="BK329">
        <x:f>MAX(0,MIN(18,BK328+IF(C329="魅力",E329,0)))</x:f>
        <x:v>0</x:v>
      </x:c>
      <x:c r="BL329">
        <x:f>MAX(0,MIN(99,BL328+IF(C329="技能：非自然知识",E329,0)))</x:f>
        <x:v>0</x:v>
      </x:c>
      <x:c r="BM329">
        <x:f>MAX(0,MIN(CEILING((BF329+BG329)/2,1),BM328+IF(C329="体力",E329,0)))</x:f>
        <x:v>0</x:v>
      </x:c>
      <x:c r="BN329">
        <x:f>MAX(0,MIN(BJ329,BN328+IF(C329="毅力",E329,0)))</x:f>
        <x:v>0</x:v>
      </x:c>
      <x:c r="BO329">
        <x:f>MAX(0,MIN(99-BL329,BO328+IF(C329="理智",E329,0)))</x:f>
        <x:v>0</x:v>
      </x:c>
      <x:c r="BP329">
        <x:f>MAX(0,MIN(99,BP328+IF(C329="崩溃点",E329,0)))</x:f>
        <x:v>0</x:v>
      </x:c>
      <x:c r="BQ329">
        <x:f>MAX(0,MIN(BK329,IF(AND(H329=1,C329="重要关系1",LEFT('幕间与结算'!H236,8)="建立新的重要关系"),'幕间与结算'!E236+E329,BQ328+IF(C329="重要关系1",E329,0)+IF(AND(C329="魅力",E329&lt;0),E329,0))))</x:f>
        <x:v>0</x:v>
      </x:c>
      <x:c r="BR329">
        <x:f>MAX(0,MIN(BK329,IF(AND(H329=1,C329="重要关系2",LEFT('幕间与结算'!H236,8)="建立新的重要关系"),'幕间与结算'!E236+E329,BR328+IF(C329="重要关系2",E329,0)+IF(AND(C329="魅力",E329&lt;0),E329,0))))</x:f>
        <x:v>0</x:v>
      </x:c>
      <x:c r="BS329">
        <x:f>MAX(0,MIN(BK329,IF(AND(H329=1,C329="重要关系3",LEFT('幕间与结算'!H236,8)="建立新的重要关系"),'幕间与结算'!E236+E329,BS328+IF(C329="重要关系3",E329,0)+IF(AND(C329="魅力",E329&lt;0),E329,0))))</x:f>
        <x:v>0</x:v>
      </x:c>
      <x:c r="BT329">
        <x:f>MAX(0,MIN(BK329,IF(AND(H329=1,C329="重要关系4",LEFT('幕间与结算'!H236,8)="建立新的重要关系"),'幕间与结算'!E236+E329,BT328+IF(C329="重要关系4",E329,0)+IF(AND(C329="魅力",E329&lt;0),E329,0))))</x:f>
        <x:v>0</x:v>
      </x:c>
      <x:c r="BU329">
        <x:f>MAX(0,MIN(BK329,IF(AND(H329=1,C329="重要关系5",LEFT('幕间与结算'!H236,8)="建立新的重要关系"),'幕间与结算'!E236+E329,BU328+IF(C329="重要关系5",E329,0)+IF(AND(C329="魅力",E329&lt;0),E329,0))))</x:f>
        <x:v>0</x:v>
      </x:c>
      <x:c r="BV329">
        <x:f>MAX(0,MIN(BK329,IF(AND(H329=1,C329="重要关系6",LEFT('幕间与结算'!H236,8)="建立新的重要关系"),'幕间与结算'!E236+E329,BV328+IF(C329="重要关系6",E329,0)+IF(AND(C329="魅力",E329&lt;0),E329,0))))</x:f>
        <x:v>0</x:v>
      </x:c>
      <x:c r="BW329">
        <x:f>MAX(0,MIN(BK329,IF(AND(H329=1,C329="重要关系7",LEFT('幕间与结算'!H236,8)="建立新的重要关系"),'幕间与结算'!E236+E329,BW328+IF(C329="重要关系7",E329,0)+IF(AND(C329="魅力",E329&lt;0),E329,0))))</x:f>
        <x:v>0</x:v>
      </x:c>
    </x:row>
    <x:row r="330">
      <x:c r="A330" t="str">
        <x:f>IFERROR(TEXT(VALUE('幕间与结算'!A237),"00"),"")</x:f>
        <x:v>00</x:v>
      </x:c>
      <x:c r="B330">
        <x:f>'幕间与结算'!B237</x:f>
        <x:v>0</x:v>
      </x:c>
      <x:c r="C330">
        <x:f>'幕间与结算'!D237</x:f>
        <x:v>0</x:v>
      </x:c>
      <x:c r="D330">
        <x:f>'幕间与结算'!F237</x:f>
        <x:v>0</x:v>
      </x:c>
      <x:c r="E330">
        <x:f>IF(H330=1,MAX(-'幕间与结算'!E237,MIN(D330,IF(LEFT(C330,3)="技能：",99,IF(COUNTIF($L$2:$L$7,C330)&gt;0,18,999))-'幕间与结算'!E237)),0)</x:f>
        <x:v>0</x:v>
      </x:c>
      <x:c r="F330" t="str">
        <x:f>IF(C330=0,"",IF(G330=0,"记录不完整",IF(H330=0,"重复未计","已计入")))</x:f>
        <x:v/>
      </x:c>
      <x:c r="G330">
        <x:f>IF(AND(AND('幕间与结算'!A237&lt;&gt;"",'幕间与结算'!B237&lt;&gt;"",'幕间与结算'!I237&lt;&gt;"",OR(LEFT(C330,3)="技能：",COUNTIF($L$2:$L$19,C330)&gt;0),ISNUMBER('幕间与结算'!E237),ISNUMBER('幕间与结算'!F237),ISNUMBER('幕间与结算'!G237),'幕间与结算'!E237&gt;=0,'幕间与结算'!G237='幕间与结算'!E237+'幕间与结算'!F237),OR(B330&lt;&gt;"成长",AND(LEFT(C330,3)="技能：",C330&lt;&gt;"技能：非自然知识",'幕间与结算'!E237&gt;=1,'幕间与结算'!E237&lt;=99,'幕间与结算'!F237&gt;=0,'幕间与结算'!F237&lt;=4,'幕间与结算'!G237&lt;=99))),1,0)</x:f>
        <x:v>0</x:v>
      </x:c>
      <x:c r="H330">
        <x:f>IF(AND(G330=1,COUNTIFS($I$200:I330,I330,$G$200:G330,1)=1),1,0)</x:f>
        <x:v>0</x:v>
      </x:c>
      <x:c r="I330" t="str">
        <x:f>IF(G330=1,IF(B330="成长",A330&amp;"-成长-"&amp;C330,'幕间与结算'!I237),"")</x:f>
        <x:v/>
      </x:c>
      <x:c r="BF330">
        <x:f>MAX(0,MIN(18,BF329+IF(C330="力量",E330,0)))</x:f>
        <x:v>0</x:v>
      </x:c>
      <x:c r="BG330">
        <x:f>MAX(0,MIN(18,BG329+IF(C330="体质",E330,0)))</x:f>
        <x:v>0</x:v>
      </x:c>
      <x:c r="BH330">
        <x:f>MAX(0,MIN(18,BH329+IF(C330="敏捷",E330,0)))</x:f>
        <x:v>0</x:v>
      </x:c>
      <x:c r="BI330">
        <x:f>MAX(0,MIN(18,BI329+IF(C330="智力",E330,0)))</x:f>
        <x:v>0</x:v>
      </x:c>
      <x:c r="BJ330">
        <x:f>MAX(0,MIN(18,BJ329+IF(C330="意志",E330,0)))</x:f>
        <x:v>0</x:v>
      </x:c>
      <x:c r="BK330">
        <x:f>MAX(0,MIN(18,BK329+IF(C330="魅力",E330,0)))</x:f>
        <x:v>0</x:v>
      </x:c>
      <x:c r="BL330">
        <x:f>MAX(0,MIN(99,BL329+IF(C330="技能：非自然知识",E330,0)))</x:f>
        <x:v>0</x:v>
      </x:c>
      <x:c r="BM330">
        <x:f>MAX(0,MIN(CEILING((BF330+BG330)/2,1),BM329+IF(C330="体力",E330,0)))</x:f>
        <x:v>0</x:v>
      </x:c>
      <x:c r="BN330">
        <x:f>MAX(0,MIN(BJ330,BN329+IF(C330="毅力",E330,0)))</x:f>
        <x:v>0</x:v>
      </x:c>
      <x:c r="BO330">
        <x:f>MAX(0,MIN(99-BL330,BO329+IF(C330="理智",E330,0)))</x:f>
        <x:v>0</x:v>
      </x:c>
      <x:c r="BP330">
        <x:f>MAX(0,MIN(99,BP329+IF(C330="崩溃点",E330,0)))</x:f>
        <x:v>0</x:v>
      </x:c>
      <x:c r="BQ330">
        <x:f>MAX(0,MIN(BK330,IF(AND(H330=1,C330="重要关系1",LEFT('幕间与结算'!H237,8)="建立新的重要关系"),'幕间与结算'!E237+E330,BQ329+IF(C330="重要关系1",E330,0)+IF(AND(C330="魅力",E330&lt;0),E330,0))))</x:f>
        <x:v>0</x:v>
      </x:c>
      <x:c r="BR330">
        <x:f>MAX(0,MIN(BK330,IF(AND(H330=1,C330="重要关系2",LEFT('幕间与结算'!H237,8)="建立新的重要关系"),'幕间与结算'!E237+E330,BR329+IF(C330="重要关系2",E330,0)+IF(AND(C330="魅力",E330&lt;0),E330,0))))</x:f>
        <x:v>0</x:v>
      </x:c>
      <x:c r="BS330">
        <x:f>MAX(0,MIN(BK330,IF(AND(H330=1,C330="重要关系3",LEFT('幕间与结算'!H237,8)="建立新的重要关系"),'幕间与结算'!E237+E330,BS329+IF(C330="重要关系3",E330,0)+IF(AND(C330="魅力",E330&lt;0),E330,0))))</x:f>
        <x:v>0</x:v>
      </x:c>
      <x:c r="BT330">
        <x:f>MAX(0,MIN(BK330,IF(AND(H330=1,C330="重要关系4",LEFT('幕间与结算'!H237,8)="建立新的重要关系"),'幕间与结算'!E237+E330,BT329+IF(C330="重要关系4",E330,0)+IF(AND(C330="魅力",E330&lt;0),E330,0))))</x:f>
        <x:v>0</x:v>
      </x:c>
      <x:c r="BU330">
        <x:f>MAX(0,MIN(BK330,IF(AND(H330=1,C330="重要关系5",LEFT('幕间与结算'!H237,8)="建立新的重要关系"),'幕间与结算'!E237+E330,BU329+IF(C330="重要关系5",E330,0)+IF(AND(C330="魅力",E330&lt;0),E330,0))))</x:f>
        <x:v>0</x:v>
      </x:c>
      <x:c r="BV330">
        <x:f>MAX(0,MIN(BK330,IF(AND(H330=1,C330="重要关系6",LEFT('幕间与结算'!H237,8)="建立新的重要关系"),'幕间与结算'!E237+E330,BV329+IF(C330="重要关系6",E330,0)+IF(AND(C330="魅力",E330&lt;0),E330,0))))</x:f>
        <x:v>0</x:v>
      </x:c>
      <x:c r="BW330">
        <x:f>MAX(0,MIN(BK330,IF(AND(H330=1,C330="重要关系7",LEFT('幕间与结算'!H237,8)="建立新的重要关系"),'幕间与结算'!E237+E330,BW329+IF(C330="重要关系7",E330,0)+IF(AND(C330="魅力",E330&lt;0),E330,0))))</x:f>
        <x:v>0</x:v>
      </x:c>
    </x:row>
    <x:row r="331">
      <x:c r="A331" t="str">
        <x:f>IFERROR(TEXT(VALUE('幕间与结算'!A238),"00"),"")</x:f>
        <x:v>00</x:v>
      </x:c>
      <x:c r="B331">
        <x:f>'幕间与结算'!B238</x:f>
        <x:v>0</x:v>
      </x:c>
      <x:c r="C331">
        <x:f>'幕间与结算'!D238</x:f>
        <x:v>0</x:v>
      </x:c>
      <x:c r="D331">
        <x:f>'幕间与结算'!F238</x:f>
        <x:v>0</x:v>
      </x:c>
      <x:c r="E331">
        <x:f>IF(H331=1,MAX(-'幕间与结算'!E238,MIN(D331,IF(LEFT(C331,3)="技能：",99,IF(COUNTIF($L$2:$L$7,C331)&gt;0,18,999))-'幕间与结算'!E238)),0)</x:f>
        <x:v>0</x:v>
      </x:c>
      <x:c r="F331" t="str">
        <x:f>IF(C331=0,"",IF(G331=0,"记录不完整",IF(H331=0,"重复未计","已计入")))</x:f>
        <x:v/>
      </x:c>
      <x:c r="G331">
        <x:f>IF(AND(AND('幕间与结算'!A238&lt;&gt;"",'幕间与结算'!B238&lt;&gt;"",'幕间与结算'!I238&lt;&gt;"",OR(LEFT(C331,3)="技能：",COUNTIF($L$2:$L$19,C331)&gt;0),ISNUMBER('幕间与结算'!E238),ISNUMBER('幕间与结算'!F238),ISNUMBER('幕间与结算'!G238),'幕间与结算'!E238&gt;=0,'幕间与结算'!G238='幕间与结算'!E238+'幕间与结算'!F238),OR(B331&lt;&gt;"成长",AND(LEFT(C331,3)="技能：",C331&lt;&gt;"技能：非自然知识",'幕间与结算'!E238&gt;=1,'幕间与结算'!E238&lt;=99,'幕间与结算'!F238&gt;=0,'幕间与结算'!F238&lt;=4,'幕间与结算'!G238&lt;=99))),1,0)</x:f>
        <x:v>0</x:v>
      </x:c>
      <x:c r="H331">
        <x:f>IF(AND(G331=1,COUNTIFS($I$200:I331,I331,$G$200:G331,1)=1),1,0)</x:f>
        <x:v>0</x:v>
      </x:c>
      <x:c r="I331" t="str">
        <x:f>IF(G331=1,IF(B331="成长",A331&amp;"-成长-"&amp;C331,'幕间与结算'!I238),"")</x:f>
        <x:v/>
      </x:c>
      <x:c r="BF331">
        <x:f>MAX(0,MIN(18,BF330+IF(C331="力量",E331,0)))</x:f>
        <x:v>0</x:v>
      </x:c>
      <x:c r="BG331">
        <x:f>MAX(0,MIN(18,BG330+IF(C331="体质",E331,0)))</x:f>
        <x:v>0</x:v>
      </x:c>
      <x:c r="BH331">
        <x:f>MAX(0,MIN(18,BH330+IF(C331="敏捷",E331,0)))</x:f>
        <x:v>0</x:v>
      </x:c>
      <x:c r="BI331">
        <x:f>MAX(0,MIN(18,BI330+IF(C331="智力",E331,0)))</x:f>
        <x:v>0</x:v>
      </x:c>
      <x:c r="BJ331">
        <x:f>MAX(0,MIN(18,BJ330+IF(C331="意志",E331,0)))</x:f>
        <x:v>0</x:v>
      </x:c>
      <x:c r="BK331">
        <x:f>MAX(0,MIN(18,BK330+IF(C331="魅力",E331,0)))</x:f>
        <x:v>0</x:v>
      </x:c>
      <x:c r="BL331">
        <x:f>MAX(0,MIN(99,BL330+IF(C331="技能：非自然知识",E331,0)))</x:f>
        <x:v>0</x:v>
      </x:c>
      <x:c r="BM331">
        <x:f>MAX(0,MIN(CEILING((BF331+BG331)/2,1),BM330+IF(C331="体力",E331,0)))</x:f>
        <x:v>0</x:v>
      </x:c>
      <x:c r="BN331">
        <x:f>MAX(0,MIN(BJ331,BN330+IF(C331="毅力",E331,0)))</x:f>
        <x:v>0</x:v>
      </x:c>
      <x:c r="BO331">
        <x:f>MAX(0,MIN(99-BL331,BO330+IF(C331="理智",E331,0)))</x:f>
        <x:v>0</x:v>
      </x:c>
      <x:c r="BP331">
        <x:f>MAX(0,MIN(99,BP330+IF(C331="崩溃点",E331,0)))</x:f>
        <x:v>0</x:v>
      </x:c>
      <x:c r="BQ331">
        <x:f>MAX(0,MIN(BK331,IF(AND(H331=1,C331="重要关系1",LEFT('幕间与结算'!H238,8)="建立新的重要关系"),'幕间与结算'!E238+E331,BQ330+IF(C331="重要关系1",E331,0)+IF(AND(C331="魅力",E331&lt;0),E331,0))))</x:f>
        <x:v>0</x:v>
      </x:c>
      <x:c r="BR331">
        <x:f>MAX(0,MIN(BK331,IF(AND(H331=1,C331="重要关系2",LEFT('幕间与结算'!H238,8)="建立新的重要关系"),'幕间与结算'!E238+E331,BR330+IF(C331="重要关系2",E331,0)+IF(AND(C331="魅力",E331&lt;0),E331,0))))</x:f>
        <x:v>0</x:v>
      </x:c>
      <x:c r="BS331">
        <x:f>MAX(0,MIN(BK331,IF(AND(H331=1,C331="重要关系3",LEFT('幕间与结算'!H238,8)="建立新的重要关系"),'幕间与结算'!E238+E331,BS330+IF(C331="重要关系3",E331,0)+IF(AND(C331="魅力",E331&lt;0),E331,0))))</x:f>
        <x:v>0</x:v>
      </x:c>
      <x:c r="BT331">
        <x:f>MAX(0,MIN(BK331,IF(AND(H331=1,C331="重要关系4",LEFT('幕间与结算'!H238,8)="建立新的重要关系"),'幕间与结算'!E238+E331,BT330+IF(C331="重要关系4",E331,0)+IF(AND(C331="魅力",E331&lt;0),E331,0))))</x:f>
        <x:v>0</x:v>
      </x:c>
      <x:c r="BU331">
        <x:f>MAX(0,MIN(BK331,IF(AND(H331=1,C331="重要关系5",LEFT('幕间与结算'!H238,8)="建立新的重要关系"),'幕间与结算'!E238+E331,BU330+IF(C331="重要关系5",E331,0)+IF(AND(C331="魅力",E331&lt;0),E331,0))))</x:f>
        <x:v>0</x:v>
      </x:c>
      <x:c r="BV331">
        <x:f>MAX(0,MIN(BK331,IF(AND(H331=1,C331="重要关系6",LEFT('幕间与结算'!H238,8)="建立新的重要关系"),'幕间与结算'!E238+E331,BV330+IF(C331="重要关系6",E331,0)+IF(AND(C331="魅力",E331&lt;0),E331,0))))</x:f>
        <x:v>0</x:v>
      </x:c>
      <x:c r="BW331">
        <x:f>MAX(0,MIN(BK331,IF(AND(H331=1,C331="重要关系7",LEFT('幕间与结算'!H238,8)="建立新的重要关系"),'幕间与结算'!E238+E331,BW330+IF(C331="重要关系7",E331,0)+IF(AND(C331="魅力",E331&lt;0),E331,0))))</x:f>
        <x:v>0</x:v>
      </x:c>
    </x:row>
    <x:row r="332">
      <x:c r="A332" t="str">
        <x:f>IFERROR(TEXT(VALUE('幕间与结算'!A239),"00"),"")</x:f>
        <x:v>00</x:v>
      </x:c>
      <x:c r="B332">
        <x:f>'幕间与结算'!B239</x:f>
        <x:v>0</x:v>
      </x:c>
      <x:c r="C332">
        <x:f>'幕间与结算'!D239</x:f>
        <x:v>0</x:v>
      </x:c>
      <x:c r="D332">
        <x:f>'幕间与结算'!F239</x:f>
        <x:v>0</x:v>
      </x:c>
      <x:c r="E332">
        <x:f>IF(H332=1,MAX(-'幕间与结算'!E239,MIN(D332,IF(LEFT(C332,3)="技能：",99,IF(COUNTIF($L$2:$L$7,C332)&gt;0,18,999))-'幕间与结算'!E239)),0)</x:f>
        <x:v>0</x:v>
      </x:c>
      <x:c r="F332" t="str">
        <x:f>IF(C332=0,"",IF(G332=0,"记录不完整",IF(H332=0,"重复未计","已计入")))</x:f>
        <x:v/>
      </x:c>
      <x:c r="G332">
        <x:f>IF(AND(AND('幕间与结算'!A239&lt;&gt;"",'幕间与结算'!B239&lt;&gt;"",'幕间与结算'!I239&lt;&gt;"",OR(LEFT(C332,3)="技能：",COUNTIF($L$2:$L$19,C332)&gt;0),ISNUMBER('幕间与结算'!E239),ISNUMBER('幕间与结算'!F239),ISNUMBER('幕间与结算'!G239),'幕间与结算'!E239&gt;=0,'幕间与结算'!G239='幕间与结算'!E239+'幕间与结算'!F239),OR(B332&lt;&gt;"成长",AND(LEFT(C332,3)="技能：",C332&lt;&gt;"技能：非自然知识",'幕间与结算'!E239&gt;=1,'幕间与结算'!E239&lt;=99,'幕间与结算'!F239&gt;=0,'幕间与结算'!F239&lt;=4,'幕间与结算'!G239&lt;=99))),1,0)</x:f>
        <x:v>0</x:v>
      </x:c>
      <x:c r="H332">
        <x:f>IF(AND(G332=1,COUNTIFS($I$200:I332,I332,$G$200:G332,1)=1),1,0)</x:f>
        <x:v>0</x:v>
      </x:c>
      <x:c r="I332" t="str">
        <x:f>IF(G332=1,IF(B332="成长",A332&amp;"-成长-"&amp;C332,'幕间与结算'!I239),"")</x:f>
        <x:v/>
      </x:c>
      <x:c r="BF332">
        <x:f>MAX(0,MIN(18,BF331+IF(C332="力量",E332,0)))</x:f>
        <x:v>0</x:v>
      </x:c>
      <x:c r="BG332">
        <x:f>MAX(0,MIN(18,BG331+IF(C332="体质",E332,0)))</x:f>
        <x:v>0</x:v>
      </x:c>
      <x:c r="BH332">
        <x:f>MAX(0,MIN(18,BH331+IF(C332="敏捷",E332,0)))</x:f>
        <x:v>0</x:v>
      </x:c>
      <x:c r="BI332">
        <x:f>MAX(0,MIN(18,BI331+IF(C332="智力",E332,0)))</x:f>
        <x:v>0</x:v>
      </x:c>
      <x:c r="BJ332">
        <x:f>MAX(0,MIN(18,BJ331+IF(C332="意志",E332,0)))</x:f>
        <x:v>0</x:v>
      </x:c>
      <x:c r="BK332">
        <x:f>MAX(0,MIN(18,BK331+IF(C332="魅力",E332,0)))</x:f>
        <x:v>0</x:v>
      </x:c>
      <x:c r="BL332">
        <x:f>MAX(0,MIN(99,BL331+IF(C332="技能：非自然知识",E332,0)))</x:f>
        <x:v>0</x:v>
      </x:c>
      <x:c r="BM332">
        <x:f>MAX(0,MIN(CEILING((BF332+BG332)/2,1),BM331+IF(C332="体力",E332,0)))</x:f>
        <x:v>0</x:v>
      </x:c>
      <x:c r="BN332">
        <x:f>MAX(0,MIN(BJ332,BN331+IF(C332="毅力",E332,0)))</x:f>
        <x:v>0</x:v>
      </x:c>
      <x:c r="BO332">
        <x:f>MAX(0,MIN(99-BL332,BO331+IF(C332="理智",E332,0)))</x:f>
        <x:v>0</x:v>
      </x:c>
      <x:c r="BP332">
        <x:f>MAX(0,MIN(99,BP331+IF(C332="崩溃点",E332,0)))</x:f>
        <x:v>0</x:v>
      </x:c>
      <x:c r="BQ332">
        <x:f>MAX(0,MIN(BK332,IF(AND(H332=1,C332="重要关系1",LEFT('幕间与结算'!H239,8)="建立新的重要关系"),'幕间与结算'!E239+E332,BQ331+IF(C332="重要关系1",E332,0)+IF(AND(C332="魅力",E332&lt;0),E332,0))))</x:f>
        <x:v>0</x:v>
      </x:c>
      <x:c r="BR332">
        <x:f>MAX(0,MIN(BK332,IF(AND(H332=1,C332="重要关系2",LEFT('幕间与结算'!H239,8)="建立新的重要关系"),'幕间与结算'!E239+E332,BR331+IF(C332="重要关系2",E332,0)+IF(AND(C332="魅力",E332&lt;0),E332,0))))</x:f>
        <x:v>0</x:v>
      </x:c>
      <x:c r="BS332">
        <x:f>MAX(0,MIN(BK332,IF(AND(H332=1,C332="重要关系3",LEFT('幕间与结算'!H239,8)="建立新的重要关系"),'幕间与结算'!E239+E332,BS331+IF(C332="重要关系3",E332,0)+IF(AND(C332="魅力",E332&lt;0),E332,0))))</x:f>
        <x:v>0</x:v>
      </x:c>
      <x:c r="BT332">
        <x:f>MAX(0,MIN(BK332,IF(AND(H332=1,C332="重要关系4",LEFT('幕间与结算'!H239,8)="建立新的重要关系"),'幕间与结算'!E239+E332,BT331+IF(C332="重要关系4",E332,0)+IF(AND(C332="魅力",E332&lt;0),E332,0))))</x:f>
        <x:v>0</x:v>
      </x:c>
      <x:c r="BU332">
        <x:f>MAX(0,MIN(BK332,IF(AND(H332=1,C332="重要关系5",LEFT('幕间与结算'!H239,8)="建立新的重要关系"),'幕间与结算'!E239+E332,BU331+IF(C332="重要关系5",E332,0)+IF(AND(C332="魅力",E332&lt;0),E332,0))))</x:f>
        <x:v>0</x:v>
      </x:c>
      <x:c r="BV332">
        <x:f>MAX(0,MIN(BK332,IF(AND(H332=1,C332="重要关系6",LEFT('幕间与结算'!H239,8)="建立新的重要关系"),'幕间与结算'!E239+E332,BV331+IF(C332="重要关系6",E332,0)+IF(AND(C332="魅力",E332&lt;0),E332,0))))</x:f>
        <x:v>0</x:v>
      </x:c>
      <x:c r="BW332">
        <x:f>MAX(0,MIN(BK332,IF(AND(H332=1,C332="重要关系7",LEFT('幕间与结算'!H239,8)="建立新的重要关系"),'幕间与结算'!E239+E332,BW331+IF(C332="重要关系7",E332,0)+IF(AND(C332="魅力",E332&lt;0),E332,0))))</x:f>
        <x:v>0</x:v>
      </x:c>
    </x:row>
    <x:row r="333">
      <x:c r="A333" t="str">
        <x:f>IFERROR(TEXT(VALUE('幕间与结算'!A240),"00"),"")</x:f>
        <x:v>00</x:v>
      </x:c>
      <x:c r="B333">
        <x:f>'幕间与结算'!B240</x:f>
        <x:v>0</x:v>
      </x:c>
      <x:c r="C333">
        <x:f>'幕间与结算'!D240</x:f>
        <x:v>0</x:v>
      </x:c>
      <x:c r="D333">
        <x:f>'幕间与结算'!F240</x:f>
        <x:v>0</x:v>
      </x:c>
      <x:c r="E333">
        <x:f>IF(H333=1,MAX(-'幕间与结算'!E240,MIN(D333,IF(LEFT(C333,3)="技能：",99,IF(COUNTIF($L$2:$L$7,C333)&gt;0,18,999))-'幕间与结算'!E240)),0)</x:f>
        <x:v>0</x:v>
      </x:c>
      <x:c r="F333" t="str">
        <x:f>IF(C333=0,"",IF(G333=0,"记录不完整",IF(H333=0,"重复未计","已计入")))</x:f>
        <x:v/>
      </x:c>
      <x:c r="G333">
        <x:f>IF(AND(AND('幕间与结算'!A240&lt;&gt;"",'幕间与结算'!B240&lt;&gt;"",'幕间与结算'!I240&lt;&gt;"",OR(LEFT(C333,3)="技能：",COUNTIF($L$2:$L$19,C333)&gt;0),ISNUMBER('幕间与结算'!E240),ISNUMBER('幕间与结算'!F240),ISNUMBER('幕间与结算'!G240),'幕间与结算'!E240&gt;=0,'幕间与结算'!G240='幕间与结算'!E240+'幕间与结算'!F240),OR(B333&lt;&gt;"成长",AND(LEFT(C333,3)="技能：",C333&lt;&gt;"技能：非自然知识",'幕间与结算'!E240&gt;=1,'幕间与结算'!E240&lt;=99,'幕间与结算'!F240&gt;=0,'幕间与结算'!F240&lt;=4,'幕间与结算'!G240&lt;=99))),1,0)</x:f>
        <x:v>0</x:v>
      </x:c>
      <x:c r="H333">
        <x:f>IF(AND(G333=1,COUNTIFS($I$200:I333,I333,$G$200:G333,1)=1),1,0)</x:f>
        <x:v>0</x:v>
      </x:c>
      <x:c r="I333" t="str">
        <x:f>IF(G333=1,IF(B333="成长",A333&amp;"-成长-"&amp;C333,'幕间与结算'!I240),"")</x:f>
        <x:v/>
      </x:c>
      <x:c r="BF333">
        <x:f>MAX(0,MIN(18,BF332+IF(C333="力量",E333,0)))</x:f>
        <x:v>0</x:v>
      </x:c>
      <x:c r="BG333">
        <x:f>MAX(0,MIN(18,BG332+IF(C333="体质",E333,0)))</x:f>
        <x:v>0</x:v>
      </x:c>
      <x:c r="BH333">
        <x:f>MAX(0,MIN(18,BH332+IF(C333="敏捷",E333,0)))</x:f>
        <x:v>0</x:v>
      </x:c>
      <x:c r="BI333">
        <x:f>MAX(0,MIN(18,BI332+IF(C333="智力",E333,0)))</x:f>
        <x:v>0</x:v>
      </x:c>
      <x:c r="BJ333">
        <x:f>MAX(0,MIN(18,BJ332+IF(C333="意志",E333,0)))</x:f>
        <x:v>0</x:v>
      </x:c>
      <x:c r="BK333">
        <x:f>MAX(0,MIN(18,BK332+IF(C333="魅力",E333,0)))</x:f>
        <x:v>0</x:v>
      </x:c>
      <x:c r="BL333">
        <x:f>MAX(0,MIN(99,BL332+IF(C333="技能：非自然知识",E333,0)))</x:f>
        <x:v>0</x:v>
      </x:c>
      <x:c r="BM333">
        <x:f>MAX(0,MIN(CEILING((BF333+BG333)/2,1),BM332+IF(C333="体力",E333,0)))</x:f>
        <x:v>0</x:v>
      </x:c>
      <x:c r="BN333">
        <x:f>MAX(0,MIN(BJ333,BN332+IF(C333="毅力",E333,0)))</x:f>
        <x:v>0</x:v>
      </x:c>
      <x:c r="BO333">
        <x:f>MAX(0,MIN(99-BL333,BO332+IF(C333="理智",E333,0)))</x:f>
        <x:v>0</x:v>
      </x:c>
      <x:c r="BP333">
        <x:f>MAX(0,MIN(99,BP332+IF(C333="崩溃点",E333,0)))</x:f>
        <x:v>0</x:v>
      </x:c>
      <x:c r="BQ333">
        <x:f>MAX(0,MIN(BK333,IF(AND(H333=1,C333="重要关系1",LEFT('幕间与结算'!H240,8)="建立新的重要关系"),'幕间与结算'!E240+E333,BQ332+IF(C333="重要关系1",E333,0)+IF(AND(C333="魅力",E333&lt;0),E333,0))))</x:f>
        <x:v>0</x:v>
      </x:c>
      <x:c r="BR333">
        <x:f>MAX(0,MIN(BK333,IF(AND(H333=1,C333="重要关系2",LEFT('幕间与结算'!H240,8)="建立新的重要关系"),'幕间与结算'!E240+E333,BR332+IF(C333="重要关系2",E333,0)+IF(AND(C333="魅力",E333&lt;0),E333,0))))</x:f>
        <x:v>0</x:v>
      </x:c>
      <x:c r="BS333">
        <x:f>MAX(0,MIN(BK333,IF(AND(H333=1,C333="重要关系3",LEFT('幕间与结算'!H240,8)="建立新的重要关系"),'幕间与结算'!E240+E333,BS332+IF(C333="重要关系3",E333,0)+IF(AND(C333="魅力",E333&lt;0),E333,0))))</x:f>
        <x:v>0</x:v>
      </x:c>
      <x:c r="BT333">
        <x:f>MAX(0,MIN(BK333,IF(AND(H333=1,C333="重要关系4",LEFT('幕间与结算'!H240,8)="建立新的重要关系"),'幕间与结算'!E240+E333,BT332+IF(C333="重要关系4",E333,0)+IF(AND(C333="魅力",E333&lt;0),E333,0))))</x:f>
        <x:v>0</x:v>
      </x:c>
      <x:c r="BU333">
        <x:f>MAX(0,MIN(BK333,IF(AND(H333=1,C333="重要关系5",LEFT('幕间与结算'!H240,8)="建立新的重要关系"),'幕间与结算'!E240+E333,BU332+IF(C333="重要关系5",E333,0)+IF(AND(C333="魅力",E333&lt;0),E333,0))))</x:f>
        <x:v>0</x:v>
      </x:c>
      <x:c r="BV333">
        <x:f>MAX(0,MIN(BK333,IF(AND(H333=1,C333="重要关系6",LEFT('幕间与结算'!H240,8)="建立新的重要关系"),'幕间与结算'!E240+E333,BV332+IF(C333="重要关系6",E333,0)+IF(AND(C333="魅力",E333&lt;0),E333,0))))</x:f>
        <x:v>0</x:v>
      </x:c>
      <x:c r="BW333">
        <x:f>MAX(0,MIN(BK333,IF(AND(H333=1,C333="重要关系7",LEFT('幕间与结算'!H240,8)="建立新的重要关系"),'幕间与结算'!E240+E333,BW332+IF(C333="重要关系7",E333,0)+IF(AND(C333="魅力",E333&lt;0),E333,0))))</x:f>
        <x:v>0</x:v>
      </x:c>
    </x:row>
    <x:row r="334">
      <x:c r="A334" t="str">
        <x:f>IFERROR(TEXT(VALUE('幕间与结算'!A241),"00"),"")</x:f>
        <x:v>00</x:v>
      </x:c>
      <x:c r="B334">
        <x:f>'幕间与结算'!B241</x:f>
        <x:v>0</x:v>
      </x:c>
      <x:c r="C334">
        <x:f>'幕间与结算'!D241</x:f>
        <x:v>0</x:v>
      </x:c>
      <x:c r="D334">
        <x:f>'幕间与结算'!F241</x:f>
        <x:v>0</x:v>
      </x:c>
      <x:c r="E334">
        <x:f>IF(H334=1,MAX(-'幕间与结算'!E241,MIN(D334,IF(LEFT(C334,3)="技能：",99,IF(COUNTIF($L$2:$L$7,C334)&gt;0,18,999))-'幕间与结算'!E241)),0)</x:f>
        <x:v>0</x:v>
      </x:c>
      <x:c r="F334" t="str">
        <x:f>IF(C334=0,"",IF(G334=0,"记录不完整",IF(H334=0,"重复未计","已计入")))</x:f>
        <x:v/>
      </x:c>
      <x:c r="G334">
        <x:f>IF(AND(AND('幕间与结算'!A241&lt;&gt;"",'幕间与结算'!B241&lt;&gt;"",'幕间与结算'!I241&lt;&gt;"",OR(LEFT(C334,3)="技能：",COUNTIF($L$2:$L$19,C334)&gt;0),ISNUMBER('幕间与结算'!E241),ISNUMBER('幕间与结算'!F241),ISNUMBER('幕间与结算'!G241),'幕间与结算'!E241&gt;=0,'幕间与结算'!G241='幕间与结算'!E241+'幕间与结算'!F241),OR(B334&lt;&gt;"成长",AND(LEFT(C334,3)="技能：",C334&lt;&gt;"技能：非自然知识",'幕间与结算'!E241&gt;=1,'幕间与结算'!E241&lt;=99,'幕间与结算'!F241&gt;=0,'幕间与结算'!F241&lt;=4,'幕间与结算'!G241&lt;=99))),1,0)</x:f>
        <x:v>0</x:v>
      </x:c>
      <x:c r="H334">
        <x:f>IF(AND(G334=1,COUNTIFS($I$200:I334,I334,$G$200:G334,1)=1),1,0)</x:f>
        <x:v>0</x:v>
      </x:c>
      <x:c r="I334" t="str">
        <x:f>IF(G334=1,IF(B334="成长",A334&amp;"-成长-"&amp;C334,'幕间与结算'!I241),"")</x:f>
        <x:v/>
      </x:c>
      <x:c r="BF334">
        <x:f>MAX(0,MIN(18,BF333+IF(C334="力量",E334,0)))</x:f>
        <x:v>0</x:v>
      </x:c>
      <x:c r="BG334">
        <x:f>MAX(0,MIN(18,BG333+IF(C334="体质",E334,0)))</x:f>
        <x:v>0</x:v>
      </x:c>
      <x:c r="BH334">
        <x:f>MAX(0,MIN(18,BH333+IF(C334="敏捷",E334,0)))</x:f>
        <x:v>0</x:v>
      </x:c>
      <x:c r="BI334">
        <x:f>MAX(0,MIN(18,BI333+IF(C334="智力",E334,0)))</x:f>
        <x:v>0</x:v>
      </x:c>
      <x:c r="BJ334">
        <x:f>MAX(0,MIN(18,BJ333+IF(C334="意志",E334,0)))</x:f>
        <x:v>0</x:v>
      </x:c>
      <x:c r="BK334">
        <x:f>MAX(0,MIN(18,BK333+IF(C334="魅力",E334,0)))</x:f>
        <x:v>0</x:v>
      </x:c>
      <x:c r="BL334">
        <x:f>MAX(0,MIN(99,BL333+IF(C334="技能：非自然知识",E334,0)))</x:f>
        <x:v>0</x:v>
      </x:c>
      <x:c r="BM334">
        <x:f>MAX(0,MIN(CEILING((BF334+BG334)/2,1),BM333+IF(C334="体力",E334,0)))</x:f>
        <x:v>0</x:v>
      </x:c>
      <x:c r="BN334">
        <x:f>MAX(0,MIN(BJ334,BN333+IF(C334="毅力",E334,0)))</x:f>
        <x:v>0</x:v>
      </x:c>
      <x:c r="BO334">
        <x:f>MAX(0,MIN(99-BL334,BO333+IF(C334="理智",E334,0)))</x:f>
        <x:v>0</x:v>
      </x:c>
      <x:c r="BP334">
        <x:f>MAX(0,MIN(99,BP333+IF(C334="崩溃点",E334,0)))</x:f>
        <x:v>0</x:v>
      </x:c>
      <x:c r="BQ334">
        <x:f>MAX(0,MIN(BK334,IF(AND(H334=1,C334="重要关系1",LEFT('幕间与结算'!H241,8)="建立新的重要关系"),'幕间与结算'!E241+E334,BQ333+IF(C334="重要关系1",E334,0)+IF(AND(C334="魅力",E334&lt;0),E334,0))))</x:f>
        <x:v>0</x:v>
      </x:c>
      <x:c r="BR334">
        <x:f>MAX(0,MIN(BK334,IF(AND(H334=1,C334="重要关系2",LEFT('幕间与结算'!H241,8)="建立新的重要关系"),'幕间与结算'!E241+E334,BR333+IF(C334="重要关系2",E334,0)+IF(AND(C334="魅力",E334&lt;0),E334,0))))</x:f>
        <x:v>0</x:v>
      </x:c>
      <x:c r="BS334">
        <x:f>MAX(0,MIN(BK334,IF(AND(H334=1,C334="重要关系3",LEFT('幕间与结算'!H241,8)="建立新的重要关系"),'幕间与结算'!E241+E334,BS333+IF(C334="重要关系3",E334,0)+IF(AND(C334="魅力",E334&lt;0),E334,0))))</x:f>
        <x:v>0</x:v>
      </x:c>
      <x:c r="BT334">
        <x:f>MAX(0,MIN(BK334,IF(AND(H334=1,C334="重要关系4",LEFT('幕间与结算'!H241,8)="建立新的重要关系"),'幕间与结算'!E241+E334,BT333+IF(C334="重要关系4",E334,0)+IF(AND(C334="魅力",E334&lt;0),E334,0))))</x:f>
        <x:v>0</x:v>
      </x:c>
      <x:c r="BU334">
        <x:f>MAX(0,MIN(BK334,IF(AND(H334=1,C334="重要关系5",LEFT('幕间与结算'!H241,8)="建立新的重要关系"),'幕间与结算'!E241+E334,BU333+IF(C334="重要关系5",E334,0)+IF(AND(C334="魅力",E334&lt;0),E334,0))))</x:f>
        <x:v>0</x:v>
      </x:c>
      <x:c r="BV334">
        <x:f>MAX(0,MIN(BK334,IF(AND(H334=1,C334="重要关系6",LEFT('幕间与结算'!H241,8)="建立新的重要关系"),'幕间与结算'!E241+E334,BV333+IF(C334="重要关系6",E334,0)+IF(AND(C334="魅力",E334&lt;0),E334,0))))</x:f>
        <x:v>0</x:v>
      </x:c>
      <x:c r="BW334">
        <x:f>MAX(0,MIN(BK334,IF(AND(H334=1,C334="重要关系7",LEFT('幕间与结算'!H241,8)="建立新的重要关系"),'幕间与结算'!E241+E334,BW333+IF(C334="重要关系7",E334,0)+IF(AND(C334="魅力",E334&lt;0),E334,0))))</x:f>
        <x:v>0</x:v>
      </x:c>
    </x:row>
    <x:row r="335">
      <x:c r="A335" t="str">
        <x:f>IFERROR(TEXT(VALUE('幕间与结算'!A242),"00"),"")</x:f>
        <x:v>00</x:v>
      </x:c>
      <x:c r="B335">
        <x:f>'幕间与结算'!B242</x:f>
        <x:v>0</x:v>
      </x:c>
      <x:c r="C335">
        <x:f>'幕间与结算'!D242</x:f>
        <x:v>0</x:v>
      </x:c>
      <x:c r="D335">
        <x:f>'幕间与结算'!F242</x:f>
        <x:v>0</x:v>
      </x:c>
      <x:c r="E335">
        <x:f>IF(H335=1,MAX(-'幕间与结算'!E242,MIN(D335,IF(LEFT(C335,3)="技能：",99,IF(COUNTIF($L$2:$L$7,C335)&gt;0,18,999))-'幕间与结算'!E242)),0)</x:f>
        <x:v>0</x:v>
      </x:c>
      <x:c r="F335" t="str">
        <x:f>IF(C335=0,"",IF(G335=0,"记录不完整",IF(H335=0,"重复未计","已计入")))</x:f>
        <x:v/>
      </x:c>
      <x:c r="G335">
        <x:f>IF(AND(AND('幕间与结算'!A242&lt;&gt;"",'幕间与结算'!B242&lt;&gt;"",'幕间与结算'!I242&lt;&gt;"",OR(LEFT(C335,3)="技能：",COUNTIF($L$2:$L$19,C335)&gt;0),ISNUMBER('幕间与结算'!E242),ISNUMBER('幕间与结算'!F242),ISNUMBER('幕间与结算'!G242),'幕间与结算'!E242&gt;=0,'幕间与结算'!G242='幕间与结算'!E242+'幕间与结算'!F242),OR(B335&lt;&gt;"成长",AND(LEFT(C335,3)="技能：",C335&lt;&gt;"技能：非自然知识",'幕间与结算'!E242&gt;=1,'幕间与结算'!E242&lt;=99,'幕间与结算'!F242&gt;=0,'幕间与结算'!F242&lt;=4,'幕间与结算'!G242&lt;=99))),1,0)</x:f>
        <x:v>0</x:v>
      </x:c>
      <x:c r="H335">
        <x:f>IF(AND(G335=1,COUNTIFS($I$200:I335,I335,$G$200:G335,1)=1),1,0)</x:f>
        <x:v>0</x:v>
      </x:c>
      <x:c r="I335" t="str">
        <x:f>IF(G335=1,IF(B335="成长",A335&amp;"-成长-"&amp;C335,'幕间与结算'!I242),"")</x:f>
        <x:v/>
      </x:c>
      <x:c r="BF335">
        <x:f>MAX(0,MIN(18,BF334+IF(C335="力量",E335,0)))</x:f>
        <x:v>0</x:v>
      </x:c>
      <x:c r="BG335">
        <x:f>MAX(0,MIN(18,BG334+IF(C335="体质",E335,0)))</x:f>
        <x:v>0</x:v>
      </x:c>
      <x:c r="BH335">
        <x:f>MAX(0,MIN(18,BH334+IF(C335="敏捷",E335,0)))</x:f>
        <x:v>0</x:v>
      </x:c>
      <x:c r="BI335">
        <x:f>MAX(0,MIN(18,BI334+IF(C335="智力",E335,0)))</x:f>
        <x:v>0</x:v>
      </x:c>
      <x:c r="BJ335">
        <x:f>MAX(0,MIN(18,BJ334+IF(C335="意志",E335,0)))</x:f>
        <x:v>0</x:v>
      </x:c>
      <x:c r="BK335">
        <x:f>MAX(0,MIN(18,BK334+IF(C335="魅力",E335,0)))</x:f>
        <x:v>0</x:v>
      </x:c>
      <x:c r="BL335">
        <x:f>MAX(0,MIN(99,BL334+IF(C335="技能：非自然知识",E335,0)))</x:f>
        <x:v>0</x:v>
      </x:c>
      <x:c r="BM335">
        <x:f>MAX(0,MIN(CEILING((BF335+BG335)/2,1),BM334+IF(C335="体力",E335,0)))</x:f>
        <x:v>0</x:v>
      </x:c>
      <x:c r="BN335">
        <x:f>MAX(0,MIN(BJ335,BN334+IF(C335="毅力",E335,0)))</x:f>
        <x:v>0</x:v>
      </x:c>
      <x:c r="BO335">
        <x:f>MAX(0,MIN(99-BL335,BO334+IF(C335="理智",E335,0)))</x:f>
        <x:v>0</x:v>
      </x:c>
      <x:c r="BP335">
        <x:f>MAX(0,MIN(99,BP334+IF(C335="崩溃点",E335,0)))</x:f>
        <x:v>0</x:v>
      </x:c>
      <x:c r="BQ335">
        <x:f>MAX(0,MIN(BK335,IF(AND(H335=1,C335="重要关系1",LEFT('幕间与结算'!H242,8)="建立新的重要关系"),'幕间与结算'!E242+E335,BQ334+IF(C335="重要关系1",E335,0)+IF(AND(C335="魅力",E335&lt;0),E335,0))))</x:f>
        <x:v>0</x:v>
      </x:c>
      <x:c r="BR335">
        <x:f>MAX(0,MIN(BK335,IF(AND(H335=1,C335="重要关系2",LEFT('幕间与结算'!H242,8)="建立新的重要关系"),'幕间与结算'!E242+E335,BR334+IF(C335="重要关系2",E335,0)+IF(AND(C335="魅力",E335&lt;0),E335,0))))</x:f>
        <x:v>0</x:v>
      </x:c>
      <x:c r="BS335">
        <x:f>MAX(0,MIN(BK335,IF(AND(H335=1,C335="重要关系3",LEFT('幕间与结算'!H242,8)="建立新的重要关系"),'幕间与结算'!E242+E335,BS334+IF(C335="重要关系3",E335,0)+IF(AND(C335="魅力",E335&lt;0),E335,0))))</x:f>
        <x:v>0</x:v>
      </x:c>
      <x:c r="BT335">
        <x:f>MAX(0,MIN(BK335,IF(AND(H335=1,C335="重要关系4",LEFT('幕间与结算'!H242,8)="建立新的重要关系"),'幕间与结算'!E242+E335,BT334+IF(C335="重要关系4",E335,0)+IF(AND(C335="魅力",E335&lt;0),E335,0))))</x:f>
        <x:v>0</x:v>
      </x:c>
      <x:c r="BU335">
        <x:f>MAX(0,MIN(BK335,IF(AND(H335=1,C335="重要关系5",LEFT('幕间与结算'!H242,8)="建立新的重要关系"),'幕间与结算'!E242+E335,BU334+IF(C335="重要关系5",E335,0)+IF(AND(C335="魅力",E335&lt;0),E335,0))))</x:f>
        <x:v>0</x:v>
      </x:c>
      <x:c r="BV335">
        <x:f>MAX(0,MIN(BK335,IF(AND(H335=1,C335="重要关系6",LEFT('幕间与结算'!H242,8)="建立新的重要关系"),'幕间与结算'!E242+E335,BV334+IF(C335="重要关系6",E335,0)+IF(AND(C335="魅力",E335&lt;0),E335,0))))</x:f>
        <x:v>0</x:v>
      </x:c>
      <x:c r="BW335">
        <x:f>MAX(0,MIN(BK335,IF(AND(H335=1,C335="重要关系7",LEFT('幕间与结算'!H242,8)="建立新的重要关系"),'幕间与结算'!E242+E335,BW334+IF(C335="重要关系7",E335,0)+IF(AND(C335="魅力",E335&lt;0),E335,0))))</x:f>
        <x:v>0</x:v>
      </x:c>
    </x:row>
    <x:row r="336">
      <x:c r="A336" t="str">
        <x:f>IFERROR(TEXT(VALUE('幕间与结算'!A243),"00"),"")</x:f>
        <x:v>00</x:v>
      </x:c>
      <x:c r="B336">
        <x:f>'幕间与结算'!B243</x:f>
        <x:v>0</x:v>
      </x:c>
      <x:c r="C336">
        <x:f>'幕间与结算'!D243</x:f>
        <x:v>0</x:v>
      </x:c>
      <x:c r="D336">
        <x:f>'幕间与结算'!F243</x:f>
        <x:v>0</x:v>
      </x:c>
      <x:c r="E336">
        <x:f>IF(H336=1,MAX(-'幕间与结算'!E243,MIN(D336,IF(LEFT(C336,3)="技能：",99,IF(COUNTIF($L$2:$L$7,C336)&gt;0,18,999))-'幕间与结算'!E243)),0)</x:f>
        <x:v>0</x:v>
      </x:c>
      <x:c r="F336" t="str">
        <x:f>IF(C336=0,"",IF(G336=0,"记录不完整",IF(H336=0,"重复未计","已计入")))</x:f>
        <x:v/>
      </x:c>
      <x:c r="G336">
        <x:f>IF(AND(AND('幕间与结算'!A243&lt;&gt;"",'幕间与结算'!B243&lt;&gt;"",'幕间与结算'!I243&lt;&gt;"",OR(LEFT(C336,3)="技能：",COUNTIF($L$2:$L$19,C336)&gt;0),ISNUMBER('幕间与结算'!E243),ISNUMBER('幕间与结算'!F243),ISNUMBER('幕间与结算'!G243),'幕间与结算'!E243&gt;=0,'幕间与结算'!G243='幕间与结算'!E243+'幕间与结算'!F243),OR(B336&lt;&gt;"成长",AND(LEFT(C336,3)="技能：",C336&lt;&gt;"技能：非自然知识",'幕间与结算'!E243&gt;=1,'幕间与结算'!E243&lt;=99,'幕间与结算'!F243&gt;=0,'幕间与结算'!F243&lt;=4,'幕间与结算'!G243&lt;=99))),1,0)</x:f>
        <x:v>0</x:v>
      </x:c>
      <x:c r="H336">
        <x:f>IF(AND(G336=1,COUNTIFS($I$200:I336,I336,$G$200:G336,1)=1),1,0)</x:f>
        <x:v>0</x:v>
      </x:c>
      <x:c r="I336" t="str">
        <x:f>IF(G336=1,IF(B336="成长",A336&amp;"-成长-"&amp;C336,'幕间与结算'!I243),"")</x:f>
        <x:v/>
      </x:c>
      <x:c r="BF336">
        <x:f>MAX(0,MIN(18,BF335+IF(C336="力量",E336,0)))</x:f>
        <x:v>0</x:v>
      </x:c>
      <x:c r="BG336">
        <x:f>MAX(0,MIN(18,BG335+IF(C336="体质",E336,0)))</x:f>
        <x:v>0</x:v>
      </x:c>
      <x:c r="BH336">
        <x:f>MAX(0,MIN(18,BH335+IF(C336="敏捷",E336,0)))</x:f>
        <x:v>0</x:v>
      </x:c>
      <x:c r="BI336">
        <x:f>MAX(0,MIN(18,BI335+IF(C336="智力",E336,0)))</x:f>
        <x:v>0</x:v>
      </x:c>
      <x:c r="BJ336">
        <x:f>MAX(0,MIN(18,BJ335+IF(C336="意志",E336,0)))</x:f>
        <x:v>0</x:v>
      </x:c>
      <x:c r="BK336">
        <x:f>MAX(0,MIN(18,BK335+IF(C336="魅力",E336,0)))</x:f>
        <x:v>0</x:v>
      </x:c>
      <x:c r="BL336">
        <x:f>MAX(0,MIN(99,BL335+IF(C336="技能：非自然知识",E336,0)))</x:f>
        <x:v>0</x:v>
      </x:c>
      <x:c r="BM336">
        <x:f>MAX(0,MIN(CEILING((BF336+BG336)/2,1),BM335+IF(C336="体力",E336,0)))</x:f>
        <x:v>0</x:v>
      </x:c>
      <x:c r="BN336">
        <x:f>MAX(0,MIN(BJ336,BN335+IF(C336="毅力",E336,0)))</x:f>
        <x:v>0</x:v>
      </x:c>
      <x:c r="BO336">
        <x:f>MAX(0,MIN(99-BL336,BO335+IF(C336="理智",E336,0)))</x:f>
        <x:v>0</x:v>
      </x:c>
      <x:c r="BP336">
        <x:f>MAX(0,MIN(99,BP335+IF(C336="崩溃点",E336,0)))</x:f>
        <x:v>0</x:v>
      </x:c>
      <x:c r="BQ336">
        <x:f>MAX(0,MIN(BK336,IF(AND(H336=1,C336="重要关系1",LEFT('幕间与结算'!H243,8)="建立新的重要关系"),'幕间与结算'!E243+E336,BQ335+IF(C336="重要关系1",E336,0)+IF(AND(C336="魅力",E336&lt;0),E336,0))))</x:f>
        <x:v>0</x:v>
      </x:c>
      <x:c r="BR336">
        <x:f>MAX(0,MIN(BK336,IF(AND(H336=1,C336="重要关系2",LEFT('幕间与结算'!H243,8)="建立新的重要关系"),'幕间与结算'!E243+E336,BR335+IF(C336="重要关系2",E336,0)+IF(AND(C336="魅力",E336&lt;0),E336,0))))</x:f>
        <x:v>0</x:v>
      </x:c>
      <x:c r="BS336">
        <x:f>MAX(0,MIN(BK336,IF(AND(H336=1,C336="重要关系3",LEFT('幕间与结算'!H243,8)="建立新的重要关系"),'幕间与结算'!E243+E336,BS335+IF(C336="重要关系3",E336,0)+IF(AND(C336="魅力",E336&lt;0),E336,0))))</x:f>
        <x:v>0</x:v>
      </x:c>
      <x:c r="BT336">
        <x:f>MAX(0,MIN(BK336,IF(AND(H336=1,C336="重要关系4",LEFT('幕间与结算'!H243,8)="建立新的重要关系"),'幕间与结算'!E243+E336,BT335+IF(C336="重要关系4",E336,0)+IF(AND(C336="魅力",E336&lt;0),E336,0))))</x:f>
        <x:v>0</x:v>
      </x:c>
      <x:c r="BU336">
        <x:f>MAX(0,MIN(BK336,IF(AND(H336=1,C336="重要关系5",LEFT('幕间与结算'!H243,8)="建立新的重要关系"),'幕间与结算'!E243+E336,BU335+IF(C336="重要关系5",E336,0)+IF(AND(C336="魅力",E336&lt;0),E336,0))))</x:f>
        <x:v>0</x:v>
      </x:c>
      <x:c r="BV336">
        <x:f>MAX(0,MIN(BK336,IF(AND(H336=1,C336="重要关系6",LEFT('幕间与结算'!H243,8)="建立新的重要关系"),'幕间与结算'!E243+E336,BV335+IF(C336="重要关系6",E336,0)+IF(AND(C336="魅力",E336&lt;0),E336,0))))</x:f>
        <x:v>0</x:v>
      </x:c>
      <x:c r="BW336">
        <x:f>MAX(0,MIN(BK336,IF(AND(H336=1,C336="重要关系7",LEFT('幕间与结算'!H243,8)="建立新的重要关系"),'幕间与结算'!E243+E336,BW335+IF(C336="重要关系7",E336,0)+IF(AND(C336="魅力",E336&lt;0),E336,0))))</x:f>
        <x:v>0</x:v>
      </x:c>
    </x:row>
    <x:row r="337">
      <x:c r="A337" t="str">
        <x:f>IFERROR(TEXT(VALUE('幕间与结算'!A244),"00"),"")</x:f>
        <x:v>00</x:v>
      </x:c>
      <x:c r="B337">
        <x:f>'幕间与结算'!B244</x:f>
        <x:v>0</x:v>
      </x:c>
      <x:c r="C337">
        <x:f>'幕间与结算'!D244</x:f>
        <x:v>0</x:v>
      </x:c>
      <x:c r="D337">
        <x:f>'幕间与结算'!F244</x:f>
        <x:v>0</x:v>
      </x:c>
      <x:c r="E337">
        <x:f>IF(H337=1,MAX(-'幕间与结算'!E244,MIN(D337,IF(LEFT(C337,3)="技能：",99,IF(COUNTIF($L$2:$L$7,C337)&gt;0,18,999))-'幕间与结算'!E244)),0)</x:f>
        <x:v>0</x:v>
      </x:c>
      <x:c r="F337" t="str">
        <x:f>IF(C337=0,"",IF(G337=0,"记录不完整",IF(H337=0,"重复未计","已计入")))</x:f>
        <x:v/>
      </x:c>
      <x:c r="G337">
        <x:f>IF(AND(AND('幕间与结算'!A244&lt;&gt;"",'幕间与结算'!B244&lt;&gt;"",'幕间与结算'!I244&lt;&gt;"",OR(LEFT(C337,3)="技能：",COUNTIF($L$2:$L$19,C337)&gt;0),ISNUMBER('幕间与结算'!E244),ISNUMBER('幕间与结算'!F244),ISNUMBER('幕间与结算'!G244),'幕间与结算'!E244&gt;=0,'幕间与结算'!G244='幕间与结算'!E244+'幕间与结算'!F244),OR(B337&lt;&gt;"成长",AND(LEFT(C337,3)="技能：",C337&lt;&gt;"技能：非自然知识",'幕间与结算'!E244&gt;=1,'幕间与结算'!E244&lt;=99,'幕间与结算'!F244&gt;=0,'幕间与结算'!F244&lt;=4,'幕间与结算'!G244&lt;=99))),1,0)</x:f>
        <x:v>0</x:v>
      </x:c>
      <x:c r="H337">
        <x:f>IF(AND(G337=1,COUNTIFS($I$200:I337,I337,$G$200:G337,1)=1),1,0)</x:f>
        <x:v>0</x:v>
      </x:c>
      <x:c r="I337" t="str">
        <x:f>IF(G337=1,IF(B337="成长",A337&amp;"-成长-"&amp;C337,'幕间与结算'!I244),"")</x:f>
        <x:v/>
      </x:c>
      <x:c r="BF337">
        <x:f>MAX(0,MIN(18,BF336+IF(C337="力量",E337,0)))</x:f>
        <x:v>0</x:v>
      </x:c>
      <x:c r="BG337">
        <x:f>MAX(0,MIN(18,BG336+IF(C337="体质",E337,0)))</x:f>
        <x:v>0</x:v>
      </x:c>
      <x:c r="BH337">
        <x:f>MAX(0,MIN(18,BH336+IF(C337="敏捷",E337,0)))</x:f>
        <x:v>0</x:v>
      </x:c>
      <x:c r="BI337">
        <x:f>MAX(0,MIN(18,BI336+IF(C337="智力",E337,0)))</x:f>
        <x:v>0</x:v>
      </x:c>
      <x:c r="BJ337">
        <x:f>MAX(0,MIN(18,BJ336+IF(C337="意志",E337,0)))</x:f>
        <x:v>0</x:v>
      </x:c>
      <x:c r="BK337">
        <x:f>MAX(0,MIN(18,BK336+IF(C337="魅力",E337,0)))</x:f>
        <x:v>0</x:v>
      </x:c>
      <x:c r="BL337">
        <x:f>MAX(0,MIN(99,BL336+IF(C337="技能：非自然知识",E337,0)))</x:f>
        <x:v>0</x:v>
      </x:c>
      <x:c r="BM337">
        <x:f>MAX(0,MIN(CEILING((BF337+BG337)/2,1),BM336+IF(C337="体力",E337,0)))</x:f>
        <x:v>0</x:v>
      </x:c>
      <x:c r="BN337">
        <x:f>MAX(0,MIN(BJ337,BN336+IF(C337="毅力",E337,0)))</x:f>
        <x:v>0</x:v>
      </x:c>
      <x:c r="BO337">
        <x:f>MAX(0,MIN(99-BL337,BO336+IF(C337="理智",E337,0)))</x:f>
        <x:v>0</x:v>
      </x:c>
      <x:c r="BP337">
        <x:f>MAX(0,MIN(99,BP336+IF(C337="崩溃点",E337,0)))</x:f>
        <x:v>0</x:v>
      </x:c>
      <x:c r="BQ337">
        <x:f>MAX(0,MIN(BK337,IF(AND(H337=1,C337="重要关系1",LEFT('幕间与结算'!H244,8)="建立新的重要关系"),'幕间与结算'!E244+E337,BQ336+IF(C337="重要关系1",E337,0)+IF(AND(C337="魅力",E337&lt;0),E337,0))))</x:f>
        <x:v>0</x:v>
      </x:c>
      <x:c r="BR337">
        <x:f>MAX(0,MIN(BK337,IF(AND(H337=1,C337="重要关系2",LEFT('幕间与结算'!H244,8)="建立新的重要关系"),'幕间与结算'!E244+E337,BR336+IF(C337="重要关系2",E337,0)+IF(AND(C337="魅力",E337&lt;0),E337,0))))</x:f>
        <x:v>0</x:v>
      </x:c>
      <x:c r="BS337">
        <x:f>MAX(0,MIN(BK337,IF(AND(H337=1,C337="重要关系3",LEFT('幕间与结算'!H244,8)="建立新的重要关系"),'幕间与结算'!E244+E337,BS336+IF(C337="重要关系3",E337,0)+IF(AND(C337="魅力",E337&lt;0),E337,0))))</x:f>
        <x:v>0</x:v>
      </x:c>
      <x:c r="BT337">
        <x:f>MAX(0,MIN(BK337,IF(AND(H337=1,C337="重要关系4",LEFT('幕间与结算'!H244,8)="建立新的重要关系"),'幕间与结算'!E244+E337,BT336+IF(C337="重要关系4",E337,0)+IF(AND(C337="魅力",E337&lt;0),E337,0))))</x:f>
        <x:v>0</x:v>
      </x:c>
      <x:c r="BU337">
        <x:f>MAX(0,MIN(BK337,IF(AND(H337=1,C337="重要关系5",LEFT('幕间与结算'!H244,8)="建立新的重要关系"),'幕间与结算'!E244+E337,BU336+IF(C337="重要关系5",E337,0)+IF(AND(C337="魅力",E337&lt;0),E337,0))))</x:f>
        <x:v>0</x:v>
      </x:c>
      <x:c r="BV337">
        <x:f>MAX(0,MIN(BK337,IF(AND(H337=1,C337="重要关系6",LEFT('幕间与结算'!H244,8)="建立新的重要关系"),'幕间与结算'!E244+E337,BV336+IF(C337="重要关系6",E337,0)+IF(AND(C337="魅力",E337&lt;0),E337,0))))</x:f>
        <x:v>0</x:v>
      </x:c>
      <x:c r="BW337">
        <x:f>MAX(0,MIN(BK337,IF(AND(H337=1,C337="重要关系7",LEFT('幕间与结算'!H244,8)="建立新的重要关系"),'幕间与结算'!E244+E337,BW336+IF(C337="重要关系7",E337,0)+IF(AND(C337="魅力",E337&lt;0),E337,0))))</x:f>
        <x:v>0</x:v>
      </x:c>
    </x:row>
    <x:row r="338">
      <x:c r="A338" t="str">
        <x:f>IFERROR(TEXT(VALUE('幕间与结算'!A245),"00"),"")</x:f>
        <x:v>00</x:v>
      </x:c>
      <x:c r="B338">
        <x:f>'幕间与结算'!B245</x:f>
        <x:v>0</x:v>
      </x:c>
      <x:c r="C338">
        <x:f>'幕间与结算'!D245</x:f>
        <x:v>0</x:v>
      </x:c>
      <x:c r="D338">
        <x:f>'幕间与结算'!F245</x:f>
        <x:v>0</x:v>
      </x:c>
      <x:c r="E338">
        <x:f>IF(H338=1,MAX(-'幕间与结算'!E245,MIN(D338,IF(LEFT(C338,3)="技能：",99,IF(COUNTIF($L$2:$L$7,C338)&gt;0,18,999))-'幕间与结算'!E245)),0)</x:f>
        <x:v>0</x:v>
      </x:c>
      <x:c r="F338" t="str">
        <x:f>IF(C338=0,"",IF(G338=0,"记录不完整",IF(H338=0,"重复未计","已计入")))</x:f>
        <x:v/>
      </x:c>
      <x:c r="G338">
        <x:f>IF(AND(AND('幕间与结算'!A245&lt;&gt;"",'幕间与结算'!B245&lt;&gt;"",'幕间与结算'!I245&lt;&gt;"",OR(LEFT(C338,3)="技能：",COUNTIF($L$2:$L$19,C338)&gt;0),ISNUMBER('幕间与结算'!E245),ISNUMBER('幕间与结算'!F245),ISNUMBER('幕间与结算'!G245),'幕间与结算'!E245&gt;=0,'幕间与结算'!G245='幕间与结算'!E245+'幕间与结算'!F245),OR(B338&lt;&gt;"成长",AND(LEFT(C338,3)="技能：",C338&lt;&gt;"技能：非自然知识",'幕间与结算'!E245&gt;=1,'幕间与结算'!E245&lt;=99,'幕间与结算'!F245&gt;=0,'幕间与结算'!F245&lt;=4,'幕间与结算'!G245&lt;=99))),1,0)</x:f>
        <x:v>0</x:v>
      </x:c>
      <x:c r="H338">
        <x:f>IF(AND(G338=1,COUNTIFS($I$200:I338,I338,$G$200:G338,1)=1),1,0)</x:f>
        <x:v>0</x:v>
      </x:c>
      <x:c r="I338" t="str">
        <x:f>IF(G338=1,IF(B338="成长",A338&amp;"-成长-"&amp;C338,'幕间与结算'!I245),"")</x:f>
        <x:v/>
      </x:c>
      <x:c r="BF338">
        <x:f>MAX(0,MIN(18,BF337+IF(C338="力量",E338,0)))</x:f>
        <x:v>0</x:v>
      </x:c>
      <x:c r="BG338">
        <x:f>MAX(0,MIN(18,BG337+IF(C338="体质",E338,0)))</x:f>
        <x:v>0</x:v>
      </x:c>
      <x:c r="BH338">
        <x:f>MAX(0,MIN(18,BH337+IF(C338="敏捷",E338,0)))</x:f>
        <x:v>0</x:v>
      </x:c>
      <x:c r="BI338">
        <x:f>MAX(0,MIN(18,BI337+IF(C338="智力",E338,0)))</x:f>
        <x:v>0</x:v>
      </x:c>
      <x:c r="BJ338">
        <x:f>MAX(0,MIN(18,BJ337+IF(C338="意志",E338,0)))</x:f>
        <x:v>0</x:v>
      </x:c>
      <x:c r="BK338">
        <x:f>MAX(0,MIN(18,BK337+IF(C338="魅力",E338,0)))</x:f>
        <x:v>0</x:v>
      </x:c>
      <x:c r="BL338">
        <x:f>MAX(0,MIN(99,BL337+IF(C338="技能：非自然知识",E338,0)))</x:f>
        <x:v>0</x:v>
      </x:c>
      <x:c r="BM338">
        <x:f>MAX(0,MIN(CEILING((BF338+BG338)/2,1),BM337+IF(C338="体力",E338,0)))</x:f>
        <x:v>0</x:v>
      </x:c>
      <x:c r="BN338">
        <x:f>MAX(0,MIN(BJ338,BN337+IF(C338="毅力",E338,0)))</x:f>
        <x:v>0</x:v>
      </x:c>
      <x:c r="BO338">
        <x:f>MAX(0,MIN(99-BL338,BO337+IF(C338="理智",E338,0)))</x:f>
        <x:v>0</x:v>
      </x:c>
      <x:c r="BP338">
        <x:f>MAX(0,MIN(99,BP337+IF(C338="崩溃点",E338,0)))</x:f>
        <x:v>0</x:v>
      </x:c>
      <x:c r="BQ338">
        <x:f>MAX(0,MIN(BK338,IF(AND(H338=1,C338="重要关系1",LEFT('幕间与结算'!H245,8)="建立新的重要关系"),'幕间与结算'!E245+E338,BQ337+IF(C338="重要关系1",E338,0)+IF(AND(C338="魅力",E338&lt;0),E338,0))))</x:f>
        <x:v>0</x:v>
      </x:c>
      <x:c r="BR338">
        <x:f>MAX(0,MIN(BK338,IF(AND(H338=1,C338="重要关系2",LEFT('幕间与结算'!H245,8)="建立新的重要关系"),'幕间与结算'!E245+E338,BR337+IF(C338="重要关系2",E338,0)+IF(AND(C338="魅力",E338&lt;0),E338,0))))</x:f>
        <x:v>0</x:v>
      </x:c>
      <x:c r="BS338">
        <x:f>MAX(0,MIN(BK338,IF(AND(H338=1,C338="重要关系3",LEFT('幕间与结算'!H245,8)="建立新的重要关系"),'幕间与结算'!E245+E338,BS337+IF(C338="重要关系3",E338,0)+IF(AND(C338="魅力",E338&lt;0),E338,0))))</x:f>
        <x:v>0</x:v>
      </x:c>
      <x:c r="BT338">
        <x:f>MAX(0,MIN(BK338,IF(AND(H338=1,C338="重要关系4",LEFT('幕间与结算'!H245,8)="建立新的重要关系"),'幕间与结算'!E245+E338,BT337+IF(C338="重要关系4",E338,0)+IF(AND(C338="魅力",E338&lt;0),E338,0))))</x:f>
        <x:v>0</x:v>
      </x:c>
      <x:c r="BU338">
        <x:f>MAX(0,MIN(BK338,IF(AND(H338=1,C338="重要关系5",LEFT('幕间与结算'!H245,8)="建立新的重要关系"),'幕间与结算'!E245+E338,BU337+IF(C338="重要关系5",E338,0)+IF(AND(C338="魅力",E338&lt;0),E338,0))))</x:f>
        <x:v>0</x:v>
      </x:c>
      <x:c r="BV338">
        <x:f>MAX(0,MIN(BK338,IF(AND(H338=1,C338="重要关系6",LEFT('幕间与结算'!H245,8)="建立新的重要关系"),'幕间与结算'!E245+E338,BV337+IF(C338="重要关系6",E338,0)+IF(AND(C338="魅力",E338&lt;0),E338,0))))</x:f>
        <x:v>0</x:v>
      </x:c>
      <x:c r="BW338">
        <x:f>MAX(0,MIN(BK338,IF(AND(H338=1,C338="重要关系7",LEFT('幕间与结算'!H245,8)="建立新的重要关系"),'幕间与结算'!E245+E338,BW337+IF(C338="重要关系7",E338,0)+IF(AND(C338="魅力",E338&lt;0),E338,0))))</x:f>
        <x:v>0</x:v>
      </x:c>
    </x:row>
    <x:row r="339">
      <x:c r="A339" t="str">
        <x:f>IFERROR(TEXT(VALUE('幕间与结算'!A246),"00"),"")</x:f>
        <x:v>00</x:v>
      </x:c>
      <x:c r="B339">
        <x:f>'幕间与结算'!B246</x:f>
        <x:v>0</x:v>
      </x:c>
      <x:c r="C339">
        <x:f>'幕间与结算'!D246</x:f>
        <x:v>0</x:v>
      </x:c>
      <x:c r="D339">
        <x:f>'幕间与结算'!F246</x:f>
        <x:v>0</x:v>
      </x:c>
      <x:c r="E339">
        <x:f>IF(H339=1,MAX(-'幕间与结算'!E246,MIN(D339,IF(LEFT(C339,3)="技能：",99,IF(COUNTIF($L$2:$L$7,C339)&gt;0,18,999))-'幕间与结算'!E246)),0)</x:f>
        <x:v>0</x:v>
      </x:c>
      <x:c r="F339" t="str">
        <x:f>IF(C339=0,"",IF(G339=0,"记录不完整",IF(H339=0,"重复未计","已计入")))</x:f>
        <x:v/>
      </x:c>
      <x:c r="G339">
        <x:f>IF(AND(AND('幕间与结算'!A246&lt;&gt;"",'幕间与结算'!B246&lt;&gt;"",'幕间与结算'!I246&lt;&gt;"",OR(LEFT(C339,3)="技能：",COUNTIF($L$2:$L$19,C339)&gt;0),ISNUMBER('幕间与结算'!E246),ISNUMBER('幕间与结算'!F246),ISNUMBER('幕间与结算'!G246),'幕间与结算'!E246&gt;=0,'幕间与结算'!G246='幕间与结算'!E246+'幕间与结算'!F246),OR(B339&lt;&gt;"成长",AND(LEFT(C339,3)="技能：",C339&lt;&gt;"技能：非自然知识",'幕间与结算'!E246&gt;=1,'幕间与结算'!E246&lt;=99,'幕间与结算'!F246&gt;=0,'幕间与结算'!F246&lt;=4,'幕间与结算'!G246&lt;=99))),1,0)</x:f>
        <x:v>0</x:v>
      </x:c>
      <x:c r="H339">
        <x:f>IF(AND(G339=1,COUNTIFS($I$200:I339,I339,$G$200:G339,1)=1),1,0)</x:f>
        <x:v>0</x:v>
      </x:c>
      <x:c r="I339" t="str">
        <x:f>IF(G339=1,IF(B339="成长",A339&amp;"-成长-"&amp;C339,'幕间与结算'!I246),"")</x:f>
        <x:v/>
      </x:c>
      <x:c r="BF339">
        <x:f>MAX(0,MIN(18,BF338+IF(C339="力量",E339,0)))</x:f>
        <x:v>0</x:v>
      </x:c>
      <x:c r="BG339">
        <x:f>MAX(0,MIN(18,BG338+IF(C339="体质",E339,0)))</x:f>
        <x:v>0</x:v>
      </x:c>
      <x:c r="BH339">
        <x:f>MAX(0,MIN(18,BH338+IF(C339="敏捷",E339,0)))</x:f>
        <x:v>0</x:v>
      </x:c>
      <x:c r="BI339">
        <x:f>MAX(0,MIN(18,BI338+IF(C339="智力",E339,0)))</x:f>
        <x:v>0</x:v>
      </x:c>
      <x:c r="BJ339">
        <x:f>MAX(0,MIN(18,BJ338+IF(C339="意志",E339,0)))</x:f>
        <x:v>0</x:v>
      </x:c>
      <x:c r="BK339">
        <x:f>MAX(0,MIN(18,BK338+IF(C339="魅力",E339,0)))</x:f>
        <x:v>0</x:v>
      </x:c>
      <x:c r="BL339">
        <x:f>MAX(0,MIN(99,BL338+IF(C339="技能：非自然知识",E339,0)))</x:f>
        <x:v>0</x:v>
      </x:c>
      <x:c r="BM339">
        <x:f>MAX(0,MIN(CEILING((BF339+BG339)/2,1),BM338+IF(C339="体力",E339,0)))</x:f>
        <x:v>0</x:v>
      </x:c>
      <x:c r="BN339">
        <x:f>MAX(0,MIN(BJ339,BN338+IF(C339="毅力",E339,0)))</x:f>
        <x:v>0</x:v>
      </x:c>
      <x:c r="BO339">
        <x:f>MAX(0,MIN(99-BL339,BO338+IF(C339="理智",E339,0)))</x:f>
        <x:v>0</x:v>
      </x:c>
      <x:c r="BP339">
        <x:f>MAX(0,MIN(99,BP338+IF(C339="崩溃点",E339,0)))</x:f>
        <x:v>0</x:v>
      </x:c>
      <x:c r="BQ339">
        <x:f>MAX(0,MIN(BK339,IF(AND(H339=1,C339="重要关系1",LEFT('幕间与结算'!H246,8)="建立新的重要关系"),'幕间与结算'!E246+E339,BQ338+IF(C339="重要关系1",E339,0)+IF(AND(C339="魅力",E339&lt;0),E339,0))))</x:f>
        <x:v>0</x:v>
      </x:c>
      <x:c r="BR339">
        <x:f>MAX(0,MIN(BK339,IF(AND(H339=1,C339="重要关系2",LEFT('幕间与结算'!H246,8)="建立新的重要关系"),'幕间与结算'!E246+E339,BR338+IF(C339="重要关系2",E339,0)+IF(AND(C339="魅力",E339&lt;0),E339,0))))</x:f>
        <x:v>0</x:v>
      </x:c>
      <x:c r="BS339">
        <x:f>MAX(0,MIN(BK339,IF(AND(H339=1,C339="重要关系3",LEFT('幕间与结算'!H246,8)="建立新的重要关系"),'幕间与结算'!E246+E339,BS338+IF(C339="重要关系3",E339,0)+IF(AND(C339="魅力",E339&lt;0),E339,0))))</x:f>
        <x:v>0</x:v>
      </x:c>
      <x:c r="BT339">
        <x:f>MAX(0,MIN(BK339,IF(AND(H339=1,C339="重要关系4",LEFT('幕间与结算'!H246,8)="建立新的重要关系"),'幕间与结算'!E246+E339,BT338+IF(C339="重要关系4",E339,0)+IF(AND(C339="魅力",E339&lt;0),E339,0))))</x:f>
        <x:v>0</x:v>
      </x:c>
      <x:c r="BU339">
        <x:f>MAX(0,MIN(BK339,IF(AND(H339=1,C339="重要关系5",LEFT('幕间与结算'!H246,8)="建立新的重要关系"),'幕间与结算'!E246+E339,BU338+IF(C339="重要关系5",E339,0)+IF(AND(C339="魅力",E339&lt;0),E339,0))))</x:f>
        <x:v>0</x:v>
      </x:c>
      <x:c r="BV339">
        <x:f>MAX(0,MIN(BK339,IF(AND(H339=1,C339="重要关系6",LEFT('幕间与结算'!H246,8)="建立新的重要关系"),'幕间与结算'!E246+E339,BV338+IF(C339="重要关系6",E339,0)+IF(AND(C339="魅力",E339&lt;0),E339,0))))</x:f>
        <x:v>0</x:v>
      </x:c>
      <x:c r="BW339">
        <x:f>MAX(0,MIN(BK339,IF(AND(H339=1,C339="重要关系7",LEFT('幕间与结算'!H246,8)="建立新的重要关系"),'幕间与结算'!E246+E339,BW338+IF(C339="重要关系7",E339,0)+IF(AND(C339="魅力",E339&lt;0),E339,0))))</x:f>
        <x:v>0</x:v>
      </x:c>
    </x:row>
    <x:row r="340">
      <x:c r="A340" t="str">
        <x:f>IFERROR(TEXT(VALUE('幕间与结算'!A247),"00"),"")</x:f>
        <x:v>00</x:v>
      </x:c>
      <x:c r="B340">
        <x:f>'幕间与结算'!B247</x:f>
        <x:v>0</x:v>
      </x:c>
      <x:c r="C340">
        <x:f>'幕间与结算'!D247</x:f>
        <x:v>0</x:v>
      </x:c>
      <x:c r="D340">
        <x:f>'幕间与结算'!F247</x:f>
        <x:v>0</x:v>
      </x:c>
      <x:c r="E340">
        <x:f>IF(H340=1,MAX(-'幕间与结算'!E247,MIN(D340,IF(LEFT(C340,3)="技能：",99,IF(COUNTIF($L$2:$L$7,C340)&gt;0,18,999))-'幕间与结算'!E247)),0)</x:f>
        <x:v>0</x:v>
      </x:c>
      <x:c r="F340" t="str">
        <x:f>IF(C340=0,"",IF(G340=0,"记录不完整",IF(H340=0,"重复未计","已计入")))</x:f>
        <x:v/>
      </x:c>
      <x:c r="G340">
        <x:f>IF(AND(AND('幕间与结算'!A247&lt;&gt;"",'幕间与结算'!B247&lt;&gt;"",'幕间与结算'!I247&lt;&gt;"",OR(LEFT(C340,3)="技能：",COUNTIF($L$2:$L$19,C340)&gt;0),ISNUMBER('幕间与结算'!E247),ISNUMBER('幕间与结算'!F247),ISNUMBER('幕间与结算'!G247),'幕间与结算'!E247&gt;=0,'幕间与结算'!G247='幕间与结算'!E247+'幕间与结算'!F247),OR(B340&lt;&gt;"成长",AND(LEFT(C340,3)="技能：",C340&lt;&gt;"技能：非自然知识",'幕间与结算'!E247&gt;=1,'幕间与结算'!E247&lt;=99,'幕间与结算'!F247&gt;=0,'幕间与结算'!F247&lt;=4,'幕间与结算'!G247&lt;=99))),1,0)</x:f>
        <x:v>0</x:v>
      </x:c>
      <x:c r="H340">
        <x:f>IF(AND(G340=1,COUNTIFS($I$200:I340,I340,$G$200:G340,1)=1),1,0)</x:f>
        <x:v>0</x:v>
      </x:c>
      <x:c r="I340" t="str">
        <x:f>IF(G340=1,IF(B340="成长",A340&amp;"-成长-"&amp;C340,'幕间与结算'!I247),"")</x:f>
        <x:v/>
      </x:c>
      <x:c r="BF340">
        <x:f>MAX(0,MIN(18,BF339+IF(C340="力量",E340,0)))</x:f>
        <x:v>0</x:v>
      </x:c>
      <x:c r="BG340">
        <x:f>MAX(0,MIN(18,BG339+IF(C340="体质",E340,0)))</x:f>
        <x:v>0</x:v>
      </x:c>
      <x:c r="BH340">
        <x:f>MAX(0,MIN(18,BH339+IF(C340="敏捷",E340,0)))</x:f>
        <x:v>0</x:v>
      </x:c>
      <x:c r="BI340">
        <x:f>MAX(0,MIN(18,BI339+IF(C340="智力",E340,0)))</x:f>
        <x:v>0</x:v>
      </x:c>
      <x:c r="BJ340">
        <x:f>MAX(0,MIN(18,BJ339+IF(C340="意志",E340,0)))</x:f>
        <x:v>0</x:v>
      </x:c>
      <x:c r="BK340">
        <x:f>MAX(0,MIN(18,BK339+IF(C340="魅力",E340,0)))</x:f>
        <x:v>0</x:v>
      </x:c>
      <x:c r="BL340">
        <x:f>MAX(0,MIN(99,BL339+IF(C340="技能：非自然知识",E340,0)))</x:f>
        <x:v>0</x:v>
      </x:c>
      <x:c r="BM340">
        <x:f>MAX(0,MIN(CEILING((BF340+BG340)/2,1),BM339+IF(C340="体力",E340,0)))</x:f>
        <x:v>0</x:v>
      </x:c>
      <x:c r="BN340">
        <x:f>MAX(0,MIN(BJ340,BN339+IF(C340="毅力",E340,0)))</x:f>
        <x:v>0</x:v>
      </x:c>
      <x:c r="BO340">
        <x:f>MAX(0,MIN(99-BL340,BO339+IF(C340="理智",E340,0)))</x:f>
        <x:v>0</x:v>
      </x:c>
      <x:c r="BP340">
        <x:f>MAX(0,MIN(99,BP339+IF(C340="崩溃点",E340,0)))</x:f>
        <x:v>0</x:v>
      </x:c>
      <x:c r="BQ340">
        <x:f>MAX(0,MIN(BK340,IF(AND(H340=1,C340="重要关系1",LEFT('幕间与结算'!H247,8)="建立新的重要关系"),'幕间与结算'!E247+E340,BQ339+IF(C340="重要关系1",E340,0)+IF(AND(C340="魅力",E340&lt;0),E340,0))))</x:f>
        <x:v>0</x:v>
      </x:c>
      <x:c r="BR340">
        <x:f>MAX(0,MIN(BK340,IF(AND(H340=1,C340="重要关系2",LEFT('幕间与结算'!H247,8)="建立新的重要关系"),'幕间与结算'!E247+E340,BR339+IF(C340="重要关系2",E340,0)+IF(AND(C340="魅力",E340&lt;0),E340,0))))</x:f>
        <x:v>0</x:v>
      </x:c>
      <x:c r="BS340">
        <x:f>MAX(0,MIN(BK340,IF(AND(H340=1,C340="重要关系3",LEFT('幕间与结算'!H247,8)="建立新的重要关系"),'幕间与结算'!E247+E340,BS339+IF(C340="重要关系3",E340,0)+IF(AND(C340="魅力",E340&lt;0),E340,0))))</x:f>
        <x:v>0</x:v>
      </x:c>
      <x:c r="BT340">
        <x:f>MAX(0,MIN(BK340,IF(AND(H340=1,C340="重要关系4",LEFT('幕间与结算'!H247,8)="建立新的重要关系"),'幕间与结算'!E247+E340,BT339+IF(C340="重要关系4",E340,0)+IF(AND(C340="魅力",E340&lt;0),E340,0))))</x:f>
        <x:v>0</x:v>
      </x:c>
      <x:c r="BU340">
        <x:f>MAX(0,MIN(BK340,IF(AND(H340=1,C340="重要关系5",LEFT('幕间与结算'!H247,8)="建立新的重要关系"),'幕间与结算'!E247+E340,BU339+IF(C340="重要关系5",E340,0)+IF(AND(C340="魅力",E340&lt;0),E340,0))))</x:f>
        <x:v>0</x:v>
      </x:c>
      <x:c r="BV340">
        <x:f>MAX(0,MIN(BK340,IF(AND(H340=1,C340="重要关系6",LEFT('幕间与结算'!H247,8)="建立新的重要关系"),'幕间与结算'!E247+E340,BV339+IF(C340="重要关系6",E340,0)+IF(AND(C340="魅力",E340&lt;0),E340,0))))</x:f>
        <x:v>0</x:v>
      </x:c>
      <x:c r="BW340">
        <x:f>MAX(0,MIN(BK340,IF(AND(H340=1,C340="重要关系7",LEFT('幕间与结算'!H247,8)="建立新的重要关系"),'幕间与结算'!E247+E340,BW339+IF(C340="重要关系7",E340,0)+IF(AND(C340="魅力",E340&lt;0),E340,0))))</x:f>
        <x:v>0</x:v>
      </x:c>
    </x:row>
    <x:row r="341">
      <x:c r="A341" t="str">
        <x:f>IFERROR(TEXT(VALUE('幕间与结算'!A248),"00"),"")</x:f>
        <x:v>00</x:v>
      </x:c>
      <x:c r="B341">
        <x:f>'幕间与结算'!B248</x:f>
        <x:v>0</x:v>
      </x:c>
      <x:c r="C341">
        <x:f>'幕间与结算'!D248</x:f>
        <x:v>0</x:v>
      </x:c>
      <x:c r="D341">
        <x:f>'幕间与结算'!F248</x:f>
        <x:v>0</x:v>
      </x:c>
      <x:c r="E341">
        <x:f>IF(H341=1,MAX(-'幕间与结算'!E248,MIN(D341,IF(LEFT(C341,3)="技能：",99,IF(COUNTIF($L$2:$L$7,C341)&gt;0,18,999))-'幕间与结算'!E248)),0)</x:f>
        <x:v>0</x:v>
      </x:c>
      <x:c r="F341" t="str">
        <x:f>IF(C341=0,"",IF(G341=0,"记录不完整",IF(H341=0,"重复未计","已计入")))</x:f>
        <x:v/>
      </x:c>
      <x:c r="G341">
        <x:f>IF(AND(AND('幕间与结算'!A248&lt;&gt;"",'幕间与结算'!B248&lt;&gt;"",'幕间与结算'!I248&lt;&gt;"",OR(LEFT(C341,3)="技能：",COUNTIF($L$2:$L$19,C341)&gt;0),ISNUMBER('幕间与结算'!E248),ISNUMBER('幕间与结算'!F248),ISNUMBER('幕间与结算'!G248),'幕间与结算'!E248&gt;=0,'幕间与结算'!G248='幕间与结算'!E248+'幕间与结算'!F248),OR(B341&lt;&gt;"成长",AND(LEFT(C341,3)="技能：",C341&lt;&gt;"技能：非自然知识",'幕间与结算'!E248&gt;=1,'幕间与结算'!E248&lt;=99,'幕间与结算'!F248&gt;=0,'幕间与结算'!F248&lt;=4,'幕间与结算'!G248&lt;=99))),1,0)</x:f>
        <x:v>0</x:v>
      </x:c>
      <x:c r="H341">
        <x:f>IF(AND(G341=1,COUNTIFS($I$200:I341,I341,$G$200:G341,1)=1),1,0)</x:f>
        <x:v>0</x:v>
      </x:c>
      <x:c r="I341" t="str">
        <x:f>IF(G341=1,IF(B341="成长",A341&amp;"-成长-"&amp;C341,'幕间与结算'!I248),"")</x:f>
        <x:v/>
      </x:c>
      <x:c r="BF341">
        <x:f>MAX(0,MIN(18,BF340+IF(C341="力量",E341,0)))</x:f>
        <x:v>0</x:v>
      </x:c>
      <x:c r="BG341">
        <x:f>MAX(0,MIN(18,BG340+IF(C341="体质",E341,0)))</x:f>
        <x:v>0</x:v>
      </x:c>
      <x:c r="BH341">
        <x:f>MAX(0,MIN(18,BH340+IF(C341="敏捷",E341,0)))</x:f>
        <x:v>0</x:v>
      </x:c>
      <x:c r="BI341">
        <x:f>MAX(0,MIN(18,BI340+IF(C341="智力",E341,0)))</x:f>
        <x:v>0</x:v>
      </x:c>
      <x:c r="BJ341">
        <x:f>MAX(0,MIN(18,BJ340+IF(C341="意志",E341,0)))</x:f>
        <x:v>0</x:v>
      </x:c>
      <x:c r="BK341">
        <x:f>MAX(0,MIN(18,BK340+IF(C341="魅力",E341,0)))</x:f>
        <x:v>0</x:v>
      </x:c>
      <x:c r="BL341">
        <x:f>MAX(0,MIN(99,BL340+IF(C341="技能：非自然知识",E341,0)))</x:f>
        <x:v>0</x:v>
      </x:c>
      <x:c r="BM341">
        <x:f>MAX(0,MIN(CEILING((BF341+BG341)/2,1),BM340+IF(C341="体力",E341,0)))</x:f>
        <x:v>0</x:v>
      </x:c>
      <x:c r="BN341">
        <x:f>MAX(0,MIN(BJ341,BN340+IF(C341="毅力",E341,0)))</x:f>
        <x:v>0</x:v>
      </x:c>
      <x:c r="BO341">
        <x:f>MAX(0,MIN(99-BL341,BO340+IF(C341="理智",E341,0)))</x:f>
        <x:v>0</x:v>
      </x:c>
      <x:c r="BP341">
        <x:f>MAX(0,MIN(99,BP340+IF(C341="崩溃点",E341,0)))</x:f>
        <x:v>0</x:v>
      </x:c>
      <x:c r="BQ341">
        <x:f>MAX(0,MIN(BK341,IF(AND(H341=1,C341="重要关系1",LEFT('幕间与结算'!H248,8)="建立新的重要关系"),'幕间与结算'!E248+E341,BQ340+IF(C341="重要关系1",E341,0)+IF(AND(C341="魅力",E341&lt;0),E341,0))))</x:f>
        <x:v>0</x:v>
      </x:c>
      <x:c r="BR341">
        <x:f>MAX(0,MIN(BK341,IF(AND(H341=1,C341="重要关系2",LEFT('幕间与结算'!H248,8)="建立新的重要关系"),'幕间与结算'!E248+E341,BR340+IF(C341="重要关系2",E341,0)+IF(AND(C341="魅力",E341&lt;0),E341,0))))</x:f>
        <x:v>0</x:v>
      </x:c>
      <x:c r="BS341">
        <x:f>MAX(0,MIN(BK341,IF(AND(H341=1,C341="重要关系3",LEFT('幕间与结算'!H248,8)="建立新的重要关系"),'幕间与结算'!E248+E341,BS340+IF(C341="重要关系3",E341,0)+IF(AND(C341="魅力",E341&lt;0),E341,0))))</x:f>
        <x:v>0</x:v>
      </x:c>
      <x:c r="BT341">
        <x:f>MAX(0,MIN(BK341,IF(AND(H341=1,C341="重要关系4",LEFT('幕间与结算'!H248,8)="建立新的重要关系"),'幕间与结算'!E248+E341,BT340+IF(C341="重要关系4",E341,0)+IF(AND(C341="魅力",E341&lt;0),E341,0))))</x:f>
        <x:v>0</x:v>
      </x:c>
      <x:c r="BU341">
        <x:f>MAX(0,MIN(BK341,IF(AND(H341=1,C341="重要关系5",LEFT('幕间与结算'!H248,8)="建立新的重要关系"),'幕间与结算'!E248+E341,BU340+IF(C341="重要关系5",E341,0)+IF(AND(C341="魅力",E341&lt;0),E341,0))))</x:f>
        <x:v>0</x:v>
      </x:c>
      <x:c r="BV341">
        <x:f>MAX(0,MIN(BK341,IF(AND(H341=1,C341="重要关系6",LEFT('幕间与结算'!H248,8)="建立新的重要关系"),'幕间与结算'!E248+E341,BV340+IF(C341="重要关系6",E341,0)+IF(AND(C341="魅力",E341&lt;0),E341,0))))</x:f>
        <x:v>0</x:v>
      </x:c>
      <x:c r="BW341">
        <x:f>MAX(0,MIN(BK341,IF(AND(H341=1,C341="重要关系7",LEFT('幕间与结算'!H248,8)="建立新的重要关系"),'幕间与结算'!E248+E341,BW340+IF(C341="重要关系7",E341,0)+IF(AND(C341="魅力",E341&lt;0),E341,0))))</x:f>
        <x:v>0</x:v>
      </x:c>
    </x:row>
    <x:row r="342">
      <x:c r="A342" t="str">
        <x:f>IFERROR(TEXT(VALUE('幕间与结算'!A249),"00"),"")</x:f>
        <x:v>00</x:v>
      </x:c>
      <x:c r="B342">
        <x:f>'幕间与结算'!B249</x:f>
        <x:v>0</x:v>
      </x:c>
      <x:c r="C342">
        <x:f>'幕间与结算'!D249</x:f>
        <x:v>0</x:v>
      </x:c>
      <x:c r="D342">
        <x:f>'幕间与结算'!F249</x:f>
        <x:v>0</x:v>
      </x:c>
      <x:c r="E342">
        <x:f>IF(H342=1,MAX(-'幕间与结算'!E249,MIN(D342,IF(LEFT(C342,3)="技能：",99,IF(COUNTIF($L$2:$L$7,C342)&gt;0,18,999))-'幕间与结算'!E249)),0)</x:f>
        <x:v>0</x:v>
      </x:c>
      <x:c r="F342" t="str">
        <x:f>IF(C342=0,"",IF(G342=0,"记录不完整",IF(H342=0,"重复未计","已计入")))</x:f>
        <x:v/>
      </x:c>
      <x:c r="G342">
        <x:f>IF(AND(AND('幕间与结算'!A249&lt;&gt;"",'幕间与结算'!B249&lt;&gt;"",'幕间与结算'!I249&lt;&gt;"",OR(LEFT(C342,3)="技能：",COUNTIF($L$2:$L$19,C342)&gt;0),ISNUMBER('幕间与结算'!E249),ISNUMBER('幕间与结算'!F249),ISNUMBER('幕间与结算'!G249),'幕间与结算'!E249&gt;=0,'幕间与结算'!G249='幕间与结算'!E249+'幕间与结算'!F249),OR(B342&lt;&gt;"成长",AND(LEFT(C342,3)="技能：",C342&lt;&gt;"技能：非自然知识",'幕间与结算'!E249&gt;=1,'幕间与结算'!E249&lt;=99,'幕间与结算'!F249&gt;=0,'幕间与结算'!F249&lt;=4,'幕间与结算'!G249&lt;=99))),1,0)</x:f>
        <x:v>0</x:v>
      </x:c>
      <x:c r="H342">
        <x:f>IF(AND(G342=1,COUNTIFS($I$200:I342,I342,$G$200:G342,1)=1),1,0)</x:f>
        <x:v>0</x:v>
      </x:c>
      <x:c r="I342" t="str">
        <x:f>IF(G342=1,IF(B342="成长",A342&amp;"-成长-"&amp;C342,'幕间与结算'!I249),"")</x:f>
        <x:v/>
      </x:c>
      <x:c r="BF342">
        <x:f>MAX(0,MIN(18,BF341+IF(C342="力量",E342,0)))</x:f>
        <x:v>0</x:v>
      </x:c>
      <x:c r="BG342">
        <x:f>MAX(0,MIN(18,BG341+IF(C342="体质",E342,0)))</x:f>
        <x:v>0</x:v>
      </x:c>
      <x:c r="BH342">
        <x:f>MAX(0,MIN(18,BH341+IF(C342="敏捷",E342,0)))</x:f>
        <x:v>0</x:v>
      </x:c>
      <x:c r="BI342">
        <x:f>MAX(0,MIN(18,BI341+IF(C342="智力",E342,0)))</x:f>
        <x:v>0</x:v>
      </x:c>
      <x:c r="BJ342">
        <x:f>MAX(0,MIN(18,BJ341+IF(C342="意志",E342,0)))</x:f>
        <x:v>0</x:v>
      </x:c>
      <x:c r="BK342">
        <x:f>MAX(0,MIN(18,BK341+IF(C342="魅力",E342,0)))</x:f>
        <x:v>0</x:v>
      </x:c>
      <x:c r="BL342">
        <x:f>MAX(0,MIN(99,BL341+IF(C342="技能：非自然知识",E342,0)))</x:f>
        <x:v>0</x:v>
      </x:c>
      <x:c r="BM342">
        <x:f>MAX(0,MIN(CEILING((BF342+BG342)/2,1),BM341+IF(C342="体力",E342,0)))</x:f>
        <x:v>0</x:v>
      </x:c>
      <x:c r="BN342">
        <x:f>MAX(0,MIN(BJ342,BN341+IF(C342="毅力",E342,0)))</x:f>
        <x:v>0</x:v>
      </x:c>
      <x:c r="BO342">
        <x:f>MAX(0,MIN(99-BL342,BO341+IF(C342="理智",E342,0)))</x:f>
        <x:v>0</x:v>
      </x:c>
      <x:c r="BP342">
        <x:f>MAX(0,MIN(99,BP341+IF(C342="崩溃点",E342,0)))</x:f>
        <x:v>0</x:v>
      </x:c>
      <x:c r="BQ342">
        <x:f>MAX(0,MIN(BK342,IF(AND(H342=1,C342="重要关系1",LEFT('幕间与结算'!H249,8)="建立新的重要关系"),'幕间与结算'!E249+E342,BQ341+IF(C342="重要关系1",E342,0)+IF(AND(C342="魅力",E342&lt;0),E342,0))))</x:f>
        <x:v>0</x:v>
      </x:c>
      <x:c r="BR342">
        <x:f>MAX(0,MIN(BK342,IF(AND(H342=1,C342="重要关系2",LEFT('幕间与结算'!H249,8)="建立新的重要关系"),'幕间与结算'!E249+E342,BR341+IF(C342="重要关系2",E342,0)+IF(AND(C342="魅力",E342&lt;0),E342,0))))</x:f>
        <x:v>0</x:v>
      </x:c>
      <x:c r="BS342">
        <x:f>MAX(0,MIN(BK342,IF(AND(H342=1,C342="重要关系3",LEFT('幕间与结算'!H249,8)="建立新的重要关系"),'幕间与结算'!E249+E342,BS341+IF(C342="重要关系3",E342,0)+IF(AND(C342="魅力",E342&lt;0),E342,0))))</x:f>
        <x:v>0</x:v>
      </x:c>
      <x:c r="BT342">
        <x:f>MAX(0,MIN(BK342,IF(AND(H342=1,C342="重要关系4",LEFT('幕间与结算'!H249,8)="建立新的重要关系"),'幕间与结算'!E249+E342,BT341+IF(C342="重要关系4",E342,0)+IF(AND(C342="魅力",E342&lt;0),E342,0))))</x:f>
        <x:v>0</x:v>
      </x:c>
      <x:c r="BU342">
        <x:f>MAX(0,MIN(BK342,IF(AND(H342=1,C342="重要关系5",LEFT('幕间与结算'!H249,8)="建立新的重要关系"),'幕间与结算'!E249+E342,BU341+IF(C342="重要关系5",E342,0)+IF(AND(C342="魅力",E342&lt;0),E342,0))))</x:f>
        <x:v>0</x:v>
      </x:c>
      <x:c r="BV342">
        <x:f>MAX(0,MIN(BK342,IF(AND(H342=1,C342="重要关系6",LEFT('幕间与结算'!H249,8)="建立新的重要关系"),'幕间与结算'!E249+E342,BV341+IF(C342="重要关系6",E342,0)+IF(AND(C342="魅力",E342&lt;0),E342,0))))</x:f>
        <x:v>0</x:v>
      </x:c>
      <x:c r="BW342">
        <x:f>MAX(0,MIN(BK342,IF(AND(H342=1,C342="重要关系7",LEFT('幕间与结算'!H249,8)="建立新的重要关系"),'幕间与结算'!E249+E342,BW341+IF(C342="重要关系7",E342,0)+IF(AND(C342="魅力",E342&lt;0),E342,0))))</x:f>
        <x:v>0</x:v>
      </x:c>
    </x:row>
    <x:row r="343">
      <x:c r="A343" t="str">
        <x:f>IFERROR(TEXT(VALUE('幕间与结算'!A250),"00"),"")</x:f>
        <x:v>00</x:v>
      </x:c>
      <x:c r="B343">
        <x:f>'幕间与结算'!B250</x:f>
        <x:v>0</x:v>
      </x:c>
      <x:c r="C343">
        <x:f>'幕间与结算'!D250</x:f>
        <x:v>0</x:v>
      </x:c>
      <x:c r="D343">
        <x:f>'幕间与结算'!F250</x:f>
        <x:v>0</x:v>
      </x:c>
      <x:c r="E343">
        <x:f>IF(H343=1,MAX(-'幕间与结算'!E250,MIN(D343,IF(LEFT(C343,3)="技能：",99,IF(COUNTIF($L$2:$L$7,C343)&gt;0,18,999))-'幕间与结算'!E250)),0)</x:f>
        <x:v>0</x:v>
      </x:c>
      <x:c r="F343" t="str">
        <x:f>IF(C343=0,"",IF(G343=0,"记录不完整",IF(H343=0,"重复未计","已计入")))</x:f>
        <x:v/>
      </x:c>
      <x:c r="G343">
        <x:f>IF(AND(AND('幕间与结算'!A250&lt;&gt;"",'幕间与结算'!B250&lt;&gt;"",'幕间与结算'!I250&lt;&gt;"",OR(LEFT(C343,3)="技能：",COUNTIF($L$2:$L$19,C343)&gt;0),ISNUMBER('幕间与结算'!E250),ISNUMBER('幕间与结算'!F250),ISNUMBER('幕间与结算'!G250),'幕间与结算'!E250&gt;=0,'幕间与结算'!G250='幕间与结算'!E250+'幕间与结算'!F250),OR(B343&lt;&gt;"成长",AND(LEFT(C343,3)="技能：",C343&lt;&gt;"技能：非自然知识",'幕间与结算'!E250&gt;=1,'幕间与结算'!E250&lt;=99,'幕间与结算'!F250&gt;=0,'幕间与结算'!F250&lt;=4,'幕间与结算'!G250&lt;=99))),1,0)</x:f>
        <x:v>0</x:v>
      </x:c>
      <x:c r="H343">
        <x:f>IF(AND(G343=1,COUNTIFS($I$200:I343,I343,$G$200:G343,1)=1),1,0)</x:f>
        <x:v>0</x:v>
      </x:c>
      <x:c r="I343" t="str">
        <x:f>IF(G343=1,IF(B343="成长",A343&amp;"-成长-"&amp;C343,'幕间与结算'!I250),"")</x:f>
        <x:v/>
      </x:c>
      <x:c r="BF343">
        <x:f>MAX(0,MIN(18,BF342+IF(C343="力量",E343,0)))</x:f>
        <x:v>0</x:v>
      </x:c>
      <x:c r="BG343">
        <x:f>MAX(0,MIN(18,BG342+IF(C343="体质",E343,0)))</x:f>
        <x:v>0</x:v>
      </x:c>
      <x:c r="BH343">
        <x:f>MAX(0,MIN(18,BH342+IF(C343="敏捷",E343,0)))</x:f>
        <x:v>0</x:v>
      </x:c>
      <x:c r="BI343">
        <x:f>MAX(0,MIN(18,BI342+IF(C343="智力",E343,0)))</x:f>
        <x:v>0</x:v>
      </x:c>
      <x:c r="BJ343">
        <x:f>MAX(0,MIN(18,BJ342+IF(C343="意志",E343,0)))</x:f>
        <x:v>0</x:v>
      </x:c>
      <x:c r="BK343">
        <x:f>MAX(0,MIN(18,BK342+IF(C343="魅力",E343,0)))</x:f>
        <x:v>0</x:v>
      </x:c>
      <x:c r="BL343">
        <x:f>MAX(0,MIN(99,BL342+IF(C343="技能：非自然知识",E343,0)))</x:f>
        <x:v>0</x:v>
      </x:c>
      <x:c r="BM343">
        <x:f>MAX(0,MIN(CEILING((BF343+BG343)/2,1),BM342+IF(C343="体力",E343,0)))</x:f>
        <x:v>0</x:v>
      </x:c>
      <x:c r="BN343">
        <x:f>MAX(0,MIN(BJ343,BN342+IF(C343="毅力",E343,0)))</x:f>
        <x:v>0</x:v>
      </x:c>
      <x:c r="BO343">
        <x:f>MAX(0,MIN(99-BL343,BO342+IF(C343="理智",E343,0)))</x:f>
        <x:v>0</x:v>
      </x:c>
      <x:c r="BP343">
        <x:f>MAX(0,MIN(99,BP342+IF(C343="崩溃点",E343,0)))</x:f>
        <x:v>0</x:v>
      </x:c>
      <x:c r="BQ343">
        <x:f>MAX(0,MIN(BK343,IF(AND(H343=1,C343="重要关系1",LEFT('幕间与结算'!H250,8)="建立新的重要关系"),'幕间与结算'!E250+E343,BQ342+IF(C343="重要关系1",E343,0)+IF(AND(C343="魅力",E343&lt;0),E343,0))))</x:f>
        <x:v>0</x:v>
      </x:c>
      <x:c r="BR343">
        <x:f>MAX(0,MIN(BK343,IF(AND(H343=1,C343="重要关系2",LEFT('幕间与结算'!H250,8)="建立新的重要关系"),'幕间与结算'!E250+E343,BR342+IF(C343="重要关系2",E343,0)+IF(AND(C343="魅力",E343&lt;0),E343,0))))</x:f>
        <x:v>0</x:v>
      </x:c>
      <x:c r="BS343">
        <x:f>MAX(0,MIN(BK343,IF(AND(H343=1,C343="重要关系3",LEFT('幕间与结算'!H250,8)="建立新的重要关系"),'幕间与结算'!E250+E343,BS342+IF(C343="重要关系3",E343,0)+IF(AND(C343="魅力",E343&lt;0),E343,0))))</x:f>
        <x:v>0</x:v>
      </x:c>
      <x:c r="BT343">
        <x:f>MAX(0,MIN(BK343,IF(AND(H343=1,C343="重要关系4",LEFT('幕间与结算'!H250,8)="建立新的重要关系"),'幕间与结算'!E250+E343,BT342+IF(C343="重要关系4",E343,0)+IF(AND(C343="魅力",E343&lt;0),E343,0))))</x:f>
        <x:v>0</x:v>
      </x:c>
      <x:c r="BU343">
        <x:f>MAX(0,MIN(BK343,IF(AND(H343=1,C343="重要关系5",LEFT('幕间与结算'!H250,8)="建立新的重要关系"),'幕间与结算'!E250+E343,BU342+IF(C343="重要关系5",E343,0)+IF(AND(C343="魅力",E343&lt;0),E343,0))))</x:f>
        <x:v>0</x:v>
      </x:c>
      <x:c r="BV343">
        <x:f>MAX(0,MIN(BK343,IF(AND(H343=1,C343="重要关系6",LEFT('幕间与结算'!H250,8)="建立新的重要关系"),'幕间与结算'!E250+E343,BV342+IF(C343="重要关系6",E343,0)+IF(AND(C343="魅力",E343&lt;0),E343,0))))</x:f>
        <x:v>0</x:v>
      </x:c>
      <x:c r="BW343">
        <x:f>MAX(0,MIN(BK343,IF(AND(H343=1,C343="重要关系7",LEFT('幕间与结算'!H250,8)="建立新的重要关系"),'幕间与结算'!E250+E343,BW342+IF(C343="重要关系7",E343,0)+IF(AND(C343="魅力",E343&lt;0),E343,0))))</x:f>
        <x:v>0</x:v>
      </x:c>
    </x:row>
    <x:row r="344">
      <x:c r="A344" t="str">
        <x:f>IFERROR(TEXT(VALUE('幕间与结算'!A251),"00"),"")</x:f>
        <x:v>00</x:v>
      </x:c>
      <x:c r="B344">
        <x:f>'幕间与结算'!B251</x:f>
        <x:v>0</x:v>
      </x:c>
      <x:c r="C344">
        <x:f>'幕间与结算'!D251</x:f>
        <x:v>0</x:v>
      </x:c>
      <x:c r="D344">
        <x:f>'幕间与结算'!F251</x:f>
        <x:v>0</x:v>
      </x:c>
      <x:c r="E344">
        <x:f>IF(H344=1,MAX(-'幕间与结算'!E251,MIN(D344,IF(LEFT(C344,3)="技能：",99,IF(COUNTIF($L$2:$L$7,C344)&gt;0,18,999))-'幕间与结算'!E251)),0)</x:f>
        <x:v>0</x:v>
      </x:c>
      <x:c r="F344" t="str">
        <x:f>IF(C344=0,"",IF(G344=0,"记录不完整",IF(H344=0,"重复未计","已计入")))</x:f>
        <x:v/>
      </x:c>
      <x:c r="G344">
        <x:f>IF(AND(AND('幕间与结算'!A251&lt;&gt;"",'幕间与结算'!B251&lt;&gt;"",'幕间与结算'!I251&lt;&gt;"",OR(LEFT(C344,3)="技能：",COUNTIF($L$2:$L$19,C344)&gt;0),ISNUMBER('幕间与结算'!E251),ISNUMBER('幕间与结算'!F251),ISNUMBER('幕间与结算'!G251),'幕间与结算'!E251&gt;=0,'幕间与结算'!G251='幕间与结算'!E251+'幕间与结算'!F251),OR(B344&lt;&gt;"成长",AND(LEFT(C344,3)="技能：",C344&lt;&gt;"技能：非自然知识",'幕间与结算'!E251&gt;=1,'幕间与结算'!E251&lt;=99,'幕间与结算'!F251&gt;=0,'幕间与结算'!F251&lt;=4,'幕间与结算'!G251&lt;=99))),1,0)</x:f>
        <x:v>0</x:v>
      </x:c>
      <x:c r="H344">
        <x:f>IF(AND(G344=1,COUNTIFS($I$200:I344,I344,$G$200:G344,1)=1),1,0)</x:f>
        <x:v>0</x:v>
      </x:c>
      <x:c r="I344" t="str">
        <x:f>IF(G344=1,IF(B344="成长",A344&amp;"-成长-"&amp;C344,'幕间与结算'!I251),"")</x:f>
        <x:v/>
      </x:c>
      <x:c r="BF344">
        <x:f>MAX(0,MIN(18,BF343+IF(C344="力量",E344,0)))</x:f>
        <x:v>0</x:v>
      </x:c>
      <x:c r="BG344">
        <x:f>MAX(0,MIN(18,BG343+IF(C344="体质",E344,0)))</x:f>
        <x:v>0</x:v>
      </x:c>
      <x:c r="BH344">
        <x:f>MAX(0,MIN(18,BH343+IF(C344="敏捷",E344,0)))</x:f>
        <x:v>0</x:v>
      </x:c>
      <x:c r="BI344">
        <x:f>MAX(0,MIN(18,BI343+IF(C344="智力",E344,0)))</x:f>
        <x:v>0</x:v>
      </x:c>
      <x:c r="BJ344">
        <x:f>MAX(0,MIN(18,BJ343+IF(C344="意志",E344,0)))</x:f>
        <x:v>0</x:v>
      </x:c>
      <x:c r="BK344">
        <x:f>MAX(0,MIN(18,BK343+IF(C344="魅力",E344,0)))</x:f>
        <x:v>0</x:v>
      </x:c>
      <x:c r="BL344">
        <x:f>MAX(0,MIN(99,BL343+IF(C344="技能：非自然知识",E344,0)))</x:f>
        <x:v>0</x:v>
      </x:c>
      <x:c r="BM344">
        <x:f>MAX(0,MIN(CEILING((BF344+BG344)/2,1),BM343+IF(C344="体力",E344,0)))</x:f>
        <x:v>0</x:v>
      </x:c>
      <x:c r="BN344">
        <x:f>MAX(0,MIN(BJ344,BN343+IF(C344="毅力",E344,0)))</x:f>
        <x:v>0</x:v>
      </x:c>
      <x:c r="BO344">
        <x:f>MAX(0,MIN(99-BL344,BO343+IF(C344="理智",E344,0)))</x:f>
        <x:v>0</x:v>
      </x:c>
      <x:c r="BP344">
        <x:f>MAX(0,MIN(99,BP343+IF(C344="崩溃点",E344,0)))</x:f>
        <x:v>0</x:v>
      </x:c>
      <x:c r="BQ344">
        <x:f>MAX(0,MIN(BK344,IF(AND(H344=1,C344="重要关系1",LEFT('幕间与结算'!H251,8)="建立新的重要关系"),'幕间与结算'!E251+E344,BQ343+IF(C344="重要关系1",E344,0)+IF(AND(C344="魅力",E344&lt;0),E344,0))))</x:f>
        <x:v>0</x:v>
      </x:c>
      <x:c r="BR344">
        <x:f>MAX(0,MIN(BK344,IF(AND(H344=1,C344="重要关系2",LEFT('幕间与结算'!H251,8)="建立新的重要关系"),'幕间与结算'!E251+E344,BR343+IF(C344="重要关系2",E344,0)+IF(AND(C344="魅力",E344&lt;0),E344,0))))</x:f>
        <x:v>0</x:v>
      </x:c>
      <x:c r="BS344">
        <x:f>MAX(0,MIN(BK344,IF(AND(H344=1,C344="重要关系3",LEFT('幕间与结算'!H251,8)="建立新的重要关系"),'幕间与结算'!E251+E344,BS343+IF(C344="重要关系3",E344,0)+IF(AND(C344="魅力",E344&lt;0),E344,0))))</x:f>
        <x:v>0</x:v>
      </x:c>
      <x:c r="BT344">
        <x:f>MAX(0,MIN(BK344,IF(AND(H344=1,C344="重要关系4",LEFT('幕间与结算'!H251,8)="建立新的重要关系"),'幕间与结算'!E251+E344,BT343+IF(C344="重要关系4",E344,0)+IF(AND(C344="魅力",E344&lt;0),E344,0))))</x:f>
        <x:v>0</x:v>
      </x:c>
      <x:c r="BU344">
        <x:f>MAX(0,MIN(BK344,IF(AND(H344=1,C344="重要关系5",LEFT('幕间与结算'!H251,8)="建立新的重要关系"),'幕间与结算'!E251+E344,BU343+IF(C344="重要关系5",E344,0)+IF(AND(C344="魅力",E344&lt;0),E344,0))))</x:f>
        <x:v>0</x:v>
      </x:c>
      <x:c r="BV344">
        <x:f>MAX(0,MIN(BK344,IF(AND(H344=1,C344="重要关系6",LEFT('幕间与结算'!H251,8)="建立新的重要关系"),'幕间与结算'!E251+E344,BV343+IF(C344="重要关系6",E344,0)+IF(AND(C344="魅力",E344&lt;0),E344,0))))</x:f>
        <x:v>0</x:v>
      </x:c>
      <x:c r="BW344">
        <x:f>MAX(0,MIN(BK344,IF(AND(H344=1,C344="重要关系7",LEFT('幕间与结算'!H251,8)="建立新的重要关系"),'幕间与结算'!E251+E344,BW343+IF(C344="重要关系7",E344,0)+IF(AND(C344="魅力",E344&lt;0),E344,0))))</x:f>
        <x:v>0</x:v>
      </x:c>
    </x:row>
    <x:row r="345">
      <x:c r="A345" t="str">
        <x:f>IFERROR(TEXT(VALUE('幕间与结算'!A252),"00"),"")</x:f>
        <x:v>00</x:v>
      </x:c>
      <x:c r="B345">
        <x:f>'幕间与结算'!B252</x:f>
        <x:v>0</x:v>
      </x:c>
      <x:c r="C345">
        <x:f>'幕间与结算'!D252</x:f>
        <x:v>0</x:v>
      </x:c>
      <x:c r="D345">
        <x:f>'幕间与结算'!F252</x:f>
        <x:v>0</x:v>
      </x:c>
      <x:c r="E345">
        <x:f>IF(H345=1,MAX(-'幕间与结算'!E252,MIN(D345,IF(LEFT(C345,3)="技能：",99,IF(COUNTIF($L$2:$L$7,C345)&gt;0,18,999))-'幕间与结算'!E252)),0)</x:f>
        <x:v>0</x:v>
      </x:c>
      <x:c r="F345" t="str">
        <x:f>IF(C345=0,"",IF(G345=0,"记录不完整",IF(H345=0,"重复未计","已计入")))</x:f>
        <x:v/>
      </x:c>
      <x:c r="G345">
        <x:f>IF(AND(AND('幕间与结算'!A252&lt;&gt;"",'幕间与结算'!B252&lt;&gt;"",'幕间与结算'!I252&lt;&gt;"",OR(LEFT(C345,3)="技能：",COUNTIF($L$2:$L$19,C345)&gt;0),ISNUMBER('幕间与结算'!E252),ISNUMBER('幕间与结算'!F252),ISNUMBER('幕间与结算'!G252),'幕间与结算'!E252&gt;=0,'幕间与结算'!G252='幕间与结算'!E252+'幕间与结算'!F252),OR(B345&lt;&gt;"成长",AND(LEFT(C345,3)="技能：",C345&lt;&gt;"技能：非自然知识",'幕间与结算'!E252&gt;=1,'幕间与结算'!E252&lt;=99,'幕间与结算'!F252&gt;=0,'幕间与结算'!F252&lt;=4,'幕间与结算'!G252&lt;=99))),1,0)</x:f>
        <x:v>0</x:v>
      </x:c>
      <x:c r="H345">
        <x:f>IF(AND(G345=1,COUNTIFS($I$200:I345,I345,$G$200:G345,1)=1),1,0)</x:f>
        <x:v>0</x:v>
      </x:c>
      <x:c r="I345" t="str">
        <x:f>IF(G345=1,IF(B345="成长",A345&amp;"-成长-"&amp;C345,'幕间与结算'!I252),"")</x:f>
        <x:v/>
      </x:c>
      <x:c r="BF345">
        <x:f>MAX(0,MIN(18,BF344+IF(C345="力量",E345,0)))</x:f>
        <x:v>0</x:v>
      </x:c>
      <x:c r="BG345">
        <x:f>MAX(0,MIN(18,BG344+IF(C345="体质",E345,0)))</x:f>
        <x:v>0</x:v>
      </x:c>
      <x:c r="BH345">
        <x:f>MAX(0,MIN(18,BH344+IF(C345="敏捷",E345,0)))</x:f>
        <x:v>0</x:v>
      </x:c>
      <x:c r="BI345">
        <x:f>MAX(0,MIN(18,BI344+IF(C345="智力",E345,0)))</x:f>
        <x:v>0</x:v>
      </x:c>
      <x:c r="BJ345">
        <x:f>MAX(0,MIN(18,BJ344+IF(C345="意志",E345,0)))</x:f>
        <x:v>0</x:v>
      </x:c>
      <x:c r="BK345">
        <x:f>MAX(0,MIN(18,BK344+IF(C345="魅力",E345,0)))</x:f>
        <x:v>0</x:v>
      </x:c>
      <x:c r="BL345">
        <x:f>MAX(0,MIN(99,BL344+IF(C345="技能：非自然知识",E345,0)))</x:f>
        <x:v>0</x:v>
      </x:c>
      <x:c r="BM345">
        <x:f>MAX(0,MIN(CEILING((BF345+BG345)/2,1),BM344+IF(C345="体力",E345,0)))</x:f>
        <x:v>0</x:v>
      </x:c>
      <x:c r="BN345">
        <x:f>MAX(0,MIN(BJ345,BN344+IF(C345="毅力",E345,0)))</x:f>
        <x:v>0</x:v>
      </x:c>
      <x:c r="BO345">
        <x:f>MAX(0,MIN(99-BL345,BO344+IF(C345="理智",E345,0)))</x:f>
        <x:v>0</x:v>
      </x:c>
      <x:c r="BP345">
        <x:f>MAX(0,MIN(99,BP344+IF(C345="崩溃点",E345,0)))</x:f>
        <x:v>0</x:v>
      </x:c>
      <x:c r="BQ345">
        <x:f>MAX(0,MIN(BK345,IF(AND(H345=1,C345="重要关系1",LEFT('幕间与结算'!H252,8)="建立新的重要关系"),'幕间与结算'!E252+E345,BQ344+IF(C345="重要关系1",E345,0)+IF(AND(C345="魅力",E345&lt;0),E345,0))))</x:f>
        <x:v>0</x:v>
      </x:c>
      <x:c r="BR345">
        <x:f>MAX(0,MIN(BK345,IF(AND(H345=1,C345="重要关系2",LEFT('幕间与结算'!H252,8)="建立新的重要关系"),'幕间与结算'!E252+E345,BR344+IF(C345="重要关系2",E345,0)+IF(AND(C345="魅力",E345&lt;0),E345,0))))</x:f>
        <x:v>0</x:v>
      </x:c>
      <x:c r="BS345">
        <x:f>MAX(0,MIN(BK345,IF(AND(H345=1,C345="重要关系3",LEFT('幕间与结算'!H252,8)="建立新的重要关系"),'幕间与结算'!E252+E345,BS344+IF(C345="重要关系3",E345,0)+IF(AND(C345="魅力",E345&lt;0),E345,0))))</x:f>
        <x:v>0</x:v>
      </x:c>
      <x:c r="BT345">
        <x:f>MAX(0,MIN(BK345,IF(AND(H345=1,C345="重要关系4",LEFT('幕间与结算'!H252,8)="建立新的重要关系"),'幕间与结算'!E252+E345,BT344+IF(C345="重要关系4",E345,0)+IF(AND(C345="魅力",E345&lt;0),E345,0))))</x:f>
        <x:v>0</x:v>
      </x:c>
      <x:c r="BU345">
        <x:f>MAX(0,MIN(BK345,IF(AND(H345=1,C345="重要关系5",LEFT('幕间与结算'!H252,8)="建立新的重要关系"),'幕间与结算'!E252+E345,BU344+IF(C345="重要关系5",E345,0)+IF(AND(C345="魅力",E345&lt;0),E345,0))))</x:f>
        <x:v>0</x:v>
      </x:c>
      <x:c r="BV345">
        <x:f>MAX(0,MIN(BK345,IF(AND(H345=1,C345="重要关系6",LEFT('幕间与结算'!H252,8)="建立新的重要关系"),'幕间与结算'!E252+E345,BV344+IF(C345="重要关系6",E345,0)+IF(AND(C345="魅力",E345&lt;0),E345,0))))</x:f>
        <x:v>0</x:v>
      </x:c>
      <x:c r="BW345">
        <x:f>MAX(0,MIN(BK345,IF(AND(H345=1,C345="重要关系7",LEFT('幕间与结算'!H252,8)="建立新的重要关系"),'幕间与结算'!E252+E345,BW344+IF(C345="重要关系7",E345,0)+IF(AND(C345="魅力",E345&lt;0),E345,0))))</x:f>
        <x:v>0</x:v>
      </x:c>
    </x:row>
    <x:row r="346">
      <x:c r="A346" t="str">
        <x:f>IFERROR(TEXT(VALUE('幕间与结算'!A253),"00"),"")</x:f>
        <x:v>00</x:v>
      </x:c>
      <x:c r="B346">
        <x:f>'幕间与结算'!B253</x:f>
        <x:v>0</x:v>
      </x:c>
      <x:c r="C346">
        <x:f>'幕间与结算'!D253</x:f>
        <x:v>0</x:v>
      </x:c>
      <x:c r="D346">
        <x:f>'幕间与结算'!F253</x:f>
        <x:v>0</x:v>
      </x:c>
      <x:c r="E346">
        <x:f>IF(H346=1,MAX(-'幕间与结算'!E253,MIN(D346,IF(LEFT(C346,3)="技能：",99,IF(COUNTIF($L$2:$L$7,C346)&gt;0,18,999))-'幕间与结算'!E253)),0)</x:f>
        <x:v>0</x:v>
      </x:c>
      <x:c r="F346" t="str">
        <x:f>IF(C346=0,"",IF(G346=0,"记录不完整",IF(H346=0,"重复未计","已计入")))</x:f>
        <x:v/>
      </x:c>
      <x:c r="G346">
        <x:f>IF(AND(AND('幕间与结算'!A253&lt;&gt;"",'幕间与结算'!B253&lt;&gt;"",'幕间与结算'!I253&lt;&gt;"",OR(LEFT(C346,3)="技能：",COUNTIF($L$2:$L$19,C346)&gt;0),ISNUMBER('幕间与结算'!E253),ISNUMBER('幕间与结算'!F253),ISNUMBER('幕间与结算'!G253),'幕间与结算'!E253&gt;=0,'幕间与结算'!G253='幕间与结算'!E253+'幕间与结算'!F253),OR(B346&lt;&gt;"成长",AND(LEFT(C346,3)="技能：",C346&lt;&gt;"技能：非自然知识",'幕间与结算'!E253&gt;=1,'幕间与结算'!E253&lt;=99,'幕间与结算'!F253&gt;=0,'幕间与结算'!F253&lt;=4,'幕间与结算'!G253&lt;=99))),1,0)</x:f>
        <x:v>0</x:v>
      </x:c>
      <x:c r="H346">
        <x:f>IF(AND(G346=1,COUNTIFS($I$200:I346,I346,$G$200:G346,1)=1),1,0)</x:f>
        <x:v>0</x:v>
      </x:c>
      <x:c r="I346" t="str">
        <x:f>IF(G346=1,IF(B346="成长",A346&amp;"-成长-"&amp;C346,'幕间与结算'!I253),"")</x:f>
        <x:v/>
      </x:c>
      <x:c r="BF346">
        <x:f>MAX(0,MIN(18,BF345+IF(C346="力量",E346,0)))</x:f>
        <x:v>0</x:v>
      </x:c>
      <x:c r="BG346">
        <x:f>MAX(0,MIN(18,BG345+IF(C346="体质",E346,0)))</x:f>
        <x:v>0</x:v>
      </x:c>
      <x:c r="BH346">
        <x:f>MAX(0,MIN(18,BH345+IF(C346="敏捷",E346,0)))</x:f>
        <x:v>0</x:v>
      </x:c>
      <x:c r="BI346">
        <x:f>MAX(0,MIN(18,BI345+IF(C346="智力",E346,0)))</x:f>
        <x:v>0</x:v>
      </x:c>
      <x:c r="BJ346">
        <x:f>MAX(0,MIN(18,BJ345+IF(C346="意志",E346,0)))</x:f>
        <x:v>0</x:v>
      </x:c>
      <x:c r="BK346">
        <x:f>MAX(0,MIN(18,BK345+IF(C346="魅力",E346,0)))</x:f>
        <x:v>0</x:v>
      </x:c>
      <x:c r="BL346">
        <x:f>MAX(0,MIN(99,BL345+IF(C346="技能：非自然知识",E346,0)))</x:f>
        <x:v>0</x:v>
      </x:c>
      <x:c r="BM346">
        <x:f>MAX(0,MIN(CEILING((BF346+BG346)/2,1),BM345+IF(C346="体力",E346,0)))</x:f>
        <x:v>0</x:v>
      </x:c>
      <x:c r="BN346">
        <x:f>MAX(0,MIN(BJ346,BN345+IF(C346="毅力",E346,0)))</x:f>
        <x:v>0</x:v>
      </x:c>
      <x:c r="BO346">
        <x:f>MAX(0,MIN(99-BL346,BO345+IF(C346="理智",E346,0)))</x:f>
        <x:v>0</x:v>
      </x:c>
      <x:c r="BP346">
        <x:f>MAX(0,MIN(99,BP345+IF(C346="崩溃点",E346,0)))</x:f>
        <x:v>0</x:v>
      </x:c>
      <x:c r="BQ346">
        <x:f>MAX(0,MIN(BK346,IF(AND(H346=1,C346="重要关系1",LEFT('幕间与结算'!H253,8)="建立新的重要关系"),'幕间与结算'!E253+E346,BQ345+IF(C346="重要关系1",E346,0)+IF(AND(C346="魅力",E346&lt;0),E346,0))))</x:f>
        <x:v>0</x:v>
      </x:c>
      <x:c r="BR346">
        <x:f>MAX(0,MIN(BK346,IF(AND(H346=1,C346="重要关系2",LEFT('幕间与结算'!H253,8)="建立新的重要关系"),'幕间与结算'!E253+E346,BR345+IF(C346="重要关系2",E346,0)+IF(AND(C346="魅力",E346&lt;0),E346,0))))</x:f>
        <x:v>0</x:v>
      </x:c>
      <x:c r="BS346">
        <x:f>MAX(0,MIN(BK346,IF(AND(H346=1,C346="重要关系3",LEFT('幕间与结算'!H253,8)="建立新的重要关系"),'幕间与结算'!E253+E346,BS345+IF(C346="重要关系3",E346,0)+IF(AND(C346="魅力",E346&lt;0),E346,0))))</x:f>
        <x:v>0</x:v>
      </x:c>
      <x:c r="BT346">
        <x:f>MAX(0,MIN(BK346,IF(AND(H346=1,C346="重要关系4",LEFT('幕间与结算'!H253,8)="建立新的重要关系"),'幕间与结算'!E253+E346,BT345+IF(C346="重要关系4",E346,0)+IF(AND(C346="魅力",E346&lt;0),E346,0))))</x:f>
        <x:v>0</x:v>
      </x:c>
      <x:c r="BU346">
        <x:f>MAX(0,MIN(BK346,IF(AND(H346=1,C346="重要关系5",LEFT('幕间与结算'!H253,8)="建立新的重要关系"),'幕间与结算'!E253+E346,BU345+IF(C346="重要关系5",E346,0)+IF(AND(C346="魅力",E346&lt;0),E346,0))))</x:f>
        <x:v>0</x:v>
      </x:c>
      <x:c r="BV346">
        <x:f>MAX(0,MIN(BK346,IF(AND(H346=1,C346="重要关系6",LEFT('幕间与结算'!H253,8)="建立新的重要关系"),'幕间与结算'!E253+E346,BV345+IF(C346="重要关系6",E346,0)+IF(AND(C346="魅力",E346&lt;0),E346,0))))</x:f>
        <x:v>0</x:v>
      </x:c>
      <x:c r="BW346">
        <x:f>MAX(0,MIN(BK346,IF(AND(H346=1,C346="重要关系7",LEFT('幕间与结算'!H253,8)="建立新的重要关系"),'幕间与结算'!E253+E346,BW345+IF(C346="重要关系7",E346,0)+IF(AND(C346="魅力",E346&lt;0),E346,0))))</x:f>
        <x:v>0</x:v>
      </x:c>
    </x:row>
    <x:row r="347">
      <x:c r="A347" t="str">
        <x:f>IFERROR(TEXT(VALUE('幕间与结算'!A254),"00"),"")</x:f>
        <x:v>00</x:v>
      </x:c>
      <x:c r="B347">
        <x:f>'幕间与结算'!B254</x:f>
        <x:v>0</x:v>
      </x:c>
      <x:c r="C347">
        <x:f>'幕间与结算'!D254</x:f>
        <x:v>0</x:v>
      </x:c>
      <x:c r="D347">
        <x:f>'幕间与结算'!F254</x:f>
        <x:v>0</x:v>
      </x:c>
      <x:c r="E347">
        <x:f>IF(H347=1,MAX(-'幕间与结算'!E254,MIN(D347,IF(LEFT(C347,3)="技能：",99,IF(COUNTIF($L$2:$L$7,C347)&gt;0,18,999))-'幕间与结算'!E254)),0)</x:f>
        <x:v>0</x:v>
      </x:c>
      <x:c r="F347" t="str">
        <x:f>IF(C347=0,"",IF(G347=0,"记录不完整",IF(H347=0,"重复未计","已计入")))</x:f>
        <x:v/>
      </x:c>
      <x:c r="G347">
        <x:f>IF(AND(AND('幕间与结算'!A254&lt;&gt;"",'幕间与结算'!B254&lt;&gt;"",'幕间与结算'!I254&lt;&gt;"",OR(LEFT(C347,3)="技能：",COUNTIF($L$2:$L$19,C347)&gt;0),ISNUMBER('幕间与结算'!E254),ISNUMBER('幕间与结算'!F254),ISNUMBER('幕间与结算'!G254),'幕间与结算'!E254&gt;=0,'幕间与结算'!G254='幕间与结算'!E254+'幕间与结算'!F254),OR(B347&lt;&gt;"成长",AND(LEFT(C347,3)="技能：",C347&lt;&gt;"技能：非自然知识",'幕间与结算'!E254&gt;=1,'幕间与结算'!E254&lt;=99,'幕间与结算'!F254&gt;=0,'幕间与结算'!F254&lt;=4,'幕间与结算'!G254&lt;=99))),1,0)</x:f>
        <x:v>0</x:v>
      </x:c>
      <x:c r="H347">
        <x:f>IF(AND(G347=1,COUNTIFS($I$200:I347,I347,$G$200:G347,1)=1),1,0)</x:f>
        <x:v>0</x:v>
      </x:c>
      <x:c r="I347" t="str">
        <x:f>IF(G347=1,IF(B347="成长",A347&amp;"-成长-"&amp;C347,'幕间与结算'!I254),"")</x:f>
        <x:v/>
      </x:c>
      <x:c r="BF347">
        <x:f>MAX(0,MIN(18,BF346+IF(C347="力量",E347,0)))</x:f>
        <x:v>0</x:v>
      </x:c>
      <x:c r="BG347">
        <x:f>MAX(0,MIN(18,BG346+IF(C347="体质",E347,0)))</x:f>
        <x:v>0</x:v>
      </x:c>
      <x:c r="BH347">
        <x:f>MAX(0,MIN(18,BH346+IF(C347="敏捷",E347,0)))</x:f>
        <x:v>0</x:v>
      </x:c>
      <x:c r="BI347">
        <x:f>MAX(0,MIN(18,BI346+IF(C347="智力",E347,0)))</x:f>
        <x:v>0</x:v>
      </x:c>
      <x:c r="BJ347">
        <x:f>MAX(0,MIN(18,BJ346+IF(C347="意志",E347,0)))</x:f>
        <x:v>0</x:v>
      </x:c>
      <x:c r="BK347">
        <x:f>MAX(0,MIN(18,BK346+IF(C347="魅力",E347,0)))</x:f>
        <x:v>0</x:v>
      </x:c>
      <x:c r="BL347">
        <x:f>MAX(0,MIN(99,BL346+IF(C347="技能：非自然知识",E347,0)))</x:f>
        <x:v>0</x:v>
      </x:c>
      <x:c r="BM347">
        <x:f>MAX(0,MIN(CEILING((BF347+BG347)/2,1),BM346+IF(C347="体力",E347,0)))</x:f>
        <x:v>0</x:v>
      </x:c>
      <x:c r="BN347">
        <x:f>MAX(0,MIN(BJ347,BN346+IF(C347="毅力",E347,0)))</x:f>
        <x:v>0</x:v>
      </x:c>
      <x:c r="BO347">
        <x:f>MAX(0,MIN(99-BL347,BO346+IF(C347="理智",E347,0)))</x:f>
        <x:v>0</x:v>
      </x:c>
      <x:c r="BP347">
        <x:f>MAX(0,MIN(99,BP346+IF(C347="崩溃点",E347,0)))</x:f>
        <x:v>0</x:v>
      </x:c>
      <x:c r="BQ347">
        <x:f>MAX(0,MIN(BK347,IF(AND(H347=1,C347="重要关系1",LEFT('幕间与结算'!H254,8)="建立新的重要关系"),'幕间与结算'!E254+E347,BQ346+IF(C347="重要关系1",E347,0)+IF(AND(C347="魅力",E347&lt;0),E347,0))))</x:f>
        <x:v>0</x:v>
      </x:c>
      <x:c r="BR347">
        <x:f>MAX(0,MIN(BK347,IF(AND(H347=1,C347="重要关系2",LEFT('幕间与结算'!H254,8)="建立新的重要关系"),'幕间与结算'!E254+E347,BR346+IF(C347="重要关系2",E347,0)+IF(AND(C347="魅力",E347&lt;0),E347,0))))</x:f>
        <x:v>0</x:v>
      </x:c>
      <x:c r="BS347">
        <x:f>MAX(0,MIN(BK347,IF(AND(H347=1,C347="重要关系3",LEFT('幕间与结算'!H254,8)="建立新的重要关系"),'幕间与结算'!E254+E347,BS346+IF(C347="重要关系3",E347,0)+IF(AND(C347="魅力",E347&lt;0),E347,0))))</x:f>
        <x:v>0</x:v>
      </x:c>
      <x:c r="BT347">
        <x:f>MAX(0,MIN(BK347,IF(AND(H347=1,C347="重要关系4",LEFT('幕间与结算'!H254,8)="建立新的重要关系"),'幕间与结算'!E254+E347,BT346+IF(C347="重要关系4",E347,0)+IF(AND(C347="魅力",E347&lt;0),E347,0))))</x:f>
        <x:v>0</x:v>
      </x:c>
      <x:c r="BU347">
        <x:f>MAX(0,MIN(BK347,IF(AND(H347=1,C347="重要关系5",LEFT('幕间与结算'!H254,8)="建立新的重要关系"),'幕间与结算'!E254+E347,BU346+IF(C347="重要关系5",E347,0)+IF(AND(C347="魅力",E347&lt;0),E347,0))))</x:f>
        <x:v>0</x:v>
      </x:c>
      <x:c r="BV347">
        <x:f>MAX(0,MIN(BK347,IF(AND(H347=1,C347="重要关系6",LEFT('幕间与结算'!H254,8)="建立新的重要关系"),'幕间与结算'!E254+E347,BV346+IF(C347="重要关系6",E347,0)+IF(AND(C347="魅力",E347&lt;0),E347,0))))</x:f>
        <x:v>0</x:v>
      </x:c>
      <x:c r="BW347">
        <x:f>MAX(0,MIN(BK347,IF(AND(H347=1,C347="重要关系7",LEFT('幕间与结算'!H254,8)="建立新的重要关系"),'幕间与结算'!E254+E347,BW346+IF(C347="重要关系7",E347,0)+IF(AND(C347="魅力",E347&lt;0),E347,0))))</x:f>
        <x:v>0</x:v>
      </x:c>
    </x:row>
    <x:row r="348">
      <x:c r="A348" t="str">
        <x:f>IFERROR(TEXT(VALUE('幕间与结算'!A255),"00"),"")</x:f>
        <x:v>00</x:v>
      </x:c>
      <x:c r="B348">
        <x:f>'幕间与结算'!B255</x:f>
        <x:v>0</x:v>
      </x:c>
      <x:c r="C348">
        <x:f>'幕间与结算'!D255</x:f>
        <x:v>0</x:v>
      </x:c>
      <x:c r="D348">
        <x:f>'幕间与结算'!F255</x:f>
        <x:v>0</x:v>
      </x:c>
      <x:c r="E348">
        <x:f>IF(H348=1,MAX(-'幕间与结算'!E255,MIN(D348,IF(LEFT(C348,3)="技能：",99,IF(COUNTIF($L$2:$L$7,C348)&gt;0,18,999))-'幕间与结算'!E255)),0)</x:f>
        <x:v>0</x:v>
      </x:c>
      <x:c r="F348" t="str">
        <x:f>IF(C348=0,"",IF(G348=0,"记录不完整",IF(H348=0,"重复未计","已计入")))</x:f>
        <x:v/>
      </x:c>
      <x:c r="G348">
        <x:f>IF(AND(AND('幕间与结算'!A255&lt;&gt;"",'幕间与结算'!B255&lt;&gt;"",'幕间与结算'!I255&lt;&gt;"",OR(LEFT(C348,3)="技能：",COUNTIF($L$2:$L$19,C348)&gt;0),ISNUMBER('幕间与结算'!E255),ISNUMBER('幕间与结算'!F255),ISNUMBER('幕间与结算'!G255),'幕间与结算'!E255&gt;=0,'幕间与结算'!G255='幕间与结算'!E255+'幕间与结算'!F255),OR(B348&lt;&gt;"成长",AND(LEFT(C348,3)="技能：",C348&lt;&gt;"技能：非自然知识",'幕间与结算'!E255&gt;=1,'幕间与结算'!E255&lt;=99,'幕间与结算'!F255&gt;=0,'幕间与结算'!F255&lt;=4,'幕间与结算'!G255&lt;=99))),1,0)</x:f>
        <x:v>0</x:v>
      </x:c>
      <x:c r="H348">
        <x:f>IF(AND(G348=1,COUNTIFS($I$200:I348,I348,$G$200:G348,1)=1),1,0)</x:f>
        <x:v>0</x:v>
      </x:c>
      <x:c r="I348" t="str">
        <x:f>IF(G348=1,IF(B348="成长",A348&amp;"-成长-"&amp;C348,'幕间与结算'!I255),"")</x:f>
        <x:v/>
      </x:c>
      <x:c r="BF348">
        <x:f>MAX(0,MIN(18,BF347+IF(C348="力量",E348,0)))</x:f>
        <x:v>0</x:v>
      </x:c>
      <x:c r="BG348">
        <x:f>MAX(0,MIN(18,BG347+IF(C348="体质",E348,0)))</x:f>
        <x:v>0</x:v>
      </x:c>
      <x:c r="BH348">
        <x:f>MAX(0,MIN(18,BH347+IF(C348="敏捷",E348,0)))</x:f>
        <x:v>0</x:v>
      </x:c>
      <x:c r="BI348">
        <x:f>MAX(0,MIN(18,BI347+IF(C348="智力",E348,0)))</x:f>
        <x:v>0</x:v>
      </x:c>
      <x:c r="BJ348">
        <x:f>MAX(0,MIN(18,BJ347+IF(C348="意志",E348,0)))</x:f>
        <x:v>0</x:v>
      </x:c>
      <x:c r="BK348">
        <x:f>MAX(0,MIN(18,BK347+IF(C348="魅力",E348,0)))</x:f>
        <x:v>0</x:v>
      </x:c>
      <x:c r="BL348">
        <x:f>MAX(0,MIN(99,BL347+IF(C348="技能：非自然知识",E348,0)))</x:f>
        <x:v>0</x:v>
      </x:c>
      <x:c r="BM348">
        <x:f>MAX(0,MIN(CEILING((BF348+BG348)/2,1),BM347+IF(C348="体力",E348,0)))</x:f>
        <x:v>0</x:v>
      </x:c>
      <x:c r="BN348">
        <x:f>MAX(0,MIN(BJ348,BN347+IF(C348="毅力",E348,0)))</x:f>
        <x:v>0</x:v>
      </x:c>
      <x:c r="BO348">
        <x:f>MAX(0,MIN(99-BL348,BO347+IF(C348="理智",E348,0)))</x:f>
        <x:v>0</x:v>
      </x:c>
      <x:c r="BP348">
        <x:f>MAX(0,MIN(99,BP347+IF(C348="崩溃点",E348,0)))</x:f>
        <x:v>0</x:v>
      </x:c>
      <x:c r="BQ348">
        <x:f>MAX(0,MIN(BK348,IF(AND(H348=1,C348="重要关系1",LEFT('幕间与结算'!H255,8)="建立新的重要关系"),'幕间与结算'!E255+E348,BQ347+IF(C348="重要关系1",E348,0)+IF(AND(C348="魅力",E348&lt;0),E348,0))))</x:f>
        <x:v>0</x:v>
      </x:c>
      <x:c r="BR348">
        <x:f>MAX(0,MIN(BK348,IF(AND(H348=1,C348="重要关系2",LEFT('幕间与结算'!H255,8)="建立新的重要关系"),'幕间与结算'!E255+E348,BR347+IF(C348="重要关系2",E348,0)+IF(AND(C348="魅力",E348&lt;0),E348,0))))</x:f>
        <x:v>0</x:v>
      </x:c>
      <x:c r="BS348">
        <x:f>MAX(0,MIN(BK348,IF(AND(H348=1,C348="重要关系3",LEFT('幕间与结算'!H255,8)="建立新的重要关系"),'幕间与结算'!E255+E348,BS347+IF(C348="重要关系3",E348,0)+IF(AND(C348="魅力",E348&lt;0),E348,0))))</x:f>
        <x:v>0</x:v>
      </x:c>
      <x:c r="BT348">
        <x:f>MAX(0,MIN(BK348,IF(AND(H348=1,C348="重要关系4",LEFT('幕间与结算'!H255,8)="建立新的重要关系"),'幕间与结算'!E255+E348,BT347+IF(C348="重要关系4",E348,0)+IF(AND(C348="魅力",E348&lt;0),E348,0))))</x:f>
        <x:v>0</x:v>
      </x:c>
      <x:c r="BU348">
        <x:f>MAX(0,MIN(BK348,IF(AND(H348=1,C348="重要关系5",LEFT('幕间与结算'!H255,8)="建立新的重要关系"),'幕间与结算'!E255+E348,BU347+IF(C348="重要关系5",E348,0)+IF(AND(C348="魅力",E348&lt;0),E348,0))))</x:f>
        <x:v>0</x:v>
      </x:c>
      <x:c r="BV348">
        <x:f>MAX(0,MIN(BK348,IF(AND(H348=1,C348="重要关系6",LEFT('幕间与结算'!H255,8)="建立新的重要关系"),'幕间与结算'!E255+E348,BV347+IF(C348="重要关系6",E348,0)+IF(AND(C348="魅力",E348&lt;0),E348,0))))</x:f>
        <x:v>0</x:v>
      </x:c>
      <x:c r="BW348">
        <x:f>MAX(0,MIN(BK348,IF(AND(H348=1,C348="重要关系7",LEFT('幕间与结算'!H255,8)="建立新的重要关系"),'幕间与结算'!E255+E348,BW347+IF(C348="重要关系7",E348,0)+IF(AND(C348="魅力",E348&lt;0),E348,0))))</x:f>
        <x:v>0</x:v>
      </x:c>
    </x:row>
    <x:row r="349">
      <x:c r="A349" t="str">
        <x:f>IFERROR(TEXT(VALUE('幕间与结算'!A256),"00"),"")</x:f>
        <x:v>00</x:v>
      </x:c>
      <x:c r="B349">
        <x:f>'幕间与结算'!B256</x:f>
        <x:v>0</x:v>
      </x:c>
      <x:c r="C349">
        <x:f>'幕间与结算'!D256</x:f>
        <x:v>0</x:v>
      </x:c>
      <x:c r="D349">
        <x:f>'幕间与结算'!F256</x:f>
        <x:v>0</x:v>
      </x:c>
      <x:c r="E349">
        <x:f>IF(H349=1,MAX(-'幕间与结算'!E256,MIN(D349,IF(LEFT(C349,3)="技能：",99,IF(COUNTIF($L$2:$L$7,C349)&gt;0,18,999))-'幕间与结算'!E256)),0)</x:f>
        <x:v>0</x:v>
      </x:c>
      <x:c r="F349" t="str">
        <x:f>IF(C349=0,"",IF(G349=0,"记录不完整",IF(H349=0,"重复未计","已计入")))</x:f>
        <x:v/>
      </x:c>
      <x:c r="G349">
        <x:f>IF(AND(AND('幕间与结算'!A256&lt;&gt;"",'幕间与结算'!B256&lt;&gt;"",'幕间与结算'!I256&lt;&gt;"",OR(LEFT(C349,3)="技能：",COUNTIF($L$2:$L$19,C349)&gt;0),ISNUMBER('幕间与结算'!E256),ISNUMBER('幕间与结算'!F256),ISNUMBER('幕间与结算'!G256),'幕间与结算'!E256&gt;=0,'幕间与结算'!G256='幕间与结算'!E256+'幕间与结算'!F256),OR(B349&lt;&gt;"成长",AND(LEFT(C349,3)="技能：",C349&lt;&gt;"技能：非自然知识",'幕间与结算'!E256&gt;=1,'幕间与结算'!E256&lt;=99,'幕间与结算'!F256&gt;=0,'幕间与结算'!F256&lt;=4,'幕间与结算'!G256&lt;=99))),1,0)</x:f>
        <x:v>0</x:v>
      </x:c>
      <x:c r="H349">
        <x:f>IF(AND(G349=1,COUNTIFS($I$200:I349,I349,$G$200:G349,1)=1),1,0)</x:f>
        <x:v>0</x:v>
      </x:c>
      <x:c r="I349" t="str">
        <x:f>IF(G349=1,IF(B349="成长",A349&amp;"-成长-"&amp;C349,'幕间与结算'!I256),"")</x:f>
        <x:v/>
      </x:c>
      <x:c r="BF349">
        <x:f>MAX(0,MIN(18,BF348+IF(C349="力量",E349,0)))</x:f>
        <x:v>0</x:v>
      </x:c>
      <x:c r="BG349">
        <x:f>MAX(0,MIN(18,BG348+IF(C349="体质",E349,0)))</x:f>
        <x:v>0</x:v>
      </x:c>
      <x:c r="BH349">
        <x:f>MAX(0,MIN(18,BH348+IF(C349="敏捷",E349,0)))</x:f>
        <x:v>0</x:v>
      </x:c>
      <x:c r="BI349">
        <x:f>MAX(0,MIN(18,BI348+IF(C349="智力",E349,0)))</x:f>
        <x:v>0</x:v>
      </x:c>
      <x:c r="BJ349">
        <x:f>MAX(0,MIN(18,BJ348+IF(C349="意志",E349,0)))</x:f>
        <x:v>0</x:v>
      </x:c>
      <x:c r="BK349">
        <x:f>MAX(0,MIN(18,BK348+IF(C349="魅力",E349,0)))</x:f>
        <x:v>0</x:v>
      </x:c>
      <x:c r="BL349">
        <x:f>MAX(0,MIN(99,BL348+IF(C349="技能：非自然知识",E349,0)))</x:f>
        <x:v>0</x:v>
      </x:c>
      <x:c r="BM349">
        <x:f>MAX(0,MIN(CEILING((BF349+BG349)/2,1),BM348+IF(C349="体力",E349,0)))</x:f>
        <x:v>0</x:v>
      </x:c>
      <x:c r="BN349">
        <x:f>MAX(0,MIN(BJ349,BN348+IF(C349="毅力",E349,0)))</x:f>
        <x:v>0</x:v>
      </x:c>
      <x:c r="BO349">
        <x:f>MAX(0,MIN(99-BL349,BO348+IF(C349="理智",E349,0)))</x:f>
        <x:v>0</x:v>
      </x:c>
      <x:c r="BP349">
        <x:f>MAX(0,MIN(99,BP348+IF(C349="崩溃点",E349,0)))</x:f>
        <x:v>0</x:v>
      </x:c>
      <x:c r="BQ349">
        <x:f>MAX(0,MIN(BK349,IF(AND(H349=1,C349="重要关系1",LEFT('幕间与结算'!H256,8)="建立新的重要关系"),'幕间与结算'!E256+E349,BQ348+IF(C349="重要关系1",E349,0)+IF(AND(C349="魅力",E349&lt;0),E349,0))))</x:f>
        <x:v>0</x:v>
      </x:c>
      <x:c r="BR349">
        <x:f>MAX(0,MIN(BK349,IF(AND(H349=1,C349="重要关系2",LEFT('幕间与结算'!H256,8)="建立新的重要关系"),'幕间与结算'!E256+E349,BR348+IF(C349="重要关系2",E349,0)+IF(AND(C349="魅力",E349&lt;0),E349,0))))</x:f>
        <x:v>0</x:v>
      </x:c>
      <x:c r="BS349">
        <x:f>MAX(0,MIN(BK349,IF(AND(H349=1,C349="重要关系3",LEFT('幕间与结算'!H256,8)="建立新的重要关系"),'幕间与结算'!E256+E349,BS348+IF(C349="重要关系3",E349,0)+IF(AND(C349="魅力",E349&lt;0),E349,0))))</x:f>
        <x:v>0</x:v>
      </x:c>
      <x:c r="BT349">
        <x:f>MAX(0,MIN(BK349,IF(AND(H349=1,C349="重要关系4",LEFT('幕间与结算'!H256,8)="建立新的重要关系"),'幕间与结算'!E256+E349,BT348+IF(C349="重要关系4",E349,0)+IF(AND(C349="魅力",E349&lt;0),E349,0))))</x:f>
        <x:v>0</x:v>
      </x:c>
      <x:c r="BU349">
        <x:f>MAX(0,MIN(BK349,IF(AND(H349=1,C349="重要关系5",LEFT('幕间与结算'!H256,8)="建立新的重要关系"),'幕间与结算'!E256+E349,BU348+IF(C349="重要关系5",E349,0)+IF(AND(C349="魅力",E349&lt;0),E349,0))))</x:f>
        <x:v>0</x:v>
      </x:c>
      <x:c r="BV349">
        <x:f>MAX(0,MIN(BK349,IF(AND(H349=1,C349="重要关系6",LEFT('幕间与结算'!H256,8)="建立新的重要关系"),'幕间与结算'!E256+E349,BV348+IF(C349="重要关系6",E349,0)+IF(AND(C349="魅力",E349&lt;0),E349,0))))</x:f>
        <x:v>0</x:v>
      </x:c>
      <x:c r="BW349">
        <x:f>MAX(0,MIN(BK349,IF(AND(H349=1,C349="重要关系7",LEFT('幕间与结算'!H256,8)="建立新的重要关系"),'幕间与结算'!E256+E349,BW348+IF(C349="重要关系7",E349,0)+IF(AND(C349="魅力",E349&lt;0),E349,0))))</x:f>
        <x:v>0</x:v>
      </x:c>
    </x:row>
    <x:row r="350">
      <x:c r="A350" t="str">
        <x:f>IFERROR(TEXT(VALUE('幕间与结算'!A257),"00"),"")</x:f>
        <x:v>00</x:v>
      </x:c>
      <x:c r="B350">
        <x:f>'幕间与结算'!B257</x:f>
        <x:v>0</x:v>
      </x:c>
      <x:c r="C350">
        <x:f>'幕间与结算'!D257</x:f>
        <x:v>0</x:v>
      </x:c>
      <x:c r="D350">
        <x:f>'幕间与结算'!F257</x:f>
        <x:v>0</x:v>
      </x:c>
      <x:c r="E350">
        <x:f>IF(H350=1,MAX(-'幕间与结算'!E257,MIN(D350,IF(LEFT(C350,3)="技能：",99,IF(COUNTIF($L$2:$L$7,C350)&gt;0,18,999))-'幕间与结算'!E257)),0)</x:f>
        <x:v>0</x:v>
      </x:c>
      <x:c r="F350" t="str">
        <x:f>IF(C350=0,"",IF(G350=0,"记录不完整",IF(H350=0,"重复未计","已计入")))</x:f>
        <x:v/>
      </x:c>
      <x:c r="G350">
        <x:f>IF(AND(AND('幕间与结算'!A257&lt;&gt;"",'幕间与结算'!B257&lt;&gt;"",'幕间与结算'!I257&lt;&gt;"",OR(LEFT(C350,3)="技能：",COUNTIF($L$2:$L$19,C350)&gt;0),ISNUMBER('幕间与结算'!E257),ISNUMBER('幕间与结算'!F257),ISNUMBER('幕间与结算'!G257),'幕间与结算'!E257&gt;=0,'幕间与结算'!G257='幕间与结算'!E257+'幕间与结算'!F257),OR(B350&lt;&gt;"成长",AND(LEFT(C350,3)="技能：",C350&lt;&gt;"技能：非自然知识",'幕间与结算'!E257&gt;=1,'幕间与结算'!E257&lt;=99,'幕间与结算'!F257&gt;=0,'幕间与结算'!F257&lt;=4,'幕间与结算'!G257&lt;=99))),1,0)</x:f>
        <x:v>0</x:v>
      </x:c>
      <x:c r="H350">
        <x:f>IF(AND(G350=1,COUNTIFS($I$200:I350,I350,$G$200:G350,1)=1),1,0)</x:f>
        <x:v>0</x:v>
      </x:c>
      <x:c r="I350" t="str">
        <x:f>IF(G350=1,IF(B350="成长",A350&amp;"-成长-"&amp;C350,'幕间与结算'!I257),"")</x:f>
        <x:v/>
      </x:c>
      <x:c r="BF350">
        <x:f>MAX(0,MIN(18,BF349+IF(C350="力量",E350,0)))</x:f>
        <x:v>0</x:v>
      </x:c>
      <x:c r="BG350">
        <x:f>MAX(0,MIN(18,BG349+IF(C350="体质",E350,0)))</x:f>
        <x:v>0</x:v>
      </x:c>
      <x:c r="BH350">
        <x:f>MAX(0,MIN(18,BH349+IF(C350="敏捷",E350,0)))</x:f>
        <x:v>0</x:v>
      </x:c>
      <x:c r="BI350">
        <x:f>MAX(0,MIN(18,BI349+IF(C350="智力",E350,0)))</x:f>
        <x:v>0</x:v>
      </x:c>
      <x:c r="BJ350">
        <x:f>MAX(0,MIN(18,BJ349+IF(C350="意志",E350,0)))</x:f>
        <x:v>0</x:v>
      </x:c>
      <x:c r="BK350">
        <x:f>MAX(0,MIN(18,BK349+IF(C350="魅力",E350,0)))</x:f>
        <x:v>0</x:v>
      </x:c>
      <x:c r="BL350">
        <x:f>MAX(0,MIN(99,BL349+IF(C350="技能：非自然知识",E350,0)))</x:f>
        <x:v>0</x:v>
      </x:c>
      <x:c r="BM350">
        <x:f>MAX(0,MIN(CEILING((BF350+BG350)/2,1),BM349+IF(C350="体力",E350,0)))</x:f>
        <x:v>0</x:v>
      </x:c>
      <x:c r="BN350">
        <x:f>MAX(0,MIN(BJ350,BN349+IF(C350="毅力",E350,0)))</x:f>
        <x:v>0</x:v>
      </x:c>
      <x:c r="BO350">
        <x:f>MAX(0,MIN(99-BL350,BO349+IF(C350="理智",E350,0)))</x:f>
        <x:v>0</x:v>
      </x:c>
      <x:c r="BP350">
        <x:f>MAX(0,MIN(99,BP349+IF(C350="崩溃点",E350,0)))</x:f>
        <x:v>0</x:v>
      </x:c>
      <x:c r="BQ350">
        <x:f>MAX(0,MIN(BK350,IF(AND(H350=1,C350="重要关系1",LEFT('幕间与结算'!H257,8)="建立新的重要关系"),'幕间与结算'!E257+E350,BQ349+IF(C350="重要关系1",E350,0)+IF(AND(C350="魅力",E350&lt;0),E350,0))))</x:f>
        <x:v>0</x:v>
      </x:c>
      <x:c r="BR350">
        <x:f>MAX(0,MIN(BK350,IF(AND(H350=1,C350="重要关系2",LEFT('幕间与结算'!H257,8)="建立新的重要关系"),'幕间与结算'!E257+E350,BR349+IF(C350="重要关系2",E350,0)+IF(AND(C350="魅力",E350&lt;0),E350,0))))</x:f>
        <x:v>0</x:v>
      </x:c>
      <x:c r="BS350">
        <x:f>MAX(0,MIN(BK350,IF(AND(H350=1,C350="重要关系3",LEFT('幕间与结算'!H257,8)="建立新的重要关系"),'幕间与结算'!E257+E350,BS349+IF(C350="重要关系3",E350,0)+IF(AND(C350="魅力",E350&lt;0),E350,0))))</x:f>
        <x:v>0</x:v>
      </x:c>
      <x:c r="BT350">
        <x:f>MAX(0,MIN(BK350,IF(AND(H350=1,C350="重要关系4",LEFT('幕间与结算'!H257,8)="建立新的重要关系"),'幕间与结算'!E257+E350,BT349+IF(C350="重要关系4",E350,0)+IF(AND(C350="魅力",E350&lt;0),E350,0))))</x:f>
        <x:v>0</x:v>
      </x:c>
      <x:c r="BU350">
        <x:f>MAX(0,MIN(BK350,IF(AND(H350=1,C350="重要关系5",LEFT('幕间与结算'!H257,8)="建立新的重要关系"),'幕间与结算'!E257+E350,BU349+IF(C350="重要关系5",E350,0)+IF(AND(C350="魅力",E350&lt;0),E350,0))))</x:f>
        <x:v>0</x:v>
      </x:c>
      <x:c r="BV350">
        <x:f>MAX(0,MIN(BK350,IF(AND(H350=1,C350="重要关系6",LEFT('幕间与结算'!H257,8)="建立新的重要关系"),'幕间与结算'!E257+E350,BV349+IF(C350="重要关系6",E350,0)+IF(AND(C350="魅力",E350&lt;0),E350,0))))</x:f>
        <x:v>0</x:v>
      </x:c>
      <x:c r="BW350">
        <x:f>MAX(0,MIN(BK350,IF(AND(H350=1,C350="重要关系7",LEFT('幕间与结算'!H257,8)="建立新的重要关系"),'幕间与结算'!E257+E350,BW349+IF(C350="重要关系7",E350,0)+IF(AND(C350="魅力",E350&lt;0),E350,0))))</x:f>
        <x:v>0</x:v>
      </x:c>
    </x:row>
    <x:row r="351">
      <x:c r="A351" t="str">
        <x:f>IFERROR(TEXT(VALUE('幕间与结算'!A258),"00"),"")</x:f>
        <x:v>00</x:v>
      </x:c>
      <x:c r="B351">
        <x:f>'幕间与结算'!B258</x:f>
        <x:v>0</x:v>
      </x:c>
      <x:c r="C351">
        <x:f>'幕间与结算'!D258</x:f>
        <x:v>0</x:v>
      </x:c>
      <x:c r="D351">
        <x:f>'幕间与结算'!F258</x:f>
        <x:v>0</x:v>
      </x:c>
      <x:c r="E351">
        <x:f>IF(H351=1,MAX(-'幕间与结算'!E258,MIN(D351,IF(LEFT(C351,3)="技能：",99,IF(COUNTIF($L$2:$L$7,C351)&gt;0,18,999))-'幕间与结算'!E258)),0)</x:f>
        <x:v>0</x:v>
      </x:c>
      <x:c r="F351" t="str">
        <x:f>IF(C351=0,"",IF(G351=0,"记录不完整",IF(H351=0,"重复未计","已计入")))</x:f>
        <x:v/>
      </x:c>
      <x:c r="G351">
        <x:f>IF(AND(AND('幕间与结算'!A258&lt;&gt;"",'幕间与结算'!B258&lt;&gt;"",'幕间与结算'!I258&lt;&gt;"",OR(LEFT(C351,3)="技能：",COUNTIF($L$2:$L$19,C351)&gt;0),ISNUMBER('幕间与结算'!E258),ISNUMBER('幕间与结算'!F258),ISNUMBER('幕间与结算'!G258),'幕间与结算'!E258&gt;=0,'幕间与结算'!G258='幕间与结算'!E258+'幕间与结算'!F258),OR(B351&lt;&gt;"成长",AND(LEFT(C351,3)="技能：",C351&lt;&gt;"技能：非自然知识",'幕间与结算'!E258&gt;=1,'幕间与结算'!E258&lt;=99,'幕间与结算'!F258&gt;=0,'幕间与结算'!F258&lt;=4,'幕间与结算'!G258&lt;=99))),1,0)</x:f>
        <x:v>0</x:v>
      </x:c>
      <x:c r="H351">
        <x:f>IF(AND(G351=1,COUNTIFS($I$200:I351,I351,$G$200:G351,1)=1),1,0)</x:f>
        <x:v>0</x:v>
      </x:c>
      <x:c r="I351" t="str">
        <x:f>IF(G351=1,IF(B351="成长",A351&amp;"-成长-"&amp;C351,'幕间与结算'!I258),"")</x:f>
        <x:v/>
      </x:c>
      <x:c r="BF351">
        <x:f>MAX(0,MIN(18,BF350+IF(C351="力量",E351,0)))</x:f>
        <x:v>0</x:v>
      </x:c>
      <x:c r="BG351">
        <x:f>MAX(0,MIN(18,BG350+IF(C351="体质",E351,0)))</x:f>
        <x:v>0</x:v>
      </x:c>
      <x:c r="BH351">
        <x:f>MAX(0,MIN(18,BH350+IF(C351="敏捷",E351,0)))</x:f>
        <x:v>0</x:v>
      </x:c>
      <x:c r="BI351">
        <x:f>MAX(0,MIN(18,BI350+IF(C351="智力",E351,0)))</x:f>
        <x:v>0</x:v>
      </x:c>
      <x:c r="BJ351">
        <x:f>MAX(0,MIN(18,BJ350+IF(C351="意志",E351,0)))</x:f>
        <x:v>0</x:v>
      </x:c>
      <x:c r="BK351">
        <x:f>MAX(0,MIN(18,BK350+IF(C351="魅力",E351,0)))</x:f>
        <x:v>0</x:v>
      </x:c>
      <x:c r="BL351">
        <x:f>MAX(0,MIN(99,BL350+IF(C351="技能：非自然知识",E351,0)))</x:f>
        <x:v>0</x:v>
      </x:c>
      <x:c r="BM351">
        <x:f>MAX(0,MIN(CEILING((BF351+BG351)/2,1),BM350+IF(C351="体力",E351,0)))</x:f>
        <x:v>0</x:v>
      </x:c>
      <x:c r="BN351">
        <x:f>MAX(0,MIN(BJ351,BN350+IF(C351="毅力",E351,0)))</x:f>
        <x:v>0</x:v>
      </x:c>
      <x:c r="BO351">
        <x:f>MAX(0,MIN(99-BL351,BO350+IF(C351="理智",E351,0)))</x:f>
        <x:v>0</x:v>
      </x:c>
      <x:c r="BP351">
        <x:f>MAX(0,MIN(99,BP350+IF(C351="崩溃点",E351,0)))</x:f>
        <x:v>0</x:v>
      </x:c>
      <x:c r="BQ351">
        <x:f>MAX(0,MIN(BK351,IF(AND(H351=1,C351="重要关系1",LEFT('幕间与结算'!H258,8)="建立新的重要关系"),'幕间与结算'!E258+E351,BQ350+IF(C351="重要关系1",E351,0)+IF(AND(C351="魅力",E351&lt;0),E351,0))))</x:f>
        <x:v>0</x:v>
      </x:c>
      <x:c r="BR351">
        <x:f>MAX(0,MIN(BK351,IF(AND(H351=1,C351="重要关系2",LEFT('幕间与结算'!H258,8)="建立新的重要关系"),'幕间与结算'!E258+E351,BR350+IF(C351="重要关系2",E351,0)+IF(AND(C351="魅力",E351&lt;0),E351,0))))</x:f>
        <x:v>0</x:v>
      </x:c>
      <x:c r="BS351">
        <x:f>MAX(0,MIN(BK351,IF(AND(H351=1,C351="重要关系3",LEFT('幕间与结算'!H258,8)="建立新的重要关系"),'幕间与结算'!E258+E351,BS350+IF(C351="重要关系3",E351,0)+IF(AND(C351="魅力",E351&lt;0),E351,0))))</x:f>
        <x:v>0</x:v>
      </x:c>
      <x:c r="BT351">
        <x:f>MAX(0,MIN(BK351,IF(AND(H351=1,C351="重要关系4",LEFT('幕间与结算'!H258,8)="建立新的重要关系"),'幕间与结算'!E258+E351,BT350+IF(C351="重要关系4",E351,0)+IF(AND(C351="魅力",E351&lt;0),E351,0))))</x:f>
        <x:v>0</x:v>
      </x:c>
      <x:c r="BU351">
        <x:f>MAX(0,MIN(BK351,IF(AND(H351=1,C351="重要关系5",LEFT('幕间与结算'!H258,8)="建立新的重要关系"),'幕间与结算'!E258+E351,BU350+IF(C351="重要关系5",E351,0)+IF(AND(C351="魅力",E351&lt;0),E351,0))))</x:f>
        <x:v>0</x:v>
      </x:c>
      <x:c r="BV351">
        <x:f>MAX(0,MIN(BK351,IF(AND(H351=1,C351="重要关系6",LEFT('幕间与结算'!H258,8)="建立新的重要关系"),'幕间与结算'!E258+E351,BV350+IF(C351="重要关系6",E351,0)+IF(AND(C351="魅力",E351&lt;0),E351,0))))</x:f>
        <x:v>0</x:v>
      </x:c>
      <x:c r="BW351">
        <x:f>MAX(0,MIN(BK351,IF(AND(H351=1,C351="重要关系7",LEFT('幕间与结算'!H258,8)="建立新的重要关系"),'幕间与结算'!E258+E351,BW350+IF(C351="重要关系7",E351,0)+IF(AND(C351="魅力",E351&lt;0),E351,0))))</x:f>
        <x:v>0</x:v>
      </x:c>
    </x:row>
    <x:row r="352">
      <x:c r="A352" t="str">
        <x:f>IFERROR(TEXT(VALUE('幕间与结算'!A259),"00"),"")</x:f>
        <x:v>00</x:v>
      </x:c>
      <x:c r="B352">
        <x:f>'幕间与结算'!B259</x:f>
        <x:v>0</x:v>
      </x:c>
      <x:c r="C352">
        <x:f>'幕间与结算'!D259</x:f>
        <x:v>0</x:v>
      </x:c>
      <x:c r="D352">
        <x:f>'幕间与结算'!F259</x:f>
        <x:v>0</x:v>
      </x:c>
      <x:c r="E352">
        <x:f>IF(H352=1,MAX(-'幕间与结算'!E259,MIN(D352,IF(LEFT(C352,3)="技能：",99,IF(COUNTIF($L$2:$L$7,C352)&gt;0,18,999))-'幕间与结算'!E259)),0)</x:f>
        <x:v>0</x:v>
      </x:c>
      <x:c r="F352" t="str">
        <x:f>IF(C352=0,"",IF(G352=0,"记录不完整",IF(H352=0,"重复未计","已计入")))</x:f>
        <x:v/>
      </x:c>
      <x:c r="G352">
        <x:f>IF(AND(AND('幕间与结算'!A259&lt;&gt;"",'幕间与结算'!B259&lt;&gt;"",'幕间与结算'!I259&lt;&gt;"",OR(LEFT(C352,3)="技能：",COUNTIF($L$2:$L$19,C352)&gt;0),ISNUMBER('幕间与结算'!E259),ISNUMBER('幕间与结算'!F259),ISNUMBER('幕间与结算'!G259),'幕间与结算'!E259&gt;=0,'幕间与结算'!G259='幕间与结算'!E259+'幕间与结算'!F259),OR(B352&lt;&gt;"成长",AND(LEFT(C352,3)="技能：",C352&lt;&gt;"技能：非自然知识",'幕间与结算'!E259&gt;=1,'幕间与结算'!E259&lt;=99,'幕间与结算'!F259&gt;=0,'幕间与结算'!F259&lt;=4,'幕间与结算'!G259&lt;=99))),1,0)</x:f>
        <x:v>0</x:v>
      </x:c>
      <x:c r="H352">
        <x:f>IF(AND(G352=1,COUNTIFS($I$200:I352,I352,$G$200:G352,1)=1),1,0)</x:f>
        <x:v>0</x:v>
      </x:c>
      <x:c r="I352" t="str">
        <x:f>IF(G352=1,IF(B352="成长",A352&amp;"-成长-"&amp;C352,'幕间与结算'!I259),"")</x:f>
        <x:v/>
      </x:c>
      <x:c r="BF352">
        <x:f>MAX(0,MIN(18,BF351+IF(C352="力量",E352,0)))</x:f>
        <x:v>0</x:v>
      </x:c>
      <x:c r="BG352">
        <x:f>MAX(0,MIN(18,BG351+IF(C352="体质",E352,0)))</x:f>
        <x:v>0</x:v>
      </x:c>
      <x:c r="BH352">
        <x:f>MAX(0,MIN(18,BH351+IF(C352="敏捷",E352,0)))</x:f>
        <x:v>0</x:v>
      </x:c>
      <x:c r="BI352">
        <x:f>MAX(0,MIN(18,BI351+IF(C352="智力",E352,0)))</x:f>
        <x:v>0</x:v>
      </x:c>
      <x:c r="BJ352">
        <x:f>MAX(0,MIN(18,BJ351+IF(C352="意志",E352,0)))</x:f>
        <x:v>0</x:v>
      </x:c>
      <x:c r="BK352">
        <x:f>MAX(0,MIN(18,BK351+IF(C352="魅力",E352,0)))</x:f>
        <x:v>0</x:v>
      </x:c>
      <x:c r="BL352">
        <x:f>MAX(0,MIN(99,BL351+IF(C352="技能：非自然知识",E352,0)))</x:f>
        <x:v>0</x:v>
      </x:c>
      <x:c r="BM352">
        <x:f>MAX(0,MIN(CEILING((BF352+BG352)/2,1),BM351+IF(C352="体力",E352,0)))</x:f>
        <x:v>0</x:v>
      </x:c>
      <x:c r="BN352">
        <x:f>MAX(0,MIN(BJ352,BN351+IF(C352="毅力",E352,0)))</x:f>
        <x:v>0</x:v>
      </x:c>
      <x:c r="BO352">
        <x:f>MAX(0,MIN(99-BL352,BO351+IF(C352="理智",E352,0)))</x:f>
        <x:v>0</x:v>
      </x:c>
      <x:c r="BP352">
        <x:f>MAX(0,MIN(99,BP351+IF(C352="崩溃点",E352,0)))</x:f>
        <x:v>0</x:v>
      </x:c>
      <x:c r="BQ352">
        <x:f>MAX(0,MIN(BK352,IF(AND(H352=1,C352="重要关系1",LEFT('幕间与结算'!H259,8)="建立新的重要关系"),'幕间与结算'!E259+E352,BQ351+IF(C352="重要关系1",E352,0)+IF(AND(C352="魅力",E352&lt;0),E352,0))))</x:f>
        <x:v>0</x:v>
      </x:c>
      <x:c r="BR352">
        <x:f>MAX(0,MIN(BK352,IF(AND(H352=1,C352="重要关系2",LEFT('幕间与结算'!H259,8)="建立新的重要关系"),'幕间与结算'!E259+E352,BR351+IF(C352="重要关系2",E352,0)+IF(AND(C352="魅力",E352&lt;0),E352,0))))</x:f>
        <x:v>0</x:v>
      </x:c>
      <x:c r="BS352">
        <x:f>MAX(0,MIN(BK352,IF(AND(H352=1,C352="重要关系3",LEFT('幕间与结算'!H259,8)="建立新的重要关系"),'幕间与结算'!E259+E352,BS351+IF(C352="重要关系3",E352,0)+IF(AND(C352="魅力",E352&lt;0),E352,0))))</x:f>
        <x:v>0</x:v>
      </x:c>
      <x:c r="BT352">
        <x:f>MAX(0,MIN(BK352,IF(AND(H352=1,C352="重要关系4",LEFT('幕间与结算'!H259,8)="建立新的重要关系"),'幕间与结算'!E259+E352,BT351+IF(C352="重要关系4",E352,0)+IF(AND(C352="魅力",E352&lt;0),E352,0))))</x:f>
        <x:v>0</x:v>
      </x:c>
      <x:c r="BU352">
        <x:f>MAX(0,MIN(BK352,IF(AND(H352=1,C352="重要关系5",LEFT('幕间与结算'!H259,8)="建立新的重要关系"),'幕间与结算'!E259+E352,BU351+IF(C352="重要关系5",E352,0)+IF(AND(C352="魅力",E352&lt;0),E352,0))))</x:f>
        <x:v>0</x:v>
      </x:c>
      <x:c r="BV352">
        <x:f>MAX(0,MIN(BK352,IF(AND(H352=1,C352="重要关系6",LEFT('幕间与结算'!H259,8)="建立新的重要关系"),'幕间与结算'!E259+E352,BV351+IF(C352="重要关系6",E352,0)+IF(AND(C352="魅力",E352&lt;0),E352,0))))</x:f>
        <x:v>0</x:v>
      </x:c>
      <x:c r="BW352">
        <x:f>MAX(0,MIN(BK352,IF(AND(H352=1,C352="重要关系7",LEFT('幕间与结算'!H259,8)="建立新的重要关系"),'幕间与结算'!E259+E352,BW351+IF(C352="重要关系7",E352,0)+IF(AND(C352="魅力",E352&lt;0),E352,0))))</x:f>
        <x:v>0</x:v>
      </x:c>
    </x:row>
    <x:row r="353">
      <x:c r="A353" t="str">
        <x:f>IFERROR(TEXT(VALUE('幕间与结算'!A260),"00"),"")</x:f>
        <x:v>00</x:v>
      </x:c>
      <x:c r="B353">
        <x:f>'幕间与结算'!B260</x:f>
        <x:v>0</x:v>
      </x:c>
      <x:c r="C353">
        <x:f>'幕间与结算'!D260</x:f>
        <x:v>0</x:v>
      </x:c>
      <x:c r="D353">
        <x:f>'幕间与结算'!F260</x:f>
        <x:v>0</x:v>
      </x:c>
      <x:c r="E353">
        <x:f>IF(H353=1,MAX(-'幕间与结算'!E260,MIN(D353,IF(LEFT(C353,3)="技能：",99,IF(COUNTIF($L$2:$L$7,C353)&gt;0,18,999))-'幕间与结算'!E260)),0)</x:f>
        <x:v>0</x:v>
      </x:c>
      <x:c r="F353" t="str">
        <x:f>IF(C353=0,"",IF(G353=0,"记录不完整",IF(H353=0,"重复未计","已计入")))</x:f>
        <x:v/>
      </x:c>
      <x:c r="G353">
        <x:f>IF(AND(AND('幕间与结算'!A260&lt;&gt;"",'幕间与结算'!B260&lt;&gt;"",'幕间与结算'!I260&lt;&gt;"",OR(LEFT(C353,3)="技能：",COUNTIF($L$2:$L$19,C353)&gt;0),ISNUMBER('幕间与结算'!E260),ISNUMBER('幕间与结算'!F260),ISNUMBER('幕间与结算'!G260),'幕间与结算'!E260&gt;=0,'幕间与结算'!G260='幕间与结算'!E260+'幕间与结算'!F260),OR(B353&lt;&gt;"成长",AND(LEFT(C353,3)="技能：",C353&lt;&gt;"技能：非自然知识",'幕间与结算'!E260&gt;=1,'幕间与结算'!E260&lt;=99,'幕间与结算'!F260&gt;=0,'幕间与结算'!F260&lt;=4,'幕间与结算'!G260&lt;=99))),1,0)</x:f>
        <x:v>0</x:v>
      </x:c>
      <x:c r="H353">
        <x:f>IF(AND(G353=1,COUNTIFS($I$200:I353,I353,$G$200:G353,1)=1),1,0)</x:f>
        <x:v>0</x:v>
      </x:c>
      <x:c r="I353" t="str">
        <x:f>IF(G353=1,IF(B353="成长",A353&amp;"-成长-"&amp;C353,'幕间与结算'!I260),"")</x:f>
        <x:v/>
      </x:c>
      <x:c r="BF353">
        <x:f>MAX(0,MIN(18,BF352+IF(C353="力量",E353,0)))</x:f>
        <x:v>0</x:v>
      </x:c>
      <x:c r="BG353">
        <x:f>MAX(0,MIN(18,BG352+IF(C353="体质",E353,0)))</x:f>
        <x:v>0</x:v>
      </x:c>
      <x:c r="BH353">
        <x:f>MAX(0,MIN(18,BH352+IF(C353="敏捷",E353,0)))</x:f>
        <x:v>0</x:v>
      </x:c>
      <x:c r="BI353">
        <x:f>MAX(0,MIN(18,BI352+IF(C353="智力",E353,0)))</x:f>
        <x:v>0</x:v>
      </x:c>
      <x:c r="BJ353">
        <x:f>MAX(0,MIN(18,BJ352+IF(C353="意志",E353,0)))</x:f>
        <x:v>0</x:v>
      </x:c>
      <x:c r="BK353">
        <x:f>MAX(0,MIN(18,BK352+IF(C353="魅力",E353,0)))</x:f>
        <x:v>0</x:v>
      </x:c>
      <x:c r="BL353">
        <x:f>MAX(0,MIN(99,BL352+IF(C353="技能：非自然知识",E353,0)))</x:f>
        <x:v>0</x:v>
      </x:c>
      <x:c r="BM353">
        <x:f>MAX(0,MIN(CEILING((BF353+BG353)/2,1),BM352+IF(C353="体力",E353,0)))</x:f>
        <x:v>0</x:v>
      </x:c>
      <x:c r="BN353">
        <x:f>MAX(0,MIN(BJ353,BN352+IF(C353="毅力",E353,0)))</x:f>
        <x:v>0</x:v>
      </x:c>
      <x:c r="BO353">
        <x:f>MAX(0,MIN(99-BL353,BO352+IF(C353="理智",E353,0)))</x:f>
        <x:v>0</x:v>
      </x:c>
      <x:c r="BP353">
        <x:f>MAX(0,MIN(99,BP352+IF(C353="崩溃点",E353,0)))</x:f>
        <x:v>0</x:v>
      </x:c>
      <x:c r="BQ353">
        <x:f>MAX(0,MIN(BK353,IF(AND(H353=1,C353="重要关系1",LEFT('幕间与结算'!H260,8)="建立新的重要关系"),'幕间与结算'!E260+E353,BQ352+IF(C353="重要关系1",E353,0)+IF(AND(C353="魅力",E353&lt;0),E353,0))))</x:f>
        <x:v>0</x:v>
      </x:c>
      <x:c r="BR353">
        <x:f>MAX(0,MIN(BK353,IF(AND(H353=1,C353="重要关系2",LEFT('幕间与结算'!H260,8)="建立新的重要关系"),'幕间与结算'!E260+E353,BR352+IF(C353="重要关系2",E353,0)+IF(AND(C353="魅力",E353&lt;0),E353,0))))</x:f>
        <x:v>0</x:v>
      </x:c>
      <x:c r="BS353">
        <x:f>MAX(0,MIN(BK353,IF(AND(H353=1,C353="重要关系3",LEFT('幕间与结算'!H260,8)="建立新的重要关系"),'幕间与结算'!E260+E353,BS352+IF(C353="重要关系3",E353,0)+IF(AND(C353="魅力",E353&lt;0),E353,0))))</x:f>
        <x:v>0</x:v>
      </x:c>
      <x:c r="BT353">
        <x:f>MAX(0,MIN(BK353,IF(AND(H353=1,C353="重要关系4",LEFT('幕间与结算'!H260,8)="建立新的重要关系"),'幕间与结算'!E260+E353,BT352+IF(C353="重要关系4",E353,0)+IF(AND(C353="魅力",E353&lt;0),E353,0))))</x:f>
        <x:v>0</x:v>
      </x:c>
      <x:c r="BU353">
        <x:f>MAX(0,MIN(BK353,IF(AND(H353=1,C353="重要关系5",LEFT('幕间与结算'!H260,8)="建立新的重要关系"),'幕间与结算'!E260+E353,BU352+IF(C353="重要关系5",E353,0)+IF(AND(C353="魅力",E353&lt;0),E353,0))))</x:f>
        <x:v>0</x:v>
      </x:c>
      <x:c r="BV353">
        <x:f>MAX(0,MIN(BK353,IF(AND(H353=1,C353="重要关系6",LEFT('幕间与结算'!H260,8)="建立新的重要关系"),'幕间与结算'!E260+E353,BV352+IF(C353="重要关系6",E353,0)+IF(AND(C353="魅力",E353&lt;0),E353,0))))</x:f>
        <x:v>0</x:v>
      </x:c>
      <x:c r="BW353">
        <x:f>MAX(0,MIN(BK353,IF(AND(H353=1,C353="重要关系7",LEFT('幕间与结算'!H260,8)="建立新的重要关系"),'幕间与结算'!E260+E353,BW352+IF(C353="重要关系7",E353,0)+IF(AND(C353="魅力",E353&lt;0),E353,0))))</x:f>
        <x:v>0</x:v>
      </x:c>
    </x:row>
    <x:row r="354">
      <x:c r="A354" t="str">
        <x:f>IFERROR(TEXT(VALUE('幕间与结算'!A261),"00"),"")</x:f>
        <x:v>00</x:v>
      </x:c>
      <x:c r="B354">
        <x:f>'幕间与结算'!B261</x:f>
        <x:v>0</x:v>
      </x:c>
      <x:c r="C354">
        <x:f>'幕间与结算'!D261</x:f>
        <x:v>0</x:v>
      </x:c>
      <x:c r="D354">
        <x:f>'幕间与结算'!F261</x:f>
        <x:v>0</x:v>
      </x:c>
      <x:c r="E354">
        <x:f>IF(H354=1,MAX(-'幕间与结算'!E261,MIN(D354,IF(LEFT(C354,3)="技能：",99,IF(COUNTIF($L$2:$L$7,C354)&gt;0,18,999))-'幕间与结算'!E261)),0)</x:f>
        <x:v>0</x:v>
      </x:c>
      <x:c r="F354" t="str">
        <x:f>IF(C354=0,"",IF(G354=0,"记录不完整",IF(H354=0,"重复未计","已计入")))</x:f>
        <x:v/>
      </x:c>
      <x:c r="G354">
        <x:f>IF(AND(AND('幕间与结算'!A261&lt;&gt;"",'幕间与结算'!B261&lt;&gt;"",'幕间与结算'!I261&lt;&gt;"",OR(LEFT(C354,3)="技能：",COUNTIF($L$2:$L$19,C354)&gt;0),ISNUMBER('幕间与结算'!E261),ISNUMBER('幕间与结算'!F261),ISNUMBER('幕间与结算'!G261),'幕间与结算'!E261&gt;=0,'幕间与结算'!G261='幕间与结算'!E261+'幕间与结算'!F261),OR(B354&lt;&gt;"成长",AND(LEFT(C354,3)="技能：",C354&lt;&gt;"技能：非自然知识",'幕间与结算'!E261&gt;=1,'幕间与结算'!E261&lt;=99,'幕间与结算'!F261&gt;=0,'幕间与结算'!F261&lt;=4,'幕间与结算'!G261&lt;=99))),1,0)</x:f>
        <x:v>0</x:v>
      </x:c>
      <x:c r="H354">
        <x:f>IF(AND(G354=1,COUNTIFS($I$200:I354,I354,$G$200:G354,1)=1),1,0)</x:f>
        <x:v>0</x:v>
      </x:c>
      <x:c r="I354" t="str">
        <x:f>IF(G354=1,IF(B354="成长",A354&amp;"-成长-"&amp;C354,'幕间与结算'!I261),"")</x:f>
        <x:v/>
      </x:c>
      <x:c r="BF354">
        <x:f>MAX(0,MIN(18,BF353+IF(C354="力量",E354,0)))</x:f>
        <x:v>0</x:v>
      </x:c>
      <x:c r="BG354">
        <x:f>MAX(0,MIN(18,BG353+IF(C354="体质",E354,0)))</x:f>
        <x:v>0</x:v>
      </x:c>
      <x:c r="BH354">
        <x:f>MAX(0,MIN(18,BH353+IF(C354="敏捷",E354,0)))</x:f>
        <x:v>0</x:v>
      </x:c>
      <x:c r="BI354">
        <x:f>MAX(0,MIN(18,BI353+IF(C354="智力",E354,0)))</x:f>
        <x:v>0</x:v>
      </x:c>
      <x:c r="BJ354">
        <x:f>MAX(0,MIN(18,BJ353+IF(C354="意志",E354,0)))</x:f>
        <x:v>0</x:v>
      </x:c>
      <x:c r="BK354">
        <x:f>MAX(0,MIN(18,BK353+IF(C354="魅力",E354,0)))</x:f>
        <x:v>0</x:v>
      </x:c>
      <x:c r="BL354">
        <x:f>MAX(0,MIN(99,BL353+IF(C354="技能：非自然知识",E354,0)))</x:f>
        <x:v>0</x:v>
      </x:c>
      <x:c r="BM354">
        <x:f>MAX(0,MIN(CEILING((BF354+BG354)/2,1),BM353+IF(C354="体力",E354,0)))</x:f>
        <x:v>0</x:v>
      </x:c>
      <x:c r="BN354">
        <x:f>MAX(0,MIN(BJ354,BN353+IF(C354="毅力",E354,0)))</x:f>
        <x:v>0</x:v>
      </x:c>
      <x:c r="BO354">
        <x:f>MAX(0,MIN(99-BL354,BO353+IF(C354="理智",E354,0)))</x:f>
        <x:v>0</x:v>
      </x:c>
      <x:c r="BP354">
        <x:f>MAX(0,MIN(99,BP353+IF(C354="崩溃点",E354,0)))</x:f>
        <x:v>0</x:v>
      </x:c>
      <x:c r="BQ354">
        <x:f>MAX(0,MIN(BK354,IF(AND(H354=1,C354="重要关系1",LEFT('幕间与结算'!H261,8)="建立新的重要关系"),'幕间与结算'!E261+E354,BQ353+IF(C354="重要关系1",E354,0)+IF(AND(C354="魅力",E354&lt;0),E354,0))))</x:f>
        <x:v>0</x:v>
      </x:c>
      <x:c r="BR354">
        <x:f>MAX(0,MIN(BK354,IF(AND(H354=1,C354="重要关系2",LEFT('幕间与结算'!H261,8)="建立新的重要关系"),'幕间与结算'!E261+E354,BR353+IF(C354="重要关系2",E354,0)+IF(AND(C354="魅力",E354&lt;0),E354,0))))</x:f>
        <x:v>0</x:v>
      </x:c>
      <x:c r="BS354">
        <x:f>MAX(0,MIN(BK354,IF(AND(H354=1,C354="重要关系3",LEFT('幕间与结算'!H261,8)="建立新的重要关系"),'幕间与结算'!E261+E354,BS353+IF(C354="重要关系3",E354,0)+IF(AND(C354="魅力",E354&lt;0),E354,0))))</x:f>
        <x:v>0</x:v>
      </x:c>
      <x:c r="BT354">
        <x:f>MAX(0,MIN(BK354,IF(AND(H354=1,C354="重要关系4",LEFT('幕间与结算'!H261,8)="建立新的重要关系"),'幕间与结算'!E261+E354,BT353+IF(C354="重要关系4",E354,0)+IF(AND(C354="魅力",E354&lt;0),E354,0))))</x:f>
        <x:v>0</x:v>
      </x:c>
      <x:c r="BU354">
        <x:f>MAX(0,MIN(BK354,IF(AND(H354=1,C354="重要关系5",LEFT('幕间与结算'!H261,8)="建立新的重要关系"),'幕间与结算'!E261+E354,BU353+IF(C354="重要关系5",E354,0)+IF(AND(C354="魅力",E354&lt;0),E354,0))))</x:f>
        <x:v>0</x:v>
      </x:c>
      <x:c r="BV354">
        <x:f>MAX(0,MIN(BK354,IF(AND(H354=1,C354="重要关系6",LEFT('幕间与结算'!H261,8)="建立新的重要关系"),'幕间与结算'!E261+E354,BV353+IF(C354="重要关系6",E354,0)+IF(AND(C354="魅力",E354&lt;0),E354,0))))</x:f>
        <x:v>0</x:v>
      </x:c>
      <x:c r="BW354">
        <x:f>MAX(0,MIN(BK354,IF(AND(H354=1,C354="重要关系7",LEFT('幕间与结算'!H261,8)="建立新的重要关系"),'幕间与结算'!E261+E354,BW353+IF(C354="重要关系7",E354,0)+IF(AND(C354="魅力",E354&lt;0),E354,0))))</x:f>
        <x:v>0</x:v>
      </x:c>
    </x:row>
    <x:row r="355">
      <x:c r="A355" t="str">
        <x:f>IFERROR(TEXT(VALUE('幕间与结算'!A262),"00"),"")</x:f>
        <x:v>00</x:v>
      </x:c>
      <x:c r="B355">
        <x:f>'幕间与结算'!B262</x:f>
        <x:v>0</x:v>
      </x:c>
      <x:c r="C355">
        <x:f>'幕间与结算'!D262</x:f>
        <x:v>0</x:v>
      </x:c>
      <x:c r="D355">
        <x:f>'幕间与结算'!F262</x:f>
        <x:v>0</x:v>
      </x:c>
      <x:c r="E355">
        <x:f>IF(H355=1,MAX(-'幕间与结算'!E262,MIN(D355,IF(LEFT(C355,3)="技能：",99,IF(COUNTIF($L$2:$L$7,C355)&gt;0,18,999))-'幕间与结算'!E262)),0)</x:f>
        <x:v>0</x:v>
      </x:c>
      <x:c r="F355" t="str">
        <x:f>IF(C355=0,"",IF(G355=0,"记录不完整",IF(H355=0,"重复未计","已计入")))</x:f>
        <x:v/>
      </x:c>
      <x:c r="G355">
        <x:f>IF(AND(AND('幕间与结算'!A262&lt;&gt;"",'幕间与结算'!B262&lt;&gt;"",'幕间与结算'!I262&lt;&gt;"",OR(LEFT(C355,3)="技能：",COUNTIF($L$2:$L$19,C355)&gt;0),ISNUMBER('幕间与结算'!E262),ISNUMBER('幕间与结算'!F262),ISNUMBER('幕间与结算'!G262),'幕间与结算'!E262&gt;=0,'幕间与结算'!G262='幕间与结算'!E262+'幕间与结算'!F262),OR(B355&lt;&gt;"成长",AND(LEFT(C355,3)="技能：",C355&lt;&gt;"技能：非自然知识",'幕间与结算'!E262&gt;=1,'幕间与结算'!E262&lt;=99,'幕间与结算'!F262&gt;=0,'幕间与结算'!F262&lt;=4,'幕间与结算'!G262&lt;=99))),1,0)</x:f>
        <x:v>0</x:v>
      </x:c>
      <x:c r="H355">
        <x:f>IF(AND(G355=1,COUNTIFS($I$200:I355,I355,$G$200:G355,1)=1),1,0)</x:f>
        <x:v>0</x:v>
      </x:c>
      <x:c r="I355" t="str">
        <x:f>IF(G355=1,IF(B355="成长",A355&amp;"-成长-"&amp;C355,'幕间与结算'!I262),"")</x:f>
        <x:v/>
      </x:c>
      <x:c r="BF355">
        <x:f>MAX(0,MIN(18,BF354+IF(C355="力量",E355,0)))</x:f>
        <x:v>0</x:v>
      </x:c>
      <x:c r="BG355">
        <x:f>MAX(0,MIN(18,BG354+IF(C355="体质",E355,0)))</x:f>
        <x:v>0</x:v>
      </x:c>
      <x:c r="BH355">
        <x:f>MAX(0,MIN(18,BH354+IF(C355="敏捷",E355,0)))</x:f>
        <x:v>0</x:v>
      </x:c>
      <x:c r="BI355">
        <x:f>MAX(0,MIN(18,BI354+IF(C355="智力",E355,0)))</x:f>
        <x:v>0</x:v>
      </x:c>
      <x:c r="BJ355">
        <x:f>MAX(0,MIN(18,BJ354+IF(C355="意志",E355,0)))</x:f>
        <x:v>0</x:v>
      </x:c>
      <x:c r="BK355">
        <x:f>MAX(0,MIN(18,BK354+IF(C355="魅力",E355,0)))</x:f>
        <x:v>0</x:v>
      </x:c>
      <x:c r="BL355">
        <x:f>MAX(0,MIN(99,BL354+IF(C355="技能：非自然知识",E355,0)))</x:f>
        <x:v>0</x:v>
      </x:c>
      <x:c r="BM355">
        <x:f>MAX(0,MIN(CEILING((BF355+BG355)/2,1),BM354+IF(C355="体力",E355,0)))</x:f>
        <x:v>0</x:v>
      </x:c>
      <x:c r="BN355">
        <x:f>MAX(0,MIN(BJ355,BN354+IF(C355="毅力",E355,0)))</x:f>
        <x:v>0</x:v>
      </x:c>
      <x:c r="BO355">
        <x:f>MAX(0,MIN(99-BL355,BO354+IF(C355="理智",E355,0)))</x:f>
        <x:v>0</x:v>
      </x:c>
      <x:c r="BP355">
        <x:f>MAX(0,MIN(99,BP354+IF(C355="崩溃点",E355,0)))</x:f>
        <x:v>0</x:v>
      </x:c>
      <x:c r="BQ355">
        <x:f>MAX(0,MIN(BK355,IF(AND(H355=1,C355="重要关系1",LEFT('幕间与结算'!H262,8)="建立新的重要关系"),'幕间与结算'!E262+E355,BQ354+IF(C355="重要关系1",E355,0)+IF(AND(C355="魅力",E355&lt;0),E355,0))))</x:f>
        <x:v>0</x:v>
      </x:c>
      <x:c r="BR355">
        <x:f>MAX(0,MIN(BK355,IF(AND(H355=1,C355="重要关系2",LEFT('幕间与结算'!H262,8)="建立新的重要关系"),'幕间与结算'!E262+E355,BR354+IF(C355="重要关系2",E355,0)+IF(AND(C355="魅力",E355&lt;0),E355,0))))</x:f>
        <x:v>0</x:v>
      </x:c>
      <x:c r="BS355">
        <x:f>MAX(0,MIN(BK355,IF(AND(H355=1,C355="重要关系3",LEFT('幕间与结算'!H262,8)="建立新的重要关系"),'幕间与结算'!E262+E355,BS354+IF(C355="重要关系3",E355,0)+IF(AND(C355="魅力",E355&lt;0),E355,0))))</x:f>
        <x:v>0</x:v>
      </x:c>
      <x:c r="BT355">
        <x:f>MAX(0,MIN(BK355,IF(AND(H355=1,C355="重要关系4",LEFT('幕间与结算'!H262,8)="建立新的重要关系"),'幕间与结算'!E262+E355,BT354+IF(C355="重要关系4",E355,0)+IF(AND(C355="魅力",E355&lt;0),E355,0))))</x:f>
        <x:v>0</x:v>
      </x:c>
      <x:c r="BU355">
        <x:f>MAX(0,MIN(BK355,IF(AND(H355=1,C355="重要关系5",LEFT('幕间与结算'!H262,8)="建立新的重要关系"),'幕间与结算'!E262+E355,BU354+IF(C355="重要关系5",E355,0)+IF(AND(C355="魅力",E355&lt;0),E355,0))))</x:f>
        <x:v>0</x:v>
      </x:c>
      <x:c r="BV355">
        <x:f>MAX(0,MIN(BK355,IF(AND(H355=1,C355="重要关系6",LEFT('幕间与结算'!H262,8)="建立新的重要关系"),'幕间与结算'!E262+E355,BV354+IF(C355="重要关系6",E355,0)+IF(AND(C355="魅力",E355&lt;0),E355,0))))</x:f>
        <x:v>0</x:v>
      </x:c>
      <x:c r="BW355">
        <x:f>MAX(0,MIN(BK355,IF(AND(H355=1,C355="重要关系7",LEFT('幕间与结算'!H262,8)="建立新的重要关系"),'幕间与结算'!E262+E355,BW354+IF(C355="重要关系7",E355,0)+IF(AND(C355="魅力",E355&lt;0),E355,0))))</x:f>
        <x:v>0</x:v>
      </x:c>
    </x:row>
    <x:row r="356">
      <x:c r="A356" t="str">
        <x:f>IFERROR(TEXT(VALUE('幕间与结算'!A263),"00"),"")</x:f>
        <x:v>00</x:v>
      </x:c>
      <x:c r="B356">
        <x:f>'幕间与结算'!B263</x:f>
        <x:v>0</x:v>
      </x:c>
      <x:c r="C356">
        <x:f>'幕间与结算'!D263</x:f>
        <x:v>0</x:v>
      </x:c>
      <x:c r="D356">
        <x:f>'幕间与结算'!F263</x:f>
        <x:v>0</x:v>
      </x:c>
      <x:c r="E356">
        <x:f>IF(H356=1,MAX(-'幕间与结算'!E263,MIN(D356,IF(LEFT(C356,3)="技能：",99,IF(COUNTIF($L$2:$L$7,C356)&gt;0,18,999))-'幕间与结算'!E263)),0)</x:f>
        <x:v>0</x:v>
      </x:c>
      <x:c r="F356" t="str">
        <x:f>IF(C356=0,"",IF(G356=0,"记录不完整",IF(H356=0,"重复未计","已计入")))</x:f>
        <x:v/>
      </x:c>
      <x:c r="G356">
        <x:f>IF(AND(AND('幕间与结算'!A263&lt;&gt;"",'幕间与结算'!B263&lt;&gt;"",'幕间与结算'!I263&lt;&gt;"",OR(LEFT(C356,3)="技能：",COUNTIF($L$2:$L$19,C356)&gt;0),ISNUMBER('幕间与结算'!E263),ISNUMBER('幕间与结算'!F263),ISNUMBER('幕间与结算'!G263),'幕间与结算'!E263&gt;=0,'幕间与结算'!G263='幕间与结算'!E263+'幕间与结算'!F263),OR(B356&lt;&gt;"成长",AND(LEFT(C356,3)="技能：",C356&lt;&gt;"技能：非自然知识",'幕间与结算'!E263&gt;=1,'幕间与结算'!E263&lt;=99,'幕间与结算'!F263&gt;=0,'幕间与结算'!F263&lt;=4,'幕间与结算'!G263&lt;=99))),1,0)</x:f>
        <x:v>0</x:v>
      </x:c>
      <x:c r="H356">
        <x:f>IF(AND(G356=1,COUNTIFS($I$200:I356,I356,$G$200:G356,1)=1),1,0)</x:f>
        <x:v>0</x:v>
      </x:c>
      <x:c r="I356" t="str">
        <x:f>IF(G356=1,IF(B356="成长",A356&amp;"-成长-"&amp;C356,'幕间与结算'!I263),"")</x:f>
        <x:v/>
      </x:c>
      <x:c r="BF356">
        <x:f>MAX(0,MIN(18,BF355+IF(C356="力量",E356,0)))</x:f>
        <x:v>0</x:v>
      </x:c>
      <x:c r="BG356">
        <x:f>MAX(0,MIN(18,BG355+IF(C356="体质",E356,0)))</x:f>
        <x:v>0</x:v>
      </x:c>
      <x:c r="BH356">
        <x:f>MAX(0,MIN(18,BH355+IF(C356="敏捷",E356,0)))</x:f>
        <x:v>0</x:v>
      </x:c>
      <x:c r="BI356">
        <x:f>MAX(0,MIN(18,BI355+IF(C356="智力",E356,0)))</x:f>
        <x:v>0</x:v>
      </x:c>
      <x:c r="BJ356">
        <x:f>MAX(0,MIN(18,BJ355+IF(C356="意志",E356,0)))</x:f>
        <x:v>0</x:v>
      </x:c>
      <x:c r="BK356">
        <x:f>MAX(0,MIN(18,BK355+IF(C356="魅力",E356,0)))</x:f>
        <x:v>0</x:v>
      </x:c>
      <x:c r="BL356">
        <x:f>MAX(0,MIN(99,BL355+IF(C356="技能：非自然知识",E356,0)))</x:f>
        <x:v>0</x:v>
      </x:c>
      <x:c r="BM356">
        <x:f>MAX(0,MIN(CEILING((BF356+BG356)/2,1),BM355+IF(C356="体力",E356,0)))</x:f>
        <x:v>0</x:v>
      </x:c>
      <x:c r="BN356">
        <x:f>MAX(0,MIN(BJ356,BN355+IF(C356="毅力",E356,0)))</x:f>
        <x:v>0</x:v>
      </x:c>
      <x:c r="BO356">
        <x:f>MAX(0,MIN(99-BL356,BO355+IF(C356="理智",E356,0)))</x:f>
        <x:v>0</x:v>
      </x:c>
      <x:c r="BP356">
        <x:f>MAX(0,MIN(99,BP355+IF(C356="崩溃点",E356,0)))</x:f>
        <x:v>0</x:v>
      </x:c>
      <x:c r="BQ356">
        <x:f>MAX(0,MIN(BK356,IF(AND(H356=1,C356="重要关系1",LEFT('幕间与结算'!H263,8)="建立新的重要关系"),'幕间与结算'!E263+E356,BQ355+IF(C356="重要关系1",E356,0)+IF(AND(C356="魅力",E356&lt;0),E356,0))))</x:f>
        <x:v>0</x:v>
      </x:c>
      <x:c r="BR356">
        <x:f>MAX(0,MIN(BK356,IF(AND(H356=1,C356="重要关系2",LEFT('幕间与结算'!H263,8)="建立新的重要关系"),'幕间与结算'!E263+E356,BR355+IF(C356="重要关系2",E356,0)+IF(AND(C356="魅力",E356&lt;0),E356,0))))</x:f>
        <x:v>0</x:v>
      </x:c>
      <x:c r="BS356">
        <x:f>MAX(0,MIN(BK356,IF(AND(H356=1,C356="重要关系3",LEFT('幕间与结算'!H263,8)="建立新的重要关系"),'幕间与结算'!E263+E356,BS355+IF(C356="重要关系3",E356,0)+IF(AND(C356="魅力",E356&lt;0),E356,0))))</x:f>
        <x:v>0</x:v>
      </x:c>
      <x:c r="BT356">
        <x:f>MAX(0,MIN(BK356,IF(AND(H356=1,C356="重要关系4",LEFT('幕间与结算'!H263,8)="建立新的重要关系"),'幕间与结算'!E263+E356,BT355+IF(C356="重要关系4",E356,0)+IF(AND(C356="魅力",E356&lt;0),E356,0))))</x:f>
        <x:v>0</x:v>
      </x:c>
      <x:c r="BU356">
        <x:f>MAX(0,MIN(BK356,IF(AND(H356=1,C356="重要关系5",LEFT('幕间与结算'!H263,8)="建立新的重要关系"),'幕间与结算'!E263+E356,BU355+IF(C356="重要关系5",E356,0)+IF(AND(C356="魅力",E356&lt;0),E356,0))))</x:f>
        <x:v>0</x:v>
      </x:c>
      <x:c r="BV356">
        <x:f>MAX(0,MIN(BK356,IF(AND(H356=1,C356="重要关系6",LEFT('幕间与结算'!H263,8)="建立新的重要关系"),'幕间与结算'!E263+E356,BV355+IF(C356="重要关系6",E356,0)+IF(AND(C356="魅力",E356&lt;0),E356,0))))</x:f>
        <x:v>0</x:v>
      </x:c>
      <x:c r="BW356">
        <x:f>MAX(0,MIN(BK356,IF(AND(H356=1,C356="重要关系7",LEFT('幕间与结算'!H263,8)="建立新的重要关系"),'幕间与结算'!E263+E356,BW355+IF(C356="重要关系7",E356,0)+IF(AND(C356="魅力",E356&lt;0),E356,0))))</x:f>
        <x:v>0</x:v>
      </x:c>
    </x:row>
    <x:row r="357">
      <x:c r="A357" t="str">
        <x:f>IFERROR(TEXT(VALUE('幕间与结算'!A264),"00"),"")</x:f>
        <x:v>00</x:v>
      </x:c>
      <x:c r="B357">
        <x:f>'幕间与结算'!B264</x:f>
        <x:v>0</x:v>
      </x:c>
      <x:c r="C357">
        <x:f>'幕间与结算'!D264</x:f>
        <x:v>0</x:v>
      </x:c>
      <x:c r="D357">
        <x:f>'幕间与结算'!F264</x:f>
        <x:v>0</x:v>
      </x:c>
      <x:c r="E357">
        <x:f>IF(H357=1,MAX(-'幕间与结算'!E264,MIN(D357,IF(LEFT(C357,3)="技能：",99,IF(COUNTIF($L$2:$L$7,C357)&gt;0,18,999))-'幕间与结算'!E264)),0)</x:f>
        <x:v>0</x:v>
      </x:c>
      <x:c r="F357" t="str">
        <x:f>IF(C357=0,"",IF(G357=0,"记录不完整",IF(H357=0,"重复未计","已计入")))</x:f>
        <x:v/>
      </x:c>
      <x:c r="G357">
        <x:f>IF(AND(AND('幕间与结算'!A264&lt;&gt;"",'幕间与结算'!B264&lt;&gt;"",'幕间与结算'!I264&lt;&gt;"",OR(LEFT(C357,3)="技能：",COUNTIF($L$2:$L$19,C357)&gt;0),ISNUMBER('幕间与结算'!E264),ISNUMBER('幕间与结算'!F264),ISNUMBER('幕间与结算'!G264),'幕间与结算'!E264&gt;=0,'幕间与结算'!G264='幕间与结算'!E264+'幕间与结算'!F264),OR(B357&lt;&gt;"成长",AND(LEFT(C357,3)="技能：",C357&lt;&gt;"技能：非自然知识",'幕间与结算'!E264&gt;=1,'幕间与结算'!E264&lt;=99,'幕间与结算'!F264&gt;=0,'幕间与结算'!F264&lt;=4,'幕间与结算'!G264&lt;=99))),1,0)</x:f>
        <x:v>0</x:v>
      </x:c>
      <x:c r="H357">
        <x:f>IF(AND(G357=1,COUNTIFS($I$200:I357,I357,$G$200:G357,1)=1),1,0)</x:f>
        <x:v>0</x:v>
      </x:c>
      <x:c r="I357" t="str">
        <x:f>IF(G357=1,IF(B357="成长",A357&amp;"-成长-"&amp;C357,'幕间与结算'!I264),"")</x:f>
        <x:v/>
      </x:c>
      <x:c r="BF357">
        <x:f>MAX(0,MIN(18,BF356+IF(C357="力量",E357,0)))</x:f>
        <x:v>0</x:v>
      </x:c>
      <x:c r="BG357">
        <x:f>MAX(0,MIN(18,BG356+IF(C357="体质",E357,0)))</x:f>
        <x:v>0</x:v>
      </x:c>
      <x:c r="BH357">
        <x:f>MAX(0,MIN(18,BH356+IF(C357="敏捷",E357,0)))</x:f>
        <x:v>0</x:v>
      </x:c>
      <x:c r="BI357">
        <x:f>MAX(0,MIN(18,BI356+IF(C357="智力",E357,0)))</x:f>
        <x:v>0</x:v>
      </x:c>
      <x:c r="BJ357">
        <x:f>MAX(0,MIN(18,BJ356+IF(C357="意志",E357,0)))</x:f>
        <x:v>0</x:v>
      </x:c>
      <x:c r="BK357">
        <x:f>MAX(0,MIN(18,BK356+IF(C357="魅力",E357,0)))</x:f>
        <x:v>0</x:v>
      </x:c>
      <x:c r="BL357">
        <x:f>MAX(0,MIN(99,BL356+IF(C357="技能：非自然知识",E357,0)))</x:f>
        <x:v>0</x:v>
      </x:c>
      <x:c r="BM357">
        <x:f>MAX(0,MIN(CEILING((BF357+BG357)/2,1),BM356+IF(C357="体力",E357,0)))</x:f>
        <x:v>0</x:v>
      </x:c>
      <x:c r="BN357">
        <x:f>MAX(0,MIN(BJ357,BN356+IF(C357="毅力",E357,0)))</x:f>
        <x:v>0</x:v>
      </x:c>
      <x:c r="BO357">
        <x:f>MAX(0,MIN(99-BL357,BO356+IF(C357="理智",E357,0)))</x:f>
        <x:v>0</x:v>
      </x:c>
      <x:c r="BP357">
        <x:f>MAX(0,MIN(99,BP356+IF(C357="崩溃点",E357,0)))</x:f>
        <x:v>0</x:v>
      </x:c>
      <x:c r="BQ357">
        <x:f>MAX(0,MIN(BK357,IF(AND(H357=1,C357="重要关系1",LEFT('幕间与结算'!H264,8)="建立新的重要关系"),'幕间与结算'!E264+E357,BQ356+IF(C357="重要关系1",E357,0)+IF(AND(C357="魅力",E357&lt;0),E357,0))))</x:f>
        <x:v>0</x:v>
      </x:c>
      <x:c r="BR357">
        <x:f>MAX(0,MIN(BK357,IF(AND(H357=1,C357="重要关系2",LEFT('幕间与结算'!H264,8)="建立新的重要关系"),'幕间与结算'!E264+E357,BR356+IF(C357="重要关系2",E357,0)+IF(AND(C357="魅力",E357&lt;0),E357,0))))</x:f>
        <x:v>0</x:v>
      </x:c>
      <x:c r="BS357">
        <x:f>MAX(0,MIN(BK357,IF(AND(H357=1,C357="重要关系3",LEFT('幕间与结算'!H264,8)="建立新的重要关系"),'幕间与结算'!E264+E357,BS356+IF(C357="重要关系3",E357,0)+IF(AND(C357="魅力",E357&lt;0),E357,0))))</x:f>
        <x:v>0</x:v>
      </x:c>
      <x:c r="BT357">
        <x:f>MAX(0,MIN(BK357,IF(AND(H357=1,C357="重要关系4",LEFT('幕间与结算'!H264,8)="建立新的重要关系"),'幕间与结算'!E264+E357,BT356+IF(C357="重要关系4",E357,0)+IF(AND(C357="魅力",E357&lt;0),E357,0))))</x:f>
        <x:v>0</x:v>
      </x:c>
      <x:c r="BU357">
        <x:f>MAX(0,MIN(BK357,IF(AND(H357=1,C357="重要关系5",LEFT('幕间与结算'!H264,8)="建立新的重要关系"),'幕间与结算'!E264+E357,BU356+IF(C357="重要关系5",E357,0)+IF(AND(C357="魅力",E357&lt;0),E357,0))))</x:f>
        <x:v>0</x:v>
      </x:c>
      <x:c r="BV357">
        <x:f>MAX(0,MIN(BK357,IF(AND(H357=1,C357="重要关系6",LEFT('幕间与结算'!H264,8)="建立新的重要关系"),'幕间与结算'!E264+E357,BV356+IF(C357="重要关系6",E357,0)+IF(AND(C357="魅力",E357&lt;0),E357,0))))</x:f>
        <x:v>0</x:v>
      </x:c>
      <x:c r="BW357">
        <x:f>MAX(0,MIN(BK357,IF(AND(H357=1,C357="重要关系7",LEFT('幕间与结算'!H264,8)="建立新的重要关系"),'幕间与结算'!E264+E357,BW356+IF(C357="重要关系7",E357,0)+IF(AND(C357="魅力",E357&lt;0),E357,0))))</x:f>
        <x:v>0</x:v>
      </x:c>
    </x:row>
    <x:row r="358">
      <x:c r="A358" t="str">
        <x:f>IFERROR(TEXT(VALUE('幕间与结算'!A265),"00"),"")</x:f>
        <x:v>00</x:v>
      </x:c>
      <x:c r="B358">
        <x:f>'幕间与结算'!B265</x:f>
        <x:v>0</x:v>
      </x:c>
      <x:c r="C358">
        <x:f>'幕间与结算'!D265</x:f>
        <x:v>0</x:v>
      </x:c>
      <x:c r="D358">
        <x:f>'幕间与结算'!F265</x:f>
        <x:v>0</x:v>
      </x:c>
      <x:c r="E358">
        <x:f>IF(H358=1,MAX(-'幕间与结算'!E265,MIN(D358,IF(LEFT(C358,3)="技能：",99,IF(COUNTIF($L$2:$L$7,C358)&gt;0,18,999))-'幕间与结算'!E265)),0)</x:f>
        <x:v>0</x:v>
      </x:c>
      <x:c r="F358" t="str">
        <x:f>IF(C358=0,"",IF(G358=0,"记录不完整",IF(H358=0,"重复未计","已计入")))</x:f>
        <x:v/>
      </x:c>
      <x:c r="G358">
        <x:f>IF(AND(AND('幕间与结算'!A265&lt;&gt;"",'幕间与结算'!B265&lt;&gt;"",'幕间与结算'!I265&lt;&gt;"",OR(LEFT(C358,3)="技能：",COUNTIF($L$2:$L$19,C358)&gt;0),ISNUMBER('幕间与结算'!E265),ISNUMBER('幕间与结算'!F265),ISNUMBER('幕间与结算'!G265),'幕间与结算'!E265&gt;=0,'幕间与结算'!G265='幕间与结算'!E265+'幕间与结算'!F265),OR(B358&lt;&gt;"成长",AND(LEFT(C358,3)="技能：",C358&lt;&gt;"技能：非自然知识",'幕间与结算'!E265&gt;=1,'幕间与结算'!E265&lt;=99,'幕间与结算'!F265&gt;=0,'幕间与结算'!F265&lt;=4,'幕间与结算'!G265&lt;=99))),1,0)</x:f>
        <x:v>0</x:v>
      </x:c>
      <x:c r="H358">
        <x:f>IF(AND(G358=1,COUNTIFS($I$200:I358,I358,$G$200:G358,1)=1),1,0)</x:f>
        <x:v>0</x:v>
      </x:c>
      <x:c r="I358" t="str">
        <x:f>IF(G358=1,IF(B358="成长",A358&amp;"-成长-"&amp;C358,'幕间与结算'!I265),"")</x:f>
        <x:v/>
      </x:c>
      <x:c r="BF358">
        <x:f>MAX(0,MIN(18,BF357+IF(C358="力量",E358,0)))</x:f>
        <x:v>0</x:v>
      </x:c>
      <x:c r="BG358">
        <x:f>MAX(0,MIN(18,BG357+IF(C358="体质",E358,0)))</x:f>
        <x:v>0</x:v>
      </x:c>
      <x:c r="BH358">
        <x:f>MAX(0,MIN(18,BH357+IF(C358="敏捷",E358,0)))</x:f>
        <x:v>0</x:v>
      </x:c>
      <x:c r="BI358">
        <x:f>MAX(0,MIN(18,BI357+IF(C358="智力",E358,0)))</x:f>
        <x:v>0</x:v>
      </x:c>
      <x:c r="BJ358">
        <x:f>MAX(0,MIN(18,BJ357+IF(C358="意志",E358,0)))</x:f>
        <x:v>0</x:v>
      </x:c>
      <x:c r="BK358">
        <x:f>MAX(0,MIN(18,BK357+IF(C358="魅力",E358,0)))</x:f>
        <x:v>0</x:v>
      </x:c>
      <x:c r="BL358">
        <x:f>MAX(0,MIN(99,BL357+IF(C358="技能：非自然知识",E358,0)))</x:f>
        <x:v>0</x:v>
      </x:c>
      <x:c r="BM358">
        <x:f>MAX(0,MIN(CEILING((BF358+BG358)/2,1),BM357+IF(C358="体力",E358,0)))</x:f>
        <x:v>0</x:v>
      </x:c>
      <x:c r="BN358">
        <x:f>MAX(0,MIN(BJ358,BN357+IF(C358="毅力",E358,0)))</x:f>
        <x:v>0</x:v>
      </x:c>
      <x:c r="BO358">
        <x:f>MAX(0,MIN(99-BL358,BO357+IF(C358="理智",E358,0)))</x:f>
        <x:v>0</x:v>
      </x:c>
      <x:c r="BP358">
        <x:f>MAX(0,MIN(99,BP357+IF(C358="崩溃点",E358,0)))</x:f>
        <x:v>0</x:v>
      </x:c>
      <x:c r="BQ358">
        <x:f>MAX(0,MIN(BK358,IF(AND(H358=1,C358="重要关系1",LEFT('幕间与结算'!H265,8)="建立新的重要关系"),'幕间与结算'!E265+E358,BQ357+IF(C358="重要关系1",E358,0)+IF(AND(C358="魅力",E358&lt;0),E358,0))))</x:f>
        <x:v>0</x:v>
      </x:c>
      <x:c r="BR358">
        <x:f>MAX(0,MIN(BK358,IF(AND(H358=1,C358="重要关系2",LEFT('幕间与结算'!H265,8)="建立新的重要关系"),'幕间与结算'!E265+E358,BR357+IF(C358="重要关系2",E358,0)+IF(AND(C358="魅力",E358&lt;0),E358,0))))</x:f>
        <x:v>0</x:v>
      </x:c>
      <x:c r="BS358">
        <x:f>MAX(0,MIN(BK358,IF(AND(H358=1,C358="重要关系3",LEFT('幕间与结算'!H265,8)="建立新的重要关系"),'幕间与结算'!E265+E358,BS357+IF(C358="重要关系3",E358,0)+IF(AND(C358="魅力",E358&lt;0),E358,0))))</x:f>
        <x:v>0</x:v>
      </x:c>
      <x:c r="BT358">
        <x:f>MAX(0,MIN(BK358,IF(AND(H358=1,C358="重要关系4",LEFT('幕间与结算'!H265,8)="建立新的重要关系"),'幕间与结算'!E265+E358,BT357+IF(C358="重要关系4",E358,0)+IF(AND(C358="魅力",E358&lt;0),E358,0))))</x:f>
        <x:v>0</x:v>
      </x:c>
      <x:c r="BU358">
        <x:f>MAX(0,MIN(BK358,IF(AND(H358=1,C358="重要关系5",LEFT('幕间与结算'!H265,8)="建立新的重要关系"),'幕间与结算'!E265+E358,BU357+IF(C358="重要关系5",E358,0)+IF(AND(C358="魅力",E358&lt;0),E358,0))))</x:f>
        <x:v>0</x:v>
      </x:c>
      <x:c r="BV358">
        <x:f>MAX(0,MIN(BK358,IF(AND(H358=1,C358="重要关系6",LEFT('幕间与结算'!H265,8)="建立新的重要关系"),'幕间与结算'!E265+E358,BV357+IF(C358="重要关系6",E358,0)+IF(AND(C358="魅力",E358&lt;0),E358,0))))</x:f>
        <x:v>0</x:v>
      </x:c>
      <x:c r="BW358">
        <x:f>MAX(0,MIN(BK358,IF(AND(H358=1,C358="重要关系7",LEFT('幕间与结算'!H265,8)="建立新的重要关系"),'幕间与结算'!E265+E358,BW357+IF(C358="重要关系7",E358,0)+IF(AND(C358="魅力",E358&lt;0),E358,0))))</x:f>
        <x:v>0</x:v>
      </x:c>
    </x:row>
    <x:row r="359">
      <x:c r="A359" t="str">
        <x:f>IFERROR(TEXT(VALUE('幕间与结算'!A266),"00"),"")</x:f>
        <x:v>00</x:v>
      </x:c>
      <x:c r="B359">
        <x:f>'幕间与结算'!B266</x:f>
        <x:v>0</x:v>
      </x:c>
      <x:c r="C359">
        <x:f>'幕间与结算'!D266</x:f>
        <x:v>0</x:v>
      </x:c>
      <x:c r="D359">
        <x:f>'幕间与结算'!F266</x:f>
        <x:v>0</x:v>
      </x:c>
      <x:c r="E359">
        <x:f>IF(H359=1,MAX(-'幕间与结算'!E266,MIN(D359,IF(LEFT(C359,3)="技能：",99,IF(COUNTIF($L$2:$L$7,C359)&gt;0,18,999))-'幕间与结算'!E266)),0)</x:f>
        <x:v>0</x:v>
      </x:c>
      <x:c r="F359" t="str">
        <x:f>IF(C359=0,"",IF(G359=0,"记录不完整",IF(H359=0,"重复未计","已计入")))</x:f>
        <x:v/>
      </x:c>
      <x:c r="G359">
        <x:f>IF(AND(AND('幕间与结算'!A266&lt;&gt;"",'幕间与结算'!B266&lt;&gt;"",'幕间与结算'!I266&lt;&gt;"",OR(LEFT(C359,3)="技能：",COUNTIF($L$2:$L$19,C359)&gt;0),ISNUMBER('幕间与结算'!E266),ISNUMBER('幕间与结算'!F266),ISNUMBER('幕间与结算'!G266),'幕间与结算'!E266&gt;=0,'幕间与结算'!G266='幕间与结算'!E266+'幕间与结算'!F266),OR(B359&lt;&gt;"成长",AND(LEFT(C359,3)="技能：",C359&lt;&gt;"技能：非自然知识",'幕间与结算'!E266&gt;=1,'幕间与结算'!E266&lt;=99,'幕间与结算'!F266&gt;=0,'幕间与结算'!F266&lt;=4,'幕间与结算'!G266&lt;=99))),1,0)</x:f>
        <x:v>0</x:v>
      </x:c>
      <x:c r="H359">
        <x:f>IF(AND(G359=1,COUNTIFS($I$200:I359,I359,$G$200:G359,1)=1),1,0)</x:f>
        <x:v>0</x:v>
      </x:c>
      <x:c r="I359" t="str">
        <x:f>IF(G359=1,IF(B359="成长",A359&amp;"-成长-"&amp;C359,'幕间与结算'!I266),"")</x:f>
        <x:v/>
      </x:c>
      <x:c r="BF359">
        <x:f>MAX(0,MIN(18,BF358+IF(C359="力量",E359,0)))</x:f>
        <x:v>0</x:v>
      </x:c>
      <x:c r="BG359">
        <x:f>MAX(0,MIN(18,BG358+IF(C359="体质",E359,0)))</x:f>
        <x:v>0</x:v>
      </x:c>
      <x:c r="BH359">
        <x:f>MAX(0,MIN(18,BH358+IF(C359="敏捷",E359,0)))</x:f>
        <x:v>0</x:v>
      </x:c>
      <x:c r="BI359">
        <x:f>MAX(0,MIN(18,BI358+IF(C359="智力",E359,0)))</x:f>
        <x:v>0</x:v>
      </x:c>
      <x:c r="BJ359">
        <x:f>MAX(0,MIN(18,BJ358+IF(C359="意志",E359,0)))</x:f>
        <x:v>0</x:v>
      </x:c>
      <x:c r="BK359">
        <x:f>MAX(0,MIN(18,BK358+IF(C359="魅力",E359,0)))</x:f>
        <x:v>0</x:v>
      </x:c>
      <x:c r="BL359">
        <x:f>MAX(0,MIN(99,BL358+IF(C359="技能：非自然知识",E359,0)))</x:f>
        <x:v>0</x:v>
      </x:c>
      <x:c r="BM359">
        <x:f>MAX(0,MIN(CEILING((BF359+BG359)/2,1),BM358+IF(C359="体力",E359,0)))</x:f>
        <x:v>0</x:v>
      </x:c>
      <x:c r="BN359">
        <x:f>MAX(0,MIN(BJ359,BN358+IF(C359="毅力",E359,0)))</x:f>
        <x:v>0</x:v>
      </x:c>
      <x:c r="BO359">
        <x:f>MAX(0,MIN(99-BL359,BO358+IF(C359="理智",E359,0)))</x:f>
        <x:v>0</x:v>
      </x:c>
      <x:c r="BP359">
        <x:f>MAX(0,MIN(99,BP358+IF(C359="崩溃点",E359,0)))</x:f>
        <x:v>0</x:v>
      </x:c>
      <x:c r="BQ359">
        <x:f>MAX(0,MIN(BK359,IF(AND(H359=1,C359="重要关系1",LEFT('幕间与结算'!H266,8)="建立新的重要关系"),'幕间与结算'!E266+E359,BQ358+IF(C359="重要关系1",E359,0)+IF(AND(C359="魅力",E359&lt;0),E359,0))))</x:f>
        <x:v>0</x:v>
      </x:c>
      <x:c r="BR359">
        <x:f>MAX(0,MIN(BK359,IF(AND(H359=1,C359="重要关系2",LEFT('幕间与结算'!H266,8)="建立新的重要关系"),'幕间与结算'!E266+E359,BR358+IF(C359="重要关系2",E359,0)+IF(AND(C359="魅力",E359&lt;0),E359,0))))</x:f>
        <x:v>0</x:v>
      </x:c>
      <x:c r="BS359">
        <x:f>MAX(0,MIN(BK359,IF(AND(H359=1,C359="重要关系3",LEFT('幕间与结算'!H266,8)="建立新的重要关系"),'幕间与结算'!E266+E359,BS358+IF(C359="重要关系3",E359,0)+IF(AND(C359="魅力",E359&lt;0),E359,0))))</x:f>
        <x:v>0</x:v>
      </x:c>
      <x:c r="BT359">
        <x:f>MAX(0,MIN(BK359,IF(AND(H359=1,C359="重要关系4",LEFT('幕间与结算'!H266,8)="建立新的重要关系"),'幕间与结算'!E266+E359,BT358+IF(C359="重要关系4",E359,0)+IF(AND(C359="魅力",E359&lt;0),E359,0))))</x:f>
        <x:v>0</x:v>
      </x:c>
      <x:c r="BU359">
        <x:f>MAX(0,MIN(BK359,IF(AND(H359=1,C359="重要关系5",LEFT('幕间与结算'!H266,8)="建立新的重要关系"),'幕间与结算'!E266+E359,BU358+IF(C359="重要关系5",E359,0)+IF(AND(C359="魅力",E359&lt;0),E359,0))))</x:f>
        <x:v>0</x:v>
      </x:c>
      <x:c r="BV359">
        <x:f>MAX(0,MIN(BK359,IF(AND(H359=1,C359="重要关系6",LEFT('幕间与结算'!H266,8)="建立新的重要关系"),'幕间与结算'!E266+E359,BV358+IF(C359="重要关系6",E359,0)+IF(AND(C359="魅力",E359&lt;0),E359,0))))</x:f>
        <x:v>0</x:v>
      </x:c>
      <x:c r="BW359">
        <x:f>MAX(0,MIN(BK359,IF(AND(H359=1,C359="重要关系7",LEFT('幕间与结算'!H266,8)="建立新的重要关系"),'幕间与结算'!E266+E359,BW358+IF(C359="重要关系7",E359,0)+IF(AND(C359="魅力",E359&lt;0),E359,0))))</x:f>
        <x:v>0</x:v>
      </x:c>
    </x:row>
    <x:row r="360">
      <x:c r="A360" t="str">
        <x:f>IFERROR(TEXT(VALUE('幕间与结算'!A267),"00"),"")</x:f>
        <x:v>00</x:v>
      </x:c>
      <x:c r="B360">
        <x:f>'幕间与结算'!B267</x:f>
        <x:v>0</x:v>
      </x:c>
      <x:c r="C360">
        <x:f>'幕间与结算'!D267</x:f>
        <x:v>0</x:v>
      </x:c>
      <x:c r="D360">
        <x:f>'幕间与结算'!F267</x:f>
        <x:v>0</x:v>
      </x:c>
      <x:c r="E360">
        <x:f>IF(H360=1,MAX(-'幕间与结算'!E267,MIN(D360,IF(LEFT(C360,3)="技能：",99,IF(COUNTIF($L$2:$L$7,C360)&gt;0,18,999))-'幕间与结算'!E267)),0)</x:f>
        <x:v>0</x:v>
      </x:c>
      <x:c r="F360" t="str">
        <x:f>IF(C360=0,"",IF(G360=0,"记录不完整",IF(H360=0,"重复未计","已计入")))</x:f>
        <x:v/>
      </x:c>
      <x:c r="G360">
        <x:f>IF(AND(AND('幕间与结算'!A267&lt;&gt;"",'幕间与结算'!B267&lt;&gt;"",'幕间与结算'!I267&lt;&gt;"",OR(LEFT(C360,3)="技能：",COUNTIF($L$2:$L$19,C360)&gt;0),ISNUMBER('幕间与结算'!E267),ISNUMBER('幕间与结算'!F267),ISNUMBER('幕间与结算'!G267),'幕间与结算'!E267&gt;=0,'幕间与结算'!G267='幕间与结算'!E267+'幕间与结算'!F267),OR(B360&lt;&gt;"成长",AND(LEFT(C360,3)="技能：",C360&lt;&gt;"技能：非自然知识",'幕间与结算'!E267&gt;=1,'幕间与结算'!E267&lt;=99,'幕间与结算'!F267&gt;=0,'幕间与结算'!F267&lt;=4,'幕间与结算'!G267&lt;=99))),1,0)</x:f>
        <x:v>0</x:v>
      </x:c>
      <x:c r="H360">
        <x:f>IF(AND(G360=1,COUNTIFS($I$200:I360,I360,$G$200:G360,1)=1),1,0)</x:f>
        <x:v>0</x:v>
      </x:c>
      <x:c r="I360" t="str">
        <x:f>IF(G360=1,IF(B360="成长",A360&amp;"-成长-"&amp;C360,'幕间与结算'!I267),"")</x:f>
        <x:v/>
      </x:c>
      <x:c r="BF360">
        <x:f>MAX(0,MIN(18,BF359+IF(C360="力量",E360,0)))</x:f>
        <x:v>0</x:v>
      </x:c>
      <x:c r="BG360">
        <x:f>MAX(0,MIN(18,BG359+IF(C360="体质",E360,0)))</x:f>
        <x:v>0</x:v>
      </x:c>
      <x:c r="BH360">
        <x:f>MAX(0,MIN(18,BH359+IF(C360="敏捷",E360,0)))</x:f>
        <x:v>0</x:v>
      </x:c>
      <x:c r="BI360">
        <x:f>MAX(0,MIN(18,BI359+IF(C360="智力",E360,0)))</x:f>
        <x:v>0</x:v>
      </x:c>
      <x:c r="BJ360">
        <x:f>MAX(0,MIN(18,BJ359+IF(C360="意志",E360,0)))</x:f>
        <x:v>0</x:v>
      </x:c>
      <x:c r="BK360">
        <x:f>MAX(0,MIN(18,BK359+IF(C360="魅力",E360,0)))</x:f>
        <x:v>0</x:v>
      </x:c>
      <x:c r="BL360">
        <x:f>MAX(0,MIN(99,BL359+IF(C360="技能：非自然知识",E360,0)))</x:f>
        <x:v>0</x:v>
      </x:c>
      <x:c r="BM360">
        <x:f>MAX(0,MIN(CEILING((BF360+BG360)/2,1),BM359+IF(C360="体力",E360,0)))</x:f>
        <x:v>0</x:v>
      </x:c>
      <x:c r="BN360">
        <x:f>MAX(0,MIN(BJ360,BN359+IF(C360="毅力",E360,0)))</x:f>
        <x:v>0</x:v>
      </x:c>
      <x:c r="BO360">
        <x:f>MAX(0,MIN(99-BL360,BO359+IF(C360="理智",E360,0)))</x:f>
        <x:v>0</x:v>
      </x:c>
      <x:c r="BP360">
        <x:f>MAX(0,MIN(99,BP359+IF(C360="崩溃点",E360,0)))</x:f>
        <x:v>0</x:v>
      </x:c>
      <x:c r="BQ360">
        <x:f>MAX(0,MIN(BK360,IF(AND(H360=1,C360="重要关系1",LEFT('幕间与结算'!H267,8)="建立新的重要关系"),'幕间与结算'!E267+E360,BQ359+IF(C360="重要关系1",E360,0)+IF(AND(C360="魅力",E360&lt;0),E360,0))))</x:f>
        <x:v>0</x:v>
      </x:c>
      <x:c r="BR360">
        <x:f>MAX(0,MIN(BK360,IF(AND(H360=1,C360="重要关系2",LEFT('幕间与结算'!H267,8)="建立新的重要关系"),'幕间与结算'!E267+E360,BR359+IF(C360="重要关系2",E360,0)+IF(AND(C360="魅力",E360&lt;0),E360,0))))</x:f>
        <x:v>0</x:v>
      </x:c>
      <x:c r="BS360">
        <x:f>MAX(0,MIN(BK360,IF(AND(H360=1,C360="重要关系3",LEFT('幕间与结算'!H267,8)="建立新的重要关系"),'幕间与结算'!E267+E360,BS359+IF(C360="重要关系3",E360,0)+IF(AND(C360="魅力",E360&lt;0),E360,0))))</x:f>
        <x:v>0</x:v>
      </x:c>
      <x:c r="BT360">
        <x:f>MAX(0,MIN(BK360,IF(AND(H360=1,C360="重要关系4",LEFT('幕间与结算'!H267,8)="建立新的重要关系"),'幕间与结算'!E267+E360,BT359+IF(C360="重要关系4",E360,0)+IF(AND(C360="魅力",E360&lt;0),E360,0))))</x:f>
        <x:v>0</x:v>
      </x:c>
      <x:c r="BU360">
        <x:f>MAX(0,MIN(BK360,IF(AND(H360=1,C360="重要关系5",LEFT('幕间与结算'!H267,8)="建立新的重要关系"),'幕间与结算'!E267+E360,BU359+IF(C360="重要关系5",E360,0)+IF(AND(C360="魅力",E360&lt;0),E360,0))))</x:f>
        <x:v>0</x:v>
      </x:c>
      <x:c r="BV360">
        <x:f>MAX(0,MIN(BK360,IF(AND(H360=1,C360="重要关系6",LEFT('幕间与结算'!H267,8)="建立新的重要关系"),'幕间与结算'!E267+E360,BV359+IF(C360="重要关系6",E360,0)+IF(AND(C360="魅力",E360&lt;0),E360,0))))</x:f>
        <x:v>0</x:v>
      </x:c>
      <x:c r="BW360">
        <x:f>MAX(0,MIN(BK360,IF(AND(H360=1,C360="重要关系7",LEFT('幕间与结算'!H267,8)="建立新的重要关系"),'幕间与结算'!E267+E360,BW359+IF(C360="重要关系7",E360,0)+IF(AND(C360="魅力",E360&lt;0),E360,0))))</x:f>
        <x:v>0</x:v>
      </x:c>
    </x:row>
    <x:row r="361">
      <x:c r="A361" t="str">
        <x:f>IFERROR(TEXT(VALUE('幕间与结算'!A268),"00"),"")</x:f>
        <x:v>00</x:v>
      </x:c>
      <x:c r="B361">
        <x:f>'幕间与结算'!B268</x:f>
        <x:v>0</x:v>
      </x:c>
      <x:c r="C361">
        <x:f>'幕间与结算'!D268</x:f>
        <x:v>0</x:v>
      </x:c>
      <x:c r="D361">
        <x:f>'幕间与结算'!F268</x:f>
        <x:v>0</x:v>
      </x:c>
      <x:c r="E361">
        <x:f>IF(H361=1,MAX(-'幕间与结算'!E268,MIN(D361,IF(LEFT(C361,3)="技能：",99,IF(COUNTIF($L$2:$L$7,C361)&gt;0,18,999))-'幕间与结算'!E268)),0)</x:f>
        <x:v>0</x:v>
      </x:c>
      <x:c r="F361" t="str">
        <x:f>IF(C361=0,"",IF(G361=0,"记录不完整",IF(H361=0,"重复未计","已计入")))</x:f>
        <x:v/>
      </x:c>
      <x:c r="G361">
        <x:f>IF(AND(AND('幕间与结算'!A268&lt;&gt;"",'幕间与结算'!B268&lt;&gt;"",'幕间与结算'!I268&lt;&gt;"",OR(LEFT(C361,3)="技能：",COUNTIF($L$2:$L$19,C361)&gt;0),ISNUMBER('幕间与结算'!E268),ISNUMBER('幕间与结算'!F268),ISNUMBER('幕间与结算'!G268),'幕间与结算'!E268&gt;=0,'幕间与结算'!G268='幕间与结算'!E268+'幕间与结算'!F268),OR(B361&lt;&gt;"成长",AND(LEFT(C361,3)="技能：",C361&lt;&gt;"技能：非自然知识",'幕间与结算'!E268&gt;=1,'幕间与结算'!E268&lt;=99,'幕间与结算'!F268&gt;=0,'幕间与结算'!F268&lt;=4,'幕间与结算'!G268&lt;=99))),1,0)</x:f>
        <x:v>0</x:v>
      </x:c>
      <x:c r="H361">
        <x:f>IF(AND(G361=1,COUNTIFS($I$200:I361,I361,$G$200:G361,1)=1),1,0)</x:f>
        <x:v>0</x:v>
      </x:c>
      <x:c r="I361" t="str">
        <x:f>IF(G361=1,IF(B361="成长",A361&amp;"-成长-"&amp;C361,'幕间与结算'!I268),"")</x:f>
        <x:v/>
      </x:c>
      <x:c r="BF361">
        <x:f>MAX(0,MIN(18,BF360+IF(C361="力量",E361,0)))</x:f>
        <x:v>0</x:v>
      </x:c>
      <x:c r="BG361">
        <x:f>MAX(0,MIN(18,BG360+IF(C361="体质",E361,0)))</x:f>
        <x:v>0</x:v>
      </x:c>
      <x:c r="BH361">
        <x:f>MAX(0,MIN(18,BH360+IF(C361="敏捷",E361,0)))</x:f>
        <x:v>0</x:v>
      </x:c>
      <x:c r="BI361">
        <x:f>MAX(0,MIN(18,BI360+IF(C361="智力",E361,0)))</x:f>
        <x:v>0</x:v>
      </x:c>
      <x:c r="BJ361">
        <x:f>MAX(0,MIN(18,BJ360+IF(C361="意志",E361,0)))</x:f>
        <x:v>0</x:v>
      </x:c>
      <x:c r="BK361">
        <x:f>MAX(0,MIN(18,BK360+IF(C361="魅力",E361,0)))</x:f>
        <x:v>0</x:v>
      </x:c>
      <x:c r="BL361">
        <x:f>MAX(0,MIN(99,BL360+IF(C361="技能：非自然知识",E361,0)))</x:f>
        <x:v>0</x:v>
      </x:c>
      <x:c r="BM361">
        <x:f>MAX(0,MIN(CEILING((BF361+BG361)/2,1),BM360+IF(C361="体力",E361,0)))</x:f>
        <x:v>0</x:v>
      </x:c>
      <x:c r="BN361">
        <x:f>MAX(0,MIN(BJ361,BN360+IF(C361="毅力",E361,0)))</x:f>
        <x:v>0</x:v>
      </x:c>
      <x:c r="BO361">
        <x:f>MAX(0,MIN(99-BL361,BO360+IF(C361="理智",E361,0)))</x:f>
        <x:v>0</x:v>
      </x:c>
      <x:c r="BP361">
        <x:f>MAX(0,MIN(99,BP360+IF(C361="崩溃点",E361,0)))</x:f>
        <x:v>0</x:v>
      </x:c>
      <x:c r="BQ361">
        <x:f>MAX(0,MIN(BK361,IF(AND(H361=1,C361="重要关系1",LEFT('幕间与结算'!H268,8)="建立新的重要关系"),'幕间与结算'!E268+E361,BQ360+IF(C361="重要关系1",E361,0)+IF(AND(C361="魅力",E361&lt;0),E361,0))))</x:f>
        <x:v>0</x:v>
      </x:c>
      <x:c r="BR361">
        <x:f>MAX(0,MIN(BK361,IF(AND(H361=1,C361="重要关系2",LEFT('幕间与结算'!H268,8)="建立新的重要关系"),'幕间与结算'!E268+E361,BR360+IF(C361="重要关系2",E361,0)+IF(AND(C361="魅力",E361&lt;0),E361,0))))</x:f>
        <x:v>0</x:v>
      </x:c>
      <x:c r="BS361">
        <x:f>MAX(0,MIN(BK361,IF(AND(H361=1,C361="重要关系3",LEFT('幕间与结算'!H268,8)="建立新的重要关系"),'幕间与结算'!E268+E361,BS360+IF(C361="重要关系3",E361,0)+IF(AND(C361="魅力",E361&lt;0),E361,0))))</x:f>
        <x:v>0</x:v>
      </x:c>
      <x:c r="BT361">
        <x:f>MAX(0,MIN(BK361,IF(AND(H361=1,C361="重要关系4",LEFT('幕间与结算'!H268,8)="建立新的重要关系"),'幕间与结算'!E268+E361,BT360+IF(C361="重要关系4",E361,0)+IF(AND(C361="魅力",E361&lt;0),E361,0))))</x:f>
        <x:v>0</x:v>
      </x:c>
      <x:c r="BU361">
        <x:f>MAX(0,MIN(BK361,IF(AND(H361=1,C361="重要关系5",LEFT('幕间与结算'!H268,8)="建立新的重要关系"),'幕间与结算'!E268+E361,BU360+IF(C361="重要关系5",E361,0)+IF(AND(C361="魅力",E361&lt;0),E361,0))))</x:f>
        <x:v>0</x:v>
      </x:c>
      <x:c r="BV361">
        <x:f>MAX(0,MIN(BK361,IF(AND(H361=1,C361="重要关系6",LEFT('幕间与结算'!H268,8)="建立新的重要关系"),'幕间与结算'!E268+E361,BV360+IF(C361="重要关系6",E361,0)+IF(AND(C361="魅力",E361&lt;0),E361,0))))</x:f>
        <x:v>0</x:v>
      </x:c>
      <x:c r="BW361">
        <x:f>MAX(0,MIN(BK361,IF(AND(H361=1,C361="重要关系7",LEFT('幕间与结算'!H268,8)="建立新的重要关系"),'幕间与结算'!E268+E361,BW360+IF(C361="重要关系7",E361,0)+IF(AND(C361="魅力",E361&lt;0),E361,0))))</x:f>
        <x:v>0</x:v>
      </x:c>
    </x:row>
    <x:row r="362">
      <x:c r="A362" t="str">
        <x:f>IFERROR(TEXT(VALUE('幕间与结算'!A269),"00"),"")</x:f>
        <x:v>00</x:v>
      </x:c>
      <x:c r="B362">
        <x:f>'幕间与结算'!B269</x:f>
        <x:v>0</x:v>
      </x:c>
      <x:c r="C362">
        <x:f>'幕间与结算'!D269</x:f>
        <x:v>0</x:v>
      </x:c>
      <x:c r="D362">
        <x:f>'幕间与结算'!F269</x:f>
        <x:v>0</x:v>
      </x:c>
      <x:c r="E362">
        <x:f>IF(H362=1,MAX(-'幕间与结算'!E269,MIN(D362,IF(LEFT(C362,3)="技能：",99,IF(COUNTIF($L$2:$L$7,C362)&gt;0,18,999))-'幕间与结算'!E269)),0)</x:f>
        <x:v>0</x:v>
      </x:c>
      <x:c r="F362" t="str">
        <x:f>IF(C362=0,"",IF(G362=0,"记录不完整",IF(H362=0,"重复未计","已计入")))</x:f>
        <x:v/>
      </x:c>
      <x:c r="G362">
        <x:f>IF(AND(AND('幕间与结算'!A269&lt;&gt;"",'幕间与结算'!B269&lt;&gt;"",'幕间与结算'!I269&lt;&gt;"",OR(LEFT(C362,3)="技能：",COUNTIF($L$2:$L$19,C362)&gt;0),ISNUMBER('幕间与结算'!E269),ISNUMBER('幕间与结算'!F269),ISNUMBER('幕间与结算'!G269),'幕间与结算'!E269&gt;=0,'幕间与结算'!G269='幕间与结算'!E269+'幕间与结算'!F269),OR(B362&lt;&gt;"成长",AND(LEFT(C362,3)="技能：",C362&lt;&gt;"技能：非自然知识",'幕间与结算'!E269&gt;=1,'幕间与结算'!E269&lt;=99,'幕间与结算'!F269&gt;=0,'幕间与结算'!F269&lt;=4,'幕间与结算'!G269&lt;=99))),1,0)</x:f>
        <x:v>0</x:v>
      </x:c>
      <x:c r="H362">
        <x:f>IF(AND(G362=1,COUNTIFS($I$200:I362,I362,$G$200:G362,1)=1),1,0)</x:f>
        <x:v>0</x:v>
      </x:c>
      <x:c r="I362" t="str">
        <x:f>IF(G362=1,IF(B362="成长",A362&amp;"-成长-"&amp;C362,'幕间与结算'!I269),"")</x:f>
        <x:v/>
      </x:c>
      <x:c r="BF362">
        <x:f>MAX(0,MIN(18,BF361+IF(C362="力量",E362,0)))</x:f>
        <x:v>0</x:v>
      </x:c>
      <x:c r="BG362">
        <x:f>MAX(0,MIN(18,BG361+IF(C362="体质",E362,0)))</x:f>
        <x:v>0</x:v>
      </x:c>
      <x:c r="BH362">
        <x:f>MAX(0,MIN(18,BH361+IF(C362="敏捷",E362,0)))</x:f>
        <x:v>0</x:v>
      </x:c>
      <x:c r="BI362">
        <x:f>MAX(0,MIN(18,BI361+IF(C362="智力",E362,0)))</x:f>
        <x:v>0</x:v>
      </x:c>
      <x:c r="BJ362">
        <x:f>MAX(0,MIN(18,BJ361+IF(C362="意志",E362,0)))</x:f>
        <x:v>0</x:v>
      </x:c>
      <x:c r="BK362">
        <x:f>MAX(0,MIN(18,BK361+IF(C362="魅力",E362,0)))</x:f>
        <x:v>0</x:v>
      </x:c>
      <x:c r="BL362">
        <x:f>MAX(0,MIN(99,BL361+IF(C362="技能：非自然知识",E362,0)))</x:f>
        <x:v>0</x:v>
      </x:c>
      <x:c r="BM362">
        <x:f>MAX(0,MIN(CEILING((BF362+BG362)/2,1),BM361+IF(C362="体力",E362,0)))</x:f>
        <x:v>0</x:v>
      </x:c>
      <x:c r="BN362">
        <x:f>MAX(0,MIN(BJ362,BN361+IF(C362="毅力",E362,0)))</x:f>
        <x:v>0</x:v>
      </x:c>
      <x:c r="BO362">
        <x:f>MAX(0,MIN(99-BL362,BO361+IF(C362="理智",E362,0)))</x:f>
        <x:v>0</x:v>
      </x:c>
      <x:c r="BP362">
        <x:f>MAX(0,MIN(99,BP361+IF(C362="崩溃点",E362,0)))</x:f>
        <x:v>0</x:v>
      </x:c>
      <x:c r="BQ362">
        <x:f>MAX(0,MIN(BK362,IF(AND(H362=1,C362="重要关系1",LEFT('幕间与结算'!H269,8)="建立新的重要关系"),'幕间与结算'!E269+E362,BQ361+IF(C362="重要关系1",E362,0)+IF(AND(C362="魅力",E362&lt;0),E362,0))))</x:f>
        <x:v>0</x:v>
      </x:c>
      <x:c r="BR362">
        <x:f>MAX(0,MIN(BK362,IF(AND(H362=1,C362="重要关系2",LEFT('幕间与结算'!H269,8)="建立新的重要关系"),'幕间与结算'!E269+E362,BR361+IF(C362="重要关系2",E362,0)+IF(AND(C362="魅力",E362&lt;0),E362,0))))</x:f>
        <x:v>0</x:v>
      </x:c>
      <x:c r="BS362">
        <x:f>MAX(0,MIN(BK362,IF(AND(H362=1,C362="重要关系3",LEFT('幕间与结算'!H269,8)="建立新的重要关系"),'幕间与结算'!E269+E362,BS361+IF(C362="重要关系3",E362,0)+IF(AND(C362="魅力",E362&lt;0),E362,0))))</x:f>
        <x:v>0</x:v>
      </x:c>
      <x:c r="BT362">
        <x:f>MAX(0,MIN(BK362,IF(AND(H362=1,C362="重要关系4",LEFT('幕间与结算'!H269,8)="建立新的重要关系"),'幕间与结算'!E269+E362,BT361+IF(C362="重要关系4",E362,0)+IF(AND(C362="魅力",E362&lt;0),E362,0))))</x:f>
        <x:v>0</x:v>
      </x:c>
      <x:c r="BU362">
        <x:f>MAX(0,MIN(BK362,IF(AND(H362=1,C362="重要关系5",LEFT('幕间与结算'!H269,8)="建立新的重要关系"),'幕间与结算'!E269+E362,BU361+IF(C362="重要关系5",E362,0)+IF(AND(C362="魅力",E362&lt;0),E362,0))))</x:f>
        <x:v>0</x:v>
      </x:c>
      <x:c r="BV362">
        <x:f>MAX(0,MIN(BK362,IF(AND(H362=1,C362="重要关系6",LEFT('幕间与结算'!H269,8)="建立新的重要关系"),'幕间与结算'!E269+E362,BV361+IF(C362="重要关系6",E362,0)+IF(AND(C362="魅力",E362&lt;0),E362,0))))</x:f>
        <x:v>0</x:v>
      </x:c>
      <x:c r="BW362">
        <x:f>MAX(0,MIN(BK362,IF(AND(H362=1,C362="重要关系7",LEFT('幕间与结算'!H269,8)="建立新的重要关系"),'幕间与结算'!E269+E362,BW361+IF(C362="重要关系7",E362,0)+IF(AND(C362="魅力",E362&lt;0),E362,0))))</x:f>
        <x:v>0</x:v>
      </x:c>
    </x:row>
    <x:row r="363">
      <x:c r="A363" t="str">
        <x:f>IFERROR(TEXT(VALUE('幕间与结算'!A270),"00"),"")</x:f>
        <x:v>00</x:v>
      </x:c>
      <x:c r="B363">
        <x:f>'幕间与结算'!B270</x:f>
        <x:v>0</x:v>
      </x:c>
      <x:c r="C363">
        <x:f>'幕间与结算'!D270</x:f>
        <x:v>0</x:v>
      </x:c>
      <x:c r="D363">
        <x:f>'幕间与结算'!F270</x:f>
        <x:v>0</x:v>
      </x:c>
      <x:c r="E363">
        <x:f>IF(H363=1,MAX(-'幕间与结算'!E270,MIN(D363,IF(LEFT(C363,3)="技能：",99,IF(COUNTIF($L$2:$L$7,C363)&gt;0,18,999))-'幕间与结算'!E270)),0)</x:f>
        <x:v>0</x:v>
      </x:c>
      <x:c r="F363" t="str">
        <x:f>IF(C363=0,"",IF(G363=0,"记录不完整",IF(H363=0,"重复未计","已计入")))</x:f>
        <x:v/>
      </x:c>
      <x:c r="G363">
        <x:f>IF(AND(AND('幕间与结算'!A270&lt;&gt;"",'幕间与结算'!B270&lt;&gt;"",'幕间与结算'!I270&lt;&gt;"",OR(LEFT(C363,3)="技能：",COUNTIF($L$2:$L$19,C363)&gt;0),ISNUMBER('幕间与结算'!E270),ISNUMBER('幕间与结算'!F270),ISNUMBER('幕间与结算'!G270),'幕间与结算'!E270&gt;=0,'幕间与结算'!G270='幕间与结算'!E270+'幕间与结算'!F270),OR(B363&lt;&gt;"成长",AND(LEFT(C363,3)="技能：",C363&lt;&gt;"技能：非自然知识",'幕间与结算'!E270&gt;=1,'幕间与结算'!E270&lt;=99,'幕间与结算'!F270&gt;=0,'幕间与结算'!F270&lt;=4,'幕间与结算'!G270&lt;=99))),1,0)</x:f>
        <x:v>0</x:v>
      </x:c>
      <x:c r="H363">
        <x:f>IF(AND(G363=1,COUNTIFS($I$200:I363,I363,$G$200:G363,1)=1),1,0)</x:f>
        <x:v>0</x:v>
      </x:c>
      <x:c r="I363" t="str">
        <x:f>IF(G363=1,IF(B363="成长",A363&amp;"-成长-"&amp;C363,'幕间与结算'!I270),"")</x:f>
        <x:v/>
      </x:c>
      <x:c r="BF363">
        <x:f>MAX(0,MIN(18,BF362+IF(C363="力量",E363,0)))</x:f>
        <x:v>0</x:v>
      </x:c>
      <x:c r="BG363">
        <x:f>MAX(0,MIN(18,BG362+IF(C363="体质",E363,0)))</x:f>
        <x:v>0</x:v>
      </x:c>
      <x:c r="BH363">
        <x:f>MAX(0,MIN(18,BH362+IF(C363="敏捷",E363,0)))</x:f>
        <x:v>0</x:v>
      </x:c>
      <x:c r="BI363">
        <x:f>MAX(0,MIN(18,BI362+IF(C363="智力",E363,0)))</x:f>
        <x:v>0</x:v>
      </x:c>
      <x:c r="BJ363">
        <x:f>MAX(0,MIN(18,BJ362+IF(C363="意志",E363,0)))</x:f>
        <x:v>0</x:v>
      </x:c>
      <x:c r="BK363">
        <x:f>MAX(0,MIN(18,BK362+IF(C363="魅力",E363,0)))</x:f>
        <x:v>0</x:v>
      </x:c>
      <x:c r="BL363">
        <x:f>MAX(0,MIN(99,BL362+IF(C363="技能：非自然知识",E363,0)))</x:f>
        <x:v>0</x:v>
      </x:c>
      <x:c r="BM363">
        <x:f>MAX(0,MIN(CEILING((BF363+BG363)/2,1),BM362+IF(C363="体力",E363,0)))</x:f>
        <x:v>0</x:v>
      </x:c>
      <x:c r="BN363">
        <x:f>MAX(0,MIN(BJ363,BN362+IF(C363="毅力",E363,0)))</x:f>
        <x:v>0</x:v>
      </x:c>
      <x:c r="BO363">
        <x:f>MAX(0,MIN(99-BL363,BO362+IF(C363="理智",E363,0)))</x:f>
        <x:v>0</x:v>
      </x:c>
      <x:c r="BP363">
        <x:f>MAX(0,MIN(99,BP362+IF(C363="崩溃点",E363,0)))</x:f>
        <x:v>0</x:v>
      </x:c>
      <x:c r="BQ363">
        <x:f>MAX(0,MIN(BK363,IF(AND(H363=1,C363="重要关系1",LEFT('幕间与结算'!H270,8)="建立新的重要关系"),'幕间与结算'!E270+E363,BQ362+IF(C363="重要关系1",E363,0)+IF(AND(C363="魅力",E363&lt;0),E363,0))))</x:f>
        <x:v>0</x:v>
      </x:c>
      <x:c r="BR363">
        <x:f>MAX(0,MIN(BK363,IF(AND(H363=1,C363="重要关系2",LEFT('幕间与结算'!H270,8)="建立新的重要关系"),'幕间与结算'!E270+E363,BR362+IF(C363="重要关系2",E363,0)+IF(AND(C363="魅力",E363&lt;0),E363,0))))</x:f>
        <x:v>0</x:v>
      </x:c>
      <x:c r="BS363">
        <x:f>MAX(0,MIN(BK363,IF(AND(H363=1,C363="重要关系3",LEFT('幕间与结算'!H270,8)="建立新的重要关系"),'幕间与结算'!E270+E363,BS362+IF(C363="重要关系3",E363,0)+IF(AND(C363="魅力",E363&lt;0),E363,0))))</x:f>
        <x:v>0</x:v>
      </x:c>
      <x:c r="BT363">
        <x:f>MAX(0,MIN(BK363,IF(AND(H363=1,C363="重要关系4",LEFT('幕间与结算'!H270,8)="建立新的重要关系"),'幕间与结算'!E270+E363,BT362+IF(C363="重要关系4",E363,0)+IF(AND(C363="魅力",E363&lt;0),E363,0))))</x:f>
        <x:v>0</x:v>
      </x:c>
      <x:c r="BU363">
        <x:f>MAX(0,MIN(BK363,IF(AND(H363=1,C363="重要关系5",LEFT('幕间与结算'!H270,8)="建立新的重要关系"),'幕间与结算'!E270+E363,BU362+IF(C363="重要关系5",E363,0)+IF(AND(C363="魅力",E363&lt;0),E363,0))))</x:f>
        <x:v>0</x:v>
      </x:c>
      <x:c r="BV363">
        <x:f>MAX(0,MIN(BK363,IF(AND(H363=1,C363="重要关系6",LEFT('幕间与结算'!H270,8)="建立新的重要关系"),'幕间与结算'!E270+E363,BV362+IF(C363="重要关系6",E363,0)+IF(AND(C363="魅力",E363&lt;0),E363,0))))</x:f>
        <x:v>0</x:v>
      </x:c>
      <x:c r="BW363">
        <x:f>MAX(0,MIN(BK363,IF(AND(H363=1,C363="重要关系7",LEFT('幕间与结算'!H270,8)="建立新的重要关系"),'幕间与结算'!E270+E363,BW362+IF(C363="重要关系7",E363,0)+IF(AND(C363="魅力",E363&lt;0),E363,0))))</x:f>
        <x:v>0</x:v>
      </x:c>
    </x:row>
    <x:row r="364">
      <x:c r="A364" t="str">
        <x:f>IFERROR(TEXT(VALUE('幕间与结算'!A271),"00"),"")</x:f>
        <x:v>00</x:v>
      </x:c>
      <x:c r="B364">
        <x:f>'幕间与结算'!B271</x:f>
        <x:v>0</x:v>
      </x:c>
      <x:c r="C364">
        <x:f>'幕间与结算'!D271</x:f>
        <x:v>0</x:v>
      </x:c>
      <x:c r="D364">
        <x:f>'幕间与结算'!F271</x:f>
        <x:v>0</x:v>
      </x:c>
      <x:c r="E364">
        <x:f>IF(H364=1,MAX(-'幕间与结算'!E271,MIN(D364,IF(LEFT(C364,3)="技能：",99,IF(COUNTIF($L$2:$L$7,C364)&gt;0,18,999))-'幕间与结算'!E271)),0)</x:f>
        <x:v>0</x:v>
      </x:c>
      <x:c r="F364" t="str">
        <x:f>IF(C364=0,"",IF(G364=0,"记录不完整",IF(H364=0,"重复未计","已计入")))</x:f>
        <x:v/>
      </x:c>
      <x:c r="G364">
        <x:f>IF(AND(AND('幕间与结算'!A271&lt;&gt;"",'幕间与结算'!B271&lt;&gt;"",'幕间与结算'!I271&lt;&gt;"",OR(LEFT(C364,3)="技能：",COUNTIF($L$2:$L$19,C364)&gt;0),ISNUMBER('幕间与结算'!E271),ISNUMBER('幕间与结算'!F271),ISNUMBER('幕间与结算'!G271),'幕间与结算'!E271&gt;=0,'幕间与结算'!G271='幕间与结算'!E271+'幕间与结算'!F271),OR(B364&lt;&gt;"成长",AND(LEFT(C364,3)="技能：",C364&lt;&gt;"技能：非自然知识",'幕间与结算'!E271&gt;=1,'幕间与结算'!E271&lt;=99,'幕间与结算'!F271&gt;=0,'幕间与结算'!F271&lt;=4,'幕间与结算'!G271&lt;=99))),1,0)</x:f>
        <x:v>0</x:v>
      </x:c>
      <x:c r="H364">
        <x:f>IF(AND(G364=1,COUNTIFS($I$200:I364,I364,$G$200:G364,1)=1),1,0)</x:f>
        <x:v>0</x:v>
      </x:c>
      <x:c r="I364" t="str">
        <x:f>IF(G364=1,IF(B364="成长",A364&amp;"-成长-"&amp;C364,'幕间与结算'!I271),"")</x:f>
        <x:v/>
      </x:c>
      <x:c r="BF364">
        <x:f>MAX(0,MIN(18,BF363+IF(C364="力量",E364,0)))</x:f>
        <x:v>0</x:v>
      </x:c>
      <x:c r="BG364">
        <x:f>MAX(0,MIN(18,BG363+IF(C364="体质",E364,0)))</x:f>
        <x:v>0</x:v>
      </x:c>
      <x:c r="BH364">
        <x:f>MAX(0,MIN(18,BH363+IF(C364="敏捷",E364,0)))</x:f>
        <x:v>0</x:v>
      </x:c>
      <x:c r="BI364">
        <x:f>MAX(0,MIN(18,BI363+IF(C364="智力",E364,0)))</x:f>
        <x:v>0</x:v>
      </x:c>
      <x:c r="BJ364">
        <x:f>MAX(0,MIN(18,BJ363+IF(C364="意志",E364,0)))</x:f>
        <x:v>0</x:v>
      </x:c>
      <x:c r="BK364">
        <x:f>MAX(0,MIN(18,BK363+IF(C364="魅力",E364,0)))</x:f>
        <x:v>0</x:v>
      </x:c>
      <x:c r="BL364">
        <x:f>MAX(0,MIN(99,BL363+IF(C364="技能：非自然知识",E364,0)))</x:f>
        <x:v>0</x:v>
      </x:c>
      <x:c r="BM364">
        <x:f>MAX(0,MIN(CEILING((BF364+BG364)/2,1),BM363+IF(C364="体力",E364,0)))</x:f>
        <x:v>0</x:v>
      </x:c>
      <x:c r="BN364">
        <x:f>MAX(0,MIN(BJ364,BN363+IF(C364="毅力",E364,0)))</x:f>
        <x:v>0</x:v>
      </x:c>
      <x:c r="BO364">
        <x:f>MAX(0,MIN(99-BL364,BO363+IF(C364="理智",E364,0)))</x:f>
        <x:v>0</x:v>
      </x:c>
      <x:c r="BP364">
        <x:f>MAX(0,MIN(99,BP363+IF(C364="崩溃点",E364,0)))</x:f>
        <x:v>0</x:v>
      </x:c>
      <x:c r="BQ364">
        <x:f>MAX(0,MIN(BK364,IF(AND(H364=1,C364="重要关系1",LEFT('幕间与结算'!H271,8)="建立新的重要关系"),'幕间与结算'!E271+E364,BQ363+IF(C364="重要关系1",E364,0)+IF(AND(C364="魅力",E364&lt;0),E364,0))))</x:f>
        <x:v>0</x:v>
      </x:c>
      <x:c r="BR364">
        <x:f>MAX(0,MIN(BK364,IF(AND(H364=1,C364="重要关系2",LEFT('幕间与结算'!H271,8)="建立新的重要关系"),'幕间与结算'!E271+E364,BR363+IF(C364="重要关系2",E364,0)+IF(AND(C364="魅力",E364&lt;0),E364,0))))</x:f>
        <x:v>0</x:v>
      </x:c>
      <x:c r="BS364">
        <x:f>MAX(0,MIN(BK364,IF(AND(H364=1,C364="重要关系3",LEFT('幕间与结算'!H271,8)="建立新的重要关系"),'幕间与结算'!E271+E364,BS363+IF(C364="重要关系3",E364,0)+IF(AND(C364="魅力",E364&lt;0),E364,0))))</x:f>
        <x:v>0</x:v>
      </x:c>
      <x:c r="BT364">
        <x:f>MAX(0,MIN(BK364,IF(AND(H364=1,C364="重要关系4",LEFT('幕间与结算'!H271,8)="建立新的重要关系"),'幕间与结算'!E271+E364,BT363+IF(C364="重要关系4",E364,0)+IF(AND(C364="魅力",E364&lt;0),E364,0))))</x:f>
        <x:v>0</x:v>
      </x:c>
      <x:c r="BU364">
        <x:f>MAX(0,MIN(BK364,IF(AND(H364=1,C364="重要关系5",LEFT('幕间与结算'!H271,8)="建立新的重要关系"),'幕间与结算'!E271+E364,BU363+IF(C364="重要关系5",E364,0)+IF(AND(C364="魅力",E364&lt;0),E364,0))))</x:f>
        <x:v>0</x:v>
      </x:c>
      <x:c r="BV364">
        <x:f>MAX(0,MIN(BK364,IF(AND(H364=1,C364="重要关系6",LEFT('幕间与结算'!H271,8)="建立新的重要关系"),'幕间与结算'!E271+E364,BV363+IF(C364="重要关系6",E364,0)+IF(AND(C364="魅力",E364&lt;0),E364,0))))</x:f>
        <x:v>0</x:v>
      </x:c>
      <x:c r="BW364">
        <x:f>MAX(0,MIN(BK364,IF(AND(H364=1,C364="重要关系7",LEFT('幕间与结算'!H271,8)="建立新的重要关系"),'幕间与结算'!E271+E364,BW363+IF(C364="重要关系7",E364,0)+IF(AND(C364="魅力",E364&lt;0),E364,0))))</x:f>
        <x:v>0</x:v>
      </x:c>
    </x:row>
    <x:row r="365">
      <x:c r="A365" t="str">
        <x:f>IFERROR(TEXT(VALUE('幕间与结算'!A272),"00"),"")</x:f>
        <x:v>00</x:v>
      </x:c>
      <x:c r="B365">
        <x:f>'幕间与结算'!B272</x:f>
        <x:v>0</x:v>
      </x:c>
      <x:c r="C365">
        <x:f>'幕间与结算'!D272</x:f>
        <x:v>0</x:v>
      </x:c>
      <x:c r="D365">
        <x:f>'幕间与结算'!F272</x:f>
        <x:v>0</x:v>
      </x:c>
      <x:c r="E365">
        <x:f>IF(H365=1,MAX(-'幕间与结算'!E272,MIN(D365,IF(LEFT(C365,3)="技能：",99,IF(COUNTIF($L$2:$L$7,C365)&gt;0,18,999))-'幕间与结算'!E272)),0)</x:f>
        <x:v>0</x:v>
      </x:c>
      <x:c r="F365" t="str">
        <x:f>IF(C365=0,"",IF(G365=0,"记录不完整",IF(H365=0,"重复未计","已计入")))</x:f>
        <x:v/>
      </x:c>
      <x:c r="G365">
        <x:f>IF(AND(AND('幕间与结算'!A272&lt;&gt;"",'幕间与结算'!B272&lt;&gt;"",'幕间与结算'!I272&lt;&gt;"",OR(LEFT(C365,3)="技能：",COUNTIF($L$2:$L$19,C365)&gt;0),ISNUMBER('幕间与结算'!E272),ISNUMBER('幕间与结算'!F272),ISNUMBER('幕间与结算'!G272),'幕间与结算'!E272&gt;=0,'幕间与结算'!G272='幕间与结算'!E272+'幕间与结算'!F272),OR(B365&lt;&gt;"成长",AND(LEFT(C365,3)="技能：",C365&lt;&gt;"技能：非自然知识",'幕间与结算'!E272&gt;=1,'幕间与结算'!E272&lt;=99,'幕间与结算'!F272&gt;=0,'幕间与结算'!F272&lt;=4,'幕间与结算'!G272&lt;=99))),1,0)</x:f>
        <x:v>0</x:v>
      </x:c>
      <x:c r="H365">
        <x:f>IF(AND(G365=1,COUNTIFS($I$200:I365,I365,$G$200:G365,1)=1),1,0)</x:f>
        <x:v>0</x:v>
      </x:c>
      <x:c r="I365" t="str">
        <x:f>IF(G365=1,IF(B365="成长",A365&amp;"-成长-"&amp;C365,'幕间与结算'!I272),"")</x:f>
        <x:v/>
      </x:c>
      <x:c r="BF365">
        <x:f>MAX(0,MIN(18,BF364+IF(C365="力量",E365,0)))</x:f>
        <x:v>0</x:v>
      </x:c>
      <x:c r="BG365">
        <x:f>MAX(0,MIN(18,BG364+IF(C365="体质",E365,0)))</x:f>
        <x:v>0</x:v>
      </x:c>
      <x:c r="BH365">
        <x:f>MAX(0,MIN(18,BH364+IF(C365="敏捷",E365,0)))</x:f>
        <x:v>0</x:v>
      </x:c>
      <x:c r="BI365">
        <x:f>MAX(0,MIN(18,BI364+IF(C365="智力",E365,0)))</x:f>
        <x:v>0</x:v>
      </x:c>
      <x:c r="BJ365">
        <x:f>MAX(0,MIN(18,BJ364+IF(C365="意志",E365,0)))</x:f>
        <x:v>0</x:v>
      </x:c>
      <x:c r="BK365">
        <x:f>MAX(0,MIN(18,BK364+IF(C365="魅力",E365,0)))</x:f>
        <x:v>0</x:v>
      </x:c>
      <x:c r="BL365">
        <x:f>MAX(0,MIN(99,BL364+IF(C365="技能：非自然知识",E365,0)))</x:f>
        <x:v>0</x:v>
      </x:c>
      <x:c r="BM365">
        <x:f>MAX(0,MIN(CEILING((BF365+BG365)/2,1),BM364+IF(C365="体力",E365,0)))</x:f>
        <x:v>0</x:v>
      </x:c>
      <x:c r="BN365">
        <x:f>MAX(0,MIN(BJ365,BN364+IF(C365="毅力",E365,0)))</x:f>
        <x:v>0</x:v>
      </x:c>
      <x:c r="BO365">
        <x:f>MAX(0,MIN(99-BL365,BO364+IF(C365="理智",E365,0)))</x:f>
        <x:v>0</x:v>
      </x:c>
      <x:c r="BP365">
        <x:f>MAX(0,MIN(99,BP364+IF(C365="崩溃点",E365,0)))</x:f>
        <x:v>0</x:v>
      </x:c>
      <x:c r="BQ365">
        <x:f>MAX(0,MIN(BK365,IF(AND(H365=1,C365="重要关系1",LEFT('幕间与结算'!H272,8)="建立新的重要关系"),'幕间与结算'!E272+E365,BQ364+IF(C365="重要关系1",E365,0)+IF(AND(C365="魅力",E365&lt;0),E365,0))))</x:f>
        <x:v>0</x:v>
      </x:c>
      <x:c r="BR365">
        <x:f>MAX(0,MIN(BK365,IF(AND(H365=1,C365="重要关系2",LEFT('幕间与结算'!H272,8)="建立新的重要关系"),'幕间与结算'!E272+E365,BR364+IF(C365="重要关系2",E365,0)+IF(AND(C365="魅力",E365&lt;0),E365,0))))</x:f>
        <x:v>0</x:v>
      </x:c>
      <x:c r="BS365">
        <x:f>MAX(0,MIN(BK365,IF(AND(H365=1,C365="重要关系3",LEFT('幕间与结算'!H272,8)="建立新的重要关系"),'幕间与结算'!E272+E365,BS364+IF(C365="重要关系3",E365,0)+IF(AND(C365="魅力",E365&lt;0),E365,0))))</x:f>
        <x:v>0</x:v>
      </x:c>
      <x:c r="BT365">
        <x:f>MAX(0,MIN(BK365,IF(AND(H365=1,C365="重要关系4",LEFT('幕间与结算'!H272,8)="建立新的重要关系"),'幕间与结算'!E272+E365,BT364+IF(C365="重要关系4",E365,0)+IF(AND(C365="魅力",E365&lt;0),E365,0))))</x:f>
        <x:v>0</x:v>
      </x:c>
      <x:c r="BU365">
        <x:f>MAX(0,MIN(BK365,IF(AND(H365=1,C365="重要关系5",LEFT('幕间与结算'!H272,8)="建立新的重要关系"),'幕间与结算'!E272+E365,BU364+IF(C365="重要关系5",E365,0)+IF(AND(C365="魅力",E365&lt;0),E365,0))))</x:f>
        <x:v>0</x:v>
      </x:c>
      <x:c r="BV365">
        <x:f>MAX(0,MIN(BK365,IF(AND(H365=1,C365="重要关系6",LEFT('幕间与结算'!H272,8)="建立新的重要关系"),'幕间与结算'!E272+E365,BV364+IF(C365="重要关系6",E365,0)+IF(AND(C365="魅力",E365&lt;0),E365,0))))</x:f>
        <x:v>0</x:v>
      </x:c>
      <x:c r="BW365">
        <x:f>MAX(0,MIN(BK365,IF(AND(H365=1,C365="重要关系7",LEFT('幕间与结算'!H272,8)="建立新的重要关系"),'幕间与结算'!E272+E365,BW364+IF(C365="重要关系7",E365,0)+IF(AND(C365="魅力",E365&lt;0),E365,0))))</x:f>
        <x:v>0</x:v>
      </x:c>
    </x:row>
    <x:row r="366">
      <x:c r="A366" t="str">
        <x:f>IFERROR(TEXT(VALUE('幕间与结算'!A273),"00"),"")</x:f>
        <x:v>00</x:v>
      </x:c>
      <x:c r="B366">
        <x:f>'幕间与结算'!B273</x:f>
        <x:v>0</x:v>
      </x:c>
      <x:c r="C366">
        <x:f>'幕间与结算'!D273</x:f>
        <x:v>0</x:v>
      </x:c>
      <x:c r="D366">
        <x:f>'幕间与结算'!F273</x:f>
        <x:v>0</x:v>
      </x:c>
      <x:c r="E366">
        <x:f>IF(H366=1,MAX(-'幕间与结算'!E273,MIN(D366,IF(LEFT(C366,3)="技能：",99,IF(COUNTIF($L$2:$L$7,C366)&gt;0,18,999))-'幕间与结算'!E273)),0)</x:f>
        <x:v>0</x:v>
      </x:c>
      <x:c r="F366" t="str">
        <x:f>IF(C366=0,"",IF(G366=0,"记录不完整",IF(H366=0,"重复未计","已计入")))</x:f>
        <x:v/>
      </x:c>
      <x:c r="G366">
        <x:f>IF(AND(AND('幕间与结算'!A273&lt;&gt;"",'幕间与结算'!B273&lt;&gt;"",'幕间与结算'!I273&lt;&gt;"",OR(LEFT(C366,3)="技能：",COUNTIF($L$2:$L$19,C366)&gt;0),ISNUMBER('幕间与结算'!E273),ISNUMBER('幕间与结算'!F273),ISNUMBER('幕间与结算'!G273),'幕间与结算'!E273&gt;=0,'幕间与结算'!G273='幕间与结算'!E273+'幕间与结算'!F273),OR(B366&lt;&gt;"成长",AND(LEFT(C366,3)="技能：",C366&lt;&gt;"技能：非自然知识",'幕间与结算'!E273&gt;=1,'幕间与结算'!E273&lt;=99,'幕间与结算'!F273&gt;=0,'幕间与结算'!F273&lt;=4,'幕间与结算'!G273&lt;=99))),1,0)</x:f>
        <x:v>0</x:v>
      </x:c>
      <x:c r="H366">
        <x:f>IF(AND(G366=1,COUNTIFS($I$200:I366,I366,$G$200:G366,1)=1),1,0)</x:f>
        <x:v>0</x:v>
      </x:c>
      <x:c r="I366" t="str">
        <x:f>IF(G366=1,IF(B366="成长",A366&amp;"-成长-"&amp;C366,'幕间与结算'!I273),"")</x:f>
        <x:v/>
      </x:c>
      <x:c r="BF366">
        <x:f>MAX(0,MIN(18,BF365+IF(C366="力量",E366,0)))</x:f>
        <x:v>0</x:v>
      </x:c>
      <x:c r="BG366">
        <x:f>MAX(0,MIN(18,BG365+IF(C366="体质",E366,0)))</x:f>
        <x:v>0</x:v>
      </x:c>
      <x:c r="BH366">
        <x:f>MAX(0,MIN(18,BH365+IF(C366="敏捷",E366,0)))</x:f>
        <x:v>0</x:v>
      </x:c>
      <x:c r="BI366">
        <x:f>MAX(0,MIN(18,BI365+IF(C366="智力",E366,0)))</x:f>
        <x:v>0</x:v>
      </x:c>
      <x:c r="BJ366">
        <x:f>MAX(0,MIN(18,BJ365+IF(C366="意志",E366,0)))</x:f>
        <x:v>0</x:v>
      </x:c>
      <x:c r="BK366">
        <x:f>MAX(0,MIN(18,BK365+IF(C366="魅力",E366,0)))</x:f>
        <x:v>0</x:v>
      </x:c>
      <x:c r="BL366">
        <x:f>MAX(0,MIN(99,BL365+IF(C366="技能：非自然知识",E366,0)))</x:f>
        <x:v>0</x:v>
      </x:c>
      <x:c r="BM366">
        <x:f>MAX(0,MIN(CEILING((BF366+BG366)/2,1),BM365+IF(C366="体力",E366,0)))</x:f>
        <x:v>0</x:v>
      </x:c>
      <x:c r="BN366">
        <x:f>MAX(0,MIN(BJ366,BN365+IF(C366="毅力",E366,0)))</x:f>
        <x:v>0</x:v>
      </x:c>
      <x:c r="BO366">
        <x:f>MAX(0,MIN(99-BL366,BO365+IF(C366="理智",E366,0)))</x:f>
        <x:v>0</x:v>
      </x:c>
      <x:c r="BP366">
        <x:f>MAX(0,MIN(99,BP365+IF(C366="崩溃点",E366,0)))</x:f>
        <x:v>0</x:v>
      </x:c>
      <x:c r="BQ366">
        <x:f>MAX(0,MIN(BK366,IF(AND(H366=1,C366="重要关系1",LEFT('幕间与结算'!H273,8)="建立新的重要关系"),'幕间与结算'!E273+E366,BQ365+IF(C366="重要关系1",E366,0)+IF(AND(C366="魅力",E366&lt;0),E366,0))))</x:f>
        <x:v>0</x:v>
      </x:c>
      <x:c r="BR366">
        <x:f>MAX(0,MIN(BK366,IF(AND(H366=1,C366="重要关系2",LEFT('幕间与结算'!H273,8)="建立新的重要关系"),'幕间与结算'!E273+E366,BR365+IF(C366="重要关系2",E366,0)+IF(AND(C366="魅力",E366&lt;0),E366,0))))</x:f>
        <x:v>0</x:v>
      </x:c>
      <x:c r="BS366">
        <x:f>MAX(0,MIN(BK366,IF(AND(H366=1,C366="重要关系3",LEFT('幕间与结算'!H273,8)="建立新的重要关系"),'幕间与结算'!E273+E366,BS365+IF(C366="重要关系3",E366,0)+IF(AND(C366="魅力",E366&lt;0),E366,0))))</x:f>
        <x:v>0</x:v>
      </x:c>
      <x:c r="BT366">
        <x:f>MAX(0,MIN(BK366,IF(AND(H366=1,C366="重要关系4",LEFT('幕间与结算'!H273,8)="建立新的重要关系"),'幕间与结算'!E273+E366,BT365+IF(C366="重要关系4",E366,0)+IF(AND(C366="魅力",E366&lt;0),E366,0))))</x:f>
        <x:v>0</x:v>
      </x:c>
      <x:c r="BU366">
        <x:f>MAX(0,MIN(BK366,IF(AND(H366=1,C366="重要关系5",LEFT('幕间与结算'!H273,8)="建立新的重要关系"),'幕间与结算'!E273+E366,BU365+IF(C366="重要关系5",E366,0)+IF(AND(C366="魅力",E366&lt;0),E366,0))))</x:f>
        <x:v>0</x:v>
      </x:c>
      <x:c r="BV366">
        <x:f>MAX(0,MIN(BK366,IF(AND(H366=1,C366="重要关系6",LEFT('幕间与结算'!H273,8)="建立新的重要关系"),'幕间与结算'!E273+E366,BV365+IF(C366="重要关系6",E366,0)+IF(AND(C366="魅力",E366&lt;0),E366,0))))</x:f>
        <x:v>0</x:v>
      </x:c>
      <x:c r="BW366">
        <x:f>MAX(0,MIN(BK366,IF(AND(H366=1,C366="重要关系7",LEFT('幕间与结算'!H273,8)="建立新的重要关系"),'幕间与结算'!E273+E366,BW365+IF(C366="重要关系7",E366,0)+IF(AND(C366="魅力",E366&lt;0),E366,0))))</x:f>
        <x:v>0</x:v>
      </x:c>
    </x:row>
    <x:row r="367">
      <x:c r="A367" t="str">
        <x:f>IFERROR(TEXT(VALUE('幕间与结算'!A274),"00"),"")</x:f>
        <x:v>00</x:v>
      </x:c>
      <x:c r="B367">
        <x:f>'幕间与结算'!B274</x:f>
        <x:v>0</x:v>
      </x:c>
      <x:c r="C367">
        <x:f>'幕间与结算'!D274</x:f>
        <x:v>0</x:v>
      </x:c>
      <x:c r="D367">
        <x:f>'幕间与结算'!F274</x:f>
        <x:v>0</x:v>
      </x:c>
      <x:c r="E367">
        <x:f>IF(H367=1,MAX(-'幕间与结算'!E274,MIN(D367,IF(LEFT(C367,3)="技能：",99,IF(COUNTIF($L$2:$L$7,C367)&gt;0,18,999))-'幕间与结算'!E274)),0)</x:f>
        <x:v>0</x:v>
      </x:c>
      <x:c r="F367" t="str">
        <x:f>IF(C367=0,"",IF(G367=0,"记录不完整",IF(H367=0,"重复未计","已计入")))</x:f>
        <x:v/>
      </x:c>
      <x:c r="G367">
        <x:f>IF(AND(AND('幕间与结算'!A274&lt;&gt;"",'幕间与结算'!B274&lt;&gt;"",'幕间与结算'!I274&lt;&gt;"",OR(LEFT(C367,3)="技能：",COUNTIF($L$2:$L$19,C367)&gt;0),ISNUMBER('幕间与结算'!E274),ISNUMBER('幕间与结算'!F274),ISNUMBER('幕间与结算'!G274),'幕间与结算'!E274&gt;=0,'幕间与结算'!G274='幕间与结算'!E274+'幕间与结算'!F274),OR(B367&lt;&gt;"成长",AND(LEFT(C367,3)="技能：",C367&lt;&gt;"技能：非自然知识",'幕间与结算'!E274&gt;=1,'幕间与结算'!E274&lt;=99,'幕间与结算'!F274&gt;=0,'幕间与结算'!F274&lt;=4,'幕间与结算'!G274&lt;=99))),1,0)</x:f>
        <x:v>0</x:v>
      </x:c>
      <x:c r="H367">
        <x:f>IF(AND(G367=1,COUNTIFS($I$200:I367,I367,$G$200:G367,1)=1),1,0)</x:f>
        <x:v>0</x:v>
      </x:c>
      <x:c r="I367" t="str">
        <x:f>IF(G367=1,IF(B367="成长",A367&amp;"-成长-"&amp;C367,'幕间与结算'!I274),"")</x:f>
        <x:v/>
      </x:c>
      <x:c r="BF367">
        <x:f>MAX(0,MIN(18,BF366+IF(C367="力量",E367,0)))</x:f>
        <x:v>0</x:v>
      </x:c>
      <x:c r="BG367">
        <x:f>MAX(0,MIN(18,BG366+IF(C367="体质",E367,0)))</x:f>
        <x:v>0</x:v>
      </x:c>
      <x:c r="BH367">
        <x:f>MAX(0,MIN(18,BH366+IF(C367="敏捷",E367,0)))</x:f>
        <x:v>0</x:v>
      </x:c>
      <x:c r="BI367">
        <x:f>MAX(0,MIN(18,BI366+IF(C367="智力",E367,0)))</x:f>
        <x:v>0</x:v>
      </x:c>
      <x:c r="BJ367">
        <x:f>MAX(0,MIN(18,BJ366+IF(C367="意志",E367,0)))</x:f>
        <x:v>0</x:v>
      </x:c>
      <x:c r="BK367">
        <x:f>MAX(0,MIN(18,BK366+IF(C367="魅力",E367,0)))</x:f>
        <x:v>0</x:v>
      </x:c>
      <x:c r="BL367">
        <x:f>MAX(0,MIN(99,BL366+IF(C367="技能：非自然知识",E367,0)))</x:f>
        <x:v>0</x:v>
      </x:c>
      <x:c r="BM367">
        <x:f>MAX(0,MIN(CEILING((BF367+BG367)/2,1),BM366+IF(C367="体力",E367,0)))</x:f>
        <x:v>0</x:v>
      </x:c>
      <x:c r="BN367">
        <x:f>MAX(0,MIN(BJ367,BN366+IF(C367="毅力",E367,0)))</x:f>
        <x:v>0</x:v>
      </x:c>
      <x:c r="BO367">
        <x:f>MAX(0,MIN(99-BL367,BO366+IF(C367="理智",E367,0)))</x:f>
        <x:v>0</x:v>
      </x:c>
      <x:c r="BP367">
        <x:f>MAX(0,MIN(99,BP366+IF(C367="崩溃点",E367,0)))</x:f>
        <x:v>0</x:v>
      </x:c>
      <x:c r="BQ367">
        <x:f>MAX(0,MIN(BK367,IF(AND(H367=1,C367="重要关系1",LEFT('幕间与结算'!H274,8)="建立新的重要关系"),'幕间与结算'!E274+E367,BQ366+IF(C367="重要关系1",E367,0)+IF(AND(C367="魅力",E367&lt;0),E367,0))))</x:f>
        <x:v>0</x:v>
      </x:c>
      <x:c r="BR367">
        <x:f>MAX(0,MIN(BK367,IF(AND(H367=1,C367="重要关系2",LEFT('幕间与结算'!H274,8)="建立新的重要关系"),'幕间与结算'!E274+E367,BR366+IF(C367="重要关系2",E367,0)+IF(AND(C367="魅力",E367&lt;0),E367,0))))</x:f>
        <x:v>0</x:v>
      </x:c>
      <x:c r="BS367">
        <x:f>MAX(0,MIN(BK367,IF(AND(H367=1,C367="重要关系3",LEFT('幕间与结算'!H274,8)="建立新的重要关系"),'幕间与结算'!E274+E367,BS366+IF(C367="重要关系3",E367,0)+IF(AND(C367="魅力",E367&lt;0),E367,0))))</x:f>
        <x:v>0</x:v>
      </x:c>
      <x:c r="BT367">
        <x:f>MAX(0,MIN(BK367,IF(AND(H367=1,C367="重要关系4",LEFT('幕间与结算'!H274,8)="建立新的重要关系"),'幕间与结算'!E274+E367,BT366+IF(C367="重要关系4",E367,0)+IF(AND(C367="魅力",E367&lt;0),E367,0))))</x:f>
        <x:v>0</x:v>
      </x:c>
      <x:c r="BU367">
        <x:f>MAX(0,MIN(BK367,IF(AND(H367=1,C367="重要关系5",LEFT('幕间与结算'!H274,8)="建立新的重要关系"),'幕间与结算'!E274+E367,BU366+IF(C367="重要关系5",E367,0)+IF(AND(C367="魅力",E367&lt;0),E367,0))))</x:f>
        <x:v>0</x:v>
      </x:c>
      <x:c r="BV367">
        <x:f>MAX(0,MIN(BK367,IF(AND(H367=1,C367="重要关系6",LEFT('幕间与结算'!H274,8)="建立新的重要关系"),'幕间与结算'!E274+E367,BV366+IF(C367="重要关系6",E367,0)+IF(AND(C367="魅力",E367&lt;0),E367,0))))</x:f>
        <x:v>0</x:v>
      </x:c>
      <x:c r="BW367">
        <x:f>MAX(0,MIN(BK367,IF(AND(H367=1,C367="重要关系7",LEFT('幕间与结算'!H274,8)="建立新的重要关系"),'幕间与结算'!E274+E367,BW366+IF(C367="重要关系7",E367,0)+IF(AND(C367="魅力",E367&lt;0),E367,0))))</x:f>
        <x:v>0</x:v>
      </x:c>
    </x:row>
    <x:row r="368">
      <x:c r="A368" t="str">
        <x:f>IFERROR(TEXT(VALUE('幕间与结算'!A275),"00"),"")</x:f>
        <x:v>00</x:v>
      </x:c>
      <x:c r="B368">
        <x:f>'幕间与结算'!B275</x:f>
        <x:v>0</x:v>
      </x:c>
      <x:c r="C368">
        <x:f>'幕间与结算'!D275</x:f>
        <x:v>0</x:v>
      </x:c>
      <x:c r="D368">
        <x:f>'幕间与结算'!F275</x:f>
        <x:v>0</x:v>
      </x:c>
      <x:c r="E368">
        <x:f>IF(H368=1,MAX(-'幕间与结算'!E275,MIN(D368,IF(LEFT(C368,3)="技能：",99,IF(COUNTIF($L$2:$L$7,C368)&gt;0,18,999))-'幕间与结算'!E275)),0)</x:f>
        <x:v>0</x:v>
      </x:c>
      <x:c r="F368" t="str">
        <x:f>IF(C368=0,"",IF(G368=0,"记录不完整",IF(H368=0,"重复未计","已计入")))</x:f>
        <x:v/>
      </x:c>
      <x:c r="G368">
        <x:f>IF(AND(AND('幕间与结算'!A275&lt;&gt;"",'幕间与结算'!B275&lt;&gt;"",'幕间与结算'!I275&lt;&gt;"",OR(LEFT(C368,3)="技能：",COUNTIF($L$2:$L$19,C368)&gt;0),ISNUMBER('幕间与结算'!E275),ISNUMBER('幕间与结算'!F275),ISNUMBER('幕间与结算'!G275),'幕间与结算'!E275&gt;=0,'幕间与结算'!G275='幕间与结算'!E275+'幕间与结算'!F275),OR(B368&lt;&gt;"成长",AND(LEFT(C368,3)="技能：",C368&lt;&gt;"技能：非自然知识",'幕间与结算'!E275&gt;=1,'幕间与结算'!E275&lt;=99,'幕间与结算'!F275&gt;=0,'幕间与结算'!F275&lt;=4,'幕间与结算'!G275&lt;=99))),1,0)</x:f>
        <x:v>0</x:v>
      </x:c>
      <x:c r="H368">
        <x:f>IF(AND(G368=1,COUNTIFS($I$200:I368,I368,$G$200:G368,1)=1),1,0)</x:f>
        <x:v>0</x:v>
      </x:c>
      <x:c r="I368" t="str">
        <x:f>IF(G368=1,IF(B368="成长",A368&amp;"-成长-"&amp;C368,'幕间与结算'!I275),"")</x:f>
        <x:v/>
      </x:c>
      <x:c r="BF368">
        <x:f>MAX(0,MIN(18,BF367+IF(C368="力量",E368,0)))</x:f>
        <x:v>0</x:v>
      </x:c>
      <x:c r="BG368">
        <x:f>MAX(0,MIN(18,BG367+IF(C368="体质",E368,0)))</x:f>
        <x:v>0</x:v>
      </x:c>
      <x:c r="BH368">
        <x:f>MAX(0,MIN(18,BH367+IF(C368="敏捷",E368,0)))</x:f>
        <x:v>0</x:v>
      </x:c>
      <x:c r="BI368">
        <x:f>MAX(0,MIN(18,BI367+IF(C368="智力",E368,0)))</x:f>
        <x:v>0</x:v>
      </x:c>
      <x:c r="BJ368">
        <x:f>MAX(0,MIN(18,BJ367+IF(C368="意志",E368,0)))</x:f>
        <x:v>0</x:v>
      </x:c>
      <x:c r="BK368">
        <x:f>MAX(0,MIN(18,BK367+IF(C368="魅力",E368,0)))</x:f>
        <x:v>0</x:v>
      </x:c>
      <x:c r="BL368">
        <x:f>MAX(0,MIN(99,BL367+IF(C368="技能：非自然知识",E368,0)))</x:f>
        <x:v>0</x:v>
      </x:c>
      <x:c r="BM368">
        <x:f>MAX(0,MIN(CEILING((BF368+BG368)/2,1),BM367+IF(C368="体力",E368,0)))</x:f>
        <x:v>0</x:v>
      </x:c>
      <x:c r="BN368">
        <x:f>MAX(0,MIN(BJ368,BN367+IF(C368="毅力",E368,0)))</x:f>
        <x:v>0</x:v>
      </x:c>
      <x:c r="BO368">
        <x:f>MAX(0,MIN(99-BL368,BO367+IF(C368="理智",E368,0)))</x:f>
        <x:v>0</x:v>
      </x:c>
      <x:c r="BP368">
        <x:f>MAX(0,MIN(99,BP367+IF(C368="崩溃点",E368,0)))</x:f>
        <x:v>0</x:v>
      </x:c>
      <x:c r="BQ368">
        <x:f>MAX(0,MIN(BK368,IF(AND(H368=1,C368="重要关系1",LEFT('幕间与结算'!H275,8)="建立新的重要关系"),'幕间与结算'!E275+E368,BQ367+IF(C368="重要关系1",E368,0)+IF(AND(C368="魅力",E368&lt;0),E368,0))))</x:f>
        <x:v>0</x:v>
      </x:c>
      <x:c r="BR368">
        <x:f>MAX(0,MIN(BK368,IF(AND(H368=1,C368="重要关系2",LEFT('幕间与结算'!H275,8)="建立新的重要关系"),'幕间与结算'!E275+E368,BR367+IF(C368="重要关系2",E368,0)+IF(AND(C368="魅力",E368&lt;0),E368,0))))</x:f>
        <x:v>0</x:v>
      </x:c>
      <x:c r="BS368">
        <x:f>MAX(0,MIN(BK368,IF(AND(H368=1,C368="重要关系3",LEFT('幕间与结算'!H275,8)="建立新的重要关系"),'幕间与结算'!E275+E368,BS367+IF(C368="重要关系3",E368,0)+IF(AND(C368="魅力",E368&lt;0),E368,0))))</x:f>
        <x:v>0</x:v>
      </x:c>
      <x:c r="BT368">
        <x:f>MAX(0,MIN(BK368,IF(AND(H368=1,C368="重要关系4",LEFT('幕间与结算'!H275,8)="建立新的重要关系"),'幕间与结算'!E275+E368,BT367+IF(C368="重要关系4",E368,0)+IF(AND(C368="魅力",E368&lt;0),E368,0))))</x:f>
        <x:v>0</x:v>
      </x:c>
      <x:c r="BU368">
        <x:f>MAX(0,MIN(BK368,IF(AND(H368=1,C368="重要关系5",LEFT('幕间与结算'!H275,8)="建立新的重要关系"),'幕间与结算'!E275+E368,BU367+IF(C368="重要关系5",E368,0)+IF(AND(C368="魅力",E368&lt;0),E368,0))))</x:f>
        <x:v>0</x:v>
      </x:c>
      <x:c r="BV368">
        <x:f>MAX(0,MIN(BK368,IF(AND(H368=1,C368="重要关系6",LEFT('幕间与结算'!H275,8)="建立新的重要关系"),'幕间与结算'!E275+E368,BV367+IF(C368="重要关系6",E368,0)+IF(AND(C368="魅力",E368&lt;0),E368,0))))</x:f>
        <x:v>0</x:v>
      </x:c>
      <x:c r="BW368">
        <x:f>MAX(0,MIN(BK368,IF(AND(H368=1,C368="重要关系7",LEFT('幕间与结算'!H275,8)="建立新的重要关系"),'幕间与结算'!E275+E368,BW367+IF(C368="重要关系7",E368,0)+IF(AND(C368="魅力",E368&lt;0),E368,0))))</x:f>
        <x:v>0</x:v>
      </x:c>
    </x:row>
    <x:row r="369">
      <x:c r="A369" t="str">
        <x:f>IFERROR(TEXT(VALUE('幕间与结算'!A276),"00"),"")</x:f>
        <x:v>00</x:v>
      </x:c>
      <x:c r="B369">
        <x:f>'幕间与结算'!B276</x:f>
        <x:v>0</x:v>
      </x:c>
      <x:c r="C369">
        <x:f>'幕间与结算'!D276</x:f>
        <x:v>0</x:v>
      </x:c>
      <x:c r="D369">
        <x:f>'幕间与结算'!F276</x:f>
        <x:v>0</x:v>
      </x:c>
      <x:c r="E369">
        <x:f>IF(H369=1,MAX(-'幕间与结算'!E276,MIN(D369,IF(LEFT(C369,3)="技能：",99,IF(COUNTIF($L$2:$L$7,C369)&gt;0,18,999))-'幕间与结算'!E276)),0)</x:f>
        <x:v>0</x:v>
      </x:c>
      <x:c r="F369" t="str">
        <x:f>IF(C369=0,"",IF(G369=0,"记录不完整",IF(H369=0,"重复未计","已计入")))</x:f>
        <x:v/>
      </x:c>
      <x:c r="G369">
        <x:f>IF(AND(AND('幕间与结算'!A276&lt;&gt;"",'幕间与结算'!B276&lt;&gt;"",'幕间与结算'!I276&lt;&gt;"",OR(LEFT(C369,3)="技能：",COUNTIF($L$2:$L$19,C369)&gt;0),ISNUMBER('幕间与结算'!E276),ISNUMBER('幕间与结算'!F276),ISNUMBER('幕间与结算'!G276),'幕间与结算'!E276&gt;=0,'幕间与结算'!G276='幕间与结算'!E276+'幕间与结算'!F276),OR(B369&lt;&gt;"成长",AND(LEFT(C369,3)="技能：",C369&lt;&gt;"技能：非自然知识",'幕间与结算'!E276&gt;=1,'幕间与结算'!E276&lt;=99,'幕间与结算'!F276&gt;=0,'幕间与结算'!F276&lt;=4,'幕间与结算'!G276&lt;=99))),1,0)</x:f>
        <x:v>0</x:v>
      </x:c>
      <x:c r="H369">
        <x:f>IF(AND(G369=1,COUNTIFS($I$200:I369,I369,$G$200:G369,1)=1),1,0)</x:f>
        <x:v>0</x:v>
      </x:c>
      <x:c r="I369" t="str">
        <x:f>IF(G369=1,IF(B369="成长",A369&amp;"-成长-"&amp;C369,'幕间与结算'!I276),"")</x:f>
        <x:v/>
      </x:c>
      <x:c r="BF369">
        <x:f>MAX(0,MIN(18,BF368+IF(C369="力量",E369,0)))</x:f>
        <x:v>0</x:v>
      </x:c>
      <x:c r="BG369">
        <x:f>MAX(0,MIN(18,BG368+IF(C369="体质",E369,0)))</x:f>
        <x:v>0</x:v>
      </x:c>
      <x:c r="BH369">
        <x:f>MAX(0,MIN(18,BH368+IF(C369="敏捷",E369,0)))</x:f>
        <x:v>0</x:v>
      </x:c>
      <x:c r="BI369">
        <x:f>MAX(0,MIN(18,BI368+IF(C369="智力",E369,0)))</x:f>
        <x:v>0</x:v>
      </x:c>
      <x:c r="BJ369">
        <x:f>MAX(0,MIN(18,BJ368+IF(C369="意志",E369,0)))</x:f>
        <x:v>0</x:v>
      </x:c>
      <x:c r="BK369">
        <x:f>MAX(0,MIN(18,BK368+IF(C369="魅力",E369,0)))</x:f>
        <x:v>0</x:v>
      </x:c>
      <x:c r="BL369">
        <x:f>MAX(0,MIN(99,BL368+IF(C369="技能：非自然知识",E369,0)))</x:f>
        <x:v>0</x:v>
      </x:c>
      <x:c r="BM369">
        <x:f>MAX(0,MIN(CEILING((BF369+BG369)/2,1),BM368+IF(C369="体力",E369,0)))</x:f>
        <x:v>0</x:v>
      </x:c>
      <x:c r="BN369">
        <x:f>MAX(0,MIN(BJ369,BN368+IF(C369="毅力",E369,0)))</x:f>
        <x:v>0</x:v>
      </x:c>
      <x:c r="BO369">
        <x:f>MAX(0,MIN(99-BL369,BO368+IF(C369="理智",E369,0)))</x:f>
        <x:v>0</x:v>
      </x:c>
      <x:c r="BP369">
        <x:f>MAX(0,MIN(99,BP368+IF(C369="崩溃点",E369,0)))</x:f>
        <x:v>0</x:v>
      </x:c>
      <x:c r="BQ369">
        <x:f>MAX(0,MIN(BK369,IF(AND(H369=1,C369="重要关系1",LEFT('幕间与结算'!H276,8)="建立新的重要关系"),'幕间与结算'!E276+E369,BQ368+IF(C369="重要关系1",E369,0)+IF(AND(C369="魅力",E369&lt;0),E369,0))))</x:f>
        <x:v>0</x:v>
      </x:c>
      <x:c r="BR369">
        <x:f>MAX(0,MIN(BK369,IF(AND(H369=1,C369="重要关系2",LEFT('幕间与结算'!H276,8)="建立新的重要关系"),'幕间与结算'!E276+E369,BR368+IF(C369="重要关系2",E369,0)+IF(AND(C369="魅力",E369&lt;0),E369,0))))</x:f>
        <x:v>0</x:v>
      </x:c>
      <x:c r="BS369">
        <x:f>MAX(0,MIN(BK369,IF(AND(H369=1,C369="重要关系3",LEFT('幕间与结算'!H276,8)="建立新的重要关系"),'幕间与结算'!E276+E369,BS368+IF(C369="重要关系3",E369,0)+IF(AND(C369="魅力",E369&lt;0),E369,0))))</x:f>
        <x:v>0</x:v>
      </x:c>
      <x:c r="BT369">
        <x:f>MAX(0,MIN(BK369,IF(AND(H369=1,C369="重要关系4",LEFT('幕间与结算'!H276,8)="建立新的重要关系"),'幕间与结算'!E276+E369,BT368+IF(C369="重要关系4",E369,0)+IF(AND(C369="魅力",E369&lt;0),E369,0))))</x:f>
        <x:v>0</x:v>
      </x:c>
      <x:c r="BU369">
        <x:f>MAX(0,MIN(BK369,IF(AND(H369=1,C369="重要关系5",LEFT('幕间与结算'!H276,8)="建立新的重要关系"),'幕间与结算'!E276+E369,BU368+IF(C369="重要关系5",E369,0)+IF(AND(C369="魅力",E369&lt;0),E369,0))))</x:f>
        <x:v>0</x:v>
      </x:c>
      <x:c r="BV369">
        <x:f>MAX(0,MIN(BK369,IF(AND(H369=1,C369="重要关系6",LEFT('幕间与结算'!H276,8)="建立新的重要关系"),'幕间与结算'!E276+E369,BV368+IF(C369="重要关系6",E369,0)+IF(AND(C369="魅力",E369&lt;0),E369,0))))</x:f>
        <x:v>0</x:v>
      </x:c>
      <x:c r="BW369">
        <x:f>MAX(0,MIN(BK369,IF(AND(H369=1,C369="重要关系7",LEFT('幕间与结算'!H276,8)="建立新的重要关系"),'幕间与结算'!E276+E369,BW368+IF(C369="重要关系7",E369,0)+IF(AND(C369="魅力",E369&lt;0),E369,0))))</x:f>
        <x:v>0</x:v>
      </x:c>
    </x:row>
    <x:row r="370">
      <x:c r="A370" t="str">
        <x:f>IFERROR(TEXT(VALUE('幕间与结算'!A277),"00"),"")</x:f>
        <x:v>00</x:v>
      </x:c>
      <x:c r="B370">
        <x:f>'幕间与结算'!B277</x:f>
        <x:v>0</x:v>
      </x:c>
      <x:c r="C370">
        <x:f>'幕间与结算'!D277</x:f>
        <x:v>0</x:v>
      </x:c>
      <x:c r="D370">
        <x:f>'幕间与结算'!F277</x:f>
        <x:v>0</x:v>
      </x:c>
      <x:c r="E370">
        <x:f>IF(H370=1,MAX(-'幕间与结算'!E277,MIN(D370,IF(LEFT(C370,3)="技能：",99,IF(COUNTIF($L$2:$L$7,C370)&gt;0,18,999))-'幕间与结算'!E277)),0)</x:f>
        <x:v>0</x:v>
      </x:c>
      <x:c r="F370" t="str">
        <x:f>IF(C370=0,"",IF(G370=0,"记录不完整",IF(H370=0,"重复未计","已计入")))</x:f>
        <x:v/>
      </x:c>
      <x:c r="G370">
        <x:f>IF(AND(AND('幕间与结算'!A277&lt;&gt;"",'幕间与结算'!B277&lt;&gt;"",'幕间与结算'!I277&lt;&gt;"",OR(LEFT(C370,3)="技能：",COUNTIF($L$2:$L$19,C370)&gt;0),ISNUMBER('幕间与结算'!E277),ISNUMBER('幕间与结算'!F277),ISNUMBER('幕间与结算'!G277),'幕间与结算'!E277&gt;=0,'幕间与结算'!G277='幕间与结算'!E277+'幕间与结算'!F277),OR(B370&lt;&gt;"成长",AND(LEFT(C370,3)="技能：",C370&lt;&gt;"技能：非自然知识",'幕间与结算'!E277&gt;=1,'幕间与结算'!E277&lt;=99,'幕间与结算'!F277&gt;=0,'幕间与结算'!F277&lt;=4,'幕间与结算'!G277&lt;=99))),1,0)</x:f>
        <x:v>0</x:v>
      </x:c>
      <x:c r="H370">
        <x:f>IF(AND(G370=1,COUNTIFS($I$200:I370,I370,$G$200:G370,1)=1),1,0)</x:f>
        <x:v>0</x:v>
      </x:c>
      <x:c r="I370" t="str">
        <x:f>IF(G370=1,IF(B370="成长",A370&amp;"-成长-"&amp;C370,'幕间与结算'!I277),"")</x:f>
        <x:v/>
      </x:c>
      <x:c r="BF370">
        <x:f>MAX(0,MIN(18,BF369+IF(C370="力量",E370,0)))</x:f>
        <x:v>0</x:v>
      </x:c>
      <x:c r="BG370">
        <x:f>MAX(0,MIN(18,BG369+IF(C370="体质",E370,0)))</x:f>
        <x:v>0</x:v>
      </x:c>
      <x:c r="BH370">
        <x:f>MAX(0,MIN(18,BH369+IF(C370="敏捷",E370,0)))</x:f>
        <x:v>0</x:v>
      </x:c>
      <x:c r="BI370">
        <x:f>MAX(0,MIN(18,BI369+IF(C370="智力",E370,0)))</x:f>
        <x:v>0</x:v>
      </x:c>
      <x:c r="BJ370">
        <x:f>MAX(0,MIN(18,BJ369+IF(C370="意志",E370,0)))</x:f>
        <x:v>0</x:v>
      </x:c>
      <x:c r="BK370">
        <x:f>MAX(0,MIN(18,BK369+IF(C370="魅力",E370,0)))</x:f>
        <x:v>0</x:v>
      </x:c>
      <x:c r="BL370">
        <x:f>MAX(0,MIN(99,BL369+IF(C370="技能：非自然知识",E370,0)))</x:f>
        <x:v>0</x:v>
      </x:c>
      <x:c r="BM370">
        <x:f>MAX(0,MIN(CEILING((BF370+BG370)/2,1),BM369+IF(C370="体力",E370,0)))</x:f>
        <x:v>0</x:v>
      </x:c>
      <x:c r="BN370">
        <x:f>MAX(0,MIN(BJ370,BN369+IF(C370="毅力",E370,0)))</x:f>
        <x:v>0</x:v>
      </x:c>
      <x:c r="BO370">
        <x:f>MAX(0,MIN(99-BL370,BO369+IF(C370="理智",E370,0)))</x:f>
        <x:v>0</x:v>
      </x:c>
      <x:c r="BP370">
        <x:f>MAX(0,MIN(99,BP369+IF(C370="崩溃点",E370,0)))</x:f>
        <x:v>0</x:v>
      </x:c>
      <x:c r="BQ370">
        <x:f>MAX(0,MIN(BK370,IF(AND(H370=1,C370="重要关系1",LEFT('幕间与结算'!H277,8)="建立新的重要关系"),'幕间与结算'!E277+E370,BQ369+IF(C370="重要关系1",E370,0)+IF(AND(C370="魅力",E370&lt;0),E370,0))))</x:f>
        <x:v>0</x:v>
      </x:c>
      <x:c r="BR370">
        <x:f>MAX(0,MIN(BK370,IF(AND(H370=1,C370="重要关系2",LEFT('幕间与结算'!H277,8)="建立新的重要关系"),'幕间与结算'!E277+E370,BR369+IF(C370="重要关系2",E370,0)+IF(AND(C370="魅力",E370&lt;0),E370,0))))</x:f>
        <x:v>0</x:v>
      </x:c>
      <x:c r="BS370">
        <x:f>MAX(0,MIN(BK370,IF(AND(H370=1,C370="重要关系3",LEFT('幕间与结算'!H277,8)="建立新的重要关系"),'幕间与结算'!E277+E370,BS369+IF(C370="重要关系3",E370,0)+IF(AND(C370="魅力",E370&lt;0),E370,0))))</x:f>
        <x:v>0</x:v>
      </x:c>
      <x:c r="BT370">
        <x:f>MAX(0,MIN(BK370,IF(AND(H370=1,C370="重要关系4",LEFT('幕间与结算'!H277,8)="建立新的重要关系"),'幕间与结算'!E277+E370,BT369+IF(C370="重要关系4",E370,0)+IF(AND(C370="魅力",E370&lt;0),E370,0))))</x:f>
        <x:v>0</x:v>
      </x:c>
      <x:c r="BU370">
        <x:f>MAX(0,MIN(BK370,IF(AND(H370=1,C370="重要关系5",LEFT('幕间与结算'!H277,8)="建立新的重要关系"),'幕间与结算'!E277+E370,BU369+IF(C370="重要关系5",E370,0)+IF(AND(C370="魅力",E370&lt;0),E370,0))))</x:f>
        <x:v>0</x:v>
      </x:c>
      <x:c r="BV370">
        <x:f>MAX(0,MIN(BK370,IF(AND(H370=1,C370="重要关系6",LEFT('幕间与结算'!H277,8)="建立新的重要关系"),'幕间与结算'!E277+E370,BV369+IF(C370="重要关系6",E370,0)+IF(AND(C370="魅力",E370&lt;0),E370,0))))</x:f>
        <x:v>0</x:v>
      </x:c>
      <x:c r="BW370">
        <x:f>MAX(0,MIN(BK370,IF(AND(H370=1,C370="重要关系7",LEFT('幕间与结算'!H277,8)="建立新的重要关系"),'幕间与结算'!E277+E370,BW369+IF(C370="重要关系7",E370,0)+IF(AND(C370="魅力",E370&lt;0),E370,0))))</x:f>
        <x:v>0</x:v>
      </x:c>
    </x:row>
    <x:row r="371">
      <x:c r="A371" t="str">
        <x:f>IFERROR(TEXT(VALUE('幕间与结算'!A278),"00"),"")</x:f>
        <x:v>00</x:v>
      </x:c>
      <x:c r="B371">
        <x:f>'幕间与结算'!B278</x:f>
        <x:v>0</x:v>
      </x:c>
      <x:c r="C371">
        <x:f>'幕间与结算'!D278</x:f>
        <x:v>0</x:v>
      </x:c>
      <x:c r="D371">
        <x:f>'幕间与结算'!F278</x:f>
        <x:v>0</x:v>
      </x:c>
      <x:c r="E371">
        <x:f>IF(H371=1,MAX(-'幕间与结算'!E278,MIN(D371,IF(LEFT(C371,3)="技能：",99,IF(COUNTIF($L$2:$L$7,C371)&gt;0,18,999))-'幕间与结算'!E278)),0)</x:f>
        <x:v>0</x:v>
      </x:c>
      <x:c r="F371" t="str">
        <x:f>IF(C371=0,"",IF(G371=0,"记录不完整",IF(H371=0,"重复未计","已计入")))</x:f>
        <x:v/>
      </x:c>
      <x:c r="G371">
        <x:f>IF(AND(AND('幕间与结算'!A278&lt;&gt;"",'幕间与结算'!B278&lt;&gt;"",'幕间与结算'!I278&lt;&gt;"",OR(LEFT(C371,3)="技能：",COUNTIF($L$2:$L$19,C371)&gt;0),ISNUMBER('幕间与结算'!E278),ISNUMBER('幕间与结算'!F278),ISNUMBER('幕间与结算'!G278),'幕间与结算'!E278&gt;=0,'幕间与结算'!G278='幕间与结算'!E278+'幕间与结算'!F278),OR(B371&lt;&gt;"成长",AND(LEFT(C371,3)="技能：",C371&lt;&gt;"技能：非自然知识",'幕间与结算'!E278&gt;=1,'幕间与结算'!E278&lt;=99,'幕间与结算'!F278&gt;=0,'幕间与结算'!F278&lt;=4,'幕间与结算'!G278&lt;=99))),1,0)</x:f>
        <x:v>0</x:v>
      </x:c>
      <x:c r="H371">
        <x:f>IF(AND(G371=1,COUNTIFS($I$200:I371,I371,$G$200:G371,1)=1),1,0)</x:f>
        <x:v>0</x:v>
      </x:c>
      <x:c r="I371" t="str">
        <x:f>IF(G371=1,IF(B371="成长",A371&amp;"-成长-"&amp;C371,'幕间与结算'!I278),"")</x:f>
        <x:v/>
      </x:c>
      <x:c r="BF371">
        <x:f>MAX(0,MIN(18,BF370+IF(C371="力量",E371,0)))</x:f>
        <x:v>0</x:v>
      </x:c>
      <x:c r="BG371">
        <x:f>MAX(0,MIN(18,BG370+IF(C371="体质",E371,0)))</x:f>
        <x:v>0</x:v>
      </x:c>
      <x:c r="BH371">
        <x:f>MAX(0,MIN(18,BH370+IF(C371="敏捷",E371,0)))</x:f>
        <x:v>0</x:v>
      </x:c>
      <x:c r="BI371">
        <x:f>MAX(0,MIN(18,BI370+IF(C371="智力",E371,0)))</x:f>
        <x:v>0</x:v>
      </x:c>
      <x:c r="BJ371">
        <x:f>MAX(0,MIN(18,BJ370+IF(C371="意志",E371,0)))</x:f>
        <x:v>0</x:v>
      </x:c>
      <x:c r="BK371">
        <x:f>MAX(0,MIN(18,BK370+IF(C371="魅力",E371,0)))</x:f>
        <x:v>0</x:v>
      </x:c>
      <x:c r="BL371">
        <x:f>MAX(0,MIN(99,BL370+IF(C371="技能：非自然知识",E371,0)))</x:f>
        <x:v>0</x:v>
      </x:c>
      <x:c r="BM371">
        <x:f>MAX(0,MIN(CEILING((BF371+BG371)/2,1),BM370+IF(C371="体力",E371,0)))</x:f>
        <x:v>0</x:v>
      </x:c>
      <x:c r="BN371">
        <x:f>MAX(0,MIN(BJ371,BN370+IF(C371="毅力",E371,0)))</x:f>
        <x:v>0</x:v>
      </x:c>
      <x:c r="BO371">
        <x:f>MAX(0,MIN(99-BL371,BO370+IF(C371="理智",E371,0)))</x:f>
        <x:v>0</x:v>
      </x:c>
      <x:c r="BP371">
        <x:f>MAX(0,MIN(99,BP370+IF(C371="崩溃点",E371,0)))</x:f>
        <x:v>0</x:v>
      </x:c>
      <x:c r="BQ371">
        <x:f>MAX(0,MIN(BK371,IF(AND(H371=1,C371="重要关系1",LEFT('幕间与结算'!H278,8)="建立新的重要关系"),'幕间与结算'!E278+E371,BQ370+IF(C371="重要关系1",E371,0)+IF(AND(C371="魅力",E371&lt;0),E371,0))))</x:f>
        <x:v>0</x:v>
      </x:c>
      <x:c r="BR371">
        <x:f>MAX(0,MIN(BK371,IF(AND(H371=1,C371="重要关系2",LEFT('幕间与结算'!H278,8)="建立新的重要关系"),'幕间与结算'!E278+E371,BR370+IF(C371="重要关系2",E371,0)+IF(AND(C371="魅力",E371&lt;0),E371,0))))</x:f>
        <x:v>0</x:v>
      </x:c>
      <x:c r="BS371">
        <x:f>MAX(0,MIN(BK371,IF(AND(H371=1,C371="重要关系3",LEFT('幕间与结算'!H278,8)="建立新的重要关系"),'幕间与结算'!E278+E371,BS370+IF(C371="重要关系3",E371,0)+IF(AND(C371="魅力",E371&lt;0),E371,0))))</x:f>
        <x:v>0</x:v>
      </x:c>
      <x:c r="BT371">
        <x:f>MAX(0,MIN(BK371,IF(AND(H371=1,C371="重要关系4",LEFT('幕间与结算'!H278,8)="建立新的重要关系"),'幕间与结算'!E278+E371,BT370+IF(C371="重要关系4",E371,0)+IF(AND(C371="魅力",E371&lt;0),E371,0))))</x:f>
        <x:v>0</x:v>
      </x:c>
      <x:c r="BU371">
        <x:f>MAX(0,MIN(BK371,IF(AND(H371=1,C371="重要关系5",LEFT('幕间与结算'!H278,8)="建立新的重要关系"),'幕间与结算'!E278+E371,BU370+IF(C371="重要关系5",E371,0)+IF(AND(C371="魅力",E371&lt;0),E371,0))))</x:f>
        <x:v>0</x:v>
      </x:c>
      <x:c r="BV371">
        <x:f>MAX(0,MIN(BK371,IF(AND(H371=1,C371="重要关系6",LEFT('幕间与结算'!H278,8)="建立新的重要关系"),'幕间与结算'!E278+E371,BV370+IF(C371="重要关系6",E371,0)+IF(AND(C371="魅力",E371&lt;0),E371,0))))</x:f>
        <x:v>0</x:v>
      </x:c>
      <x:c r="BW371">
        <x:f>MAX(0,MIN(BK371,IF(AND(H371=1,C371="重要关系7",LEFT('幕间与结算'!H278,8)="建立新的重要关系"),'幕间与结算'!E278+E371,BW370+IF(C371="重要关系7",E371,0)+IF(AND(C371="魅力",E371&lt;0),E371,0))))</x:f>
        <x:v>0</x:v>
      </x:c>
    </x:row>
    <x:row r="372">
      <x:c r="A372" t="str">
        <x:f>IFERROR(TEXT(VALUE('幕间与结算'!A279),"00"),"")</x:f>
        <x:v>00</x:v>
      </x:c>
      <x:c r="B372">
        <x:f>'幕间与结算'!B279</x:f>
        <x:v>0</x:v>
      </x:c>
      <x:c r="C372">
        <x:f>'幕间与结算'!D279</x:f>
        <x:v>0</x:v>
      </x:c>
      <x:c r="D372">
        <x:f>'幕间与结算'!F279</x:f>
        <x:v>0</x:v>
      </x:c>
      <x:c r="E372">
        <x:f>IF(H372=1,MAX(-'幕间与结算'!E279,MIN(D372,IF(LEFT(C372,3)="技能：",99,IF(COUNTIF($L$2:$L$7,C372)&gt;0,18,999))-'幕间与结算'!E279)),0)</x:f>
        <x:v>0</x:v>
      </x:c>
      <x:c r="F372" t="str">
        <x:f>IF(C372=0,"",IF(G372=0,"记录不完整",IF(H372=0,"重复未计","已计入")))</x:f>
        <x:v/>
      </x:c>
      <x:c r="G372">
        <x:f>IF(AND(AND('幕间与结算'!A279&lt;&gt;"",'幕间与结算'!B279&lt;&gt;"",'幕间与结算'!I279&lt;&gt;"",OR(LEFT(C372,3)="技能：",COUNTIF($L$2:$L$19,C372)&gt;0),ISNUMBER('幕间与结算'!E279),ISNUMBER('幕间与结算'!F279),ISNUMBER('幕间与结算'!G279),'幕间与结算'!E279&gt;=0,'幕间与结算'!G279='幕间与结算'!E279+'幕间与结算'!F279),OR(B372&lt;&gt;"成长",AND(LEFT(C372,3)="技能：",C372&lt;&gt;"技能：非自然知识",'幕间与结算'!E279&gt;=1,'幕间与结算'!E279&lt;=99,'幕间与结算'!F279&gt;=0,'幕间与结算'!F279&lt;=4,'幕间与结算'!G279&lt;=99))),1,0)</x:f>
        <x:v>0</x:v>
      </x:c>
      <x:c r="H372">
        <x:f>IF(AND(G372=1,COUNTIFS($I$200:I372,I372,$G$200:G372,1)=1),1,0)</x:f>
        <x:v>0</x:v>
      </x:c>
      <x:c r="I372" t="str">
        <x:f>IF(G372=1,IF(B372="成长",A372&amp;"-成长-"&amp;C372,'幕间与结算'!I279),"")</x:f>
        <x:v/>
      </x:c>
      <x:c r="BF372">
        <x:f>MAX(0,MIN(18,BF371+IF(C372="力量",E372,0)))</x:f>
        <x:v>0</x:v>
      </x:c>
      <x:c r="BG372">
        <x:f>MAX(0,MIN(18,BG371+IF(C372="体质",E372,0)))</x:f>
        <x:v>0</x:v>
      </x:c>
      <x:c r="BH372">
        <x:f>MAX(0,MIN(18,BH371+IF(C372="敏捷",E372,0)))</x:f>
        <x:v>0</x:v>
      </x:c>
      <x:c r="BI372">
        <x:f>MAX(0,MIN(18,BI371+IF(C372="智力",E372,0)))</x:f>
        <x:v>0</x:v>
      </x:c>
      <x:c r="BJ372">
        <x:f>MAX(0,MIN(18,BJ371+IF(C372="意志",E372,0)))</x:f>
        <x:v>0</x:v>
      </x:c>
      <x:c r="BK372">
        <x:f>MAX(0,MIN(18,BK371+IF(C372="魅力",E372,0)))</x:f>
        <x:v>0</x:v>
      </x:c>
      <x:c r="BL372">
        <x:f>MAX(0,MIN(99,BL371+IF(C372="技能：非自然知识",E372,0)))</x:f>
        <x:v>0</x:v>
      </x:c>
      <x:c r="BM372">
        <x:f>MAX(0,MIN(CEILING((BF372+BG372)/2,1),BM371+IF(C372="体力",E372,0)))</x:f>
        <x:v>0</x:v>
      </x:c>
      <x:c r="BN372">
        <x:f>MAX(0,MIN(BJ372,BN371+IF(C372="毅力",E372,0)))</x:f>
        <x:v>0</x:v>
      </x:c>
      <x:c r="BO372">
        <x:f>MAX(0,MIN(99-BL372,BO371+IF(C372="理智",E372,0)))</x:f>
        <x:v>0</x:v>
      </x:c>
      <x:c r="BP372">
        <x:f>MAX(0,MIN(99,BP371+IF(C372="崩溃点",E372,0)))</x:f>
        <x:v>0</x:v>
      </x:c>
      <x:c r="BQ372">
        <x:f>MAX(0,MIN(BK372,IF(AND(H372=1,C372="重要关系1",LEFT('幕间与结算'!H279,8)="建立新的重要关系"),'幕间与结算'!E279+E372,BQ371+IF(C372="重要关系1",E372,0)+IF(AND(C372="魅力",E372&lt;0),E372,0))))</x:f>
        <x:v>0</x:v>
      </x:c>
      <x:c r="BR372">
        <x:f>MAX(0,MIN(BK372,IF(AND(H372=1,C372="重要关系2",LEFT('幕间与结算'!H279,8)="建立新的重要关系"),'幕间与结算'!E279+E372,BR371+IF(C372="重要关系2",E372,0)+IF(AND(C372="魅力",E372&lt;0),E372,0))))</x:f>
        <x:v>0</x:v>
      </x:c>
      <x:c r="BS372">
        <x:f>MAX(0,MIN(BK372,IF(AND(H372=1,C372="重要关系3",LEFT('幕间与结算'!H279,8)="建立新的重要关系"),'幕间与结算'!E279+E372,BS371+IF(C372="重要关系3",E372,0)+IF(AND(C372="魅力",E372&lt;0),E372,0))))</x:f>
        <x:v>0</x:v>
      </x:c>
      <x:c r="BT372">
        <x:f>MAX(0,MIN(BK372,IF(AND(H372=1,C372="重要关系4",LEFT('幕间与结算'!H279,8)="建立新的重要关系"),'幕间与结算'!E279+E372,BT371+IF(C372="重要关系4",E372,0)+IF(AND(C372="魅力",E372&lt;0),E372,0))))</x:f>
        <x:v>0</x:v>
      </x:c>
      <x:c r="BU372">
        <x:f>MAX(0,MIN(BK372,IF(AND(H372=1,C372="重要关系5",LEFT('幕间与结算'!H279,8)="建立新的重要关系"),'幕间与结算'!E279+E372,BU371+IF(C372="重要关系5",E372,0)+IF(AND(C372="魅力",E372&lt;0),E372,0))))</x:f>
        <x:v>0</x:v>
      </x:c>
      <x:c r="BV372">
        <x:f>MAX(0,MIN(BK372,IF(AND(H372=1,C372="重要关系6",LEFT('幕间与结算'!H279,8)="建立新的重要关系"),'幕间与结算'!E279+E372,BV371+IF(C372="重要关系6",E372,0)+IF(AND(C372="魅力",E372&lt;0),E372,0))))</x:f>
        <x:v>0</x:v>
      </x:c>
      <x:c r="BW372">
        <x:f>MAX(0,MIN(BK372,IF(AND(H372=1,C372="重要关系7",LEFT('幕间与结算'!H279,8)="建立新的重要关系"),'幕间与结算'!E279+E372,BW371+IF(C372="重要关系7",E372,0)+IF(AND(C372="魅力",E372&lt;0),E372,0))))</x:f>
        <x:v>0</x:v>
      </x:c>
    </x:row>
    <x:row r="373">
      <x:c r="A373" t="str">
        <x:f>IFERROR(TEXT(VALUE('幕间与结算'!A280),"00"),"")</x:f>
        <x:v>00</x:v>
      </x:c>
      <x:c r="B373">
        <x:f>'幕间与结算'!B280</x:f>
        <x:v>0</x:v>
      </x:c>
      <x:c r="C373">
        <x:f>'幕间与结算'!D280</x:f>
        <x:v>0</x:v>
      </x:c>
      <x:c r="D373">
        <x:f>'幕间与结算'!F280</x:f>
        <x:v>0</x:v>
      </x:c>
      <x:c r="E373">
        <x:f>IF(H373=1,MAX(-'幕间与结算'!E280,MIN(D373,IF(LEFT(C373,3)="技能：",99,IF(COUNTIF($L$2:$L$7,C373)&gt;0,18,999))-'幕间与结算'!E280)),0)</x:f>
        <x:v>0</x:v>
      </x:c>
      <x:c r="F373" t="str">
        <x:f>IF(C373=0,"",IF(G373=0,"记录不完整",IF(H373=0,"重复未计","已计入")))</x:f>
        <x:v/>
      </x:c>
      <x:c r="G373">
        <x:f>IF(AND(AND('幕间与结算'!A280&lt;&gt;"",'幕间与结算'!B280&lt;&gt;"",'幕间与结算'!I280&lt;&gt;"",OR(LEFT(C373,3)="技能：",COUNTIF($L$2:$L$19,C373)&gt;0),ISNUMBER('幕间与结算'!E280),ISNUMBER('幕间与结算'!F280),ISNUMBER('幕间与结算'!G280),'幕间与结算'!E280&gt;=0,'幕间与结算'!G280='幕间与结算'!E280+'幕间与结算'!F280),OR(B373&lt;&gt;"成长",AND(LEFT(C373,3)="技能：",C373&lt;&gt;"技能：非自然知识",'幕间与结算'!E280&gt;=1,'幕间与结算'!E280&lt;=99,'幕间与结算'!F280&gt;=0,'幕间与结算'!F280&lt;=4,'幕间与结算'!G280&lt;=99))),1,0)</x:f>
        <x:v>0</x:v>
      </x:c>
      <x:c r="H373">
        <x:f>IF(AND(G373=1,COUNTIFS($I$200:I373,I373,$G$200:G373,1)=1),1,0)</x:f>
        <x:v>0</x:v>
      </x:c>
      <x:c r="I373" t="str">
        <x:f>IF(G373=1,IF(B373="成长",A373&amp;"-成长-"&amp;C373,'幕间与结算'!I280),"")</x:f>
        <x:v/>
      </x:c>
      <x:c r="BF373">
        <x:f>MAX(0,MIN(18,BF372+IF(C373="力量",E373,0)))</x:f>
        <x:v>0</x:v>
      </x:c>
      <x:c r="BG373">
        <x:f>MAX(0,MIN(18,BG372+IF(C373="体质",E373,0)))</x:f>
        <x:v>0</x:v>
      </x:c>
      <x:c r="BH373">
        <x:f>MAX(0,MIN(18,BH372+IF(C373="敏捷",E373,0)))</x:f>
        <x:v>0</x:v>
      </x:c>
      <x:c r="BI373">
        <x:f>MAX(0,MIN(18,BI372+IF(C373="智力",E373,0)))</x:f>
        <x:v>0</x:v>
      </x:c>
      <x:c r="BJ373">
        <x:f>MAX(0,MIN(18,BJ372+IF(C373="意志",E373,0)))</x:f>
        <x:v>0</x:v>
      </x:c>
      <x:c r="BK373">
        <x:f>MAX(0,MIN(18,BK372+IF(C373="魅力",E373,0)))</x:f>
        <x:v>0</x:v>
      </x:c>
      <x:c r="BL373">
        <x:f>MAX(0,MIN(99,BL372+IF(C373="技能：非自然知识",E373,0)))</x:f>
        <x:v>0</x:v>
      </x:c>
      <x:c r="BM373">
        <x:f>MAX(0,MIN(CEILING((BF373+BG373)/2,1),BM372+IF(C373="体力",E373,0)))</x:f>
        <x:v>0</x:v>
      </x:c>
      <x:c r="BN373">
        <x:f>MAX(0,MIN(BJ373,BN372+IF(C373="毅力",E373,0)))</x:f>
        <x:v>0</x:v>
      </x:c>
      <x:c r="BO373">
        <x:f>MAX(0,MIN(99-BL373,BO372+IF(C373="理智",E373,0)))</x:f>
        <x:v>0</x:v>
      </x:c>
      <x:c r="BP373">
        <x:f>MAX(0,MIN(99,BP372+IF(C373="崩溃点",E373,0)))</x:f>
        <x:v>0</x:v>
      </x:c>
      <x:c r="BQ373">
        <x:f>MAX(0,MIN(BK373,IF(AND(H373=1,C373="重要关系1",LEFT('幕间与结算'!H280,8)="建立新的重要关系"),'幕间与结算'!E280+E373,BQ372+IF(C373="重要关系1",E373,0)+IF(AND(C373="魅力",E373&lt;0),E373,0))))</x:f>
        <x:v>0</x:v>
      </x:c>
      <x:c r="BR373">
        <x:f>MAX(0,MIN(BK373,IF(AND(H373=1,C373="重要关系2",LEFT('幕间与结算'!H280,8)="建立新的重要关系"),'幕间与结算'!E280+E373,BR372+IF(C373="重要关系2",E373,0)+IF(AND(C373="魅力",E373&lt;0),E373,0))))</x:f>
        <x:v>0</x:v>
      </x:c>
      <x:c r="BS373">
        <x:f>MAX(0,MIN(BK373,IF(AND(H373=1,C373="重要关系3",LEFT('幕间与结算'!H280,8)="建立新的重要关系"),'幕间与结算'!E280+E373,BS372+IF(C373="重要关系3",E373,0)+IF(AND(C373="魅力",E373&lt;0),E373,0))))</x:f>
        <x:v>0</x:v>
      </x:c>
      <x:c r="BT373">
        <x:f>MAX(0,MIN(BK373,IF(AND(H373=1,C373="重要关系4",LEFT('幕间与结算'!H280,8)="建立新的重要关系"),'幕间与结算'!E280+E373,BT372+IF(C373="重要关系4",E373,0)+IF(AND(C373="魅力",E373&lt;0),E373,0))))</x:f>
        <x:v>0</x:v>
      </x:c>
      <x:c r="BU373">
        <x:f>MAX(0,MIN(BK373,IF(AND(H373=1,C373="重要关系5",LEFT('幕间与结算'!H280,8)="建立新的重要关系"),'幕间与结算'!E280+E373,BU372+IF(C373="重要关系5",E373,0)+IF(AND(C373="魅力",E373&lt;0),E373,0))))</x:f>
        <x:v>0</x:v>
      </x:c>
      <x:c r="BV373">
        <x:f>MAX(0,MIN(BK373,IF(AND(H373=1,C373="重要关系6",LEFT('幕间与结算'!H280,8)="建立新的重要关系"),'幕间与结算'!E280+E373,BV372+IF(C373="重要关系6",E373,0)+IF(AND(C373="魅力",E373&lt;0),E373,0))))</x:f>
        <x:v>0</x:v>
      </x:c>
      <x:c r="BW373">
        <x:f>MAX(0,MIN(BK373,IF(AND(H373=1,C373="重要关系7",LEFT('幕间与结算'!H280,8)="建立新的重要关系"),'幕间与结算'!E280+E373,BW372+IF(C373="重要关系7",E373,0)+IF(AND(C373="魅力",E373&lt;0),E373,0))))</x:f>
        <x:v>0</x:v>
      </x:c>
    </x:row>
    <x:row r="374">
      <x:c r="A374" t="str">
        <x:f>IFERROR(TEXT(VALUE('幕间与结算'!A281),"00"),"")</x:f>
        <x:v>00</x:v>
      </x:c>
      <x:c r="B374">
        <x:f>'幕间与结算'!B281</x:f>
        <x:v>0</x:v>
      </x:c>
      <x:c r="C374">
        <x:f>'幕间与结算'!D281</x:f>
        <x:v>0</x:v>
      </x:c>
      <x:c r="D374">
        <x:f>'幕间与结算'!F281</x:f>
        <x:v>0</x:v>
      </x:c>
      <x:c r="E374">
        <x:f>IF(H374=1,MAX(-'幕间与结算'!E281,MIN(D374,IF(LEFT(C374,3)="技能：",99,IF(COUNTIF($L$2:$L$7,C374)&gt;0,18,999))-'幕间与结算'!E281)),0)</x:f>
        <x:v>0</x:v>
      </x:c>
      <x:c r="F374" t="str">
        <x:f>IF(C374=0,"",IF(G374=0,"记录不完整",IF(H374=0,"重复未计","已计入")))</x:f>
        <x:v/>
      </x:c>
      <x:c r="G374">
        <x:f>IF(AND(AND('幕间与结算'!A281&lt;&gt;"",'幕间与结算'!B281&lt;&gt;"",'幕间与结算'!I281&lt;&gt;"",OR(LEFT(C374,3)="技能：",COUNTIF($L$2:$L$19,C374)&gt;0),ISNUMBER('幕间与结算'!E281),ISNUMBER('幕间与结算'!F281),ISNUMBER('幕间与结算'!G281),'幕间与结算'!E281&gt;=0,'幕间与结算'!G281='幕间与结算'!E281+'幕间与结算'!F281),OR(B374&lt;&gt;"成长",AND(LEFT(C374,3)="技能：",C374&lt;&gt;"技能：非自然知识",'幕间与结算'!E281&gt;=1,'幕间与结算'!E281&lt;=99,'幕间与结算'!F281&gt;=0,'幕间与结算'!F281&lt;=4,'幕间与结算'!G281&lt;=99))),1,0)</x:f>
        <x:v>0</x:v>
      </x:c>
      <x:c r="H374">
        <x:f>IF(AND(G374=1,COUNTIFS($I$200:I374,I374,$G$200:G374,1)=1),1,0)</x:f>
        <x:v>0</x:v>
      </x:c>
      <x:c r="I374" t="str">
        <x:f>IF(G374=1,IF(B374="成长",A374&amp;"-成长-"&amp;C374,'幕间与结算'!I281),"")</x:f>
        <x:v/>
      </x:c>
      <x:c r="BF374">
        <x:f>MAX(0,MIN(18,BF373+IF(C374="力量",E374,0)))</x:f>
        <x:v>0</x:v>
      </x:c>
      <x:c r="BG374">
        <x:f>MAX(0,MIN(18,BG373+IF(C374="体质",E374,0)))</x:f>
        <x:v>0</x:v>
      </x:c>
      <x:c r="BH374">
        <x:f>MAX(0,MIN(18,BH373+IF(C374="敏捷",E374,0)))</x:f>
        <x:v>0</x:v>
      </x:c>
      <x:c r="BI374">
        <x:f>MAX(0,MIN(18,BI373+IF(C374="智力",E374,0)))</x:f>
        <x:v>0</x:v>
      </x:c>
      <x:c r="BJ374">
        <x:f>MAX(0,MIN(18,BJ373+IF(C374="意志",E374,0)))</x:f>
        <x:v>0</x:v>
      </x:c>
      <x:c r="BK374">
        <x:f>MAX(0,MIN(18,BK373+IF(C374="魅力",E374,0)))</x:f>
        <x:v>0</x:v>
      </x:c>
      <x:c r="BL374">
        <x:f>MAX(0,MIN(99,BL373+IF(C374="技能：非自然知识",E374,0)))</x:f>
        <x:v>0</x:v>
      </x:c>
      <x:c r="BM374">
        <x:f>MAX(0,MIN(CEILING((BF374+BG374)/2,1),BM373+IF(C374="体力",E374,0)))</x:f>
        <x:v>0</x:v>
      </x:c>
      <x:c r="BN374">
        <x:f>MAX(0,MIN(BJ374,BN373+IF(C374="毅力",E374,0)))</x:f>
        <x:v>0</x:v>
      </x:c>
      <x:c r="BO374">
        <x:f>MAX(0,MIN(99-BL374,BO373+IF(C374="理智",E374,0)))</x:f>
        <x:v>0</x:v>
      </x:c>
      <x:c r="BP374">
        <x:f>MAX(0,MIN(99,BP373+IF(C374="崩溃点",E374,0)))</x:f>
        <x:v>0</x:v>
      </x:c>
      <x:c r="BQ374">
        <x:f>MAX(0,MIN(BK374,IF(AND(H374=1,C374="重要关系1",LEFT('幕间与结算'!H281,8)="建立新的重要关系"),'幕间与结算'!E281+E374,BQ373+IF(C374="重要关系1",E374,0)+IF(AND(C374="魅力",E374&lt;0),E374,0))))</x:f>
        <x:v>0</x:v>
      </x:c>
      <x:c r="BR374">
        <x:f>MAX(0,MIN(BK374,IF(AND(H374=1,C374="重要关系2",LEFT('幕间与结算'!H281,8)="建立新的重要关系"),'幕间与结算'!E281+E374,BR373+IF(C374="重要关系2",E374,0)+IF(AND(C374="魅力",E374&lt;0),E374,0))))</x:f>
        <x:v>0</x:v>
      </x:c>
      <x:c r="BS374">
        <x:f>MAX(0,MIN(BK374,IF(AND(H374=1,C374="重要关系3",LEFT('幕间与结算'!H281,8)="建立新的重要关系"),'幕间与结算'!E281+E374,BS373+IF(C374="重要关系3",E374,0)+IF(AND(C374="魅力",E374&lt;0),E374,0))))</x:f>
        <x:v>0</x:v>
      </x:c>
      <x:c r="BT374">
        <x:f>MAX(0,MIN(BK374,IF(AND(H374=1,C374="重要关系4",LEFT('幕间与结算'!H281,8)="建立新的重要关系"),'幕间与结算'!E281+E374,BT373+IF(C374="重要关系4",E374,0)+IF(AND(C374="魅力",E374&lt;0),E374,0))))</x:f>
        <x:v>0</x:v>
      </x:c>
      <x:c r="BU374">
        <x:f>MAX(0,MIN(BK374,IF(AND(H374=1,C374="重要关系5",LEFT('幕间与结算'!H281,8)="建立新的重要关系"),'幕间与结算'!E281+E374,BU373+IF(C374="重要关系5",E374,0)+IF(AND(C374="魅力",E374&lt;0),E374,0))))</x:f>
        <x:v>0</x:v>
      </x:c>
      <x:c r="BV374">
        <x:f>MAX(0,MIN(BK374,IF(AND(H374=1,C374="重要关系6",LEFT('幕间与结算'!H281,8)="建立新的重要关系"),'幕间与结算'!E281+E374,BV373+IF(C374="重要关系6",E374,0)+IF(AND(C374="魅力",E374&lt;0),E374,0))))</x:f>
        <x:v>0</x:v>
      </x:c>
      <x:c r="BW374">
        <x:f>MAX(0,MIN(BK374,IF(AND(H374=1,C374="重要关系7",LEFT('幕间与结算'!H281,8)="建立新的重要关系"),'幕间与结算'!E281+E374,BW373+IF(C374="重要关系7",E374,0)+IF(AND(C374="魅力",E374&lt;0),E374,0))))</x:f>
        <x:v>0</x:v>
      </x:c>
    </x:row>
    <x:row r="375">
      <x:c r="A375" t="str">
        <x:f>IFERROR(TEXT(VALUE('幕间与结算'!A282),"00"),"")</x:f>
        <x:v>00</x:v>
      </x:c>
      <x:c r="B375">
        <x:f>'幕间与结算'!B282</x:f>
        <x:v>0</x:v>
      </x:c>
      <x:c r="C375">
        <x:f>'幕间与结算'!D282</x:f>
        <x:v>0</x:v>
      </x:c>
      <x:c r="D375">
        <x:f>'幕间与结算'!F282</x:f>
        <x:v>0</x:v>
      </x:c>
      <x:c r="E375">
        <x:f>IF(H375=1,MAX(-'幕间与结算'!E282,MIN(D375,IF(LEFT(C375,3)="技能：",99,IF(COUNTIF($L$2:$L$7,C375)&gt;0,18,999))-'幕间与结算'!E282)),0)</x:f>
        <x:v>0</x:v>
      </x:c>
      <x:c r="F375" t="str">
        <x:f>IF(C375=0,"",IF(G375=0,"记录不完整",IF(H375=0,"重复未计","已计入")))</x:f>
        <x:v/>
      </x:c>
      <x:c r="G375">
        <x:f>IF(AND(AND('幕间与结算'!A282&lt;&gt;"",'幕间与结算'!B282&lt;&gt;"",'幕间与结算'!I282&lt;&gt;"",OR(LEFT(C375,3)="技能：",COUNTIF($L$2:$L$19,C375)&gt;0),ISNUMBER('幕间与结算'!E282),ISNUMBER('幕间与结算'!F282),ISNUMBER('幕间与结算'!G282),'幕间与结算'!E282&gt;=0,'幕间与结算'!G282='幕间与结算'!E282+'幕间与结算'!F282),OR(B375&lt;&gt;"成长",AND(LEFT(C375,3)="技能：",C375&lt;&gt;"技能：非自然知识",'幕间与结算'!E282&gt;=1,'幕间与结算'!E282&lt;=99,'幕间与结算'!F282&gt;=0,'幕间与结算'!F282&lt;=4,'幕间与结算'!G282&lt;=99))),1,0)</x:f>
        <x:v>0</x:v>
      </x:c>
      <x:c r="H375">
        <x:f>IF(AND(G375=1,COUNTIFS($I$200:I375,I375,$G$200:G375,1)=1),1,0)</x:f>
        <x:v>0</x:v>
      </x:c>
      <x:c r="I375" t="str">
        <x:f>IF(G375=1,IF(B375="成长",A375&amp;"-成长-"&amp;C375,'幕间与结算'!I282),"")</x:f>
        <x:v/>
      </x:c>
      <x:c r="BF375">
        <x:f>MAX(0,MIN(18,BF374+IF(C375="力量",E375,0)))</x:f>
        <x:v>0</x:v>
      </x:c>
      <x:c r="BG375">
        <x:f>MAX(0,MIN(18,BG374+IF(C375="体质",E375,0)))</x:f>
        <x:v>0</x:v>
      </x:c>
      <x:c r="BH375">
        <x:f>MAX(0,MIN(18,BH374+IF(C375="敏捷",E375,0)))</x:f>
        <x:v>0</x:v>
      </x:c>
      <x:c r="BI375">
        <x:f>MAX(0,MIN(18,BI374+IF(C375="智力",E375,0)))</x:f>
        <x:v>0</x:v>
      </x:c>
      <x:c r="BJ375">
        <x:f>MAX(0,MIN(18,BJ374+IF(C375="意志",E375,0)))</x:f>
        <x:v>0</x:v>
      </x:c>
      <x:c r="BK375">
        <x:f>MAX(0,MIN(18,BK374+IF(C375="魅力",E375,0)))</x:f>
        <x:v>0</x:v>
      </x:c>
      <x:c r="BL375">
        <x:f>MAX(0,MIN(99,BL374+IF(C375="技能：非自然知识",E375,0)))</x:f>
        <x:v>0</x:v>
      </x:c>
      <x:c r="BM375">
        <x:f>MAX(0,MIN(CEILING((BF375+BG375)/2,1),BM374+IF(C375="体力",E375,0)))</x:f>
        <x:v>0</x:v>
      </x:c>
      <x:c r="BN375">
        <x:f>MAX(0,MIN(BJ375,BN374+IF(C375="毅力",E375,0)))</x:f>
        <x:v>0</x:v>
      </x:c>
      <x:c r="BO375">
        <x:f>MAX(0,MIN(99-BL375,BO374+IF(C375="理智",E375,0)))</x:f>
        <x:v>0</x:v>
      </x:c>
      <x:c r="BP375">
        <x:f>MAX(0,MIN(99,BP374+IF(C375="崩溃点",E375,0)))</x:f>
        <x:v>0</x:v>
      </x:c>
      <x:c r="BQ375">
        <x:f>MAX(0,MIN(BK375,IF(AND(H375=1,C375="重要关系1",LEFT('幕间与结算'!H282,8)="建立新的重要关系"),'幕间与结算'!E282+E375,BQ374+IF(C375="重要关系1",E375,0)+IF(AND(C375="魅力",E375&lt;0),E375,0))))</x:f>
        <x:v>0</x:v>
      </x:c>
      <x:c r="BR375">
        <x:f>MAX(0,MIN(BK375,IF(AND(H375=1,C375="重要关系2",LEFT('幕间与结算'!H282,8)="建立新的重要关系"),'幕间与结算'!E282+E375,BR374+IF(C375="重要关系2",E375,0)+IF(AND(C375="魅力",E375&lt;0),E375,0))))</x:f>
        <x:v>0</x:v>
      </x:c>
      <x:c r="BS375">
        <x:f>MAX(0,MIN(BK375,IF(AND(H375=1,C375="重要关系3",LEFT('幕间与结算'!H282,8)="建立新的重要关系"),'幕间与结算'!E282+E375,BS374+IF(C375="重要关系3",E375,0)+IF(AND(C375="魅力",E375&lt;0),E375,0))))</x:f>
        <x:v>0</x:v>
      </x:c>
      <x:c r="BT375">
        <x:f>MAX(0,MIN(BK375,IF(AND(H375=1,C375="重要关系4",LEFT('幕间与结算'!H282,8)="建立新的重要关系"),'幕间与结算'!E282+E375,BT374+IF(C375="重要关系4",E375,0)+IF(AND(C375="魅力",E375&lt;0),E375,0))))</x:f>
        <x:v>0</x:v>
      </x:c>
      <x:c r="BU375">
        <x:f>MAX(0,MIN(BK375,IF(AND(H375=1,C375="重要关系5",LEFT('幕间与结算'!H282,8)="建立新的重要关系"),'幕间与结算'!E282+E375,BU374+IF(C375="重要关系5",E375,0)+IF(AND(C375="魅力",E375&lt;0),E375,0))))</x:f>
        <x:v>0</x:v>
      </x:c>
      <x:c r="BV375">
        <x:f>MAX(0,MIN(BK375,IF(AND(H375=1,C375="重要关系6",LEFT('幕间与结算'!H282,8)="建立新的重要关系"),'幕间与结算'!E282+E375,BV374+IF(C375="重要关系6",E375,0)+IF(AND(C375="魅力",E375&lt;0),E375,0))))</x:f>
        <x:v>0</x:v>
      </x:c>
      <x:c r="BW375">
        <x:f>MAX(0,MIN(BK375,IF(AND(H375=1,C375="重要关系7",LEFT('幕间与结算'!H282,8)="建立新的重要关系"),'幕间与结算'!E282+E375,BW374+IF(C375="重要关系7",E375,0)+IF(AND(C375="魅力",E375&lt;0),E375,0))))</x:f>
        <x:v>0</x:v>
      </x:c>
    </x:row>
    <x:row r="376">
      <x:c r="A376" t="str">
        <x:f>IFERROR(TEXT(VALUE('幕间与结算'!A283),"00"),"")</x:f>
        <x:v>00</x:v>
      </x:c>
      <x:c r="B376">
        <x:f>'幕间与结算'!B283</x:f>
        <x:v>0</x:v>
      </x:c>
      <x:c r="C376">
        <x:f>'幕间与结算'!D283</x:f>
        <x:v>0</x:v>
      </x:c>
      <x:c r="D376">
        <x:f>'幕间与结算'!F283</x:f>
        <x:v>0</x:v>
      </x:c>
      <x:c r="E376">
        <x:f>IF(H376=1,MAX(-'幕间与结算'!E283,MIN(D376,IF(LEFT(C376,3)="技能：",99,IF(COUNTIF($L$2:$L$7,C376)&gt;0,18,999))-'幕间与结算'!E283)),0)</x:f>
        <x:v>0</x:v>
      </x:c>
      <x:c r="F376" t="str">
        <x:f>IF(C376=0,"",IF(G376=0,"记录不完整",IF(H376=0,"重复未计","已计入")))</x:f>
        <x:v/>
      </x:c>
      <x:c r="G376">
        <x:f>IF(AND(AND('幕间与结算'!A283&lt;&gt;"",'幕间与结算'!B283&lt;&gt;"",'幕间与结算'!I283&lt;&gt;"",OR(LEFT(C376,3)="技能：",COUNTIF($L$2:$L$19,C376)&gt;0),ISNUMBER('幕间与结算'!E283),ISNUMBER('幕间与结算'!F283),ISNUMBER('幕间与结算'!G283),'幕间与结算'!E283&gt;=0,'幕间与结算'!G283='幕间与结算'!E283+'幕间与结算'!F283),OR(B376&lt;&gt;"成长",AND(LEFT(C376,3)="技能：",C376&lt;&gt;"技能：非自然知识",'幕间与结算'!E283&gt;=1,'幕间与结算'!E283&lt;=99,'幕间与结算'!F283&gt;=0,'幕间与结算'!F283&lt;=4,'幕间与结算'!G283&lt;=99))),1,0)</x:f>
        <x:v>0</x:v>
      </x:c>
      <x:c r="H376">
        <x:f>IF(AND(G376=1,COUNTIFS($I$200:I376,I376,$G$200:G376,1)=1),1,0)</x:f>
        <x:v>0</x:v>
      </x:c>
      <x:c r="I376" t="str">
        <x:f>IF(G376=1,IF(B376="成长",A376&amp;"-成长-"&amp;C376,'幕间与结算'!I283),"")</x:f>
        <x:v/>
      </x:c>
      <x:c r="BF376">
        <x:f>MAX(0,MIN(18,BF375+IF(C376="力量",E376,0)))</x:f>
        <x:v>0</x:v>
      </x:c>
      <x:c r="BG376">
        <x:f>MAX(0,MIN(18,BG375+IF(C376="体质",E376,0)))</x:f>
        <x:v>0</x:v>
      </x:c>
      <x:c r="BH376">
        <x:f>MAX(0,MIN(18,BH375+IF(C376="敏捷",E376,0)))</x:f>
        <x:v>0</x:v>
      </x:c>
      <x:c r="BI376">
        <x:f>MAX(0,MIN(18,BI375+IF(C376="智力",E376,0)))</x:f>
        <x:v>0</x:v>
      </x:c>
      <x:c r="BJ376">
        <x:f>MAX(0,MIN(18,BJ375+IF(C376="意志",E376,0)))</x:f>
        <x:v>0</x:v>
      </x:c>
      <x:c r="BK376">
        <x:f>MAX(0,MIN(18,BK375+IF(C376="魅力",E376,0)))</x:f>
        <x:v>0</x:v>
      </x:c>
      <x:c r="BL376">
        <x:f>MAX(0,MIN(99,BL375+IF(C376="技能：非自然知识",E376,0)))</x:f>
        <x:v>0</x:v>
      </x:c>
      <x:c r="BM376">
        <x:f>MAX(0,MIN(CEILING((BF376+BG376)/2,1),BM375+IF(C376="体力",E376,0)))</x:f>
        <x:v>0</x:v>
      </x:c>
      <x:c r="BN376">
        <x:f>MAX(0,MIN(BJ376,BN375+IF(C376="毅力",E376,0)))</x:f>
        <x:v>0</x:v>
      </x:c>
      <x:c r="BO376">
        <x:f>MAX(0,MIN(99-BL376,BO375+IF(C376="理智",E376,0)))</x:f>
        <x:v>0</x:v>
      </x:c>
      <x:c r="BP376">
        <x:f>MAX(0,MIN(99,BP375+IF(C376="崩溃点",E376,0)))</x:f>
        <x:v>0</x:v>
      </x:c>
      <x:c r="BQ376">
        <x:f>MAX(0,MIN(BK376,IF(AND(H376=1,C376="重要关系1",LEFT('幕间与结算'!H283,8)="建立新的重要关系"),'幕间与结算'!E283+E376,BQ375+IF(C376="重要关系1",E376,0)+IF(AND(C376="魅力",E376&lt;0),E376,0))))</x:f>
        <x:v>0</x:v>
      </x:c>
      <x:c r="BR376">
        <x:f>MAX(0,MIN(BK376,IF(AND(H376=1,C376="重要关系2",LEFT('幕间与结算'!H283,8)="建立新的重要关系"),'幕间与结算'!E283+E376,BR375+IF(C376="重要关系2",E376,0)+IF(AND(C376="魅力",E376&lt;0),E376,0))))</x:f>
        <x:v>0</x:v>
      </x:c>
      <x:c r="BS376">
        <x:f>MAX(0,MIN(BK376,IF(AND(H376=1,C376="重要关系3",LEFT('幕间与结算'!H283,8)="建立新的重要关系"),'幕间与结算'!E283+E376,BS375+IF(C376="重要关系3",E376,0)+IF(AND(C376="魅力",E376&lt;0),E376,0))))</x:f>
        <x:v>0</x:v>
      </x:c>
      <x:c r="BT376">
        <x:f>MAX(0,MIN(BK376,IF(AND(H376=1,C376="重要关系4",LEFT('幕间与结算'!H283,8)="建立新的重要关系"),'幕间与结算'!E283+E376,BT375+IF(C376="重要关系4",E376,0)+IF(AND(C376="魅力",E376&lt;0),E376,0))))</x:f>
        <x:v>0</x:v>
      </x:c>
      <x:c r="BU376">
        <x:f>MAX(0,MIN(BK376,IF(AND(H376=1,C376="重要关系5",LEFT('幕间与结算'!H283,8)="建立新的重要关系"),'幕间与结算'!E283+E376,BU375+IF(C376="重要关系5",E376,0)+IF(AND(C376="魅力",E376&lt;0),E376,0))))</x:f>
        <x:v>0</x:v>
      </x:c>
      <x:c r="BV376">
        <x:f>MAX(0,MIN(BK376,IF(AND(H376=1,C376="重要关系6",LEFT('幕间与结算'!H283,8)="建立新的重要关系"),'幕间与结算'!E283+E376,BV375+IF(C376="重要关系6",E376,0)+IF(AND(C376="魅力",E376&lt;0),E376,0))))</x:f>
        <x:v>0</x:v>
      </x:c>
      <x:c r="BW376">
        <x:f>MAX(0,MIN(BK376,IF(AND(H376=1,C376="重要关系7",LEFT('幕间与结算'!H283,8)="建立新的重要关系"),'幕间与结算'!E283+E376,BW375+IF(C376="重要关系7",E376,0)+IF(AND(C376="魅力",E376&lt;0),E376,0))))</x:f>
        <x:v>0</x:v>
      </x:c>
    </x:row>
    <x:row r="377">
      <x:c r="A377" t="str">
        <x:f>IFERROR(TEXT(VALUE('幕间与结算'!A284),"00"),"")</x:f>
        <x:v>00</x:v>
      </x:c>
      <x:c r="B377">
        <x:f>'幕间与结算'!B284</x:f>
        <x:v>0</x:v>
      </x:c>
      <x:c r="C377">
        <x:f>'幕间与结算'!D284</x:f>
        <x:v>0</x:v>
      </x:c>
      <x:c r="D377">
        <x:f>'幕间与结算'!F284</x:f>
        <x:v>0</x:v>
      </x:c>
      <x:c r="E377">
        <x:f>IF(H377=1,MAX(-'幕间与结算'!E284,MIN(D377,IF(LEFT(C377,3)="技能：",99,IF(COUNTIF($L$2:$L$7,C377)&gt;0,18,999))-'幕间与结算'!E284)),0)</x:f>
        <x:v>0</x:v>
      </x:c>
      <x:c r="F377" t="str">
        <x:f>IF(C377=0,"",IF(G377=0,"记录不完整",IF(H377=0,"重复未计","已计入")))</x:f>
        <x:v/>
      </x:c>
      <x:c r="G377">
        <x:f>IF(AND(AND('幕间与结算'!A284&lt;&gt;"",'幕间与结算'!B284&lt;&gt;"",'幕间与结算'!I284&lt;&gt;"",OR(LEFT(C377,3)="技能：",COUNTIF($L$2:$L$19,C377)&gt;0),ISNUMBER('幕间与结算'!E284),ISNUMBER('幕间与结算'!F284),ISNUMBER('幕间与结算'!G284),'幕间与结算'!E284&gt;=0,'幕间与结算'!G284='幕间与结算'!E284+'幕间与结算'!F284),OR(B377&lt;&gt;"成长",AND(LEFT(C377,3)="技能：",C377&lt;&gt;"技能：非自然知识",'幕间与结算'!E284&gt;=1,'幕间与结算'!E284&lt;=99,'幕间与结算'!F284&gt;=0,'幕间与结算'!F284&lt;=4,'幕间与结算'!G284&lt;=99))),1,0)</x:f>
        <x:v>0</x:v>
      </x:c>
      <x:c r="H377">
        <x:f>IF(AND(G377=1,COUNTIFS($I$200:I377,I377,$G$200:G377,1)=1),1,0)</x:f>
        <x:v>0</x:v>
      </x:c>
      <x:c r="I377" t="str">
        <x:f>IF(G377=1,IF(B377="成长",A377&amp;"-成长-"&amp;C377,'幕间与结算'!I284),"")</x:f>
        <x:v/>
      </x:c>
      <x:c r="BF377">
        <x:f>MAX(0,MIN(18,BF376+IF(C377="力量",E377,0)))</x:f>
        <x:v>0</x:v>
      </x:c>
      <x:c r="BG377">
        <x:f>MAX(0,MIN(18,BG376+IF(C377="体质",E377,0)))</x:f>
        <x:v>0</x:v>
      </x:c>
      <x:c r="BH377">
        <x:f>MAX(0,MIN(18,BH376+IF(C377="敏捷",E377,0)))</x:f>
        <x:v>0</x:v>
      </x:c>
      <x:c r="BI377">
        <x:f>MAX(0,MIN(18,BI376+IF(C377="智力",E377,0)))</x:f>
        <x:v>0</x:v>
      </x:c>
      <x:c r="BJ377">
        <x:f>MAX(0,MIN(18,BJ376+IF(C377="意志",E377,0)))</x:f>
        <x:v>0</x:v>
      </x:c>
      <x:c r="BK377">
        <x:f>MAX(0,MIN(18,BK376+IF(C377="魅力",E377,0)))</x:f>
        <x:v>0</x:v>
      </x:c>
      <x:c r="BL377">
        <x:f>MAX(0,MIN(99,BL376+IF(C377="技能：非自然知识",E377,0)))</x:f>
        <x:v>0</x:v>
      </x:c>
      <x:c r="BM377">
        <x:f>MAX(0,MIN(CEILING((BF377+BG377)/2,1),BM376+IF(C377="体力",E377,0)))</x:f>
        <x:v>0</x:v>
      </x:c>
      <x:c r="BN377">
        <x:f>MAX(0,MIN(BJ377,BN376+IF(C377="毅力",E377,0)))</x:f>
        <x:v>0</x:v>
      </x:c>
      <x:c r="BO377">
        <x:f>MAX(0,MIN(99-BL377,BO376+IF(C377="理智",E377,0)))</x:f>
        <x:v>0</x:v>
      </x:c>
      <x:c r="BP377">
        <x:f>MAX(0,MIN(99,BP376+IF(C377="崩溃点",E377,0)))</x:f>
        <x:v>0</x:v>
      </x:c>
      <x:c r="BQ377">
        <x:f>MAX(0,MIN(BK377,IF(AND(H377=1,C377="重要关系1",LEFT('幕间与结算'!H284,8)="建立新的重要关系"),'幕间与结算'!E284+E377,BQ376+IF(C377="重要关系1",E377,0)+IF(AND(C377="魅力",E377&lt;0),E377,0))))</x:f>
        <x:v>0</x:v>
      </x:c>
      <x:c r="BR377">
        <x:f>MAX(0,MIN(BK377,IF(AND(H377=1,C377="重要关系2",LEFT('幕间与结算'!H284,8)="建立新的重要关系"),'幕间与结算'!E284+E377,BR376+IF(C377="重要关系2",E377,0)+IF(AND(C377="魅力",E377&lt;0),E377,0))))</x:f>
        <x:v>0</x:v>
      </x:c>
      <x:c r="BS377">
        <x:f>MAX(0,MIN(BK377,IF(AND(H377=1,C377="重要关系3",LEFT('幕间与结算'!H284,8)="建立新的重要关系"),'幕间与结算'!E284+E377,BS376+IF(C377="重要关系3",E377,0)+IF(AND(C377="魅力",E377&lt;0),E377,0))))</x:f>
        <x:v>0</x:v>
      </x:c>
      <x:c r="BT377">
        <x:f>MAX(0,MIN(BK377,IF(AND(H377=1,C377="重要关系4",LEFT('幕间与结算'!H284,8)="建立新的重要关系"),'幕间与结算'!E284+E377,BT376+IF(C377="重要关系4",E377,0)+IF(AND(C377="魅力",E377&lt;0),E377,0))))</x:f>
        <x:v>0</x:v>
      </x:c>
      <x:c r="BU377">
        <x:f>MAX(0,MIN(BK377,IF(AND(H377=1,C377="重要关系5",LEFT('幕间与结算'!H284,8)="建立新的重要关系"),'幕间与结算'!E284+E377,BU376+IF(C377="重要关系5",E377,0)+IF(AND(C377="魅力",E377&lt;0),E377,0))))</x:f>
        <x:v>0</x:v>
      </x:c>
      <x:c r="BV377">
        <x:f>MAX(0,MIN(BK377,IF(AND(H377=1,C377="重要关系6",LEFT('幕间与结算'!H284,8)="建立新的重要关系"),'幕间与结算'!E284+E377,BV376+IF(C377="重要关系6",E377,0)+IF(AND(C377="魅力",E377&lt;0),E377,0))))</x:f>
        <x:v>0</x:v>
      </x:c>
      <x:c r="BW377">
        <x:f>MAX(0,MIN(BK377,IF(AND(H377=1,C377="重要关系7",LEFT('幕间与结算'!H284,8)="建立新的重要关系"),'幕间与结算'!E284+E377,BW376+IF(C377="重要关系7",E377,0)+IF(AND(C377="魅力",E377&lt;0),E377,0))))</x:f>
        <x:v>0</x:v>
      </x:c>
    </x:row>
    <x:row r="378">
      <x:c r="A378" t="str">
        <x:f>IFERROR(TEXT(VALUE('幕间与结算'!A285),"00"),"")</x:f>
        <x:v>00</x:v>
      </x:c>
      <x:c r="B378">
        <x:f>'幕间与结算'!B285</x:f>
        <x:v>0</x:v>
      </x:c>
      <x:c r="C378">
        <x:f>'幕间与结算'!D285</x:f>
        <x:v>0</x:v>
      </x:c>
      <x:c r="D378">
        <x:f>'幕间与结算'!F285</x:f>
        <x:v>0</x:v>
      </x:c>
      <x:c r="E378">
        <x:f>IF(H378=1,MAX(-'幕间与结算'!E285,MIN(D378,IF(LEFT(C378,3)="技能：",99,IF(COUNTIF($L$2:$L$7,C378)&gt;0,18,999))-'幕间与结算'!E285)),0)</x:f>
        <x:v>0</x:v>
      </x:c>
      <x:c r="F378" t="str">
        <x:f>IF(C378=0,"",IF(G378=0,"记录不完整",IF(H378=0,"重复未计","已计入")))</x:f>
        <x:v/>
      </x:c>
      <x:c r="G378">
        <x:f>IF(AND(AND('幕间与结算'!A285&lt;&gt;"",'幕间与结算'!B285&lt;&gt;"",'幕间与结算'!I285&lt;&gt;"",OR(LEFT(C378,3)="技能：",COUNTIF($L$2:$L$19,C378)&gt;0),ISNUMBER('幕间与结算'!E285),ISNUMBER('幕间与结算'!F285),ISNUMBER('幕间与结算'!G285),'幕间与结算'!E285&gt;=0,'幕间与结算'!G285='幕间与结算'!E285+'幕间与结算'!F285),OR(B378&lt;&gt;"成长",AND(LEFT(C378,3)="技能：",C378&lt;&gt;"技能：非自然知识",'幕间与结算'!E285&gt;=1,'幕间与结算'!E285&lt;=99,'幕间与结算'!F285&gt;=0,'幕间与结算'!F285&lt;=4,'幕间与结算'!G285&lt;=99))),1,0)</x:f>
        <x:v>0</x:v>
      </x:c>
      <x:c r="H378">
        <x:f>IF(AND(G378=1,COUNTIFS($I$200:I378,I378,$G$200:G378,1)=1),1,0)</x:f>
        <x:v>0</x:v>
      </x:c>
      <x:c r="I378" t="str">
        <x:f>IF(G378=1,IF(B378="成长",A378&amp;"-成长-"&amp;C378,'幕间与结算'!I285),"")</x:f>
        <x:v/>
      </x:c>
      <x:c r="BF378">
        <x:f>MAX(0,MIN(18,BF377+IF(C378="力量",E378,0)))</x:f>
        <x:v>0</x:v>
      </x:c>
      <x:c r="BG378">
        <x:f>MAX(0,MIN(18,BG377+IF(C378="体质",E378,0)))</x:f>
        <x:v>0</x:v>
      </x:c>
      <x:c r="BH378">
        <x:f>MAX(0,MIN(18,BH377+IF(C378="敏捷",E378,0)))</x:f>
        <x:v>0</x:v>
      </x:c>
      <x:c r="BI378">
        <x:f>MAX(0,MIN(18,BI377+IF(C378="智力",E378,0)))</x:f>
        <x:v>0</x:v>
      </x:c>
      <x:c r="BJ378">
        <x:f>MAX(0,MIN(18,BJ377+IF(C378="意志",E378,0)))</x:f>
        <x:v>0</x:v>
      </x:c>
      <x:c r="BK378">
        <x:f>MAX(0,MIN(18,BK377+IF(C378="魅力",E378,0)))</x:f>
        <x:v>0</x:v>
      </x:c>
      <x:c r="BL378">
        <x:f>MAX(0,MIN(99,BL377+IF(C378="技能：非自然知识",E378,0)))</x:f>
        <x:v>0</x:v>
      </x:c>
      <x:c r="BM378">
        <x:f>MAX(0,MIN(CEILING((BF378+BG378)/2,1),BM377+IF(C378="体力",E378,0)))</x:f>
        <x:v>0</x:v>
      </x:c>
      <x:c r="BN378">
        <x:f>MAX(0,MIN(BJ378,BN377+IF(C378="毅力",E378,0)))</x:f>
        <x:v>0</x:v>
      </x:c>
      <x:c r="BO378">
        <x:f>MAX(0,MIN(99-BL378,BO377+IF(C378="理智",E378,0)))</x:f>
        <x:v>0</x:v>
      </x:c>
      <x:c r="BP378">
        <x:f>MAX(0,MIN(99,BP377+IF(C378="崩溃点",E378,0)))</x:f>
        <x:v>0</x:v>
      </x:c>
      <x:c r="BQ378">
        <x:f>MAX(0,MIN(BK378,IF(AND(H378=1,C378="重要关系1",LEFT('幕间与结算'!H285,8)="建立新的重要关系"),'幕间与结算'!E285+E378,BQ377+IF(C378="重要关系1",E378,0)+IF(AND(C378="魅力",E378&lt;0),E378,0))))</x:f>
        <x:v>0</x:v>
      </x:c>
      <x:c r="BR378">
        <x:f>MAX(0,MIN(BK378,IF(AND(H378=1,C378="重要关系2",LEFT('幕间与结算'!H285,8)="建立新的重要关系"),'幕间与结算'!E285+E378,BR377+IF(C378="重要关系2",E378,0)+IF(AND(C378="魅力",E378&lt;0),E378,0))))</x:f>
        <x:v>0</x:v>
      </x:c>
      <x:c r="BS378">
        <x:f>MAX(0,MIN(BK378,IF(AND(H378=1,C378="重要关系3",LEFT('幕间与结算'!H285,8)="建立新的重要关系"),'幕间与结算'!E285+E378,BS377+IF(C378="重要关系3",E378,0)+IF(AND(C378="魅力",E378&lt;0),E378,0))))</x:f>
        <x:v>0</x:v>
      </x:c>
      <x:c r="BT378">
        <x:f>MAX(0,MIN(BK378,IF(AND(H378=1,C378="重要关系4",LEFT('幕间与结算'!H285,8)="建立新的重要关系"),'幕间与结算'!E285+E378,BT377+IF(C378="重要关系4",E378,0)+IF(AND(C378="魅力",E378&lt;0),E378,0))))</x:f>
        <x:v>0</x:v>
      </x:c>
      <x:c r="BU378">
        <x:f>MAX(0,MIN(BK378,IF(AND(H378=1,C378="重要关系5",LEFT('幕间与结算'!H285,8)="建立新的重要关系"),'幕间与结算'!E285+E378,BU377+IF(C378="重要关系5",E378,0)+IF(AND(C378="魅力",E378&lt;0),E378,0))))</x:f>
        <x:v>0</x:v>
      </x:c>
      <x:c r="BV378">
        <x:f>MAX(0,MIN(BK378,IF(AND(H378=1,C378="重要关系6",LEFT('幕间与结算'!H285,8)="建立新的重要关系"),'幕间与结算'!E285+E378,BV377+IF(C378="重要关系6",E378,0)+IF(AND(C378="魅力",E378&lt;0),E378,0))))</x:f>
        <x:v>0</x:v>
      </x:c>
      <x:c r="BW378">
        <x:f>MAX(0,MIN(BK378,IF(AND(H378=1,C378="重要关系7",LEFT('幕间与结算'!H285,8)="建立新的重要关系"),'幕间与结算'!E285+E378,BW377+IF(C378="重要关系7",E378,0)+IF(AND(C378="魅力",E378&lt;0),E378,0))))</x:f>
        <x:v>0</x:v>
      </x:c>
    </x:row>
    <x:row r="379">
      <x:c r="A379" t="str">
        <x:f>IFERROR(TEXT(VALUE('幕间与结算'!A286),"00"),"")</x:f>
        <x:v>00</x:v>
      </x:c>
      <x:c r="B379">
        <x:f>'幕间与结算'!B286</x:f>
        <x:v>0</x:v>
      </x:c>
      <x:c r="C379">
        <x:f>'幕间与结算'!D286</x:f>
        <x:v>0</x:v>
      </x:c>
      <x:c r="D379">
        <x:f>'幕间与结算'!F286</x:f>
        <x:v>0</x:v>
      </x:c>
      <x:c r="E379">
        <x:f>IF(H379=1,MAX(-'幕间与结算'!E286,MIN(D379,IF(LEFT(C379,3)="技能：",99,IF(COUNTIF($L$2:$L$7,C379)&gt;0,18,999))-'幕间与结算'!E286)),0)</x:f>
        <x:v>0</x:v>
      </x:c>
      <x:c r="F379" t="str">
        <x:f>IF(C379=0,"",IF(G379=0,"记录不完整",IF(H379=0,"重复未计","已计入")))</x:f>
        <x:v/>
      </x:c>
      <x:c r="G379">
        <x:f>IF(AND(AND('幕间与结算'!A286&lt;&gt;"",'幕间与结算'!B286&lt;&gt;"",'幕间与结算'!I286&lt;&gt;"",OR(LEFT(C379,3)="技能：",COUNTIF($L$2:$L$19,C379)&gt;0),ISNUMBER('幕间与结算'!E286),ISNUMBER('幕间与结算'!F286),ISNUMBER('幕间与结算'!G286),'幕间与结算'!E286&gt;=0,'幕间与结算'!G286='幕间与结算'!E286+'幕间与结算'!F286),OR(B379&lt;&gt;"成长",AND(LEFT(C379,3)="技能：",C379&lt;&gt;"技能：非自然知识",'幕间与结算'!E286&gt;=1,'幕间与结算'!E286&lt;=99,'幕间与结算'!F286&gt;=0,'幕间与结算'!F286&lt;=4,'幕间与结算'!G286&lt;=99))),1,0)</x:f>
        <x:v>0</x:v>
      </x:c>
      <x:c r="H379">
        <x:f>IF(AND(G379=1,COUNTIFS($I$200:I379,I379,$G$200:G379,1)=1),1,0)</x:f>
        <x:v>0</x:v>
      </x:c>
      <x:c r="I379" t="str">
        <x:f>IF(G379=1,IF(B379="成长",A379&amp;"-成长-"&amp;C379,'幕间与结算'!I286),"")</x:f>
        <x:v/>
      </x:c>
      <x:c r="BF379">
        <x:f>MAX(0,MIN(18,BF378+IF(C379="力量",E379,0)))</x:f>
        <x:v>0</x:v>
      </x:c>
      <x:c r="BG379">
        <x:f>MAX(0,MIN(18,BG378+IF(C379="体质",E379,0)))</x:f>
        <x:v>0</x:v>
      </x:c>
      <x:c r="BH379">
        <x:f>MAX(0,MIN(18,BH378+IF(C379="敏捷",E379,0)))</x:f>
        <x:v>0</x:v>
      </x:c>
      <x:c r="BI379">
        <x:f>MAX(0,MIN(18,BI378+IF(C379="智力",E379,0)))</x:f>
        <x:v>0</x:v>
      </x:c>
      <x:c r="BJ379">
        <x:f>MAX(0,MIN(18,BJ378+IF(C379="意志",E379,0)))</x:f>
        <x:v>0</x:v>
      </x:c>
      <x:c r="BK379">
        <x:f>MAX(0,MIN(18,BK378+IF(C379="魅力",E379,0)))</x:f>
        <x:v>0</x:v>
      </x:c>
      <x:c r="BL379">
        <x:f>MAX(0,MIN(99,BL378+IF(C379="技能：非自然知识",E379,0)))</x:f>
        <x:v>0</x:v>
      </x:c>
      <x:c r="BM379">
        <x:f>MAX(0,MIN(CEILING((BF379+BG379)/2,1),BM378+IF(C379="体力",E379,0)))</x:f>
        <x:v>0</x:v>
      </x:c>
      <x:c r="BN379">
        <x:f>MAX(0,MIN(BJ379,BN378+IF(C379="毅力",E379,0)))</x:f>
        <x:v>0</x:v>
      </x:c>
      <x:c r="BO379">
        <x:f>MAX(0,MIN(99-BL379,BO378+IF(C379="理智",E379,0)))</x:f>
        <x:v>0</x:v>
      </x:c>
      <x:c r="BP379">
        <x:f>MAX(0,MIN(99,BP378+IF(C379="崩溃点",E379,0)))</x:f>
        <x:v>0</x:v>
      </x:c>
      <x:c r="BQ379">
        <x:f>MAX(0,MIN(BK379,IF(AND(H379=1,C379="重要关系1",LEFT('幕间与结算'!H286,8)="建立新的重要关系"),'幕间与结算'!E286+E379,BQ378+IF(C379="重要关系1",E379,0)+IF(AND(C379="魅力",E379&lt;0),E379,0))))</x:f>
        <x:v>0</x:v>
      </x:c>
      <x:c r="BR379">
        <x:f>MAX(0,MIN(BK379,IF(AND(H379=1,C379="重要关系2",LEFT('幕间与结算'!H286,8)="建立新的重要关系"),'幕间与结算'!E286+E379,BR378+IF(C379="重要关系2",E379,0)+IF(AND(C379="魅力",E379&lt;0),E379,0))))</x:f>
        <x:v>0</x:v>
      </x:c>
      <x:c r="BS379">
        <x:f>MAX(0,MIN(BK379,IF(AND(H379=1,C379="重要关系3",LEFT('幕间与结算'!H286,8)="建立新的重要关系"),'幕间与结算'!E286+E379,BS378+IF(C379="重要关系3",E379,0)+IF(AND(C379="魅力",E379&lt;0),E379,0))))</x:f>
        <x:v>0</x:v>
      </x:c>
      <x:c r="BT379">
        <x:f>MAX(0,MIN(BK379,IF(AND(H379=1,C379="重要关系4",LEFT('幕间与结算'!H286,8)="建立新的重要关系"),'幕间与结算'!E286+E379,BT378+IF(C379="重要关系4",E379,0)+IF(AND(C379="魅力",E379&lt;0),E379,0))))</x:f>
        <x:v>0</x:v>
      </x:c>
      <x:c r="BU379">
        <x:f>MAX(0,MIN(BK379,IF(AND(H379=1,C379="重要关系5",LEFT('幕间与结算'!H286,8)="建立新的重要关系"),'幕间与结算'!E286+E379,BU378+IF(C379="重要关系5",E379,0)+IF(AND(C379="魅力",E379&lt;0),E379,0))))</x:f>
        <x:v>0</x:v>
      </x:c>
      <x:c r="BV379">
        <x:f>MAX(0,MIN(BK379,IF(AND(H379=1,C379="重要关系6",LEFT('幕间与结算'!H286,8)="建立新的重要关系"),'幕间与结算'!E286+E379,BV378+IF(C379="重要关系6",E379,0)+IF(AND(C379="魅力",E379&lt;0),E379,0))))</x:f>
        <x:v>0</x:v>
      </x:c>
      <x:c r="BW379">
        <x:f>MAX(0,MIN(BK379,IF(AND(H379=1,C379="重要关系7",LEFT('幕间与结算'!H286,8)="建立新的重要关系"),'幕间与结算'!E286+E379,BW378+IF(C379="重要关系7",E379,0)+IF(AND(C379="魅力",E379&lt;0),E379,0))))</x:f>
        <x:v>0</x:v>
      </x:c>
    </x:row>
    <x:row r="380">
      <x:c r="A380" t="str">
        <x:f>IFERROR(TEXT(VALUE('幕间与结算'!A287),"00"),"")</x:f>
        <x:v>00</x:v>
      </x:c>
      <x:c r="B380">
        <x:f>'幕间与结算'!B287</x:f>
        <x:v>0</x:v>
      </x:c>
      <x:c r="C380">
        <x:f>'幕间与结算'!D287</x:f>
        <x:v>0</x:v>
      </x:c>
      <x:c r="D380">
        <x:f>'幕间与结算'!F287</x:f>
        <x:v>0</x:v>
      </x:c>
      <x:c r="E380">
        <x:f>IF(H380=1,MAX(-'幕间与结算'!E287,MIN(D380,IF(LEFT(C380,3)="技能：",99,IF(COUNTIF($L$2:$L$7,C380)&gt;0,18,999))-'幕间与结算'!E287)),0)</x:f>
        <x:v>0</x:v>
      </x:c>
      <x:c r="F380" t="str">
        <x:f>IF(C380=0,"",IF(G380=0,"记录不完整",IF(H380=0,"重复未计","已计入")))</x:f>
        <x:v/>
      </x:c>
      <x:c r="G380">
        <x:f>IF(AND(AND('幕间与结算'!A287&lt;&gt;"",'幕间与结算'!B287&lt;&gt;"",'幕间与结算'!I287&lt;&gt;"",OR(LEFT(C380,3)="技能：",COUNTIF($L$2:$L$19,C380)&gt;0),ISNUMBER('幕间与结算'!E287),ISNUMBER('幕间与结算'!F287),ISNUMBER('幕间与结算'!G287),'幕间与结算'!E287&gt;=0,'幕间与结算'!G287='幕间与结算'!E287+'幕间与结算'!F287),OR(B380&lt;&gt;"成长",AND(LEFT(C380,3)="技能：",C380&lt;&gt;"技能：非自然知识",'幕间与结算'!E287&gt;=1,'幕间与结算'!E287&lt;=99,'幕间与结算'!F287&gt;=0,'幕间与结算'!F287&lt;=4,'幕间与结算'!G287&lt;=99))),1,0)</x:f>
        <x:v>0</x:v>
      </x:c>
      <x:c r="H380">
        <x:f>IF(AND(G380=1,COUNTIFS($I$200:I380,I380,$G$200:G380,1)=1),1,0)</x:f>
        <x:v>0</x:v>
      </x:c>
      <x:c r="I380" t="str">
        <x:f>IF(G380=1,IF(B380="成长",A380&amp;"-成长-"&amp;C380,'幕间与结算'!I287),"")</x:f>
        <x:v/>
      </x:c>
      <x:c r="BF380">
        <x:f>MAX(0,MIN(18,BF379+IF(C380="力量",E380,0)))</x:f>
        <x:v>0</x:v>
      </x:c>
      <x:c r="BG380">
        <x:f>MAX(0,MIN(18,BG379+IF(C380="体质",E380,0)))</x:f>
        <x:v>0</x:v>
      </x:c>
      <x:c r="BH380">
        <x:f>MAX(0,MIN(18,BH379+IF(C380="敏捷",E380,0)))</x:f>
        <x:v>0</x:v>
      </x:c>
      <x:c r="BI380">
        <x:f>MAX(0,MIN(18,BI379+IF(C380="智力",E380,0)))</x:f>
        <x:v>0</x:v>
      </x:c>
      <x:c r="BJ380">
        <x:f>MAX(0,MIN(18,BJ379+IF(C380="意志",E380,0)))</x:f>
        <x:v>0</x:v>
      </x:c>
      <x:c r="BK380">
        <x:f>MAX(0,MIN(18,BK379+IF(C380="魅力",E380,0)))</x:f>
        <x:v>0</x:v>
      </x:c>
      <x:c r="BL380">
        <x:f>MAX(0,MIN(99,BL379+IF(C380="技能：非自然知识",E380,0)))</x:f>
        <x:v>0</x:v>
      </x:c>
      <x:c r="BM380">
        <x:f>MAX(0,MIN(CEILING((BF380+BG380)/2,1),BM379+IF(C380="体力",E380,0)))</x:f>
        <x:v>0</x:v>
      </x:c>
      <x:c r="BN380">
        <x:f>MAX(0,MIN(BJ380,BN379+IF(C380="毅力",E380,0)))</x:f>
        <x:v>0</x:v>
      </x:c>
      <x:c r="BO380">
        <x:f>MAX(0,MIN(99-BL380,BO379+IF(C380="理智",E380,0)))</x:f>
        <x:v>0</x:v>
      </x:c>
      <x:c r="BP380">
        <x:f>MAX(0,MIN(99,BP379+IF(C380="崩溃点",E380,0)))</x:f>
        <x:v>0</x:v>
      </x:c>
      <x:c r="BQ380">
        <x:f>MAX(0,MIN(BK380,IF(AND(H380=1,C380="重要关系1",LEFT('幕间与结算'!H287,8)="建立新的重要关系"),'幕间与结算'!E287+E380,BQ379+IF(C380="重要关系1",E380,0)+IF(AND(C380="魅力",E380&lt;0),E380,0))))</x:f>
        <x:v>0</x:v>
      </x:c>
      <x:c r="BR380">
        <x:f>MAX(0,MIN(BK380,IF(AND(H380=1,C380="重要关系2",LEFT('幕间与结算'!H287,8)="建立新的重要关系"),'幕间与结算'!E287+E380,BR379+IF(C380="重要关系2",E380,0)+IF(AND(C380="魅力",E380&lt;0),E380,0))))</x:f>
        <x:v>0</x:v>
      </x:c>
      <x:c r="BS380">
        <x:f>MAX(0,MIN(BK380,IF(AND(H380=1,C380="重要关系3",LEFT('幕间与结算'!H287,8)="建立新的重要关系"),'幕间与结算'!E287+E380,BS379+IF(C380="重要关系3",E380,0)+IF(AND(C380="魅力",E380&lt;0),E380,0))))</x:f>
        <x:v>0</x:v>
      </x:c>
      <x:c r="BT380">
        <x:f>MAX(0,MIN(BK380,IF(AND(H380=1,C380="重要关系4",LEFT('幕间与结算'!H287,8)="建立新的重要关系"),'幕间与结算'!E287+E380,BT379+IF(C380="重要关系4",E380,0)+IF(AND(C380="魅力",E380&lt;0),E380,0))))</x:f>
        <x:v>0</x:v>
      </x:c>
      <x:c r="BU380">
        <x:f>MAX(0,MIN(BK380,IF(AND(H380=1,C380="重要关系5",LEFT('幕间与结算'!H287,8)="建立新的重要关系"),'幕间与结算'!E287+E380,BU379+IF(C380="重要关系5",E380,0)+IF(AND(C380="魅力",E380&lt;0),E380,0))))</x:f>
        <x:v>0</x:v>
      </x:c>
      <x:c r="BV380">
        <x:f>MAX(0,MIN(BK380,IF(AND(H380=1,C380="重要关系6",LEFT('幕间与结算'!H287,8)="建立新的重要关系"),'幕间与结算'!E287+E380,BV379+IF(C380="重要关系6",E380,0)+IF(AND(C380="魅力",E380&lt;0),E380,0))))</x:f>
        <x:v>0</x:v>
      </x:c>
      <x:c r="BW380">
        <x:f>MAX(0,MIN(BK380,IF(AND(H380=1,C380="重要关系7",LEFT('幕间与结算'!H287,8)="建立新的重要关系"),'幕间与结算'!E287+E380,BW379+IF(C380="重要关系7",E380,0)+IF(AND(C380="魅力",E380&lt;0),E380,0))))</x:f>
        <x:v>0</x:v>
      </x:c>
    </x:row>
    <x:row r="381">
      <x:c r="A381" t="str">
        <x:f>IFERROR(TEXT(VALUE('幕间与结算'!A288),"00"),"")</x:f>
        <x:v>00</x:v>
      </x:c>
      <x:c r="B381">
        <x:f>'幕间与结算'!B288</x:f>
        <x:v>0</x:v>
      </x:c>
      <x:c r="C381">
        <x:f>'幕间与结算'!D288</x:f>
        <x:v>0</x:v>
      </x:c>
      <x:c r="D381">
        <x:f>'幕间与结算'!F288</x:f>
        <x:v>0</x:v>
      </x:c>
      <x:c r="E381">
        <x:f>IF(H381=1,MAX(-'幕间与结算'!E288,MIN(D381,IF(LEFT(C381,3)="技能：",99,IF(COUNTIF($L$2:$L$7,C381)&gt;0,18,999))-'幕间与结算'!E288)),0)</x:f>
        <x:v>0</x:v>
      </x:c>
      <x:c r="F381" t="str">
        <x:f>IF(C381=0,"",IF(G381=0,"记录不完整",IF(H381=0,"重复未计","已计入")))</x:f>
        <x:v/>
      </x:c>
      <x:c r="G381">
        <x:f>IF(AND(AND('幕间与结算'!A288&lt;&gt;"",'幕间与结算'!B288&lt;&gt;"",'幕间与结算'!I288&lt;&gt;"",OR(LEFT(C381,3)="技能：",COUNTIF($L$2:$L$19,C381)&gt;0),ISNUMBER('幕间与结算'!E288),ISNUMBER('幕间与结算'!F288),ISNUMBER('幕间与结算'!G288),'幕间与结算'!E288&gt;=0,'幕间与结算'!G288='幕间与结算'!E288+'幕间与结算'!F288),OR(B381&lt;&gt;"成长",AND(LEFT(C381,3)="技能：",C381&lt;&gt;"技能：非自然知识",'幕间与结算'!E288&gt;=1,'幕间与结算'!E288&lt;=99,'幕间与结算'!F288&gt;=0,'幕间与结算'!F288&lt;=4,'幕间与结算'!G288&lt;=99))),1,0)</x:f>
        <x:v>0</x:v>
      </x:c>
      <x:c r="H381">
        <x:f>IF(AND(G381=1,COUNTIFS($I$200:I381,I381,$G$200:G381,1)=1),1,0)</x:f>
        <x:v>0</x:v>
      </x:c>
      <x:c r="I381" t="str">
        <x:f>IF(G381=1,IF(B381="成长",A381&amp;"-成长-"&amp;C381,'幕间与结算'!I288),"")</x:f>
        <x:v/>
      </x:c>
      <x:c r="BF381">
        <x:f>MAX(0,MIN(18,BF380+IF(C381="力量",E381,0)))</x:f>
        <x:v>0</x:v>
      </x:c>
      <x:c r="BG381">
        <x:f>MAX(0,MIN(18,BG380+IF(C381="体质",E381,0)))</x:f>
        <x:v>0</x:v>
      </x:c>
      <x:c r="BH381">
        <x:f>MAX(0,MIN(18,BH380+IF(C381="敏捷",E381,0)))</x:f>
        <x:v>0</x:v>
      </x:c>
      <x:c r="BI381">
        <x:f>MAX(0,MIN(18,BI380+IF(C381="智力",E381,0)))</x:f>
        <x:v>0</x:v>
      </x:c>
      <x:c r="BJ381">
        <x:f>MAX(0,MIN(18,BJ380+IF(C381="意志",E381,0)))</x:f>
        <x:v>0</x:v>
      </x:c>
      <x:c r="BK381">
        <x:f>MAX(0,MIN(18,BK380+IF(C381="魅力",E381,0)))</x:f>
        <x:v>0</x:v>
      </x:c>
      <x:c r="BL381">
        <x:f>MAX(0,MIN(99,BL380+IF(C381="技能：非自然知识",E381,0)))</x:f>
        <x:v>0</x:v>
      </x:c>
      <x:c r="BM381">
        <x:f>MAX(0,MIN(CEILING((BF381+BG381)/2,1),BM380+IF(C381="体力",E381,0)))</x:f>
        <x:v>0</x:v>
      </x:c>
      <x:c r="BN381">
        <x:f>MAX(0,MIN(BJ381,BN380+IF(C381="毅力",E381,0)))</x:f>
        <x:v>0</x:v>
      </x:c>
      <x:c r="BO381">
        <x:f>MAX(0,MIN(99-BL381,BO380+IF(C381="理智",E381,0)))</x:f>
        <x:v>0</x:v>
      </x:c>
      <x:c r="BP381">
        <x:f>MAX(0,MIN(99,BP380+IF(C381="崩溃点",E381,0)))</x:f>
        <x:v>0</x:v>
      </x:c>
      <x:c r="BQ381">
        <x:f>MAX(0,MIN(BK381,IF(AND(H381=1,C381="重要关系1",LEFT('幕间与结算'!H288,8)="建立新的重要关系"),'幕间与结算'!E288+E381,BQ380+IF(C381="重要关系1",E381,0)+IF(AND(C381="魅力",E381&lt;0),E381,0))))</x:f>
        <x:v>0</x:v>
      </x:c>
      <x:c r="BR381">
        <x:f>MAX(0,MIN(BK381,IF(AND(H381=1,C381="重要关系2",LEFT('幕间与结算'!H288,8)="建立新的重要关系"),'幕间与结算'!E288+E381,BR380+IF(C381="重要关系2",E381,0)+IF(AND(C381="魅力",E381&lt;0),E381,0))))</x:f>
        <x:v>0</x:v>
      </x:c>
      <x:c r="BS381">
        <x:f>MAX(0,MIN(BK381,IF(AND(H381=1,C381="重要关系3",LEFT('幕间与结算'!H288,8)="建立新的重要关系"),'幕间与结算'!E288+E381,BS380+IF(C381="重要关系3",E381,0)+IF(AND(C381="魅力",E381&lt;0),E381,0))))</x:f>
        <x:v>0</x:v>
      </x:c>
      <x:c r="BT381">
        <x:f>MAX(0,MIN(BK381,IF(AND(H381=1,C381="重要关系4",LEFT('幕间与结算'!H288,8)="建立新的重要关系"),'幕间与结算'!E288+E381,BT380+IF(C381="重要关系4",E381,0)+IF(AND(C381="魅力",E381&lt;0),E381,0))))</x:f>
        <x:v>0</x:v>
      </x:c>
      <x:c r="BU381">
        <x:f>MAX(0,MIN(BK381,IF(AND(H381=1,C381="重要关系5",LEFT('幕间与结算'!H288,8)="建立新的重要关系"),'幕间与结算'!E288+E381,BU380+IF(C381="重要关系5",E381,0)+IF(AND(C381="魅力",E381&lt;0),E381,0))))</x:f>
        <x:v>0</x:v>
      </x:c>
      <x:c r="BV381">
        <x:f>MAX(0,MIN(BK381,IF(AND(H381=1,C381="重要关系6",LEFT('幕间与结算'!H288,8)="建立新的重要关系"),'幕间与结算'!E288+E381,BV380+IF(C381="重要关系6",E381,0)+IF(AND(C381="魅力",E381&lt;0),E381,0))))</x:f>
        <x:v>0</x:v>
      </x:c>
      <x:c r="BW381">
        <x:f>MAX(0,MIN(BK381,IF(AND(H381=1,C381="重要关系7",LEFT('幕间与结算'!H288,8)="建立新的重要关系"),'幕间与结算'!E288+E381,BW380+IF(C381="重要关系7",E381,0)+IF(AND(C381="魅力",E381&lt;0),E381,0))))</x:f>
        <x:v>0</x:v>
      </x:c>
    </x:row>
    <x:row r="382">
      <x:c r="A382" t="str">
        <x:f>IFERROR(TEXT(VALUE('幕间与结算'!A289),"00"),"")</x:f>
        <x:v>00</x:v>
      </x:c>
      <x:c r="B382">
        <x:f>'幕间与结算'!B289</x:f>
        <x:v>0</x:v>
      </x:c>
      <x:c r="C382">
        <x:f>'幕间与结算'!D289</x:f>
        <x:v>0</x:v>
      </x:c>
      <x:c r="D382">
        <x:f>'幕间与结算'!F289</x:f>
        <x:v>0</x:v>
      </x:c>
      <x:c r="E382">
        <x:f>IF(H382=1,MAX(-'幕间与结算'!E289,MIN(D382,IF(LEFT(C382,3)="技能：",99,IF(COUNTIF($L$2:$L$7,C382)&gt;0,18,999))-'幕间与结算'!E289)),0)</x:f>
        <x:v>0</x:v>
      </x:c>
      <x:c r="F382" t="str">
        <x:f>IF(C382=0,"",IF(G382=0,"记录不完整",IF(H382=0,"重复未计","已计入")))</x:f>
        <x:v/>
      </x:c>
      <x:c r="G382">
        <x:f>IF(AND(AND('幕间与结算'!A289&lt;&gt;"",'幕间与结算'!B289&lt;&gt;"",'幕间与结算'!I289&lt;&gt;"",OR(LEFT(C382,3)="技能：",COUNTIF($L$2:$L$19,C382)&gt;0),ISNUMBER('幕间与结算'!E289),ISNUMBER('幕间与结算'!F289),ISNUMBER('幕间与结算'!G289),'幕间与结算'!E289&gt;=0,'幕间与结算'!G289='幕间与结算'!E289+'幕间与结算'!F289),OR(B382&lt;&gt;"成长",AND(LEFT(C382,3)="技能：",C382&lt;&gt;"技能：非自然知识",'幕间与结算'!E289&gt;=1,'幕间与结算'!E289&lt;=99,'幕间与结算'!F289&gt;=0,'幕间与结算'!F289&lt;=4,'幕间与结算'!G289&lt;=99))),1,0)</x:f>
        <x:v>0</x:v>
      </x:c>
      <x:c r="H382">
        <x:f>IF(AND(G382=1,COUNTIFS($I$200:I382,I382,$G$200:G382,1)=1),1,0)</x:f>
        <x:v>0</x:v>
      </x:c>
      <x:c r="I382" t="str">
        <x:f>IF(G382=1,IF(B382="成长",A382&amp;"-成长-"&amp;C382,'幕间与结算'!I289),"")</x:f>
        <x:v/>
      </x:c>
      <x:c r="BF382">
        <x:f>MAX(0,MIN(18,BF381+IF(C382="力量",E382,0)))</x:f>
        <x:v>0</x:v>
      </x:c>
      <x:c r="BG382">
        <x:f>MAX(0,MIN(18,BG381+IF(C382="体质",E382,0)))</x:f>
        <x:v>0</x:v>
      </x:c>
      <x:c r="BH382">
        <x:f>MAX(0,MIN(18,BH381+IF(C382="敏捷",E382,0)))</x:f>
        <x:v>0</x:v>
      </x:c>
      <x:c r="BI382">
        <x:f>MAX(0,MIN(18,BI381+IF(C382="智力",E382,0)))</x:f>
        <x:v>0</x:v>
      </x:c>
      <x:c r="BJ382">
        <x:f>MAX(0,MIN(18,BJ381+IF(C382="意志",E382,0)))</x:f>
        <x:v>0</x:v>
      </x:c>
      <x:c r="BK382">
        <x:f>MAX(0,MIN(18,BK381+IF(C382="魅力",E382,0)))</x:f>
        <x:v>0</x:v>
      </x:c>
      <x:c r="BL382">
        <x:f>MAX(0,MIN(99,BL381+IF(C382="技能：非自然知识",E382,0)))</x:f>
        <x:v>0</x:v>
      </x:c>
      <x:c r="BM382">
        <x:f>MAX(0,MIN(CEILING((BF382+BG382)/2,1),BM381+IF(C382="体力",E382,0)))</x:f>
        <x:v>0</x:v>
      </x:c>
      <x:c r="BN382">
        <x:f>MAX(0,MIN(BJ382,BN381+IF(C382="毅力",E382,0)))</x:f>
        <x:v>0</x:v>
      </x:c>
      <x:c r="BO382">
        <x:f>MAX(0,MIN(99-BL382,BO381+IF(C382="理智",E382,0)))</x:f>
        <x:v>0</x:v>
      </x:c>
      <x:c r="BP382">
        <x:f>MAX(0,MIN(99,BP381+IF(C382="崩溃点",E382,0)))</x:f>
        <x:v>0</x:v>
      </x:c>
      <x:c r="BQ382">
        <x:f>MAX(0,MIN(BK382,IF(AND(H382=1,C382="重要关系1",LEFT('幕间与结算'!H289,8)="建立新的重要关系"),'幕间与结算'!E289+E382,BQ381+IF(C382="重要关系1",E382,0)+IF(AND(C382="魅力",E382&lt;0),E382,0))))</x:f>
        <x:v>0</x:v>
      </x:c>
      <x:c r="BR382">
        <x:f>MAX(0,MIN(BK382,IF(AND(H382=1,C382="重要关系2",LEFT('幕间与结算'!H289,8)="建立新的重要关系"),'幕间与结算'!E289+E382,BR381+IF(C382="重要关系2",E382,0)+IF(AND(C382="魅力",E382&lt;0),E382,0))))</x:f>
        <x:v>0</x:v>
      </x:c>
      <x:c r="BS382">
        <x:f>MAX(0,MIN(BK382,IF(AND(H382=1,C382="重要关系3",LEFT('幕间与结算'!H289,8)="建立新的重要关系"),'幕间与结算'!E289+E382,BS381+IF(C382="重要关系3",E382,0)+IF(AND(C382="魅力",E382&lt;0),E382,0))))</x:f>
        <x:v>0</x:v>
      </x:c>
      <x:c r="BT382">
        <x:f>MAX(0,MIN(BK382,IF(AND(H382=1,C382="重要关系4",LEFT('幕间与结算'!H289,8)="建立新的重要关系"),'幕间与结算'!E289+E382,BT381+IF(C382="重要关系4",E382,0)+IF(AND(C382="魅力",E382&lt;0),E382,0))))</x:f>
        <x:v>0</x:v>
      </x:c>
      <x:c r="BU382">
        <x:f>MAX(0,MIN(BK382,IF(AND(H382=1,C382="重要关系5",LEFT('幕间与结算'!H289,8)="建立新的重要关系"),'幕间与结算'!E289+E382,BU381+IF(C382="重要关系5",E382,0)+IF(AND(C382="魅力",E382&lt;0),E382,0))))</x:f>
        <x:v>0</x:v>
      </x:c>
      <x:c r="BV382">
        <x:f>MAX(0,MIN(BK382,IF(AND(H382=1,C382="重要关系6",LEFT('幕间与结算'!H289,8)="建立新的重要关系"),'幕间与结算'!E289+E382,BV381+IF(C382="重要关系6",E382,0)+IF(AND(C382="魅力",E382&lt;0),E382,0))))</x:f>
        <x:v>0</x:v>
      </x:c>
      <x:c r="BW382">
        <x:f>MAX(0,MIN(BK382,IF(AND(H382=1,C382="重要关系7",LEFT('幕间与结算'!H289,8)="建立新的重要关系"),'幕间与结算'!E289+E382,BW381+IF(C382="重要关系7",E382,0)+IF(AND(C382="魅力",E382&lt;0),E382,0))))</x:f>
        <x:v>0</x:v>
      </x:c>
    </x:row>
    <x:row r="383">
      <x:c r="A383" t="str">
        <x:f>IFERROR(TEXT(VALUE('幕间与结算'!A290),"00"),"")</x:f>
        <x:v>00</x:v>
      </x:c>
      <x:c r="B383">
        <x:f>'幕间与结算'!B290</x:f>
        <x:v>0</x:v>
      </x:c>
      <x:c r="C383">
        <x:f>'幕间与结算'!D290</x:f>
        <x:v>0</x:v>
      </x:c>
      <x:c r="D383">
        <x:f>'幕间与结算'!F290</x:f>
        <x:v>0</x:v>
      </x:c>
      <x:c r="E383">
        <x:f>IF(H383=1,MAX(-'幕间与结算'!E290,MIN(D383,IF(LEFT(C383,3)="技能：",99,IF(COUNTIF($L$2:$L$7,C383)&gt;0,18,999))-'幕间与结算'!E290)),0)</x:f>
        <x:v>0</x:v>
      </x:c>
      <x:c r="F383" t="str">
        <x:f>IF(C383=0,"",IF(G383=0,"记录不完整",IF(H383=0,"重复未计","已计入")))</x:f>
        <x:v/>
      </x:c>
      <x:c r="G383">
        <x:f>IF(AND(AND('幕间与结算'!A290&lt;&gt;"",'幕间与结算'!B290&lt;&gt;"",'幕间与结算'!I290&lt;&gt;"",OR(LEFT(C383,3)="技能：",COUNTIF($L$2:$L$19,C383)&gt;0),ISNUMBER('幕间与结算'!E290),ISNUMBER('幕间与结算'!F290),ISNUMBER('幕间与结算'!G290),'幕间与结算'!E290&gt;=0,'幕间与结算'!G290='幕间与结算'!E290+'幕间与结算'!F290),OR(B383&lt;&gt;"成长",AND(LEFT(C383,3)="技能：",C383&lt;&gt;"技能：非自然知识",'幕间与结算'!E290&gt;=1,'幕间与结算'!E290&lt;=99,'幕间与结算'!F290&gt;=0,'幕间与结算'!F290&lt;=4,'幕间与结算'!G290&lt;=99))),1,0)</x:f>
        <x:v>0</x:v>
      </x:c>
      <x:c r="H383">
        <x:f>IF(AND(G383=1,COUNTIFS($I$200:I383,I383,$G$200:G383,1)=1),1,0)</x:f>
        <x:v>0</x:v>
      </x:c>
      <x:c r="I383" t="str">
        <x:f>IF(G383=1,IF(B383="成长",A383&amp;"-成长-"&amp;C383,'幕间与结算'!I290),"")</x:f>
        <x:v/>
      </x:c>
      <x:c r="BF383">
        <x:f>MAX(0,MIN(18,BF382+IF(C383="力量",E383,0)))</x:f>
        <x:v>0</x:v>
      </x:c>
      <x:c r="BG383">
        <x:f>MAX(0,MIN(18,BG382+IF(C383="体质",E383,0)))</x:f>
        <x:v>0</x:v>
      </x:c>
      <x:c r="BH383">
        <x:f>MAX(0,MIN(18,BH382+IF(C383="敏捷",E383,0)))</x:f>
        <x:v>0</x:v>
      </x:c>
      <x:c r="BI383">
        <x:f>MAX(0,MIN(18,BI382+IF(C383="智力",E383,0)))</x:f>
        <x:v>0</x:v>
      </x:c>
      <x:c r="BJ383">
        <x:f>MAX(0,MIN(18,BJ382+IF(C383="意志",E383,0)))</x:f>
        <x:v>0</x:v>
      </x:c>
      <x:c r="BK383">
        <x:f>MAX(0,MIN(18,BK382+IF(C383="魅力",E383,0)))</x:f>
        <x:v>0</x:v>
      </x:c>
      <x:c r="BL383">
        <x:f>MAX(0,MIN(99,BL382+IF(C383="技能：非自然知识",E383,0)))</x:f>
        <x:v>0</x:v>
      </x:c>
      <x:c r="BM383">
        <x:f>MAX(0,MIN(CEILING((BF383+BG383)/2,1),BM382+IF(C383="体力",E383,0)))</x:f>
        <x:v>0</x:v>
      </x:c>
      <x:c r="BN383">
        <x:f>MAX(0,MIN(BJ383,BN382+IF(C383="毅力",E383,0)))</x:f>
        <x:v>0</x:v>
      </x:c>
      <x:c r="BO383">
        <x:f>MAX(0,MIN(99-BL383,BO382+IF(C383="理智",E383,0)))</x:f>
        <x:v>0</x:v>
      </x:c>
      <x:c r="BP383">
        <x:f>MAX(0,MIN(99,BP382+IF(C383="崩溃点",E383,0)))</x:f>
        <x:v>0</x:v>
      </x:c>
      <x:c r="BQ383">
        <x:f>MAX(0,MIN(BK383,IF(AND(H383=1,C383="重要关系1",LEFT('幕间与结算'!H290,8)="建立新的重要关系"),'幕间与结算'!E290+E383,BQ382+IF(C383="重要关系1",E383,0)+IF(AND(C383="魅力",E383&lt;0),E383,0))))</x:f>
        <x:v>0</x:v>
      </x:c>
      <x:c r="BR383">
        <x:f>MAX(0,MIN(BK383,IF(AND(H383=1,C383="重要关系2",LEFT('幕间与结算'!H290,8)="建立新的重要关系"),'幕间与结算'!E290+E383,BR382+IF(C383="重要关系2",E383,0)+IF(AND(C383="魅力",E383&lt;0),E383,0))))</x:f>
        <x:v>0</x:v>
      </x:c>
      <x:c r="BS383">
        <x:f>MAX(0,MIN(BK383,IF(AND(H383=1,C383="重要关系3",LEFT('幕间与结算'!H290,8)="建立新的重要关系"),'幕间与结算'!E290+E383,BS382+IF(C383="重要关系3",E383,0)+IF(AND(C383="魅力",E383&lt;0),E383,0))))</x:f>
        <x:v>0</x:v>
      </x:c>
      <x:c r="BT383">
        <x:f>MAX(0,MIN(BK383,IF(AND(H383=1,C383="重要关系4",LEFT('幕间与结算'!H290,8)="建立新的重要关系"),'幕间与结算'!E290+E383,BT382+IF(C383="重要关系4",E383,0)+IF(AND(C383="魅力",E383&lt;0),E383,0))))</x:f>
        <x:v>0</x:v>
      </x:c>
      <x:c r="BU383">
        <x:f>MAX(0,MIN(BK383,IF(AND(H383=1,C383="重要关系5",LEFT('幕间与结算'!H290,8)="建立新的重要关系"),'幕间与结算'!E290+E383,BU382+IF(C383="重要关系5",E383,0)+IF(AND(C383="魅力",E383&lt;0),E383,0))))</x:f>
        <x:v>0</x:v>
      </x:c>
      <x:c r="BV383">
        <x:f>MAX(0,MIN(BK383,IF(AND(H383=1,C383="重要关系6",LEFT('幕间与结算'!H290,8)="建立新的重要关系"),'幕间与结算'!E290+E383,BV382+IF(C383="重要关系6",E383,0)+IF(AND(C383="魅力",E383&lt;0),E383,0))))</x:f>
        <x:v>0</x:v>
      </x:c>
      <x:c r="BW383">
        <x:f>MAX(0,MIN(BK383,IF(AND(H383=1,C383="重要关系7",LEFT('幕间与结算'!H290,8)="建立新的重要关系"),'幕间与结算'!E290+E383,BW382+IF(C383="重要关系7",E383,0)+IF(AND(C383="魅力",E383&lt;0),E383,0))))</x:f>
        <x:v>0</x:v>
      </x:c>
    </x:row>
    <x:row r="384">
      <x:c r="A384" t="str">
        <x:f>IFERROR(TEXT(VALUE('幕间与结算'!A291),"00"),"")</x:f>
        <x:v>00</x:v>
      </x:c>
      <x:c r="B384">
        <x:f>'幕间与结算'!B291</x:f>
        <x:v>0</x:v>
      </x:c>
      <x:c r="C384">
        <x:f>'幕间与结算'!D291</x:f>
        <x:v>0</x:v>
      </x:c>
      <x:c r="D384">
        <x:f>'幕间与结算'!F291</x:f>
        <x:v>0</x:v>
      </x:c>
      <x:c r="E384">
        <x:f>IF(H384=1,MAX(-'幕间与结算'!E291,MIN(D384,IF(LEFT(C384,3)="技能：",99,IF(COUNTIF($L$2:$L$7,C384)&gt;0,18,999))-'幕间与结算'!E291)),0)</x:f>
        <x:v>0</x:v>
      </x:c>
      <x:c r="F384" t="str">
        <x:f>IF(C384=0,"",IF(G384=0,"记录不完整",IF(H384=0,"重复未计","已计入")))</x:f>
        <x:v/>
      </x:c>
      <x:c r="G384">
        <x:f>IF(AND(AND('幕间与结算'!A291&lt;&gt;"",'幕间与结算'!B291&lt;&gt;"",'幕间与结算'!I291&lt;&gt;"",OR(LEFT(C384,3)="技能：",COUNTIF($L$2:$L$19,C384)&gt;0),ISNUMBER('幕间与结算'!E291),ISNUMBER('幕间与结算'!F291),ISNUMBER('幕间与结算'!G291),'幕间与结算'!E291&gt;=0,'幕间与结算'!G291='幕间与结算'!E291+'幕间与结算'!F291),OR(B384&lt;&gt;"成长",AND(LEFT(C384,3)="技能：",C384&lt;&gt;"技能：非自然知识",'幕间与结算'!E291&gt;=1,'幕间与结算'!E291&lt;=99,'幕间与结算'!F291&gt;=0,'幕间与结算'!F291&lt;=4,'幕间与结算'!G291&lt;=99))),1,0)</x:f>
        <x:v>0</x:v>
      </x:c>
      <x:c r="H384">
        <x:f>IF(AND(G384=1,COUNTIFS($I$200:I384,I384,$G$200:G384,1)=1),1,0)</x:f>
        <x:v>0</x:v>
      </x:c>
      <x:c r="I384" t="str">
        <x:f>IF(G384=1,IF(B384="成长",A384&amp;"-成长-"&amp;C384,'幕间与结算'!I291),"")</x:f>
        <x:v/>
      </x:c>
      <x:c r="BF384">
        <x:f>MAX(0,MIN(18,BF383+IF(C384="力量",E384,0)))</x:f>
        <x:v>0</x:v>
      </x:c>
      <x:c r="BG384">
        <x:f>MAX(0,MIN(18,BG383+IF(C384="体质",E384,0)))</x:f>
        <x:v>0</x:v>
      </x:c>
      <x:c r="BH384">
        <x:f>MAX(0,MIN(18,BH383+IF(C384="敏捷",E384,0)))</x:f>
        <x:v>0</x:v>
      </x:c>
      <x:c r="BI384">
        <x:f>MAX(0,MIN(18,BI383+IF(C384="智力",E384,0)))</x:f>
        <x:v>0</x:v>
      </x:c>
      <x:c r="BJ384">
        <x:f>MAX(0,MIN(18,BJ383+IF(C384="意志",E384,0)))</x:f>
        <x:v>0</x:v>
      </x:c>
      <x:c r="BK384">
        <x:f>MAX(0,MIN(18,BK383+IF(C384="魅力",E384,0)))</x:f>
        <x:v>0</x:v>
      </x:c>
      <x:c r="BL384">
        <x:f>MAX(0,MIN(99,BL383+IF(C384="技能：非自然知识",E384,0)))</x:f>
        <x:v>0</x:v>
      </x:c>
      <x:c r="BM384">
        <x:f>MAX(0,MIN(CEILING((BF384+BG384)/2,1),BM383+IF(C384="体力",E384,0)))</x:f>
        <x:v>0</x:v>
      </x:c>
      <x:c r="BN384">
        <x:f>MAX(0,MIN(BJ384,BN383+IF(C384="毅力",E384,0)))</x:f>
        <x:v>0</x:v>
      </x:c>
      <x:c r="BO384">
        <x:f>MAX(0,MIN(99-BL384,BO383+IF(C384="理智",E384,0)))</x:f>
        <x:v>0</x:v>
      </x:c>
      <x:c r="BP384">
        <x:f>MAX(0,MIN(99,BP383+IF(C384="崩溃点",E384,0)))</x:f>
        <x:v>0</x:v>
      </x:c>
      <x:c r="BQ384">
        <x:f>MAX(0,MIN(BK384,IF(AND(H384=1,C384="重要关系1",LEFT('幕间与结算'!H291,8)="建立新的重要关系"),'幕间与结算'!E291+E384,BQ383+IF(C384="重要关系1",E384,0)+IF(AND(C384="魅力",E384&lt;0),E384,0))))</x:f>
        <x:v>0</x:v>
      </x:c>
      <x:c r="BR384">
        <x:f>MAX(0,MIN(BK384,IF(AND(H384=1,C384="重要关系2",LEFT('幕间与结算'!H291,8)="建立新的重要关系"),'幕间与结算'!E291+E384,BR383+IF(C384="重要关系2",E384,0)+IF(AND(C384="魅力",E384&lt;0),E384,0))))</x:f>
        <x:v>0</x:v>
      </x:c>
      <x:c r="BS384">
        <x:f>MAX(0,MIN(BK384,IF(AND(H384=1,C384="重要关系3",LEFT('幕间与结算'!H291,8)="建立新的重要关系"),'幕间与结算'!E291+E384,BS383+IF(C384="重要关系3",E384,0)+IF(AND(C384="魅力",E384&lt;0),E384,0))))</x:f>
        <x:v>0</x:v>
      </x:c>
      <x:c r="BT384">
        <x:f>MAX(0,MIN(BK384,IF(AND(H384=1,C384="重要关系4",LEFT('幕间与结算'!H291,8)="建立新的重要关系"),'幕间与结算'!E291+E384,BT383+IF(C384="重要关系4",E384,0)+IF(AND(C384="魅力",E384&lt;0),E384,0))))</x:f>
        <x:v>0</x:v>
      </x:c>
      <x:c r="BU384">
        <x:f>MAX(0,MIN(BK384,IF(AND(H384=1,C384="重要关系5",LEFT('幕间与结算'!H291,8)="建立新的重要关系"),'幕间与结算'!E291+E384,BU383+IF(C384="重要关系5",E384,0)+IF(AND(C384="魅力",E384&lt;0),E384,0))))</x:f>
        <x:v>0</x:v>
      </x:c>
      <x:c r="BV384">
        <x:f>MAX(0,MIN(BK384,IF(AND(H384=1,C384="重要关系6",LEFT('幕间与结算'!H291,8)="建立新的重要关系"),'幕间与结算'!E291+E384,BV383+IF(C384="重要关系6",E384,0)+IF(AND(C384="魅力",E384&lt;0),E384,0))))</x:f>
        <x:v>0</x:v>
      </x:c>
      <x:c r="BW384">
        <x:f>MAX(0,MIN(BK384,IF(AND(H384=1,C384="重要关系7",LEFT('幕间与结算'!H291,8)="建立新的重要关系"),'幕间与结算'!E291+E384,BW383+IF(C384="重要关系7",E384,0)+IF(AND(C384="魅力",E384&lt;0),E384,0))))</x:f>
        <x:v>0</x:v>
      </x:c>
    </x:row>
    <x:row r="385">
      <x:c r="A385" t="str">
        <x:f>IFERROR(TEXT(VALUE('幕间与结算'!A292),"00"),"")</x:f>
        <x:v>00</x:v>
      </x:c>
      <x:c r="B385">
        <x:f>'幕间与结算'!B292</x:f>
        <x:v>0</x:v>
      </x:c>
      <x:c r="C385">
        <x:f>'幕间与结算'!D292</x:f>
        <x:v>0</x:v>
      </x:c>
      <x:c r="D385">
        <x:f>'幕间与结算'!F292</x:f>
        <x:v>0</x:v>
      </x:c>
      <x:c r="E385">
        <x:f>IF(H385=1,MAX(-'幕间与结算'!E292,MIN(D385,IF(LEFT(C385,3)="技能：",99,IF(COUNTIF($L$2:$L$7,C385)&gt;0,18,999))-'幕间与结算'!E292)),0)</x:f>
        <x:v>0</x:v>
      </x:c>
      <x:c r="F385" t="str">
        <x:f>IF(C385=0,"",IF(G385=0,"记录不完整",IF(H385=0,"重复未计","已计入")))</x:f>
        <x:v/>
      </x:c>
      <x:c r="G385">
        <x:f>IF(AND(AND('幕间与结算'!A292&lt;&gt;"",'幕间与结算'!B292&lt;&gt;"",'幕间与结算'!I292&lt;&gt;"",OR(LEFT(C385,3)="技能：",COUNTIF($L$2:$L$19,C385)&gt;0),ISNUMBER('幕间与结算'!E292),ISNUMBER('幕间与结算'!F292),ISNUMBER('幕间与结算'!G292),'幕间与结算'!E292&gt;=0,'幕间与结算'!G292='幕间与结算'!E292+'幕间与结算'!F292),OR(B385&lt;&gt;"成长",AND(LEFT(C385,3)="技能：",C385&lt;&gt;"技能：非自然知识",'幕间与结算'!E292&gt;=1,'幕间与结算'!E292&lt;=99,'幕间与结算'!F292&gt;=0,'幕间与结算'!F292&lt;=4,'幕间与结算'!G292&lt;=99))),1,0)</x:f>
        <x:v>0</x:v>
      </x:c>
      <x:c r="H385">
        <x:f>IF(AND(G385=1,COUNTIFS($I$200:I385,I385,$G$200:G385,1)=1),1,0)</x:f>
        <x:v>0</x:v>
      </x:c>
      <x:c r="I385" t="str">
        <x:f>IF(G385=1,IF(B385="成长",A385&amp;"-成长-"&amp;C385,'幕间与结算'!I292),"")</x:f>
        <x:v/>
      </x:c>
      <x:c r="BF385">
        <x:f>MAX(0,MIN(18,BF384+IF(C385="力量",E385,0)))</x:f>
        <x:v>0</x:v>
      </x:c>
      <x:c r="BG385">
        <x:f>MAX(0,MIN(18,BG384+IF(C385="体质",E385,0)))</x:f>
        <x:v>0</x:v>
      </x:c>
      <x:c r="BH385">
        <x:f>MAX(0,MIN(18,BH384+IF(C385="敏捷",E385,0)))</x:f>
        <x:v>0</x:v>
      </x:c>
      <x:c r="BI385">
        <x:f>MAX(0,MIN(18,BI384+IF(C385="智力",E385,0)))</x:f>
        <x:v>0</x:v>
      </x:c>
      <x:c r="BJ385">
        <x:f>MAX(0,MIN(18,BJ384+IF(C385="意志",E385,0)))</x:f>
        <x:v>0</x:v>
      </x:c>
      <x:c r="BK385">
        <x:f>MAX(0,MIN(18,BK384+IF(C385="魅力",E385,0)))</x:f>
        <x:v>0</x:v>
      </x:c>
      <x:c r="BL385">
        <x:f>MAX(0,MIN(99,BL384+IF(C385="技能：非自然知识",E385,0)))</x:f>
        <x:v>0</x:v>
      </x:c>
      <x:c r="BM385">
        <x:f>MAX(0,MIN(CEILING((BF385+BG385)/2,1),BM384+IF(C385="体力",E385,0)))</x:f>
        <x:v>0</x:v>
      </x:c>
      <x:c r="BN385">
        <x:f>MAX(0,MIN(BJ385,BN384+IF(C385="毅力",E385,0)))</x:f>
        <x:v>0</x:v>
      </x:c>
      <x:c r="BO385">
        <x:f>MAX(0,MIN(99-BL385,BO384+IF(C385="理智",E385,0)))</x:f>
        <x:v>0</x:v>
      </x:c>
      <x:c r="BP385">
        <x:f>MAX(0,MIN(99,BP384+IF(C385="崩溃点",E385,0)))</x:f>
        <x:v>0</x:v>
      </x:c>
      <x:c r="BQ385">
        <x:f>MAX(0,MIN(BK385,IF(AND(H385=1,C385="重要关系1",LEFT('幕间与结算'!H292,8)="建立新的重要关系"),'幕间与结算'!E292+E385,BQ384+IF(C385="重要关系1",E385,0)+IF(AND(C385="魅力",E385&lt;0),E385,0))))</x:f>
        <x:v>0</x:v>
      </x:c>
      <x:c r="BR385">
        <x:f>MAX(0,MIN(BK385,IF(AND(H385=1,C385="重要关系2",LEFT('幕间与结算'!H292,8)="建立新的重要关系"),'幕间与结算'!E292+E385,BR384+IF(C385="重要关系2",E385,0)+IF(AND(C385="魅力",E385&lt;0),E385,0))))</x:f>
        <x:v>0</x:v>
      </x:c>
      <x:c r="BS385">
        <x:f>MAX(0,MIN(BK385,IF(AND(H385=1,C385="重要关系3",LEFT('幕间与结算'!H292,8)="建立新的重要关系"),'幕间与结算'!E292+E385,BS384+IF(C385="重要关系3",E385,0)+IF(AND(C385="魅力",E385&lt;0),E385,0))))</x:f>
        <x:v>0</x:v>
      </x:c>
      <x:c r="BT385">
        <x:f>MAX(0,MIN(BK385,IF(AND(H385=1,C385="重要关系4",LEFT('幕间与结算'!H292,8)="建立新的重要关系"),'幕间与结算'!E292+E385,BT384+IF(C385="重要关系4",E385,0)+IF(AND(C385="魅力",E385&lt;0),E385,0))))</x:f>
        <x:v>0</x:v>
      </x:c>
      <x:c r="BU385">
        <x:f>MAX(0,MIN(BK385,IF(AND(H385=1,C385="重要关系5",LEFT('幕间与结算'!H292,8)="建立新的重要关系"),'幕间与结算'!E292+E385,BU384+IF(C385="重要关系5",E385,0)+IF(AND(C385="魅力",E385&lt;0),E385,0))))</x:f>
        <x:v>0</x:v>
      </x:c>
      <x:c r="BV385">
        <x:f>MAX(0,MIN(BK385,IF(AND(H385=1,C385="重要关系6",LEFT('幕间与结算'!H292,8)="建立新的重要关系"),'幕间与结算'!E292+E385,BV384+IF(C385="重要关系6",E385,0)+IF(AND(C385="魅力",E385&lt;0),E385,0))))</x:f>
        <x:v>0</x:v>
      </x:c>
      <x:c r="BW385">
        <x:f>MAX(0,MIN(BK385,IF(AND(H385=1,C385="重要关系7",LEFT('幕间与结算'!H292,8)="建立新的重要关系"),'幕间与结算'!E292+E385,BW384+IF(C385="重要关系7",E385,0)+IF(AND(C385="魅力",E385&lt;0),E385,0))))</x:f>
        <x:v>0</x:v>
      </x:c>
    </x:row>
    <x:row r="386">
      <x:c r="A386" t="str">
        <x:f>IFERROR(TEXT(VALUE('幕间与结算'!A293),"00"),"")</x:f>
        <x:v>00</x:v>
      </x:c>
      <x:c r="B386">
        <x:f>'幕间与结算'!B293</x:f>
        <x:v>0</x:v>
      </x:c>
      <x:c r="C386">
        <x:f>'幕间与结算'!D293</x:f>
        <x:v>0</x:v>
      </x:c>
      <x:c r="D386">
        <x:f>'幕间与结算'!F293</x:f>
        <x:v>0</x:v>
      </x:c>
      <x:c r="E386">
        <x:f>IF(H386=1,MAX(-'幕间与结算'!E293,MIN(D386,IF(LEFT(C386,3)="技能：",99,IF(COUNTIF($L$2:$L$7,C386)&gt;0,18,999))-'幕间与结算'!E293)),0)</x:f>
        <x:v>0</x:v>
      </x:c>
      <x:c r="F386" t="str">
        <x:f>IF(C386=0,"",IF(G386=0,"记录不完整",IF(H386=0,"重复未计","已计入")))</x:f>
        <x:v/>
      </x:c>
      <x:c r="G386">
        <x:f>IF(AND(AND('幕间与结算'!A293&lt;&gt;"",'幕间与结算'!B293&lt;&gt;"",'幕间与结算'!I293&lt;&gt;"",OR(LEFT(C386,3)="技能：",COUNTIF($L$2:$L$19,C386)&gt;0),ISNUMBER('幕间与结算'!E293),ISNUMBER('幕间与结算'!F293),ISNUMBER('幕间与结算'!G293),'幕间与结算'!E293&gt;=0,'幕间与结算'!G293='幕间与结算'!E293+'幕间与结算'!F293),OR(B386&lt;&gt;"成长",AND(LEFT(C386,3)="技能：",C386&lt;&gt;"技能：非自然知识",'幕间与结算'!E293&gt;=1,'幕间与结算'!E293&lt;=99,'幕间与结算'!F293&gt;=0,'幕间与结算'!F293&lt;=4,'幕间与结算'!G293&lt;=99))),1,0)</x:f>
        <x:v>0</x:v>
      </x:c>
      <x:c r="H386">
        <x:f>IF(AND(G386=1,COUNTIFS($I$200:I386,I386,$G$200:G386,1)=1),1,0)</x:f>
        <x:v>0</x:v>
      </x:c>
      <x:c r="I386" t="str">
        <x:f>IF(G386=1,IF(B386="成长",A386&amp;"-成长-"&amp;C386,'幕间与结算'!I293),"")</x:f>
        <x:v/>
      </x:c>
      <x:c r="BF386">
        <x:f>MAX(0,MIN(18,BF385+IF(C386="力量",E386,0)))</x:f>
        <x:v>0</x:v>
      </x:c>
      <x:c r="BG386">
        <x:f>MAX(0,MIN(18,BG385+IF(C386="体质",E386,0)))</x:f>
        <x:v>0</x:v>
      </x:c>
      <x:c r="BH386">
        <x:f>MAX(0,MIN(18,BH385+IF(C386="敏捷",E386,0)))</x:f>
        <x:v>0</x:v>
      </x:c>
      <x:c r="BI386">
        <x:f>MAX(0,MIN(18,BI385+IF(C386="智力",E386,0)))</x:f>
        <x:v>0</x:v>
      </x:c>
      <x:c r="BJ386">
        <x:f>MAX(0,MIN(18,BJ385+IF(C386="意志",E386,0)))</x:f>
        <x:v>0</x:v>
      </x:c>
      <x:c r="BK386">
        <x:f>MAX(0,MIN(18,BK385+IF(C386="魅力",E386,0)))</x:f>
        <x:v>0</x:v>
      </x:c>
      <x:c r="BL386">
        <x:f>MAX(0,MIN(99,BL385+IF(C386="技能：非自然知识",E386,0)))</x:f>
        <x:v>0</x:v>
      </x:c>
      <x:c r="BM386">
        <x:f>MAX(0,MIN(CEILING((BF386+BG386)/2,1),BM385+IF(C386="体力",E386,0)))</x:f>
        <x:v>0</x:v>
      </x:c>
      <x:c r="BN386">
        <x:f>MAX(0,MIN(BJ386,BN385+IF(C386="毅力",E386,0)))</x:f>
        <x:v>0</x:v>
      </x:c>
      <x:c r="BO386">
        <x:f>MAX(0,MIN(99-BL386,BO385+IF(C386="理智",E386,0)))</x:f>
        <x:v>0</x:v>
      </x:c>
      <x:c r="BP386">
        <x:f>MAX(0,MIN(99,BP385+IF(C386="崩溃点",E386,0)))</x:f>
        <x:v>0</x:v>
      </x:c>
      <x:c r="BQ386">
        <x:f>MAX(0,MIN(BK386,IF(AND(H386=1,C386="重要关系1",LEFT('幕间与结算'!H293,8)="建立新的重要关系"),'幕间与结算'!E293+E386,BQ385+IF(C386="重要关系1",E386,0)+IF(AND(C386="魅力",E386&lt;0),E386,0))))</x:f>
        <x:v>0</x:v>
      </x:c>
      <x:c r="BR386">
        <x:f>MAX(0,MIN(BK386,IF(AND(H386=1,C386="重要关系2",LEFT('幕间与结算'!H293,8)="建立新的重要关系"),'幕间与结算'!E293+E386,BR385+IF(C386="重要关系2",E386,0)+IF(AND(C386="魅力",E386&lt;0),E386,0))))</x:f>
        <x:v>0</x:v>
      </x:c>
      <x:c r="BS386">
        <x:f>MAX(0,MIN(BK386,IF(AND(H386=1,C386="重要关系3",LEFT('幕间与结算'!H293,8)="建立新的重要关系"),'幕间与结算'!E293+E386,BS385+IF(C386="重要关系3",E386,0)+IF(AND(C386="魅力",E386&lt;0),E386,0))))</x:f>
        <x:v>0</x:v>
      </x:c>
      <x:c r="BT386">
        <x:f>MAX(0,MIN(BK386,IF(AND(H386=1,C386="重要关系4",LEFT('幕间与结算'!H293,8)="建立新的重要关系"),'幕间与结算'!E293+E386,BT385+IF(C386="重要关系4",E386,0)+IF(AND(C386="魅力",E386&lt;0),E386,0))))</x:f>
        <x:v>0</x:v>
      </x:c>
      <x:c r="BU386">
        <x:f>MAX(0,MIN(BK386,IF(AND(H386=1,C386="重要关系5",LEFT('幕间与结算'!H293,8)="建立新的重要关系"),'幕间与结算'!E293+E386,BU385+IF(C386="重要关系5",E386,0)+IF(AND(C386="魅力",E386&lt;0),E386,0))))</x:f>
        <x:v>0</x:v>
      </x:c>
      <x:c r="BV386">
        <x:f>MAX(0,MIN(BK386,IF(AND(H386=1,C386="重要关系6",LEFT('幕间与结算'!H293,8)="建立新的重要关系"),'幕间与结算'!E293+E386,BV385+IF(C386="重要关系6",E386,0)+IF(AND(C386="魅力",E386&lt;0),E386,0))))</x:f>
        <x:v>0</x:v>
      </x:c>
      <x:c r="BW386">
        <x:f>MAX(0,MIN(BK386,IF(AND(H386=1,C386="重要关系7",LEFT('幕间与结算'!H293,8)="建立新的重要关系"),'幕间与结算'!E293+E386,BW385+IF(C386="重要关系7",E386,0)+IF(AND(C386="魅力",E386&lt;0),E386,0))))</x:f>
        <x:v>0</x:v>
      </x:c>
    </x:row>
    <x:row r="387">
      <x:c r="A387" t="str">
        <x:f>IFERROR(TEXT(VALUE('幕间与结算'!A294),"00"),"")</x:f>
        <x:v>00</x:v>
      </x:c>
      <x:c r="B387">
        <x:f>'幕间与结算'!B294</x:f>
        <x:v>0</x:v>
      </x:c>
      <x:c r="C387">
        <x:f>'幕间与结算'!D294</x:f>
        <x:v>0</x:v>
      </x:c>
      <x:c r="D387">
        <x:f>'幕间与结算'!F294</x:f>
        <x:v>0</x:v>
      </x:c>
      <x:c r="E387">
        <x:f>IF(H387=1,MAX(-'幕间与结算'!E294,MIN(D387,IF(LEFT(C387,3)="技能：",99,IF(COUNTIF($L$2:$L$7,C387)&gt;0,18,999))-'幕间与结算'!E294)),0)</x:f>
        <x:v>0</x:v>
      </x:c>
      <x:c r="F387" t="str">
        <x:f>IF(C387=0,"",IF(G387=0,"记录不完整",IF(H387=0,"重复未计","已计入")))</x:f>
        <x:v/>
      </x:c>
      <x:c r="G387">
        <x:f>IF(AND(AND('幕间与结算'!A294&lt;&gt;"",'幕间与结算'!B294&lt;&gt;"",'幕间与结算'!I294&lt;&gt;"",OR(LEFT(C387,3)="技能：",COUNTIF($L$2:$L$19,C387)&gt;0),ISNUMBER('幕间与结算'!E294),ISNUMBER('幕间与结算'!F294),ISNUMBER('幕间与结算'!G294),'幕间与结算'!E294&gt;=0,'幕间与结算'!G294='幕间与结算'!E294+'幕间与结算'!F294),OR(B387&lt;&gt;"成长",AND(LEFT(C387,3)="技能：",C387&lt;&gt;"技能：非自然知识",'幕间与结算'!E294&gt;=1,'幕间与结算'!E294&lt;=99,'幕间与结算'!F294&gt;=0,'幕间与结算'!F294&lt;=4,'幕间与结算'!G294&lt;=99))),1,0)</x:f>
        <x:v>0</x:v>
      </x:c>
      <x:c r="H387">
        <x:f>IF(AND(G387=1,COUNTIFS($I$200:I387,I387,$G$200:G387,1)=1),1,0)</x:f>
        <x:v>0</x:v>
      </x:c>
      <x:c r="I387" t="str">
        <x:f>IF(G387=1,IF(B387="成长",A387&amp;"-成长-"&amp;C387,'幕间与结算'!I294),"")</x:f>
        <x:v/>
      </x:c>
      <x:c r="BF387">
        <x:f>MAX(0,MIN(18,BF386+IF(C387="力量",E387,0)))</x:f>
        <x:v>0</x:v>
      </x:c>
      <x:c r="BG387">
        <x:f>MAX(0,MIN(18,BG386+IF(C387="体质",E387,0)))</x:f>
        <x:v>0</x:v>
      </x:c>
      <x:c r="BH387">
        <x:f>MAX(0,MIN(18,BH386+IF(C387="敏捷",E387,0)))</x:f>
        <x:v>0</x:v>
      </x:c>
      <x:c r="BI387">
        <x:f>MAX(0,MIN(18,BI386+IF(C387="智力",E387,0)))</x:f>
        <x:v>0</x:v>
      </x:c>
      <x:c r="BJ387">
        <x:f>MAX(0,MIN(18,BJ386+IF(C387="意志",E387,0)))</x:f>
        <x:v>0</x:v>
      </x:c>
      <x:c r="BK387">
        <x:f>MAX(0,MIN(18,BK386+IF(C387="魅力",E387,0)))</x:f>
        <x:v>0</x:v>
      </x:c>
      <x:c r="BL387">
        <x:f>MAX(0,MIN(99,BL386+IF(C387="技能：非自然知识",E387,0)))</x:f>
        <x:v>0</x:v>
      </x:c>
      <x:c r="BM387">
        <x:f>MAX(0,MIN(CEILING((BF387+BG387)/2,1),BM386+IF(C387="体力",E387,0)))</x:f>
        <x:v>0</x:v>
      </x:c>
      <x:c r="BN387">
        <x:f>MAX(0,MIN(BJ387,BN386+IF(C387="毅力",E387,0)))</x:f>
        <x:v>0</x:v>
      </x:c>
      <x:c r="BO387">
        <x:f>MAX(0,MIN(99-BL387,BO386+IF(C387="理智",E387,0)))</x:f>
        <x:v>0</x:v>
      </x:c>
      <x:c r="BP387">
        <x:f>MAX(0,MIN(99,BP386+IF(C387="崩溃点",E387,0)))</x:f>
        <x:v>0</x:v>
      </x:c>
      <x:c r="BQ387">
        <x:f>MAX(0,MIN(BK387,IF(AND(H387=1,C387="重要关系1",LEFT('幕间与结算'!H294,8)="建立新的重要关系"),'幕间与结算'!E294+E387,BQ386+IF(C387="重要关系1",E387,0)+IF(AND(C387="魅力",E387&lt;0),E387,0))))</x:f>
        <x:v>0</x:v>
      </x:c>
      <x:c r="BR387">
        <x:f>MAX(0,MIN(BK387,IF(AND(H387=1,C387="重要关系2",LEFT('幕间与结算'!H294,8)="建立新的重要关系"),'幕间与结算'!E294+E387,BR386+IF(C387="重要关系2",E387,0)+IF(AND(C387="魅力",E387&lt;0),E387,0))))</x:f>
        <x:v>0</x:v>
      </x:c>
      <x:c r="BS387">
        <x:f>MAX(0,MIN(BK387,IF(AND(H387=1,C387="重要关系3",LEFT('幕间与结算'!H294,8)="建立新的重要关系"),'幕间与结算'!E294+E387,BS386+IF(C387="重要关系3",E387,0)+IF(AND(C387="魅力",E387&lt;0),E387,0))))</x:f>
        <x:v>0</x:v>
      </x:c>
      <x:c r="BT387">
        <x:f>MAX(0,MIN(BK387,IF(AND(H387=1,C387="重要关系4",LEFT('幕间与结算'!H294,8)="建立新的重要关系"),'幕间与结算'!E294+E387,BT386+IF(C387="重要关系4",E387,0)+IF(AND(C387="魅力",E387&lt;0),E387,0))))</x:f>
        <x:v>0</x:v>
      </x:c>
      <x:c r="BU387">
        <x:f>MAX(0,MIN(BK387,IF(AND(H387=1,C387="重要关系5",LEFT('幕间与结算'!H294,8)="建立新的重要关系"),'幕间与结算'!E294+E387,BU386+IF(C387="重要关系5",E387,0)+IF(AND(C387="魅力",E387&lt;0),E387,0))))</x:f>
        <x:v>0</x:v>
      </x:c>
      <x:c r="BV387">
        <x:f>MAX(0,MIN(BK387,IF(AND(H387=1,C387="重要关系6",LEFT('幕间与结算'!H294,8)="建立新的重要关系"),'幕间与结算'!E294+E387,BV386+IF(C387="重要关系6",E387,0)+IF(AND(C387="魅力",E387&lt;0),E387,0))))</x:f>
        <x:v>0</x:v>
      </x:c>
      <x:c r="BW387">
        <x:f>MAX(0,MIN(BK387,IF(AND(H387=1,C387="重要关系7",LEFT('幕间与结算'!H294,8)="建立新的重要关系"),'幕间与结算'!E294+E387,BW386+IF(C387="重要关系7",E387,0)+IF(AND(C387="魅力",E387&lt;0),E387,0))))</x:f>
        <x:v>0</x:v>
      </x:c>
    </x:row>
    <x:row r="388">
      <x:c r="A388" t="str">
        <x:f>IFERROR(TEXT(VALUE('幕间与结算'!A295),"00"),"")</x:f>
        <x:v>00</x:v>
      </x:c>
      <x:c r="B388">
        <x:f>'幕间与结算'!B295</x:f>
        <x:v>0</x:v>
      </x:c>
      <x:c r="C388">
        <x:f>'幕间与结算'!D295</x:f>
        <x:v>0</x:v>
      </x:c>
      <x:c r="D388">
        <x:f>'幕间与结算'!F295</x:f>
        <x:v>0</x:v>
      </x:c>
      <x:c r="E388">
        <x:f>IF(H388=1,MAX(-'幕间与结算'!E295,MIN(D388,IF(LEFT(C388,3)="技能：",99,IF(COUNTIF($L$2:$L$7,C388)&gt;0,18,999))-'幕间与结算'!E295)),0)</x:f>
        <x:v>0</x:v>
      </x:c>
      <x:c r="F388" t="str">
        <x:f>IF(C388=0,"",IF(G388=0,"记录不完整",IF(H388=0,"重复未计","已计入")))</x:f>
        <x:v/>
      </x:c>
      <x:c r="G388">
        <x:f>IF(AND(AND('幕间与结算'!A295&lt;&gt;"",'幕间与结算'!B295&lt;&gt;"",'幕间与结算'!I295&lt;&gt;"",OR(LEFT(C388,3)="技能：",COUNTIF($L$2:$L$19,C388)&gt;0),ISNUMBER('幕间与结算'!E295),ISNUMBER('幕间与结算'!F295),ISNUMBER('幕间与结算'!G295),'幕间与结算'!E295&gt;=0,'幕间与结算'!G295='幕间与结算'!E295+'幕间与结算'!F295),OR(B388&lt;&gt;"成长",AND(LEFT(C388,3)="技能：",C388&lt;&gt;"技能：非自然知识",'幕间与结算'!E295&gt;=1,'幕间与结算'!E295&lt;=99,'幕间与结算'!F295&gt;=0,'幕间与结算'!F295&lt;=4,'幕间与结算'!G295&lt;=99))),1,0)</x:f>
        <x:v>0</x:v>
      </x:c>
      <x:c r="H388">
        <x:f>IF(AND(G388=1,COUNTIFS($I$200:I388,I388,$G$200:G388,1)=1),1,0)</x:f>
        <x:v>0</x:v>
      </x:c>
      <x:c r="I388" t="str">
        <x:f>IF(G388=1,IF(B388="成长",A388&amp;"-成长-"&amp;C388,'幕间与结算'!I295),"")</x:f>
        <x:v/>
      </x:c>
      <x:c r="BF388">
        <x:f>MAX(0,MIN(18,BF387+IF(C388="力量",E388,0)))</x:f>
        <x:v>0</x:v>
      </x:c>
      <x:c r="BG388">
        <x:f>MAX(0,MIN(18,BG387+IF(C388="体质",E388,0)))</x:f>
        <x:v>0</x:v>
      </x:c>
      <x:c r="BH388">
        <x:f>MAX(0,MIN(18,BH387+IF(C388="敏捷",E388,0)))</x:f>
        <x:v>0</x:v>
      </x:c>
      <x:c r="BI388">
        <x:f>MAX(0,MIN(18,BI387+IF(C388="智力",E388,0)))</x:f>
        <x:v>0</x:v>
      </x:c>
      <x:c r="BJ388">
        <x:f>MAX(0,MIN(18,BJ387+IF(C388="意志",E388,0)))</x:f>
        <x:v>0</x:v>
      </x:c>
      <x:c r="BK388">
        <x:f>MAX(0,MIN(18,BK387+IF(C388="魅力",E388,0)))</x:f>
        <x:v>0</x:v>
      </x:c>
      <x:c r="BL388">
        <x:f>MAX(0,MIN(99,BL387+IF(C388="技能：非自然知识",E388,0)))</x:f>
        <x:v>0</x:v>
      </x:c>
      <x:c r="BM388">
        <x:f>MAX(0,MIN(CEILING((BF388+BG388)/2,1),BM387+IF(C388="体力",E388,0)))</x:f>
        <x:v>0</x:v>
      </x:c>
      <x:c r="BN388">
        <x:f>MAX(0,MIN(BJ388,BN387+IF(C388="毅力",E388,0)))</x:f>
        <x:v>0</x:v>
      </x:c>
      <x:c r="BO388">
        <x:f>MAX(0,MIN(99-BL388,BO387+IF(C388="理智",E388,0)))</x:f>
        <x:v>0</x:v>
      </x:c>
      <x:c r="BP388">
        <x:f>MAX(0,MIN(99,BP387+IF(C388="崩溃点",E388,0)))</x:f>
        <x:v>0</x:v>
      </x:c>
      <x:c r="BQ388">
        <x:f>MAX(0,MIN(BK388,IF(AND(H388=1,C388="重要关系1",LEFT('幕间与结算'!H295,8)="建立新的重要关系"),'幕间与结算'!E295+E388,BQ387+IF(C388="重要关系1",E388,0)+IF(AND(C388="魅力",E388&lt;0),E388,0))))</x:f>
        <x:v>0</x:v>
      </x:c>
      <x:c r="BR388">
        <x:f>MAX(0,MIN(BK388,IF(AND(H388=1,C388="重要关系2",LEFT('幕间与结算'!H295,8)="建立新的重要关系"),'幕间与结算'!E295+E388,BR387+IF(C388="重要关系2",E388,0)+IF(AND(C388="魅力",E388&lt;0),E388,0))))</x:f>
        <x:v>0</x:v>
      </x:c>
      <x:c r="BS388">
        <x:f>MAX(0,MIN(BK388,IF(AND(H388=1,C388="重要关系3",LEFT('幕间与结算'!H295,8)="建立新的重要关系"),'幕间与结算'!E295+E388,BS387+IF(C388="重要关系3",E388,0)+IF(AND(C388="魅力",E388&lt;0),E388,0))))</x:f>
        <x:v>0</x:v>
      </x:c>
      <x:c r="BT388">
        <x:f>MAX(0,MIN(BK388,IF(AND(H388=1,C388="重要关系4",LEFT('幕间与结算'!H295,8)="建立新的重要关系"),'幕间与结算'!E295+E388,BT387+IF(C388="重要关系4",E388,0)+IF(AND(C388="魅力",E388&lt;0),E388,0))))</x:f>
        <x:v>0</x:v>
      </x:c>
      <x:c r="BU388">
        <x:f>MAX(0,MIN(BK388,IF(AND(H388=1,C388="重要关系5",LEFT('幕间与结算'!H295,8)="建立新的重要关系"),'幕间与结算'!E295+E388,BU387+IF(C388="重要关系5",E388,0)+IF(AND(C388="魅力",E388&lt;0),E388,0))))</x:f>
        <x:v>0</x:v>
      </x:c>
      <x:c r="BV388">
        <x:f>MAX(0,MIN(BK388,IF(AND(H388=1,C388="重要关系6",LEFT('幕间与结算'!H295,8)="建立新的重要关系"),'幕间与结算'!E295+E388,BV387+IF(C388="重要关系6",E388,0)+IF(AND(C388="魅力",E388&lt;0),E388,0))))</x:f>
        <x:v>0</x:v>
      </x:c>
      <x:c r="BW388">
        <x:f>MAX(0,MIN(BK388,IF(AND(H388=1,C388="重要关系7",LEFT('幕间与结算'!H295,8)="建立新的重要关系"),'幕间与结算'!E295+E388,BW387+IF(C388="重要关系7",E388,0)+IF(AND(C388="魅力",E388&lt;0),E388,0))))</x:f>
        <x:v>0</x:v>
      </x:c>
    </x:row>
    <x:row r="389">
      <x:c r="A389" t="str">
        <x:f>IFERROR(TEXT(VALUE('幕间与结算'!A296),"00"),"")</x:f>
        <x:v>00</x:v>
      </x:c>
      <x:c r="B389">
        <x:f>'幕间与结算'!B296</x:f>
        <x:v>0</x:v>
      </x:c>
      <x:c r="C389">
        <x:f>'幕间与结算'!D296</x:f>
        <x:v>0</x:v>
      </x:c>
      <x:c r="D389">
        <x:f>'幕间与结算'!F296</x:f>
        <x:v>0</x:v>
      </x:c>
      <x:c r="E389">
        <x:f>IF(H389=1,MAX(-'幕间与结算'!E296,MIN(D389,IF(LEFT(C389,3)="技能：",99,IF(COUNTIF($L$2:$L$7,C389)&gt;0,18,999))-'幕间与结算'!E296)),0)</x:f>
        <x:v>0</x:v>
      </x:c>
      <x:c r="F389" t="str">
        <x:f>IF(C389=0,"",IF(G389=0,"记录不完整",IF(H389=0,"重复未计","已计入")))</x:f>
        <x:v/>
      </x:c>
      <x:c r="G389">
        <x:f>IF(AND(AND('幕间与结算'!A296&lt;&gt;"",'幕间与结算'!B296&lt;&gt;"",'幕间与结算'!I296&lt;&gt;"",OR(LEFT(C389,3)="技能：",COUNTIF($L$2:$L$19,C389)&gt;0),ISNUMBER('幕间与结算'!E296),ISNUMBER('幕间与结算'!F296),ISNUMBER('幕间与结算'!G296),'幕间与结算'!E296&gt;=0,'幕间与结算'!G296='幕间与结算'!E296+'幕间与结算'!F296),OR(B389&lt;&gt;"成长",AND(LEFT(C389,3)="技能：",C389&lt;&gt;"技能：非自然知识",'幕间与结算'!E296&gt;=1,'幕间与结算'!E296&lt;=99,'幕间与结算'!F296&gt;=0,'幕间与结算'!F296&lt;=4,'幕间与结算'!G296&lt;=99))),1,0)</x:f>
        <x:v>0</x:v>
      </x:c>
      <x:c r="H389">
        <x:f>IF(AND(G389=1,COUNTIFS($I$200:I389,I389,$G$200:G389,1)=1),1,0)</x:f>
        <x:v>0</x:v>
      </x:c>
      <x:c r="I389" t="str">
        <x:f>IF(G389=1,IF(B389="成长",A389&amp;"-成长-"&amp;C389,'幕间与结算'!I296),"")</x:f>
        <x:v/>
      </x:c>
      <x:c r="BF389">
        <x:f>MAX(0,MIN(18,BF388+IF(C389="力量",E389,0)))</x:f>
        <x:v>0</x:v>
      </x:c>
      <x:c r="BG389">
        <x:f>MAX(0,MIN(18,BG388+IF(C389="体质",E389,0)))</x:f>
        <x:v>0</x:v>
      </x:c>
      <x:c r="BH389">
        <x:f>MAX(0,MIN(18,BH388+IF(C389="敏捷",E389,0)))</x:f>
        <x:v>0</x:v>
      </x:c>
      <x:c r="BI389">
        <x:f>MAX(0,MIN(18,BI388+IF(C389="智力",E389,0)))</x:f>
        <x:v>0</x:v>
      </x:c>
      <x:c r="BJ389">
        <x:f>MAX(0,MIN(18,BJ388+IF(C389="意志",E389,0)))</x:f>
        <x:v>0</x:v>
      </x:c>
      <x:c r="BK389">
        <x:f>MAX(0,MIN(18,BK388+IF(C389="魅力",E389,0)))</x:f>
        <x:v>0</x:v>
      </x:c>
      <x:c r="BL389">
        <x:f>MAX(0,MIN(99,BL388+IF(C389="技能：非自然知识",E389,0)))</x:f>
        <x:v>0</x:v>
      </x:c>
      <x:c r="BM389">
        <x:f>MAX(0,MIN(CEILING((BF389+BG389)/2,1),BM388+IF(C389="体力",E389,0)))</x:f>
        <x:v>0</x:v>
      </x:c>
      <x:c r="BN389">
        <x:f>MAX(0,MIN(BJ389,BN388+IF(C389="毅力",E389,0)))</x:f>
        <x:v>0</x:v>
      </x:c>
      <x:c r="BO389">
        <x:f>MAX(0,MIN(99-BL389,BO388+IF(C389="理智",E389,0)))</x:f>
        <x:v>0</x:v>
      </x:c>
      <x:c r="BP389">
        <x:f>MAX(0,MIN(99,BP388+IF(C389="崩溃点",E389,0)))</x:f>
        <x:v>0</x:v>
      </x:c>
      <x:c r="BQ389">
        <x:f>MAX(0,MIN(BK389,IF(AND(H389=1,C389="重要关系1",LEFT('幕间与结算'!H296,8)="建立新的重要关系"),'幕间与结算'!E296+E389,BQ388+IF(C389="重要关系1",E389,0)+IF(AND(C389="魅力",E389&lt;0),E389,0))))</x:f>
        <x:v>0</x:v>
      </x:c>
      <x:c r="BR389">
        <x:f>MAX(0,MIN(BK389,IF(AND(H389=1,C389="重要关系2",LEFT('幕间与结算'!H296,8)="建立新的重要关系"),'幕间与结算'!E296+E389,BR388+IF(C389="重要关系2",E389,0)+IF(AND(C389="魅力",E389&lt;0),E389,0))))</x:f>
        <x:v>0</x:v>
      </x:c>
      <x:c r="BS389">
        <x:f>MAX(0,MIN(BK389,IF(AND(H389=1,C389="重要关系3",LEFT('幕间与结算'!H296,8)="建立新的重要关系"),'幕间与结算'!E296+E389,BS388+IF(C389="重要关系3",E389,0)+IF(AND(C389="魅力",E389&lt;0),E389,0))))</x:f>
        <x:v>0</x:v>
      </x:c>
      <x:c r="BT389">
        <x:f>MAX(0,MIN(BK389,IF(AND(H389=1,C389="重要关系4",LEFT('幕间与结算'!H296,8)="建立新的重要关系"),'幕间与结算'!E296+E389,BT388+IF(C389="重要关系4",E389,0)+IF(AND(C389="魅力",E389&lt;0),E389,0))))</x:f>
        <x:v>0</x:v>
      </x:c>
      <x:c r="BU389">
        <x:f>MAX(0,MIN(BK389,IF(AND(H389=1,C389="重要关系5",LEFT('幕间与结算'!H296,8)="建立新的重要关系"),'幕间与结算'!E296+E389,BU388+IF(C389="重要关系5",E389,0)+IF(AND(C389="魅力",E389&lt;0),E389,0))))</x:f>
        <x:v>0</x:v>
      </x:c>
      <x:c r="BV389">
        <x:f>MAX(0,MIN(BK389,IF(AND(H389=1,C389="重要关系6",LEFT('幕间与结算'!H296,8)="建立新的重要关系"),'幕间与结算'!E296+E389,BV388+IF(C389="重要关系6",E389,0)+IF(AND(C389="魅力",E389&lt;0),E389,0))))</x:f>
        <x:v>0</x:v>
      </x:c>
      <x:c r="BW389">
        <x:f>MAX(0,MIN(BK389,IF(AND(H389=1,C389="重要关系7",LEFT('幕间与结算'!H296,8)="建立新的重要关系"),'幕间与结算'!E296+E389,BW388+IF(C389="重要关系7",E389,0)+IF(AND(C389="魅力",E389&lt;0),E389,0))))</x:f>
        <x:v>0</x:v>
      </x:c>
    </x:row>
    <x:row r="390">
      <x:c r="A390" t="str">
        <x:f>IFERROR(TEXT(VALUE('幕间与结算'!A297),"00"),"")</x:f>
        <x:v>00</x:v>
      </x:c>
      <x:c r="B390">
        <x:f>'幕间与结算'!B297</x:f>
        <x:v>0</x:v>
      </x:c>
      <x:c r="C390">
        <x:f>'幕间与结算'!D297</x:f>
        <x:v>0</x:v>
      </x:c>
      <x:c r="D390">
        <x:f>'幕间与结算'!F297</x:f>
        <x:v>0</x:v>
      </x:c>
      <x:c r="E390">
        <x:f>IF(H390=1,MAX(-'幕间与结算'!E297,MIN(D390,IF(LEFT(C390,3)="技能：",99,IF(COUNTIF($L$2:$L$7,C390)&gt;0,18,999))-'幕间与结算'!E297)),0)</x:f>
        <x:v>0</x:v>
      </x:c>
      <x:c r="F390" t="str">
        <x:f>IF(C390=0,"",IF(G390=0,"记录不完整",IF(H390=0,"重复未计","已计入")))</x:f>
        <x:v/>
      </x:c>
      <x:c r="G390">
        <x:f>IF(AND(AND('幕间与结算'!A297&lt;&gt;"",'幕间与结算'!B297&lt;&gt;"",'幕间与结算'!I297&lt;&gt;"",OR(LEFT(C390,3)="技能：",COUNTIF($L$2:$L$19,C390)&gt;0),ISNUMBER('幕间与结算'!E297),ISNUMBER('幕间与结算'!F297),ISNUMBER('幕间与结算'!G297),'幕间与结算'!E297&gt;=0,'幕间与结算'!G297='幕间与结算'!E297+'幕间与结算'!F297),OR(B390&lt;&gt;"成长",AND(LEFT(C390,3)="技能：",C390&lt;&gt;"技能：非自然知识",'幕间与结算'!E297&gt;=1,'幕间与结算'!E297&lt;=99,'幕间与结算'!F297&gt;=0,'幕间与结算'!F297&lt;=4,'幕间与结算'!G297&lt;=99))),1,0)</x:f>
        <x:v>0</x:v>
      </x:c>
      <x:c r="H390">
        <x:f>IF(AND(G390=1,COUNTIFS($I$200:I390,I390,$G$200:G390,1)=1),1,0)</x:f>
        <x:v>0</x:v>
      </x:c>
      <x:c r="I390" t="str">
        <x:f>IF(G390=1,IF(B390="成长",A390&amp;"-成长-"&amp;C390,'幕间与结算'!I297),"")</x:f>
        <x:v/>
      </x:c>
      <x:c r="BF390">
        <x:f>MAX(0,MIN(18,BF389+IF(C390="力量",E390,0)))</x:f>
        <x:v>0</x:v>
      </x:c>
      <x:c r="BG390">
        <x:f>MAX(0,MIN(18,BG389+IF(C390="体质",E390,0)))</x:f>
        <x:v>0</x:v>
      </x:c>
      <x:c r="BH390">
        <x:f>MAX(0,MIN(18,BH389+IF(C390="敏捷",E390,0)))</x:f>
        <x:v>0</x:v>
      </x:c>
      <x:c r="BI390">
        <x:f>MAX(0,MIN(18,BI389+IF(C390="智力",E390,0)))</x:f>
        <x:v>0</x:v>
      </x:c>
      <x:c r="BJ390">
        <x:f>MAX(0,MIN(18,BJ389+IF(C390="意志",E390,0)))</x:f>
        <x:v>0</x:v>
      </x:c>
      <x:c r="BK390">
        <x:f>MAX(0,MIN(18,BK389+IF(C390="魅力",E390,0)))</x:f>
        <x:v>0</x:v>
      </x:c>
      <x:c r="BL390">
        <x:f>MAX(0,MIN(99,BL389+IF(C390="技能：非自然知识",E390,0)))</x:f>
        <x:v>0</x:v>
      </x:c>
      <x:c r="BM390">
        <x:f>MAX(0,MIN(CEILING((BF390+BG390)/2,1),BM389+IF(C390="体力",E390,0)))</x:f>
        <x:v>0</x:v>
      </x:c>
      <x:c r="BN390">
        <x:f>MAX(0,MIN(BJ390,BN389+IF(C390="毅力",E390,0)))</x:f>
        <x:v>0</x:v>
      </x:c>
      <x:c r="BO390">
        <x:f>MAX(0,MIN(99-BL390,BO389+IF(C390="理智",E390,0)))</x:f>
        <x:v>0</x:v>
      </x:c>
      <x:c r="BP390">
        <x:f>MAX(0,MIN(99,BP389+IF(C390="崩溃点",E390,0)))</x:f>
        <x:v>0</x:v>
      </x:c>
      <x:c r="BQ390">
        <x:f>MAX(0,MIN(BK390,IF(AND(H390=1,C390="重要关系1",LEFT('幕间与结算'!H297,8)="建立新的重要关系"),'幕间与结算'!E297+E390,BQ389+IF(C390="重要关系1",E390,0)+IF(AND(C390="魅力",E390&lt;0),E390,0))))</x:f>
        <x:v>0</x:v>
      </x:c>
      <x:c r="BR390">
        <x:f>MAX(0,MIN(BK390,IF(AND(H390=1,C390="重要关系2",LEFT('幕间与结算'!H297,8)="建立新的重要关系"),'幕间与结算'!E297+E390,BR389+IF(C390="重要关系2",E390,0)+IF(AND(C390="魅力",E390&lt;0),E390,0))))</x:f>
        <x:v>0</x:v>
      </x:c>
      <x:c r="BS390">
        <x:f>MAX(0,MIN(BK390,IF(AND(H390=1,C390="重要关系3",LEFT('幕间与结算'!H297,8)="建立新的重要关系"),'幕间与结算'!E297+E390,BS389+IF(C390="重要关系3",E390,0)+IF(AND(C390="魅力",E390&lt;0),E390,0))))</x:f>
        <x:v>0</x:v>
      </x:c>
      <x:c r="BT390">
        <x:f>MAX(0,MIN(BK390,IF(AND(H390=1,C390="重要关系4",LEFT('幕间与结算'!H297,8)="建立新的重要关系"),'幕间与结算'!E297+E390,BT389+IF(C390="重要关系4",E390,0)+IF(AND(C390="魅力",E390&lt;0),E390,0))))</x:f>
        <x:v>0</x:v>
      </x:c>
      <x:c r="BU390">
        <x:f>MAX(0,MIN(BK390,IF(AND(H390=1,C390="重要关系5",LEFT('幕间与结算'!H297,8)="建立新的重要关系"),'幕间与结算'!E297+E390,BU389+IF(C390="重要关系5",E390,0)+IF(AND(C390="魅力",E390&lt;0),E390,0))))</x:f>
        <x:v>0</x:v>
      </x:c>
      <x:c r="BV390">
        <x:f>MAX(0,MIN(BK390,IF(AND(H390=1,C390="重要关系6",LEFT('幕间与结算'!H297,8)="建立新的重要关系"),'幕间与结算'!E297+E390,BV389+IF(C390="重要关系6",E390,0)+IF(AND(C390="魅力",E390&lt;0),E390,0))))</x:f>
        <x:v>0</x:v>
      </x:c>
      <x:c r="BW390">
        <x:f>MAX(0,MIN(BK390,IF(AND(H390=1,C390="重要关系7",LEFT('幕间与结算'!H297,8)="建立新的重要关系"),'幕间与结算'!E297+E390,BW389+IF(C390="重要关系7",E390,0)+IF(AND(C390="魅力",E390&lt;0),E390,0))))</x:f>
        <x:v>0</x:v>
      </x:c>
    </x:row>
    <x:row r="391">
      <x:c r="A391" t="str">
        <x:f>IFERROR(TEXT(VALUE('幕间与结算'!A298),"00"),"")</x:f>
        <x:v>00</x:v>
      </x:c>
      <x:c r="B391">
        <x:f>'幕间与结算'!B298</x:f>
        <x:v>0</x:v>
      </x:c>
      <x:c r="C391">
        <x:f>'幕间与结算'!D298</x:f>
        <x:v>0</x:v>
      </x:c>
      <x:c r="D391">
        <x:f>'幕间与结算'!F298</x:f>
        <x:v>0</x:v>
      </x:c>
      <x:c r="E391">
        <x:f>IF(H391=1,MAX(-'幕间与结算'!E298,MIN(D391,IF(LEFT(C391,3)="技能：",99,IF(COUNTIF($L$2:$L$7,C391)&gt;0,18,999))-'幕间与结算'!E298)),0)</x:f>
        <x:v>0</x:v>
      </x:c>
      <x:c r="F391" t="str">
        <x:f>IF(C391=0,"",IF(G391=0,"记录不完整",IF(H391=0,"重复未计","已计入")))</x:f>
        <x:v/>
      </x:c>
      <x:c r="G391">
        <x:f>IF(AND(AND('幕间与结算'!A298&lt;&gt;"",'幕间与结算'!B298&lt;&gt;"",'幕间与结算'!I298&lt;&gt;"",OR(LEFT(C391,3)="技能：",COUNTIF($L$2:$L$19,C391)&gt;0),ISNUMBER('幕间与结算'!E298),ISNUMBER('幕间与结算'!F298),ISNUMBER('幕间与结算'!G298),'幕间与结算'!E298&gt;=0,'幕间与结算'!G298='幕间与结算'!E298+'幕间与结算'!F298),OR(B391&lt;&gt;"成长",AND(LEFT(C391,3)="技能：",C391&lt;&gt;"技能：非自然知识",'幕间与结算'!E298&gt;=1,'幕间与结算'!E298&lt;=99,'幕间与结算'!F298&gt;=0,'幕间与结算'!F298&lt;=4,'幕间与结算'!G298&lt;=99))),1,0)</x:f>
        <x:v>0</x:v>
      </x:c>
      <x:c r="H391">
        <x:f>IF(AND(G391=1,COUNTIFS($I$200:I391,I391,$G$200:G391,1)=1),1,0)</x:f>
        <x:v>0</x:v>
      </x:c>
      <x:c r="I391" t="str">
        <x:f>IF(G391=1,IF(B391="成长",A391&amp;"-成长-"&amp;C391,'幕间与结算'!I298),"")</x:f>
        <x:v/>
      </x:c>
      <x:c r="BF391">
        <x:f>MAX(0,MIN(18,BF390+IF(C391="力量",E391,0)))</x:f>
        <x:v>0</x:v>
      </x:c>
      <x:c r="BG391">
        <x:f>MAX(0,MIN(18,BG390+IF(C391="体质",E391,0)))</x:f>
        <x:v>0</x:v>
      </x:c>
      <x:c r="BH391">
        <x:f>MAX(0,MIN(18,BH390+IF(C391="敏捷",E391,0)))</x:f>
        <x:v>0</x:v>
      </x:c>
      <x:c r="BI391">
        <x:f>MAX(0,MIN(18,BI390+IF(C391="智力",E391,0)))</x:f>
        <x:v>0</x:v>
      </x:c>
      <x:c r="BJ391">
        <x:f>MAX(0,MIN(18,BJ390+IF(C391="意志",E391,0)))</x:f>
        <x:v>0</x:v>
      </x:c>
      <x:c r="BK391">
        <x:f>MAX(0,MIN(18,BK390+IF(C391="魅力",E391,0)))</x:f>
        <x:v>0</x:v>
      </x:c>
      <x:c r="BL391">
        <x:f>MAX(0,MIN(99,BL390+IF(C391="技能：非自然知识",E391,0)))</x:f>
        <x:v>0</x:v>
      </x:c>
      <x:c r="BM391">
        <x:f>MAX(0,MIN(CEILING((BF391+BG391)/2,1),BM390+IF(C391="体力",E391,0)))</x:f>
        <x:v>0</x:v>
      </x:c>
      <x:c r="BN391">
        <x:f>MAX(0,MIN(BJ391,BN390+IF(C391="毅力",E391,0)))</x:f>
        <x:v>0</x:v>
      </x:c>
      <x:c r="BO391">
        <x:f>MAX(0,MIN(99-BL391,BO390+IF(C391="理智",E391,0)))</x:f>
        <x:v>0</x:v>
      </x:c>
      <x:c r="BP391">
        <x:f>MAX(0,MIN(99,BP390+IF(C391="崩溃点",E391,0)))</x:f>
        <x:v>0</x:v>
      </x:c>
      <x:c r="BQ391">
        <x:f>MAX(0,MIN(BK391,IF(AND(H391=1,C391="重要关系1",LEFT('幕间与结算'!H298,8)="建立新的重要关系"),'幕间与结算'!E298+E391,BQ390+IF(C391="重要关系1",E391,0)+IF(AND(C391="魅力",E391&lt;0),E391,0))))</x:f>
        <x:v>0</x:v>
      </x:c>
      <x:c r="BR391">
        <x:f>MAX(0,MIN(BK391,IF(AND(H391=1,C391="重要关系2",LEFT('幕间与结算'!H298,8)="建立新的重要关系"),'幕间与结算'!E298+E391,BR390+IF(C391="重要关系2",E391,0)+IF(AND(C391="魅力",E391&lt;0),E391,0))))</x:f>
        <x:v>0</x:v>
      </x:c>
      <x:c r="BS391">
        <x:f>MAX(0,MIN(BK391,IF(AND(H391=1,C391="重要关系3",LEFT('幕间与结算'!H298,8)="建立新的重要关系"),'幕间与结算'!E298+E391,BS390+IF(C391="重要关系3",E391,0)+IF(AND(C391="魅力",E391&lt;0),E391,0))))</x:f>
        <x:v>0</x:v>
      </x:c>
      <x:c r="BT391">
        <x:f>MAX(0,MIN(BK391,IF(AND(H391=1,C391="重要关系4",LEFT('幕间与结算'!H298,8)="建立新的重要关系"),'幕间与结算'!E298+E391,BT390+IF(C391="重要关系4",E391,0)+IF(AND(C391="魅力",E391&lt;0),E391,0))))</x:f>
        <x:v>0</x:v>
      </x:c>
      <x:c r="BU391">
        <x:f>MAX(0,MIN(BK391,IF(AND(H391=1,C391="重要关系5",LEFT('幕间与结算'!H298,8)="建立新的重要关系"),'幕间与结算'!E298+E391,BU390+IF(C391="重要关系5",E391,0)+IF(AND(C391="魅力",E391&lt;0),E391,0))))</x:f>
        <x:v>0</x:v>
      </x:c>
      <x:c r="BV391">
        <x:f>MAX(0,MIN(BK391,IF(AND(H391=1,C391="重要关系6",LEFT('幕间与结算'!H298,8)="建立新的重要关系"),'幕间与结算'!E298+E391,BV390+IF(C391="重要关系6",E391,0)+IF(AND(C391="魅力",E391&lt;0),E391,0))))</x:f>
        <x:v>0</x:v>
      </x:c>
      <x:c r="BW391">
        <x:f>MAX(0,MIN(BK391,IF(AND(H391=1,C391="重要关系7",LEFT('幕间与结算'!H298,8)="建立新的重要关系"),'幕间与结算'!E298+E391,BW390+IF(C391="重要关系7",E391,0)+IF(AND(C391="魅力",E391&lt;0),E391,0))))</x:f>
        <x:v>0</x:v>
      </x:c>
    </x:row>
    <x:row r="392">
      <x:c r="A392" t="str">
        <x:f>IFERROR(TEXT(VALUE('幕间与结算'!A299),"00"),"")</x:f>
        <x:v>00</x:v>
      </x:c>
      <x:c r="B392">
        <x:f>'幕间与结算'!B299</x:f>
        <x:v>0</x:v>
      </x:c>
      <x:c r="C392">
        <x:f>'幕间与结算'!D299</x:f>
        <x:v>0</x:v>
      </x:c>
      <x:c r="D392">
        <x:f>'幕间与结算'!F299</x:f>
        <x:v>0</x:v>
      </x:c>
      <x:c r="E392">
        <x:f>IF(H392=1,MAX(-'幕间与结算'!E299,MIN(D392,IF(LEFT(C392,3)="技能：",99,IF(COUNTIF($L$2:$L$7,C392)&gt;0,18,999))-'幕间与结算'!E299)),0)</x:f>
        <x:v>0</x:v>
      </x:c>
      <x:c r="F392" t="str">
        <x:f>IF(C392=0,"",IF(G392=0,"记录不完整",IF(H392=0,"重复未计","已计入")))</x:f>
        <x:v/>
      </x:c>
      <x:c r="G392">
        <x:f>IF(AND(AND('幕间与结算'!A299&lt;&gt;"",'幕间与结算'!B299&lt;&gt;"",'幕间与结算'!I299&lt;&gt;"",OR(LEFT(C392,3)="技能：",COUNTIF($L$2:$L$19,C392)&gt;0),ISNUMBER('幕间与结算'!E299),ISNUMBER('幕间与结算'!F299),ISNUMBER('幕间与结算'!G299),'幕间与结算'!E299&gt;=0,'幕间与结算'!G299='幕间与结算'!E299+'幕间与结算'!F299),OR(B392&lt;&gt;"成长",AND(LEFT(C392,3)="技能：",C392&lt;&gt;"技能：非自然知识",'幕间与结算'!E299&gt;=1,'幕间与结算'!E299&lt;=99,'幕间与结算'!F299&gt;=0,'幕间与结算'!F299&lt;=4,'幕间与结算'!G299&lt;=99))),1,0)</x:f>
        <x:v>0</x:v>
      </x:c>
      <x:c r="H392">
        <x:f>IF(AND(G392=1,COUNTIFS($I$200:I392,I392,$G$200:G392,1)=1),1,0)</x:f>
        <x:v>0</x:v>
      </x:c>
      <x:c r="I392" t="str">
        <x:f>IF(G392=1,IF(B392="成长",A392&amp;"-成长-"&amp;C392,'幕间与结算'!I299),"")</x:f>
        <x:v/>
      </x:c>
      <x:c r="BF392">
        <x:f>MAX(0,MIN(18,BF391+IF(C392="力量",E392,0)))</x:f>
        <x:v>0</x:v>
      </x:c>
      <x:c r="BG392">
        <x:f>MAX(0,MIN(18,BG391+IF(C392="体质",E392,0)))</x:f>
        <x:v>0</x:v>
      </x:c>
      <x:c r="BH392">
        <x:f>MAX(0,MIN(18,BH391+IF(C392="敏捷",E392,0)))</x:f>
        <x:v>0</x:v>
      </x:c>
      <x:c r="BI392">
        <x:f>MAX(0,MIN(18,BI391+IF(C392="智力",E392,0)))</x:f>
        <x:v>0</x:v>
      </x:c>
      <x:c r="BJ392">
        <x:f>MAX(0,MIN(18,BJ391+IF(C392="意志",E392,0)))</x:f>
        <x:v>0</x:v>
      </x:c>
      <x:c r="BK392">
        <x:f>MAX(0,MIN(18,BK391+IF(C392="魅力",E392,0)))</x:f>
        <x:v>0</x:v>
      </x:c>
      <x:c r="BL392">
        <x:f>MAX(0,MIN(99,BL391+IF(C392="技能：非自然知识",E392,0)))</x:f>
        <x:v>0</x:v>
      </x:c>
      <x:c r="BM392">
        <x:f>MAX(0,MIN(CEILING((BF392+BG392)/2,1),BM391+IF(C392="体力",E392,0)))</x:f>
        <x:v>0</x:v>
      </x:c>
      <x:c r="BN392">
        <x:f>MAX(0,MIN(BJ392,BN391+IF(C392="毅力",E392,0)))</x:f>
        <x:v>0</x:v>
      </x:c>
      <x:c r="BO392">
        <x:f>MAX(0,MIN(99-BL392,BO391+IF(C392="理智",E392,0)))</x:f>
        <x:v>0</x:v>
      </x:c>
      <x:c r="BP392">
        <x:f>MAX(0,MIN(99,BP391+IF(C392="崩溃点",E392,0)))</x:f>
        <x:v>0</x:v>
      </x:c>
      <x:c r="BQ392">
        <x:f>MAX(0,MIN(BK392,IF(AND(H392=1,C392="重要关系1",LEFT('幕间与结算'!H299,8)="建立新的重要关系"),'幕间与结算'!E299+E392,BQ391+IF(C392="重要关系1",E392,0)+IF(AND(C392="魅力",E392&lt;0),E392,0))))</x:f>
        <x:v>0</x:v>
      </x:c>
      <x:c r="BR392">
        <x:f>MAX(0,MIN(BK392,IF(AND(H392=1,C392="重要关系2",LEFT('幕间与结算'!H299,8)="建立新的重要关系"),'幕间与结算'!E299+E392,BR391+IF(C392="重要关系2",E392,0)+IF(AND(C392="魅力",E392&lt;0),E392,0))))</x:f>
        <x:v>0</x:v>
      </x:c>
      <x:c r="BS392">
        <x:f>MAX(0,MIN(BK392,IF(AND(H392=1,C392="重要关系3",LEFT('幕间与结算'!H299,8)="建立新的重要关系"),'幕间与结算'!E299+E392,BS391+IF(C392="重要关系3",E392,0)+IF(AND(C392="魅力",E392&lt;0),E392,0))))</x:f>
        <x:v>0</x:v>
      </x:c>
      <x:c r="BT392">
        <x:f>MAX(0,MIN(BK392,IF(AND(H392=1,C392="重要关系4",LEFT('幕间与结算'!H299,8)="建立新的重要关系"),'幕间与结算'!E299+E392,BT391+IF(C392="重要关系4",E392,0)+IF(AND(C392="魅力",E392&lt;0),E392,0))))</x:f>
        <x:v>0</x:v>
      </x:c>
      <x:c r="BU392">
        <x:f>MAX(0,MIN(BK392,IF(AND(H392=1,C392="重要关系5",LEFT('幕间与结算'!H299,8)="建立新的重要关系"),'幕间与结算'!E299+E392,BU391+IF(C392="重要关系5",E392,0)+IF(AND(C392="魅力",E392&lt;0),E392,0))))</x:f>
        <x:v>0</x:v>
      </x:c>
      <x:c r="BV392">
        <x:f>MAX(0,MIN(BK392,IF(AND(H392=1,C392="重要关系6",LEFT('幕间与结算'!H299,8)="建立新的重要关系"),'幕间与结算'!E299+E392,BV391+IF(C392="重要关系6",E392,0)+IF(AND(C392="魅力",E392&lt;0),E392,0))))</x:f>
        <x:v>0</x:v>
      </x:c>
      <x:c r="BW392">
        <x:f>MAX(0,MIN(BK392,IF(AND(H392=1,C392="重要关系7",LEFT('幕间与结算'!H299,8)="建立新的重要关系"),'幕间与结算'!E299+E392,BW391+IF(C392="重要关系7",E392,0)+IF(AND(C392="魅力",E392&lt;0),E392,0))))</x:f>
        <x:v>0</x:v>
      </x:c>
    </x:row>
    <x:row r="393">
      <x:c r="A393" t="str">
        <x:f>IFERROR(TEXT(VALUE('幕间与结算'!A300),"00"),"")</x:f>
        <x:v>00</x:v>
      </x:c>
      <x:c r="B393">
        <x:f>'幕间与结算'!B300</x:f>
        <x:v>0</x:v>
      </x:c>
      <x:c r="C393">
        <x:f>'幕间与结算'!D300</x:f>
        <x:v>0</x:v>
      </x:c>
      <x:c r="D393">
        <x:f>'幕间与结算'!F300</x:f>
        <x:v>0</x:v>
      </x:c>
      <x:c r="E393">
        <x:f>IF(H393=1,MAX(-'幕间与结算'!E300,MIN(D393,IF(LEFT(C393,3)="技能：",99,IF(COUNTIF($L$2:$L$7,C393)&gt;0,18,999))-'幕间与结算'!E300)),0)</x:f>
        <x:v>0</x:v>
      </x:c>
      <x:c r="F393" t="str">
        <x:f>IF(C393=0,"",IF(G393=0,"记录不完整",IF(H393=0,"重复未计","已计入")))</x:f>
        <x:v/>
      </x:c>
      <x:c r="G393">
        <x:f>IF(AND(AND('幕间与结算'!A300&lt;&gt;"",'幕间与结算'!B300&lt;&gt;"",'幕间与结算'!I300&lt;&gt;"",OR(LEFT(C393,3)="技能：",COUNTIF($L$2:$L$19,C393)&gt;0),ISNUMBER('幕间与结算'!E300),ISNUMBER('幕间与结算'!F300),ISNUMBER('幕间与结算'!G300),'幕间与结算'!E300&gt;=0,'幕间与结算'!G300='幕间与结算'!E300+'幕间与结算'!F300),OR(B393&lt;&gt;"成长",AND(LEFT(C393,3)="技能：",C393&lt;&gt;"技能：非自然知识",'幕间与结算'!E300&gt;=1,'幕间与结算'!E300&lt;=99,'幕间与结算'!F300&gt;=0,'幕间与结算'!F300&lt;=4,'幕间与结算'!G300&lt;=99))),1,0)</x:f>
        <x:v>0</x:v>
      </x:c>
      <x:c r="H393">
        <x:f>IF(AND(G393=1,COUNTIFS($I$200:I393,I393,$G$200:G393,1)=1),1,0)</x:f>
        <x:v>0</x:v>
      </x:c>
      <x:c r="I393" t="str">
        <x:f>IF(G393=1,IF(B393="成长",A393&amp;"-成长-"&amp;C393,'幕间与结算'!I300),"")</x:f>
        <x:v/>
      </x:c>
      <x:c r="BF393">
        <x:f>MAX(0,MIN(18,BF392+IF(C393="力量",E393,0)))</x:f>
        <x:v>0</x:v>
      </x:c>
      <x:c r="BG393">
        <x:f>MAX(0,MIN(18,BG392+IF(C393="体质",E393,0)))</x:f>
        <x:v>0</x:v>
      </x:c>
      <x:c r="BH393">
        <x:f>MAX(0,MIN(18,BH392+IF(C393="敏捷",E393,0)))</x:f>
        <x:v>0</x:v>
      </x:c>
      <x:c r="BI393">
        <x:f>MAX(0,MIN(18,BI392+IF(C393="智力",E393,0)))</x:f>
        <x:v>0</x:v>
      </x:c>
      <x:c r="BJ393">
        <x:f>MAX(0,MIN(18,BJ392+IF(C393="意志",E393,0)))</x:f>
        <x:v>0</x:v>
      </x:c>
      <x:c r="BK393">
        <x:f>MAX(0,MIN(18,BK392+IF(C393="魅力",E393,0)))</x:f>
        <x:v>0</x:v>
      </x:c>
      <x:c r="BL393">
        <x:f>MAX(0,MIN(99,BL392+IF(C393="技能：非自然知识",E393,0)))</x:f>
        <x:v>0</x:v>
      </x:c>
      <x:c r="BM393">
        <x:f>MAX(0,MIN(CEILING((BF393+BG393)/2,1),BM392+IF(C393="体力",E393,0)))</x:f>
        <x:v>0</x:v>
      </x:c>
      <x:c r="BN393">
        <x:f>MAX(0,MIN(BJ393,BN392+IF(C393="毅力",E393,0)))</x:f>
        <x:v>0</x:v>
      </x:c>
      <x:c r="BO393">
        <x:f>MAX(0,MIN(99-BL393,BO392+IF(C393="理智",E393,0)))</x:f>
        <x:v>0</x:v>
      </x:c>
      <x:c r="BP393">
        <x:f>MAX(0,MIN(99,BP392+IF(C393="崩溃点",E393,0)))</x:f>
        <x:v>0</x:v>
      </x:c>
      <x:c r="BQ393">
        <x:f>MAX(0,MIN(BK393,IF(AND(H393=1,C393="重要关系1",LEFT('幕间与结算'!H300,8)="建立新的重要关系"),'幕间与结算'!E300+E393,BQ392+IF(C393="重要关系1",E393,0)+IF(AND(C393="魅力",E393&lt;0),E393,0))))</x:f>
        <x:v>0</x:v>
      </x:c>
      <x:c r="BR393">
        <x:f>MAX(0,MIN(BK393,IF(AND(H393=1,C393="重要关系2",LEFT('幕间与结算'!H300,8)="建立新的重要关系"),'幕间与结算'!E300+E393,BR392+IF(C393="重要关系2",E393,0)+IF(AND(C393="魅力",E393&lt;0),E393,0))))</x:f>
        <x:v>0</x:v>
      </x:c>
      <x:c r="BS393">
        <x:f>MAX(0,MIN(BK393,IF(AND(H393=1,C393="重要关系3",LEFT('幕间与结算'!H300,8)="建立新的重要关系"),'幕间与结算'!E300+E393,BS392+IF(C393="重要关系3",E393,0)+IF(AND(C393="魅力",E393&lt;0),E393,0))))</x:f>
        <x:v>0</x:v>
      </x:c>
      <x:c r="BT393">
        <x:f>MAX(0,MIN(BK393,IF(AND(H393=1,C393="重要关系4",LEFT('幕间与结算'!H300,8)="建立新的重要关系"),'幕间与结算'!E300+E393,BT392+IF(C393="重要关系4",E393,0)+IF(AND(C393="魅力",E393&lt;0),E393,0))))</x:f>
        <x:v>0</x:v>
      </x:c>
      <x:c r="BU393">
        <x:f>MAX(0,MIN(BK393,IF(AND(H393=1,C393="重要关系5",LEFT('幕间与结算'!H300,8)="建立新的重要关系"),'幕间与结算'!E300+E393,BU392+IF(C393="重要关系5",E393,0)+IF(AND(C393="魅力",E393&lt;0),E393,0))))</x:f>
        <x:v>0</x:v>
      </x:c>
      <x:c r="BV393">
        <x:f>MAX(0,MIN(BK393,IF(AND(H393=1,C393="重要关系6",LEFT('幕间与结算'!H300,8)="建立新的重要关系"),'幕间与结算'!E300+E393,BV392+IF(C393="重要关系6",E393,0)+IF(AND(C393="魅力",E393&lt;0),E393,0))))</x:f>
        <x:v>0</x:v>
      </x:c>
      <x:c r="BW393">
        <x:f>MAX(0,MIN(BK393,IF(AND(H393=1,C393="重要关系7",LEFT('幕间与结算'!H300,8)="建立新的重要关系"),'幕间与结算'!E300+E393,BW392+IF(C393="重要关系7",E393,0)+IF(AND(C393="魅力",E393&lt;0),E393,0))))</x:f>
        <x:v>0</x:v>
      </x:c>
    </x:row>
    <x:row r="394">
      <x:c r="A394" t="str">
        <x:f>IFERROR(TEXT(VALUE('幕间与结算'!A301),"00"),"")</x:f>
        <x:v>00</x:v>
      </x:c>
      <x:c r="B394">
        <x:f>'幕间与结算'!B301</x:f>
        <x:v>0</x:v>
      </x:c>
      <x:c r="C394">
        <x:f>'幕间与结算'!D301</x:f>
        <x:v>0</x:v>
      </x:c>
      <x:c r="D394">
        <x:f>'幕间与结算'!F301</x:f>
        <x:v>0</x:v>
      </x:c>
      <x:c r="E394">
        <x:f>IF(H394=1,MAX(-'幕间与结算'!E301,MIN(D394,IF(LEFT(C394,3)="技能：",99,IF(COUNTIF($L$2:$L$7,C394)&gt;0,18,999))-'幕间与结算'!E301)),0)</x:f>
        <x:v>0</x:v>
      </x:c>
      <x:c r="F394" t="str">
        <x:f>IF(C394=0,"",IF(G394=0,"记录不完整",IF(H394=0,"重复未计","已计入")))</x:f>
        <x:v/>
      </x:c>
      <x:c r="G394">
        <x:f>IF(AND(AND('幕间与结算'!A301&lt;&gt;"",'幕间与结算'!B301&lt;&gt;"",'幕间与结算'!I301&lt;&gt;"",OR(LEFT(C394,3)="技能：",COUNTIF($L$2:$L$19,C394)&gt;0),ISNUMBER('幕间与结算'!E301),ISNUMBER('幕间与结算'!F301),ISNUMBER('幕间与结算'!G301),'幕间与结算'!E301&gt;=0,'幕间与结算'!G301='幕间与结算'!E301+'幕间与结算'!F301),OR(B394&lt;&gt;"成长",AND(LEFT(C394,3)="技能：",C394&lt;&gt;"技能：非自然知识",'幕间与结算'!E301&gt;=1,'幕间与结算'!E301&lt;=99,'幕间与结算'!F301&gt;=0,'幕间与结算'!F301&lt;=4,'幕间与结算'!G301&lt;=99))),1,0)</x:f>
        <x:v>0</x:v>
      </x:c>
      <x:c r="H394">
        <x:f>IF(AND(G394=1,COUNTIFS($I$200:I394,I394,$G$200:G394,1)=1),1,0)</x:f>
        <x:v>0</x:v>
      </x:c>
      <x:c r="I394" t="str">
        <x:f>IF(G394=1,IF(B394="成长",A394&amp;"-成长-"&amp;C394,'幕间与结算'!I301),"")</x:f>
        <x:v/>
      </x:c>
      <x:c r="BF394">
        <x:f>MAX(0,MIN(18,BF393+IF(C394="力量",E394,0)))</x:f>
        <x:v>0</x:v>
      </x:c>
      <x:c r="BG394">
        <x:f>MAX(0,MIN(18,BG393+IF(C394="体质",E394,0)))</x:f>
        <x:v>0</x:v>
      </x:c>
      <x:c r="BH394">
        <x:f>MAX(0,MIN(18,BH393+IF(C394="敏捷",E394,0)))</x:f>
        <x:v>0</x:v>
      </x:c>
      <x:c r="BI394">
        <x:f>MAX(0,MIN(18,BI393+IF(C394="智力",E394,0)))</x:f>
        <x:v>0</x:v>
      </x:c>
      <x:c r="BJ394">
        <x:f>MAX(0,MIN(18,BJ393+IF(C394="意志",E394,0)))</x:f>
        <x:v>0</x:v>
      </x:c>
      <x:c r="BK394">
        <x:f>MAX(0,MIN(18,BK393+IF(C394="魅力",E394,0)))</x:f>
        <x:v>0</x:v>
      </x:c>
      <x:c r="BL394">
        <x:f>MAX(0,MIN(99,BL393+IF(C394="技能：非自然知识",E394,0)))</x:f>
        <x:v>0</x:v>
      </x:c>
      <x:c r="BM394">
        <x:f>MAX(0,MIN(CEILING((BF394+BG394)/2,1),BM393+IF(C394="体力",E394,0)))</x:f>
        <x:v>0</x:v>
      </x:c>
      <x:c r="BN394">
        <x:f>MAX(0,MIN(BJ394,BN393+IF(C394="毅力",E394,0)))</x:f>
        <x:v>0</x:v>
      </x:c>
      <x:c r="BO394">
        <x:f>MAX(0,MIN(99-BL394,BO393+IF(C394="理智",E394,0)))</x:f>
        <x:v>0</x:v>
      </x:c>
      <x:c r="BP394">
        <x:f>MAX(0,MIN(99,BP393+IF(C394="崩溃点",E394,0)))</x:f>
        <x:v>0</x:v>
      </x:c>
      <x:c r="BQ394">
        <x:f>MAX(0,MIN(BK394,IF(AND(H394=1,C394="重要关系1",LEFT('幕间与结算'!H301,8)="建立新的重要关系"),'幕间与结算'!E301+E394,BQ393+IF(C394="重要关系1",E394,0)+IF(AND(C394="魅力",E394&lt;0),E394,0))))</x:f>
        <x:v>0</x:v>
      </x:c>
      <x:c r="BR394">
        <x:f>MAX(0,MIN(BK394,IF(AND(H394=1,C394="重要关系2",LEFT('幕间与结算'!H301,8)="建立新的重要关系"),'幕间与结算'!E301+E394,BR393+IF(C394="重要关系2",E394,0)+IF(AND(C394="魅力",E394&lt;0),E394,0))))</x:f>
        <x:v>0</x:v>
      </x:c>
      <x:c r="BS394">
        <x:f>MAX(0,MIN(BK394,IF(AND(H394=1,C394="重要关系3",LEFT('幕间与结算'!H301,8)="建立新的重要关系"),'幕间与结算'!E301+E394,BS393+IF(C394="重要关系3",E394,0)+IF(AND(C394="魅力",E394&lt;0),E394,0))))</x:f>
        <x:v>0</x:v>
      </x:c>
      <x:c r="BT394">
        <x:f>MAX(0,MIN(BK394,IF(AND(H394=1,C394="重要关系4",LEFT('幕间与结算'!H301,8)="建立新的重要关系"),'幕间与结算'!E301+E394,BT393+IF(C394="重要关系4",E394,0)+IF(AND(C394="魅力",E394&lt;0),E394,0))))</x:f>
        <x:v>0</x:v>
      </x:c>
      <x:c r="BU394">
        <x:f>MAX(0,MIN(BK394,IF(AND(H394=1,C394="重要关系5",LEFT('幕间与结算'!H301,8)="建立新的重要关系"),'幕间与结算'!E301+E394,BU393+IF(C394="重要关系5",E394,0)+IF(AND(C394="魅力",E394&lt;0),E394,0))))</x:f>
        <x:v>0</x:v>
      </x:c>
      <x:c r="BV394">
        <x:f>MAX(0,MIN(BK394,IF(AND(H394=1,C394="重要关系6",LEFT('幕间与结算'!H301,8)="建立新的重要关系"),'幕间与结算'!E301+E394,BV393+IF(C394="重要关系6",E394,0)+IF(AND(C394="魅力",E394&lt;0),E394,0))))</x:f>
        <x:v>0</x:v>
      </x:c>
      <x:c r="BW394">
        <x:f>MAX(0,MIN(BK394,IF(AND(H394=1,C394="重要关系7",LEFT('幕间与结算'!H301,8)="建立新的重要关系"),'幕间与结算'!E301+E394,BW393+IF(C394="重要关系7",E394,0)+IF(AND(C394="魅力",E394&lt;0),E394,0))))</x:f>
        <x:v>0</x:v>
      </x:c>
    </x:row>
    <x:row r="395">
      <x:c r="A395" t="str">
        <x:f>IFERROR(TEXT(VALUE('幕间与结算'!A302),"00"),"")</x:f>
        <x:v>00</x:v>
      </x:c>
      <x:c r="B395">
        <x:f>'幕间与结算'!B302</x:f>
        <x:v>0</x:v>
      </x:c>
      <x:c r="C395">
        <x:f>'幕间与结算'!D302</x:f>
        <x:v>0</x:v>
      </x:c>
      <x:c r="D395">
        <x:f>'幕间与结算'!F302</x:f>
        <x:v>0</x:v>
      </x:c>
      <x:c r="E395">
        <x:f>IF(H395=1,MAX(-'幕间与结算'!E302,MIN(D395,IF(LEFT(C395,3)="技能：",99,IF(COUNTIF($L$2:$L$7,C395)&gt;0,18,999))-'幕间与结算'!E302)),0)</x:f>
        <x:v>0</x:v>
      </x:c>
      <x:c r="F395" t="str">
        <x:f>IF(C395=0,"",IF(G395=0,"记录不完整",IF(H395=0,"重复未计","已计入")))</x:f>
        <x:v/>
      </x:c>
      <x:c r="G395">
        <x:f>IF(AND(AND('幕间与结算'!A302&lt;&gt;"",'幕间与结算'!B302&lt;&gt;"",'幕间与结算'!I302&lt;&gt;"",OR(LEFT(C395,3)="技能：",COUNTIF($L$2:$L$19,C395)&gt;0),ISNUMBER('幕间与结算'!E302),ISNUMBER('幕间与结算'!F302),ISNUMBER('幕间与结算'!G302),'幕间与结算'!E302&gt;=0,'幕间与结算'!G302='幕间与结算'!E302+'幕间与结算'!F302),OR(B395&lt;&gt;"成长",AND(LEFT(C395,3)="技能：",C395&lt;&gt;"技能：非自然知识",'幕间与结算'!E302&gt;=1,'幕间与结算'!E302&lt;=99,'幕间与结算'!F302&gt;=0,'幕间与结算'!F302&lt;=4,'幕间与结算'!G302&lt;=99))),1,0)</x:f>
        <x:v>0</x:v>
      </x:c>
      <x:c r="H395">
        <x:f>IF(AND(G395=1,COUNTIFS($I$200:I395,I395,$G$200:G395,1)=1),1,0)</x:f>
        <x:v>0</x:v>
      </x:c>
      <x:c r="I395" t="str">
        <x:f>IF(G395=1,IF(B395="成长",A395&amp;"-成长-"&amp;C395,'幕间与结算'!I302),"")</x:f>
        <x:v/>
      </x:c>
      <x:c r="BF395">
        <x:f>MAX(0,MIN(18,BF394+IF(C395="力量",E395,0)))</x:f>
        <x:v>0</x:v>
      </x:c>
      <x:c r="BG395">
        <x:f>MAX(0,MIN(18,BG394+IF(C395="体质",E395,0)))</x:f>
        <x:v>0</x:v>
      </x:c>
      <x:c r="BH395">
        <x:f>MAX(0,MIN(18,BH394+IF(C395="敏捷",E395,0)))</x:f>
        <x:v>0</x:v>
      </x:c>
      <x:c r="BI395">
        <x:f>MAX(0,MIN(18,BI394+IF(C395="智力",E395,0)))</x:f>
        <x:v>0</x:v>
      </x:c>
      <x:c r="BJ395">
        <x:f>MAX(0,MIN(18,BJ394+IF(C395="意志",E395,0)))</x:f>
        <x:v>0</x:v>
      </x:c>
      <x:c r="BK395">
        <x:f>MAX(0,MIN(18,BK394+IF(C395="魅力",E395,0)))</x:f>
        <x:v>0</x:v>
      </x:c>
      <x:c r="BL395">
        <x:f>MAX(0,MIN(99,BL394+IF(C395="技能：非自然知识",E395,0)))</x:f>
        <x:v>0</x:v>
      </x:c>
      <x:c r="BM395">
        <x:f>MAX(0,MIN(CEILING((BF395+BG395)/2,1),BM394+IF(C395="体力",E395,0)))</x:f>
        <x:v>0</x:v>
      </x:c>
      <x:c r="BN395">
        <x:f>MAX(0,MIN(BJ395,BN394+IF(C395="毅力",E395,0)))</x:f>
        <x:v>0</x:v>
      </x:c>
      <x:c r="BO395">
        <x:f>MAX(0,MIN(99-BL395,BO394+IF(C395="理智",E395,0)))</x:f>
        <x:v>0</x:v>
      </x:c>
      <x:c r="BP395">
        <x:f>MAX(0,MIN(99,BP394+IF(C395="崩溃点",E395,0)))</x:f>
        <x:v>0</x:v>
      </x:c>
      <x:c r="BQ395">
        <x:f>MAX(0,MIN(BK395,IF(AND(H395=1,C395="重要关系1",LEFT('幕间与结算'!H302,8)="建立新的重要关系"),'幕间与结算'!E302+E395,BQ394+IF(C395="重要关系1",E395,0)+IF(AND(C395="魅力",E395&lt;0),E395,0))))</x:f>
        <x:v>0</x:v>
      </x:c>
      <x:c r="BR395">
        <x:f>MAX(0,MIN(BK395,IF(AND(H395=1,C395="重要关系2",LEFT('幕间与结算'!H302,8)="建立新的重要关系"),'幕间与结算'!E302+E395,BR394+IF(C395="重要关系2",E395,0)+IF(AND(C395="魅力",E395&lt;0),E395,0))))</x:f>
        <x:v>0</x:v>
      </x:c>
      <x:c r="BS395">
        <x:f>MAX(0,MIN(BK395,IF(AND(H395=1,C395="重要关系3",LEFT('幕间与结算'!H302,8)="建立新的重要关系"),'幕间与结算'!E302+E395,BS394+IF(C395="重要关系3",E395,0)+IF(AND(C395="魅力",E395&lt;0),E395,0))))</x:f>
        <x:v>0</x:v>
      </x:c>
      <x:c r="BT395">
        <x:f>MAX(0,MIN(BK395,IF(AND(H395=1,C395="重要关系4",LEFT('幕间与结算'!H302,8)="建立新的重要关系"),'幕间与结算'!E302+E395,BT394+IF(C395="重要关系4",E395,0)+IF(AND(C395="魅力",E395&lt;0),E395,0))))</x:f>
        <x:v>0</x:v>
      </x:c>
      <x:c r="BU395">
        <x:f>MAX(0,MIN(BK395,IF(AND(H395=1,C395="重要关系5",LEFT('幕间与结算'!H302,8)="建立新的重要关系"),'幕间与结算'!E302+E395,BU394+IF(C395="重要关系5",E395,0)+IF(AND(C395="魅力",E395&lt;0),E395,0))))</x:f>
        <x:v>0</x:v>
      </x:c>
      <x:c r="BV395">
        <x:f>MAX(0,MIN(BK395,IF(AND(H395=1,C395="重要关系6",LEFT('幕间与结算'!H302,8)="建立新的重要关系"),'幕间与结算'!E302+E395,BV394+IF(C395="重要关系6",E395,0)+IF(AND(C395="魅力",E395&lt;0),E395,0))))</x:f>
        <x:v>0</x:v>
      </x:c>
      <x:c r="BW395">
        <x:f>MAX(0,MIN(BK395,IF(AND(H395=1,C395="重要关系7",LEFT('幕间与结算'!H302,8)="建立新的重要关系"),'幕间与结算'!E302+E395,BW394+IF(C395="重要关系7",E395,0)+IF(AND(C395="魅力",E395&lt;0),E395,0))))</x:f>
        <x:v>0</x:v>
      </x:c>
    </x:row>
    <x:row r="396">
      <x:c r="A396" t="str">
        <x:f>IFERROR(TEXT(VALUE('幕间与结算'!A303),"00"),"")</x:f>
        <x:v>00</x:v>
      </x:c>
      <x:c r="B396">
        <x:f>'幕间与结算'!B303</x:f>
        <x:v>0</x:v>
      </x:c>
      <x:c r="C396">
        <x:f>'幕间与结算'!D303</x:f>
        <x:v>0</x:v>
      </x:c>
      <x:c r="D396">
        <x:f>'幕间与结算'!F303</x:f>
        <x:v>0</x:v>
      </x:c>
      <x:c r="E396">
        <x:f>IF(H396=1,MAX(-'幕间与结算'!E303,MIN(D396,IF(LEFT(C396,3)="技能：",99,IF(COUNTIF($L$2:$L$7,C396)&gt;0,18,999))-'幕间与结算'!E303)),0)</x:f>
        <x:v>0</x:v>
      </x:c>
      <x:c r="F396" t="str">
        <x:f>IF(C396=0,"",IF(G396=0,"记录不完整",IF(H396=0,"重复未计","已计入")))</x:f>
        <x:v/>
      </x:c>
      <x:c r="G396">
        <x:f>IF(AND(AND('幕间与结算'!A303&lt;&gt;"",'幕间与结算'!B303&lt;&gt;"",'幕间与结算'!I303&lt;&gt;"",OR(LEFT(C396,3)="技能：",COUNTIF($L$2:$L$19,C396)&gt;0),ISNUMBER('幕间与结算'!E303),ISNUMBER('幕间与结算'!F303),ISNUMBER('幕间与结算'!G303),'幕间与结算'!E303&gt;=0,'幕间与结算'!G303='幕间与结算'!E303+'幕间与结算'!F303),OR(B396&lt;&gt;"成长",AND(LEFT(C396,3)="技能：",C396&lt;&gt;"技能：非自然知识",'幕间与结算'!E303&gt;=1,'幕间与结算'!E303&lt;=99,'幕间与结算'!F303&gt;=0,'幕间与结算'!F303&lt;=4,'幕间与结算'!G303&lt;=99))),1,0)</x:f>
        <x:v>0</x:v>
      </x:c>
      <x:c r="H396">
        <x:f>IF(AND(G396=1,COUNTIFS($I$200:I396,I396,$G$200:G396,1)=1),1,0)</x:f>
        <x:v>0</x:v>
      </x:c>
      <x:c r="I396" t="str">
        <x:f>IF(G396=1,IF(B396="成长",A396&amp;"-成长-"&amp;C396,'幕间与结算'!I303),"")</x:f>
        <x:v/>
      </x:c>
      <x:c r="BF396">
        <x:f>MAX(0,MIN(18,BF395+IF(C396="力量",E396,0)))</x:f>
        <x:v>0</x:v>
      </x:c>
      <x:c r="BG396">
        <x:f>MAX(0,MIN(18,BG395+IF(C396="体质",E396,0)))</x:f>
        <x:v>0</x:v>
      </x:c>
      <x:c r="BH396">
        <x:f>MAX(0,MIN(18,BH395+IF(C396="敏捷",E396,0)))</x:f>
        <x:v>0</x:v>
      </x:c>
      <x:c r="BI396">
        <x:f>MAX(0,MIN(18,BI395+IF(C396="智力",E396,0)))</x:f>
        <x:v>0</x:v>
      </x:c>
      <x:c r="BJ396">
        <x:f>MAX(0,MIN(18,BJ395+IF(C396="意志",E396,0)))</x:f>
        <x:v>0</x:v>
      </x:c>
      <x:c r="BK396">
        <x:f>MAX(0,MIN(18,BK395+IF(C396="魅力",E396,0)))</x:f>
        <x:v>0</x:v>
      </x:c>
      <x:c r="BL396">
        <x:f>MAX(0,MIN(99,BL395+IF(C396="技能：非自然知识",E396,0)))</x:f>
        <x:v>0</x:v>
      </x:c>
      <x:c r="BM396">
        <x:f>MAX(0,MIN(CEILING((BF396+BG396)/2,1),BM395+IF(C396="体力",E396,0)))</x:f>
        <x:v>0</x:v>
      </x:c>
      <x:c r="BN396">
        <x:f>MAX(0,MIN(BJ396,BN395+IF(C396="毅力",E396,0)))</x:f>
        <x:v>0</x:v>
      </x:c>
      <x:c r="BO396">
        <x:f>MAX(0,MIN(99-BL396,BO395+IF(C396="理智",E396,0)))</x:f>
        <x:v>0</x:v>
      </x:c>
      <x:c r="BP396">
        <x:f>MAX(0,MIN(99,BP395+IF(C396="崩溃点",E396,0)))</x:f>
        <x:v>0</x:v>
      </x:c>
      <x:c r="BQ396">
        <x:f>MAX(0,MIN(BK396,IF(AND(H396=1,C396="重要关系1",LEFT('幕间与结算'!H303,8)="建立新的重要关系"),'幕间与结算'!E303+E396,BQ395+IF(C396="重要关系1",E396,0)+IF(AND(C396="魅力",E396&lt;0),E396,0))))</x:f>
        <x:v>0</x:v>
      </x:c>
      <x:c r="BR396">
        <x:f>MAX(0,MIN(BK396,IF(AND(H396=1,C396="重要关系2",LEFT('幕间与结算'!H303,8)="建立新的重要关系"),'幕间与结算'!E303+E396,BR395+IF(C396="重要关系2",E396,0)+IF(AND(C396="魅力",E396&lt;0),E396,0))))</x:f>
        <x:v>0</x:v>
      </x:c>
      <x:c r="BS396">
        <x:f>MAX(0,MIN(BK396,IF(AND(H396=1,C396="重要关系3",LEFT('幕间与结算'!H303,8)="建立新的重要关系"),'幕间与结算'!E303+E396,BS395+IF(C396="重要关系3",E396,0)+IF(AND(C396="魅力",E396&lt;0),E396,0))))</x:f>
        <x:v>0</x:v>
      </x:c>
      <x:c r="BT396">
        <x:f>MAX(0,MIN(BK396,IF(AND(H396=1,C396="重要关系4",LEFT('幕间与结算'!H303,8)="建立新的重要关系"),'幕间与结算'!E303+E396,BT395+IF(C396="重要关系4",E396,0)+IF(AND(C396="魅力",E396&lt;0),E396,0))))</x:f>
        <x:v>0</x:v>
      </x:c>
      <x:c r="BU396">
        <x:f>MAX(0,MIN(BK396,IF(AND(H396=1,C396="重要关系5",LEFT('幕间与结算'!H303,8)="建立新的重要关系"),'幕间与结算'!E303+E396,BU395+IF(C396="重要关系5",E396,0)+IF(AND(C396="魅力",E396&lt;0),E396,0))))</x:f>
        <x:v>0</x:v>
      </x:c>
      <x:c r="BV396">
        <x:f>MAX(0,MIN(BK396,IF(AND(H396=1,C396="重要关系6",LEFT('幕间与结算'!H303,8)="建立新的重要关系"),'幕间与结算'!E303+E396,BV395+IF(C396="重要关系6",E396,0)+IF(AND(C396="魅力",E396&lt;0),E396,0))))</x:f>
        <x:v>0</x:v>
      </x:c>
      <x:c r="BW396">
        <x:f>MAX(0,MIN(BK396,IF(AND(H396=1,C396="重要关系7",LEFT('幕间与结算'!H303,8)="建立新的重要关系"),'幕间与结算'!E303+E396,BW395+IF(C396="重要关系7",E396,0)+IF(AND(C396="魅力",E396&lt;0),E396,0))))</x:f>
        <x:v>0</x:v>
      </x:c>
    </x:row>
    <x:row r="397">
      <x:c r="A397" t="str">
        <x:f>IFERROR(TEXT(VALUE('幕间与结算'!A304),"00"),"")</x:f>
        <x:v>00</x:v>
      </x:c>
      <x:c r="B397">
        <x:f>'幕间与结算'!B304</x:f>
        <x:v>0</x:v>
      </x:c>
      <x:c r="C397">
        <x:f>'幕间与结算'!D304</x:f>
        <x:v>0</x:v>
      </x:c>
      <x:c r="D397">
        <x:f>'幕间与结算'!F304</x:f>
        <x:v>0</x:v>
      </x:c>
      <x:c r="E397">
        <x:f>IF(H397=1,MAX(-'幕间与结算'!E304,MIN(D397,IF(LEFT(C397,3)="技能：",99,IF(COUNTIF($L$2:$L$7,C397)&gt;0,18,999))-'幕间与结算'!E304)),0)</x:f>
        <x:v>0</x:v>
      </x:c>
      <x:c r="F397" t="str">
        <x:f>IF(C397=0,"",IF(G397=0,"记录不完整",IF(H397=0,"重复未计","已计入")))</x:f>
        <x:v/>
      </x:c>
      <x:c r="G397">
        <x:f>IF(AND(AND('幕间与结算'!A304&lt;&gt;"",'幕间与结算'!B304&lt;&gt;"",'幕间与结算'!I304&lt;&gt;"",OR(LEFT(C397,3)="技能：",COUNTIF($L$2:$L$19,C397)&gt;0),ISNUMBER('幕间与结算'!E304),ISNUMBER('幕间与结算'!F304),ISNUMBER('幕间与结算'!G304),'幕间与结算'!E304&gt;=0,'幕间与结算'!G304='幕间与结算'!E304+'幕间与结算'!F304),OR(B397&lt;&gt;"成长",AND(LEFT(C397,3)="技能：",C397&lt;&gt;"技能：非自然知识",'幕间与结算'!E304&gt;=1,'幕间与结算'!E304&lt;=99,'幕间与结算'!F304&gt;=0,'幕间与结算'!F304&lt;=4,'幕间与结算'!G304&lt;=99))),1,0)</x:f>
        <x:v>0</x:v>
      </x:c>
      <x:c r="H397">
        <x:f>IF(AND(G397=1,COUNTIFS($I$200:I397,I397,$G$200:G397,1)=1),1,0)</x:f>
        <x:v>0</x:v>
      </x:c>
      <x:c r="I397" t="str">
        <x:f>IF(G397=1,IF(B397="成长",A397&amp;"-成长-"&amp;C397,'幕间与结算'!I304),"")</x:f>
        <x:v/>
      </x:c>
      <x:c r="BF397">
        <x:f>MAX(0,MIN(18,BF396+IF(C397="力量",E397,0)))</x:f>
        <x:v>0</x:v>
      </x:c>
      <x:c r="BG397">
        <x:f>MAX(0,MIN(18,BG396+IF(C397="体质",E397,0)))</x:f>
        <x:v>0</x:v>
      </x:c>
      <x:c r="BH397">
        <x:f>MAX(0,MIN(18,BH396+IF(C397="敏捷",E397,0)))</x:f>
        <x:v>0</x:v>
      </x:c>
      <x:c r="BI397">
        <x:f>MAX(0,MIN(18,BI396+IF(C397="智力",E397,0)))</x:f>
        <x:v>0</x:v>
      </x:c>
      <x:c r="BJ397">
        <x:f>MAX(0,MIN(18,BJ396+IF(C397="意志",E397,0)))</x:f>
        <x:v>0</x:v>
      </x:c>
      <x:c r="BK397">
        <x:f>MAX(0,MIN(18,BK396+IF(C397="魅力",E397,0)))</x:f>
        <x:v>0</x:v>
      </x:c>
      <x:c r="BL397">
        <x:f>MAX(0,MIN(99,BL396+IF(C397="技能：非自然知识",E397,0)))</x:f>
        <x:v>0</x:v>
      </x:c>
      <x:c r="BM397">
        <x:f>MAX(0,MIN(CEILING((BF397+BG397)/2,1),BM396+IF(C397="体力",E397,0)))</x:f>
        <x:v>0</x:v>
      </x:c>
      <x:c r="BN397">
        <x:f>MAX(0,MIN(BJ397,BN396+IF(C397="毅力",E397,0)))</x:f>
        <x:v>0</x:v>
      </x:c>
      <x:c r="BO397">
        <x:f>MAX(0,MIN(99-BL397,BO396+IF(C397="理智",E397,0)))</x:f>
        <x:v>0</x:v>
      </x:c>
      <x:c r="BP397">
        <x:f>MAX(0,MIN(99,BP396+IF(C397="崩溃点",E397,0)))</x:f>
        <x:v>0</x:v>
      </x:c>
      <x:c r="BQ397">
        <x:f>MAX(0,MIN(BK397,IF(AND(H397=1,C397="重要关系1",LEFT('幕间与结算'!H304,8)="建立新的重要关系"),'幕间与结算'!E304+E397,BQ396+IF(C397="重要关系1",E397,0)+IF(AND(C397="魅力",E397&lt;0),E397,0))))</x:f>
        <x:v>0</x:v>
      </x:c>
      <x:c r="BR397">
        <x:f>MAX(0,MIN(BK397,IF(AND(H397=1,C397="重要关系2",LEFT('幕间与结算'!H304,8)="建立新的重要关系"),'幕间与结算'!E304+E397,BR396+IF(C397="重要关系2",E397,0)+IF(AND(C397="魅力",E397&lt;0),E397,0))))</x:f>
        <x:v>0</x:v>
      </x:c>
      <x:c r="BS397">
        <x:f>MAX(0,MIN(BK397,IF(AND(H397=1,C397="重要关系3",LEFT('幕间与结算'!H304,8)="建立新的重要关系"),'幕间与结算'!E304+E397,BS396+IF(C397="重要关系3",E397,0)+IF(AND(C397="魅力",E397&lt;0),E397,0))))</x:f>
        <x:v>0</x:v>
      </x:c>
      <x:c r="BT397">
        <x:f>MAX(0,MIN(BK397,IF(AND(H397=1,C397="重要关系4",LEFT('幕间与结算'!H304,8)="建立新的重要关系"),'幕间与结算'!E304+E397,BT396+IF(C397="重要关系4",E397,0)+IF(AND(C397="魅力",E397&lt;0),E397,0))))</x:f>
        <x:v>0</x:v>
      </x:c>
      <x:c r="BU397">
        <x:f>MAX(0,MIN(BK397,IF(AND(H397=1,C397="重要关系5",LEFT('幕间与结算'!H304,8)="建立新的重要关系"),'幕间与结算'!E304+E397,BU396+IF(C397="重要关系5",E397,0)+IF(AND(C397="魅力",E397&lt;0),E397,0))))</x:f>
        <x:v>0</x:v>
      </x:c>
      <x:c r="BV397">
        <x:f>MAX(0,MIN(BK397,IF(AND(H397=1,C397="重要关系6",LEFT('幕间与结算'!H304,8)="建立新的重要关系"),'幕间与结算'!E304+E397,BV396+IF(C397="重要关系6",E397,0)+IF(AND(C397="魅力",E397&lt;0),E397,0))))</x:f>
        <x:v>0</x:v>
      </x:c>
      <x:c r="BW397">
        <x:f>MAX(0,MIN(BK397,IF(AND(H397=1,C397="重要关系7",LEFT('幕间与结算'!H304,8)="建立新的重要关系"),'幕间与结算'!E304+E397,BW396+IF(C397="重要关系7",E397,0)+IF(AND(C397="魅力",E397&lt;0),E397,0))))</x:f>
        <x:v>0</x:v>
      </x:c>
    </x:row>
    <x:row r="398">
      <x:c r="A398" t="str">
        <x:f>IFERROR(TEXT(VALUE('幕间与结算'!A305),"00"),"")</x:f>
        <x:v>00</x:v>
      </x:c>
      <x:c r="B398">
        <x:f>'幕间与结算'!B305</x:f>
        <x:v>0</x:v>
      </x:c>
      <x:c r="C398">
        <x:f>'幕间与结算'!D305</x:f>
        <x:v>0</x:v>
      </x:c>
      <x:c r="D398">
        <x:f>'幕间与结算'!F305</x:f>
        <x:v>0</x:v>
      </x:c>
      <x:c r="E398">
        <x:f>IF(H398=1,MAX(-'幕间与结算'!E305,MIN(D398,IF(LEFT(C398,3)="技能：",99,IF(COUNTIF($L$2:$L$7,C398)&gt;0,18,999))-'幕间与结算'!E305)),0)</x:f>
        <x:v>0</x:v>
      </x:c>
      <x:c r="F398" t="str">
        <x:f>IF(C398=0,"",IF(G398=0,"记录不完整",IF(H398=0,"重复未计","已计入")))</x:f>
        <x:v/>
      </x:c>
      <x:c r="G398">
        <x:f>IF(AND(AND('幕间与结算'!A305&lt;&gt;"",'幕间与结算'!B305&lt;&gt;"",'幕间与结算'!I305&lt;&gt;"",OR(LEFT(C398,3)="技能：",COUNTIF($L$2:$L$19,C398)&gt;0),ISNUMBER('幕间与结算'!E305),ISNUMBER('幕间与结算'!F305),ISNUMBER('幕间与结算'!G305),'幕间与结算'!E305&gt;=0,'幕间与结算'!G305='幕间与结算'!E305+'幕间与结算'!F305),OR(B398&lt;&gt;"成长",AND(LEFT(C398,3)="技能：",C398&lt;&gt;"技能：非自然知识",'幕间与结算'!E305&gt;=1,'幕间与结算'!E305&lt;=99,'幕间与结算'!F305&gt;=0,'幕间与结算'!F305&lt;=4,'幕间与结算'!G305&lt;=99))),1,0)</x:f>
        <x:v>0</x:v>
      </x:c>
      <x:c r="H398">
        <x:f>IF(AND(G398=1,COUNTIFS($I$200:I398,I398,$G$200:G398,1)=1),1,0)</x:f>
        <x:v>0</x:v>
      </x:c>
      <x:c r="I398" t="str">
        <x:f>IF(G398=1,IF(B398="成长",A398&amp;"-成长-"&amp;C398,'幕间与结算'!I305),"")</x:f>
        <x:v/>
      </x:c>
      <x:c r="BF398">
        <x:f>MAX(0,MIN(18,BF397+IF(C398="力量",E398,0)))</x:f>
        <x:v>0</x:v>
      </x:c>
      <x:c r="BG398">
        <x:f>MAX(0,MIN(18,BG397+IF(C398="体质",E398,0)))</x:f>
        <x:v>0</x:v>
      </x:c>
      <x:c r="BH398">
        <x:f>MAX(0,MIN(18,BH397+IF(C398="敏捷",E398,0)))</x:f>
        <x:v>0</x:v>
      </x:c>
      <x:c r="BI398">
        <x:f>MAX(0,MIN(18,BI397+IF(C398="智力",E398,0)))</x:f>
        <x:v>0</x:v>
      </x:c>
      <x:c r="BJ398">
        <x:f>MAX(0,MIN(18,BJ397+IF(C398="意志",E398,0)))</x:f>
        <x:v>0</x:v>
      </x:c>
      <x:c r="BK398">
        <x:f>MAX(0,MIN(18,BK397+IF(C398="魅力",E398,0)))</x:f>
        <x:v>0</x:v>
      </x:c>
      <x:c r="BL398">
        <x:f>MAX(0,MIN(99,BL397+IF(C398="技能：非自然知识",E398,0)))</x:f>
        <x:v>0</x:v>
      </x:c>
      <x:c r="BM398">
        <x:f>MAX(0,MIN(CEILING((BF398+BG398)/2,1),BM397+IF(C398="体力",E398,0)))</x:f>
        <x:v>0</x:v>
      </x:c>
      <x:c r="BN398">
        <x:f>MAX(0,MIN(BJ398,BN397+IF(C398="毅力",E398,0)))</x:f>
        <x:v>0</x:v>
      </x:c>
      <x:c r="BO398">
        <x:f>MAX(0,MIN(99-BL398,BO397+IF(C398="理智",E398,0)))</x:f>
        <x:v>0</x:v>
      </x:c>
      <x:c r="BP398">
        <x:f>MAX(0,MIN(99,BP397+IF(C398="崩溃点",E398,0)))</x:f>
        <x:v>0</x:v>
      </x:c>
      <x:c r="BQ398">
        <x:f>MAX(0,MIN(BK398,IF(AND(H398=1,C398="重要关系1",LEFT('幕间与结算'!H305,8)="建立新的重要关系"),'幕间与结算'!E305+E398,BQ397+IF(C398="重要关系1",E398,0)+IF(AND(C398="魅力",E398&lt;0),E398,0))))</x:f>
        <x:v>0</x:v>
      </x:c>
      <x:c r="BR398">
        <x:f>MAX(0,MIN(BK398,IF(AND(H398=1,C398="重要关系2",LEFT('幕间与结算'!H305,8)="建立新的重要关系"),'幕间与结算'!E305+E398,BR397+IF(C398="重要关系2",E398,0)+IF(AND(C398="魅力",E398&lt;0),E398,0))))</x:f>
        <x:v>0</x:v>
      </x:c>
      <x:c r="BS398">
        <x:f>MAX(0,MIN(BK398,IF(AND(H398=1,C398="重要关系3",LEFT('幕间与结算'!H305,8)="建立新的重要关系"),'幕间与结算'!E305+E398,BS397+IF(C398="重要关系3",E398,0)+IF(AND(C398="魅力",E398&lt;0),E398,0))))</x:f>
        <x:v>0</x:v>
      </x:c>
      <x:c r="BT398">
        <x:f>MAX(0,MIN(BK398,IF(AND(H398=1,C398="重要关系4",LEFT('幕间与结算'!H305,8)="建立新的重要关系"),'幕间与结算'!E305+E398,BT397+IF(C398="重要关系4",E398,0)+IF(AND(C398="魅力",E398&lt;0),E398,0))))</x:f>
        <x:v>0</x:v>
      </x:c>
      <x:c r="BU398">
        <x:f>MAX(0,MIN(BK398,IF(AND(H398=1,C398="重要关系5",LEFT('幕间与结算'!H305,8)="建立新的重要关系"),'幕间与结算'!E305+E398,BU397+IF(C398="重要关系5",E398,0)+IF(AND(C398="魅力",E398&lt;0),E398,0))))</x:f>
        <x:v>0</x:v>
      </x:c>
      <x:c r="BV398">
        <x:f>MAX(0,MIN(BK398,IF(AND(H398=1,C398="重要关系6",LEFT('幕间与结算'!H305,8)="建立新的重要关系"),'幕间与结算'!E305+E398,BV397+IF(C398="重要关系6",E398,0)+IF(AND(C398="魅力",E398&lt;0),E398,0))))</x:f>
        <x:v>0</x:v>
      </x:c>
      <x:c r="BW398">
        <x:f>MAX(0,MIN(BK398,IF(AND(H398=1,C398="重要关系7",LEFT('幕间与结算'!H305,8)="建立新的重要关系"),'幕间与结算'!E305+E398,BW397+IF(C398="重要关系7",E398,0)+IF(AND(C398="魅力",E398&lt;0),E398,0))))</x:f>
        <x:v>0</x:v>
      </x:c>
    </x:row>
    <x:row r="399">
      <x:c r="A399" t="str">
        <x:f>IFERROR(TEXT(VALUE('幕间与结算'!A306),"00"),"")</x:f>
        <x:v>00</x:v>
      </x:c>
      <x:c r="B399">
        <x:f>'幕间与结算'!B306</x:f>
        <x:v>0</x:v>
      </x:c>
      <x:c r="C399">
        <x:f>'幕间与结算'!D306</x:f>
        <x:v>0</x:v>
      </x:c>
      <x:c r="D399">
        <x:f>'幕间与结算'!F306</x:f>
        <x:v>0</x:v>
      </x:c>
      <x:c r="E399">
        <x:f>IF(H399=1,MAX(-'幕间与结算'!E306,MIN(D399,IF(LEFT(C399,3)="技能：",99,IF(COUNTIF($L$2:$L$7,C399)&gt;0,18,999))-'幕间与结算'!E306)),0)</x:f>
        <x:v>0</x:v>
      </x:c>
      <x:c r="F399" t="str">
        <x:f>IF(C399=0,"",IF(G399=0,"记录不完整",IF(H399=0,"重复未计","已计入")))</x:f>
        <x:v/>
      </x:c>
      <x:c r="G399">
        <x:f>IF(AND(AND('幕间与结算'!A306&lt;&gt;"",'幕间与结算'!B306&lt;&gt;"",'幕间与结算'!I306&lt;&gt;"",OR(LEFT(C399,3)="技能：",COUNTIF($L$2:$L$19,C399)&gt;0),ISNUMBER('幕间与结算'!E306),ISNUMBER('幕间与结算'!F306),ISNUMBER('幕间与结算'!G306),'幕间与结算'!E306&gt;=0,'幕间与结算'!G306='幕间与结算'!E306+'幕间与结算'!F306),OR(B399&lt;&gt;"成长",AND(LEFT(C399,3)="技能：",C399&lt;&gt;"技能：非自然知识",'幕间与结算'!E306&gt;=1,'幕间与结算'!E306&lt;=99,'幕间与结算'!F306&gt;=0,'幕间与结算'!F306&lt;=4,'幕间与结算'!G306&lt;=99))),1,0)</x:f>
        <x:v>0</x:v>
      </x:c>
      <x:c r="H399">
        <x:f>IF(AND(G399=1,COUNTIFS($I$200:I399,I399,$G$200:G399,1)=1),1,0)</x:f>
        <x:v>0</x:v>
      </x:c>
      <x:c r="I399" t="str">
        <x:f>IF(G399=1,IF(B399="成长",A399&amp;"-成长-"&amp;C399,'幕间与结算'!I306),"")</x:f>
        <x:v/>
      </x:c>
      <x:c r="BF399">
        <x:f>MAX(0,MIN(18,BF398+IF(C399="力量",E399,0)))</x:f>
        <x:v>0</x:v>
      </x:c>
      <x:c r="BG399">
        <x:f>MAX(0,MIN(18,BG398+IF(C399="体质",E399,0)))</x:f>
        <x:v>0</x:v>
      </x:c>
      <x:c r="BH399">
        <x:f>MAX(0,MIN(18,BH398+IF(C399="敏捷",E399,0)))</x:f>
        <x:v>0</x:v>
      </x:c>
      <x:c r="BI399">
        <x:f>MAX(0,MIN(18,BI398+IF(C399="智力",E399,0)))</x:f>
        <x:v>0</x:v>
      </x:c>
      <x:c r="BJ399">
        <x:f>MAX(0,MIN(18,BJ398+IF(C399="意志",E399,0)))</x:f>
        <x:v>0</x:v>
      </x:c>
      <x:c r="BK399">
        <x:f>MAX(0,MIN(18,BK398+IF(C399="魅力",E399,0)))</x:f>
        <x:v>0</x:v>
      </x:c>
      <x:c r="BL399">
        <x:f>MAX(0,MIN(99,BL398+IF(C399="技能：非自然知识",E399,0)))</x:f>
        <x:v>0</x:v>
      </x:c>
      <x:c r="BM399">
        <x:f>MAX(0,MIN(CEILING((BF399+BG399)/2,1),BM398+IF(C399="体力",E399,0)))</x:f>
        <x:v>0</x:v>
      </x:c>
      <x:c r="BN399">
        <x:f>MAX(0,MIN(BJ399,BN398+IF(C399="毅力",E399,0)))</x:f>
        <x:v>0</x:v>
      </x:c>
      <x:c r="BO399">
        <x:f>MAX(0,MIN(99-BL399,BO398+IF(C399="理智",E399,0)))</x:f>
        <x:v>0</x:v>
      </x:c>
      <x:c r="BP399">
        <x:f>MAX(0,MIN(99,BP398+IF(C399="崩溃点",E399,0)))</x:f>
        <x:v>0</x:v>
      </x:c>
      <x:c r="BQ399">
        <x:f>MAX(0,MIN(BK399,IF(AND(H399=1,C399="重要关系1",LEFT('幕间与结算'!H306,8)="建立新的重要关系"),'幕间与结算'!E306+E399,BQ398+IF(C399="重要关系1",E399,0)+IF(AND(C399="魅力",E399&lt;0),E399,0))))</x:f>
        <x:v>0</x:v>
      </x:c>
      <x:c r="BR399">
        <x:f>MAX(0,MIN(BK399,IF(AND(H399=1,C399="重要关系2",LEFT('幕间与结算'!H306,8)="建立新的重要关系"),'幕间与结算'!E306+E399,BR398+IF(C399="重要关系2",E399,0)+IF(AND(C399="魅力",E399&lt;0),E399,0))))</x:f>
        <x:v>0</x:v>
      </x:c>
      <x:c r="BS399">
        <x:f>MAX(0,MIN(BK399,IF(AND(H399=1,C399="重要关系3",LEFT('幕间与结算'!H306,8)="建立新的重要关系"),'幕间与结算'!E306+E399,BS398+IF(C399="重要关系3",E399,0)+IF(AND(C399="魅力",E399&lt;0),E399,0))))</x:f>
        <x:v>0</x:v>
      </x:c>
      <x:c r="BT399">
        <x:f>MAX(0,MIN(BK399,IF(AND(H399=1,C399="重要关系4",LEFT('幕间与结算'!H306,8)="建立新的重要关系"),'幕间与结算'!E306+E399,BT398+IF(C399="重要关系4",E399,0)+IF(AND(C399="魅力",E399&lt;0),E399,0))))</x:f>
        <x:v>0</x:v>
      </x:c>
      <x:c r="BU399">
        <x:f>MAX(0,MIN(BK399,IF(AND(H399=1,C399="重要关系5",LEFT('幕间与结算'!H306,8)="建立新的重要关系"),'幕间与结算'!E306+E399,BU398+IF(C399="重要关系5",E399,0)+IF(AND(C399="魅力",E399&lt;0),E399,0))))</x:f>
        <x:v>0</x:v>
      </x:c>
      <x:c r="BV399">
        <x:f>MAX(0,MIN(BK399,IF(AND(H399=1,C399="重要关系6",LEFT('幕间与结算'!H306,8)="建立新的重要关系"),'幕间与结算'!E306+E399,BV398+IF(C399="重要关系6",E399,0)+IF(AND(C399="魅力",E399&lt;0),E399,0))))</x:f>
        <x:v>0</x:v>
      </x:c>
      <x:c r="BW399">
        <x:f>MAX(0,MIN(BK399,IF(AND(H399=1,C399="重要关系7",LEFT('幕间与结算'!H306,8)="建立新的重要关系"),'幕间与结算'!E306+E399,BW398+IF(C399="重要关系7",E399,0)+IF(AND(C399="魅力",E399&lt;0),E399,0))))</x:f>
        <x:v>0</x:v>
      </x:c>
    </x:row>
    <x:row r="400">
      <x:c r="A400" t="str">
        <x:f>IFERROR(TEXT(VALUE('幕间与结算'!A307),"00"),"")</x:f>
        <x:v>00</x:v>
      </x:c>
      <x:c r="B400">
        <x:f>'幕间与结算'!B307</x:f>
        <x:v>0</x:v>
      </x:c>
      <x:c r="C400">
        <x:f>'幕间与结算'!D307</x:f>
        <x:v>0</x:v>
      </x:c>
      <x:c r="D400">
        <x:f>'幕间与结算'!F307</x:f>
        <x:v>0</x:v>
      </x:c>
      <x:c r="E400">
        <x:f>IF(H400=1,MAX(-'幕间与结算'!E307,MIN(D400,IF(LEFT(C400,3)="技能：",99,IF(COUNTIF($L$2:$L$7,C400)&gt;0,18,999))-'幕间与结算'!E307)),0)</x:f>
        <x:v>0</x:v>
      </x:c>
      <x:c r="F400" t="str">
        <x:f>IF(C400=0,"",IF(G400=0,"记录不完整",IF(H400=0,"重复未计","已计入")))</x:f>
        <x:v/>
      </x:c>
      <x:c r="G400">
        <x:f>IF(AND(AND('幕间与结算'!A307&lt;&gt;"",'幕间与结算'!B307&lt;&gt;"",'幕间与结算'!I307&lt;&gt;"",OR(LEFT(C400,3)="技能：",COUNTIF($L$2:$L$19,C400)&gt;0),ISNUMBER('幕间与结算'!E307),ISNUMBER('幕间与结算'!F307),ISNUMBER('幕间与结算'!G307),'幕间与结算'!E307&gt;=0,'幕间与结算'!G307='幕间与结算'!E307+'幕间与结算'!F307),OR(B400&lt;&gt;"成长",AND(LEFT(C400,3)="技能：",C400&lt;&gt;"技能：非自然知识",'幕间与结算'!E307&gt;=1,'幕间与结算'!E307&lt;=99,'幕间与结算'!F307&gt;=0,'幕间与结算'!F307&lt;=4,'幕间与结算'!G307&lt;=99))),1,0)</x:f>
        <x:v>0</x:v>
      </x:c>
      <x:c r="H400">
        <x:f>IF(AND(G400=1,COUNTIFS($I$200:I400,I400,$G$200:G400,1)=1),1,0)</x:f>
        <x:v>0</x:v>
      </x:c>
      <x:c r="I400" t="str">
        <x:f>IF(G400=1,IF(B400="成长",A400&amp;"-成长-"&amp;C400,'幕间与结算'!I307),"")</x:f>
        <x:v/>
      </x:c>
      <x:c r="BF400">
        <x:f>MAX(0,MIN(18,BF399+IF(C400="力量",E400,0)))</x:f>
        <x:v>0</x:v>
      </x:c>
      <x:c r="BG400">
        <x:f>MAX(0,MIN(18,BG399+IF(C400="体质",E400,0)))</x:f>
        <x:v>0</x:v>
      </x:c>
      <x:c r="BH400">
        <x:f>MAX(0,MIN(18,BH399+IF(C400="敏捷",E400,0)))</x:f>
        <x:v>0</x:v>
      </x:c>
      <x:c r="BI400">
        <x:f>MAX(0,MIN(18,BI399+IF(C400="智力",E400,0)))</x:f>
        <x:v>0</x:v>
      </x:c>
      <x:c r="BJ400">
        <x:f>MAX(0,MIN(18,BJ399+IF(C400="意志",E400,0)))</x:f>
        <x:v>0</x:v>
      </x:c>
      <x:c r="BK400">
        <x:f>MAX(0,MIN(18,BK399+IF(C400="魅力",E400,0)))</x:f>
        <x:v>0</x:v>
      </x:c>
      <x:c r="BL400">
        <x:f>MAX(0,MIN(99,BL399+IF(C400="技能：非自然知识",E400,0)))</x:f>
        <x:v>0</x:v>
      </x:c>
      <x:c r="BM400">
        <x:f>MAX(0,MIN(CEILING((BF400+BG400)/2,1),BM399+IF(C400="体力",E400,0)))</x:f>
        <x:v>0</x:v>
      </x:c>
      <x:c r="BN400">
        <x:f>MAX(0,MIN(BJ400,BN399+IF(C400="毅力",E400,0)))</x:f>
        <x:v>0</x:v>
      </x:c>
      <x:c r="BO400">
        <x:f>MAX(0,MIN(99-BL400,BO399+IF(C400="理智",E400,0)))</x:f>
        <x:v>0</x:v>
      </x:c>
      <x:c r="BP400">
        <x:f>MAX(0,MIN(99,BP399+IF(C400="崩溃点",E400,0)))</x:f>
        <x:v>0</x:v>
      </x:c>
      <x:c r="BQ400">
        <x:f>MAX(0,MIN(BK400,IF(AND(H400=1,C400="重要关系1",LEFT('幕间与结算'!H307,8)="建立新的重要关系"),'幕间与结算'!E307+E400,BQ399+IF(C400="重要关系1",E400,0)+IF(AND(C400="魅力",E400&lt;0),E400,0))))</x:f>
        <x:v>0</x:v>
      </x:c>
      <x:c r="BR400">
        <x:f>MAX(0,MIN(BK400,IF(AND(H400=1,C400="重要关系2",LEFT('幕间与结算'!H307,8)="建立新的重要关系"),'幕间与结算'!E307+E400,BR399+IF(C400="重要关系2",E400,0)+IF(AND(C400="魅力",E400&lt;0),E400,0))))</x:f>
        <x:v>0</x:v>
      </x:c>
      <x:c r="BS400">
        <x:f>MAX(0,MIN(BK400,IF(AND(H400=1,C400="重要关系3",LEFT('幕间与结算'!H307,8)="建立新的重要关系"),'幕间与结算'!E307+E400,BS399+IF(C400="重要关系3",E400,0)+IF(AND(C400="魅力",E400&lt;0),E400,0))))</x:f>
        <x:v>0</x:v>
      </x:c>
      <x:c r="BT400">
        <x:f>MAX(0,MIN(BK400,IF(AND(H400=1,C400="重要关系4",LEFT('幕间与结算'!H307,8)="建立新的重要关系"),'幕间与结算'!E307+E400,BT399+IF(C400="重要关系4",E400,0)+IF(AND(C400="魅力",E400&lt;0),E400,0))))</x:f>
        <x:v>0</x:v>
      </x:c>
      <x:c r="BU400">
        <x:f>MAX(0,MIN(BK400,IF(AND(H400=1,C400="重要关系5",LEFT('幕间与结算'!H307,8)="建立新的重要关系"),'幕间与结算'!E307+E400,BU399+IF(C400="重要关系5",E400,0)+IF(AND(C400="魅力",E400&lt;0),E400,0))))</x:f>
        <x:v>0</x:v>
      </x:c>
      <x:c r="BV400">
        <x:f>MAX(0,MIN(BK400,IF(AND(H400=1,C400="重要关系6",LEFT('幕间与结算'!H307,8)="建立新的重要关系"),'幕间与结算'!E307+E400,BV399+IF(C400="重要关系6",E400,0)+IF(AND(C400="魅力",E400&lt;0),E400,0))))</x:f>
        <x:v>0</x:v>
      </x:c>
      <x:c r="BW400">
        <x:f>MAX(0,MIN(BK400,IF(AND(H400=1,C400="重要关系7",LEFT('幕间与结算'!H307,8)="建立新的重要关系"),'幕间与结算'!E307+E400,BW399+IF(C400="重要关系7",E400,0)+IF(AND(C400="魅力",E400&lt;0),E400,0))))</x:f>
        <x:v>0</x:v>
      </x:c>
    </x:row>
    <x:row r="401">
      <x:c r="A401" t="str">
        <x:f>IFERROR(TEXT(VALUE('幕间与结算'!A308),"00"),"")</x:f>
        <x:v>00</x:v>
      </x:c>
      <x:c r="B401">
        <x:f>'幕间与结算'!B308</x:f>
        <x:v>0</x:v>
      </x:c>
      <x:c r="C401">
        <x:f>'幕间与结算'!D308</x:f>
        <x:v>0</x:v>
      </x:c>
      <x:c r="D401">
        <x:f>'幕间与结算'!F308</x:f>
        <x:v>0</x:v>
      </x:c>
      <x:c r="E401">
        <x:f>IF(H401=1,MAX(-'幕间与结算'!E308,MIN(D401,IF(LEFT(C401,3)="技能：",99,IF(COUNTIF($L$2:$L$7,C401)&gt;0,18,999))-'幕间与结算'!E308)),0)</x:f>
        <x:v>0</x:v>
      </x:c>
      <x:c r="F401" t="str">
        <x:f>IF(C401=0,"",IF(G401=0,"记录不完整",IF(H401=0,"重复未计","已计入")))</x:f>
        <x:v/>
      </x:c>
      <x:c r="G401">
        <x:f>IF(AND(AND('幕间与结算'!A308&lt;&gt;"",'幕间与结算'!B308&lt;&gt;"",'幕间与结算'!I308&lt;&gt;"",OR(LEFT(C401,3)="技能：",COUNTIF($L$2:$L$19,C401)&gt;0),ISNUMBER('幕间与结算'!E308),ISNUMBER('幕间与结算'!F308),ISNUMBER('幕间与结算'!G308),'幕间与结算'!E308&gt;=0,'幕间与结算'!G308='幕间与结算'!E308+'幕间与结算'!F308),OR(B401&lt;&gt;"成长",AND(LEFT(C401,3)="技能：",C401&lt;&gt;"技能：非自然知识",'幕间与结算'!E308&gt;=1,'幕间与结算'!E308&lt;=99,'幕间与结算'!F308&gt;=0,'幕间与结算'!F308&lt;=4,'幕间与结算'!G308&lt;=99))),1,0)</x:f>
        <x:v>0</x:v>
      </x:c>
      <x:c r="H401">
        <x:f>IF(AND(G401=1,COUNTIFS($I$200:I401,I401,$G$200:G401,1)=1),1,0)</x:f>
        <x:v>0</x:v>
      </x:c>
      <x:c r="I401" t="str">
        <x:f>IF(G401=1,IF(B401="成长",A401&amp;"-成长-"&amp;C401,'幕间与结算'!I308),"")</x:f>
        <x:v/>
      </x:c>
      <x:c r="BF401">
        <x:f>MAX(0,MIN(18,BF400+IF(C401="力量",E401,0)))</x:f>
        <x:v>0</x:v>
      </x:c>
      <x:c r="BG401">
        <x:f>MAX(0,MIN(18,BG400+IF(C401="体质",E401,0)))</x:f>
        <x:v>0</x:v>
      </x:c>
      <x:c r="BH401">
        <x:f>MAX(0,MIN(18,BH400+IF(C401="敏捷",E401,0)))</x:f>
        <x:v>0</x:v>
      </x:c>
      <x:c r="BI401">
        <x:f>MAX(0,MIN(18,BI400+IF(C401="智力",E401,0)))</x:f>
        <x:v>0</x:v>
      </x:c>
      <x:c r="BJ401">
        <x:f>MAX(0,MIN(18,BJ400+IF(C401="意志",E401,0)))</x:f>
        <x:v>0</x:v>
      </x:c>
      <x:c r="BK401">
        <x:f>MAX(0,MIN(18,BK400+IF(C401="魅力",E401,0)))</x:f>
        <x:v>0</x:v>
      </x:c>
      <x:c r="BL401">
        <x:f>MAX(0,MIN(99,BL400+IF(C401="技能：非自然知识",E401,0)))</x:f>
        <x:v>0</x:v>
      </x:c>
      <x:c r="BM401">
        <x:f>MAX(0,MIN(CEILING((BF401+BG401)/2,1),BM400+IF(C401="体力",E401,0)))</x:f>
        <x:v>0</x:v>
      </x:c>
      <x:c r="BN401">
        <x:f>MAX(0,MIN(BJ401,BN400+IF(C401="毅力",E401,0)))</x:f>
        <x:v>0</x:v>
      </x:c>
      <x:c r="BO401">
        <x:f>MAX(0,MIN(99-BL401,BO400+IF(C401="理智",E401,0)))</x:f>
        <x:v>0</x:v>
      </x:c>
      <x:c r="BP401">
        <x:f>MAX(0,MIN(99,BP400+IF(C401="崩溃点",E401,0)))</x:f>
        <x:v>0</x:v>
      </x:c>
      <x:c r="BQ401">
        <x:f>MAX(0,MIN(BK401,IF(AND(H401=1,C401="重要关系1",LEFT('幕间与结算'!H308,8)="建立新的重要关系"),'幕间与结算'!E308+E401,BQ400+IF(C401="重要关系1",E401,0)+IF(AND(C401="魅力",E401&lt;0),E401,0))))</x:f>
        <x:v>0</x:v>
      </x:c>
      <x:c r="BR401">
        <x:f>MAX(0,MIN(BK401,IF(AND(H401=1,C401="重要关系2",LEFT('幕间与结算'!H308,8)="建立新的重要关系"),'幕间与结算'!E308+E401,BR400+IF(C401="重要关系2",E401,0)+IF(AND(C401="魅力",E401&lt;0),E401,0))))</x:f>
        <x:v>0</x:v>
      </x:c>
      <x:c r="BS401">
        <x:f>MAX(0,MIN(BK401,IF(AND(H401=1,C401="重要关系3",LEFT('幕间与结算'!H308,8)="建立新的重要关系"),'幕间与结算'!E308+E401,BS400+IF(C401="重要关系3",E401,0)+IF(AND(C401="魅力",E401&lt;0),E401,0))))</x:f>
        <x:v>0</x:v>
      </x:c>
      <x:c r="BT401">
        <x:f>MAX(0,MIN(BK401,IF(AND(H401=1,C401="重要关系4",LEFT('幕间与结算'!H308,8)="建立新的重要关系"),'幕间与结算'!E308+E401,BT400+IF(C401="重要关系4",E401,0)+IF(AND(C401="魅力",E401&lt;0),E401,0))))</x:f>
        <x:v>0</x:v>
      </x:c>
      <x:c r="BU401">
        <x:f>MAX(0,MIN(BK401,IF(AND(H401=1,C401="重要关系5",LEFT('幕间与结算'!H308,8)="建立新的重要关系"),'幕间与结算'!E308+E401,BU400+IF(C401="重要关系5",E401,0)+IF(AND(C401="魅力",E401&lt;0),E401,0))))</x:f>
        <x:v>0</x:v>
      </x:c>
      <x:c r="BV401">
        <x:f>MAX(0,MIN(BK401,IF(AND(H401=1,C401="重要关系6",LEFT('幕间与结算'!H308,8)="建立新的重要关系"),'幕间与结算'!E308+E401,BV400+IF(C401="重要关系6",E401,0)+IF(AND(C401="魅力",E401&lt;0),E401,0))))</x:f>
        <x:v>0</x:v>
      </x:c>
      <x:c r="BW401">
        <x:f>MAX(0,MIN(BK401,IF(AND(H401=1,C401="重要关系7",LEFT('幕间与结算'!H308,8)="建立新的重要关系"),'幕间与结算'!E308+E401,BW400+IF(C401="重要关系7",E401,0)+IF(AND(C401="魅力",E401&lt;0),E401,0))))</x:f>
        <x:v>0</x:v>
      </x:c>
    </x:row>
    <x:row r="402">
      <x:c r="A402" t="str">
        <x:f>IFERROR(TEXT(VALUE('幕间与结算'!A309),"00"),"")</x:f>
        <x:v>00</x:v>
      </x:c>
      <x:c r="B402">
        <x:f>'幕间与结算'!B309</x:f>
        <x:v>0</x:v>
      </x:c>
      <x:c r="C402">
        <x:f>'幕间与结算'!D309</x:f>
        <x:v>0</x:v>
      </x:c>
      <x:c r="D402">
        <x:f>'幕间与结算'!F309</x:f>
        <x:v>0</x:v>
      </x:c>
      <x:c r="E402">
        <x:f>IF(H402=1,MAX(-'幕间与结算'!E309,MIN(D402,IF(LEFT(C402,3)="技能：",99,IF(COUNTIF($L$2:$L$7,C402)&gt;0,18,999))-'幕间与结算'!E309)),0)</x:f>
        <x:v>0</x:v>
      </x:c>
      <x:c r="F402" t="str">
        <x:f>IF(C402=0,"",IF(G402=0,"记录不完整",IF(H402=0,"重复未计","已计入")))</x:f>
        <x:v/>
      </x:c>
      <x:c r="G402">
        <x:f>IF(AND(AND('幕间与结算'!A309&lt;&gt;"",'幕间与结算'!B309&lt;&gt;"",'幕间与结算'!I309&lt;&gt;"",OR(LEFT(C402,3)="技能：",COUNTIF($L$2:$L$19,C402)&gt;0),ISNUMBER('幕间与结算'!E309),ISNUMBER('幕间与结算'!F309),ISNUMBER('幕间与结算'!G309),'幕间与结算'!E309&gt;=0,'幕间与结算'!G309='幕间与结算'!E309+'幕间与结算'!F309),OR(B402&lt;&gt;"成长",AND(LEFT(C402,3)="技能：",C402&lt;&gt;"技能：非自然知识",'幕间与结算'!E309&gt;=1,'幕间与结算'!E309&lt;=99,'幕间与结算'!F309&gt;=0,'幕间与结算'!F309&lt;=4,'幕间与结算'!G309&lt;=99))),1,0)</x:f>
        <x:v>0</x:v>
      </x:c>
      <x:c r="H402">
        <x:f>IF(AND(G402=1,COUNTIFS($I$200:I402,I402,$G$200:G402,1)=1),1,0)</x:f>
        <x:v>0</x:v>
      </x:c>
      <x:c r="I402" t="str">
        <x:f>IF(G402=1,IF(B402="成长",A402&amp;"-成长-"&amp;C402,'幕间与结算'!I309),"")</x:f>
        <x:v/>
      </x:c>
      <x:c r="BF402">
        <x:f>MAX(0,MIN(18,BF401+IF(C402="力量",E402,0)))</x:f>
        <x:v>0</x:v>
      </x:c>
      <x:c r="BG402">
        <x:f>MAX(0,MIN(18,BG401+IF(C402="体质",E402,0)))</x:f>
        <x:v>0</x:v>
      </x:c>
      <x:c r="BH402">
        <x:f>MAX(0,MIN(18,BH401+IF(C402="敏捷",E402,0)))</x:f>
        <x:v>0</x:v>
      </x:c>
      <x:c r="BI402">
        <x:f>MAX(0,MIN(18,BI401+IF(C402="智力",E402,0)))</x:f>
        <x:v>0</x:v>
      </x:c>
      <x:c r="BJ402">
        <x:f>MAX(0,MIN(18,BJ401+IF(C402="意志",E402,0)))</x:f>
        <x:v>0</x:v>
      </x:c>
      <x:c r="BK402">
        <x:f>MAX(0,MIN(18,BK401+IF(C402="魅力",E402,0)))</x:f>
        <x:v>0</x:v>
      </x:c>
      <x:c r="BL402">
        <x:f>MAX(0,MIN(99,BL401+IF(C402="技能：非自然知识",E402,0)))</x:f>
        <x:v>0</x:v>
      </x:c>
      <x:c r="BM402">
        <x:f>MAX(0,MIN(CEILING((BF402+BG402)/2,1),BM401+IF(C402="体力",E402,0)))</x:f>
        <x:v>0</x:v>
      </x:c>
      <x:c r="BN402">
        <x:f>MAX(0,MIN(BJ402,BN401+IF(C402="毅力",E402,0)))</x:f>
        <x:v>0</x:v>
      </x:c>
      <x:c r="BO402">
        <x:f>MAX(0,MIN(99-BL402,BO401+IF(C402="理智",E402,0)))</x:f>
        <x:v>0</x:v>
      </x:c>
      <x:c r="BP402">
        <x:f>MAX(0,MIN(99,BP401+IF(C402="崩溃点",E402,0)))</x:f>
        <x:v>0</x:v>
      </x:c>
      <x:c r="BQ402">
        <x:f>MAX(0,MIN(BK402,IF(AND(H402=1,C402="重要关系1",LEFT('幕间与结算'!H309,8)="建立新的重要关系"),'幕间与结算'!E309+E402,BQ401+IF(C402="重要关系1",E402,0)+IF(AND(C402="魅力",E402&lt;0),E402,0))))</x:f>
        <x:v>0</x:v>
      </x:c>
      <x:c r="BR402">
        <x:f>MAX(0,MIN(BK402,IF(AND(H402=1,C402="重要关系2",LEFT('幕间与结算'!H309,8)="建立新的重要关系"),'幕间与结算'!E309+E402,BR401+IF(C402="重要关系2",E402,0)+IF(AND(C402="魅力",E402&lt;0),E402,0))))</x:f>
        <x:v>0</x:v>
      </x:c>
      <x:c r="BS402">
        <x:f>MAX(0,MIN(BK402,IF(AND(H402=1,C402="重要关系3",LEFT('幕间与结算'!H309,8)="建立新的重要关系"),'幕间与结算'!E309+E402,BS401+IF(C402="重要关系3",E402,0)+IF(AND(C402="魅力",E402&lt;0),E402,0))))</x:f>
        <x:v>0</x:v>
      </x:c>
      <x:c r="BT402">
        <x:f>MAX(0,MIN(BK402,IF(AND(H402=1,C402="重要关系4",LEFT('幕间与结算'!H309,8)="建立新的重要关系"),'幕间与结算'!E309+E402,BT401+IF(C402="重要关系4",E402,0)+IF(AND(C402="魅力",E402&lt;0),E402,0))))</x:f>
        <x:v>0</x:v>
      </x:c>
      <x:c r="BU402">
        <x:f>MAX(0,MIN(BK402,IF(AND(H402=1,C402="重要关系5",LEFT('幕间与结算'!H309,8)="建立新的重要关系"),'幕间与结算'!E309+E402,BU401+IF(C402="重要关系5",E402,0)+IF(AND(C402="魅力",E402&lt;0),E402,0))))</x:f>
        <x:v>0</x:v>
      </x:c>
      <x:c r="BV402">
        <x:f>MAX(0,MIN(BK402,IF(AND(H402=1,C402="重要关系6",LEFT('幕间与结算'!H309,8)="建立新的重要关系"),'幕间与结算'!E309+E402,BV401+IF(C402="重要关系6",E402,0)+IF(AND(C402="魅力",E402&lt;0),E402,0))))</x:f>
        <x:v>0</x:v>
      </x:c>
      <x:c r="BW402">
        <x:f>MAX(0,MIN(BK402,IF(AND(H402=1,C402="重要关系7",LEFT('幕间与结算'!H309,8)="建立新的重要关系"),'幕间与结算'!E309+E402,BW401+IF(C402="重要关系7",E402,0)+IF(AND(C402="魅力",E402&lt;0),E402,0))))</x:f>
        <x:v>0</x:v>
      </x:c>
    </x:row>
    <x:row r="403">
      <x:c r="A403" t="str">
        <x:f>IFERROR(TEXT(VALUE('幕间与结算'!A310),"00"),"")</x:f>
        <x:v>00</x:v>
      </x:c>
      <x:c r="B403">
        <x:f>'幕间与结算'!B310</x:f>
        <x:v>0</x:v>
      </x:c>
      <x:c r="C403">
        <x:f>'幕间与结算'!D310</x:f>
        <x:v>0</x:v>
      </x:c>
      <x:c r="D403">
        <x:f>'幕间与结算'!F310</x:f>
        <x:v>0</x:v>
      </x:c>
      <x:c r="E403">
        <x:f>IF(H403=1,MAX(-'幕间与结算'!E310,MIN(D403,IF(LEFT(C403,3)="技能：",99,IF(COUNTIF($L$2:$L$7,C403)&gt;0,18,999))-'幕间与结算'!E310)),0)</x:f>
        <x:v>0</x:v>
      </x:c>
      <x:c r="F403" t="str">
        <x:f>IF(C403=0,"",IF(G403=0,"记录不完整",IF(H403=0,"重复未计","已计入")))</x:f>
        <x:v/>
      </x:c>
      <x:c r="G403">
        <x:f>IF(AND(AND('幕间与结算'!A310&lt;&gt;"",'幕间与结算'!B310&lt;&gt;"",'幕间与结算'!I310&lt;&gt;"",OR(LEFT(C403,3)="技能：",COUNTIF($L$2:$L$19,C403)&gt;0),ISNUMBER('幕间与结算'!E310),ISNUMBER('幕间与结算'!F310),ISNUMBER('幕间与结算'!G310),'幕间与结算'!E310&gt;=0,'幕间与结算'!G310='幕间与结算'!E310+'幕间与结算'!F310),OR(B403&lt;&gt;"成长",AND(LEFT(C403,3)="技能：",C403&lt;&gt;"技能：非自然知识",'幕间与结算'!E310&gt;=1,'幕间与结算'!E310&lt;=99,'幕间与结算'!F310&gt;=0,'幕间与结算'!F310&lt;=4,'幕间与结算'!G310&lt;=99))),1,0)</x:f>
        <x:v>0</x:v>
      </x:c>
      <x:c r="H403">
        <x:f>IF(AND(G403=1,COUNTIFS($I$200:I403,I403,$G$200:G403,1)=1),1,0)</x:f>
        <x:v>0</x:v>
      </x:c>
      <x:c r="I403" t="str">
        <x:f>IF(G403=1,IF(B403="成长",A403&amp;"-成长-"&amp;C403,'幕间与结算'!I310),"")</x:f>
        <x:v/>
      </x:c>
      <x:c r="BF403">
        <x:f>MAX(0,MIN(18,BF402+IF(C403="力量",E403,0)))</x:f>
        <x:v>0</x:v>
      </x:c>
      <x:c r="BG403">
        <x:f>MAX(0,MIN(18,BG402+IF(C403="体质",E403,0)))</x:f>
        <x:v>0</x:v>
      </x:c>
      <x:c r="BH403">
        <x:f>MAX(0,MIN(18,BH402+IF(C403="敏捷",E403,0)))</x:f>
        <x:v>0</x:v>
      </x:c>
      <x:c r="BI403">
        <x:f>MAX(0,MIN(18,BI402+IF(C403="智力",E403,0)))</x:f>
        <x:v>0</x:v>
      </x:c>
      <x:c r="BJ403">
        <x:f>MAX(0,MIN(18,BJ402+IF(C403="意志",E403,0)))</x:f>
        <x:v>0</x:v>
      </x:c>
      <x:c r="BK403">
        <x:f>MAX(0,MIN(18,BK402+IF(C403="魅力",E403,0)))</x:f>
        <x:v>0</x:v>
      </x:c>
      <x:c r="BL403">
        <x:f>MAX(0,MIN(99,BL402+IF(C403="技能：非自然知识",E403,0)))</x:f>
        <x:v>0</x:v>
      </x:c>
      <x:c r="BM403">
        <x:f>MAX(0,MIN(CEILING((BF403+BG403)/2,1),BM402+IF(C403="体力",E403,0)))</x:f>
        <x:v>0</x:v>
      </x:c>
      <x:c r="BN403">
        <x:f>MAX(0,MIN(BJ403,BN402+IF(C403="毅力",E403,0)))</x:f>
        <x:v>0</x:v>
      </x:c>
      <x:c r="BO403">
        <x:f>MAX(0,MIN(99-BL403,BO402+IF(C403="理智",E403,0)))</x:f>
        <x:v>0</x:v>
      </x:c>
      <x:c r="BP403">
        <x:f>MAX(0,MIN(99,BP402+IF(C403="崩溃点",E403,0)))</x:f>
        <x:v>0</x:v>
      </x:c>
      <x:c r="BQ403">
        <x:f>MAX(0,MIN(BK403,IF(AND(H403=1,C403="重要关系1",LEFT('幕间与结算'!H310,8)="建立新的重要关系"),'幕间与结算'!E310+E403,BQ402+IF(C403="重要关系1",E403,0)+IF(AND(C403="魅力",E403&lt;0),E403,0))))</x:f>
        <x:v>0</x:v>
      </x:c>
      <x:c r="BR403">
        <x:f>MAX(0,MIN(BK403,IF(AND(H403=1,C403="重要关系2",LEFT('幕间与结算'!H310,8)="建立新的重要关系"),'幕间与结算'!E310+E403,BR402+IF(C403="重要关系2",E403,0)+IF(AND(C403="魅力",E403&lt;0),E403,0))))</x:f>
        <x:v>0</x:v>
      </x:c>
      <x:c r="BS403">
        <x:f>MAX(0,MIN(BK403,IF(AND(H403=1,C403="重要关系3",LEFT('幕间与结算'!H310,8)="建立新的重要关系"),'幕间与结算'!E310+E403,BS402+IF(C403="重要关系3",E403,0)+IF(AND(C403="魅力",E403&lt;0),E403,0))))</x:f>
        <x:v>0</x:v>
      </x:c>
      <x:c r="BT403">
        <x:f>MAX(0,MIN(BK403,IF(AND(H403=1,C403="重要关系4",LEFT('幕间与结算'!H310,8)="建立新的重要关系"),'幕间与结算'!E310+E403,BT402+IF(C403="重要关系4",E403,0)+IF(AND(C403="魅力",E403&lt;0),E403,0))))</x:f>
        <x:v>0</x:v>
      </x:c>
      <x:c r="BU403">
        <x:f>MAX(0,MIN(BK403,IF(AND(H403=1,C403="重要关系5",LEFT('幕间与结算'!H310,8)="建立新的重要关系"),'幕间与结算'!E310+E403,BU402+IF(C403="重要关系5",E403,0)+IF(AND(C403="魅力",E403&lt;0),E403,0))))</x:f>
        <x:v>0</x:v>
      </x:c>
      <x:c r="BV403">
        <x:f>MAX(0,MIN(BK403,IF(AND(H403=1,C403="重要关系6",LEFT('幕间与结算'!H310,8)="建立新的重要关系"),'幕间与结算'!E310+E403,BV402+IF(C403="重要关系6",E403,0)+IF(AND(C403="魅力",E403&lt;0),E403,0))))</x:f>
        <x:v>0</x:v>
      </x:c>
      <x:c r="BW403">
        <x:f>MAX(0,MIN(BK403,IF(AND(H403=1,C403="重要关系7",LEFT('幕间与结算'!H310,8)="建立新的重要关系"),'幕间与结算'!E310+E403,BW402+IF(C403="重要关系7",E403,0)+IF(AND(C403="魅力",E403&lt;0),E403,0))))</x:f>
        <x:v>0</x:v>
      </x:c>
    </x:row>
    <x:row r="404">
      <x:c r="A404" t="str">
        <x:f>IFERROR(TEXT(VALUE('幕间与结算'!A311),"00"),"")</x:f>
        <x:v>00</x:v>
      </x:c>
      <x:c r="B404">
        <x:f>'幕间与结算'!B311</x:f>
        <x:v>0</x:v>
      </x:c>
      <x:c r="C404">
        <x:f>'幕间与结算'!D311</x:f>
        <x:v>0</x:v>
      </x:c>
      <x:c r="D404">
        <x:f>'幕间与结算'!F311</x:f>
        <x:v>0</x:v>
      </x:c>
      <x:c r="E404">
        <x:f>IF(H404=1,MAX(-'幕间与结算'!E311,MIN(D404,IF(LEFT(C404,3)="技能：",99,IF(COUNTIF($L$2:$L$7,C404)&gt;0,18,999))-'幕间与结算'!E311)),0)</x:f>
        <x:v>0</x:v>
      </x:c>
      <x:c r="F404" t="str">
        <x:f>IF(C404=0,"",IF(G404=0,"记录不完整",IF(H404=0,"重复未计","已计入")))</x:f>
        <x:v/>
      </x:c>
      <x:c r="G404">
        <x:f>IF(AND(AND('幕间与结算'!A311&lt;&gt;"",'幕间与结算'!B311&lt;&gt;"",'幕间与结算'!I311&lt;&gt;"",OR(LEFT(C404,3)="技能：",COUNTIF($L$2:$L$19,C404)&gt;0),ISNUMBER('幕间与结算'!E311),ISNUMBER('幕间与结算'!F311),ISNUMBER('幕间与结算'!G311),'幕间与结算'!E311&gt;=0,'幕间与结算'!G311='幕间与结算'!E311+'幕间与结算'!F311),OR(B404&lt;&gt;"成长",AND(LEFT(C404,3)="技能：",C404&lt;&gt;"技能：非自然知识",'幕间与结算'!E311&gt;=1,'幕间与结算'!E311&lt;=99,'幕间与结算'!F311&gt;=0,'幕间与结算'!F311&lt;=4,'幕间与结算'!G311&lt;=99))),1,0)</x:f>
        <x:v>0</x:v>
      </x:c>
      <x:c r="H404">
        <x:f>IF(AND(G404=1,COUNTIFS($I$200:I404,I404,$G$200:G404,1)=1),1,0)</x:f>
        <x:v>0</x:v>
      </x:c>
      <x:c r="I404" t="str">
        <x:f>IF(G404=1,IF(B404="成长",A404&amp;"-成长-"&amp;C404,'幕间与结算'!I311),"")</x:f>
        <x:v/>
      </x:c>
      <x:c r="BF404">
        <x:f>MAX(0,MIN(18,BF403+IF(C404="力量",E404,0)))</x:f>
        <x:v>0</x:v>
      </x:c>
      <x:c r="BG404">
        <x:f>MAX(0,MIN(18,BG403+IF(C404="体质",E404,0)))</x:f>
        <x:v>0</x:v>
      </x:c>
      <x:c r="BH404">
        <x:f>MAX(0,MIN(18,BH403+IF(C404="敏捷",E404,0)))</x:f>
        <x:v>0</x:v>
      </x:c>
      <x:c r="BI404">
        <x:f>MAX(0,MIN(18,BI403+IF(C404="智力",E404,0)))</x:f>
        <x:v>0</x:v>
      </x:c>
      <x:c r="BJ404">
        <x:f>MAX(0,MIN(18,BJ403+IF(C404="意志",E404,0)))</x:f>
        <x:v>0</x:v>
      </x:c>
      <x:c r="BK404">
        <x:f>MAX(0,MIN(18,BK403+IF(C404="魅力",E404,0)))</x:f>
        <x:v>0</x:v>
      </x:c>
      <x:c r="BL404">
        <x:f>MAX(0,MIN(99,BL403+IF(C404="技能：非自然知识",E404,0)))</x:f>
        <x:v>0</x:v>
      </x:c>
      <x:c r="BM404">
        <x:f>MAX(0,MIN(CEILING((BF404+BG404)/2,1),BM403+IF(C404="体力",E404,0)))</x:f>
        <x:v>0</x:v>
      </x:c>
      <x:c r="BN404">
        <x:f>MAX(0,MIN(BJ404,BN403+IF(C404="毅力",E404,0)))</x:f>
        <x:v>0</x:v>
      </x:c>
      <x:c r="BO404">
        <x:f>MAX(0,MIN(99-BL404,BO403+IF(C404="理智",E404,0)))</x:f>
        <x:v>0</x:v>
      </x:c>
      <x:c r="BP404">
        <x:f>MAX(0,MIN(99,BP403+IF(C404="崩溃点",E404,0)))</x:f>
        <x:v>0</x:v>
      </x:c>
      <x:c r="BQ404">
        <x:f>MAX(0,MIN(BK404,IF(AND(H404=1,C404="重要关系1",LEFT('幕间与结算'!H311,8)="建立新的重要关系"),'幕间与结算'!E311+E404,BQ403+IF(C404="重要关系1",E404,0)+IF(AND(C404="魅力",E404&lt;0),E404,0))))</x:f>
        <x:v>0</x:v>
      </x:c>
      <x:c r="BR404">
        <x:f>MAX(0,MIN(BK404,IF(AND(H404=1,C404="重要关系2",LEFT('幕间与结算'!H311,8)="建立新的重要关系"),'幕间与结算'!E311+E404,BR403+IF(C404="重要关系2",E404,0)+IF(AND(C404="魅力",E404&lt;0),E404,0))))</x:f>
        <x:v>0</x:v>
      </x:c>
      <x:c r="BS404">
        <x:f>MAX(0,MIN(BK404,IF(AND(H404=1,C404="重要关系3",LEFT('幕间与结算'!H311,8)="建立新的重要关系"),'幕间与结算'!E311+E404,BS403+IF(C404="重要关系3",E404,0)+IF(AND(C404="魅力",E404&lt;0),E404,0))))</x:f>
        <x:v>0</x:v>
      </x:c>
      <x:c r="BT404">
        <x:f>MAX(0,MIN(BK404,IF(AND(H404=1,C404="重要关系4",LEFT('幕间与结算'!H311,8)="建立新的重要关系"),'幕间与结算'!E311+E404,BT403+IF(C404="重要关系4",E404,0)+IF(AND(C404="魅力",E404&lt;0),E404,0))))</x:f>
        <x:v>0</x:v>
      </x:c>
      <x:c r="BU404">
        <x:f>MAX(0,MIN(BK404,IF(AND(H404=1,C404="重要关系5",LEFT('幕间与结算'!H311,8)="建立新的重要关系"),'幕间与结算'!E311+E404,BU403+IF(C404="重要关系5",E404,0)+IF(AND(C404="魅力",E404&lt;0),E404,0))))</x:f>
        <x:v>0</x:v>
      </x:c>
      <x:c r="BV404">
        <x:f>MAX(0,MIN(BK404,IF(AND(H404=1,C404="重要关系6",LEFT('幕间与结算'!H311,8)="建立新的重要关系"),'幕间与结算'!E311+E404,BV403+IF(C404="重要关系6",E404,0)+IF(AND(C404="魅力",E404&lt;0),E404,0))))</x:f>
        <x:v>0</x:v>
      </x:c>
      <x:c r="BW404">
        <x:f>MAX(0,MIN(BK404,IF(AND(H404=1,C404="重要关系7",LEFT('幕间与结算'!H311,8)="建立新的重要关系"),'幕间与结算'!E311+E404,BW403+IF(C404="重要关系7",E404,0)+IF(AND(C404="魅力",E404&lt;0),E404,0))))</x:f>
        <x:v>0</x:v>
      </x:c>
    </x:row>
    <x:row r="405">
      <x:c r="A405" t="str">
        <x:f>IFERROR(TEXT(VALUE('幕间与结算'!A312),"00"),"")</x:f>
        <x:v>00</x:v>
      </x:c>
      <x:c r="B405">
        <x:f>'幕间与结算'!B312</x:f>
        <x:v>0</x:v>
      </x:c>
      <x:c r="C405">
        <x:f>'幕间与结算'!D312</x:f>
        <x:v>0</x:v>
      </x:c>
      <x:c r="D405">
        <x:f>'幕间与结算'!F312</x:f>
        <x:v>0</x:v>
      </x:c>
      <x:c r="E405">
        <x:f>IF(H405=1,MAX(-'幕间与结算'!E312,MIN(D405,IF(LEFT(C405,3)="技能：",99,IF(COUNTIF($L$2:$L$7,C405)&gt;0,18,999))-'幕间与结算'!E312)),0)</x:f>
        <x:v>0</x:v>
      </x:c>
      <x:c r="F405" t="str">
        <x:f>IF(C405=0,"",IF(G405=0,"记录不完整",IF(H405=0,"重复未计","已计入")))</x:f>
        <x:v/>
      </x:c>
      <x:c r="G405">
        <x:f>IF(AND(AND('幕间与结算'!A312&lt;&gt;"",'幕间与结算'!B312&lt;&gt;"",'幕间与结算'!I312&lt;&gt;"",OR(LEFT(C405,3)="技能：",COUNTIF($L$2:$L$19,C405)&gt;0),ISNUMBER('幕间与结算'!E312),ISNUMBER('幕间与结算'!F312),ISNUMBER('幕间与结算'!G312),'幕间与结算'!E312&gt;=0,'幕间与结算'!G312='幕间与结算'!E312+'幕间与结算'!F312),OR(B405&lt;&gt;"成长",AND(LEFT(C405,3)="技能：",C405&lt;&gt;"技能：非自然知识",'幕间与结算'!E312&gt;=1,'幕间与结算'!E312&lt;=99,'幕间与结算'!F312&gt;=0,'幕间与结算'!F312&lt;=4,'幕间与结算'!G312&lt;=99))),1,0)</x:f>
        <x:v>0</x:v>
      </x:c>
      <x:c r="H405">
        <x:f>IF(AND(G405=1,COUNTIFS($I$200:I405,I405,$G$200:G405,1)=1),1,0)</x:f>
        <x:v>0</x:v>
      </x:c>
      <x:c r="I405" t="str">
        <x:f>IF(G405=1,IF(B405="成长",A405&amp;"-成长-"&amp;C405,'幕间与结算'!I312),"")</x:f>
        <x:v/>
      </x:c>
      <x:c r="BF405">
        <x:f>MAX(0,MIN(18,BF404+IF(C405="力量",E405,0)))</x:f>
        <x:v>0</x:v>
      </x:c>
      <x:c r="BG405">
        <x:f>MAX(0,MIN(18,BG404+IF(C405="体质",E405,0)))</x:f>
        <x:v>0</x:v>
      </x:c>
      <x:c r="BH405">
        <x:f>MAX(0,MIN(18,BH404+IF(C405="敏捷",E405,0)))</x:f>
        <x:v>0</x:v>
      </x:c>
      <x:c r="BI405">
        <x:f>MAX(0,MIN(18,BI404+IF(C405="智力",E405,0)))</x:f>
        <x:v>0</x:v>
      </x:c>
      <x:c r="BJ405">
        <x:f>MAX(0,MIN(18,BJ404+IF(C405="意志",E405,0)))</x:f>
        <x:v>0</x:v>
      </x:c>
      <x:c r="BK405">
        <x:f>MAX(0,MIN(18,BK404+IF(C405="魅力",E405,0)))</x:f>
        <x:v>0</x:v>
      </x:c>
      <x:c r="BL405">
        <x:f>MAX(0,MIN(99,BL404+IF(C405="技能：非自然知识",E405,0)))</x:f>
        <x:v>0</x:v>
      </x:c>
      <x:c r="BM405">
        <x:f>MAX(0,MIN(CEILING((BF405+BG405)/2,1),BM404+IF(C405="体力",E405,0)))</x:f>
        <x:v>0</x:v>
      </x:c>
      <x:c r="BN405">
        <x:f>MAX(0,MIN(BJ405,BN404+IF(C405="毅力",E405,0)))</x:f>
        <x:v>0</x:v>
      </x:c>
      <x:c r="BO405">
        <x:f>MAX(0,MIN(99-BL405,BO404+IF(C405="理智",E405,0)))</x:f>
        <x:v>0</x:v>
      </x:c>
      <x:c r="BP405">
        <x:f>MAX(0,MIN(99,BP404+IF(C405="崩溃点",E405,0)))</x:f>
        <x:v>0</x:v>
      </x:c>
      <x:c r="BQ405">
        <x:f>MAX(0,MIN(BK405,IF(AND(H405=1,C405="重要关系1",LEFT('幕间与结算'!H312,8)="建立新的重要关系"),'幕间与结算'!E312+E405,BQ404+IF(C405="重要关系1",E405,0)+IF(AND(C405="魅力",E405&lt;0),E405,0))))</x:f>
        <x:v>0</x:v>
      </x:c>
      <x:c r="BR405">
        <x:f>MAX(0,MIN(BK405,IF(AND(H405=1,C405="重要关系2",LEFT('幕间与结算'!H312,8)="建立新的重要关系"),'幕间与结算'!E312+E405,BR404+IF(C405="重要关系2",E405,0)+IF(AND(C405="魅力",E405&lt;0),E405,0))))</x:f>
        <x:v>0</x:v>
      </x:c>
      <x:c r="BS405">
        <x:f>MAX(0,MIN(BK405,IF(AND(H405=1,C405="重要关系3",LEFT('幕间与结算'!H312,8)="建立新的重要关系"),'幕间与结算'!E312+E405,BS404+IF(C405="重要关系3",E405,0)+IF(AND(C405="魅力",E405&lt;0),E405,0))))</x:f>
        <x:v>0</x:v>
      </x:c>
      <x:c r="BT405">
        <x:f>MAX(0,MIN(BK405,IF(AND(H405=1,C405="重要关系4",LEFT('幕间与结算'!H312,8)="建立新的重要关系"),'幕间与结算'!E312+E405,BT404+IF(C405="重要关系4",E405,0)+IF(AND(C405="魅力",E405&lt;0),E405,0))))</x:f>
        <x:v>0</x:v>
      </x:c>
      <x:c r="BU405">
        <x:f>MAX(0,MIN(BK405,IF(AND(H405=1,C405="重要关系5",LEFT('幕间与结算'!H312,8)="建立新的重要关系"),'幕间与结算'!E312+E405,BU404+IF(C405="重要关系5",E405,0)+IF(AND(C405="魅力",E405&lt;0),E405,0))))</x:f>
        <x:v>0</x:v>
      </x:c>
      <x:c r="BV405">
        <x:f>MAX(0,MIN(BK405,IF(AND(H405=1,C405="重要关系6",LEFT('幕间与结算'!H312,8)="建立新的重要关系"),'幕间与结算'!E312+E405,BV404+IF(C405="重要关系6",E405,0)+IF(AND(C405="魅力",E405&lt;0),E405,0))))</x:f>
        <x:v>0</x:v>
      </x:c>
      <x:c r="BW405">
        <x:f>MAX(0,MIN(BK405,IF(AND(H405=1,C405="重要关系7",LEFT('幕间与结算'!H312,8)="建立新的重要关系"),'幕间与结算'!E312+E405,BW404+IF(C405="重要关系7",E405,0)+IF(AND(C405="魅力",E405&lt;0),E405,0))))</x:f>
        <x:v>0</x:v>
      </x:c>
    </x:row>
    <x:row r="406">
      <x:c r="A406" t="str">
        <x:f>IFERROR(TEXT(VALUE('幕间与结算'!A313),"00"),"")</x:f>
        <x:v>00</x:v>
      </x:c>
      <x:c r="B406">
        <x:f>'幕间与结算'!B313</x:f>
        <x:v>0</x:v>
      </x:c>
      <x:c r="C406">
        <x:f>'幕间与结算'!D313</x:f>
        <x:v>0</x:v>
      </x:c>
      <x:c r="D406">
        <x:f>'幕间与结算'!F313</x:f>
        <x:v>0</x:v>
      </x:c>
      <x:c r="E406">
        <x:f>IF(H406=1,MAX(-'幕间与结算'!E313,MIN(D406,IF(LEFT(C406,3)="技能：",99,IF(COUNTIF($L$2:$L$7,C406)&gt;0,18,999))-'幕间与结算'!E313)),0)</x:f>
        <x:v>0</x:v>
      </x:c>
      <x:c r="F406" t="str">
        <x:f>IF(C406=0,"",IF(G406=0,"记录不完整",IF(H406=0,"重复未计","已计入")))</x:f>
        <x:v/>
      </x:c>
      <x:c r="G406">
        <x:f>IF(AND(AND('幕间与结算'!A313&lt;&gt;"",'幕间与结算'!B313&lt;&gt;"",'幕间与结算'!I313&lt;&gt;"",OR(LEFT(C406,3)="技能：",COUNTIF($L$2:$L$19,C406)&gt;0),ISNUMBER('幕间与结算'!E313),ISNUMBER('幕间与结算'!F313),ISNUMBER('幕间与结算'!G313),'幕间与结算'!E313&gt;=0,'幕间与结算'!G313='幕间与结算'!E313+'幕间与结算'!F313),OR(B406&lt;&gt;"成长",AND(LEFT(C406,3)="技能：",C406&lt;&gt;"技能：非自然知识",'幕间与结算'!E313&gt;=1,'幕间与结算'!E313&lt;=99,'幕间与结算'!F313&gt;=0,'幕间与结算'!F313&lt;=4,'幕间与结算'!G313&lt;=99))),1,0)</x:f>
        <x:v>0</x:v>
      </x:c>
      <x:c r="H406">
        <x:f>IF(AND(G406=1,COUNTIFS($I$200:I406,I406,$G$200:G406,1)=1),1,0)</x:f>
        <x:v>0</x:v>
      </x:c>
      <x:c r="I406" t="str">
        <x:f>IF(G406=1,IF(B406="成长",A406&amp;"-成长-"&amp;C406,'幕间与结算'!I313),"")</x:f>
        <x:v/>
      </x:c>
      <x:c r="BF406">
        <x:f>MAX(0,MIN(18,BF405+IF(C406="力量",E406,0)))</x:f>
        <x:v>0</x:v>
      </x:c>
      <x:c r="BG406">
        <x:f>MAX(0,MIN(18,BG405+IF(C406="体质",E406,0)))</x:f>
        <x:v>0</x:v>
      </x:c>
      <x:c r="BH406">
        <x:f>MAX(0,MIN(18,BH405+IF(C406="敏捷",E406,0)))</x:f>
        <x:v>0</x:v>
      </x:c>
      <x:c r="BI406">
        <x:f>MAX(0,MIN(18,BI405+IF(C406="智力",E406,0)))</x:f>
        <x:v>0</x:v>
      </x:c>
      <x:c r="BJ406">
        <x:f>MAX(0,MIN(18,BJ405+IF(C406="意志",E406,0)))</x:f>
        <x:v>0</x:v>
      </x:c>
      <x:c r="BK406">
        <x:f>MAX(0,MIN(18,BK405+IF(C406="魅力",E406,0)))</x:f>
        <x:v>0</x:v>
      </x:c>
      <x:c r="BL406">
        <x:f>MAX(0,MIN(99,BL405+IF(C406="技能：非自然知识",E406,0)))</x:f>
        <x:v>0</x:v>
      </x:c>
      <x:c r="BM406">
        <x:f>MAX(0,MIN(CEILING((BF406+BG406)/2,1),BM405+IF(C406="体力",E406,0)))</x:f>
        <x:v>0</x:v>
      </x:c>
      <x:c r="BN406">
        <x:f>MAX(0,MIN(BJ406,BN405+IF(C406="毅力",E406,0)))</x:f>
        <x:v>0</x:v>
      </x:c>
      <x:c r="BO406">
        <x:f>MAX(0,MIN(99-BL406,BO405+IF(C406="理智",E406,0)))</x:f>
        <x:v>0</x:v>
      </x:c>
      <x:c r="BP406">
        <x:f>MAX(0,MIN(99,BP405+IF(C406="崩溃点",E406,0)))</x:f>
        <x:v>0</x:v>
      </x:c>
      <x:c r="BQ406">
        <x:f>MAX(0,MIN(BK406,IF(AND(H406=1,C406="重要关系1",LEFT('幕间与结算'!H313,8)="建立新的重要关系"),'幕间与结算'!E313+E406,BQ405+IF(C406="重要关系1",E406,0)+IF(AND(C406="魅力",E406&lt;0),E406,0))))</x:f>
        <x:v>0</x:v>
      </x:c>
      <x:c r="BR406">
        <x:f>MAX(0,MIN(BK406,IF(AND(H406=1,C406="重要关系2",LEFT('幕间与结算'!H313,8)="建立新的重要关系"),'幕间与结算'!E313+E406,BR405+IF(C406="重要关系2",E406,0)+IF(AND(C406="魅力",E406&lt;0),E406,0))))</x:f>
        <x:v>0</x:v>
      </x:c>
      <x:c r="BS406">
        <x:f>MAX(0,MIN(BK406,IF(AND(H406=1,C406="重要关系3",LEFT('幕间与结算'!H313,8)="建立新的重要关系"),'幕间与结算'!E313+E406,BS405+IF(C406="重要关系3",E406,0)+IF(AND(C406="魅力",E406&lt;0),E406,0))))</x:f>
        <x:v>0</x:v>
      </x:c>
      <x:c r="BT406">
        <x:f>MAX(0,MIN(BK406,IF(AND(H406=1,C406="重要关系4",LEFT('幕间与结算'!H313,8)="建立新的重要关系"),'幕间与结算'!E313+E406,BT405+IF(C406="重要关系4",E406,0)+IF(AND(C406="魅力",E406&lt;0),E406,0))))</x:f>
        <x:v>0</x:v>
      </x:c>
      <x:c r="BU406">
        <x:f>MAX(0,MIN(BK406,IF(AND(H406=1,C406="重要关系5",LEFT('幕间与结算'!H313,8)="建立新的重要关系"),'幕间与结算'!E313+E406,BU405+IF(C406="重要关系5",E406,0)+IF(AND(C406="魅力",E406&lt;0),E406,0))))</x:f>
        <x:v>0</x:v>
      </x:c>
      <x:c r="BV406">
        <x:f>MAX(0,MIN(BK406,IF(AND(H406=1,C406="重要关系6",LEFT('幕间与结算'!H313,8)="建立新的重要关系"),'幕间与结算'!E313+E406,BV405+IF(C406="重要关系6",E406,0)+IF(AND(C406="魅力",E406&lt;0),E406,0))))</x:f>
        <x:v>0</x:v>
      </x:c>
      <x:c r="BW406">
        <x:f>MAX(0,MIN(BK406,IF(AND(H406=1,C406="重要关系7",LEFT('幕间与结算'!H313,8)="建立新的重要关系"),'幕间与结算'!E313+E406,BW405+IF(C406="重要关系7",E406,0)+IF(AND(C406="魅力",E406&lt;0),E406,0))))</x:f>
        <x:v>0</x:v>
      </x:c>
    </x:row>
    <x:row r="407">
      <x:c r="A407" t="str">
        <x:f>IFERROR(TEXT(VALUE('幕间与结算'!A314),"00"),"")</x:f>
        <x:v>00</x:v>
      </x:c>
      <x:c r="B407">
        <x:f>'幕间与结算'!B314</x:f>
        <x:v>0</x:v>
      </x:c>
      <x:c r="C407">
        <x:f>'幕间与结算'!D314</x:f>
        <x:v>0</x:v>
      </x:c>
      <x:c r="D407">
        <x:f>'幕间与结算'!F314</x:f>
        <x:v>0</x:v>
      </x:c>
      <x:c r="E407">
        <x:f>IF(H407=1,MAX(-'幕间与结算'!E314,MIN(D407,IF(LEFT(C407,3)="技能：",99,IF(COUNTIF($L$2:$L$7,C407)&gt;0,18,999))-'幕间与结算'!E314)),0)</x:f>
        <x:v>0</x:v>
      </x:c>
      <x:c r="F407" t="str">
        <x:f>IF(C407=0,"",IF(G407=0,"记录不完整",IF(H407=0,"重复未计","已计入")))</x:f>
        <x:v/>
      </x:c>
      <x:c r="G407">
        <x:f>IF(AND(AND('幕间与结算'!A314&lt;&gt;"",'幕间与结算'!B314&lt;&gt;"",'幕间与结算'!I314&lt;&gt;"",OR(LEFT(C407,3)="技能：",COUNTIF($L$2:$L$19,C407)&gt;0),ISNUMBER('幕间与结算'!E314),ISNUMBER('幕间与结算'!F314),ISNUMBER('幕间与结算'!G314),'幕间与结算'!E314&gt;=0,'幕间与结算'!G314='幕间与结算'!E314+'幕间与结算'!F314),OR(B407&lt;&gt;"成长",AND(LEFT(C407,3)="技能：",C407&lt;&gt;"技能：非自然知识",'幕间与结算'!E314&gt;=1,'幕间与结算'!E314&lt;=99,'幕间与结算'!F314&gt;=0,'幕间与结算'!F314&lt;=4,'幕间与结算'!G314&lt;=99))),1,0)</x:f>
        <x:v>0</x:v>
      </x:c>
      <x:c r="H407">
        <x:f>IF(AND(G407=1,COUNTIFS($I$200:I407,I407,$G$200:G407,1)=1),1,0)</x:f>
        <x:v>0</x:v>
      </x:c>
      <x:c r="I407" t="str">
        <x:f>IF(G407=1,IF(B407="成长",A407&amp;"-成长-"&amp;C407,'幕间与结算'!I314),"")</x:f>
        <x:v/>
      </x:c>
      <x:c r="BF407">
        <x:f>MAX(0,MIN(18,BF406+IF(C407="力量",E407,0)))</x:f>
        <x:v>0</x:v>
      </x:c>
      <x:c r="BG407">
        <x:f>MAX(0,MIN(18,BG406+IF(C407="体质",E407,0)))</x:f>
        <x:v>0</x:v>
      </x:c>
      <x:c r="BH407">
        <x:f>MAX(0,MIN(18,BH406+IF(C407="敏捷",E407,0)))</x:f>
        <x:v>0</x:v>
      </x:c>
      <x:c r="BI407">
        <x:f>MAX(0,MIN(18,BI406+IF(C407="智力",E407,0)))</x:f>
        <x:v>0</x:v>
      </x:c>
      <x:c r="BJ407">
        <x:f>MAX(0,MIN(18,BJ406+IF(C407="意志",E407,0)))</x:f>
        <x:v>0</x:v>
      </x:c>
      <x:c r="BK407">
        <x:f>MAX(0,MIN(18,BK406+IF(C407="魅力",E407,0)))</x:f>
        <x:v>0</x:v>
      </x:c>
      <x:c r="BL407">
        <x:f>MAX(0,MIN(99,BL406+IF(C407="技能：非自然知识",E407,0)))</x:f>
        <x:v>0</x:v>
      </x:c>
      <x:c r="BM407">
        <x:f>MAX(0,MIN(CEILING((BF407+BG407)/2,1),BM406+IF(C407="体力",E407,0)))</x:f>
        <x:v>0</x:v>
      </x:c>
      <x:c r="BN407">
        <x:f>MAX(0,MIN(BJ407,BN406+IF(C407="毅力",E407,0)))</x:f>
        <x:v>0</x:v>
      </x:c>
      <x:c r="BO407">
        <x:f>MAX(0,MIN(99-BL407,BO406+IF(C407="理智",E407,0)))</x:f>
        <x:v>0</x:v>
      </x:c>
      <x:c r="BP407">
        <x:f>MAX(0,MIN(99,BP406+IF(C407="崩溃点",E407,0)))</x:f>
        <x:v>0</x:v>
      </x:c>
      <x:c r="BQ407">
        <x:f>MAX(0,MIN(BK407,IF(AND(H407=1,C407="重要关系1",LEFT('幕间与结算'!H314,8)="建立新的重要关系"),'幕间与结算'!E314+E407,BQ406+IF(C407="重要关系1",E407,0)+IF(AND(C407="魅力",E407&lt;0),E407,0))))</x:f>
        <x:v>0</x:v>
      </x:c>
      <x:c r="BR407">
        <x:f>MAX(0,MIN(BK407,IF(AND(H407=1,C407="重要关系2",LEFT('幕间与结算'!H314,8)="建立新的重要关系"),'幕间与结算'!E314+E407,BR406+IF(C407="重要关系2",E407,0)+IF(AND(C407="魅力",E407&lt;0),E407,0))))</x:f>
        <x:v>0</x:v>
      </x:c>
      <x:c r="BS407">
        <x:f>MAX(0,MIN(BK407,IF(AND(H407=1,C407="重要关系3",LEFT('幕间与结算'!H314,8)="建立新的重要关系"),'幕间与结算'!E314+E407,BS406+IF(C407="重要关系3",E407,0)+IF(AND(C407="魅力",E407&lt;0),E407,0))))</x:f>
        <x:v>0</x:v>
      </x:c>
      <x:c r="BT407">
        <x:f>MAX(0,MIN(BK407,IF(AND(H407=1,C407="重要关系4",LEFT('幕间与结算'!H314,8)="建立新的重要关系"),'幕间与结算'!E314+E407,BT406+IF(C407="重要关系4",E407,0)+IF(AND(C407="魅力",E407&lt;0),E407,0))))</x:f>
        <x:v>0</x:v>
      </x:c>
      <x:c r="BU407">
        <x:f>MAX(0,MIN(BK407,IF(AND(H407=1,C407="重要关系5",LEFT('幕间与结算'!H314,8)="建立新的重要关系"),'幕间与结算'!E314+E407,BU406+IF(C407="重要关系5",E407,0)+IF(AND(C407="魅力",E407&lt;0),E407,0))))</x:f>
        <x:v>0</x:v>
      </x:c>
      <x:c r="BV407">
        <x:f>MAX(0,MIN(BK407,IF(AND(H407=1,C407="重要关系6",LEFT('幕间与结算'!H314,8)="建立新的重要关系"),'幕间与结算'!E314+E407,BV406+IF(C407="重要关系6",E407,0)+IF(AND(C407="魅力",E407&lt;0),E407,0))))</x:f>
        <x:v>0</x:v>
      </x:c>
      <x:c r="BW407">
        <x:f>MAX(0,MIN(BK407,IF(AND(H407=1,C407="重要关系7",LEFT('幕间与结算'!H314,8)="建立新的重要关系"),'幕间与结算'!E314+E407,BW406+IF(C407="重要关系7",E407,0)+IF(AND(C407="魅力",E407&lt;0),E407,0))))</x:f>
        <x:v>0</x:v>
      </x:c>
    </x:row>
    <x:row r="408">
      <x:c r="A408" t="str">
        <x:f>IFERROR(TEXT(VALUE('幕间与结算'!A315),"00"),"")</x:f>
        <x:v>00</x:v>
      </x:c>
      <x:c r="B408">
        <x:f>'幕间与结算'!B315</x:f>
        <x:v>0</x:v>
      </x:c>
      <x:c r="C408">
        <x:f>'幕间与结算'!D315</x:f>
        <x:v>0</x:v>
      </x:c>
      <x:c r="D408">
        <x:f>'幕间与结算'!F315</x:f>
        <x:v>0</x:v>
      </x:c>
      <x:c r="E408">
        <x:f>IF(H408=1,MAX(-'幕间与结算'!E315,MIN(D408,IF(LEFT(C408,3)="技能：",99,IF(COUNTIF($L$2:$L$7,C408)&gt;0,18,999))-'幕间与结算'!E315)),0)</x:f>
        <x:v>0</x:v>
      </x:c>
      <x:c r="F408" t="str">
        <x:f>IF(C408=0,"",IF(G408=0,"记录不完整",IF(H408=0,"重复未计","已计入")))</x:f>
        <x:v/>
      </x:c>
      <x:c r="G408">
        <x:f>IF(AND(AND('幕间与结算'!A315&lt;&gt;"",'幕间与结算'!B315&lt;&gt;"",'幕间与结算'!I315&lt;&gt;"",OR(LEFT(C408,3)="技能：",COUNTIF($L$2:$L$19,C408)&gt;0),ISNUMBER('幕间与结算'!E315),ISNUMBER('幕间与结算'!F315),ISNUMBER('幕间与结算'!G315),'幕间与结算'!E315&gt;=0,'幕间与结算'!G315='幕间与结算'!E315+'幕间与结算'!F315),OR(B408&lt;&gt;"成长",AND(LEFT(C408,3)="技能：",C408&lt;&gt;"技能：非自然知识",'幕间与结算'!E315&gt;=1,'幕间与结算'!E315&lt;=99,'幕间与结算'!F315&gt;=0,'幕间与结算'!F315&lt;=4,'幕间与结算'!G315&lt;=99))),1,0)</x:f>
        <x:v>0</x:v>
      </x:c>
      <x:c r="H408">
        <x:f>IF(AND(G408=1,COUNTIFS($I$200:I408,I408,$G$200:G408,1)=1),1,0)</x:f>
        <x:v>0</x:v>
      </x:c>
      <x:c r="I408" t="str">
        <x:f>IF(G408=1,IF(B408="成长",A408&amp;"-成长-"&amp;C408,'幕间与结算'!I315),"")</x:f>
        <x:v/>
      </x:c>
      <x:c r="BF408">
        <x:f>MAX(0,MIN(18,BF407+IF(C408="力量",E408,0)))</x:f>
        <x:v>0</x:v>
      </x:c>
      <x:c r="BG408">
        <x:f>MAX(0,MIN(18,BG407+IF(C408="体质",E408,0)))</x:f>
        <x:v>0</x:v>
      </x:c>
      <x:c r="BH408">
        <x:f>MAX(0,MIN(18,BH407+IF(C408="敏捷",E408,0)))</x:f>
        <x:v>0</x:v>
      </x:c>
      <x:c r="BI408">
        <x:f>MAX(0,MIN(18,BI407+IF(C408="智力",E408,0)))</x:f>
        <x:v>0</x:v>
      </x:c>
      <x:c r="BJ408">
        <x:f>MAX(0,MIN(18,BJ407+IF(C408="意志",E408,0)))</x:f>
        <x:v>0</x:v>
      </x:c>
      <x:c r="BK408">
        <x:f>MAX(0,MIN(18,BK407+IF(C408="魅力",E408,0)))</x:f>
        <x:v>0</x:v>
      </x:c>
      <x:c r="BL408">
        <x:f>MAX(0,MIN(99,BL407+IF(C408="技能：非自然知识",E408,0)))</x:f>
        <x:v>0</x:v>
      </x:c>
      <x:c r="BM408">
        <x:f>MAX(0,MIN(CEILING((BF408+BG408)/2,1),BM407+IF(C408="体力",E408,0)))</x:f>
        <x:v>0</x:v>
      </x:c>
      <x:c r="BN408">
        <x:f>MAX(0,MIN(BJ408,BN407+IF(C408="毅力",E408,0)))</x:f>
        <x:v>0</x:v>
      </x:c>
      <x:c r="BO408">
        <x:f>MAX(0,MIN(99-BL408,BO407+IF(C408="理智",E408,0)))</x:f>
        <x:v>0</x:v>
      </x:c>
      <x:c r="BP408">
        <x:f>MAX(0,MIN(99,BP407+IF(C408="崩溃点",E408,0)))</x:f>
        <x:v>0</x:v>
      </x:c>
      <x:c r="BQ408">
        <x:f>MAX(0,MIN(BK408,IF(AND(H408=1,C408="重要关系1",LEFT('幕间与结算'!H315,8)="建立新的重要关系"),'幕间与结算'!E315+E408,BQ407+IF(C408="重要关系1",E408,0)+IF(AND(C408="魅力",E408&lt;0),E408,0))))</x:f>
        <x:v>0</x:v>
      </x:c>
      <x:c r="BR408">
        <x:f>MAX(0,MIN(BK408,IF(AND(H408=1,C408="重要关系2",LEFT('幕间与结算'!H315,8)="建立新的重要关系"),'幕间与结算'!E315+E408,BR407+IF(C408="重要关系2",E408,0)+IF(AND(C408="魅力",E408&lt;0),E408,0))))</x:f>
        <x:v>0</x:v>
      </x:c>
      <x:c r="BS408">
        <x:f>MAX(0,MIN(BK408,IF(AND(H408=1,C408="重要关系3",LEFT('幕间与结算'!H315,8)="建立新的重要关系"),'幕间与结算'!E315+E408,BS407+IF(C408="重要关系3",E408,0)+IF(AND(C408="魅力",E408&lt;0),E408,0))))</x:f>
        <x:v>0</x:v>
      </x:c>
      <x:c r="BT408">
        <x:f>MAX(0,MIN(BK408,IF(AND(H408=1,C408="重要关系4",LEFT('幕间与结算'!H315,8)="建立新的重要关系"),'幕间与结算'!E315+E408,BT407+IF(C408="重要关系4",E408,0)+IF(AND(C408="魅力",E408&lt;0),E408,0))))</x:f>
        <x:v>0</x:v>
      </x:c>
      <x:c r="BU408">
        <x:f>MAX(0,MIN(BK408,IF(AND(H408=1,C408="重要关系5",LEFT('幕间与结算'!H315,8)="建立新的重要关系"),'幕间与结算'!E315+E408,BU407+IF(C408="重要关系5",E408,0)+IF(AND(C408="魅力",E408&lt;0),E408,0))))</x:f>
        <x:v>0</x:v>
      </x:c>
      <x:c r="BV408">
        <x:f>MAX(0,MIN(BK408,IF(AND(H408=1,C408="重要关系6",LEFT('幕间与结算'!H315,8)="建立新的重要关系"),'幕间与结算'!E315+E408,BV407+IF(C408="重要关系6",E408,0)+IF(AND(C408="魅力",E408&lt;0),E408,0))))</x:f>
        <x:v>0</x:v>
      </x:c>
      <x:c r="BW408">
        <x:f>MAX(0,MIN(BK408,IF(AND(H408=1,C408="重要关系7",LEFT('幕间与结算'!H315,8)="建立新的重要关系"),'幕间与结算'!E315+E408,BW407+IF(C408="重要关系7",E408,0)+IF(AND(C408="魅力",E408&lt;0),E408,0))))</x:f>
        <x:v>0</x:v>
      </x:c>
    </x:row>
    <x:row r="409">
      <x:c r="A409" t="str">
        <x:f>IFERROR(TEXT(VALUE('幕间与结算'!A316),"00"),"")</x:f>
        <x:v>00</x:v>
      </x:c>
      <x:c r="B409">
        <x:f>'幕间与结算'!B316</x:f>
        <x:v>0</x:v>
      </x:c>
      <x:c r="C409">
        <x:f>'幕间与结算'!D316</x:f>
        <x:v>0</x:v>
      </x:c>
      <x:c r="D409">
        <x:f>'幕间与结算'!F316</x:f>
        <x:v>0</x:v>
      </x:c>
      <x:c r="E409">
        <x:f>IF(H409=1,MAX(-'幕间与结算'!E316,MIN(D409,IF(LEFT(C409,3)="技能：",99,IF(COUNTIF($L$2:$L$7,C409)&gt;0,18,999))-'幕间与结算'!E316)),0)</x:f>
        <x:v>0</x:v>
      </x:c>
      <x:c r="F409" t="str">
        <x:f>IF(C409=0,"",IF(G409=0,"记录不完整",IF(H409=0,"重复未计","已计入")))</x:f>
        <x:v/>
      </x:c>
      <x:c r="G409">
        <x:f>IF(AND(AND('幕间与结算'!A316&lt;&gt;"",'幕间与结算'!B316&lt;&gt;"",'幕间与结算'!I316&lt;&gt;"",OR(LEFT(C409,3)="技能：",COUNTIF($L$2:$L$19,C409)&gt;0),ISNUMBER('幕间与结算'!E316),ISNUMBER('幕间与结算'!F316),ISNUMBER('幕间与结算'!G316),'幕间与结算'!E316&gt;=0,'幕间与结算'!G316='幕间与结算'!E316+'幕间与结算'!F316),OR(B409&lt;&gt;"成长",AND(LEFT(C409,3)="技能：",C409&lt;&gt;"技能：非自然知识",'幕间与结算'!E316&gt;=1,'幕间与结算'!E316&lt;=99,'幕间与结算'!F316&gt;=0,'幕间与结算'!F316&lt;=4,'幕间与结算'!G316&lt;=99))),1,0)</x:f>
        <x:v>0</x:v>
      </x:c>
      <x:c r="H409">
        <x:f>IF(AND(G409=1,COUNTIFS($I$200:I409,I409,$G$200:G409,1)=1),1,0)</x:f>
        <x:v>0</x:v>
      </x:c>
      <x:c r="I409" t="str">
        <x:f>IF(G409=1,IF(B409="成长",A409&amp;"-成长-"&amp;C409,'幕间与结算'!I316),"")</x:f>
        <x:v/>
      </x:c>
      <x:c r="BF409">
        <x:f>MAX(0,MIN(18,BF408+IF(C409="力量",E409,0)))</x:f>
        <x:v>0</x:v>
      </x:c>
      <x:c r="BG409">
        <x:f>MAX(0,MIN(18,BG408+IF(C409="体质",E409,0)))</x:f>
        <x:v>0</x:v>
      </x:c>
      <x:c r="BH409">
        <x:f>MAX(0,MIN(18,BH408+IF(C409="敏捷",E409,0)))</x:f>
        <x:v>0</x:v>
      </x:c>
      <x:c r="BI409">
        <x:f>MAX(0,MIN(18,BI408+IF(C409="智力",E409,0)))</x:f>
        <x:v>0</x:v>
      </x:c>
      <x:c r="BJ409">
        <x:f>MAX(0,MIN(18,BJ408+IF(C409="意志",E409,0)))</x:f>
        <x:v>0</x:v>
      </x:c>
      <x:c r="BK409">
        <x:f>MAX(0,MIN(18,BK408+IF(C409="魅力",E409,0)))</x:f>
        <x:v>0</x:v>
      </x:c>
      <x:c r="BL409">
        <x:f>MAX(0,MIN(99,BL408+IF(C409="技能：非自然知识",E409,0)))</x:f>
        <x:v>0</x:v>
      </x:c>
      <x:c r="BM409">
        <x:f>MAX(0,MIN(CEILING((BF409+BG409)/2,1),BM408+IF(C409="体力",E409,0)))</x:f>
        <x:v>0</x:v>
      </x:c>
      <x:c r="BN409">
        <x:f>MAX(0,MIN(BJ409,BN408+IF(C409="毅力",E409,0)))</x:f>
        <x:v>0</x:v>
      </x:c>
      <x:c r="BO409">
        <x:f>MAX(0,MIN(99-BL409,BO408+IF(C409="理智",E409,0)))</x:f>
        <x:v>0</x:v>
      </x:c>
      <x:c r="BP409">
        <x:f>MAX(0,MIN(99,BP408+IF(C409="崩溃点",E409,0)))</x:f>
        <x:v>0</x:v>
      </x:c>
      <x:c r="BQ409">
        <x:f>MAX(0,MIN(BK409,IF(AND(H409=1,C409="重要关系1",LEFT('幕间与结算'!H316,8)="建立新的重要关系"),'幕间与结算'!E316+E409,BQ408+IF(C409="重要关系1",E409,0)+IF(AND(C409="魅力",E409&lt;0),E409,0))))</x:f>
        <x:v>0</x:v>
      </x:c>
      <x:c r="BR409">
        <x:f>MAX(0,MIN(BK409,IF(AND(H409=1,C409="重要关系2",LEFT('幕间与结算'!H316,8)="建立新的重要关系"),'幕间与结算'!E316+E409,BR408+IF(C409="重要关系2",E409,0)+IF(AND(C409="魅力",E409&lt;0),E409,0))))</x:f>
        <x:v>0</x:v>
      </x:c>
      <x:c r="BS409">
        <x:f>MAX(0,MIN(BK409,IF(AND(H409=1,C409="重要关系3",LEFT('幕间与结算'!H316,8)="建立新的重要关系"),'幕间与结算'!E316+E409,BS408+IF(C409="重要关系3",E409,0)+IF(AND(C409="魅力",E409&lt;0),E409,0))))</x:f>
        <x:v>0</x:v>
      </x:c>
      <x:c r="BT409">
        <x:f>MAX(0,MIN(BK409,IF(AND(H409=1,C409="重要关系4",LEFT('幕间与结算'!H316,8)="建立新的重要关系"),'幕间与结算'!E316+E409,BT408+IF(C409="重要关系4",E409,0)+IF(AND(C409="魅力",E409&lt;0),E409,0))))</x:f>
        <x:v>0</x:v>
      </x:c>
      <x:c r="BU409">
        <x:f>MAX(0,MIN(BK409,IF(AND(H409=1,C409="重要关系5",LEFT('幕间与结算'!H316,8)="建立新的重要关系"),'幕间与结算'!E316+E409,BU408+IF(C409="重要关系5",E409,0)+IF(AND(C409="魅力",E409&lt;0),E409,0))))</x:f>
        <x:v>0</x:v>
      </x:c>
      <x:c r="BV409">
        <x:f>MAX(0,MIN(BK409,IF(AND(H409=1,C409="重要关系6",LEFT('幕间与结算'!H316,8)="建立新的重要关系"),'幕间与结算'!E316+E409,BV408+IF(C409="重要关系6",E409,0)+IF(AND(C409="魅力",E409&lt;0),E409,0))))</x:f>
        <x:v>0</x:v>
      </x:c>
      <x:c r="BW409">
        <x:f>MAX(0,MIN(BK409,IF(AND(H409=1,C409="重要关系7",LEFT('幕间与结算'!H316,8)="建立新的重要关系"),'幕间与结算'!E316+E409,BW408+IF(C409="重要关系7",E409,0)+IF(AND(C409="魅力",E409&lt;0),E409,0))))</x:f>
        <x:v>0</x:v>
      </x:c>
    </x:row>
    <x:row r="410">
      <x:c r="A410" t="str">
        <x:f>IFERROR(TEXT(VALUE('幕间与结算'!A317),"00"),"")</x:f>
        <x:v>00</x:v>
      </x:c>
      <x:c r="B410">
        <x:f>'幕间与结算'!B317</x:f>
        <x:v>0</x:v>
      </x:c>
      <x:c r="C410">
        <x:f>'幕间与结算'!D317</x:f>
        <x:v>0</x:v>
      </x:c>
      <x:c r="D410">
        <x:f>'幕间与结算'!F317</x:f>
        <x:v>0</x:v>
      </x:c>
      <x:c r="E410">
        <x:f>IF(H410=1,MAX(-'幕间与结算'!E317,MIN(D410,IF(LEFT(C410,3)="技能：",99,IF(COUNTIF($L$2:$L$7,C410)&gt;0,18,999))-'幕间与结算'!E317)),0)</x:f>
        <x:v>0</x:v>
      </x:c>
      <x:c r="F410" t="str">
        <x:f>IF(C410=0,"",IF(G410=0,"记录不完整",IF(H410=0,"重复未计","已计入")))</x:f>
        <x:v/>
      </x:c>
      <x:c r="G410">
        <x:f>IF(AND(AND('幕间与结算'!A317&lt;&gt;"",'幕间与结算'!B317&lt;&gt;"",'幕间与结算'!I317&lt;&gt;"",OR(LEFT(C410,3)="技能：",COUNTIF($L$2:$L$19,C410)&gt;0),ISNUMBER('幕间与结算'!E317),ISNUMBER('幕间与结算'!F317),ISNUMBER('幕间与结算'!G317),'幕间与结算'!E317&gt;=0,'幕间与结算'!G317='幕间与结算'!E317+'幕间与结算'!F317),OR(B410&lt;&gt;"成长",AND(LEFT(C410,3)="技能：",C410&lt;&gt;"技能：非自然知识",'幕间与结算'!E317&gt;=1,'幕间与结算'!E317&lt;=99,'幕间与结算'!F317&gt;=0,'幕间与结算'!F317&lt;=4,'幕间与结算'!G317&lt;=99))),1,0)</x:f>
        <x:v>0</x:v>
      </x:c>
      <x:c r="H410">
        <x:f>IF(AND(G410=1,COUNTIFS($I$200:I410,I410,$G$200:G410,1)=1),1,0)</x:f>
        <x:v>0</x:v>
      </x:c>
      <x:c r="I410" t="str">
        <x:f>IF(G410=1,IF(B410="成长",A410&amp;"-成长-"&amp;C410,'幕间与结算'!I317),"")</x:f>
        <x:v/>
      </x:c>
      <x:c r="BF410">
        <x:f>MAX(0,MIN(18,BF409+IF(C410="力量",E410,0)))</x:f>
        <x:v>0</x:v>
      </x:c>
      <x:c r="BG410">
        <x:f>MAX(0,MIN(18,BG409+IF(C410="体质",E410,0)))</x:f>
        <x:v>0</x:v>
      </x:c>
      <x:c r="BH410">
        <x:f>MAX(0,MIN(18,BH409+IF(C410="敏捷",E410,0)))</x:f>
        <x:v>0</x:v>
      </x:c>
      <x:c r="BI410">
        <x:f>MAX(0,MIN(18,BI409+IF(C410="智力",E410,0)))</x:f>
        <x:v>0</x:v>
      </x:c>
      <x:c r="BJ410">
        <x:f>MAX(0,MIN(18,BJ409+IF(C410="意志",E410,0)))</x:f>
        <x:v>0</x:v>
      </x:c>
      <x:c r="BK410">
        <x:f>MAX(0,MIN(18,BK409+IF(C410="魅力",E410,0)))</x:f>
        <x:v>0</x:v>
      </x:c>
      <x:c r="BL410">
        <x:f>MAX(0,MIN(99,BL409+IF(C410="技能：非自然知识",E410,0)))</x:f>
        <x:v>0</x:v>
      </x:c>
      <x:c r="BM410">
        <x:f>MAX(0,MIN(CEILING((BF410+BG410)/2,1),BM409+IF(C410="体力",E410,0)))</x:f>
        <x:v>0</x:v>
      </x:c>
      <x:c r="BN410">
        <x:f>MAX(0,MIN(BJ410,BN409+IF(C410="毅力",E410,0)))</x:f>
        <x:v>0</x:v>
      </x:c>
      <x:c r="BO410">
        <x:f>MAX(0,MIN(99-BL410,BO409+IF(C410="理智",E410,0)))</x:f>
        <x:v>0</x:v>
      </x:c>
      <x:c r="BP410">
        <x:f>MAX(0,MIN(99,BP409+IF(C410="崩溃点",E410,0)))</x:f>
        <x:v>0</x:v>
      </x:c>
      <x:c r="BQ410">
        <x:f>MAX(0,MIN(BK410,IF(AND(H410=1,C410="重要关系1",LEFT('幕间与结算'!H317,8)="建立新的重要关系"),'幕间与结算'!E317+E410,BQ409+IF(C410="重要关系1",E410,0)+IF(AND(C410="魅力",E410&lt;0),E410,0))))</x:f>
        <x:v>0</x:v>
      </x:c>
      <x:c r="BR410">
        <x:f>MAX(0,MIN(BK410,IF(AND(H410=1,C410="重要关系2",LEFT('幕间与结算'!H317,8)="建立新的重要关系"),'幕间与结算'!E317+E410,BR409+IF(C410="重要关系2",E410,0)+IF(AND(C410="魅力",E410&lt;0),E410,0))))</x:f>
        <x:v>0</x:v>
      </x:c>
      <x:c r="BS410">
        <x:f>MAX(0,MIN(BK410,IF(AND(H410=1,C410="重要关系3",LEFT('幕间与结算'!H317,8)="建立新的重要关系"),'幕间与结算'!E317+E410,BS409+IF(C410="重要关系3",E410,0)+IF(AND(C410="魅力",E410&lt;0),E410,0))))</x:f>
        <x:v>0</x:v>
      </x:c>
      <x:c r="BT410">
        <x:f>MAX(0,MIN(BK410,IF(AND(H410=1,C410="重要关系4",LEFT('幕间与结算'!H317,8)="建立新的重要关系"),'幕间与结算'!E317+E410,BT409+IF(C410="重要关系4",E410,0)+IF(AND(C410="魅力",E410&lt;0),E410,0))))</x:f>
        <x:v>0</x:v>
      </x:c>
      <x:c r="BU410">
        <x:f>MAX(0,MIN(BK410,IF(AND(H410=1,C410="重要关系5",LEFT('幕间与结算'!H317,8)="建立新的重要关系"),'幕间与结算'!E317+E410,BU409+IF(C410="重要关系5",E410,0)+IF(AND(C410="魅力",E410&lt;0),E410,0))))</x:f>
        <x:v>0</x:v>
      </x:c>
      <x:c r="BV410">
        <x:f>MAX(0,MIN(BK410,IF(AND(H410=1,C410="重要关系6",LEFT('幕间与结算'!H317,8)="建立新的重要关系"),'幕间与结算'!E317+E410,BV409+IF(C410="重要关系6",E410,0)+IF(AND(C410="魅力",E410&lt;0),E410,0))))</x:f>
        <x:v>0</x:v>
      </x:c>
      <x:c r="BW410">
        <x:f>MAX(0,MIN(BK410,IF(AND(H410=1,C410="重要关系7",LEFT('幕间与结算'!H317,8)="建立新的重要关系"),'幕间与结算'!E317+E410,BW409+IF(C410="重要关系7",E410,0)+IF(AND(C410="魅力",E410&lt;0),E410,0))))</x:f>
        <x:v>0</x:v>
      </x:c>
    </x:row>
    <x:row r="411">
      <x:c r="A411" t="str">
        <x:f>IFERROR(TEXT(VALUE('幕间与结算'!A318),"00"),"")</x:f>
        <x:v>00</x:v>
      </x:c>
      <x:c r="B411">
        <x:f>'幕间与结算'!B318</x:f>
        <x:v>0</x:v>
      </x:c>
      <x:c r="C411">
        <x:f>'幕间与结算'!D318</x:f>
        <x:v>0</x:v>
      </x:c>
      <x:c r="D411">
        <x:f>'幕间与结算'!F318</x:f>
        <x:v>0</x:v>
      </x:c>
      <x:c r="E411">
        <x:f>IF(H411=1,MAX(-'幕间与结算'!E318,MIN(D411,IF(LEFT(C411,3)="技能：",99,IF(COUNTIF($L$2:$L$7,C411)&gt;0,18,999))-'幕间与结算'!E318)),0)</x:f>
        <x:v>0</x:v>
      </x:c>
      <x:c r="F411" t="str">
        <x:f>IF(C411=0,"",IF(G411=0,"记录不完整",IF(H411=0,"重复未计","已计入")))</x:f>
        <x:v/>
      </x:c>
      <x:c r="G411">
        <x:f>IF(AND(AND('幕间与结算'!A318&lt;&gt;"",'幕间与结算'!B318&lt;&gt;"",'幕间与结算'!I318&lt;&gt;"",OR(LEFT(C411,3)="技能：",COUNTIF($L$2:$L$19,C411)&gt;0),ISNUMBER('幕间与结算'!E318),ISNUMBER('幕间与结算'!F318),ISNUMBER('幕间与结算'!G318),'幕间与结算'!E318&gt;=0,'幕间与结算'!G318='幕间与结算'!E318+'幕间与结算'!F318),OR(B411&lt;&gt;"成长",AND(LEFT(C411,3)="技能：",C411&lt;&gt;"技能：非自然知识",'幕间与结算'!E318&gt;=1,'幕间与结算'!E318&lt;=99,'幕间与结算'!F318&gt;=0,'幕间与结算'!F318&lt;=4,'幕间与结算'!G318&lt;=99))),1,0)</x:f>
        <x:v>0</x:v>
      </x:c>
      <x:c r="H411">
        <x:f>IF(AND(G411=1,COUNTIFS($I$200:I411,I411,$G$200:G411,1)=1),1,0)</x:f>
        <x:v>0</x:v>
      </x:c>
      <x:c r="I411" t="str">
        <x:f>IF(G411=1,IF(B411="成长",A411&amp;"-成长-"&amp;C411,'幕间与结算'!I318),"")</x:f>
        <x:v/>
      </x:c>
      <x:c r="BF411">
        <x:f>MAX(0,MIN(18,BF410+IF(C411="力量",E411,0)))</x:f>
        <x:v>0</x:v>
      </x:c>
      <x:c r="BG411">
        <x:f>MAX(0,MIN(18,BG410+IF(C411="体质",E411,0)))</x:f>
        <x:v>0</x:v>
      </x:c>
      <x:c r="BH411">
        <x:f>MAX(0,MIN(18,BH410+IF(C411="敏捷",E411,0)))</x:f>
        <x:v>0</x:v>
      </x:c>
      <x:c r="BI411">
        <x:f>MAX(0,MIN(18,BI410+IF(C411="智力",E411,0)))</x:f>
        <x:v>0</x:v>
      </x:c>
      <x:c r="BJ411">
        <x:f>MAX(0,MIN(18,BJ410+IF(C411="意志",E411,0)))</x:f>
        <x:v>0</x:v>
      </x:c>
      <x:c r="BK411">
        <x:f>MAX(0,MIN(18,BK410+IF(C411="魅力",E411,0)))</x:f>
        <x:v>0</x:v>
      </x:c>
      <x:c r="BL411">
        <x:f>MAX(0,MIN(99,BL410+IF(C411="技能：非自然知识",E411,0)))</x:f>
        <x:v>0</x:v>
      </x:c>
      <x:c r="BM411">
        <x:f>MAX(0,MIN(CEILING((BF411+BG411)/2,1),BM410+IF(C411="体力",E411,0)))</x:f>
        <x:v>0</x:v>
      </x:c>
      <x:c r="BN411">
        <x:f>MAX(0,MIN(BJ411,BN410+IF(C411="毅力",E411,0)))</x:f>
        <x:v>0</x:v>
      </x:c>
      <x:c r="BO411">
        <x:f>MAX(0,MIN(99-BL411,BO410+IF(C411="理智",E411,0)))</x:f>
        <x:v>0</x:v>
      </x:c>
      <x:c r="BP411">
        <x:f>MAX(0,MIN(99,BP410+IF(C411="崩溃点",E411,0)))</x:f>
        <x:v>0</x:v>
      </x:c>
      <x:c r="BQ411">
        <x:f>MAX(0,MIN(BK411,IF(AND(H411=1,C411="重要关系1",LEFT('幕间与结算'!H318,8)="建立新的重要关系"),'幕间与结算'!E318+E411,BQ410+IF(C411="重要关系1",E411,0)+IF(AND(C411="魅力",E411&lt;0),E411,0))))</x:f>
        <x:v>0</x:v>
      </x:c>
      <x:c r="BR411">
        <x:f>MAX(0,MIN(BK411,IF(AND(H411=1,C411="重要关系2",LEFT('幕间与结算'!H318,8)="建立新的重要关系"),'幕间与结算'!E318+E411,BR410+IF(C411="重要关系2",E411,0)+IF(AND(C411="魅力",E411&lt;0),E411,0))))</x:f>
        <x:v>0</x:v>
      </x:c>
      <x:c r="BS411">
        <x:f>MAX(0,MIN(BK411,IF(AND(H411=1,C411="重要关系3",LEFT('幕间与结算'!H318,8)="建立新的重要关系"),'幕间与结算'!E318+E411,BS410+IF(C411="重要关系3",E411,0)+IF(AND(C411="魅力",E411&lt;0),E411,0))))</x:f>
        <x:v>0</x:v>
      </x:c>
      <x:c r="BT411">
        <x:f>MAX(0,MIN(BK411,IF(AND(H411=1,C411="重要关系4",LEFT('幕间与结算'!H318,8)="建立新的重要关系"),'幕间与结算'!E318+E411,BT410+IF(C411="重要关系4",E411,0)+IF(AND(C411="魅力",E411&lt;0),E411,0))))</x:f>
        <x:v>0</x:v>
      </x:c>
      <x:c r="BU411">
        <x:f>MAX(0,MIN(BK411,IF(AND(H411=1,C411="重要关系5",LEFT('幕间与结算'!H318,8)="建立新的重要关系"),'幕间与结算'!E318+E411,BU410+IF(C411="重要关系5",E411,0)+IF(AND(C411="魅力",E411&lt;0),E411,0))))</x:f>
        <x:v>0</x:v>
      </x:c>
      <x:c r="BV411">
        <x:f>MAX(0,MIN(BK411,IF(AND(H411=1,C411="重要关系6",LEFT('幕间与结算'!H318,8)="建立新的重要关系"),'幕间与结算'!E318+E411,BV410+IF(C411="重要关系6",E411,0)+IF(AND(C411="魅力",E411&lt;0),E411,0))))</x:f>
        <x:v>0</x:v>
      </x:c>
      <x:c r="BW411">
        <x:f>MAX(0,MIN(BK411,IF(AND(H411=1,C411="重要关系7",LEFT('幕间与结算'!H318,8)="建立新的重要关系"),'幕间与结算'!E318+E411,BW410+IF(C411="重要关系7",E411,0)+IF(AND(C411="魅力",E411&lt;0),E411,0))))</x:f>
        <x:v>0</x:v>
      </x:c>
    </x:row>
    <x:row r="412">
      <x:c r="A412" t="str">
        <x:f>IFERROR(TEXT(VALUE('幕间与结算'!A319),"00"),"")</x:f>
        <x:v>00</x:v>
      </x:c>
      <x:c r="B412">
        <x:f>'幕间与结算'!B319</x:f>
        <x:v>0</x:v>
      </x:c>
      <x:c r="C412">
        <x:f>'幕间与结算'!D319</x:f>
        <x:v>0</x:v>
      </x:c>
      <x:c r="D412">
        <x:f>'幕间与结算'!F319</x:f>
        <x:v>0</x:v>
      </x:c>
      <x:c r="E412">
        <x:f>IF(H412=1,MAX(-'幕间与结算'!E319,MIN(D412,IF(LEFT(C412,3)="技能：",99,IF(COUNTIF($L$2:$L$7,C412)&gt;0,18,999))-'幕间与结算'!E319)),0)</x:f>
        <x:v>0</x:v>
      </x:c>
      <x:c r="F412" t="str">
        <x:f>IF(C412=0,"",IF(G412=0,"记录不完整",IF(H412=0,"重复未计","已计入")))</x:f>
        <x:v/>
      </x:c>
      <x:c r="G412">
        <x:f>IF(AND(AND('幕间与结算'!A319&lt;&gt;"",'幕间与结算'!B319&lt;&gt;"",'幕间与结算'!I319&lt;&gt;"",OR(LEFT(C412,3)="技能：",COUNTIF($L$2:$L$19,C412)&gt;0),ISNUMBER('幕间与结算'!E319),ISNUMBER('幕间与结算'!F319),ISNUMBER('幕间与结算'!G319),'幕间与结算'!E319&gt;=0,'幕间与结算'!G319='幕间与结算'!E319+'幕间与结算'!F319),OR(B412&lt;&gt;"成长",AND(LEFT(C412,3)="技能：",C412&lt;&gt;"技能：非自然知识",'幕间与结算'!E319&gt;=1,'幕间与结算'!E319&lt;=99,'幕间与结算'!F319&gt;=0,'幕间与结算'!F319&lt;=4,'幕间与结算'!G319&lt;=99))),1,0)</x:f>
        <x:v>0</x:v>
      </x:c>
      <x:c r="H412">
        <x:f>IF(AND(G412=1,COUNTIFS($I$200:I412,I412,$G$200:G412,1)=1),1,0)</x:f>
        <x:v>0</x:v>
      </x:c>
      <x:c r="I412" t="str">
        <x:f>IF(G412=1,IF(B412="成长",A412&amp;"-成长-"&amp;C412,'幕间与结算'!I319),"")</x:f>
        <x:v/>
      </x:c>
      <x:c r="BF412">
        <x:f>MAX(0,MIN(18,BF411+IF(C412="力量",E412,0)))</x:f>
        <x:v>0</x:v>
      </x:c>
      <x:c r="BG412">
        <x:f>MAX(0,MIN(18,BG411+IF(C412="体质",E412,0)))</x:f>
        <x:v>0</x:v>
      </x:c>
      <x:c r="BH412">
        <x:f>MAX(0,MIN(18,BH411+IF(C412="敏捷",E412,0)))</x:f>
        <x:v>0</x:v>
      </x:c>
      <x:c r="BI412">
        <x:f>MAX(0,MIN(18,BI411+IF(C412="智力",E412,0)))</x:f>
        <x:v>0</x:v>
      </x:c>
      <x:c r="BJ412">
        <x:f>MAX(0,MIN(18,BJ411+IF(C412="意志",E412,0)))</x:f>
        <x:v>0</x:v>
      </x:c>
      <x:c r="BK412">
        <x:f>MAX(0,MIN(18,BK411+IF(C412="魅力",E412,0)))</x:f>
        <x:v>0</x:v>
      </x:c>
      <x:c r="BL412">
        <x:f>MAX(0,MIN(99,BL411+IF(C412="技能：非自然知识",E412,0)))</x:f>
        <x:v>0</x:v>
      </x:c>
      <x:c r="BM412">
        <x:f>MAX(0,MIN(CEILING((BF412+BG412)/2,1),BM411+IF(C412="体力",E412,0)))</x:f>
        <x:v>0</x:v>
      </x:c>
      <x:c r="BN412">
        <x:f>MAX(0,MIN(BJ412,BN411+IF(C412="毅力",E412,0)))</x:f>
        <x:v>0</x:v>
      </x:c>
      <x:c r="BO412">
        <x:f>MAX(0,MIN(99-BL412,BO411+IF(C412="理智",E412,0)))</x:f>
        <x:v>0</x:v>
      </x:c>
      <x:c r="BP412">
        <x:f>MAX(0,MIN(99,BP411+IF(C412="崩溃点",E412,0)))</x:f>
        <x:v>0</x:v>
      </x:c>
      <x:c r="BQ412">
        <x:f>MAX(0,MIN(BK412,IF(AND(H412=1,C412="重要关系1",LEFT('幕间与结算'!H319,8)="建立新的重要关系"),'幕间与结算'!E319+E412,BQ411+IF(C412="重要关系1",E412,0)+IF(AND(C412="魅力",E412&lt;0),E412,0))))</x:f>
        <x:v>0</x:v>
      </x:c>
      <x:c r="BR412">
        <x:f>MAX(0,MIN(BK412,IF(AND(H412=1,C412="重要关系2",LEFT('幕间与结算'!H319,8)="建立新的重要关系"),'幕间与结算'!E319+E412,BR411+IF(C412="重要关系2",E412,0)+IF(AND(C412="魅力",E412&lt;0),E412,0))))</x:f>
        <x:v>0</x:v>
      </x:c>
      <x:c r="BS412">
        <x:f>MAX(0,MIN(BK412,IF(AND(H412=1,C412="重要关系3",LEFT('幕间与结算'!H319,8)="建立新的重要关系"),'幕间与结算'!E319+E412,BS411+IF(C412="重要关系3",E412,0)+IF(AND(C412="魅力",E412&lt;0),E412,0))))</x:f>
        <x:v>0</x:v>
      </x:c>
      <x:c r="BT412">
        <x:f>MAX(0,MIN(BK412,IF(AND(H412=1,C412="重要关系4",LEFT('幕间与结算'!H319,8)="建立新的重要关系"),'幕间与结算'!E319+E412,BT411+IF(C412="重要关系4",E412,0)+IF(AND(C412="魅力",E412&lt;0),E412,0))))</x:f>
        <x:v>0</x:v>
      </x:c>
      <x:c r="BU412">
        <x:f>MAX(0,MIN(BK412,IF(AND(H412=1,C412="重要关系5",LEFT('幕间与结算'!H319,8)="建立新的重要关系"),'幕间与结算'!E319+E412,BU411+IF(C412="重要关系5",E412,0)+IF(AND(C412="魅力",E412&lt;0),E412,0))))</x:f>
        <x:v>0</x:v>
      </x:c>
      <x:c r="BV412">
        <x:f>MAX(0,MIN(BK412,IF(AND(H412=1,C412="重要关系6",LEFT('幕间与结算'!H319,8)="建立新的重要关系"),'幕间与结算'!E319+E412,BV411+IF(C412="重要关系6",E412,0)+IF(AND(C412="魅力",E412&lt;0),E412,0))))</x:f>
        <x:v>0</x:v>
      </x:c>
      <x:c r="BW412">
        <x:f>MAX(0,MIN(BK412,IF(AND(H412=1,C412="重要关系7",LEFT('幕间与结算'!H319,8)="建立新的重要关系"),'幕间与结算'!E319+E412,BW411+IF(C412="重要关系7",E412,0)+IF(AND(C412="魅力",E412&lt;0),E412,0))))</x:f>
        <x:v>0</x:v>
      </x:c>
    </x:row>
    <x:row r="413">
      <x:c r="A413" t="str">
        <x:f>IFERROR(TEXT(VALUE('幕间与结算'!A320),"00"),"")</x:f>
        <x:v>00</x:v>
      </x:c>
      <x:c r="B413">
        <x:f>'幕间与结算'!B320</x:f>
        <x:v>0</x:v>
      </x:c>
      <x:c r="C413">
        <x:f>'幕间与结算'!D320</x:f>
        <x:v>0</x:v>
      </x:c>
      <x:c r="D413">
        <x:f>'幕间与结算'!F320</x:f>
        <x:v>0</x:v>
      </x:c>
      <x:c r="E413">
        <x:f>IF(H413=1,MAX(-'幕间与结算'!E320,MIN(D413,IF(LEFT(C413,3)="技能：",99,IF(COUNTIF($L$2:$L$7,C413)&gt;0,18,999))-'幕间与结算'!E320)),0)</x:f>
        <x:v>0</x:v>
      </x:c>
      <x:c r="F413" t="str">
        <x:f>IF(C413=0,"",IF(G413=0,"记录不完整",IF(H413=0,"重复未计","已计入")))</x:f>
        <x:v/>
      </x:c>
      <x:c r="G413">
        <x:f>IF(AND(AND('幕间与结算'!A320&lt;&gt;"",'幕间与结算'!B320&lt;&gt;"",'幕间与结算'!I320&lt;&gt;"",OR(LEFT(C413,3)="技能：",COUNTIF($L$2:$L$19,C413)&gt;0),ISNUMBER('幕间与结算'!E320),ISNUMBER('幕间与结算'!F320),ISNUMBER('幕间与结算'!G320),'幕间与结算'!E320&gt;=0,'幕间与结算'!G320='幕间与结算'!E320+'幕间与结算'!F320),OR(B413&lt;&gt;"成长",AND(LEFT(C413,3)="技能：",C413&lt;&gt;"技能：非自然知识",'幕间与结算'!E320&gt;=1,'幕间与结算'!E320&lt;=99,'幕间与结算'!F320&gt;=0,'幕间与结算'!F320&lt;=4,'幕间与结算'!G320&lt;=99))),1,0)</x:f>
        <x:v>0</x:v>
      </x:c>
      <x:c r="H413">
        <x:f>IF(AND(G413=1,COUNTIFS($I$200:I413,I413,$G$200:G413,1)=1),1,0)</x:f>
        <x:v>0</x:v>
      </x:c>
      <x:c r="I413" t="str">
        <x:f>IF(G413=1,IF(B413="成长",A413&amp;"-成长-"&amp;C413,'幕间与结算'!I320),"")</x:f>
        <x:v/>
      </x:c>
      <x:c r="BF413">
        <x:f>MAX(0,MIN(18,BF412+IF(C413="力量",E413,0)))</x:f>
        <x:v>0</x:v>
      </x:c>
      <x:c r="BG413">
        <x:f>MAX(0,MIN(18,BG412+IF(C413="体质",E413,0)))</x:f>
        <x:v>0</x:v>
      </x:c>
      <x:c r="BH413">
        <x:f>MAX(0,MIN(18,BH412+IF(C413="敏捷",E413,0)))</x:f>
        <x:v>0</x:v>
      </x:c>
      <x:c r="BI413">
        <x:f>MAX(0,MIN(18,BI412+IF(C413="智力",E413,0)))</x:f>
        <x:v>0</x:v>
      </x:c>
      <x:c r="BJ413">
        <x:f>MAX(0,MIN(18,BJ412+IF(C413="意志",E413,0)))</x:f>
        <x:v>0</x:v>
      </x:c>
      <x:c r="BK413">
        <x:f>MAX(0,MIN(18,BK412+IF(C413="魅力",E413,0)))</x:f>
        <x:v>0</x:v>
      </x:c>
      <x:c r="BL413">
        <x:f>MAX(0,MIN(99,BL412+IF(C413="技能：非自然知识",E413,0)))</x:f>
        <x:v>0</x:v>
      </x:c>
      <x:c r="BM413">
        <x:f>MAX(0,MIN(CEILING((BF413+BG413)/2,1),BM412+IF(C413="体力",E413,0)))</x:f>
        <x:v>0</x:v>
      </x:c>
      <x:c r="BN413">
        <x:f>MAX(0,MIN(BJ413,BN412+IF(C413="毅力",E413,0)))</x:f>
        <x:v>0</x:v>
      </x:c>
      <x:c r="BO413">
        <x:f>MAX(0,MIN(99-BL413,BO412+IF(C413="理智",E413,0)))</x:f>
        <x:v>0</x:v>
      </x:c>
      <x:c r="BP413">
        <x:f>MAX(0,MIN(99,BP412+IF(C413="崩溃点",E413,0)))</x:f>
        <x:v>0</x:v>
      </x:c>
      <x:c r="BQ413">
        <x:f>MAX(0,MIN(BK413,IF(AND(H413=1,C413="重要关系1",LEFT('幕间与结算'!H320,8)="建立新的重要关系"),'幕间与结算'!E320+E413,BQ412+IF(C413="重要关系1",E413,0)+IF(AND(C413="魅力",E413&lt;0),E413,0))))</x:f>
        <x:v>0</x:v>
      </x:c>
      <x:c r="BR413">
        <x:f>MAX(0,MIN(BK413,IF(AND(H413=1,C413="重要关系2",LEFT('幕间与结算'!H320,8)="建立新的重要关系"),'幕间与结算'!E320+E413,BR412+IF(C413="重要关系2",E413,0)+IF(AND(C413="魅力",E413&lt;0),E413,0))))</x:f>
        <x:v>0</x:v>
      </x:c>
      <x:c r="BS413">
        <x:f>MAX(0,MIN(BK413,IF(AND(H413=1,C413="重要关系3",LEFT('幕间与结算'!H320,8)="建立新的重要关系"),'幕间与结算'!E320+E413,BS412+IF(C413="重要关系3",E413,0)+IF(AND(C413="魅力",E413&lt;0),E413,0))))</x:f>
        <x:v>0</x:v>
      </x:c>
      <x:c r="BT413">
        <x:f>MAX(0,MIN(BK413,IF(AND(H413=1,C413="重要关系4",LEFT('幕间与结算'!H320,8)="建立新的重要关系"),'幕间与结算'!E320+E413,BT412+IF(C413="重要关系4",E413,0)+IF(AND(C413="魅力",E413&lt;0),E413,0))))</x:f>
        <x:v>0</x:v>
      </x:c>
      <x:c r="BU413">
        <x:f>MAX(0,MIN(BK413,IF(AND(H413=1,C413="重要关系5",LEFT('幕间与结算'!H320,8)="建立新的重要关系"),'幕间与结算'!E320+E413,BU412+IF(C413="重要关系5",E413,0)+IF(AND(C413="魅力",E413&lt;0),E413,0))))</x:f>
        <x:v>0</x:v>
      </x:c>
      <x:c r="BV413">
        <x:f>MAX(0,MIN(BK413,IF(AND(H413=1,C413="重要关系6",LEFT('幕间与结算'!H320,8)="建立新的重要关系"),'幕间与结算'!E320+E413,BV412+IF(C413="重要关系6",E413,0)+IF(AND(C413="魅力",E413&lt;0),E413,0))))</x:f>
        <x:v>0</x:v>
      </x:c>
      <x:c r="BW413">
        <x:f>MAX(0,MIN(BK413,IF(AND(H413=1,C413="重要关系7",LEFT('幕间与结算'!H320,8)="建立新的重要关系"),'幕间与结算'!E320+E413,BW412+IF(C413="重要关系7",E413,0)+IF(AND(C413="魅力",E413&lt;0),E413,0))))</x:f>
        <x:v>0</x:v>
      </x:c>
    </x:row>
    <x:row r="414">
      <x:c r="A414" t="str">
        <x:f>IFERROR(TEXT(VALUE('幕间与结算'!A321),"00"),"")</x:f>
        <x:v>00</x:v>
      </x:c>
      <x:c r="B414">
        <x:f>'幕间与结算'!B321</x:f>
        <x:v>0</x:v>
      </x:c>
      <x:c r="C414">
        <x:f>'幕间与结算'!D321</x:f>
        <x:v>0</x:v>
      </x:c>
      <x:c r="D414">
        <x:f>'幕间与结算'!F321</x:f>
        <x:v>0</x:v>
      </x:c>
      <x:c r="E414">
        <x:f>IF(H414=1,MAX(-'幕间与结算'!E321,MIN(D414,IF(LEFT(C414,3)="技能：",99,IF(COUNTIF($L$2:$L$7,C414)&gt;0,18,999))-'幕间与结算'!E321)),0)</x:f>
        <x:v>0</x:v>
      </x:c>
      <x:c r="F414" t="str">
        <x:f>IF(C414=0,"",IF(G414=0,"记录不完整",IF(H414=0,"重复未计","已计入")))</x:f>
        <x:v/>
      </x:c>
      <x:c r="G414">
        <x:f>IF(AND(AND('幕间与结算'!A321&lt;&gt;"",'幕间与结算'!B321&lt;&gt;"",'幕间与结算'!I321&lt;&gt;"",OR(LEFT(C414,3)="技能：",COUNTIF($L$2:$L$19,C414)&gt;0),ISNUMBER('幕间与结算'!E321),ISNUMBER('幕间与结算'!F321),ISNUMBER('幕间与结算'!G321),'幕间与结算'!E321&gt;=0,'幕间与结算'!G321='幕间与结算'!E321+'幕间与结算'!F321),OR(B414&lt;&gt;"成长",AND(LEFT(C414,3)="技能：",C414&lt;&gt;"技能：非自然知识",'幕间与结算'!E321&gt;=1,'幕间与结算'!E321&lt;=99,'幕间与结算'!F321&gt;=0,'幕间与结算'!F321&lt;=4,'幕间与结算'!G321&lt;=99))),1,0)</x:f>
        <x:v>0</x:v>
      </x:c>
      <x:c r="H414">
        <x:f>IF(AND(G414=1,COUNTIFS($I$200:I414,I414,$G$200:G414,1)=1),1,0)</x:f>
        <x:v>0</x:v>
      </x:c>
      <x:c r="I414" t="str">
        <x:f>IF(G414=1,IF(B414="成长",A414&amp;"-成长-"&amp;C414,'幕间与结算'!I321),"")</x:f>
        <x:v/>
      </x:c>
      <x:c r="BF414">
        <x:f>MAX(0,MIN(18,BF413+IF(C414="力量",E414,0)))</x:f>
        <x:v>0</x:v>
      </x:c>
      <x:c r="BG414">
        <x:f>MAX(0,MIN(18,BG413+IF(C414="体质",E414,0)))</x:f>
        <x:v>0</x:v>
      </x:c>
      <x:c r="BH414">
        <x:f>MAX(0,MIN(18,BH413+IF(C414="敏捷",E414,0)))</x:f>
        <x:v>0</x:v>
      </x:c>
      <x:c r="BI414">
        <x:f>MAX(0,MIN(18,BI413+IF(C414="智力",E414,0)))</x:f>
        <x:v>0</x:v>
      </x:c>
      <x:c r="BJ414">
        <x:f>MAX(0,MIN(18,BJ413+IF(C414="意志",E414,0)))</x:f>
        <x:v>0</x:v>
      </x:c>
      <x:c r="BK414">
        <x:f>MAX(0,MIN(18,BK413+IF(C414="魅力",E414,0)))</x:f>
        <x:v>0</x:v>
      </x:c>
      <x:c r="BL414">
        <x:f>MAX(0,MIN(99,BL413+IF(C414="技能：非自然知识",E414,0)))</x:f>
        <x:v>0</x:v>
      </x:c>
      <x:c r="BM414">
        <x:f>MAX(0,MIN(CEILING((BF414+BG414)/2,1),BM413+IF(C414="体力",E414,0)))</x:f>
        <x:v>0</x:v>
      </x:c>
      <x:c r="BN414">
        <x:f>MAX(0,MIN(BJ414,BN413+IF(C414="毅力",E414,0)))</x:f>
        <x:v>0</x:v>
      </x:c>
      <x:c r="BO414">
        <x:f>MAX(0,MIN(99-BL414,BO413+IF(C414="理智",E414,0)))</x:f>
        <x:v>0</x:v>
      </x:c>
      <x:c r="BP414">
        <x:f>MAX(0,MIN(99,BP413+IF(C414="崩溃点",E414,0)))</x:f>
        <x:v>0</x:v>
      </x:c>
      <x:c r="BQ414">
        <x:f>MAX(0,MIN(BK414,IF(AND(H414=1,C414="重要关系1",LEFT('幕间与结算'!H321,8)="建立新的重要关系"),'幕间与结算'!E321+E414,BQ413+IF(C414="重要关系1",E414,0)+IF(AND(C414="魅力",E414&lt;0),E414,0))))</x:f>
        <x:v>0</x:v>
      </x:c>
      <x:c r="BR414">
        <x:f>MAX(0,MIN(BK414,IF(AND(H414=1,C414="重要关系2",LEFT('幕间与结算'!H321,8)="建立新的重要关系"),'幕间与结算'!E321+E414,BR413+IF(C414="重要关系2",E414,0)+IF(AND(C414="魅力",E414&lt;0),E414,0))))</x:f>
        <x:v>0</x:v>
      </x:c>
      <x:c r="BS414">
        <x:f>MAX(0,MIN(BK414,IF(AND(H414=1,C414="重要关系3",LEFT('幕间与结算'!H321,8)="建立新的重要关系"),'幕间与结算'!E321+E414,BS413+IF(C414="重要关系3",E414,0)+IF(AND(C414="魅力",E414&lt;0),E414,0))))</x:f>
        <x:v>0</x:v>
      </x:c>
      <x:c r="BT414">
        <x:f>MAX(0,MIN(BK414,IF(AND(H414=1,C414="重要关系4",LEFT('幕间与结算'!H321,8)="建立新的重要关系"),'幕间与结算'!E321+E414,BT413+IF(C414="重要关系4",E414,0)+IF(AND(C414="魅力",E414&lt;0),E414,0))))</x:f>
        <x:v>0</x:v>
      </x:c>
      <x:c r="BU414">
        <x:f>MAX(0,MIN(BK414,IF(AND(H414=1,C414="重要关系5",LEFT('幕间与结算'!H321,8)="建立新的重要关系"),'幕间与结算'!E321+E414,BU413+IF(C414="重要关系5",E414,0)+IF(AND(C414="魅力",E414&lt;0),E414,0))))</x:f>
        <x:v>0</x:v>
      </x:c>
      <x:c r="BV414">
        <x:f>MAX(0,MIN(BK414,IF(AND(H414=1,C414="重要关系6",LEFT('幕间与结算'!H321,8)="建立新的重要关系"),'幕间与结算'!E321+E414,BV413+IF(C414="重要关系6",E414,0)+IF(AND(C414="魅力",E414&lt;0),E414,0))))</x:f>
        <x:v>0</x:v>
      </x:c>
      <x:c r="BW414">
        <x:f>MAX(0,MIN(BK414,IF(AND(H414=1,C414="重要关系7",LEFT('幕间与结算'!H321,8)="建立新的重要关系"),'幕间与结算'!E321+E414,BW413+IF(C414="重要关系7",E414,0)+IF(AND(C414="魅力",E414&lt;0),E414,0))))</x:f>
        <x:v>0</x:v>
      </x:c>
    </x:row>
    <x:row r="415">
      <x:c r="A415" t="str">
        <x:f>IFERROR(TEXT(VALUE('幕间与结算'!A322),"00"),"")</x:f>
        <x:v>00</x:v>
      </x:c>
      <x:c r="B415">
        <x:f>'幕间与结算'!B322</x:f>
        <x:v>0</x:v>
      </x:c>
      <x:c r="C415">
        <x:f>'幕间与结算'!D322</x:f>
        <x:v>0</x:v>
      </x:c>
      <x:c r="D415">
        <x:f>'幕间与结算'!F322</x:f>
        <x:v>0</x:v>
      </x:c>
      <x:c r="E415">
        <x:f>IF(H415=1,MAX(-'幕间与结算'!E322,MIN(D415,IF(LEFT(C415,3)="技能：",99,IF(COUNTIF($L$2:$L$7,C415)&gt;0,18,999))-'幕间与结算'!E322)),0)</x:f>
        <x:v>0</x:v>
      </x:c>
      <x:c r="F415" t="str">
        <x:f>IF(C415=0,"",IF(G415=0,"记录不完整",IF(H415=0,"重复未计","已计入")))</x:f>
        <x:v/>
      </x:c>
      <x:c r="G415">
        <x:f>IF(AND(AND('幕间与结算'!A322&lt;&gt;"",'幕间与结算'!B322&lt;&gt;"",'幕间与结算'!I322&lt;&gt;"",OR(LEFT(C415,3)="技能：",COUNTIF($L$2:$L$19,C415)&gt;0),ISNUMBER('幕间与结算'!E322),ISNUMBER('幕间与结算'!F322),ISNUMBER('幕间与结算'!G322),'幕间与结算'!E322&gt;=0,'幕间与结算'!G322='幕间与结算'!E322+'幕间与结算'!F322),OR(B415&lt;&gt;"成长",AND(LEFT(C415,3)="技能：",C415&lt;&gt;"技能：非自然知识",'幕间与结算'!E322&gt;=1,'幕间与结算'!E322&lt;=99,'幕间与结算'!F322&gt;=0,'幕间与结算'!F322&lt;=4,'幕间与结算'!G322&lt;=99))),1,0)</x:f>
        <x:v>0</x:v>
      </x:c>
      <x:c r="H415">
        <x:f>IF(AND(G415=1,COUNTIFS($I$200:I415,I415,$G$200:G415,1)=1),1,0)</x:f>
        <x:v>0</x:v>
      </x:c>
      <x:c r="I415" t="str">
        <x:f>IF(G415=1,IF(B415="成长",A415&amp;"-成长-"&amp;C415,'幕间与结算'!I322),"")</x:f>
        <x:v/>
      </x:c>
      <x:c r="BF415">
        <x:f>MAX(0,MIN(18,BF414+IF(C415="力量",E415,0)))</x:f>
        <x:v>0</x:v>
      </x:c>
      <x:c r="BG415">
        <x:f>MAX(0,MIN(18,BG414+IF(C415="体质",E415,0)))</x:f>
        <x:v>0</x:v>
      </x:c>
      <x:c r="BH415">
        <x:f>MAX(0,MIN(18,BH414+IF(C415="敏捷",E415,0)))</x:f>
        <x:v>0</x:v>
      </x:c>
      <x:c r="BI415">
        <x:f>MAX(0,MIN(18,BI414+IF(C415="智力",E415,0)))</x:f>
        <x:v>0</x:v>
      </x:c>
      <x:c r="BJ415">
        <x:f>MAX(0,MIN(18,BJ414+IF(C415="意志",E415,0)))</x:f>
        <x:v>0</x:v>
      </x:c>
      <x:c r="BK415">
        <x:f>MAX(0,MIN(18,BK414+IF(C415="魅力",E415,0)))</x:f>
        <x:v>0</x:v>
      </x:c>
      <x:c r="BL415">
        <x:f>MAX(0,MIN(99,BL414+IF(C415="技能：非自然知识",E415,0)))</x:f>
        <x:v>0</x:v>
      </x:c>
      <x:c r="BM415">
        <x:f>MAX(0,MIN(CEILING((BF415+BG415)/2,1),BM414+IF(C415="体力",E415,0)))</x:f>
        <x:v>0</x:v>
      </x:c>
      <x:c r="BN415">
        <x:f>MAX(0,MIN(BJ415,BN414+IF(C415="毅力",E415,0)))</x:f>
        <x:v>0</x:v>
      </x:c>
      <x:c r="BO415">
        <x:f>MAX(0,MIN(99-BL415,BO414+IF(C415="理智",E415,0)))</x:f>
        <x:v>0</x:v>
      </x:c>
      <x:c r="BP415">
        <x:f>MAX(0,MIN(99,BP414+IF(C415="崩溃点",E415,0)))</x:f>
        <x:v>0</x:v>
      </x:c>
      <x:c r="BQ415">
        <x:f>MAX(0,MIN(BK415,IF(AND(H415=1,C415="重要关系1",LEFT('幕间与结算'!H322,8)="建立新的重要关系"),'幕间与结算'!E322+E415,BQ414+IF(C415="重要关系1",E415,0)+IF(AND(C415="魅力",E415&lt;0),E415,0))))</x:f>
        <x:v>0</x:v>
      </x:c>
      <x:c r="BR415">
        <x:f>MAX(0,MIN(BK415,IF(AND(H415=1,C415="重要关系2",LEFT('幕间与结算'!H322,8)="建立新的重要关系"),'幕间与结算'!E322+E415,BR414+IF(C415="重要关系2",E415,0)+IF(AND(C415="魅力",E415&lt;0),E415,0))))</x:f>
        <x:v>0</x:v>
      </x:c>
      <x:c r="BS415">
        <x:f>MAX(0,MIN(BK415,IF(AND(H415=1,C415="重要关系3",LEFT('幕间与结算'!H322,8)="建立新的重要关系"),'幕间与结算'!E322+E415,BS414+IF(C415="重要关系3",E415,0)+IF(AND(C415="魅力",E415&lt;0),E415,0))))</x:f>
        <x:v>0</x:v>
      </x:c>
      <x:c r="BT415">
        <x:f>MAX(0,MIN(BK415,IF(AND(H415=1,C415="重要关系4",LEFT('幕间与结算'!H322,8)="建立新的重要关系"),'幕间与结算'!E322+E415,BT414+IF(C415="重要关系4",E415,0)+IF(AND(C415="魅力",E415&lt;0),E415,0))))</x:f>
        <x:v>0</x:v>
      </x:c>
      <x:c r="BU415">
        <x:f>MAX(0,MIN(BK415,IF(AND(H415=1,C415="重要关系5",LEFT('幕间与结算'!H322,8)="建立新的重要关系"),'幕间与结算'!E322+E415,BU414+IF(C415="重要关系5",E415,0)+IF(AND(C415="魅力",E415&lt;0),E415,0))))</x:f>
        <x:v>0</x:v>
      </x:c>
      <x:c r="BV415">
        <x:f>MAX(0,MIN(BK415,IF(AND(H415=1,C415="重要关系6",LEFT('幕间与结算'!H322,8)="建立新的重要关系"),'幕间与结算'!E322+E415,BV414+IF(C415="重要关系6",E415,0)+IF(AND(C415="魅力",E415&lt;0),E415,0))))</x:f>
        <x:v>0</x:v>
      </x:c>
      <x:c r="BW415">
        <x:f>MAX(0,MIN(BK415,IF(AND(H415=1,C415="重要关系7",LEFT('幕间与结算'!H322,8)="建立新的重要关系"),'幕间与结算'!E322+E415,BW414+IF(C415="重要关系7",E415,0)+IF(AND(C415="魅力",E415&lt;0),E415,0))))</x:f>
        <x:v>0</x:v>
      </x:c>
    </x:row>
    <x:row r="416">
      <x:c r="A416" t="str">
        <x:f>IFERROR(TEXT(VALUE('幕间与结算'!A323),"00"),"")</x:f>
        <x:v>00</x:v>
      </x:c>
      <x:c r="B416">
        <x:f>'幕间与结算'!B323</x:f>
        <x:v>0</x:v>
      </x:c>
      <x:c r="C416">
        <x:f>'幕间与结算'!D323</x:f>
        <x:v>0</x:v>
      </x:c>
      <x:c r="D416">
        <x:f>'幕间与结算'!F323</x:f>
        <x:v>0</x:v>
      </x:c>
      <x:c r="E416">
        <x:f>IF(H416=1,MAX(-'幕间与结算'!E323,MIN(D416,IF(LEFT(C416,3)="技能：",99,IF(COUNTIF($L$2:$L$7,C416)&gt;0,18,999))-'幕间与结算'!E323)),0)</x:f>
        <x:v>0</x:v>
      </x:c>
      <x:c r="F416" t="str">
        <x:f>IF(C416=0,"",IF(G416=0,"记录不完整",IF(H416=0,"重复未计","已计入")))</x:f>
        <x:v/>
      </x:c>
      <x:c r="G416">
        <x:f>IF(AND(AND('幕间与结算'!A323&lt;&gt;"",'幕间与结算'!B323&lt;&gt;"",'幕间与结算'!I323&lt;&gt;"",OR(LEFT(C416,3)="技能：",COUNTIF($L$2:$L$19,C416)&gt;0),ISNUMBER('幕间与结算'!E323),ISNUMBER('幕间与结算'!F323),ISNUMBER('幕间与结算'!G323),'幕间与结算'!E323&gt;=0,'幕间与结算'!G323='幕间与结算'!E323+'幕间与结算'!F323),OR(B416&lt;&gt;"成长",AND(LEFT(C416,3)="技能：",C416&lt;&gt;"技能：非自然知识",'幕间与结算'!E323&gt;=1,'幕间与结算'!E323&lt;=99,'幕间与结算'!F323&gt;=0,'幕间与结算'!F323&lt;=4,'幕间与结算'!G323&lt;=99))),1,0)</x:f>
        <x:v>0</x:v>
      </x:c>
      <x:c r="H416">
        <x:f>IF(AND(G416=1,COUNTIFS($I$200:I416,I416,$G$200:G416,1)=1),1,0)</x:f>
        <x:v>0</x:v>
      </x:c>
      <x:c r="I416" t="str">
        <x:f>IF(G416=1,IF(B416="成长",A416&amp;"-成长-"&amp;C416,'幕间与结算'!I323),"")</x:f>
        <x:v/>
      </x:c>
      <x:c r="BF416">
        <x:f>MAX(0,MIN(18,BF415+IF(C416="力量",E416,0)))</x:f>
        <x:v>0</x:v>
      </x:c>
      <x:c r="BG416">
        <x:f>MAX(0,MIN(18,BG415+IF(C416="体质",E416,0)))</x:f>
        <x:v>0</x:v>
      </x:c>
      <x:c r="BH416">
        <x:f>MAX(0,MIN(18,BH415+IF(C416="敏捷",E416,0)))</x:f>
        <x:v>0</x:v>
      </x:c>
      <x:c r="BI416">
        <x:f>MAX(0,MIN(18,BI415+IF(C416="智力",E416,0)))</x:f>
        <x:v>0</x:v>
      </x:c>
      <x:c r="BJ416">
        <x:f>MAX(0,MIN(18,BJ415+IF(C416="意志",E416,0)))</x:f>
        <x:v>0</x:v>
      </x:c>
      <x:c r="BK416">
        <x:f>MAX(0,MIN(18,BK415+IF(C416="魅力",E416,0)))</x:f>
        <x:v>0</x:v>
      </x:c>
      <x:c r="BL416">
        <x:f>MAX(0,MIN(99,BL415+IF(C416="技能：非自然知识",E416,0)))</x:f>
        <x:v>0</x:v>
      </x:c>
      <x:c r="BM416">
        <x:f>MAX(0,MIN(CEILING((BF416+BG416)/2,1),BM415+IF(C416="体力",E416,0)))</x:f>
        <x:v>0</x:v>
      </x:c>
      <x:c r="BN416">
        <x:f>MAX(0,MIN(BJ416,BN415+IF(C416="毅力",E416,0)))</x:f>
        <x:v>0</x:v>
      </x:c>
      <x:c r="BO416">
        <x:f>MAX(0,MIN(99-BL416,BO415+IF(C416="理智",E416,0)))</x:f>
        <x:v>0</x:v>
      </x:c>
      <x:c r="BP416">
        <x:f>MAX(0,MIN(99,BP415+IF(C416="崩溃点",E416,0)))</x:f>
        <x:v>0</x:v>
      </x:c>
      <x:c r="BQ416">
        <x:f>MAX(0,MIN(BK416,IF(AND(H416=1,C416="重要关系1",LEFT('幕间与结算'!H323,8)="建立新的重要关系"),'幕间与结算'!E323+E416,BQ415+IF(C416="重要关系1",E416,0)+IF(AND(C416="魅力",E416&lt;0),E416,0))))</x:f>
        <x:v>0</x:v>
      </x:c>
      <x:c r="BR416">
        <x:f>MAX(0,MIN(BK416,IF(AND(H416=1,C416="重要关系2",LEFT('幕间与结算'!H323,8)="建立新的重要关系"),'幕间与结算'!E323+E416,BR415+IF(C416="重要关系2",E416,0)+IF(AND(C416="魅力",E416&lt;0),E416,0))))</x:f>
        <x:v>0</x:v>
      </x:c>
      <x:c r="BS416">
        <x:f>MAX(0,MIN(BK416,IF(AND(H416=1,C416="重要关系3",LEFT('幕间与结算'!H323,8)="建立新的重要关系"),'幕间与结算'!E323+E416,BS415+IF(C416="重要关系3",E416,0)+IF(AND(C416="魅力",E416&lt;0),E416,0))))</x:f>
        <x:v>0</x:v>
      </x:c>
      <x:c r="BT416">
        <x:f>MAX(0,MIN(BK416,IF(AND(H416=1,C416="重要关系4",LEFT('幕间与结算'!H323,8)="建立新的重要关系"),'幕间与结算'!E323+E416,BT415+IF(C416="重要关系4",E416,0)+IF(AND(C416="魅力",E416&lt;0),E416,0))))</x:f>
        <x:v>0</x:v>
      </x:c>
      <x:c r="BU416">
        <x:f>MAX(0,MIN(BK416,IF(AND(H416=1,C416="重要关系5",LEFT('幕间与结算'!H323,8)="建立新的重要关系"),'幕间与结算'!E323+E416,BU415+IF(C416="重要关系5",E416,0)+IF(AND(C416="魅力",E416&lt;0),E416,0))))</x:f>
        <x:v>0</x:v>
      </x:c>
      <x:c r="BV416">
        <x:f>MAX(0,MIN(BK416,IF(AND(H416=1,C416="重要关系6",LEFT('幕间与结算'!H323,8)="建立新的重要关系"),'幕间与结算'!E323+E416,BV415+IF(C416="重要关系6",E416,0)+IF(AND(C416="魅力",E416&lt;0),E416,0))))</x:f>
        <x:v>0</x:v>
      </x:c>
      <x:c r="BW416">
        <x:f>MAX(0,MIN(BK416,IF(AND(H416=1,C416="重要关系7",LEFT('幕间与结算'!H323,8)="建立新的重要关系"),'幕间与结算'!E323+E416,BW415+IF(C416="重要关系7",E416,0)+IF(AND(C416="魅力",E416&lt;0),E416,0))))</x:f>
        <x:v>0</x:v>
      </x:c>
    </x:row>
    <x:row r="417">
      <x:c r="A417" t="str">
        <x:f>IFERROR(TEXT(VALUE('幕间与结算'!A324),"00"),"")</x:f>
        <x:v>00</x:v>
      </x:c>
      <x:c r="B417">
        <x:f>'幕间与结算'!B324</x:f>
        <x:v>0</x:v>
      </x:c>
      <x:c r="C417">
        <x:f>'幕间与结算'!D324</x:f>
        <x:v>0</x:v>
      </x:c>
      <x:c r="D417">
        <x:f>'幕间与结算'!F324</x:f>
        <x:v>0</x:v>
      </x:c>
      <x:c r="E417">
        <x:f>IF(H417=1,MAX(-'幕间与结算'!E324,MIN(D417,IF(LEFT(C417,3)="技能：",99,IF(COUNTIF($L$2:$L$7,C417)&gt;0,18,999))-'幕间与结算'!E324)),0)</x:f>
        <x:v>0</x:v>
      </x:c>
      <x:c r="F417" t="str">
        <x:f>IF(C417=0,"",IF(G417=0,"记录不完整",IF(H417=0,"重复未计","已计入")))</x:f>
        <x:v/>
      </x:c>
      <x:c r="G417">
        <x:f>IF(AND(AND('幕间与结算'!A324&lt;&gt;"",'幕间与结算'!B324&lt;&gt;"",'幕间与结算'!I324&lt;&gt;"",OR(LEFT(C417,3)="技能：",COUNTIF($L$2:$L$19,C417)&gt;0),ISNUMBER('幕间与结算'!E324),ISNUMBER('幕间与结算'!F324),ISNUMBER('幕间与结算'!G324),'幕间与结算'!E324&gt;=0,'幕间与结算'!G324='幕间与结算'!E324+'幕间与结算'!F324),OR(B417&lt;&gt;"成长",AND(LEFT(C417,3)="技能：",C417&lt;&gt;"技能：非自然知识",'幕间与结算'!E324&gt;=1,'幕间与结算'!E324&lt;=99,'幕间与结算'!F324&gt;=0,'幕间与结算'!F324&lt;=4,'幕间与结算'!G324&lt;=99))),1,0)</x:f>
        <x:v>0</x:v>
      </x:c>
      <x:c r="H417">
        <x:f>IF(AND(G417=1,COUNTIFS($I$200:I417,I417,$G$200:G417,1)=1),1,0)</x:f>
        <x:v>0</x:v>
      </x:c>
      <x:c r="I417" t="str">
        <x:f>IF(G417=1,IF(B417="成长",A417&amp;"-成长-"&amp;C417,'幕间与结算'!I324),"")</x:f>
        <x:v/>
      </x:c>
      <x:c r="BF417">
        <x:f>MAX(0,MIN(18,BF416+IF(C417="力量",E417,0)))</x:f>
        <x:v>0</x:v>
      </x:c>
      <x:c r="BG417">
        <x:f>MAX(0,MIN(18,BG416+IF(C417="体质",E417,0)))</x:f>
        <x:v>0</x:v>
      </x:c>
      <x:c r="BH417">
        <x:f>MAX(0,MIN(18,BH416+IF(C417="敏捷",E417,0)))</x:f>
        <x:v>0</x:v>
      </x:c>
      <x:c r="BI417">
        <x:f>MAX(0,MIN(18,BI416+IF(C417="智力",E417,0)))</x:f>
        <x:v>0</x:v>
      </x:c>
      <x:c r="BJ417">
        <x:f>MAX(0,MIN(18,BJ416+IF(C417="意志",E417,0)))</x:f>
        <x:v>0</x:v>
      </x:c>
      <x:c r="BK417">
        <x:f>MAX(0,MIN(18,BK416+IF(C417="魅力",E417,0)))</x:f>
        <x:v>0</x:v>
      </x:c>
      <x:c r="BL417">
        <x:f>MAX(0,MIN(99,BL416+IF(C417="技能：非自然知识",E417,0)))</x:f>
        <x:v>0</x:v>
      </x:c>
      <x:c r="BM417">
        <x:f>MAX(0,MIN(CEILING((BF417+BG417)/2,1),BM416+IF(C417="体力",E417,0)))</x:f>
        <x:v>0</x:v>
      </x:c>
      <x:c r="BN417">
        <x:f>MAX(0,MIN(BJ417,BN416+IF(C417="毅力",E417,0)))</x:f>
        <x:v>0</x:v>
      </x:c>
      <x:c r="BO417">
        <x:f>MAX(0,MIN(99-BL417,BO416+IF(C417="理智",E417,0)))</x:f>
        <x:v>0</x:v>
      </x:c>
      <x:c r="BP417">
        <x:f>MAX(0,MIN(99,BP416+IF(C417="崩溃点",E417,0)))</x:f>
        <x:v>0</x:v>
      </x:c>
      <x:c r="BQ417">
        <x:f>MAX(0,MIN(BK417,IF(AND(H417=1,C417="重要关系1",LEFT('幕间与结算'!H324,8)="建立新的重要关系"),'幕间与结算'!E324+E417,BQ416+IF(C417="重要关系1",E417,0)+IF(AND(C417="魅力",E417&lt;0),E417,0))))</x:f>
        <x:v>0</x:v>
      </x:c>
      <x:c r="BR417">
        <x:f>MAX(0,MIN(BK417,IF(AND(H417=1,C417="重要关系2",LEFT('幕间与结算'!H324,8)="建立新的重要关系"),'幕间与结算'!E324+E417,BR416+IF(C417="重要关系2",E417,0)+IF(AND(C417="魅力",E417&lt;0),E417,0))))</x:f>
        <x:v>0</x:v>
      </x:c>
      <x:c r="BS417">
        <x:f>MAX(0,MIN(BK417,IF(AND(H417=1,C417="重要关系3",LEFT('幕间与结算'!H324,8)="建立新的重要关系"),'幕间与结算'!E324+E417,BS416+IF(C417="重要关系3",E417,0)+IF(AND(C417="魅力",E417&lt;0),E417,0))))</x:f>
        <x:v>0</x:v>
      </x:c>
      <x:c r="BT417">
        <x:f>MAX(0,MIN(BK417,IF(AND(H417=1,C417="重要关系4",LEFT('幕间与结算'!H324,8)="建立新的重要关系"),'幕间与结算'!E324+E417,BT416+IF(C417="重要关系4",E417,0)+IF(AND(C417="魅力",E417&lt;0),E417,0))))</x:f>
        <x:v>0</x:v>
      </x:c>
      <x:c r="BU417">
        <x:f>MAX(0,MIN(BK417,IF(AND(H417=1,C417="重要关系5",LEFT('幕间与结算'!H324,8)="建立新的重要关系"),'幕间与结算'!E324+E417,BU416+IF(C417="重要关系5",E417,0)+IF(AND(C417="魅力",E417&lt;0),E417,0))))</x:f>
        <x:v>0</x:v>
      </x:c>
      <x:c r="BV417">
        <x:f>MAX(0,MIN(BK417,IF(AND(H417=1,C417="重要关系6",LEFT('幕间与结算'!H324,8)="建立新的重要关系"),'幕间与结算'!E324+E417,BV416+IF(C417="重要关系6",E417,0)+IF(AND(C417="魅力",E417&lt;0),E417,0))))</x:f>
        <x:v>0</x:v>
      </x:c>
      <x:c r="BW417">
        <x:f>MAX(0,MIN(BK417,IF(AND(H417=1,C417="重要关系7",LEFT('幕间与结算'!H324,8)="建立新的重要关系"),'幕间与结算'!E324+E417,BW416+IF(C417="重要关系7",E417,0)+IF(AND(C417="魅力",E417&lt;0),E417,0))))</x:f>
        <x:v>0</x:v>
      </x:c>
    </x:row>
    <x:row r="418">
      <x:c r="A418" t="str">
        <x:f>IFERROR(TEXT(VALUE('幕间与结算'!A325),"00"),"")</x:f>
        <x:v>00</x:v>
      </x:c>
      <x:c r="B418">
        <x:f>'幕间与结算'!B325</x:f>
        <x:v>0</x:v>
      </x:c>
      <x:c r="C418">
        <x:f>'幕间与结算'!D325</x:f>
        <x:v>0</x:v>
      </x:c>
      <x:c r="D418">
        <x:f>'幕间与结算'!F325</x:f>
        <x:v>0</x:v>
      </x:c>
      <x:c r="E418">
        <x:f>IF(H418=1,MAX(-'幕间与结算'!E325,MIN(D418,IF(LEFT(C418,3)="技能：",99,IF(COUNTIF($L$2:$L$7,C418)&gt;0,18,999))-'幕间与结算'!E325)),0)</x:f>
        <x:v>0</x:v>
      </x:c>
      <x:c r="F418" t="str">
        <x:f>IF(C418=0,"",IF(G418=0,"记录不完整",IF(H418=0,"重复未计","已计入")))</x:f>
        <x:v/>
      </x:c>
      <x:c r="G418">
        <x:f>IF(AND(AND('幕间与结算'!A325&lt;&gt;"",'幕间与结算'!B325&lt;&gt;"",'幕间与结算'!I325&lt;&gt;"",OR(LEFT(C418,3)="技能：",COUNTIF($L$2:$L$19,C418)&gt;0),ISNUMBER('幕间与结算'!E325),ISNUMBER('幕间与结算'!F325),ISNUMBER('幕间与结算'!G325),'幕间与结算'!E325&gt;=0,'幕间与结算'!G325='幕间与结算'!E325+'幕间与结算'!F325),OR(B418&lt;&gt;"成长",AND(LEFT(C418,3)="技能：",C418&lt;&gt;"技能：非自然知识",'幕间与结算'!E325&gt;=1,'幕间与结算'!E325&lt;=99,'幕间与结算'!F325&gt;=0,'幕间与结算'!F325&lt;=4,'幕间与结算'!G325&lt;=99))),1,0)</x:f>
        <x:v>0</x:v>
      </x:c>
      <x:c r="H418">
        <x:f>IF(AND(G418=1,COUNTIFS($I$200:I418,I418,$G$200:G418,1)=1),1,0)</x:f>
        <x:v>0</x:v>
      </x:c>
      <x:c r="I418" t="str">
        <x:f>IF(G418=1,IF(B418="成长",A418&amp;"-成长-"&amp;C418,'幕间与结算'!I325),"")</x:f>
        <x:v/>
      </x:c>
      <x:c r="BF418">
        <x:f>MAX(0,MIN(18,BF417+IF(C418="力量",E418,0)))</x:f>
        <x:v>0</x:v>
      </x:c>
      <x:c r="BG418">
        <x:f>MAX(0,MIN(18,BG417+IF(C418="体质",E418,0)))</x:f>
        <x:v>0</x:v>
      </x:c>
      <x:c r="BH418">
        <x:f>MAX(0,MIN(18,BH417+IF(C418="敏捷",E418,0)))</x:f>
        <x:v>0</x:v>
      </x:c>
      <x:c r="BI418">
        <x:f>MAX(0,MIN(18,BI417+IF(C418="智力",E418,0)))</x:f>
        <x:v>0</x:v>
      </x:c>
      <x:c r="BJ418">
        <x:f>MAX(0,MIN(18,BJ417+IF(C418="意志",E418,0)))</x:f>
        <x:v>0</x:v>
      </x:c>
      <x:c r="BK418">
        <x:f>MAX(0,MIN(18,BK417+IF(C418="魅力",E418,0)))</x:f>
        <x:v>0</x:v>
      </x:c>
      <x:c r="BL418">
        <x:f>MAX(0,MIN(99,BL417+IF(C418="技能：非自然知识",E418,0)))</x:f>
        <x:v>0</x:v>
      </x:c>
      <x:c r="BM418">
        <x:f>MAX(0,MIN(CEILING((BF418+BG418)/2,1),BM417+IF(C418="体力",E418,0)))</x:f>
        <x:v>0</x:v>
      </x:c>
      <x:c r="BN418">
        <x:f>MAX(0,MIN(BJ418,BN417+IF(C418="毅力",E418,0)))</x:f>
        <x:v>0</x:v>
      </x:c>
      <x:c r="BO418">
        <x:f>MAX(0,MIN(99-BL418,BO417+IF(C418="理智",E418,0)))</x:f>
        <x:v>0</x:v>
      </x:c>
      <x:c r="BP418">
        <x:f>MAX(0,MIN(99,BP417+IF(C418="崩溃点",E418,0)))</x:f>
        <x:v>0</x:v>
      </x:c>
      <x:c r="BQ418">
        <x:f>MAX(0,MIN(BK418,IF(AND(H418=1,C418="重要关系1",LEFT('幕间与结算'!H325,8)="建立新的重要关系"),'幕间与结算'!E325+E418,BQ417+IF(C418="重要关系1",E418,0)+IF(AND(C418="魅力",E418&lt;0),E418,0))))</x:f>
        <x:v>0</x:v>
      </x:c>
      <x:c r="BR418">
        <x:f>MAX(0,MIN(BK418,IF(AND(H418=1,C418="重要关系2",LEFT('幕间与结算'!H325,8)="建立新的重要关系"),'幕间与结算'!E325+E418,BR417+IF(C418="重要关系2",E418,0)+IF(AND(C418="魅力",E418&lt;0),E418,0))))</x:f>
        <x:v>0</x:v>
      </x:c>
      <x:c r="BS418">
        <x:f>MAX(0,MIN(BK418,IF(AND(H418=1,C418="重要关系3",LEFT('幕间与结算'!H325,8)="建立新的重要关系"),'幕间与结算'!E325+E418,BS417+IF(C418="重要关系3",E418,0)+IF(AND(C418="魅力",E418&lt;0),E418,0))))</x:f>
        <x:v>0</x:v>
      </x:c>
      <x:c r="BT418">
        <x:f>MAX(0,MIN(BK418,IF(AND(H418=1,C418="重要关系4",LEFT('幕间与结算'!H325,8)="建立新的重要关系"),'幕间与结算'!E325+E418,BT417+IF(C418="重要关系4",E418,0)+IF(AND(C418="魅力",E418&lt;0),E418,0))))</x:f>
        <x:v>0</x:v>
      </x:c>
      <x:c r="BU418">
        <x:f>MAX(0,MIN(BK418,IF(AND(H418=1,C418="重要关系5",LEFT('幕间与结算'!H325,8)="建立新的重要关系"),'幕间与结算'!E325+E418,BU417+IF(C418="重要关系5",E418,0)+IF(AND(C418="魅力",E418&lt;0),E418,0))))</x:f>
        <x:v>0</x:v>
      </x:c>
      <x:c r="BV418">
        <x:f>MAX(0,MIN(BK418,IF(AND(H418=1,C418="重要关系6",LEFT('幕间与结算'!H325,8)="建立新的重要关系"),'幕间与结算'!E325+E418,BV417+IF(C418="重要关系6",E418,0)+IF(AND(C418="魅力",E418&lt;0),E418,0))))</x:f>
        <x:v>0</x:v>
      </x:c>
      <x:c r="BW418">
        <x:f>MAX(0,MIN(BK418,IF(AND(H418=1,C418="重要关系7",LEFT('幕间与结算'!H325,8)="建立新的重要关系"),'幕间与结算'!E325+E418,BW417+IF(C418="重要关系7",E418,0)+IF(AND(C418="魅力",E418&lt;0),E418,0))))</x:f>
        <x:v>0</x:v>
      </x:c>
    </x:row>
    <x:row r="419">
      <x:c r="A419" t="str">
        <x:f>IFERROR(TEXT(VALUE('幕间与结算'!A326),"00"),"")</x:f>
        <x:v>00</x:v>
      </x:c>
      <x:c r="B419">
        <x:f>'幕间与结算'!B326</x:f>
        <x:v>0</x:v>
      </x:c>
      <x:c r="C419">
        <x:f>'幕间与结算'!D326</x:f>
        <x:v>0</x:v>
      </x:c>
      <x:c r="D419">
        <x:f>'幕间与结算'!F326</x:f>
        <x:v>0</x:v>
      </x:c>
      <x:c r="E419">
        <x:f>IF(H419=1,MAX(-'幕间与结算'!E326,MIN(D419,IF(LEFT(C419,3)="技能：",99,IF(COUNTIF($L$2:$L$7,C419)&gt;0,18,999))-'幕间与结算'!E326)),0)</x:f>
        <x:v>0</x:v>
      </x:c>
      <x:c r="F419" t="str">
        <x:f>IF(C419=0,"",IF(G419=0,"记录不完整",IF(H419=0,"重复未计","已计入")))</x:f>
        <x:v/>
      </x:c>
      <x:c r="G419">
        <x:f>IF(AND(AND('幕间与结算'!A326&lt;&gt;"",'幕间与结算'!B326&lt;&gt;"",'幕间与结算'!I326&lt;&gt;"",OR(LEFT(C419,3)="技能：",COUNTIF($L$2:$L$19,C419)&gt;0),ISNUMBER('幕间与结算'!E326),ISNUMBER('幕间与结算'!F326),ISNUMBER('幕间与结算'!G326),'幕间与结算'!E326&gt;=0,'幕间与结算'!G326='幕间与结算'!E326+'幕间与结算'!F326),OR(B419&lt;&gt;"成长",AND(LEFT(C419,3)="技能：",C419&lt;&gt;"技能：非自然知识",'幕间与结算'!E326&gt;=1,'幕间与结算'!E326&lt;=99,'幕间与结算'!F326&gt;=0,'幕间与结算'!F326&lt;=4,'幕间与结算'!G326&lt;=99))),1,0)</x:f>
        <x:v>0</x:v>
      </x:c>
      <x:c r="H419">
        <x:f>IF(AND(G419=1,COUNTIFS($I$200:I419,I419,$G$200:G419,1)=1),1,0)</x:f>
        <x:v>0</x:v>
      </x:c>
      <x:c r="I419" t="str">
        <x:f>IF(G419=1,IF(B419="成长",A419&amp;"-成长-"&amp;C419,'幕间与结算'!I326),"")</x:f>
        <x:v/>
      </x:c>
      <x:c r="BF419">
        <x:f>MAX(0,MIN(18,BF418+IF(C419="力量",E419,0)))</x:f>
        <x:v>0</x:v>
      </x:c>
      <x:c r="BG419">
        <x:f>MAX(0,MIN(18,BG418+IF(C419="体质",E419,0)))</x:f>
        <x:v>0</x:v>
      </x:c>
      <x:c r="BH419">
        <x:f>MAX(0,MIN(18,BH418+IF(C419="敏捷",E419,0)))</x:f>
        <x:v>0</x:v>
      </x:c>
      <x:c r="BI419">
        <x:f>MAX(0,MIN(18,BI418+IF(C419="智力",E419,0)))</x:f>
        <x:v>0</x:v>
      </x:c>
      <x:c r="BJ419">
        <x:f>MAX(0,MIN(18,BJ418+IF(C419="意志",E419,0)))</x:f>
        <x:v>0</x:v>
      </x:c>
      <x:c r="BK419">
        <x:f>MAX(0,MIN(18,BK418+IF(C419="魅力",E419,0)))</x:f>
        <x:v>0</x:v>
      </x:c>
      <x:c r="BL419">
        <x:f>MAX(0,MIN(99,BL418+IF(C419="技能：非自然知识",E419,0)))</x:f>
        <x:v>0</x:v>
      </x:c>
      <x:c r="BM419">
        <x:f>MAX(0,MIN(CEILING((BF419+BG419)/2,1),BM418+IF(C419="体力",E419,0)))</x:f>
        <x:v>0</x:v>
      </x:c>
      <x:c r="BN419">
        <x:f>MAX(0,MIN(BJ419,BN418+IF(C419="毅力",E419,0)))</x:f>
        <x:v>0</x:v>
      </x:c>
      <x:c r="BO419">
        <x:f>MAX(0,MIN(99-BL419,BO418+IF(C419="理智",E419,0)))</x:f>
        <x:v>0</x:v>
      </x:c>
      <x:c r="BP419">
        <x:f>MAX(0,MIN(99,BP418+IF(C419="崩溃点",E419,0)))</x:f>
        <x:v>0</x:v>
      </x:c>
      <x:c r="BQ419">
        <x:f>MAX(0,MIN(BK419,IF(AND(H419=1,C419="重要关系1",LEFT('幕间与结算'!H326,8)="建立新的重要关系"),'幕间与结算'!E326+E419,BQ418+IF(C419="重要关系1",E419,0)+IF(AND(C419="魅力",E419&lt;0),E419,0))))</x:f>
        <x:v>0</x:v>
      </x:c>
      <x:c r="BR419">
        <x:f>MAX(0,MIN(BK419,IF(AND(H419=1,C419="重要关系2",LEFT('幕间与结算'!H326,8)="建立新的重要关系"),'幕间与结算'!E326+E419,BR418+IF(C419="重要关系2",E419,0)+IF(AND(C419="魅力",E419&lt;0),E419,0))))</x:f>
        <x:v>0</x:v>
      </x:c>
      <x:c r="BS419">
        <x:f>MAX(0,MIN(BK419,IF(AND(H419=1,C419="重要关系3",LEFT('幕间与结算'!H326,8)="建立新的重要关系"),'幕间与结算'!E326+E419,BS418+IF(C419="重要关系3",E419,0)+IF(AND(C419="魅力",E419&lt;0),E419,0))))</x:f>
        <x:v>0</x:v>
      </x:c>
      <x:c r="BT419">
        <x:f>MAX(0,MIN(BK419,IF(AND(H419=1,C419="重要关系4",LEFT('幕间与结算'!H326,8)="建立新的重要关系"),'幕间与结算'!E326+E419,BT418+IF(C419="重要关系4",E419,0)+IF(AND(C419="魅力",E419&lt;0),E419,0))))</x:f>
        <x:v>0</x:v>
      </x:c>
      <x:c r="BU419">
        <x:f>MAX(0,MIN(BK419,IF(AND(H419=1,C419="重要关系5",LEFT('幕间与结算'!H326,8)="建立新的重要关系"),'幕间与结算'!E326+E419,BU418+IF(C419="重要关系5",E419,0)+IF(AND(C419="魅力",E419&lt;0),E419,0))))</x:f>
        <x:v>0</x:v>
      </x:c>
      <x:c r="BV419">
        <x:f>MAX(0,MIN(BK419,IF(AND(H419=1,C419="重要关系6",LEFT('幕间与结算'!H326,8)="建立新的重要关系"),'幕间与结算'!E326+E419,BV418+IF(C419="重要关系6",E419,0)+IF(AND(C419="魅力",E419&lt;0),E419,0))))</x:f>
        <x:v>0</x:v>
      </x:c>
      <x:c r="BW419">
        <x:f>MAX(0,MIN(BK419,IF(AND(H419=1,C419="重要关系7",LEFT('幕间与结算'!H326,8)="建立新的重要关系"),'幕间与结算'!E326+E419,BW418+IF(C419="重要关系7",E419,0)+IF(AND(C419="魅力",E419&lt;0),E419,0))))</x:f>
        <x:v>0</x:v>
      </x:c>
    </x:row>
    <x:row r="420">
      <x:c r="A420" t="str">
        <x:f>IFERROR(TEXT(VALUE('幕间与结算'!A327),"00"),"")</x:f>
        <x:v>00</x:v>
      </x:c>
      <x:c r="B420">
        <x:f>'幕间与结算'!B327</x:f>
        <x:v>0</x:v>
      </x:c>
      <x:c r="C420">
        <x:f>'幕间与结算'!D327</x:f>
        <x:v>0</x:v>
      </x:c>
      <x:c r="D420">
        <x:f>'幕间与结算'!F327</x:f>
        <x:v>0</x:v>
      </x:c>
      <x:c r="E420">
        <x:f>IF(H420=1,MAX(-'幕间与结算'!E327,MIN(D420,IF(LEFT(C420,3)="技能：",99,IF(COUNTIF($L$2:$L$7,C420)&gt;0,18,999))-'幕间与结算'!E327)),0)</x:f>
        <x:v>0</x:v>
      </x:c>
      <x:c r="F420" t="str">
        <x:f>IF(C420=0,"",IF(G420=0,"记录不完整",IF(H420=0,"重复未计","已计入")))</x:f>
        <x:v/>
      </x:c>
      <x:c r="G420">
        <x:f>IF(AND(AND('幕间与结算'!A327&lt;&gt;"",'幕间与结算'!B327&lt;&gt;"",'幕间与结算'!I327&lt;&gt;"",OR(LEFT(C420,3)="技能：",COUNTIF($L$2:$L$19,C420)&gt;0),ISNUMBER('幕间与结算'!E327),ISNUMBER('幕间与结算'!F327),ISNUMBER('幕间与结算'!G327),'幕间与结算'!E327&gt;=0,'幕间与结算'!G327='幕间与结算'!E327+'幕间与结算'!F327),OR(B420&lt;&gt;"成长",AND(LEFT(C420,3)="技能：",C420&lt;&gt;"技能：非自然知识",'幕间与结算'!E327&gt;=1,'幕间与结算'!E327&lt;=99,'幕间与结算'!F327&gt;=0,'幕间与结算'!F327&lt;=4,'幕间与结算'!G327&lt;=99))),1,0)</x:f>
        <x:v>0</x:v>
      </x:c>
      <x:c r="H420">
        <x:f>IF(AND(G420=1,COUNTIFS($I$200:I420,I420,$G$200:G420,1)=1),1,0)</x:f>
        <x:v>0</x:v>
      </x:c>
      <x:c r="I420" t="str">
        <x:f>IF(G420=1,IF(B420="成长",A420&amp;"-成长-"&amp;C420,'幕间与结算'!I327),"")</x:f>
        <x:v/>
      </x:c>
      <x:c r="BF420">
        <x:f>MAX(0,MIN(18,BF419+IF(C420="力量",E420,0)))</x:f>
        <x:v>0</x:v>
      </x:c>
      <x:c r="BG420">
        <x:f>MAX(0,MIN(18,BG419+IF(C420="体质",E420,0)))</x:f>
        <x:v>0</x:v>
      </x:c>
      <x:c r="BH420">
        <x:f>MAX(0,MIN(18,BH419+IF(C420="敏捷",E420,0)))</x:f>
        <x:v>0</x:v>
      </x:c>
      <x:c r="BI420">
        <x:f>MAX(0,MIN(18,BI419+IF(C420="智力",E420,0)))</x:f>
        <x:v>0</x:v>
      </x:c>
      <x:c r="BJ420">
        <x:f>MAX(0,MIN(18,BJ419+IF(C420="意志",E420,0)))</x:f>
        <x:v>0</x:v>
      </x:c>
      <x:c r="BK420">
        <x:f>MAX(0,MIN(18,BK419+IF(C420="魅力",E420,0)))</x:f>
        <x:v>0</x:v>
      </x:c>
      <x:c r="BL420">
        <x:f>MAX(0,MIN(99,BL419+IF(C420="技能：非自然知识",E420,0)))</x:f>
        <x:v>0</x:v>
      </x:c>
      <x:c r="BM420">
        <x:f>MAX(0,MIN(CEILING((BF420+BG420)/2,1),BM419+IF(C420="体力",E420,0)))</x:f>
        <x:v>0</x:v>
      </x:c>
      <x:c r="BN420">
        <x:f>MAX(0,MIN(BJ420,BN419+IF(C420="毅力",E420,0)))</x:f>
        <x:v>0</x:v>
      </x:c>
      <x:c r="BO420">
        <x:f>MAX(0,MIN(99-BL420,BO419+IF(C420="理智",E420,0)))</x:f>
        <x:v>0</x:v>
      </x:c>
      <x:c r="BP420">
        <x:f>MAX(0,MIN(99,BP419+IF(C420="崩溃点",E420,0)))</x:f>
        <x:v>0</x:v>
      </x:c>
      <x:c r="BQ420">
        <x:f>MAX(0,MIN(BK420,IF(AND(H420=1,C420="重要关系1",LEFT('幕间与结算'!H327,8)="建立新的重要关系"),'幕间与结算'!E327+E420,BQ419+IF(C420="重要关系1",E420,0)+IF(AND(C420="魅力",E420&lt;0),E420,0))))</x:f>
        <x:v>0</x:v>
      </x:c>
      <x:c r="BR420">
        <x:f>MAX(0,MIN(BK420,IF(AND(H420=1,C420="重要关系2",LEFT('幕间与结算'!H327,8)="建立新的重要关系"),'幕间与结算'!E327+E420,BR419+IF(C420="重要关系2",E420,0)+IF(AND(C420="魅力",E420&lt;0),E420,0))))</x:f>
        <x:v>0</x:v>
      </x:c>
      <x:c r="BS420">
        <x:f>MAX(0,MIN(BK420,IF(AND(H420=1,C420="重要关系3",LEFT('幕间与结算'!H327,8)="建立新的重要关系"),'幕间与结算'!E327+E420,BS419+IF(C420="重要关系3",E420,0)+IF(AND(C420="魅力",E420&lt;0),E420,0))))</x:f>
        <x:v>0</x:v>
      </x:c>
      <x:c r="BT420">
        <x:f>MAX(0,MIN(BK420,IF(AND(H420=1,C420="重要关系4",LEFT('幕间与结算'!H327,8)="建立新的重要关系"),'幕间与结算'!E327+E420,BT419+IF(C420="重要关系4",E420,0)+IF(AND(C420="魅力",E420&lt;0),E420,0))))</x:f>
        <x:v>0</x:v>
      </x:c>
      <x:c r="BU420">
        <x:f>MAX(0,MIN(BK420,IF(AND(H420=1,C420="重要关系5",LEFT('幕间与结算'!H327,8)="建立新的重要关系"),'幕间与结算'!E327+E420,BU419+IF(C420="重要关系5",E420,0)+IF(AND(C420="魅力",E420&lt;0),E420,0))))</x:f>
        <x:v>0</x:v>
      </x:c>
      <x:c r="BV420">
        <x:f>MAX(0,MIN(BK420,IF(AND(H420=1,C420="重要关系6",LEFT('幕间与结算'!H327,8)="建立新的重要关系"),'幕间与结算'!E327+E420,BV419+IF(C420="重要关系6",E420,0)+IF(AND(C420="魅力",E420&lt;0),E420,0))))</x:f>
        <x:v>0</x:v>
      </x:c>
      <x:c r="BW420">
        <x:f>MAX(0,MIN(BK420,IF(AND(H420=1,C420="重要关系7",LEFT('幕间与结算'!H327,8)="建立新的重要关系"),'幕间与结算'!E327+E420,BW419+IF(C420="重要关系7",E420,0)+IF(AND(C420="魅力",E420&lt;0),E420,0))))</x:f>
        <x:v>0</x:v>
      </x:c>
    </x:row>
    <x:row r="421">
      <x:c r="A421" t="str">
        <x:f>IFERROR(TEXT(VALUE('幕间与结算'!A328),"00"),"")</x:f>
        <x:v>00</x:v>
      </x:c>
      <x:c r="B421">
        <x:f>'幕间与结算'!B328</x:f>
        <x:v>0</x:v>
      </x:c>
      <x:c r="C421">
        <x:f>'幕间与结算'!D328</x:f>
        <x:v>0</x:v>
      </x:c>
      <x:c r="D421">
        <x:f>'幕间与结算'!F328</x:f>
        <x:v>0</x:v>
      </x:c>
      <x:c r="E421">
        <x:f>IF(H421=1,MAX(-'幕间与结算'!E328,MIN(D421,IF(LEFT(C421,3)="技能：",99,IF(COUNTIF($L$2:$L$7,C421)&gt;0,18,999))-'幕间与结算'!E328)),0)</x:f>
        <x:v>0</x:v>
      </x:c>
      <x:c r="F421" t="str">
        <x:f>IF(C421=0,"",IF(G421=0,"记录不完整",IF(H421=0,"重复未计","已计入")))</x:f>
        <x:v/>
      </x:c>
      <x:c r="G421">
        <x:f>IF(AND(AND('幕间与结算'!A328&lt;&gt;"",'幕间与结算'!B328&lt;&gt;"",'幕间与结算'!I328&lt;&gt;"",OR(LEFT(C421,3)="技能：",COUNTIF($L$2:$L$19,C421)&gt;0),ISNUMBER('幕间与结算'!E328),ISNUMBER('幕间与结算'!F328),ISNUMBER('幕间与结算'!G328),'幕间与结算'!E328&gt;=0,'幕间与结算'!G328='幕间与结算'!E328+'幕间与结算'!F328),OR(B421&lt;&gt;"成长",AND(LEFT(C421,3)="技能：",C421&lt;&gt;"技能：非自然知识",'幕间与结算'!E328&gt;=1,'幕间与结算'!E328&lt;=99,'幕间与结算'!F328&gt;=0,'幕间与结算'!F328&lt;=4,'幕间与结算'!G328&lt;=99))),1,0)</x:f>
        <x:v>0</x:v>
      </x:c>
      <x:c r="H421">
        <x:f>IF(AND(G421=1,COUNTIFS($I$200:I421,I421,$G$200:G421,1)=1),1,0)</x:f>
        <x:v>0</x:v>
      </x:c>
      <x:c r="I421" t="str">
        <x:f>IF(G421=1,IF(B421="成长",A421&amp;"-成长-"&amp;C421,'幕间与结算'!I328),"")</x:f>
        <x:v/>
      </x:c>
      <x:c r="BF421">
        <x:f>MAX(0,MIN(18,BF420+IF(C421="力量",E421,0)))</x:f>
        <x:v>0</x:v>
      </x:c>
      <x:c r="BG421">
        <x:f>MAX(0,MIN(18,BG420+IF(C421="体质",E421,0)))</x:f>
        <x:v>0</x:v>
      </x:c>
      <x:c r="BH421">
        <x:f>MAX(0,MIN(18,BH420+IF(C421="敏捷",E421,0)))</x:f>
        <x:v>0</x:v>
      </x:c>
      <x:c r="BI421">
        <x:f>MAX(0,MIN(18,BI420+IF(C421="智力",E421,0)))</x:f>
        <x:v>0</x:v>
      </x:c>
      <x:c r="BJ421">
        <x:f>MAX(0,MIN(18,BJ420+IF(C421="意志",E421,0)))</x:f>
        <x:v>0</x:v>
      </x:c>
      <x:c r="BK421">
        <x:f>MAX(0,MIN(18,BK420+IF(C421="魅力",E421,0)))</x:f>
        <x:v>0</x:v>
      </x:c>
      <x:c r="BL421">
        <x:f>MAX(0,MIN(99,BL420+IF(C421="技能：非自然知识",E421,0)))</x:f>
        <x:v>0</x:v>
      </x:c>
      <x:c r="BM421">
        <x:f>MAX(0,MIN(CEILING((BF421+BG421)/2,1),BM420+IF(C421="体力",E421,0)))</x:f>
        <x:v>0</x:v>
      </x:c>
      <x:c r="BN421">
        <x:f>MAX(0,MIN(BJ421,BN420+IF(C421="毅力",E421,0)))</x:f>
        <x:v>0</x:v>
      </x:c>
      <x:c r="BO421">
        <x:f>MAX(0,MIN(99-BL421,BO420+IF(C421="理智",E421,0)))</x:f>
        <x:v>0</x:v>
      </x:c>
      <x:c r="BP421">
        <x:f>MAX(0,MIN(99,BP420+IF(C421="崩溃点",E421,0)))</x:f>
        <x:v>0</x:v>
      </x:c>
      <x:c r="BQ421">
        <x:f>MAX(0,MIN(BK421,IF(AND(H421=1,C421="重要关系1",LEFT('幕间与结算'!H328,8)="建立新的重要关系"),'幕间与结算'!E328+E421,BQ420+IF(C421="重要关系1",E421,0)+IF(AND(C421="魅力",E421&lt;0),E421,0))))</x:f>
        <x:v>0</x:v>
      </x:c>
      <x:c r="BR421">
        <x:f>MAX(0,MIN(BK421,IF(AND(H421=1,C421="重要关系2",LEFT('幕间与结算'!H328,8)="建立新的重要关系"),'幕间与结算'!E328+E421,BR420+IF(C421="重要关系2",E421,0)+IF(AND(C421="魅力",E421&lt;0),E421,0))))</x:f>
        <x:v>0</x:v>
      </x:c>
      <x:c r="BS421">
        <x:f>MAX(0,MIN(BK421,IF(AND(H421=1,C421="重要关系3",LEFT('幕间与结算'!H328,8)="建立新的重要关系"),'幕间与结算'!E328+E421,BS420+IF(C421="重要关系3",E421,0)+IF(AND(C421="魅力",E421&lt;0),E421,0))))</x:f>
        <x:v>0</x:v>
      </x:c>
      <x:c r="BT421">
        <x:f>MAX(0,MIN(BK421,IF(AND(H421=1,C421="重要关系4",LEFT('幕间与结算'!H328,8)="建立新的重要关系"),'幕间与结算'!E328+E421,BT420+IF(C421="重要关系4",E421,0)+IF(AND(C421="魅力",E421&lt;0),E421,0))))</x:f>
        <x:v>0</x:v>
      </x:c>
      <x:c r="BU421">
        <x:f>MAX(0,MIN(BK421,IF(AND(H421=1,C421="重要关系5",LEFT('幕间与结算'!H328,8)="建立新的重要关系"),'幕间与结算'!E328+E421,BU420+IF(C421="重要关系5",E421,0)+IF(AND(C421="魅力",E421&lt;0),E421,0))))</x:f>
        <x:v>0</x:v>
      </x:c>
      <x:c r="BV421">
        <x:f>MAX(0,MIN(BK421,IF(AND(H421=1,C421="重要关系6",LEFT('幕间与结算'!H328,8)="建立新的重要关系"),'幕间与结算'!E328+E421,BV420+IF(C421="重要关系6",E421,0)+IF(AND(C421="魅力",E421&lt;0),E421,0))))</x:f>
        <x:v>0</x:v>
      </x:c>
      <x:c r="BW421">
        <x:f>MAX(0,MIN(BK421,IF(AND(H421=1,C421="重要关系7",LEFT('幕间与结算'!H328,8)="建立新的重要关系"),'幕间与结算'!E328+E421,BW420+IF(C421="重要关系7",E421,0)+IF(AND(C421="魅力",E421&lt;0),E421,0))))</x:f>
        <x:v>0</x:v>
      </x:c>
    </x:row>
    <x:row r="422">
      <x:c r="A422" t="str">
        <x:f>IFERROR(TEXT(VALUE('幕间与结算'!A329),"00"),"")</x:f>
        <x:v>00</x:v>
      </x:c>
      <x:c r="B422">
        <x:f>'幕间与结算'!B329</x:f>
        <x:v>0</x:v>
      </x:c>
      <x:c r="C422">
        <x:f>'幕间与结算'!D329</x:f>
        <x:v>0</x:v>
      </x:c>
      <x:c r="D422">
        <x:f>'幕间与结算'!F329</x:f>
        <x:v>0</x:v>
      </x:c>
      <x:c r="E422">
        <x:f>IF(H422=1,MAX(-'幕间与结算'!E329,MIN(D422,IF(LEFT(C422,3)="技能：",99,IF(COUNTIF($L$2:$L$7,C422)&gt;0,18,999))-'幕间与结算'!E329)),0)</x:f>
        <x:v>0</x:v>
      </x:c>
      <x:c r="F422" t="str">
        <x:f>IF(C422=0,"",IF(G422=0,"记录不完整",IF(H422=0,"重复未计","已计入")))</x:f>
        <x:v/>
      </x:c>
      <x:c r="G422">
        <x:f>IF(AND(AND('幕间与结算'!A329&lt;&gt;"",'幕间与结算'!B329&lt;&gt;"",'幕间与结算'!I329&lt;&gt;"",OR(LEFT(C422,3)="技能：",COUNTIF($L$2:$L$19,C422)&gt;0),ISNUMBER('幕间与结算'!E329),ISNUMBER('幕间与结算'!F329),ISNUMBER('幕间与结算'!G329),'幕间与结算'!E329&gt;=0,'幕间与结算'!G329='幕间与结算'!E329+'幕间与结算'!F329),OR(B422&lt;&gt;"成长",AND(LEFT(C422,3)="技能：",C422&lt;&gt;"技能：非自然知识",'幕间与结算'!E329&gt;=1,'幕间与结算'!E329&lt;=99,'幕间与结算'!F329&gt;=0,'幕间与结算'!F329&lt;=4,'幕间与结算'!G329&lt;=99))),1,0)</x:f>
        <x:v>0</x:v>
      </x:c>
      <x:c r="H422">
        <x:f>IF(AND(G422=1,COUNTIFS($I$200:I422,I422,$G$200:G422,1)=1),1,0)</x:f>
        <x:v>0</x:v>
      </x:c>
      <x:c r="I422" t="str">
        <x:f>IF(G422=1,IF(B422="成长",A422&amp;"-成长-"&amp;C422,'幕间与结算'!I329),"")</x:f>
        <x:v/>
      </x:c>
      <x:c r="BF422">
        <x:f>MAX(0,MIN(18,BF421+IF(C422="力量",E422,0)))</x:f>
        <x:v>0</x:v>
      </x:c>
      <x:c r="BG422">
        <x:f>MAX(0,MIN(18,BG421+IF(C422="体质",E422,0)))</x:f>
        <x:v>0</x:v>
      </x:c>
      <x:c r="BH422">
        <x:f>MAX(0,MIN(18,BH421+IF(C422="敏捷",E422,0)))</x:f>
        <x:v>0</x:v>
      </x:c>
      <x:c r="BI422">
        <x:f>MAX(0,MIN(18,BI421+IF(C422="智力",E422,0)))</x:f>
        <x:v>0</x:v>
      </x:c>
      <x:c r="BJ422">
        <x:f>MAX(0,MIN(18,BJ421+IF(C422="意志",E422,0)))</x:f>
        <x:v>0</x:v>
      </x:c>
      <x:c r="BK422">
        <x:f>MAX(0,MIN(18,BK421+IF(C422="魅力",E422,0)))</x:f>
        <x:v>0</x:v>
      </x:c>
      <x:c r="BL422">
        <x:f>MAX(0,MIN(99,BL421+IF(C422="技能：非自然知识",E422,0)))</x:f>
        <x:v>0</x:v>
      </x:c>
      <x:c r="BM422">
        <x:f>MAX(0,MIN(CEILING((BF422+BG422)/2,1),BM421+IF(C422="体力",E422,0)))</x:f>
        <x:v>0</x:v>
      </x:c>
      <x:c r="BN422">
        <x:f>MAX(0,MIN(BJ422,BN421+IF(C422="毅力",E422,0)))</x:f>
        <x:v>0</x:v>
      </x:c>
      <x:c r="BO422">
        <x:f>MAX(0,MIN(99-BL422,BO421+IF(C422="理智",E422,0)))</x:f>
        <x:v>0</x:v>
      </x:c>
      <x:c r="BP422">
        <x:f>MAX(0,MIN(99,BP421+IF(C422="崩溃点",E422,0)))</x:f>
        <x:v>0</x:v>
      </x:c>
      <x:c r="BQ422">
        <x:f>MAX(0,MIN(BK422,IF(AND(H422=1,C422="重要关系1",LEFT('幕间与结算'!H329,8)="建立新的重要关系"),'幕间与结算'!E329+E422,BQ421+IF(C422="重要关系1",E422,0)+IF(AND(C422="魅力",E422&lt;0),E422,0))))</x:f>
        <x:v>0</x:v>
      </x:c>
      <x:c r="BR422">
        <x:f>MAX(0,MIN(BK422,IF(AND(H422=1,C422="重要关系2",LEFT('幕间与结算'!H329,8)="建立新的重要关系"),'幕间与结算'!E329+E422,BR421+IF(C422="重要关系2",E422,0)+IF(AND(C422="魅力",E422&lt;0),E422,0))))</x:f>
        <x:v>0</x:v>
      </x:c>
      <x:c r="BS422">
        <x:f>MAX(0,MIN(BK422,IF(AND(H422=1,C422="重要关系3",LEFT('幕间与结算'!H329,8)="建立新的重要关系"),'幕间与结算'!E329+E422,BS421+IF(C422="重要关系3",E422,0)+IF(AND(C422="魅力",E422&lt;0),E422,0))))</x:f>
        <x:v>0</x:v>
      </x:c>
      <x:c r="BT422">
        <x:f>MAX(0,MIN(BK422,IF(AND(H422=1,C422="重要关系4",LEFT('幕间与结算'!H329,8)="建立新的重要关系"),'幕间与结算'!E329+E422,BT421+IF(C422="重要关系4",E422,0)+IF(AND(C422="魅力",E422&lt;0),E422,0))))</x:f>
        <x:v>0</x:v>
      </x:c>
      <x:c r="BU422">
        <x:f>MAX(0,MIN(BK422,IF(AND(H422=1,C422="重要关系5",LEFT('幕间与结算'!H329,8)="建立新的重要关系"),'幕间与结算'!E329+E422,BU421+IF(C422="重要关系5",E422,0)+IF(AND(C422="魅力",E422&lt;0),E422,0))))</x:f>
        <x:v>0</x:v>
      </x:c>
      <x:c r="BV422">
        <x:f>MAX(0,MIN(BK422,IF(AND(H422=1,C422="重要关系6",LEFT('幕间与结算'!H329,8)="建立新的重要关系"),'幕间与结算'!E329+E422,BV421+IF(C422="重要关系6",E422,0)+IF(AND(C422="魅力",E422&lt;0),E422,0))))</x:f>
        <x:v>0</x:v>
      </x:c>
      <x:c r="BW422">
        <x:f>MAX(0,MIN(BK422,IF(AND(H422=1,C422="重要关系7",LEFT('幕间与结算'!H329,8)="建立新的重要关系"),'幕间与结算'!E329+E422,BW421+IF(C422="重要关系7",E422,0)+IF(AND(C422="魅力",E422&lt;0),E422,0))))</x:f>
        <x:v>0</x:v>
      </x:c>
    </x:row>
    <x:row r="423">
      <x:c r="A423" t="str">
        <x:f>IFERROR(TEXT(VALUE('幕间与结算'!A330),"00"),"")</x:f>
        <x:v>00</x:v>
      </x:c>
      <x:c r="B423">
        <x:f>'幕间与结算'!B330</x:f>
        <x:v>0</x:v>
      </x:c>
      <x:c r="C423">
        <x:f>'幕间与结算'!D330</x:f>
        <x:v>0</x:v>
      </x:c>
      <x:c r="D423">
        <x:f>'幕间与结算'!F330</x:f>
        <x:v>0</x:v>
      </x:c>
      <x:c r="E423">
        <x:f>IF(H423=1,MAX(-'幕间与结算'!E330,MIN(D423,IF(LEFT(C423,3)="技能：",99,IF(COUNTIF($L$2:$L$7,C423)&gt;0,18,999))-'幕间与结算'!E330)),0)</x:f>
        <x:v>0</x:v>
      </x:c>
      <x:c r="F423" t="str">
        <x:f>IF(C423=0,"",IF(G423=0,"记录不完整",IF(H423=0,"重复未计","已计入")))</x:f>
        <x:v/>
      </x:c>
      <x:c r="G423">
        <x:f>IF(AND(AND('幕间与结算'!A330&lt;&gt;"",'幕间与结算'!B330&lt;&gt;"",'幕间与结算'!I330&lt;&gt;"",OR(LEFT(C423,3)="技能：",COUNTIF($L$2:$L$19,C423)&gt;0),ISNUMBER('幕间与结算'!E330),ISNUMBER('幕间与结算'!F330),ISNUMBER('幕间与结算'!G330),'幕间与结算'!E330&gt;=0,'幕间与结算'!G330='幕间与结算'!E330+'幕间与结算'!F330),OR(B423&lt;&gt;"成长",AND(LEFT(C423,3)="技能：",C423&lt;&gt;"技能：非自然知识",'幕间与结算'!E330&gt;=1,'幕间与结算'!E330&lt;=99,'幕间与结算'!F330&gt;=0,'幕间与结算'!F330&lt;=4,'幕间与结算'!G330&lt;=99))),1,0)</x:f>
        <x:v>0</x:v>
      </x:c>
      <x:c r="H423">
        <x:f>IF(AND(G423=1,COUNTIFS($I$200:I423,I423,$G$200:G423,1)=1),1,0)</x:f>
        <x:v>0</x:v>
      </x:c>
      <x:c r="I423" t="str">
        <x:f>IF(G423=1,IF(B423="成长",A423&amp;"-成长-"&amp;C423,'幕间与结算'!I330),"")</x:f>
        <x:v/>
      </x:c>
      <x:c r="BF423">
        <x:f>MAX(0,MIN(18,BF422+IF(C423="力量",E423,0)))</x:f>
        <x:v>0</x:v>
      </x:c>
      <x:c r="BG423">
        <x:f>MAX(0,MIN(18,BG422+IF(C423="体质",E423,0)))</x:f>
        <x:v>0</x:v>
      </x:c>
      <x:c r="BH423">
        <x:f>MAX(0,MIN(18,BH422+IF(C423="敏捷",E423,0)))</x:f>
        <x:v>0</x:v>
      </x:c>
      <x:c r="BI423">
        <x:f>MAX(0,MIN(18,BI422+IF(C423="智力",E423,0)))</x:f>
        <x:v>0</x:v>
      </x:c>
      <x:c r="BJ423">
        <x:f>MAX(0,MIN(18,BJ422+IF(C423="意志",E423,0)))</x:f>
        <x:v>0</x:v>
      </x:c>
      <x:c r="BK423">
        <x:f>MAX(0,MIN(18,BK422+IF(C423="魅力",E423,0)))</x:f>
        <x:v>0</x:v>
      </x:c>
      <x:c r="BL423">
        <x:f>MAX(0,MIN(99,BL422+IF(C423="技能：非自然知识",E423,0)))</x:f>
        <x:v>0</x:v>
      </x:c>
      <x:c r="BM423">
        <x:f>MAX(0,MIN(CEILING((BF423+BG423)/2,1),BM422+IF(C423="体力",E423,0)))</x:f>
        <x:v>0</x:v>
      </x:c>
      <x:c r="BN423">
        <x:f>MAX(0,MIN(BJ423,BN422+IF(C423="毅力",E423,0)))</x:f>
        <x:v>0</x:v>
      </x:c>
      <x:c r="BO423">
        <x:f>MAX(0,MIN(99-BL423,BO422+IF(C423="理智",E423,0)))</x:f>
        <x:v>0</x:v>
      </x:c>
      <x:c r="BP423">
        <x:f>MAX(0,MIN(99,BP422+IF(C423="崩溃点",E423,0)))</x:f>
        <x:v>0</x:v>
      </x:c>
      <x:c r="BQ423">
        <x:f>MAX(0,MIN(BK423,IF(AND(H423=1,C423="重要关系1",LEFT('幕间与结算'!H330,8)="建立新的重要关系"),'幕间与结算'!E330+E423,BQ422+IF(C423="重要关系1",E423,0)+IF(AND(C423="魅力",E423&lt;0),E423,0))))</x:f>
        <x:v>0</x:v>
      </x:c>
      <x:c r="BR423">
        <x:f>MAX(0,MIN(BK423,IF(AND(H423=1,C423="重要关系2",LEFT('幕间与结算'!H330,8)="建立新的重要关系"),'幕间与结算'!E330+E423,BR422+IF(C423="重要关系2",E423,0)+IF(AND(C423="魅力",E423&lt;0),E423,0))))</x:f>
        <x:v>0</x:v>
      </x:c>
      <x:c r="BS423">
        <x:f>MAX(0,MIN(BK423,IF(AND(H423=1,C423="重要关系3",LEFT('幕间与结算'!H330,8)="建立新的重要关系"),'幕间与结算'!E330+E423,BS422+IF(C423="重要关系3",E423,0)+IF(AND(C423="魅力",E423&lt;0),E423,0))))</x:f>
        <x:v>0</x:v>
      </x:c>
      <x:c r="BT423">
        <x:f>MAX(0,MIN(BK423,IF(AND(H423=1,C423="重要关系4",LEFT('幕间与结算'!H330,8)="建立新的重要关系"),'幕间与结算'!E330+E423,BT422+IF(C423="重要关系4",E423,0)+IF(AND(C423="魅力",E423&lt;0),E423,0))))</x:f>
        <x:v>0</x:v>
      </x:c>
      <x:c r="BU423">
        <x:f>MAX(0,MIN(BK423,IF(AND(H423=1,C423="重要关系5",LEFT('幕间与结算'!H330,8)="建立新的重要关系"),'幕间与结算'!E330+E423,BU422+IF(C423="重要关系5",E423,0)+IF(AND(C423="魅力",E423&lt;0),E423,0))))</x:f>
        <x:v>0</x:v>
      </x:c>
      <x:c r="BV423">
        <x:f>MAX(0,MIN(BK423,IF(AND(H423=1,C423="重要关系6",LEFT('幕间与结算'!H330,8)="建立新的重要关系"),'幕间与结算'!E330+E423,BV422+IF(C423="重要关系6",E423,0)+IF(AND(C423="魅力",E423&lt;0),E423,0))))</x:f>
        <x:v>0</x:v>
      </x:c>
      <x:c r="BW423">
        <x:f>MAX(0,MIN(BK423,IF(AND(H423=1,C423="重要关系7",LEFT('幕间与结算'!H330,8)="建立新的重要关系"),'幕间与结算'!E330+E423,BW422+IF(C423="重要关系7",E423,0)+IF(AND(C423="魅力",E423&lt;0),E423,0))))</x:f>
        <x:v>0</x:v>
      </x:c>
    </x:row>
    <x:row r="424">
      <x:c r="A424" t="str">
        <x:f>IFERROR(TEXT(VALUE('幕间与结算'!A331),"00"),"")</x:f>
        <x:v>00</x:v>
      </x:c>
      <x:c r="B424">
        <x:f>'幕间与结算'!B331</x:f>
        <x:v>0</x:v>
      </x:c>
      <x:c r="C424">
        <x:f>'幕间与结算'!D331</x:f>
        <x:v>0</x:v>
      </x:c>
      <x:c r="D424">
        <x:f>'幕间与结算'!F331</x:f>
        <x:v>0</x:v>
      </x:c>
      <x:c r="E424">
        <x:f>IF(H424=1,MAX(-'幕间与结算'!E331,MIN(D424,IF(LEFT(C424,3)="技能：",99,IF(COUNTIF($L$2:$L$7,C424)&gt;0,18,999))-'幕间与结算'!E331)),0)</x:f>
        <x:v>0</x:v>
      </x:c>
      <x:c r="F424" t="str">
        <x:f>IF(C424=0,"",IF(G424=0,"记录不完整",IF(H424=0,"重复未计","已计入")))</x:f>
        <x:v/>
      </x:c>
      <x:c r="G424">
        <x:f>IF(AND(AND('幕间与结算'!A331&lt;&gt;"",'幕间与结算'!B331&lt;&gt;"",'幕间与结算'!I331&lt;&gt;"",OR(LEFT(C424,3)="技能：",COUNTIF($L$2:$L$19,C424)&gt;0),ISNUMBER('幕间与结算'!E331),ISNUMBER('幕间与结算'!F331),ISNUMBER('幕间与结算'!G331),'幕间与结算'!E331&gt;=0,'幕间与结算'!G331='幕间与结算'!E331+'幕间与结算'!F331),OR(B424&lt;&gt;"成长",AND(LEFT(C424,3)="技能：",C424&lt;&gt;"技能：非自然知识",'幕间与结算'!E331&gt;=1,'幕间与结算'!E331&lt;=99,'幕间与结算'!F331&gt;=0,'幕间与结算'!F331&lt;=4,'幕间与结算'!G331&lt;=99))),1,0)</x:f>
        <x:v>0</x:v>
      </x:c>
      <x:c r="H424">
        <x:f>IF(AND(G424=1,COUNTIFS($I$200:I424,I424,$G$200:G424,1)=1),1,0)</x:f>
        <x:v>0</x:v>
      </x:c>
      <x:c r="I424" t="str">
        <x:f>IF(G424=1,IF(B424="成长",A424&amp;"-成长-"&amp;C424,'幕间与结算'!I331),"")</x:f>
        <x:v/>
      </x:c>
      <x:c r="BF424">
        <x:f>MAX(0,MIN(18,BF423+IF(C424="力量",E424,0)))</x:f>
        <x:v>0</x:v>
      </x:c>
      <x:c r="BG424">
        <x:f>MAX(0,MIN(18,BG423+IF(C424="体质",E424,0)))</x:f>
        <x:v>0</x:v>
      </x:c>
      <x:c r="BH424">
        <x:f>MAX(0,MIN(18,BH423+IF(C424="敏捷",E424,0)))</x:f>
        <x:v>0</x:v>
      </x:c>
      <x:c r="BI424">
        <x:f>MAX(0,MIN(18,BI423+IF(C424="智力",E424,0)))</x:f>
        <x:v>0</x:v>
      </x:c>
      <x:c r="BJ424">
        <x:f>MAX(0,MIN(18,BJ423+IF(C424="意志",E424,0)))</x:f>
        <x:v>0</x:v>
      </x:c>
      <x:c r="BK424">
        <x:f>MAX(0,MIN(18,BK423+IF(C424="魅力",E424,0)))</x:f>
        <x:v>0</x:v>
      </x:c>
      <x:c r="BL424">
        <x:f>MAX(0,MIN(99,BL423+IF(C424="技能：非自然知识",E424,0)))</x:f>
        <x:v>0</x:v>
      </x:c>
      <x:c r="BM424">
        <x:f>MAX(0,MIN(CEILING((BF424+BG424)/2,1),BM423+IF(C424="体力",E424,0)))</x:f>
        <x:v>0</x:v>
      </x:c>
      <x:c r="BN424">
        <x:f>MAX(0,MIN(BJ424,BN423+IF(C424="毅力",E424,0)))</x:f>
        <x:v>0</x:v>
      </x:c>
      <x:c r="BO424">
        <x:f>MAX(0,MIN(99-BL424,BO423+IF(C424="理智",E424,0)))</x:f>
        <x:v>0</x:v>
      </x:c>
      <x:c r="BP424">
        <x:f>MAX(0,MIN(99,BP423+IF(C424="崩溃点",E424,0)))</x:f>
        <x:v>0</x:v>
      </x:c>
      <x:c r="BQ424">
        <x:f>MAX(0,MIN(BK424,IF(AND(H424=1,C424="重要关系1",LEFT('幕间与结算'!H331,8)="建立新的重要关系"),'幕间与结算'!E331+E424,BQ423+IF(C424="重要关系1",E424,0)+IF(AND(C424="魅力",E424&lt;0),E424,0))))</x:f>
        <x:v>0</x:v>
      </x:c>
      <x:c r="BR424">
        <x:f>MAX(0,MIN(BK424,IF(AND(H424=1,C424="重要关系2",LEFT('幕间与结算'!H331,8)="建立新的重要关系"),'幕间与结算'!E331+E424,BR423+IF(C424="重要关系2",E424,0)+IF(AND(C424="魅力",E424&lt;0),E424,0))))</x:f>
        <x:v>0</x:v>
      </x:c>
      <x:c r="BS424">
        <x:f>MAX(0,MIN(BK424,IF(AND(H424=1,C424="重要关系3",LEFT('幕间与结算'!H331,8)="建立新的重要关系"),'幕间与结算'!E331+E424,BS423+IF(C424="重要关系3",E424,0)+IF(AND(C424="魅力",E424&lt;0),E424,0))))</x:f>
        <x:v>0</x:v>
      </x:c>
      <x:c r="BT424">
        <x:f>MAX(0,MIN(BK424,IF(AND(H424=1,C424="重要关系4",LEFT('幕间与结算'!H331,8)="建立新的重要关系"),'幕间与结算'!E331+E424,BT423+IF(C424="重要关系4",E424,0)+IF(AND(C424="魅力",E424&lt;0),E424,0))))</x:f>
        <x:v>0</x:v>
      </x:c>
      <x:c r="BU424">
        <x:f>MAX(0,MIN(BK424,IF(AND(H424=1,C424="重要关系5",LEFT('幕间与结算'!H331,8)="建立新的重要关系"),'幕间与结算'!E331+E424,BU423+IF(C424="重要关系5",E424,0)+IF(AND(C424="魅力",E424&lt;0),E424,0))))</x:f>
        <x:v>0</x:v>
      </x:c>
      <x:c r="BV424">
        <x:f>MAX(0,MIN(BK424,IF(AND(H424=1,C424="重要关系6",LEFT('幕间与结算'!H331,8)="建立新的重要关系"),'幕间与结算'!E331+E424,BV423+IF(C424="重要关系6",E424,0)+IF(AND(C424="魅力",E424&lt;0),E424,0))))</x:f>
        <x:v>0</x:v>
      </x:c>
      <x:c r="BW424">
        <x:f>MAX(0,MIN(BK424,IF(AND(H424=1,C424="重要关系7",LEFT('幕间与结算'!H331,8)="建立新的重要关系"),'幕间与结算'!E331+E424,BW423+IF(C424="重要关系7",E424,0)+IF(AND(C424="魅力",E424&lt;0),E424,0))))</x:f>
        <x:v>0</x:v>
      </x:c>
    </x:row>
    <x:row r="425">
      <x:c r="A425" t="str">
        <x:f>IFERROR(TEXT(VALUE('幕间与结算'!A332),"00"),"")</x:f>
        <x:v>00</x:v>
      </x:c>
      <x:c r="B425">
        <x:f>'幕间与结算'!B332</x:f>
        <x:v>0</x:v>
      </x:c>
      <x:c r="C425">
        <x:f>'幕间与结算'!D332</x:f>
        <x:v>0</x:v>
      </x:c>
      <x:c r="D425">
        <x:f>'幕间与结算'!F332</x:f>
        <x:v>0</x:v>
      </x:c>
      <x:c r="E425">
        <x:f>IF(H425=1,MAX(-'幕间与结算'!E332,MIN(D425,IF(LEFT(C425,3)="技能：",99,IF(COUNTIF($L$2:$L$7,C425)&gt;0,18,999))-'幕间与结算'!E332)),0)</x:f>
        <x:v>0</x:v>
      </x:c>
      <x:c r="F425" t="str">
        <x:f>IF(C425=0,"",IF(G425=0,"记录不完整",IF(H425=0,"重复未计","已计入")))</x:f>
        <x:v/>
      </x:c>
      <x:c r="G425">
        <x:f>IF(AND(AND('幕间与结算'!A332&lt;&gt;"",'幕间与结算'!B332&lt;&gt;"",'幕间与结算'!I332&lt;&gt;"",OR(LEFT(C425,3)="技能：",COUNTIF($L$2:$L$19,C425)&gt;0),ISNUMBER('幕间与结算'!E332),ISNUMBER('幕间与结算'!F332),ISNUMBER('幕间与结算'!G332),'幕间与结算'!E332&gt;=0,'幕间与结算'!G332='幕间与结算'!E332+'幕间与结算'!F332),OR(B425&lt;&gt;"成长",AND(LEFT(C425,3)="技能：",C425&lt;&gt;"技能：非自然知识",'幕间与结算'!E332&gt;=1,'幕间与结算'!E332&lt;=99,'幕间与结算'!F332&gt;=0,'幕间与结算'!F332&lt;=4,'幕间与结算'!G332&lt;=99))),1,0)</x:f>
        <x:v>0</x:v>
      </x:c>
      <x:c r="H425">
        <x:f>IF(AND(G425=1,COUNTIFS($I$200:I425,I425,$G$200:G425,1)=1),1,0)</x:f>
        <x:v>0</x:v>
      </x:c>
      <x:c r="I425" t="str">
        <x:f>IF(G425=1,IF(B425="成长",A425&amp;"-成长-"&amp;C425,'幕间与结算'!I332),"")</x:f>
        <x:v/>
      </x:c>
      <x:c r="BF425">
        <x:f>MAX(0,MIN(18,BF424+IF(C425="力量",E425,0)))</x:f>
        <x:v>0</x:v>
      </x:c>
      <x:c r="BG425">
        <x:f>MAX(0,MIN(18,BG424+IF(C425="体质",E425,0)))</x:f>
        <x:v>0</x:v>
      </x:c>
      <x:c r="BH425">
        <x:f>MAX(0,MIN(18,BH424+IF(C425="敏捷",E425,0)))</x:f>
        <x:v>0</x:v>
      </x:c>
      <x:c r="BI425">
        <x:f>MAX(0,MIN(18,BI424+IF(C425="智力",E425,0)))</x:f>
        <x:v>0</x:v>
      </x:c>
      <x:c r="BJ425">
        <x:f>MAX(0,MIN(18,BJ424+IF(C425="意志",E425,0)))</x:f>
        <x:v>0</x:v>
      </x:c>
      <x:c r="BK425">
        <x:f>MAX(0,MIN(18,BK424+IF(C425="魅力",E425,0)))</x:f>
        <x:v>0</x:v>
      </x:c>
      <x:c r="BL425">
        <x:f>MAX(0,MIN(99,BL424+IF(C425="技能：非自然知识",E425,0)))</x:f>
        <x:v>0</x:v>
      </x:c>
      <x:c r="BM425">
        <x:f>MAX(0,MIN(CEILING((BF425+BG425)/2,1),BM424+IF(C425="体力",E425,0)))</x:f>
        <x:v>0</x:v>
      </x:c>
      <x:c r="BN425">
        <x:f>MAX(0,MIN(BJ425,BN424+IF(C425="毅力",E425,0)))</x:f>
        <x:v>0</x:v>
      </x:c>
      <x:c r="BO425">
        <x:f>MAX(0,MIN(99-BL425,BO424+IF(C425="理智",E425,0)))</x:f>
        <x:v>0</x:v>
      </x:c>
      <x:c r="BP425">
        <x:f>MAX(0,MIN(99,BP424+IF(C425="崩溃点",E425,0)))</x:f>
        <x:v>0</x:v>
      </x:c>
      <x:c r="BQ425">
        <x:f>MAX(0,MIN(BK425,IF(AND(H425=1,C425="重要关系1",LEFT('幕间与结算'!H332,8)="建立新的重要关系"),'幕间与结算'!E332+E425,BQ424+IF(C425="重要关系1",E425,0)+IF(AND(C425="魅力",E425&lt;0),E425,0))))</x:f>
        <x:v>0</x:v>
      </x:c>
      <x:c r="BR425">
        <x:f>MAX(0,MIN(BK425,IF(AND(H425=1,C425="重要关系2",LEFT('幕间与结算'!H332,8)="建立新的重要关系"),'幕间与结算'!E332+E425,BR424+IF(C425="重要关系2",E425,0)+IF(AND(C425="魅力",E425&lt;0),E425,0))))</x:f>
        <x:v>0</x:v>
      </x:c>
      <x:c r="BS425">
        <x:f>MAX(0,MIN(BK425,IF(AND(H425=1,C425="重要关系3",LEFT('幕间与结算'!H332,8)="建立新的重要关系"),'幕间与结算'!E332+E425,BS424+IF(C425="重要关系3",E425,0)+IF(AND(C425="魅力",E425&lt;0),E425,0))))</x:f>
        <x:v>0</x:v>
      </x:c>
      <x:c r="BT425">
        <x:f>MAX(0,MIN(BK425,IF(AND(H425=1,C425="重要关系4",LEFT('幕间与结算'!H332,8)="建立新的重要关系"),'幕间与结算'!E332+E425,BT424+IF(C425="重要关系4",E425,0)+IF(AND(C425="魅力",E425&lt;0),E425,0))))</x:f>
        <x:v>0</x:v>
      </x:c>
      <x:c r="BU425">
        <x:f>MAX(0,MIN(BK425,IF(AND(H425=1,C425="重要关系5",LEFT('幕间与结算'!H332,8)="建立新的重要关系"),'幕间与结算'!E332+E425,BU424+IF(C425="重要关系5",E425,0)+IF(AND(C425="魅力",E425&lt;0),E425,0))))</x:f>
        <x:v>0</x:v>
      </x:c>
      <x:c r="BV425">
        <x:f>MAX(0,MIN(BK425,IF(AND(H425=1,C425="重要关系6",LEFT('幕间与结算'!H332,8)="建立新的重要关系"),'幕间与结算'!E332+E425,BV424+IF(C425="重要关系6",E425,0)+IF(AND(C425="魅力",E425&lt;0),E425,0))))</x:f>
        <x:v>0</x:v>
      </x:c>
      <x:c r="BW425">
        <x:f>MAX(0,MIN(BK425,IF(AND(H425=1,C425="重要关系7",LEFT('幕间与结算'!H332,8)="建立新的重要关系"),'幕间与结算'!E332+E425,BW424+IF(C425="重要关系7",E425,0)+IF(AND(C425="魅力",E425&lt;0),E425,0))))</x:f>
        <x:v>0</x:v>
      </x:c>
    </x:row>
    <x:row r="426">
      <x:c r="A426" t="str">
        <x:f>IFERROR(TEXT(VALUE('幕间与结算'!A333),"00"),"")</x:f>
        <x:v>00</x:v>
      </x:c>
      <x:c r="B426">
        <x:f>'幕间与结算'!B333</x:f>
        <x:v>0</x:v>
      </x:c>
      <x:c r="C426">
        <x:f>'幕间与结算'!D333</x:f>
        <x:v>0</x:v>
      </x:c>
      <x:c r="D426">
        <x:f>'幕间与结算'!F333</x:f>
        <x:v>0</x:v>
      </x:c>
      <x:c r="E426">
        <x:f>IF(H426=1,MAX(-'幕间与结算'!E333,MIN(D426,IF(LEFT(C426,3)="技能：",99,IF(COUNTIF($L$2:$L$7,C426)&gt;0,18,999))-'幕间与结算'!E333)),0)</x:f>
        <x:v>0</x:v>
      </x:c>
      <x:c r="F426" t="str">
        <x:f>IF(C426=0,"",IF(G426=0,"记录不完整",IF(H426=0,"重复未计","已计入")))</x:f>
        <x:v/>
      </x:c>
      <x:c r="G426">
        <x:f>IF(AND(AND('幕间与结算'!A333&lt;&gt;"",'幕间与结算'!B333&lt;&gt;"",'幕间与结算'!I333&lt;&gt;"",OR(LEFT(C426,3)="技能：",COUNTIF($L$2:$L$19,C426)&gt;0),ISNUMBER('幕间与结算'!E333),ISNUMBER('幕间与结算'!F333),ISNUMBER('幕间与结算'!G333),'幕间与结算'!E333&gt;=0,'幕间与结算'!G333='幕间与结算'!E333+'幕间与结算'!F333),OR(B426&lt;&gt;"成长",AND(LEFT(C426,3)="技能：",C426&lt;&gt;"技能：非自然知识",'幕间与结算'!E333&gt;=1,'幕间与结算'!E333&lt;=99,'幕间与结算'!F333&gt;=0,'幕间与结算'!F333&lt;=4,'幕间与结算'!G333&lt;=99))),1,0)</x:f>
        <x:v>0</x:v>
      </x:c>
      <x:c r="H426">
        <x:f>IF(AND(G426=1,COUNTIFS($I$200:I426,I426,$G$200:G426,1)=1),1,0)</x:f>
        <x:v>0</x:v>
      </x:c>
      <x:c r="I426" t="str">
        <x:f>IF(G426=1,IF(B426="成长",A426&amp;"-成长-"&amp;C426,'幕间与结算'!I333),"")</x:f>
        <x:v/>
      </x:c>
      <x:c r="BF426">
        <x:f>MAX(0,MIN(18,BF425+IF(C426="力量",E426,0)))</x:f>
        <x:v>0</x:v>
      </x:c>
      <x:c r="BG426">
        <x:f>MAX(0,MIN(18,BG425+IF(C426="体质",E426,0)))</x:f>
        <x:v>0</x:v>
      </x:c>
      <x:c r="BH426">
        <x:f>MAX(0,MIN(18,BH425+IF(C426="敏捷",E426,0)))</x:f>
        <x:v>0</x:v>
      </x:c>
      <x:c r="BI426">
        <x:f>MAX(0,MIN(18,BI425+IF(C426="智力",E426,0)))</x:f>
        <x:v>0</x:v>
      </x:c>
      <x:c r="BJ426">
        <x:f>MAX(0,MIN(18,BJ425+IF(C426="意志",E426,0)))</x:f>
        <x:v>0</x:v>
      </x:c>
      <x:c r="BK426">
        <x:f>MAX(0,MIN(18,BK425+IF(C426="魅力",E426,0)))</x:f>
        <x:v>0</x:v>
      </x:c>
      <x:c r="BL426">
        <x:f>MAX(0,MIN(99,BL425+IF(C426="技能：非自然知识",E426,0)))</x:f>
        <x:v>0</x:v>
      </x:c>
      <x:c r="BM426">
        <x:f>MAX(0,MIN(CEILING((BF426+BG426)/2,1),BM425+IF(C426="体力",E426,0)))</x:f>
        <x:v>0</x:v>
      </x:c>
      <x:c r="BN426">
        <x:f>MAX(0,MIN(BJ426,BN425+IF(C426="毅力",E426,0)))</x:f>
        <x:v>0</x:v>
      </x:c>
      <x:c r="BO426">
        <x:f>MAX(0,MIN(99-BL426,BO425+IF(C426="理智",E426,0)))</x:f>
        <x:v>0</x:v>
      </x:c>
      <x:c r="BP426">
        <x:f>MAX(0,MIN(99,BP425+IF(C426="崩溃点",E426,0)))</x:f>
        <x:v>0</x:v>
      </x:c>
      <x:c r="BQ426">
        <x:f>MAX(0,MIN(BK426,IF(AND(H426=1,C426="重要关系1",LEFT('幕间与结算'!H333,8)="建立新的重要关系"),'幕间与结算'!E333+E426,BQ425+IF(C426="重要关系1",E426,0)+IF(AND(C426="魅力",E426&lt;0),E426,0))))</x:f>
        <x:v>0</x:v>
      </x:c>
      <x:c r="BR426">
        <x:f>MAX(0,MIN(BK426,IF(AND(H426=1,C426="重要关系2",LEFT('幕间与结算'!H333,8)="建立新的重要关系"),'幕间与结算'!E333+E426,BR425+IF(C426="重要关系2",E426,0)+IF(AND(C426="魅力",E426&lt;0),E426,0))))</x:f>
        <x:v>0</x:v>
      </x:c>
      <x:c r="BS426">
        <x:f>MAX(0,MIN(BK426,IF(AND(H426=1,C426="重要关系3",LEFT('幕间与结算'!H333,8)="建立新的重要关系"),'幕间与结算'!E333+E426,BS425+IF(C426="重要关系3",E426,0)+IF(AND(C426="魅力",E426&lt;0),E426,0))))</x:f>
        <x:v>0</x:v>
      </x:c>
      <x:c r="BT426">
        <x:f>MAX(0,MIN(BK426,IF(AND(H426=1,C426="重要关系4",LEFT('幕间与结算'!H333,8)="建立新的重要关系"),'幕间与结算'!E333+E426,BT425+IF(C426="重要关系4",E426,0)+IF(AND(C426="魅力",E426&lt;0),E426,0))))</x:f>
        <x:v>0</x:v>
      </x:c>
      <x:c r="BU426">
        <x:f>MAX(0,MIN(BK426,IF(AND(H426=1,C426="重要关系5",LEFT('幕间与结算'!H333,8)="建立新的重要关系"),'幕间与结算'!E333+E426,BU425+IF(C426="重要关系5",E426,0)+IF(AND(C426="魅力",E426&lt;0),E426,0))))</x:f>
        <x:v>0</x:v>
      </x:c>
      <x:c r="BV426">
        <x:f>MAX(0,MIN(BK426,IF(AND(H426=1,C426="重要关系6",LEFT('幕间与结算'!H333,8)="建立新的重要关系"),'幕间与结算'!E333+E426,BV425+IF(C426="重要关系6",E426,0)+IF(AND(C426="魅力",E426&lt;0),E426,0))))</x:f>
        <x:v>0</x:v>
      </x:c>
      <x:c r="BW426">
        <x:f>MAX(0,MIN(BK426,IF(AND(H426=1,C426="重要关系7",LEFT('幕间与结算'!H333,8)="建立新的重要关系"),'幕间与结算'!E333+E426,BW425+IF(C426="重要关系7",E426,0)+IF(AND(C426="魅力",E426&lt;0),E426,0))))</x:f>
        <x:v>0</x:v>
      </x:c>
    </x:row>
    <x:row r="427">
      <x:c r="A427" t="str">
        <x:f>IFERROR(TEXT(VALUE('幕间与结算'!A334),"00"),"")</x:f>
        <x:v>00</x:v>
      </x:c>
      <x:c r="B427">
        <x:f>'幕间与结算'!B334</x:f>
        <x:v>0</x:v>
      </x:c>
      <x:c r="C427">
        <x:f>'幕间与结算'!D334</x:f>
        <x:v>0</x:v>
      </x:c>
      <x:c r="D427">
        <x:f>'幕间与结算'!F334</x:f>
        <x:v>0</x:v>
      </x:c>
      <x:c r="E427">
        <x:f>IF(H427=1,MAX(-'幕间与结算'!E334,MIN(D427,IF(LEFT(C427,3)="技能：",99,IF(COUNTIF($L$2:$L$7,C427)&gt;0,18,999))-'幕间与结算'!E334)),0)</x:f>
        <x:v>0</x:v>
      </x:c>
      <x:c r="F427" t="str">
        <x:f>IF(C427=0,"",IF(G427=0,"记录不完整",IF(H427=0,"重复未计","已计入")))</x:f>
        <x:v/>
      </x:c>
      <x:c r="G427">
        <x:f>IF(AND(AND('幕间与结算'!A334&lt;&gt;"",'幕间与结算'!B334&lt;&gt;"",'幕间与结算'!I334&lt;&gt;"",OR(LEFT(C427,3)="技能：",COUNTIF($L$2:$L$19,C427)&gt;0),ISNUMBER('幕间与结算'!E334),ISNUMBER('幕间与结算'!F334),ISNUMBER('幕间与结算'!G334),'幕间与结算'!E334&gt;=0,'幕间与结算'!G334='幕间与结算'!E334+'幕间与结算'!F334),OR(B427&lt;&gt;"成长",AND(LEFT(C427,3)="技能：",C427&lt;&gt;"技能：非自然知识",'幕间与结算'!E334&gt;=1,'幕间与结算'!E334&lt;=99,'幕间与结算'!F334&gt;=0,'幕间与结算'!F334&lt;=4,'幕间与结算'!G334&lt;=99))),1,0)</x:f>
        <x:v>0</x:v>
      </x:c>
      <x:c r="H427">
        <x:f>IF(AND(G427=1,COUNTIFS($I$200:I427,I427,$G$200:G427,1)=1),1,0)</x:f>
        <x:v>0</x:v>
      </x:c>
      <x:c r="I427" t="str">
        <x:f>IF(G427=1,IF(B427="成长",A427&amp;"-成长-"&amp;C427,'幕间与结算'!I334),"")</x:f>
        <x:v/>
      </x:c>
      <x:c r="BF427">
        <x:f>MAX(0,MIN(18,BF426+IF(C427="力量",E427,0)))</x:f>
        <x:v>0</x:v>
      </x:c>
      <x:c r="BG427">
        <x:f>MAX(0,MIN(18,BG426+IF(C427="体质",E427,0)))</x:f>
        <x:v>0</x:v>
      </x:c>
      <x:c r="BH427">
        <x:f>MAX(0,MIN(18,BH426+IF(C427="敏捷",E427,0)))</x:f>
        <x:v>0</x:v>
      </x:c>
      <x:c r="BI427">
        <x:f>MAX(0,MIN(18,BI426+IF(C427="智力",E427,0)))</x:f>
        <x:v>0</x:v>
      </x:c>
      <x:c r="BJ427">
        <x:f>MAX(0,MIN(18,BJ426+IF(C427="意志",E427,0)))</x:f>
        <x:v>0</x:v>
      </x:c>
      <x:c r="BK427">
        <x:f>MAX(0,MIN(18,BK426+IF(C427="魅力",E427,0)))</x:f>
        <x:v>0</x:v>
      </x:c>
      <x:c r="BL427">
        <x:f>MAX(0,MIN(99,BL426+IF(C427="技能：非自然知识",E427,0)))</x:f>
        <x:v>0</x:v>
      </x:c>
      <x:c r="BM427">
        <x:f>MAX(0,MIN(CEILING((BF427+BG427)/2,1),BM426+IF(C427="体力",E427,0)))</x:f>
        <x:v>0</x:v>
      </x:c>
      <x:c r="BN427">
        <x:f>MAX(0,MIN(BJ427,BN426+IF(C427="毅力",E427,0)))</x:f>
        <x:v>0</x:v>
      </x:c>
      <x:c r="BO427">
        <x:f>MAX(0,MIN(99-BL427,BO426+IF(C427="理智",E427,0)))</x:f>
        <x:v>0</x:v>
      </x:c>
      <x:c r="BP427">
        <x:f>MAX(0,MIN(99,BP426+IF(C427="崩溃点",E427,0)))</x:f>
        <x:v>0</x:v>
      </x:c>
      <x:c r="BQ427">
        <x:f>MAX(0,MIN(BK427,IF(AND(H427=1,C427="重要关系1",LEFT('幕间与结算'!H334,8)="建立新的重要关系"),'幕间与结算'!E334+E427,BQ426+IF(C427="重要关系1",E427,0)+IF(AND(C427="魅力",E427&lt;0),E427,0))))</x:f>
        <x:v>0</x:v>
      </x:c>
      <x:c r="BR427">
        <x:f>MAX(0,MIN(BK427,IF(AND(H427=1,C427="重要关系2",LEFT('幕间与结算'!H334,8)="建立新的重要关系"),'幕间与结算'!E334+E427,BR426+IF(C427="重要关系2",E427,0)+IF(AND(C427="魅力",E427&lt;0),E427,0))))</x:f>
        <x:v>0</x:v>
      </x:c>
      <x:c r="BS427">
        <x:f>MAX(0,MIN(BK427,IF(AND(H427=1,C427="重要关系3",LEFT('幕间与结算'!H334,8)="建立新的重要关系"),'幕间与结算'!E334+E427,BS426+IF(C427="重要关系3",E427,0)+IF(AND(C427="魅力",E427&lt;0),E427,0))))</x:f>
        <x:v>0</x:v>
      </x:c>
      <x:c r="BT427">
        <x:f>MAX(0,MIN(BK427,IF(AND(H427=1,C427="重要关系4",LEFT('幕间与结算'!H334,8)="建立新的重要关系"),'幕间与结算'!E334+E427,BT426+IF(C427="重要关系4",E427,0)+IF(AND(C427="魅力",E427&lt;0),E427,0))))</x:f>
        <x:v>0</x:v>
      </x:c>
      <x:c r="BU427">
        <x:f>MAX(0,MIN(BK427,IF(AND(H427=1,C427="重要关系5",LEFT('幕间与结算'!H334,8)="建立新的重要关系"),'幕间与结算'!E334+E427,BU426+IF(C427="重要关系5",E427,0)+IF(AND(C427="魅力",E427&lt;0),E427,0))))</x:f>
        <x:v>0</x:v>
      </x:c>
      <x:c r="BV427">
        <x:f>MAX(0,MIN(BK427,IF(AND(H427=1,C427="重要关系6",LEFT('幕间与结算'!H334,8)="建立新的重要关系"),'幕间与结算'!E334+E427,BV426+IF(C427="重要关系6",E427,0)+IF(AND(C427="魅力",E427&lt;0),E427,0))))</x:f>
        <x:v>0</x:v>
      </x:c>
      <x:c r="BW427">
        <x:f>MAX(0,MIN(BK427,IF(AND(H427=1,C427="重要关系7",LEFT('幕间与结算'!H334,8)="建立新的重要关系"),'幕间与结算'!E334+E427,BW426+IF(C427="重要关系7",E427,0)+IF(AND(C427="魅力",E427&lt;0),E427,0))))</x:f>
        <x:v>0</x:v>
      </x:c>
    </x:row>
    <x:row r="428">
      <x:c r="A428" t="str">
        <x:f>IFERROR(TEXT(VALUE('幕间与结算'!A335),"00"),"")</x:f>
        <x:v>00</x:v>
      </x:c>
      <x:c r="B428">
        <x:f>'幕间与结算'!B335</x:f>
        <x:v>0</x:v>
      </x:c>
      <x:c r="C428">
        <x:f>'幕间与结算'!D335</x:f>
        <x:v>0</x:v>
      </x:c>
      <x:c r="D428">
        <x:f>'幕间与结算'!F335</x:f>
        <x:v>0</x:v>
      </x:c>
      <x:c r="E428">
        <x:f>IF(H428=1,MAX(-'幕间与结算'!E335,MIN(D428,IF(LEFT(C428,3)="技能：",99,IF(COUNTIF($L$2:$L$7,C428)&gt;0,18,999))-'幕间与结算'!E335)),0)</x:f>
        <x:v>0</x:v>
      </x:c>
      <x:c r="F428" t="str">
        <x:f>IF(C428=0,"",IF(G428=0,"记录不完整",IF(H428=0,"重复未计","已计入")))</x:f>
        <x:v/>
      </x:c>
      <x:c r="G428">
        <x:f>IF(AND(AND('幕间与结算'!A335&lt;&gt;"",'幕间与结算'!B335&lt;&gt;"",'幕间与结算'!I335&lt;&gt;"",OR(LEFT(C428,3)="技能：",COUNTIF($L$2:$L$19,C428)&gt;0),ISNUMBER('幕间与结算'!E335),ISNUMBER('幕间与结算'!F335),ISNUMBER('幕间与结算'!G335),'幕间与结算'!E335&gt;=0,'幕间与结算'!G335='幕间与结算'!E335+'幕间与结算'!F335),OR(B428&lt;&gt;"成长",AND(LEFT(C428,3)="技能：",C428&lt;&gt;"技能：非自然知识",'幕间与结算'!E335&gt;=1,'幕间与结算'!E335&lt;=99,'幕间与结算'!F335&gt;=0,'幕间与结算'!F335&lt;=4,'幕间与结算'!G335&lt;=99))),1,0)</x:f>
        <x:v>0</x:v>
      </x:c>
      <x:c r="H428">
        <x:f>IF(AND(G428=1,COUNTIFS($I$200:I428,I428,$G$200:G428,1)=1),1,0)</x:f>
        <x:v>0</x:v>
      </x:c>
      <x:c r="I428" t="str">
        <x:f>IF(G428=1,IF(B428="成长",A428&amp;"-成长-"&amp;C428,'幕间与结算'!I335),"")</x:f>
        <x:v/>
      </x:c>
      <x:c r="BF428">
        <x:f>MAX(0,MIN(18,BF427+IF(C428="力量",E428,0)))</x:f>
        <x:v>0</x:v>
      </x:c>
      <x:c r="BG428">
        <x:f>MAX(0,MIN(18,BG427+IF(C428="体质",E428,0)))</x:f>
        <x:v>0</x:v>
      </x:c>
      <x:c r="BH428">
        <x:f>MAX(0,MIN(18,BH427+IF(C428="敏捷",E428,0)))</x:f>
        <x:v>0</x:v>
      </x:c>
      <x:c r="BI428">
        <x:f>MAX(0,MIN(18,BI427+IF(C428="智力",E428,0)))</x:f>
        <x:v>0</x:v>
      </x:c>
      <x:c r="BJ428">
        <x:f>MAX(0,MIN(18,BJ427+IF(C428="意志",E428,0)))</x:f>
        <x:v>0</x:v>
      </x:c>
      <x:c r="BK428">
        <x:f>MAX(0,MIN(18,BK427+IF(C428="魅力",E428,0)))</x:f>
        <x:v>0</x:v>
      </x:c>
      <x:c r="BL428">
        <x:f>MAX(0,MIN(99,BL427+IF(C428="技能：非自然知识",E428,0)))</x:f>
        <x:v>0</x:v>
      </x:c>
      <x:c r="BM428">
        <x:f>MAX(0,MIN(CEILING((BF428+BG428)/2,1),BM427+IF(C428="体力",E428,0)))</x:f>
        <x:v>0</x:v>
      </x:c>
      <x:c r="BN428">
        <x:f>MAX(0,MIN(BJ428,BN427+IF(C428="毅力",E428,0)))</x:f>
        <x:v>0</x:v>
      </x:c>
      <x:c r="BO428">
        <x:f>MAX(0,MIN(99-BL428,BO427+IF(C428="理智",E428,0)))</x:f>
        <x:v>0</x:v>
      </x:c>
      <x:c r="BP428">
        <x:f>MAX(0,MIN(99,BP427+IF(C428="崩溃点",E428,0)))</x:f>
        <x:v>0</x:v>
      </x:c>
      <x:c r="BQ428">
        <x:f>MAX(0,MIN(BK428,IF(AND(H428=1,C428="重要关系1",LEFT('幕间与结算'!H335,8)="建立新的重要关系"),'幕间与结算'!E335+E428,BQ427+IF(C428="重要关系1",E428,0)+IF(AND(C428="魅力",E428&lt;0),E428,0))))</x:f>
        <x:v>0</x:v>
      </x:c>
      <x:c r="BR428">
        <x:f>MAX(0,MIN(BK428,IF(AND(H428=1,C428="重要关系2",LEFT('幕间与结算'!H335,8)="建立新的重要关系"),'幕间与结算'!E335+E428,BR427+IF(C428="重要关系2",E428,0)+IF(AND(C428="魅力",E428&lt;0),E428,0))))</x:f>
        <x:v>0</x:v>
      </x:c>
      <x:c r="BS428">
        <x:f>MAX(0,MIN(BK428,IF(AND(H428=1,C428="重要关系3",LEFT('幕间与结算'!H335,8)="建立新的重要关系"),'幕间与结算'!E335+E428,BS427+IF(C428="重要关系3",E428,0)+IF(AND(C428="魅力",E428&lt;0),E428,0))))</x:f>
        <x:v>0</x:v>
      </x:c>
      <x:c r="BT428">
        <x:f>MAX(0,MIN(BK428,IF(AND(H428=1,C428="重要关系4",LEFT('幕间与结算'!H335,8)="建立新的重要关系"),'幕间与结算'!E335+E428,BT427+IF(C428="重要关系4",E428,0)+IF(AND(C428="魅力",E428&lt;0),E428,0))))</x:f>
        <x:v>0</x:v>
      </x:c>
      <x:c r="BU428">
        <x:f>MAX(0,MIN(BK428,IF(AND(H428=1,C428="重要关系5",LEFT('幕间与结算'!H335,8)="建立新的重要关系"),'幕间与结算'!E335+E428,BU427+IF(C428="重要关系5",E428,0)+IF(AND(C428="魅力",E428&lt;0),E428,0))))</x:f>
        <x:v>0</x:v>
      </x:c>
      <x:c r="BV428">
        <x:f>MAX(0,MIN(BK428,IF(AND(H428=1,C428="重要关系6",LEFT('幕间与结算'!H335,8)="建立新的重要关系"),'幕间与结算'!E335+E428,BV427+IF(C428="重要关系6",E428,0)+IF(AND(C428="魅力",E428&lt;0),E428,0))))</x:f>
        <x:v>0</x:v>
      </x:c>
      <x:c r="BW428">
        <x:f>MAX(0,MIN(BK428,IF(AND(H428=1,C428="重要关系7",LEFT('幕间与结算'!H335,8)="建立新的重要关系"),'幕间与结算'!E335+E428,BW427+IF(C428="重要关系7",E428,0)+IF(AND(C428="魅力",E428&lt;0),E428,0))))</x:f>
        <x:v>0</x:v>
      </x:c>
    </x:row>
    <x:row r="429">
      <x:c r="A429" t="str">
        <x:f>IFERROR(TEXT(VALUE('幕间与结算'!A336),"00"),"")</x:f>
        <x:v>00</x:v>
      </x:c>
      <x:c r="B429">
        <x:f>'幕间与结算'!B336</x:f>
        <x:v>0</x:v>
      </x:c>
      <x:c r="C429">
        <x:f>'幕间与结算'!D336</x:f>
        <x:v>0</x:v>
      </x:c>
      <x:c r="D429">
        <x:f>'幕间与结算'!F336</x:f>
        <x:v>0</x:v>
      </x:c>
      <x:c r="E429">
        <x:f>IF(H429=1,MAX(-'幕间与结算'!E336,MIN(D429,IF(LEFT(C429,3)="技能：",99,IF(COUNTIF($L$2:$L$7,C429)&gt;0,18,999))-'幕间与结算'!E336)),0)</x:f>
        <x:v>0</x:v>
      </x:c>
      <x:c r="F429" t="str">
        <x:f>IF(C429=0,"",IF(G429=0,"记录不完整",IF(H429=0,"重复未计","已计入")))</x:f>
        <x:v/>
      </x:c>
      <x:c r="G429">
        <x:f>IF(AND(AND('幕间与结算'!A336&lt;&gt;"",'幕间与结算'!B336&lt;&gt;"",'幕间与结算'!I336&lt;&gt;"",OR(LEFT(C429,3)="技能：",COUNTIF($L$2:$L$19,C429)&gt;0),ISNUMBER('幕间与结算'!E336),ISNUMBER('幕间与结算'!F336),ISNUMBER('幕间与结算'!G336),'幕间与结算'!E336&gt;=0,'幕间与结算'!G336='幕间与结算'!E336+'幕间与结算'!F336),OR(B429&lt;&gt;"成长",AND(LEFT(C429,3)="技能：",C429&lt;&gt;"技能：非自然知识",'幕间与结算'!E336&gt;=1,'幕间与结算'!E336&lt;=99,'幕间与结算'!F336&gt;=0,'幕间与结算'!F336&lt;=4,'幕间与结算'!G336&lt;=99))),1,0)</x:f>
        <x:v>0</x:v>
      </x:c>
      <x:c r="H429">
        <x:f>IF(AND(G429=1,COUNTIFS($I$200:I429,I429,$G$200:G429,1)=1),1,0)</x:f>
        <x:v>0</x:v>
      </x:c>
      <x:c r="I429" t="str">
        <x:f>IF(G429=1,IF(B429="成长",A429&amp;"-成长-"&amp;C429,'幕间与结算'!I336),"")</x:f>
        <x:v/>
      </x:c>
      <x:c r="BF429">
        <x:f>MAX(0,MIN(18,BF428+IF(C429="力量",E429,0)))</x:f>
        <x:v>0</x:v>
      </x:c>
      <x:c r="BG429">
        <x:f>MAX(0,MIN(18,BG428+IF(C429="体质",E429,0)))</x:f>
        <x:v>0</x:v>
      </x:c>
      <x:c r="BH429">
        <x:f>MAX(0,MIN(18,BH428+IF(C429="敏捷",E429,0)))</x:f>
        <x:v>0</x:v>
      </x:c>
      <x:c r="BI429">
        <x:f>MAX(0,MIN(18,BI428+IF(C429="智力",E429,0)))</x:f>
        <x:v>0</x:v>
      </x:c>
      <x:c r="BJ429">
        <x:f>MAX(0,MIN(18,BJ428+IF(C429="意志",E429,0)))</x:f>
        <x:v>0</x:v>
      </x:c>
      <x:c r="BK429">
        <x:f>MAX(0,MIN(18,BK428+IF(C429="魅力",E429,0)))</x:f>
        <x:v>0</x:v>
      </x:c>
      <x:c r="BL429">
        <x:f>MAX(0,MIN(99,BL428+IF(C429="技能：非自然知识",E429,0)))</x:f>
        <x:v>0</x:v>
      </x:c>
      <x:c r="BM429">
        <x:f>MAX(0,MIN(CEILING((BF429+BG429)/2,1),BM428+IF(C429="体力",E429,0)))</x:f>
        <x:v>0</x:v>
      </x:c>
      <x:c r="BN429">
        <x:f>MAX(0,MIN(BJ429,BN428+IF(C429="毅力",E429,0)))</x:f>
        <x:v>0</x:v>
      </x:c>
      <x:c r="BO429">
        <x:f>MAX(0,MIN(99-BL429,BO428+IF(C429="理智",E429,0)))</x:f>
        <x:v>0</x:v>
      </x:c>
      <x:c r="BP429">
        <x:f>MAX(0,MIN(99,BP428+IF(C429="崩溃点",E429,0)))</x:f>
        <x:v>0</x:v>
      </x:c>
      <x:c r="BQ429">
        <x:f>MAX(0,MIN(BK429,IF(AND(H429=1,C429="重要关系1",LEFT('幕间与结算'!H336,8)="建立新的重要关系"),'幕间与结算'!E336+E429,BQ428+IF(C429="重要关系1",E429,0)+IF(AND(C429="魅力",E429&lt;0),E429,0))))</x:f>
        <x:v>0</x:v>
      </x:c>
      <x:c r="BR429">
        <x:f>MAX(0,MIN(BK429,IF(AND(H429=1,C429="重要关系2",LEFT('幕间与结算'!H336,8)="建立新的重要关系"),'幕间与结算'!E336+E429,BR428+IF(C429="重要关系2",E429,0)+IF(AND(C429="魅力",E429&lt;0),E429,0))))</x:f>
        <x:v>0</x:v>
      </x:c>
      <x:c r="BS429">
        <x:f>MAX(0,MIN(BK429,IF(AND(H429=1,C429="重要关系3",LEFT('幕间与结算'!H336,8)="建立新的重要关系"),'幕间与结算'!E336+E429,BS428+IF(C429="重要关系3",E429,0)+IF(AND(C429="魅力",E429&lt;0),E429,0))))</x:f>
        <x:v>0</x:v>
      </x:c>
      <x:c r="BT429">
        <x:f>MAX(0,MIN(BK429,IF(AND(H429=1,C429="重要关系4",LEFT('幕间与结算'!H336,8)="建立新的重要关系"),'幕间与结算'!E336+E429,BT428+IF(C429="重要关系4",E429,0)+IF(AND(C429="魅力",E429&lt;0),E429,0))))</x:f>
        <x:v>0</x:v>
      </x:c>
      <x:c r="BU429">
        <x:f>MAX(0,MIN(BK429,IF(AND(H429=1,C429="重要关系5",LEFT('幕间与结算'!H336,8)="建立新的重要关系"),'幕间与结算'!E336+E429,BU428+IF(C429="重要关系5",E429,0)+IF(AND(C429="魅力",E429&lt;0),E429,0))))</x:f>
        <x:v>0</x:v>
      </x:c>
      <x:c r="BV429">
        <x:f>MAX(0,MIN(BK429,IF(AND(H429=1,C429="重要关系6",LEFT('幕间与结算'!H336,8)="建立新的重要关系"),'幕间与结算'!E336+E429,BV428+IF(C429="重要关系6",E429,0)+IF(AND(C429="魅力",E429&lt;0),E429,0))))</x:f>
        <x:v>0</x:v>
      </x:c>
      <x:c r="BW429">
        <x:f>MAX(0,MIN(BK429,IF(AND(H429=1,C429="重要关系7",LEFT('幕间与结算'!H336,8)="建立新的重要关系"),'幕间与结算'!E336+E429,BW428+IF(C429="重要关系7",E429,0)+IF(AND(C429="魅力",E429&lt;0),E429,0))))</x:f>
        <x:v>0</x:v>
      </x:c>
    </x:row>
    <x:row r="430">
      <x:c r="A430" t="str">
        <x:f>IFERROR(TEXT(VALUE('幕间与结算'!A337),"00"),"")</x:f>
        <x:v>00</x:v>
      </x:c>
      <x:c r="B430">
        <x:f>'幕间与结算'!B337</x:f>
        <x:v>0</x:v>
      </x:c>
      <x:c r="C430">
        <x:f>'幕间与结算'!D337</x:f>
        <x:v>0</x:v>
      </x:c>
      <x:c r="D430">
        <x:f>'幕间与结算'!F337</x:f>
        <x:v>0</x:v>
      </x:c>
      <x:c r="E430">
        <x:f>IF(H430=1,MAX(-'幕间与结算'!E337,MIN(D430,IF(LEFT(C430,3)="技能：",99,IF(COUNTIF($L$2:$L$7,C430)&gt;0,18,999))-'幕间与结算'!E337)),0)</x:f>
        <x:v>0</x:v>
      </x:c>
      <x:c r="F430" t="str">
        <x:f>IF(C430=0,"",IF(G430=0,"记录不完整",IF(H430=0,"重复未计","已计入")))</x:f>
        <x:v/>
      </x:c>
      <x:c r="G430">
        <x:f>IF(AND(AND('幕间与结算'!A337&lt;&gt;"",'幕间与结算'!B337&lt;&gt;"",'幕间与结算'!I337&lt;&gt;"",OR(LEFT(C430,3)="技能：",COUNTIF($L$2:$L$19,C430)&gt;0),ISNUMBER('幕间与结算'!E337),ISNUMBER('幕间与结算'!F337),ISNUMBER('幕间与结算'!G337),'幕间与结算'!E337&gt;=0,'幕间与结算'!G337='幕间与结算'!E337+'幕间与结算'!F337),OR(B430&lt;&gt;"成长",AND(LEFT(C430,3)="技能：",C430&lt;&gt;"技能：非自然知识",'幕间与结算'!E337&gt;=1,'幕间与结算'!E337&lt;=99,'幕间与结算'!F337&gt;=0,'幕间与结算'!F337&lt;=4,'幕间与结算'!G337&lt;=99))),1,0)</x:f>
        <x:v>0</x:v>
      </x:c>
      <x:c r="H430">
        <x:f>IF(AND(G430=1,COUNTIFS($I$200:I430,I430,$G$200:G430,1)=1),1,0)</x:f>
        <x:v>0</x:v>
      </x:c>
      <x:c r="I430" t="str">
        <x:f>IF(G430=1,IF(B430="成长",A430&amp;"-成长-"&amp;C430,'幕间与结算'!I337),"")</x:f>
        <x:v/>
      </x:c>
      <x:c r="BF430">
        <x:f>MAX(0,MIN(18,BF429+IF(C430="力量",E430,0)))</x:f>
        <x:v>0</x:v>
      </x:c>
      <x:c r="BG430">
        <x:f>MAX(0,MIN(18,BG429+IF(C430="体质",E430,0)))</x:f>
        <x:v>0</x:v>
      </x:c>
      <x:c r="BH430">
        <x:f>MAX(0,MIN(18,BH429+IF(C430="敏捷",E430,0)))</x:f>
        <x:v>0</x:v>
      </x:c>
      <x:c r="BI430">
        <x:f>MAX(0,MIN(18,BI429+IF(C430="智力",E430,0)))</x:f>
        <x:v>0</x:v>
      </x:c>
      <x:c r="BJ430">
        <x:f>MAX(0,MIN(18,BJ429+IF(C430="意志",E430,0)))</x:f>
        <x:v>0</x:v>
      </x:c>
      <x:c r="BK430">
        <x:f>MAX(0,MIN(18,BK429+IF(C430="魅力",E430,0)))</x:f>
        <x:v>0</x:v>
      </x:c>
      <x:c r="BL430">
        <x:f>MAX(0,MIN(99,BL429+IF(C430="技能：非自然知识",E430,0)))</x:f>
        <x:v>0</x:v>
      </x:c>
      <x:c r="BM430">
        <x:f>MAX(0,MIN(CEILING((BF430+BG430)/2,1),BM429+IF(C430="体力",E430,0)))</x:f>
        <x:v>0</x:v>
      </x:c>
      <x:c r="BN430">
        <x:f>MAX(0,MIN(BJ430,BN429+IF(C430="毅力",E430,0)))</x:f>
        <x:v>0</x:v>
      </x:c>
      <x:c r="BO430">
        <x:f>MAX(0,MIN(99-BL430,BO429+IF(C430="理智",E430,0)))</x:f>
        <x:v>0</x:v>
      </x:c>
      <x:c r="BP430">
        <x:f>MAX(0,MIN(99,BP429+IF(C430="崩溃点",E430,0)))</x:f>
        <x:v>0</x:v>
      </x:c>
      <x:c r="BQ430">
        <x:f>MAX(0,MIN(BK430,IF(AND(H430=1,C430="重要关系1",LEFT('幕间与结算'!H337,8)="建立新的重要关系"),'幕间与结算'!E337+E430,BQ429+IF(C430="重要关系1",E430,0)+IF(AND(C430="魅力",E430&lt;0),E430,0))))</x:f>
        <x:v>0</x:v>
      </x:c>
      <x:c r="BR430">
        <x:f>MAX(0,MIN(BK430,IF(AND(H430=1,C430="重要关系2",LEFT('幕间与结算'!H337,8)="建立新的重要关系"),'幕间与结算'!E337+E430,BR429+IF(C430="重要关系2",E430,0)+IF(AND(C430="魅力",E430&lt;0),E430,0))))</x:f>
        <x:v>0</x:v>
      </x:c>
      <x:c r="BS430">
        <x:f>MAX(0,MIN(BK430,IF(AND(H430=1,C430="重要关系3",LEFT('幕间与结算'!H337,8)="建立新的重要关系"),'幕间与结算'!E337+E430,BS429+IF(C430="重要关系3",E430,0)+IF(AND(C430="魅力",E430&lt;0),E430,0))))</x:f>
        <x:v>0</x:v>
      </x:c>
      <x:c r="BT430">
        <x:f>MAX(0,MIN(BK430,IF(AND(H430=1,C430="重要关系4",LEFT('幕间与结算'!H337,8)="建立新的重要关系"),'幕间与结算'!E337+E430,BT429+IF(C430="重要关系4",E430,0)+IF(AND(C430="魅力",E430&lt;0),E430,0))))</x:f>
        <x:v>0</x:v>
      </x:c>
      <x:c r="BU430">
        <x:f>MAX(0,MIN(BK430,IF(AND(H430=1,C430="重要关系5",LEFT('幕间与结算'!H337,8)="建立新的重要关系"),'幕间与结算'!E337+E430,BU429+IF(C430="重要关系5",E430,0)+IF(AND(C430="魅力",E430&lt;0),E430,0))))</x:f>
        <x:v>0</x:v>
      </x:c>
      <x:c r="BV430">
        <x:f>MAX(0,MIN(BK430,IF(AND(H430=1,C430="重要关系6",LEFT('幕间与结算'!H337,8)="建立新的重要关系"),'幕间与结算'!E337+E430,BV429+IF(C430="重要关系6",E430,0)+IF(AND(C430="魅力",E430&lt;0),E430,0))))</x:f>
        <x:v>0</x:v>
      </x:c>
      <x:c r="BW430">
        <x:f>MAX(0,MIN(BK430,IF(AND(H430=1,C430="重要关系7",LEFT('幕间与结算'!H337,8)="建立新的重要关系"),'幕间与结算'!E337+E430,BW429+IF(C430="重要关系7",E430,0)+IF(AND(C430="魅力",E430&lt;0),E430,0))))</x:f>
        <x:v>0</x:v>
      </x:c>
    </x:row>
    <x:row r="431">
      <x:c r="A431" t="str">
        <x:f>IFERROR(TEXT(VALUE('幕间与结算'!A338),"00"),"")</x:f>
        <x:v>00</x:v>
      </x:c>
      <x:c r="B431">
        <x:f>'幕间与结算'!B338</x:f>
        <x:v>0</x:v>
      </x:c>
      <x:c r="C431">
        <x:f>'幕间与结算'!D338</x:f>
        <x:v>0</x:v>
      </x:c>
      <x:c r="D431">
        <x:f>'幕间与结算'!F338</x:f>
        <x:v>0</x:v>
      </x:c>
      <x:c r="E431">
        <x:f>IF(H431=1,MAX(-'幕间与结算'!E338,MIN(D431,IF(LEFT(C431,3)="技能：",99,IF(COUNTIF($L$2:$L$7,C431)&gt;0,18,999))-'幕间与结算'!E338)),0)</x:f>
        <x:v>0</x:v>
      </x:c>
      <x:c r="F431" t="str">
        <x:f>IF(C431=0,"",IF(G431=0,"记录不完整",IF(H431=0,"重复未计","已计入")))</x:f>
        <x:v/>
      </x:c>
      <x:c r="G431">
        <x:f>IF(AND(AND('幕间与结算'!A338&lt;&gt;"",'幕间与结算'!B338&lt;&gt;"",'幕间与结算'!I338&lt;&gt;"",OR(LEFT(C431,3)="技能：",COUNTIF($L$2:$L$19,C431)&gt;0),ISNUMBER('幕间与结算'!E338),ISNUMBER('幕间与结算'!F338),ISNUMBER('幕间与结算'!G338),'幕间与结算'!E338&gt;=0,'幕间与结算'!G338='幕间与结算'!E338+'幕间与结算'!F338),OR(B431&lt;&gt;"成长",AND(LEFT(C431,3)="技能：",C431&lt;&gt;"技能：非自然知识",'幕间与结算'!E338&gt;=1,'幕间与结算'!E338&lt;=99,'幕间与结算'!F338&gt;=0,'幕间与结算'!F338&lt;=4,'幕间与结算'!G338&lt;=99))),1,0)</x:f>
        <x:v>0</x:v>
      </x:c>
      <x:c r="H431">
        <x:f>IF(AND(G431=1,COUNTIFS($I$200:I431,I431,$G$200:G431,1)=1),1,0)</x:f>
        <x:v>0</x:v>
      </x:c>
      <x:c r="I431" t="str">
        <x:f>IF(G431=1,IF(B431="成长",A431&amp;"-成长-"&amp;C431,'幕间与结算'!I338),"")</x:f>
        <x:v/>
      </x:c>
      <x:c r="BF431">
        <x:f>MAX(0,MIN(18,BF430+IF(C431="力量",E431,0)))</x:f>
        <x:v>0</x:v>
      </x:c>
      <x:c r="BG431">
        <x:f>MAX(0,MIN(18,BG430+IF(C431="体质",E431,0)))</x:f>
        <x:v>0</x:v>
      </x:c>
      <x:c r="BH431">
        <x:f>MAX(0,MIN(18,BH430+IF(C431="敏捷",E431,0)))</x:f>
        <x:v>0</x:v>
      </x:c>
      <x:c r="BI431">
        <x:f>MAX(0,MIN(18,BI430+IF(C431="智力",E431,0)))</x:f>
        <x:v>0</x:v>
      </x:c>
      <x:c r="BJ431">
        <x:f>MAX(0,MIN(18,BJ430+IF(C431="意志",E431,0)))</x:f>
        <x:v>0</x:v>
      </x:c>
      <x:c r="BK431">
        <x:f>MAX(0,MIN(18,BK430+IF(C431="魅力",E431,0)))</x:f>
        <x:v>0</x:v>
      </x:c>
      <x:c r="BL431">
        <x:f>MAX(0,MIN(99,BL430+IF(C431="技能：非自然知识",E431,0)))</x:f>
        <x:v>0</x:v>
      </x:c>
      <x:c r="BM431">
        <x:f>MAX(0,MIN(CEILING((BF431+BG431)/2,1),BM430+IF(C431="体力",E431,0)))</x:f>
        <x:v>0</x:v>
      </x:c>
      <x:c r="BN431">
        <x:f>MAX(0,MIN(BJ431,BN430+IF(C431="毅力",E431,0)))</x:f>
        <x:v>0</x:v>
      </x:c>
      <x:c r="BO431">
        <x:f>MAX(0,MIN(99-BL431,BO430+IF(C431="理智",E431,0)))</x:f>
        <x:v>0</x:v>
      </x:c>
      <x:c r="BP431">
        <x:f>MAX(0,MIN(99,BP430+IF(C431="崩溃点",E431,0)))</x:f>
        <x:v>0</x:v>
      </x:c>
      <x:c r="BQ431">
        <x:f>MAX(0,MIN(BK431,IF(AND(H431=1,C431="重要关系1",LEFT('幕间与结算'!H338,8)="建立新的重要关系"),'幕间与结算'!E338+E431,BQ430+IF(C431="重要关系1",E431,0)+IF(AND(C431="魅力",E431&lt;0),E431,0))))</x:f>
        <x:v>0</x:v>
      </x:c>
      <x:c r="BR431">
        <x:f>MAX(0,MIN(BK431,IF(AND(H431=1,C431="重要关系2",LEFT('幕间与结算'!H338,8)="建立新的重要关系"),'幕间与结算'!E338+E431,BR430+IF(C431="重要关系2",E431,0)+IF(AND(C431="魅力",E431&lt;0),E431,0))))</x:f>
        <x:v>0</x:v>
      </x:c>
      <x:c r="BS431">
        <x:f>MAX(0,MIN(BK431,IF(AND(H431=1,C431="重要关系3",LEFT('幕间与结算'!H338,8)="建立新的重要关系"),'幕间与结算'!E338+E431,BS430+IF(C431="重要关系3",E431,0)+IF(AND(C431="魅力",E431&lt;0),E431,0))))</x:f>
        <x:v>0</x:v>
      </x:c>
      <x:c r="BT431">
        <x:f>MAX(0,MIN(BK431,IF(AND(H431=1,C431="重要关系4",LEFT('幕间与结算'!H338,8)="建立新的重要关系"),'幕间与结算'!E338+E431,BT430+IF(C431="重要关系4",E431,0)+IF(AND(C431="魅力",E431&lt;0),E431,0))))</x:f>
        <x:v>0</x:v>
      </x:c>
      <x:c r="BU431">
        <x:f>MAX(0,MIN(BK431,IF(AND(H431=1,C431="重要关系5",LEFT('幕间与结算'!H338,8)="建立新的重要关系"),'幕间与结算'!E338+E431,BU430+IF(C431="重要关系5",E431,0)+IF(AND(C431="魅力",E431&lt;0),E431,0))))</x:f>
        <x:v>0</x:v>
      </x:c>
      <x:c r="BV431">
        <x:f>MAX(0,MIN(BK431,IF(AND(H431=1,C431="重要关系6",LEFT('幕间与结算'!H338,8)="建立新的重要关系"),'幕间与结算'!E338+E431,BV430+IF(C431="重要关系6",E431,0)+IF(AND(C431="魅力",E431&lt;0),E431,0))))</x:f>
        <x:v>0</x:v>
      </x:c>
      <x:c r="BW431">
        <x:f>MAX(0,MIN(BK431,IF(AND(H431=1,C431="重要关系7",LEFT('幕间与结算'!H338,8)="建立新的重要关系"),'幕间与结算'!E338+E431,BW430+IF(C431="重要关系7",E431,0)+IF(AND(C431="魅力",E431&lt;0),E431,0))))</x:f>
        <x:v>0</x:v>
      </x:c>
    </x:row>
    <x:row r="432">
      <x:c r="A432" t="str">
        <x:f>IFERROR(TEXT(VALUE('幕间与结算'!A339),"00"),"")</x:f>
        <x:v>00</x:v>
      </x:c>
      <x:c r="B432">
        <x:f>'幕间与结算'!B339</x:f>
        <x:v>0</x:v>
      </x:c>
      <x:c r="C432">
        <x:f>'幕间与结算'!D339</x:f>
        <x:v>0</x:v>
      </x:c>
      <x:c r="D432">
        <x:f>'幕间与结算'!F339</x:f>
        <x:v>0</x:v>
      </x:c>
      <x:c r="E432">
        <x:f>IF(H432=1,MAX(-'幕间与结算'!E339,MIN(D432,IF(LEFT(C432,3)="技能：",99,IF(COUNTIF($L$2:$L$7,C432)&gt;0,18,999))-'幕间与结算'!E339)),0)</x:f>
        <x:v>0</x:v>
      </x:c>
      <x:c r="F432" t="str">
        <x:f>IF(C432=0,"",IF(G432=0,"记录不完整",IF(H432=0,"重复未计","已计入")))</x:f>
        <x:v/>
      </x:c>
      <x:c r="G432">
        <x:f>IF(AND(AND('幕间与结算'!A339&lt;&gt;"",'幕间与结算'!B339&lt;&gt;"",'幕间与结算'!I339&lt;&gt;"",OR(LEFT(C432,3)="技能：",COUNTIF($L$2:$L$19,C432)&gt;0),ISNUMBER('幕间与结算'!E339),ISNUMBER('幕间与结算'!F339),ISNUMBER('幕间与结算'!G339),'幕间与结算'!E339&gt;=0,'幕间与结算'!G339='幕间与结算'!E339+'幕间与结算'!F339),OR(B432&lt;&gt;"成长",AND(LEFT(C432,3)="技能：",C432&lt;&gt;"技能：非自然知识",'幕间与结算'!E339&gt;=1,'幕间与结算'!E339&lt;=99,'幕间与结算'!F339&gt;=0,'幕间与结算'!F339&lt;=4,'幕间与结算'!G339&lt;=99))),1,0)</x:f>
        <x:v>0</x:v>
      </x:c>
      <x:c r="H432">
        <x:f>IF(AND(G432=1,COUNTIFS($I$200:I432,I432,$G$200:G432,1)=1),1,0)</x:f>
        <x:v>0</x:v>
      </x:c>
      <x:c r="I432" t="str">
        <x:f>IF(G432=1,IF(B432="成长",A432&amp;"-成长-"&amp;C432,'幕间与结算'!I339),"")</x:f>
        <x:v/>
      </x:c>
      <x:c r="BF432">
        <x:f>MAX(0,MIN(18,BF431+IF(C432="力量",E432,0)))</x:f>
        <x:v>0</x:v>
      </x:c>
      <x:c r="BG432">
        <x:f>MAX(0,MIN(18,BG431+IF(C432="体质",E432,0)))</x:f>
        <x:v>0</x:v>
      </x:c>
      <x:c r="BH432">
        <x:f>MAX(0,MIN(18,BH431+IF(C432="敏捷",E432,0)))</x:f>
        <x:v>0</x:v>
      </x:c>
      <x:c r="BI432">
        <x:f>MAX(0,MIN(18,BI431+IF(C432="智力",E432,0)))</x:f>
        <x:v>0</x:v>
      </x:c>
      <x:c r="BJ432">
        <x:f>MAX(0,MIN(18,BJ431+IF(C432="意志",E432,0)))</x:f>
        <x:v>0</x:v>
      </x:c>
      <x:c r="BK432">
        <x:f>MAX(0,MIN(18,BK431+IF(C432="魅力",E432,0)))</x:f>
        <x:v>0</x:v>
      </x:c>
      <x:c r="BL432">
        <x:f>MAX(0,MIN(99,BL431+IF(C432="技能：非自然知识",E432,0)))</x:f>
        <x:v>0</x:v>
      </x:c>
      <x:c r="BM432">
        <x:f>MAX(0,MIN(CEILING((BF432+BG432)/2,1),BM431+IF(C432="体力",E432,0)))</x:f>
        <x:v>0</x:v>
      </x:c>
      <x:c r="BN432">
        <x:f>MAX(0,MIN(BJ432,BN431+IF(C432="毅力",E432,0)))</x:f>
        <x:v>0</x:v>
      </x:c>
      <x:c r="BO432">
        <x:f>MAX(0,MIN(99-BL432,BO431+IF(C432="理智",E432,0)))</x:f>
        <x:v>0</x:v>
      </x:c>
      <x:c r="BP432">
        <x:f>MAX(0,MIN(99,BP431+IF(C432="崩溃点",E432,0)))</x:f>
        <x:v>0</x:v>
      </x:c>
      <x:c r="BQ432">
        <x:f>MAX(0,MIN(BK432,IF(AND(H432=1,C432="重要关系1",LEFT('幕间与结算'!H339,8)="建立新的重要关系"),'幕间与结算'!E339+E432,BQ431+IF(C432="重要关系1",E432,0)+IF(AND(C432="魅力",E432&lt;0),E432,0))))</x:f>
        <x:v>0</x:v>
      </x:c>
      <x:c r="BR432">
        <x:f>MAX(0,MIN(BK432,IF(AND(H432=1,C432="重要关系2",LEFT('幕间与结算'!H339,8)="建立新的重要关系"),'幕间与结算'!E339+E432,BR431+IF(C432="重要关系2",E432,0)+IF(AND(C432="魅力",E432&lt;0),E432,0))))</x:f>
        <x:v>0</x:v>
      </x:c>
      <x:c r="BS432">
        <x:f>MAX(0,MIN(BK432,IF(AND(H432=1,C432="重要关系3",LEFT('幕间与结算'!H339,8)="建立新的重要关系"),'幕间与结算'!E339+E432,BS431+IF(C432="重要关系3",E432,0)+IF(AND(C432="魅力",E432&lt;0),E432,0))))</x:f>
        <x:v>0</x:v>
      </x:c>
      <x:c r="BT432">
        <x:f>MAX(0,MIN(BK432,IF(AND(H432=1,C432="重要关系4",LEFT('幕间与结算'!H339,8)="建立新的重要关系"),'幕间与结算'!E339+E432,BT431+IF(C432="重要关系4",E432,0)+IF(AND(C432="魅力",E432&lt;0),E432,0))))</x:f>
        <x:v>0</x:v>
      </x:c>
      <x:c r="BU432">
        <x:f>MAX(0,MIN(BK432,IF(AND(H432=1,C432="重要关系5",LEFT('幕间与结算'!H339,8)="建立新的重要关系"),'幕间与结算'!E339+E432,BU431+IF(C432="重要关系5",E432,0)+IF(AND(C432="魅力",E432&lt;0),E432,0))))</x:f>
        <x:v>0</x:v>
      </x:c>
      <x:c r="BV432">
        <x:f>MAX(0,MIN(BK432,IF(AND(H432=1,C432="重要关系6",LEFT('幕间与结算'!H339,8)="建立新的重要关系"),'幕间与结算'!E339+E432,BV431+IF(C432="重要关系6",E432,0)+IF(AND(C432="魅力",E432&lt;0),E432,0))))</x:f>
        <x:v>0</x:v>
      </x:c>
      <x:c r="BW432">
        <x:f>MAX(0,MIN(BK432,IF(AND(H432=1,C432="重要关系7",LEFT('幕间与结算'!H339,8)="建立新的重要关系"),'幕间与结算'!E339+E432,BW431+IF(C432="重要关系7",E432,0)+IF(AND(C432="魅力",E432&lt;0),E432,0))))</x:f>
        <x:v>0</x:v>
      </x:c>
    </x:row>
    <x:row r="433">
      <x:c r="A433" t="str">
        <x:f>IFERROR(TEXT(VALUE('幕间与结算'!A340),"00"),"")</x:f>
        <x:v>00</x:v>
      </x:c>
      <x:c r="B433">
        <x:f>'幕间与结算'!B340</x:f>
        <x:v>0</x:v>
      </x:c>
      <x:c r="C433">
        <x:f>'幕间与结算'!D340</x:f>
        <x:v>0</x:v>
      </x:c>
      <x:c r="D433">
        <x:f>'幕间与结算'!F340</x:f>
        <x:v>0</x:v>
      </x:c>
      <x:c r="E433">
        <x:f>IF(H433=1,MAX(-'幕间与结算'!E340,MIN(D433,IF(LEFT(C433,3)="技能：",99,IF(COUNTIF($L$2:$L$7,C433)&gt;0,18,999))-'幕间与结算'!E340)),0)</x:f>
        <x:v>0</x:v>
      </x:c>
      <x:c r="F433" t="str">
        <x:f>IF(C433=0,"",IF(G433=0,"记录不完整",IF(H433=0,"重复未计","已计入")))</x:f>
        <x:v/>
      </x:c>
      <x:c r="G433">
        <x:f>IF(AND(AND('幕间与结算'!A340&lt;&gt;"",'幕间与结算'!B340&lt;&gt;"",'幕间与结算'!I340&lt;&gt;"",OR(LEFT(C433,3)="技能：",COUNTIF($L$2:$L$19,C433)&gt;0),ISNUMBER('幕间与结算'!E340),ISNUMBER('幕间与结算'!F340),ISNUMBER('幕间与结算'!G340),'幕间与结算'!E340&gt;=0,'幕间与结算'!G340='幕间与结算'!E340+'幕间与结算'!F340),OR(B433&lt;&gt;"成长",AND(LEFT(C433,3)="技能：",C433&lt;&gt;"技能：非自然知识",'幕间与结算'!E340&gt;=1,'幕间与结算'!E340&lt;=99,'幕间与结算'!F340&gt;=0,'幕间与结算'!F340&lt;=4,'幕间与结算'!G340&lt;=99))),1,0)</x:f>
        <x:v>0</x:v>
      </x:c>
      <x:c r="H433">
        <x:f>IF(AND(G433=1,COUNTIFS($I$200:I433,I433,$G$200:G433,1)=1),1,0)</x:f>
        <x:v>0</x:v>
      </x:c>
      <x:c r="I433" t="str">
        <x:f>IF(G433=1,IF(B433="成长",A433&amp;"-成长-"&amp;C433,'幕间与结算'!I340),"")</x:f>
        <x:v/>
      </x:c>
      <x:c r="BF433">
        <x:f>MAX(0,MIN(18,BF432+IF(C433="力量",E433,0)))</x:f>
        <x:v>0</x:v>
      </x:c>
      <x:c r="BG433">
        <x:f>MAX(0,MIN(18,BG432+IF(C433="体质",E433,0)))</x:f>
        <x:v>0</x:v>
      </x:c>
      <x:c r="BH433">
        <x:f>MAX(0,MIN(18,BH432+IF(C433="敏捷",E433,0)))</x:f>
        <x:v>0</x:v>
      </x:c>
      <x:c r="BI433">
        <x:f>MAX(0,MIN(18,BI432+IF(C433="智力",E433,0)))</x:f>
        <x:v>0</x:v>
      </x:c>
      <x:c r="BJ433">
        <x:f>MAX(0,MIN(18,BJ432+IF(C433="意志",E433,0)))</x:f>
        <x:v>0</x:v>
      </x:c>
      <x:c r="BK433">
        <x:f>MAX(0,MIN(18,BK432+IF(C433="魅力",E433,0)))</x:f>
        <x:v>0</x:v>
      </x:c>
      <x:c r="BL433">
        <x:f>MAX(0,MIN(99,BL432+IF(C433="技能：非自然知识",E433,0)))</x:f>
        <x:v>0</x:v>
      </x:c>
      <x:c r="BM433">
        <x:f>MAX(0,MIN(CEILING((BF433+BG433)/2,1),BM432+IF(C433="体力",E433,0)))</x:f>
        <x:v>0</x:v>
      </x:c>
      <x:c r="BN433">
        <x:f>MAX(0,MIN(BJ433,BN432+IF(C433="毅力",E433,0)))</x:f>
        <x:v>0</x:v>
      </x:c>
      <x:c r="BO433">
        <x:f>MAX(0,MIN(99-BL433,BO432+IF(C433="理智",E433,0)))</x:f>
        <x:v>0</x:v>
      </x:c>
      <x:c r="BP433">
        <x:f>MAX(0,MIN(99,BP432+IF(C433="崩溃点",E433,0)))</x:f>
        <x:v>0</x:v>
      </x:c>
      <x:c r="BQ433">
        <x:f>MAX(0,MIN(BK433,IF(AND(H433=1,C433="重要关系1",LEFT('幕间与结算'!H340,8)="建立新的重要关系"),'幕间与结算'!E340+E433,BQ432+IF(C433="重要关系1",E433,0)+IF(AND(C433="魅力",E433&lt;0),E433,0))))</x:f>
        <x:v>0</x:v>
      </x:c>
      <x:c r="BR433">
        <x:f>MAX(0,MIN(BK433,IF(AND(H433=1,C433="重要关系2",LEFT('幕间与结算'!H340,8)="建立新的重要关系"),'幕间与结算'!E340+E433,BR432+IF(C433="重要关系2",E433,0)+IF(AND(C433="魅力",E433&lt;0),E433,0))))</x:f>
        <x:v>0</x:v>
      </x:c>
      <x:c r="BS433">
        <x:f>MAX(0,MIN(BK433,IF(AND(H433=1,C433="重要关系3",LEFT('幕间与结算'!H340,8)="建立新的重要关系"),'幕间与结算'!E340+E433,BS432+IF(C433="重要关系3",E433,0)+IF(AND(C433="魅力",E433&lt;0),E433,0))))</x:f>
        <x:v>0</x:v>
      </x:c>
      <x:c r="BT433">
        <x:f>MAX(0,MIN(BK433,IF(AND(H433=1,C433="重要关系4",LEFT('幕间与结算'!H340,8)="建立新的重要关系"),'幕间与结算'!E340+E433,BT432+IF(C433="重要关系4",E433,0)+IF(AND(C433="魅力",E433&lt;0),E433,0))))</x:f>
        <x:v>0</x:v>
      </x:c>
      <x:c r="BU433">
        <x:f>MAX(0,MIN(BK433,IF(AND(H433=1,C433="重要关系5",LEFT('幕间与结算'!H340,8)="建立新的重要关系"),'幕间与结算'!E340+E433,BU432+IF(C433="重要关系5",E433,0)+IF(AND(C433="魅力",E433&lt;0),E433,0))))</x:f>
        <x:v>0</x:v>
      </x:c>
      <x:c r="BV433">
        <x:f>MAX(0,MIN(BK433,IF(AND(H433=1,C433="重要关系6",LEFT('幕间与结算'!H340,8)="建立新的重要关系"),'幕间与结算'!E340+E433,BV432+IF(C433="重要关系6",E433,0)+IF(AND(C433="魅力",E433&lt;0),E433,0))))</x:f>
        <x:v>0</x:v>
      </x:c>
      <x:c r="BW433">
        <x:f>MAX(0,MIN(BK433,IF(AND(H433=1,C433="重要关系7",LEFT('幕间与结算'!H340,8)="建立新的重要关系"),'幕间与结算'!E340+E433,BW432+IF(C433="重要关系7",E433,0)+IF(AND(C433="魅力",E433&lt;0),E433,0))))</x:f>
        <x:v>0</x:v>
      </x:c>
    </x:row>
    <x:row r="434">
      <x:c r="A434" t="str">
        <x:f>IFERROR(TEXT(VALUE('幕间与结算'!A341),"00"),"")</x:f>
        <x:v>00</x:v>
      </x:c>
      <x:c r="B434">
        <x:f>'幕间与结算'!B341</x:f>
        <x:v>0</x:v>
      </x:c>
      <x:c r="C434">
        <x:f>'幕间与结算'!D341</x:f>
        <x:v>0</x:v>
      </x:c>
      <x:c r="D434">
        <x:f>'幕间与结算'!F341</x:f>
        <x:v>0</x:v>
      </x:c>
      <x:c r="E434">
        <x:f>IF(H434=1,MAX(-'幕间与结算'!E341,MIN(D434,IF(LEFT(C434,3)="技能：",99,IF(COUNTIF($L$2:$L$7,C434)&gt;0,18,999))-'幕间与结算'!E341)),0)</x:f>
        <x:v>0</x:v>
      </x:c>
      <x:c r="F434" t="str">
        <x:f>IF(C434=0,"",IF(G434=0,"记录不完整",IF(H434=0,"重复未计","已计入")))</x:f>
        <x:v/>
      </x:c>
      <x:c r="G434">
        <x:f>IF(AND(AND('幕间与结算'!A341&lt;&gt;"",'幕间与结算'!B341&lt;&gt;"",'幕间与结算'!I341&lt;&gt;"",OR(LEFT(C434,3)="技能：",COUNTIF($L$2:$L$19,C434)&gt;0),ISNUMBER('幕间与结算'!E341),ISNUMBER('幕间与结算'!F341),ISNUMBER('幕间与结算'!G341),'幕间与结算'!E341&gt;=0,'幕间与结算'!G341='幕间与结算'!E341+'幕间与结算'!F341),OR(B434&lt;&gt;"成长",AND(LEFT(C434,3)="技能：",C434&lt;&gt;"技能：非自然知识",'幕间与结算'!E341&gt;=1,'幕间与结算'!E341&lt;=99,'幕间与结算'!F341&gt;=0,'幕间与结算'!F341&lt;=4,'幕间与结算'!G341&lt;=99))),1,0)</x:f>
        <x:v>0</x:v>
      </x:c>
      <x:c r="H434">
        <x:f>IF(AND(G434=1,COUNTIFS($I$200:I434,I434,$G$200:G434,1)=1),1,0)</x:f>
        <x:v>0</x:v>
      </x:c>
      <x:c r="I434" t="str">
        <x:f>IF(G434=1,IF(B434="成长",A434&amp;"-成长-"&amp;C434,'幕间与结算'!I341),"")</x:f>
        <x:v/>
      </x:c>
      <x:c r="BF434">
        <x:f>MAX(0,MIN(18,BF433+IF(C434="力量",E434,0)))</x:f>
        <x:v>0</x:v>
      </x:c>
      <x:c r="BG434">
        <x:f>MAX(0,MIN(18,BG433+IF(C434="体质",E434,0)))</x:f>
        <x:v>0</x:v>
      </x:c>
      <x:c r="BH434">
        <x:f>MAX(0,MIN(18,BH433+IF(C434="敏捷",E434,0)))</x:f>
        <x:v>0</x:v>
      </x:c>
      <x:c r="BI434">
        <x:f>MAX(0,MIN(18,BI433+IF(C434="智力",E434,0)))</x:f>
        <x:v>0</x:v>
      </x:c>
      <x:c r="BJ434">
        <x:f>MAX(0,MIN(18,BJ433+IF(C434="意志",E434,0)))</x:f>
        <x:v>0</x:v>
      </x:c>
      <x:c r="BK434">
        <x:f>MAX(0,MIN(18,BK433+IF(C434="魅力",E434,0)))</x:f>
        <x:v>0</x:v>
      </x:c>
      <x:c r="BL434">
        <x:f>MAX(0,MIN(99,BL433+IF(C434="技能：非自然知识",E434,0)))</x:f>
        <x:v>0</x:v>
      </x:c>
      <x:c r="BM434">
        <x:f>MAX(0,MIN(CEILING((BF434+BG434)/2,1),BM433+IF(C434="体力",E434,0)))</x:f>
        <x:v>0</x:v>
      </x:c>
      <x:c r="BN434">
        <x:f>MAX(0,MIN(BJ434,BN433+IF(C434="毅力",E434,0)))</x:f>
        <x:v>0</x:v>
      </x:c>
      <x:c r="BO434">
        <x:f>MAX(0,MIN(99-BL434,BO433+IF(C434="理智",E434,0)))</x:f>
        <x:v>0</x:v>
      </x:c>
      <x:c r="BP434">
        <x:f>MAX(0,MIN(99,BP433+IF(C434="崩溃点",E434,0)))</x:f>
        <x:v>0</x:v>
      </x:c>
      <x:c r="BQ434">
        <x:f>MAX(0,MIN(BK434,IF(AND(H434=1,C434="重要关系1",LEFT('幕间与结算'!H341,8)="建立新的重要关系"),'幕间与结算'!E341+E434,BQ433+IF(C434="重要关系1",E434,0)+IF(AND(C434="魅力",E434&lt;0),E434,0))))</x:f>
        <x:v>0</x:v>
      </x:c>
      <x:c r="BR434">
        <x:f>MAX(0,MIN(BK434,IF(AND(H434=1,C434="重要关系2",LEFT('幕间与结算'!H341,8)="建立新的重要关系"),'幕间与结算'!E341+E434,BR433+IF(C434="重要关系2",E434,0)+IF(AND(C434="魅力",E434&lt;0),E434,0))))</x:f>
        <x:v>0</x:v>
      </x:c>
      <x:c r="BS434">
        <x:f>MAX(0,MIN(BK434,IF(AND(H434=1,C434="重要关系3",LEFT('幕间与结算'!H341,8)="建立新的重要关系"),'幕间与结算'!E341+E434,BS433+IF(C434="重要关系3",E434,0)+IF(AND(C434="魅力",E434&lt;0),E434,0))))</x:f>
        <x:v>0</x:v>
      </x:c>
      <x:c r="BT434">
        <x:f>MAX(0,MIN(BK434,IF(AND(H434=1,C434="重要关系4",LEFT('幕间与结算'!H341,8)="建立新的重要关系"),'幕间与结算'!E341+E434,BT433+IF(C434="重要关系4",E434,0)+IF(AND(C434="魅力",E434&lt;0),E434,0))))</x:f>
        <x:v>0</x:v>
      </x:c>
      <x:c r="BU434">
        <x:f>MAX(0,MIN(BK434,IF(AND(H434=1,C434="重要关系5",LEFT('幕间与结算'!H341,8)="建立新的重要关系"),'幕间与结算'!E341+E434,BU433+IF(C434="重要关系5",E434,0)+IF(AND(C434="魅力",E434&lt;0),E434,0))))</x:f>
        <x:v>0</x:v>
      </x:c>
      <x:c r="BV434">
        <x:f>MAX(0,MIN(BK434,IF(AND(H434=1,C434="重要关系6",LEFT('幕间与结算'!H341,8)="建立新的重要关系"),'幕间与结算'!E341+E434,BV433+IF(C434="重要关系6",E434,0)+IF(AND(C434="魅力",E434&lt;0),E434,0))))</x:f>
        <x:v>0</x:v>
      </x:c>
      <x:c r="BW434">
        <x:f>MAX(0,MIN(BK434,IF(AND(H434=1,C434="重要关系7",LEFT('幕间与结算'!H341,8)="建立新的重要关系"),'幕间与结算'!E341+E434,BW433+IF(C434="重要关系7",E434,0)+IF(AND(C434="魅力",E434&lt;0),E434,0))))</x:f>
        <x:v>0</x:v>
      </x:c>
    </x:row>
    <x:row r="435">
      <x:c r="A435" t="str">
        <x:f>IFERROR(TEXT(VALUE('幕间与结算'!A342),"00"),"")</x:f>
        <x:v>00</x:v>
      </x:c>
      <x:c r="B435">
        <x:f>'幕间与结算'!B342</x:f>
        <x:v>0</x:v>
      </x:c>
      <x:c r="C435">
        <x:f>'幕间与结算'!D342</x:f>
        <x:v>0</x:v>
      </x:c>
      <x:c r="D435">
        <x:f>'幕间与结算'!F342</x:f>
        <x:v>0</x:v>
      </x:c>
      <x:c r="E435">
        <x:f>IF(H435=1,MAX(-'幕间与结算'!E342,MIN(D435,IF(LEFT(C435,3)="技能：",99,IF(COUNTIF($L$2:$L$7,C435)&gt;0,18,999))-'幕间与结算'!E342)),0)</x:f>
        <x:v>0</x:v>
      </x:c>
      <x:c r="F435" t="str">
        <x:f>IF(C435=0,"",IF(G435=0,"记录不完整",IF(H435=0,"重复未计","已计入")))</x:f>
        <x:v/>
      </x:c>
      <x:c r="G435">
        <x:f>IF(AND(AND('幕间与结算'!A342&lt;&gt;"",'幕间与结算'!B342&lt;&gt;"",'幕间与结算'!I342&lt;&gt;"",OR(LEFT(C435,3)="技能：",COUNTIF($L$2:$L$19,C435)&gt;0),ISNUMBER('幕间与结算'!E342),ISNUMBER('幕间与结算'!F342),ISNUMBER('幕间与结算'!G342),'幕间与结算'!E342&gt;=0,'幕间与结算'!G342='幕间与结算'!E342+'幕间与结算'!F342),OR(B435&lt;&gt;"成长",AND(LEFT(C435,3)="技能：",C435&lt;&gt;"技能：非自然知识",'幕间与结算'!E342&gt;=1,'幕间与结算'!E342&lt;=99,'幕间与结算'!F342&gt;=0,'幕间与结算'!F342&lt;=4,'幕间与结算'!G342&lt;=99))),1,0)</x:f>
        <x:v>0</x:v>
      </x:c>
      <x:c r="H435">
        <x:f>IF(AND(G435=1,COUNTIFS($I$200:I435,I435,$G$200:G435,1)=1),1,0)</x:f>
        <x:v>0</x:v>
      </x:c>
      <x:c r="I435" t="str">
        <x:f>IF(G435=1,IF(B435="成长",A435&amp;"-成长-"&amp;C435,'幕间与结算'!I342),"")</x:f>
        <x:v/>
      </x:c>
      <x:c r="BF435">
        <x:f>MAX(0,MIN(18,BF434+IF(C435="力量",E435,0)))</x:f>
        <x:v>0</x:v>
      </x:c>
      <x:c r="BG435">
        <x:f>MAX(0,MIN(18,BG434+IF(C435="体质",E435,0)))</x:f>
        <x:v>0</x:v>
      </x:c>
      <x:c r="BH435">
        <x:f>MAX(0,MIN(18,BH434+IF(C435="敏捷",E435,0)))</x:f>
        <x:v>0</x:v>
      </x:c>
      <x:c r="BI435">
        <x:f>MAX(0,MIN(18,BI434+IF(C435="智力",E435,0)))</x:f>
        <x:v>0</x:v>
      </x:c>
      <x:c r="BJ435">
        <x:f>MAX(0,MIN(18,BJ434+IF(C435="意志",E435,0)))</x:f>
        <x:v>0</x:v>
      </x:c>
      <x:c r="BK435">
        <x:f>MAX(0,MIN(18,BK434+IF(C435="魅力",E435,0)))</x:f>
        <x:v>0</x:v>
      </x:c>
      <x:c r="BL435">
        <x:f>MAX(0,MIN(99,BL434+IF(C435="技能：非自然知识",E435,0)))</x:f>
        <x:v>0</x:v>
      </x:c>
      <x:c r="BM435">
        <x:f>MAX(0,MIN(CEILING((BF435+BG435)/2,1),BM434+IF(C435="体力",E435,0)))</x:f>
        <x:v>0</x:v>
      </x:c>
      <x:c r="BN435">
        <x:f>MAX(0,MIN(BJ435,BN434+IF(C435="毅力",E435,0)))</x:f>
        <x:v>0</x:v>
      </x:c>
      <x:c r="BO435">
        <x:f>MAX(0,MIN(99-BL435,BO434+IF(C435="理智",E435,0)))</x:f>
        <x:v>0</x:v>
      </x:c>
      <x:c r="BP435">
        <x:f>MAX(0,MIN(99,BP434+IF(C435="崩溃点",E435,0)))</x:f>
        <x:v>0</x:v>
      </x:c>
      <x:c r="BQ435">
        <x:f>MAX(0,MIN(BK435,IF(AND(H435=1,C435="重要关系1",LEFT('幕间与结算'!H342,8)="建立新的重要关系"),'幕间与结算'!E342+E435,BQ434+IF(C435="重要关系1",E435,0)+IF(AND(C435="魅力",E435&lt;0),E435,0))))</x:f>
        <x:v>0</x:v>
      </x:c>
      <x:c r="BR435">
        <x:f>MAX(0,MIN(BK435,IF(AND(H435=1,C435="重要关系2",LEFT('幕间与结算'!H342,8)="建立新的重要关系"),'幕间与结算'!E342+E435,BR434+IF(C435="重要关系2",E435,0)+IF(AND(C435="魅力",E435&lt;0),E435,0))))</x:f>
        <x:v>0</x:v>
      </x:c>
      <x:c r="BS435">
        <x:f>MAX(0,MIN(BK435,IF(AND(H435=1,C435="重要关系3",LEFT('幕间与结算'!H342,8)="建立新的重要关系"),'幕间与结算'!E342+E435,BS434+IF(C435="重要关系3",E435,0)+IF(AND(C435="魅力",E435&lt;0),E435,0))))</x:f>
        <x:v>0</x:v>
      </x:c>
      <x:c r="BT435">
        <x:f>MAX(0,MIN(BK435,IF(AND(H435=1,C435="重要关系4",LEFT('幕间与结算'!H342,8)="建立新的重要关系"),'幕间与结算'!E342+E435,BT434+IF(C435="重要关系4",E435,0)+IF(AND(C435="魅力",E435&lt;0),E435,0))))</x:f>
        <x:v>0</x:v>
      </x:c>
      <x:c r="BU435">
        <x:f>MAX(0,MIN(BK435,IF(AND(H435=1,C435="重要关系5",LEFT('幕间与结算'!H342,8)="建立新的重要关系"),'幕间与结算'!E342+E435,BU434+IF(C435="重要关系5",E435,0)+IF(AND(C435="魅力",E435&lt;0),E435,0))))</x:f>
        <x:v>0</x:v>
      </x:c>
      <x:c r="BV435">
        <x:f>MAX(0,MIN(BK435,IF(AND(H435=1,C435="重要关系6",LEFT('幕间与结算'!H342,8)="建立新的重要关系"),'幕间与结算'!E342+E435,BV434+IF(C435="重要关系6",E435,0)+IF(AND(C435="魅力",E435&lt;0),E435,0))))</x:f>
        <x:v>0</x:v>
      </x:c>
      <x:c r="BW435">
        <x:f>MAX(0,MIN(BK435,IF(AND(H435=1,C435="重要关系7",LEFT('幕间与结算'!H342,8)="建立新的重要关系"),'幕间与结算'!E342+E435,BW434+IF(C435="重要关系7",E435,0)+IF(AND(C435="魅力",E435&lt;0),E435,0))))</x:f>
        <x:v>0</x:v>
      </x:c>
    </x:row>
    <x:row r="436">
      <x:c r="A436" t="str">
        <x:f>IFERROR(TEXT(VALUE('幕间与结算'!A343),"00"),"")</x:f>
        <x:v>00</x:v>
      </x:c>
      <x:c r="B436">
        <x:f>'幕间与结算'!B343</x:f>
        <x:v>0</x:v>
      </x:c>
      <x:c r="C436">
        <x:f>'幕间与结算'!D343</x:f>
        <x:v>0</x:v>
      </x:c>
      <x:c r="D436">
        <x:f>'幕间与结算'!F343</x:f>
        <x:v>0</x:v>
      </x:c>
      <x:c r="E436">
        <x:f>IF(H436=1,MAX(-'幕间与结算'!E343,MIN(D436,IF(LEFT(C436,3)="技能：",99,IF(COUNTIF($L$2:$L$7,C436)&gt;0,18,999))-'幕间与结算'!E343)),0)</x:f>
        <x:v>0</x:v>
      </x:c>
      <x:c r="F436" t="str">
        <x:f>IF(C436=0,"",IF(G436=0,"记录不完整",IF(H436=0,"重复未计","已计入")))</x:f>
        <x:v/>
      </x:c>
      <x:c r="G436">
        <x:f>IF(AND(AND('幕间与结算'!A343&lt;&gt;"",'幕间与结算'!B343&lt;&gt;"",'幕间与结算'!I343&lt;&gt;"",OR(LEFT(C436,3)="技能：",COUNTIF($L$2:$L$19,C436)&gt;0),ISNUMBER('幕间与结算'!E343),ISNUMBER('幕间与结算'!F343),ISNUMBER('幕间与结算'!G343),'幕间与结算'!E343&gt;=0,'幕间与结算'!G343='幕间与结算'!E343+'幕间与结算'!F343),OR(B436&lt;&gt;"成长",AND(LEFT(C436,3)="技能：",C436&lt;&gt;"技能：非自然知识",'幕间与结算'!E343&gt;=1,'幕间与结算'!E343&lt;=99,'幕间与结算'!F343&gt;=0,'幕间与结算'!F343&lt;=4,'幕间与结算'!G343&lt;=99))),1,0)</x:f>
        <x:v>0</x:v>
      </x:c>
      <x:c r="H436">
        <x:f>IF(AND(G436=1,COUNTIFS($I$200:I436,I436,$G$200:G436,1)=1),1,0)</x:f>
        <x:v>0</x:v>
      </x:c>
      <x:c r="I436" t="str">
        <x:f>IF(G436=1,IF(B436="成长",A436&amp;"-成长-"&amp;C436,'幕间与结算'!I343),"")</x:f>
        <x:v/>
      </x:c>
      <x:c r="BF436">
        <x:f>MAX(0,MIN(18,BF435+IF(C436="力量",E436,0)))</x:f>
        <x:v>0</x:v>
      </x:c>
      <x:c r="BG436">
        <x:f>MAX(0,MIN(18,BG435+IF(C436="体质",E436,0)))</x:f>
        <x:v>0</x:v>
      </x:c>
      <x:c r="BH436">
        <x:f>MAX(0,MIN(18,BH435+IF(C436="敏捷",E436,0)))</x:f>
        <x:v>0</x:v>
      </x:c>
      <x:c r="BI436">
        <x:f>MAX(0,MIN(18,BI435+IF(C436="智力",E436,0)))</x:f>
        <x:v>0</x:v>
      </x:c>
      <x:c r="BJ436">
        <x:f>MAX(0,MIN(18,BJ435+IF(C436="意志",E436,0)))</x:f>
        <x:v>0</x:v>
      </x:c>
      <x:c r="BK436">
        <x:f>MAX(0,MIN(18,BK435+IF(C436="魅力",E436,0)))</x:f>
        <x:v>0</x:v>
      </x:c>
      <x:c r="BL436">
        <x:f>MAX(0,MIN(99,BL435+IF(C436="技能：非自然知识",E436,0)))</x:f>
        <x:v>0</x:v>
      </x:c>
      <x:c r="BM436">
        <x:f>MAX(0,MIN(CEILING((BF436+BG436)/2,1),BM435+IF(C436="体力",E436,0)))</x:f>
        <x:v>0</x:v>
      </x:c>
      <x:c r="BN436">
        <x:f>MAX(0,MIN(BJ436,BN435+IF(C436="毅力",E436,0)))</x:f>
        <x:v>0</x:v>
      </x:c>
      <x:c r="BO436">
        <x:f>MAX(0,MIN(99-BL436,BO435+IF(C436="理智",E436,0)))</x:f>
        <x:v>0</x:v>
      </x:c>
      <x:c r="BP436">
        <x:f>MAX(0,MIN(99,BP435+IF(C436="崩溃点",E436,0)))</x:f>
        <x:v>0</x:v>
      </x:c>
      <x:c r="BQ436">
        <x:f>MAX(0,MIN(BK436,IF(AND(H436=1,C436="重要关系1",LEFT('幕间与结算'!H343,8)="建立新的重要关系"),'幕间与结算'!E343+E436,BQ435+IF(C436="重要关系1",E436,0)+IF(AND(C436="魅力",E436&lt;0),E436,0))))</x:f>
        <x:v>0</x:v>
      </x:c>
      <x:c r="BR436">
        <x:f>MAX(0,MIN(BK436,IF(AND(H436=1,C436="重要关系2",LEFT('幕间与结算'!H343,8)="建立新的重要关系"),'幕间与结算'!E343+E436,BR435+IF(C436="重要关系2",E436,0)+IF(AND(C436="魅力",E436&lt;0),E436,0))))</x:f>
        <x:v>0</x:v>
      </x:c>
      <x:c r="BS436">
        <x:f>MAX(0,MIN(BK436,IF(AND(H436=1,C436="重要关系3",LEFT('幕间与结算'!H343,8)="建立新的重要关系"),'幕间与结算'!E343+E436,BS435+IF(C436="重要关系3",E436,0)+IF(AND(C436="魅力",E436&lt;0),E436,0))))</x:f>
        <x:v>0</x:v>
      </x:c>
      <x:c r="BT436">
        <x:f>MAX(0,MIN(BK436,IF(AND(H436=1,C436="重要关系4",LEFT('幕间与结算'!H343,8)="建立新的重要关系"),'幕间与结算'!E343+E436,BT435+IF(C436="重要关系4",E436,0)+IF(AND(C436="魅力",E436&lt;0),E436,0))))</x:f>
        <x:v>0</x:v>
      </x:c>
      <x:c r="BU436">
        <x:f>MAX(0,MIN(BK436,IF(AND(H436=1,C436="重要关系5",LEFT('幕间与结算'!H343,8)="建立新的重要关系"),'幕间与结算'!E343+E436,BU435+IF(C436="重要关系5",E436,0)+IF(AND(C436="魅力",E436&lt;0),E436,0))))</x:f>
        <x:v>0</x:v>
      </x:c>
      <x:c r="BV436">
        <x:f>MAX(0,MIN(BK436,IF(AND(H436=1,C436="重要关系6",LEFT('幕间与结算'!H343,8)="建立新的重要关系"),'幕间与结算'!E343+E436,BV435+IF(C436="重要关系6",E436,0)+IF(AND(C436="魅力",E436&lt;0),E436,0))))</x:f>
        <x:v>0</x:v>
      </x:c>
      <x:c r="BW436">
        <x:f>MAX(0,MIN(BK436,IF(AND(H436=1,C436="重要关系7",LEFT('幕间与结算'!H343,8)="建立新的重要关系"),'幕间与结算'!E343+E436,BW435+IF(C436="重要关系7",E436,0)+IF(AND(C436="魅力",E436&lt;0),E436,0))))</x:f>
        <x:v>0</x:v>
      </x:c>
    </x:row>
    <x:row r="437">
      <x:c r="A437" t="str">
        <x:f>IFERROR(TEXT(VALUE('幕间与结算'!A344),"00"),"")</x:f>
        <x:v>00</x:v>
      </x:c>
      <x:c r="B437">
        <x:f>'幕间与结算'!B344</x:f>
        <x:v>0</x:v>
      </x:c>
      <x:c r="C437">
        <x:f>'幕间与结算'!D344</x:f>
        <x:v>0</x:v>
      </x:c>
      <x:c r="D437">
        <x:f>'幕间与结算'!F344</x:f>
        <x:v>0</x:v>
      </x:c>
      <x:c r="E437">
        <x:f>IF(H437=1,MAX(-'幕间与结算'!E344,MIN(D437,IF(LEFT(C437,3)="技能：",99,IF(COUNTIF($L$2:$L$7,C437)&gt;0,18,999))-'幕间与结算'!E344)),0)</x:f>
        <x:v>0</x:v>
      </x:c>
      <x:c r="F437" t="str">
        <x:f>IF(C437=0,"",IF(G437=0,"记录不完整",IF(H437=0,"重复未计","已计入")))</x:f>
        <x:v/>
      </x:c>
      <x:c r="G437">
        <x:f>IF(AND(AND('幕间与结算'!A344&lt;&gt;"",'幕间与结算'!B344&lt;&gt;"",'幕间与结算'!I344&lt;&gt;"",OR(LEFT(C437,3)="技能：",COUNTIF($L$2:$L$19,C437)&gt;0),ISNUMBER('幕间与结算'!E344),ISNUMBER('幕间与结算'!F344),ISNUMBER('幕间与结算'!G344),'幕间与结算'!E344&gt;=0,'幕间与结算'!G344='幕间与结算'!E344+'幕间与结算'!F344),OR(B437&lt;&gt;"成长",AND(LEFT(C437,3)="技能：",C437&lt;&gt;"技能：非自然知识",'幕间与结算'!E344&gt;=1,'幕间与结算'!E344&lt;=99,'幕间与结算'!F344&gt;=0,'幕间与结算'!F344&lt;=4,'幕间与结算'!G344&lt;=99))),1,0)</x:f>
        <x:v>0</x:v>
      </x:c>
      <x:c r="H437">
        <x:f>IF(AND(G437=1,COUNTIFS($I$200:I437,I437,$G$200:G437,1)=1),1,0)</x:f>
        <x:v>0</x:v>
      </x:c>
      <x:c r="I437" t="str">
        <x:f>IF(G437=1,IF(B437="成长",A437&amp;"-成长-"&amp;C437,'幕间与结算'!I344),"")</x:f>
        <x:v/>
      </x:c>
      <x:c r="BF437">
        <x:f>MAX(0,MIN(18,BF436+IF(C437="力量",E437,0)))</x:f>
        <x:v>0</x:v>
      </x:c>
      <x:c r="BG437">
        <x:f>MAX(0,MIN(18,BG436+IF(C437="体质",E437,0)))</x:f>
        <x:v>0</x:v>
      </x:c>
      <x:c r="BH437">
        <x:f>MAX(0,MIN(18,BH436+IF(C437="敏捷",E437,0)))</x:f>
        <x:v>0</x:v>
      </x:c>
      <x:c r="BI437">
        <x:f>MAX(0,MIN(18,BI436+IF(C437="智力",E437,0)))</x:f>
        <x:v>0</x:v>
      </x:c>
      <x:c r="BJ437">
        <x:f>MAX(0,MIN(18,BJ436+IF(C437="意志",E437,0)))</x:f>
        <x:v>0</x:v>
      </x:c>
      <x:c r="BK437">
        <x:f>MAX(0,MIN(18,BK436+IF(C437="魅力",E437,0)))</x:f>
        <x:v>0</x:v>
      </x:c>
      <x:c r="BL437">
        <x:f>MAX(0,MIN(99,BL436+IF(C437="技能：非自然知识",E437,0)))</x:f>
        <x:v>0</x:v>
      </x:c>
      <x:c r="BM437">
        <x:f>MAX(0,MIN(CEILING((BF437+BG437)/2,1),BM436+IF(C437="体力",E437,0)))</x:f>
        <x:v>0</x:v>
      </x:c>
      <x:c r="BN437">
        <x:f>MAX(0,MIN(BJ437,BN436+IF(C437="毅力",E437,0)))</x:f>
        <x:v>0</x:v>
      </x:c>
      <x:c r="BO437">
        <x:f>MAX(0,MIN(99-BL437,BO436+IF(C437="理智",E437,0)))</x:f>
        <x:v>0</x:v>
      </x:c>
      <x:c r="BP437">
        <x:f>MAX(0,MIN(99,BP436+IF(C437="崩溃点",E437,0)))</x:f>
        <x:v>0</x:v>
      </x:c>
      <x:c r="BQ437">
        <x:f>MAX(0,MIN(BK437,IF(AND(H437=1,C437="重要关系1",LEFT('幕间与结算'!H344,8)="建立新的重要关系"),'幕间与结算'!E344+E437,BQ436+IF(C437="重要关系1",E437,0)+IF(AND(C437="魅力",E437&lt;0),E437,0))))</x:f>
        <x:v>0</x:v>
      </x:c>
      <x:c r="BR437">
        <x:f>MAX(0,MIN(BK437,IF(AND(H437=1,C437="重要关系2",LEFT('幕间与结算'!H344,8)="建立新的重要关系"),'幕间与结算'!E344+E437,BR436+IF(C437="重要关系2",E437,0)+IF(AND(C437="魅力",E437&lt;0),E437,0))))</x:f>
        <x:v>0</x:v>
      </x:c>
      <x:c r="BS437">
        <x:f>MAX(0,MIN(BK437,IF(AND(H437=1,C437="重要关系3",LEFT('幕间与结算'!H344,8)="建立新的重要关系"),'幕间与结算'!E344+E437,BS436+IF(C437="重要关系3",E437,0)+IF(AND(C437="魅力",E437&lt;0),E437,0))))</x:f>
        <x:v>0</x:v>
      </x:c>
      <x:c r="BT437">
        <x:f>MAX(0,MIN(BK437,IF(AND(H437=1,C437="重要关系4",LEFT('幕间与结算'!H344,8)="建立新的重要关系"),'幕间与结算'!E344+E437,BT436+IF(C437="重要关系4",E437,0)+IF(AND(C437="魅力",E437&lt;0),E437,0))))</x:f>
        <x:v>0</x:v>
      </x:c>
      <x:c r="BU437">
        <x:f>MAX(0,MIN(BK437,IF(AND(H437=1,C437="重要关系5",LEFT('幕间与结算'!H344,8)="建立新的重要关系"),'幕间与结算'!E344+E437,BU436+IF(C437="重要关系5",E437,0)+IF(AND(C437="魅力",E437&lt;0),E437,0))))</x:f>
        <x:v>0</x:v>
      </x:c>
      <x:c r="BV437">
        <x:f>MAX(0,MIN(BK437,IF(AND(H437=1,C437="重要关系6",LEFT('幕间与结算'!H344,8)="建立新的重要关系"),'幕间与结算'!E344+E437,BV436+IF(C437="重要关系6",E437,0)+IF(AND(C437="魅力",E437&lt;0),E437,0))))</x:f>
        <x:v>0</x:v>
      </x:c>
      <x:c r="BW437">
        <x:f>MAX(0,MIN(BK437,IF(AND(H437=1,C437="重要关系7",LEFT('幕间与结算'!H344,8)="建立新的重要关系"),'幕间与结算'!E344+E437,BW436+IF(C437="重要关系7",E437,0)+IF(AND(C437="魅力",E437&lt;0),E437,0))))</x:f>
        <x:v>0</x:v>
      </x:c>
    </x:row>
    <x:row r="438">
      <x:c r="A438" t="str">
        <x:f>IFERROR(TEXT(VALUE('幕间与结算'!A345),"00"),"")</x:f>
        <x:v>00</x:v>
      </x:c>
      <x:c r="B438">
        <x:f>'幕间与结算'!B345</x:f>
        <x:v>0</x:v>
      </x:c>
      <x:c r="C438">
        <x:f>'幕间与结算'!D345</x:f>
        <x:v>0</x:v>
      </x:c>
      <x:c r="D438">
        <x:f>'幕间与结算'!F345</x:f>
        <x:v>0</x:v>
      </x:c>
      <x:c r="E438">
        <x:f>IF(H438=1,MAX(-'幕间与结算'!E345,MIN(D438,IF(LEFT(C438,3)="技能：",99,IF(COUNTIF($L$2:$L$7,C438)&gt;0,18,999))-'幕间与结算'!E345)),0)</x:f>
        <x:v>0</x:v>
      </x:c>
      <x:c r="F438" t="str">
        <x:f>IF(C438=0,"",IF(G438=0,"记录不完整",IF(H438=0,"重复未计","已计入")))</x:f>
        <x:v/>
      </x:c>
      <x:c r="G438">
        <x:f>IF(AND(AND('幕间与结算'!A345&lt;&gt;"",'幕间与结算'!B345&lt;&gt;"",'幕间与结算'!I345&lt;&gt;"",OR(LEFT(C438,3)="技能：",COUNTIF($L$2:$L$19,C438)&gt;0),ISNUMBER('幕间与结算'!E345),ISNUMBER('幕间与结算'!F345),ISNUMBER('幕间与结算'!G345),'幕间与结算'!E345&gt;=0,'幕间与结算'!G345='幕间与结算'!E345+'幕间与结算'!F345),OR(B438&lt;&gt;"成长",AND(LEFT(C438,3)="技能：",C438&lt;&gt;"技能：非自然知识",'幕间与结算'!E345&gt;=1,'幕间与结算'!E345&lt;=99,'幕间与结算'!F345&gt;=0,'幕间与结算'!F345&lt;=4,'幕间与结算'!G345&lt;=99))),1,0)</x:f>
        <x:v>0</x:v>
      </x:c>
      <x:c r="H438">
        <x:f>IF(AND(G438=1,COUNTIFS($I$200:I438,I438,$G$200:G438,1)=1),1,0)</x:f>
        <x:v>0</x:v>
      </x:c>
      <x:c r="I438" t="str">
        <x:f>IF(G438=1,IF(B438="成长",A438&amp;"-成长-"&amp;C438,'幕间与结算'!I345),"")</x:f>
        <x:v/>
      </x:c>
      <x:c r="BF438">
        <x:f>MAX(0,MIN(18,BF437+IF(C438="力量",E438,0)))</x:f>
        <x:v>0</x:v>
      </x:c>
      <x:c r="BG438">
        <x:f>MAX(0,MIN(18,BG437+IF(C438="体质",E438,0)))</x:f>
        <x:v>0</x:v>
      </x:c>
      <x:c r="BH438">
        <x:f>MAX(0,MIN(18,BH437+IF(C438="敏捷",E438,0)))</x:f>
        <x:v>0</x:v>
      </x:c>
      <x:c r="BI438">
        <x:f>MAX(0,MIN(18,BI437+IF(C438="智力",E438,0)))</x:f>
        <x:v>0</x:v>
      </x:c>
      <x:c r="BJ438">
        <x:f>MAX(0,MIN(18,BJ437+IF(C438="意志",E438,0)))</x:f>
        <x:v>0</x:v>
      </x:c>
      <x:c r="BK438">
        <x:f>MAX(0,MIN(18,BK437+IF(C438="魅力",E438,0)))</x:f>
        <x:v>0</x:v>
      </x:c>
      <x:c r="BL438">
        <x:f>MAX(0,MIN(99,BL437+IF(C438="技能：非自然知识",E438,0)))</x:f>
        <x:v>0</x:v>
      </x:c>
      <x:c r="BM438">
        <x:f>MAX(0,MIN(CEILING((BF438+BG438)/2,1),BM437+IF(C438="体力",E438,0)))</x:f>
        <x:v>0</x:v>
      </x:c>
      <x:c r="BN438">
        <x:f>MAX(0,MIN(BJ438,BN437+IF(C438="毅力",E438,0)))</x:f>
        <x:v>0</x:v>
      </x:c>
      <x:c r="BO438">
        <x:f>MAX(0,MIN(99-BL438,BO437+IF(C438="理智",E438,0)))</x:f>
        <x:v>0</x:v>
      </x:c>
      <x:c r="BP438">
        <x:f>MAX(0,MIN(99,BP437+IF(C438="崩溃点",E438,0)))</x:f>
        <x:v>0</x:v>
      </x:c>
      <x:c r="BQ438">
        <x:f>MAX(0,MIN(BK438,IF(AND(H438=1,C438="重要关系1",LEFT('幕间与结算'!H345,8)="建立新的重要关系"),'幕间与结算'!E345+E438,BQ437+IF(C438="重要关系1",E438,0)+IF(AND(C438="魅力",E438&lt;0),E438,0))))</x:f>
        <x:v>0</x:v>
      </x:c>
      <x:c r="BR438">
        <x:f>MAX(0,MIN(BK438,IF(AND(H438=1,C438="重要关系2",LEFT('幕间与结算'!H345,8)="建立新的重要关系"),'幕间与结算'!E345+E438,BR437+IF(C438="重要关系2",E438,0)+IF(AND(C438="魅力",E438&lt;0),E438,0))))</x:f>
        <x:v>0</x:v>
      </x:c>
      <x:c r="BS438">
        <x:f>MAX(0,MIN(BK438,IF(AND(H438=1,C438="重要关系3",LEFT('幕间与结算'!H345,8)="建立新的重要关系"),'幕间与结算'!E345+E438,BS437+IF(C438="重要关系3",E438,0)+IF(AND(C438="魅力",E438&lt;0),E438,0))))</x:f>
        <x:v>0</x:v>
      </x:c>
      <x:c r="BT438">
        <x:f>MAX(0,MIN(BK438,IF(AND(H438=1,C438="重要关系4",LEFT('幕间与结算'!H345,8)="建立新的重要关系"),'幕间与结算'!E345+E438,BT437+IF(C438="重要关系4",E438,0)+IF(AND(C438="魅力",E438&lt;0),E438,0))))</x:f>
        <x:v>0</x:v>
      </x:c>
      <x:c r="BU438">
        <x:f>MAX(0,MIN(BK438,IF(AND(H438=1,C438="重要关系5",LEFT('幕间与结算'!H345,8)="建立新的重要关系"),'幕间与结算'!E345+E438,BU437+IF(C438="重要关系5",E438,0)+IF(AND(C438="魅力",E438&lt;0),E438,0))))</x:f>
        <x:v>0</x:v>
      </x:c>
      <x:c r="BV438">
        <x:f>MAX(0,MIN(BK438,IF(AND(H438=1,C438="重要关系6",LEFT('幕间与结算'!H345,8)="建立新的重要关系"),'幕间与结算'!E345+E438,BV437+IF(C438="重要关系6",E438,0)+IF(AND(C438="魅力",E438&lt;0),E438,0))))</x:f>
        <x:v>0</x:v>
      </x:c>
      <x:c r="BW438">
        <x:f>MAX(0,MIN(BK438,IF(AND(H438=1,C438="重要关系7",LEFT('幕间与结算'!H345,8)="建立新的重要关系"),'幕间与结算'!E345+E438,BW437+IF(C438="重要关系7",E438,0)+IF(AND(C438="魅力",E438&lt;0),E438,0))))</x:f>
        <x:v>0</x:v>
      </x:c>
    </x:row>
    <x:row r="439">
      <x:c r="A439" t="str">
        <x:f>IFERROR(TEXT(VALUE('幕间与结算'!A346),"00"),"")</x:f>
        <x:v>00</x:v>
      </x:c>
      <x:c r="B439">
        <x:f>'幕间与结算'!B346</x:f>
        <x:v>0</x:v>
      </x:c>
      <x:c r="C439">
        <x:f>'幕间与结算'!D346</x:f>
        <x:v>0</x:v>
      </x:c>
      <x:c r="D439">
        <x:f>'幕间与结算'!F346</x:f>
        <x:v>0</x:v>
      </x:c>
      <x:c r="E439">
        <x:f>IF(H439=1,MAX(-'幕间与结算'!E346,MIN(D439,IF(LEFT(C439,3)="技能：",99,IF(COUNTIF($L$2:$L$7,C439)&gt;0,18,999))-'幕间与结算'!E346)),0)</x:f>
        <x:v>0</x:v>
      </x:c>
      <x:c r="F439" t="str">
        <x:f>IF(C439=0,"",IF(G439=0,"记录不完整",IF(H439=0,"重复未计","已计入")))</x:f>
        <x:v/>
      </x:c>
      <x:c r="G439">
        <x:f>IF(AND(AND('幕间与结算'!A346&lt;&gt;"",'幕间与结算'!B346&lt;&gt;"",'幕间与结算'!I346&lt;&gt;"",OR(LEFT(C439,3)="技能：",COUNTIF($L$2:$L$19,C439)&gt;0),ISNUMBER('幕间与结算'!E346),ISNUMBER('幕间与结算'!F346),ISNUMBER('幕间与结算'!G346),'幕间与结算'!E346&gt;=0,'幕间与结算'!G346='幕间与结算'!E346+'幕间与结算'!F346),OR(B439&lt;&gt;"成长",AND(LEFT(C439,3)="技能：",C439&lt;&gt;"技能：非自然知识",'幕间与结算'!E346&gt;=1,'幕间与结算'!E346&lt;=99,'幕间与结算'!F346&gt;=0,'幕间与结算'!F346&lt;=4,'幕间与结算'!G346&lt;=99))),1,0)</x:f>
        <x:v>0</x:v>
      </x:c>
      <x:c r="H439">
        <x:f>IF(AND(G439=1,COUNTIFS($I$200:I439,I439,$G$200:G439,1)=1),1,0)</x:f>
        <x:v>0</x:v>
      </x:c>
      <x:c r="I439" t="str">
        <x:f>IF(G439=1,IF(B439="成长",A439&amp;"-成长-"&amp;C439,'幕间与结算'!I346),"")</x:f>
        <x:v/>
      </x:c>
      <x:c r="BF439">
        <x:f>MAX(0,MIN(18,BF438+IF(C439="力量",E439,0)))</x:f>
        <x:v>0</x:v>
      </x:c>
      <x:c r="BG439">
        <x:f>MAX(0,MIN(18,BG438+IF(C439="体质",E439,0)))</x:f>
        <x:v>0</x:v>
      </x:c>
      <x:c r="BH439">
        <x:f>MAX(0,MIN(18,BH438+IF(C439="敏捷",E439,0)))</x:f>
        <x:v>0</x:v>
      </x:c>
      <x:c r="BI439">
        <x:f>MAX(0,MIN(18,BI438+IF(C439="智力",E439,0)))</x:f>
        <x:v>0</x:v>
      </x:c>
      <x:c r="BJ439">
        <x:f>MAX(0,MIN(18,BJ438+IF(C439="意志",E439,0)))</x:f>
        <x:v>0</x:v>
      </x:c>
      <x:c r="BK439">
        <x:f>MAX(0,MIN(18,BK438+IF(C439="魅力",E439,0)))</x:f>
        <x:v>0</x:v>
      </x:c>
      <x:c r="BL439">
        <x:f>MAX(0,MIN(99,BL438+IF(C439="技能：非自然知识",E439,0)))</x:f>
        <x:v>0</x:v>
      </x:c>
      <x:c r="BM439">
        <x:f>MAX(0,MIN(CEILING((BF439+BG439)/2,1),BM438+IF(C439="体力",E439,0)))</x:f>
        <x:v>0</x:v>
      </x:c>
      <x:c r="BN439">
        <x:f>MAX(0,MIN(BJ439,BN438+IF(C439="毅力",E439,0)))</x:f>
        <x:v>0</x:v>
      </x:c>
      <x:c r="BO439">
        <x:f>MAX(0,MIN(99-BL439,BO438+IF(C439="理智",E439,0)))</x:f>
        <x:v>0</x:v>
      </x:c>
      <x:c r="BP439">
        <x:f>MAX(0,MIN(99,BP438+IF(C439="崩溃点",E439,0)))</x:f>
        <x:v>0</x:v>
      </x:c>
      <x:c r="BQ439">
        <x:f>MAX(0,MIN(BK439,IF(AND(H439=1,C439="重要关系1",LEFT('幕间与结算'!H346,8)="建立新的重要关系"),'幕间与结算'!E346+E439,BQ438+IF(C439="重要关系1",E439,0)+IF(AND(C439="魅力",E439&lt;0),E439,0))))</x:f>
        <x:v>0</x:v>
      </x:c>
      <x:c r="BR439">
        <x:f>MAX(0,MIN(BK439,IF(AND(H439=1,C439="重要关系2",LEFT('幕间与结算'!H346,8)="建立新的重要关系"),'幕间与结算'!E346+E439,BR438+IF(C439="重要关系2",E439,0)+IF(AND(C439="魅力",E439&lt;0),E439,0))))</x:f>
        <x:v>0</x:v>
      </x:c>
      <x:c r="BS439">
        <x:f>MAX(0,MIN(BK439,IF(AND(H439=1,C439="重要关系3",LEFT('幕间与结算'!H346,8)="建立新的重要关系"),'幕间与结算'!E346+E439,BS438+IF(C439="重要关系3",E439,0)+IF(AND(C439="魅力",E439&lt;0),E439,0))))</x:f>
        <x:v>0</x:v>
      </x:c>
      <x:c r="BT439">
        <x:f>MAX(0,MIN(BK439,IF(AND(H439=1,C439="重要关系4",LEFT('幕间与结算'!H346,8)="建立新的重要关系"),'幕间与结算'!E346+E439,BT438+IF(C439="重要关系4",E439,0)+IF(AND(C439="魅力",E439&lt;0),E439,0))))</x:f>
        <x:v>0</x:v>
      </x:c>
      <x:c r="BU439">
        <x:f>MAX(0,MIN(BK439,IF(AND(H439=1,C439="重要关系5",LEFT('幕间与结算'!H346,8)="建立新的重要关系"),'幕间与结算'!E346+E439,BU438+IF(C439="重要关系5",E439,0)+IF(AND(C439="魅力",E439&lt;0),E439,0))))</x:f>
        <x:v>0</x:v>
      </x:c>
      <x:c r="BV439">
        <x:f>MAX(0,MIN(BK439,IF(AND(H439=1,C439="重要关系6",LEFT('幕间与结算'!H346,8)="建立新的重要关系"),'幕间与结算'!E346+E439,BV438+IF(C439="重要关系6",E439,0)+IF(AND(C439="魅力",E439&lt;0),E439,0))))</x:f>
        <x:v>0</x:v>
      </x:c>
      <x:c r="BW439">
        <x:f>MAX(0,MIN(BK439,IF(AND(H439=1,C439="重要关系7",LEFT('幕间与结算'!H346,8)="建立新的重要关系"),'幕间与结算'!E346+E439,BW438+IF(C439="重要关系7",E439,0)+IF(AND(C439="魅力",E439&lt;0),E439,0))))</x:f>
        <x:v>0</x:v>
      </x:c>
    </x:row>
    <x:row r="440">
      <x:c r="A440" t="str">
        <x:f>IFERROR(TEXT(VALUE('幕间与结算'!A347),"00"),"")</x:f>
        <x:v>00</x:v>
      </x:c>
      <x:c r="B440">
        <x:f>'幕间与结算'!B347</x:f>
        <x:v>0</x:v>
      </x:c>
      <x:c r="C440">
        <x:f>'幕间与结算'!D347</x:f>
        <x:v>0</x:v>
      </x:c>
      <x:c r="D440">
        <x:f>'幕间与结算'!F347</x:f>
        <x:v>0</x:v>
      </x:c>
      <x:c r="E440">
        <x:f>IF(H440=1,MAX(-'幕间与结算'!E347,MIN(D440,IF(LEFT(C440,3)="技能：",99,IF(COUNTIF($L$2:$L$7,C440)&gt;0,18,999))-'幕间与结算'!E347)),0)</x:f>
        <x:v>0</x:v>
      </x:c>
      <x:c r="F440" t="str">
        <x:f>IF(C440=0,"",IF(G440=0,"记录不完整",IF(H440=0,"重复未计","已计入")))</x:f>
        <x:v/>
      </x:c>
      <x:c r="G440">
        <x:f>IF(AND(AND('幕间与结算'!A347&lt;&gt;"",'幕间与结算'!B347&lt;&gt;"",'幕间与结算'!I347&lt;&gt;"",OR(LEFT(C440,3)="技能：",COUNTIF($L$2:$L$19,C440)&gt;0),ISNUMBER('幕间与结算'!E347),ISNUMBER('幕间与结算'!F347),ISNUMBER('幕间与结算'!G347),'幕间与结算'!E347&gt;=0,'幕间与结算'!G347='幕间与结算'!E347+'幕间与结算'!F347),OR(B440&lt;&gt;"成长",AND(LEFT(C440,3)="技能：",C440&lt;&gt;"技能：非自然知识",'幕间与结算'!E347&gt;=1,'幕间与结算'!E347&lt;=99,'幕间与结算'!F347&gt;=0,'幕间与结算'!F347&lt;=4,'幕间与结算'!G347&lt;=99))),1,0)</x:f>
        <x:v>0</x:v>
      </x:c>
      <x:c r="H440">
        <x:f>IF(AND(G440=1,COUNTIFS($I$200:I440,I440,$G$200:G440,1)=1),1,0)</x:f>
        <x:v>0</x:v>
      </x:c>
      <x:c r="I440" t="str">
        <x:f>IF(G440=1,IF(B440="成长",A440&amp;"-成长-"&amp;C440,'幕间与结算'!I347),"")</x:f>
        <x:v/>
      </x:c>
      <x:c r="BF440">
        <x:f>MAX(0,MIN(18,BF439+IF(C440="力量",E440,0)))</x:f>
        <x:v>0</x:v>
      </x:c>
      <x:c r="BG440">
        <x:f>MAX(0,MIN(18,BG439+IF(C440="体质",E440,0)))</x:f>
        <x:v>0</x:v>
      </x:c>
      <x:c r="BH440">
        <x:f>MAX(0,MIN(18,BH439+IF(C440="敏捷",E440,0)))</x:f>
        <x:v>0</x:v>
      </x:c>
      <x:c r="BI440">
        <x:f>MAX(0,MIN(18,BI439+IF(C440="智力",E440,0)))</x:f>
        <x:v>0</x:v>
      </x:c>
      <x:c r="BJ440">
        <x:f>MAX(0,MIN(18,BJ439+IF(C440="意志",E440,0)))</x:f>
        <x:v>0</x:v>
      </x:c>
      <x:c r="BK440">
        <x:f>MAX(0,MIN(18,BK439+IF(C440="魅力",E440,0)))</x:f>
        <x:v>0</x:v>
      </x:c>
      <x:c r="BL440">
        <x:f>MAX(0,MIN(99,BL439+IF(C440="技能：非自然知识",E440,0)))</x:f>
        <x:v>0</x:v>
      </x:c>
      <x:c r="BM440">
        <x:f>MAX(0,MIN(CEILING((BF440+BG440)/2,1),BM439+IF(C440="体力",E440,0)))</x:f>
        <x:v>0</x:v>
      </x:c>
      <x:c r="BN440">
        <x:f>MAX(0,MIN(BJ440,BN439+IF(C440="毅力",E440,0)))</x:f>
        <x:v>0</x:v>
      </x:c>
      <x:c r="BO440">
        <x:f>MAX(0,MIN(99-BL440,BO439+IF(C440="理智",E440,0)))</x:f>
        <x:v>0</x:v>
      </x:c>
      <x:c r="BP440">
        <x:f>MAX(0,MIN(99,BP439+IF(C440="崩溃点",E440,0)))</x:f>
        <x:v>0</x:v>
      </x:c>
      <x:c r="BQ440">
        <x:f>MAX(0,MIN(BK440,IF(AND(H440=1,C440="重要关系1",LEFT('幕间与结算'!H347,8)="建立新的重要关系"),'幕间与结算'!E347+E440,BQ439+IF(C440="重要关系1",E440,0)+IF(AND(C440="魅力",E440&lt;0),E440,0))))</x:f>
        <x:v>0</x:v>
      </x:c>
      <x:c r="BR440">
        <x:f>MAX(0,MIN(BK440,IF(AND(H440=1,C440="重要关系2",LEFT('幕间与结算'!H347,8)="建立新的重要关系"),'幕间与结算'!E347+E440,BR439+IF(C440="重要关系2",E440,0)+IF(AND(C440="魅力",E440&lt;0),E440,0))))</x:f>
        <x:v>0</x:v>
      </x:c>
      <x:c r="BS440">
        <x:f>MAX(0,MIN(BK440,IF(AND(H440=1,C440="重要关系3",LEFT('幕间与结算'!H347,8)="建立新的重要关系"),'幕间与结算'!E347+E440,BS439+IF(C440="重要关系3",E440,0)+IF(AND(C440="魅力",E440&lt;0),E440,0))))</x:f>
        <x:v>0</x:v>
      </x:c>
      <x:c r="BT440">
        <x:f>MAX(0,MIN(BK440,IF(AND(H440=1,C440="重要关系4",LEFT('幕间与结算'!H347,8)="建立新的重要关系"),'幕间与结算'!E347+E440,BT439+IF(C440="重要关系4",E440,0)+IF(AND(C440="魅力",E440&lt;0),E440,0))))</x:f>
        <x:v>0</x:v>
      </x:c>
      <x:c r="BU440">
        <x:f>MAX(0,MIN(BK440,IF(AND(H440=1,C440="重要关系5",LEFT('幕间与结算'!H347,8)="建立新的重要关系"),'幕间与结算'!E347+E440,BU439+IF(C440="重要关系5",E440,0)+IF(AND(C440="魅力",E440&lt;0),E440,0))))</x:f>
        <x:v>0</x:v>
      </x:c>
      <x:c r="BV440">
        <x:f>MAX(0,MIN(BK440,IF(AND(H440=1,C440="重要关系6",LEFT('幕间与结算'!H347,8)="建立新的重要关系"),'幕间与结算'!E347+E440,BV439+IF(C440="重要关系6",E440,0)+IF(AND(C440="魅力",E440&lt;0),E440,0))))</x:f>
        <x:v>0</x:v>
      </x:c>
      <x:c r="BW440">
        <x:f>MAX(0,MIN(BK440,IF(AND(H440=1,C440="重要关系7",LEFT('幕间与结算'!H347,8)="建立新的重要关系"),'幕间与结算'!E347+E440,BW439+IF(C440="重要关系7",E440,0)+IF(AND(C440="魅力",E440&lt;0),E440,0))))</x:f>
        <x:v>0</x:v>
      </x:c>
    </x:row>
    <x:row r="441">
      <x:c r="A441" t="str">
        <x:f>IFERROR(TEXT(VALUE('幕间与结算'!A348),"00"),"")</x:f>
        <x:v>00</x:v>
      </x:c>
      <x:c r="B441">
        <x:f>'幕间与结算'!B348</x:f>
        <x:v>0</x:v>
      </x:c>
      <x:c r="C441">
        <x:f>'幕间与结算'!D348</x:f>
        <x:v>0</x:v>
      </x:c>
      <x:c r="D441">
        <x:f>'幕间与结算'!F348</x:f>
        <x:v>0</x:v>
      </x:c>
      <x:c r="E441">
        <x:f>IF(H441=1,MAX(-'幕间与结算'!E348,MIN(D441,IF(LEFT(C441,3)="技能：",99,IF(COUNTIF($L$2:$L$7,C441)&gt;0,18,999))-'幕间与结算'!E348)),0)</x:f>
        <x:v>0</x:v>
      </x:c>
      <x:c r="F441" t="str">
        <x:f>IF(C441=0,"",IF(G441=0,"记录不完整",IF(H441=0,"重复未计","已计入")))</x:f>
        <x:v/>
      </x:c>
      <x:c r="G441">
        <x:f>IF(AND(AND('幕间与结算'!A348&lt;&gt;"",'幕间与结算'!B348&lt;&gt;"",'幕间与结算'!I348&lt;&gt;"",OR(LEFT(C441,3)="技能：",COUNTIF($L$2:$L$19,C441)&gt;0),ISNUMBER('幕间与结算'!E348),ISNUMBER('幕间与结算'!F348),ISNUMBER('幕间与结算'!G348),'幕间与结算'!E348&gt;=0,'幕间与结算'!G348='幕间与结算'!E348+'幕间与结算'!F348),OR(B441&lt;&gt;"成长",AND(LEFT(C441,3)="技能：",C441&lt;&gt;"技能：非自然知识",'幕间与结算'!E348&gt;=1,'幕间与结算'!E348&lt;=99,'幕间与结算'!F348&gt;=0,'幕间与结算'!F348&lt;=4,'幕间与结算'!G348&lt;=99))),1,0)</x:f>
        <x:v>0</x:v>
      </x:c>
      <x:c r="H441">
        <x:f>IF(AND(G441=1,COUNTIFS($I$200:I441,I441,$G$200:G441,1)=1),1,0)</x:f>
        <x:v>0</x:v>
      </x:c>
      <x:c r="I441" t="str">
        <x:f>IF(G441=1,IF(B441="成长",A441&amp;"-成长-"&amp;C441,'幕间与结算'!I348),"")</x:f>
        <x:v/>
      </x:c>
      <x:c r="BF441">
        <x:f>MAX(0,MIN(18,BF440+IF(C441="力量",E441,0)))</x:f>
        <x:v>0</x:v>
      </x:c>
      <x:c r="BG441">
        <x:f>MAX(0,MIN(18,BG440+IF(C441="体质",E441,0)))</x:f>
        <x:v>0</x:v>
      </x:c>
      <x:c r="BH441">
        <x:f>MAX(0,MIN(18,BH440+IF(C441="敏捷",E441,0)))</x:f>
        <x:v>0</x:v>
      </x:c>
      <x:c r="BI441">
        <x:f>MAX(0,MIN(18,BI440+IF(C441="智力",E441,0)))</x:f>
        <x:v>0</x:v>
      </x:c>
      <x:c r="BJ441">
        <x:f>MAX(0,MIN(18,BJ440+IF(C441="意志",E441,0)))</x:f>
        <x:v>0</x:v>
      </x:c>
      <x:c r="BK441">
        <x:f>MAX(0,MIN(18,BK440+IF(C441="魅力",E441,0)))</x:f>
        <x:v>0</x:v>
      </x:c>
      <x:c r="BL441">
        <x:f>MAX(0,MIN(99,BL440+IF(C441="技能：非自然知识",E441,0)))</x:f>
        <x:v>0</x:v>
      </x:c>
      <x:c r="BM441">
        <x:f>MAX(0,MIN(CEILING((BF441+BG441)/2,1),BM440+IF(C441="体力",E441,0)))</x:f>
        <x:v>0</x:v>
      </x:c>
      <x:c r="BN441">
        <x:f>MAX(0,MIN(BJ441,BN440+IF(C441="毅力",E441,0)))</x:f>
        <x:v>0</x:v>
      </x:c>
      <x:c r="BO441">
        <x:f>MAX(0,MIN(99-BL441,BO440+IF(C441="理智",E441,0)))</x:f>
        <x:v>0</x:v>
      </x:c>
      <x:c r="BP441">
        <x:f>MAX(0,MIN(99,BP440+IF(C441="崩溃点",E441,0)))</x:f>
        <x:v>0</x:v>
      </x:c>
      <x:c r="BQ441">
        <x:f>MAX(0,MIN(BK441,IF(AND(H441=1,C441="重要关系1",LEFT('幕间与结算'!H348,8)="建立新的重要关系"),'幕间与结算'!E348+E441,BQ440+IF(C441="重要关系1",E441,0)+IF(AND(C441="魅力",E441&lt;0),E441,0))))</x:f>
        <x:v>0</x:v>
      </x:c>
      <x:c r="BR441">
        <x:f>MAX(0,MIN(BK441,IF(AND(H441=1,C441="重要关系2",LEFT('幕间与结算'!H348,8)="建立新的重要关系"),'幕间与结算'!E348+E441,BR440+IF(C441="重要关系2",E441,0)+IF(AND(C441="魅力",E441&lt;0),E441,0))))</x:f>
        <x:v>0</x:v>
      </x:c>
      <x:c r="BS441">
        <x:f>MAX(0,MIN(BK441,IF(AND(H441=1,C441="重要关系3",LEFT('幕间与结算'!H348,8)="建立新的重要关系"),'幕间与结算'!E348+E441,BS440+IF(C441="重要关系3",E441,0)+IF(AND(C441="魅力",E441&lt;0),E441,0))))</x:f>
        <x:v>0</x:v>
      </x:c>
      <x:c r="BT441">
        <x:f>MAX(0,MIN(BK441,IF(AND(H441=1,C441="重要关系4",LEFT('幕间与结算'!H348,8)="建立新的重要关系"),'幕间与结算'!E348+E441,BT440+IF(C441="重要关系4",E441,0)+IF(AND(C441="魅力",E441&lt;0),E441,0))))</x:f>
        <x:v>0</x:v>
      </x:c>
      <x:c r="BU441">
        <x:f>MAX(0,MIN(BK441,IF(AND(H441=1,C441="重要关系5",LEFT('幕间与结算'!H348,8)="建立新的重要关系"),'幕间与结算'!E348+E441,BU440+IF(C441="重要关系5",E441,0)+IF(AND(C441="魅力",E441&lt;0),E441,0))))</x:f>
        <x:v>0</x:v>
      </x:c>
      <x:c r="BV441">
        <x:f>MAX(0,MIN(BK441,IF(AND(H441=1,C441="重要关系6",LEFT('幕间与结算'!H348,8)="建立新的重要关系"),'幕间与结算'!E348+E441,BV440+IF(C441="重要关系6",E441,0)+IF(AND(C441="魅力",E441&lt;0),E441,0))))</x:f>
        <x:v>0</x:v>
      </x:c>
      <x:c r="BW441">
        <x:f>MAX(0,MIN(BK441,IF(AND(H441=1,C441="重要关系7",LEFT('幕间与结算'!H348,8)="建立新的重要关系"),'幕间与结算'!E348+E441,BW440+IF(C441="重要关系7",E441,0)+IF(AND(C441="魅力",E441&lt;0),E441,0))))</x:f>
        <x:v>0</x:v>
      </x:c>
    </x:row>
    <x:row r="442">
      <x:c r="A442" t="str">
        <x:f>IFERROR(TEXT(VALUE('幕间与结算'!A349),"00"),"")</x:f>
        <x:v>00</x:v>
      </x:c>
      <x:c r="B442">
        <x:f>'幕间与结算'!B349</x:f>
        <x:v>0</x:v>
      </x:c>
      <x:c r="C442">
        <x:f>'幕间与结算'!D349</x:f>
        <x:v>0</x:v>
      </x:c>
      <x:c r="D442">
        <x:f>'幕间与结算'!F349</x:f>
        <x:v>0</x:v>
      </x:c>
      <x:c r="E442">
        <x:f>IF(H442=1,MAX(-'幕间与结算'!E349,MIN(D442,IF(LEFT(C442,3)="技能：",99,IF(COUNTIF($L$2:$L$7,C442)&gt;0,18,999))-'幕间与结算'!E349)),0)</x:f>
        <x:v>0</x:v>
      </x:c>
      <x:c r="F442" t="str">
        <x:f>IF(C442=0,"",IF(G442=0,"记录不完整",IF(H442=0,"重复未计","已计入")))</x:f>
        <x:v/>
      </x:c>
      <x:c r="G442">
        <x:f>IF(AND(AND('幕间与结算'!A349&lt;&gt;"",'幕间与结算'!B349&lt;&gt;"",'幕间与结算'!I349&lt;&gt;"",OR(LEFT(C442,3)="技能：",COUNTIF($L$2:$L$19,C442)&gt;0),ISNUMBER('幕间与结算'!E349),ISNUMBER('幕间与结算'!F349),ISNUMBER('幕间与结算'!G349),'幕间与结算'!E349&gt;=0,'幕间与结算'!G349='幕间与结算'!E349+'幕间与结算'!F349),OR(B442&lt;&gt;"成长",AND(LEFT(C442,3)="技能：",C442&lt;&gt;"技能：非自然知识",'幕间与结算'!E349&gt;=1,'幕间与结算'!E349&lt;=99,'幕间与结算'!F349&gt;=0,'幕间与结算'!F349&lt;=4,'幕间与结算'!G349&lt;=99))),1,0)</x:f>
        <x:v>0</x:v>
      </x:c>
      <x:c r="H442">
        <x:f>IF(AND(G442=1,COUNTIFS($I$200:I442,I442,$G$200:G442,1)=1),1,0)</x:f>
        <x:v>0</x:v>
      </x:c>
      <x:c r="I442" t="str">
        <x:f>IF(G442=1,IF(B442="成长",A442&amp;"-成长-"&amp;C442,'幕间与结算'!I349),"")</x:f>
        <x:v/>
      </x:c>
      <x:c r="BF442">
        <x:f>MAX(0,MIN(18,BF441+IF(C442="力量",E442,0)))</x:f>
        <x:v>0</x:v>
      </x:c>
      <x:c r="BG442">
        <x:f>MAX(0,MIN(18,BG441+IF(C442="体质",E442,0)))</x:f>
        <x:v>0</x:v>
      </x:c>
      <x:c r="BH442">
        <x:f>MAX(0,MIN(18,BH441+IF(C442="敏捷",E442,0)))</x:f>
        <x:v>0</x:v>
      </x:c>
      <x:c r="BI442">
        <x:f>MAX(0,MIN(18,BI441+IF(C442="智力",E442,0)))</x:f>
        <x:v>0</x:v>
      </x:c>
      <x:c r="BJ442">
        <x:f>MAX(0,MIN(18,BJ441+IF(C442="意志",E442,0)))</x:f>
        <x:v>0</x:v>
      </x:c>
      <x:c r="BK442">
        <x:f>MAX(0,MIN(18,BK441+IF(C442="魅力",E442,0)))</x:f>
        <x:v>0</x:v>
      </x:c>
      <x:c r="BL442">
        <x:f>MAX(0,MIN(99,BL441+IF(C442="技能：非自然知识",E442,0)))</x:f>
        <x:v>0</x:v>
      </x:c>
      <x:c r="BM442">
        <x:f>MAX(0,MIN(CEILING((BF442+BG442)/2,1),BM441+IF(C442="体力",E442,0)))</x:f>
        <x:v>0</x:v>
      </x:c>
      <x:c r="BN442">
        <x:f>MAX(0,MIN(BJ442,BN441+IF(C442="毅力",E442,0)))</x:f>
        <x:v>0</x:v>
      </x:c>
      <x:c r="BO442">
        <x:f>MAX(0,MIN(99-BL442,BO441+IF(C442="理智",E442,0)))</x:f>
        <x:v>0</x:v>
      </x:c>
      <x:c r="BP442">
        <x:f>MAX(0,MIN(99,BP441+IF(C442="崩溃点",E442,0)))</x:f>
        <x:v>0</x:v>
      </x:c>
      <x:c r="BQ442">
        <x:f>MAX(0,MIN(BK442,IF(AND(H442=1,C442="重要关系1",LEFT('幕间与结算'!H349,8)="建立新的重要关系"),'幕间与结算'!E349+E442,BQ441+IF(C442="重要关系1",E442,0)+IF(AND(C442="魅力",E442&lt;0),E442,0))))</x:f>
        <x:v>0</x:v>
      </x:c>
      <x:c r="BR442">
        <x:f>MAX(0,MIN(BK442,IF(AND(H442=1,C442="重要关系2",LEFT('幕间与结算'!H349,8)="建立新的重要关系"),'幕间与结算'!E349+E442,BR441+IF(C442="重要关系2",E442,0)+IF(AND(C442="魅力",E442&lt;0),E442,0))))</x:f>
        <x:v>0</x:v>
      </x:c>
      <x:c r="BS442">
        <x:f>MAX(0,MIN(BK442,IF(AND(H442=1,C442="重要关系3",LEFT('幕间与结算'!H349,8)="建立新的重要关系"),'幕间与结算'!E349+E442,BS441+IF(C442="重要关系3",E442,0)+IF(AND(C442="魅力",E442&lt;0),E442,0))))</x:f>
        <x:v>0</x:v>
      </x:c>
      <x:c r="BT442">
        <x:f>MAX(0,MIN(BK442,IF(AND(H442=1,C442="重要关系4",LEFT('幕间与结算'!H349,8)="建立新的重要关系"),'幕间与结算'!E349+E442,BT441+IF(C442="重要关系4",E442,0)+IF(AND(C442="魅力",E442&lt;0),E442,0))))</x:f>
        <x:v>0</x:v>
      </x:c>
      <x:c r="BU442">
        <x:f>MAX(0,MIN(BK442,IF(AND(H442=1,C442="重要关系5",LEFT('幕间与结算'!H349,8)="建立新的重要关系"),'幕间与结算'!E349+E442,BU441+IF(C442="重要关系5",E442,0)+IF(AND(C442="魅力",E442&lt;0),E442,0))))</x:f>
        <x:v>0</x:v>
      </x:c>
      <x:c r="BV442">
        <x:f>MAX(0,MIN(BK442,IF(AND(H442=1,C442="重要关系6",LEFT('幕间与结算'!H349,8)="建立新的重要关系"),'幕间与结算'!E349+E442,BV441+IF(C442="重要关系6",E442,0)+IF(AND(C442="魅力",E442&lt;0),E442,0))))</x:f>
        <x:v>0</x:v>
      </x:c>
      <x:c r="BW442">
        <x:f>MAX(0,MIN(BK442,IF(AND(H442=1,C442="重要关系7",LEFT('幕间与结算'!H349,8)="建立新的重要关系"),'幕间与结算'!E349+E442,BW441+IF(C442="重要关系7",E442,0)+IF(AND(C442="魅力",E442&lt;0),E442,0))))</x:f>
        <x:v>0</x:v>
      </x:c>
    </x:row>
    <x:row r="443">
      <x:c r="A443" t="str">
        <x:f>IFERROR(TEXT(VALUE('幕间与结算'!A350),"00"),"")</x:f>
        <x:v>00</x:v>
      </x:c>
      <x:c r="B443">
        <x:f>'幕间与结算'!B350</x:f>
        <x:v>0</x:v>
      </x:c>
      <x:c r="C443">
        <x:f>'幕间与结算'!D350</x:f>
        <x:v>0</x:v>
      </x:c>
      <x:c r="D443">
        <x:f>'幕间与结算'!F350</x:f>
        <x:v>0</x:v>
      </x:c>
      <x:c r="E443">
        <x:f>IF(H443=1,MAX(-'幕间与结算'!E350,MIN(D443,IF(LEFT(C443,3)="技能：",99,IF(COUNTIF($L$2:$L$7,C443)&gt;0,18,999))-'幕间与结算'!E350)),0)</x:f>
        <x:v>0</x:v>
      </x:c>
      <x:c r="F443" t="str">
        <x:f>IF(C443=0,"",IF(G443=0,"记录不完整",IF(H443=0,"重复未计","已计入")))</x:f>
        <x:v/>
      </x:c>
      <x:c r="G443">
        <x:f>IF(AND(AND('幕间与结算'!A350&lt;&gt;"",'幕间与结算'!B350&lt;&gt;"",'幕间与结算'!I350&lt;&gt;"",OR(LEFT(C443,3)="技能：",COUNTIF($L$2:$L$19,C443)&gt;0),ISNUMBER('幕间与结算'!E350),ISNUMBER('幕间与结算'!F350),ISNUMBER('幕间与结算'!G350),'幕间与结算'!E350&gt;=0,'幕间与结算'!G350='幕间与结算'!E350+'幕间与结算'!F350),OR(B443&lt;&gt;"成长",AND(LEFT(C443,3)="技能：",C443&lt;&gt;"技能：非自然知识",'幕间与结算'!E350&gt;=1,'幕间与结算'!E350&lt;=99,'幕间与结算'!F350&gt;=0,'幕间与结算'!F350&lt;=4,'幕间与结算'!G350&lt;=99))),1,0)</x:f>
        <x:v>0</x:v>
      </x:c>
      <x:c r="H443">
        <x:f>IF(AND(G443=1,COUNTIFS($I$200:I443,I443,$G$200:G443,1)=1),1,0)</x:f>
        <x:v>0</x:v>
      </x:c>
      <x:c r="I443" t="str">
        <x:f>IF(G443=1,IF(B443="成长",A443&amp;"-成长-"&amp;C443,'幕间与结算'!I350),"")</x:f>
        <x:v/>
      </x:c>
      <x:c r="BF443">
        <x:f>MAX(0,MIN(18,BF442+IF(C443="力量",E443,0)))</x:f>
        <x:v>0</x:v>
      </x:c>
      <x:c r="BG443">
        <x:f>MAX(0,MIN(18,BG442+IF(C443="体质",E443,0)))</x:f>
        <x:v>0</x:v>
      </x:c>
      <x:c r="BH443">
        <x:f>MAX(0,MIN(18,BH442+IF(C443="敏捷",E443,0)))</x:f>
        <x:v>0</x:v>
      </x:c>
      <x:c r="BI443">
        <x:f>MAX(0,MIN(18,BI442+IF(C443="智力",E443,0)))</x:f>
        <x:v>0</x:v>
      </x:c>
      <x:c r="BJ443">
        <x:f>MAX(0,MIN(18,BJ442+IF(C443="意志",E443,0)))</x:f>
        <x:v>0</x:v>
      </x:c>
      <x:c r="BK443">
        <x:f>MAX(0,MIN(18,BK442+IF(C443="魅力",E443,0)))</x:f>
        <x:v>0</x:v>
      </x:c>
      <x:c r="BL443">
        <x:f>MAX(0,MIN(99,BL442+IF(C443="技能：非自然知识",E443,0)))</x:f>
        <x:v>0</x:v>
      </x:c>
      <x:c r="BM443">
        <x:f>MAX(0,MIN(CEILING((BF443+BG443)/2,1),BM442+IF(C443="体力",E443,0)))</x:f>
        <x:v>0</x:v>
      </x:c>
      <x:c r="BN443">
        <x:f>MAX(0,MIN(BJ443,BN442+IF(C443="毅力",E443,0)))</x:f>
        <x:v>0</x:v>
      </x:c>
      <x:c r="BO443">
        <x:f>MAX(0,MIN(99-BL443,BO442+IF(C443="理智",E443,0)))</x:f>
        <x:v>0</x:v>
      </x:c>
      <x:c r="BP443">
        <x:f>MAX(0,MIN(99,BP442+IF(C443="崩溃点",E443,0)))</x:f>
        <x:v>0</x:v>
      </x:c>
      <x:c r="BQ443">
        <x:f>MAX(0,MIN(BK443,IF(AND(H443=1,C443="重要关系1",LEFT('幕间与结算'!H350,8)="建立新的重要关系"),'幕间与结算'!E350+E443,BQ442+IF(C443="重要关系1",E443,0)+IF(AND(C443="魅力",E443&lt;0),E443,0))))</x:f>
        <x:v>0</x:v>
      </x:c>
      <x:c r="BR443">
        <x:f>MAX(0,MIN(BK443,IF(AND(H443=1,C443="重要关系2",LEFT('幕间与结算'!H350,8)="建立新的重要关系"),'幕间与结算'!E350+E443,BR442+IF(C443="重要关系2",E443,0)+IF(AND(C443="魅力",E443&lt;0),E443,0))))</x:f>
        <x:v>0</x:v>
      </x:c>
      <x:c r="BS443">
        <x:f>MAX(0,MIN(BK443,IF(AND(H443=1,C443="重要关系3",LEFT('幕间与结算'!H350,8)="建立新的重要关系"),'幕间与结算'!E350+E443,BS442+IF(C443="重要关系3",E443,0)+IF(AND(C443="魅力",E443&lt;0),E443,0))))</x:f>
        <x:v>0</x:v>
      </x:c>
      <x:c r="BT443">
        <x:f>MAX(0,MIN(BK443,IF(AND(H443=1,C443="重要关系4",LEFT('幕间与结算'!H350,8)="建立新的重要关系"),'幕间与结算'!E350+E443,BT442+IF(C443="重要关系4",E443,0)+IF(AND(C443="魅力",E443&lt;0),E443,0))))</x:f>
        <x:v>0</x:v>
      </x:c>
      <x:c r="BU443">
        <x:f>MAX(0,MIN(BK443,IF(AND(H443=1,C443="重要关系5",LEFT('幕间与结算'!H350,8)="建立新的重要关系"),'幕间与结算'!E350+E443,BU442+IF(C443="重要关系5",E443,0)+IF(AND(C443="魅力",E443&lt;0),E443,0))))</x:f>
        <x:v>0</x:v>
      </x:c>
      <x:c r="BV443">
        <x:f>MAX(0,MIN(BK443,IF(AND(H443=1,C443="重要关系6",LEFT('幕间与结算'!H350,8)="建立新的重要关系"),'幕间与结算'!E350+E443,BV442+IF(C443="重要关系6",E443,0)+IF(AND(C443="魅力",E443&lt;0),E443,0))))</x:f>
        <x:v>0</x:v>
      </x:c>
      <x:c r="BW443">
        <x:f>MAX(0,MIN(BK443,IF(AND(H443=1,C443="重要关系7",LEFT('幕间与结算'!H350,8)="建立新的重要关系"),'幕间与结算'!E350+E443,BW442+IF(C443="重要关系7",E443,0)+IF(AND(C443="魅力",E443&lt;0),E443,0))))</x:f>
        <x:v>0</x:v>
      </x:c>
    </x:row>
    <x:row r="444">
      <x:c r="A444" t="str">
        <x:f>IFERROR(TEXT(VALUE('幕间与结算'!A351),"00"),"")</x:f>
        <x:v>00</x:v>
      </x:c>
      <x:c r="B444">
        <x:f>'幕间与结算'!B351</x:f>
        <x:v>0</x:v>
      </x:c>
      <x:c r="C444">
        <x:f>'幕间与结算'!D351</x:f>
        <x:v>0</x:v>
      </x:c>
      <x:c r="D444">
        <x:f>'幕间与结算'!F351</x:f>
        <x:v>0</x:v>
      </x:c>
      <x:c r="E444">
        <x:f>IF(H444=1,MAX(-'幕间与结算'!E351,MIN(D444,IF(LEFT(C444,3)="技能：",99,IF(COUNTIF($L$2:$L$7,C444)&gt;0,18,999))-'幕间与结算'!E351)),0)</x:f>
        <x:v>0</x:v>
      </x:c>
      <x:c r="F444" t="str">
        <x:f>IF(C444=0,"",IF(G444=0,"记录不完整",IF(H444=0,"重复未计","已计入")))</x:f>
        <x:v/>
      </x:c>
      <x:c r="G444">
        <x:f>IF(AND(AND('幕间与结算'!A351&lt;&gt;"",'幕间与结算'!B351&lt;&gt;"",'幕间与结算'!I351&lt;&gt;"",OR(LEFT(C444,3)="技能：",COUNTIF($L$2:$L$19,C444)&gt;0),ISNUMBER('幕间与结算'!E351),ISNUMBER('幕间与结算'!F351),ISNUMBER('幕间与结算'!G351),'幕间与结算'!E351&gt;=0,'幕间与结算'!G351='幕间与结算'!E351+'幕间与结算'!F351),OR(B444&lt;&gt;"成长",AND(LEFT(C444,3)="技能：",C444&lt;&gt;"技能：非自然知识",'幕间与结算'!E351&gt;=1,'幕间与结算'!E351&lt;=99,'幕间与结算'!F351&gt;=0,'幕间与结算'!F351&lt;=4,'幕间与结算'!G351&lt;=99))),1,0)</x:f>
        <x:v>0</x:v>
      </x:c>
      <x:c r="H444">
        <x:f>IF(AND(G444=1,COUNTIFS($I$200:I444,I444,$G$200:G444,1)=1),1,0)</x:f>
        <x:v>0</x:v>
      </x:c>
      <x:c r="I444" t="str">
        <x:f>IF(G444=1,IF(B444="成长",A444&amp;"-成长-"&amp;C444,'幕间与结算'!I351),"")</x:f>
        <x:v/>
      </x:c>
      <x:c r="BF444">
        <x:f>MAX(0,MIN(18,BF443+IF(C444="力量",E444,0)))</x:f>
        <x:v>0</x:v>
      </x:c>
      <x:c r="BG444">
        <x:f>MAX(0,MIN(18,BG443+IF(C444="体质",E444,0)))</x:f>
        <x:v>0</x:v>
      </x:c>
      <x:c r="BH444">
        <x:f>MAX(0,MIN(18,BH443+IF(C444="敏捷",E444,0)))</x:f>
        <x:v>0</x:v>
      </x:c>
      <x:c r="BI444">
        <x:f>MAX(0,MIN(18,BI443+IF(C444="智力",E444,0)))</x:f>
        <x:v>0</x:v>
      </x:c>
      <x:c r="BJ444">
        <x:f>MAX(0,MIN(18,BJ443+IF(C444="意志",E444,0)))</x:f>
        <x:v>0</x:v>
      </x:c>
      <x:c r="BK444">
        <x:f>MAX(0,MIN(18,BK443+IF(C444="魅力",E444,0)))</x:f>
        <x:v>0</x:v>
      </x:c>
      <x:c r="BL444">
        <x:f>MAX(0,MIN(99,BL443+IF(C444="技能：非自然知识",E444,0)))</x:f>
        <x:v>0</x:v>
      </x:c>
      <x:c r="BM444">
        <x:f>MAX(0,MIN(CEILING((BF444+BG444)/2,1),BM443+IF(C444="体力",E444,0)))</x:f>
        <x:v>0</x:v>
      </x:c>
      <x:c r="BN444">
        <x:f>MAX(0,MIN(BJ444,BN443+IF(C444="毅力",E444,0)))</x:f>
        <x:v>0</x:v>
      </x:c>
      <x:c r="BO444">
        <x:f>MAX(0,MIN(99-BL444,BO443+IF(C444="理智",E444,0)))</x:f>
        <x:v>0</x:v>
      </x:c>
      <x:c r="BP444">
        <x:f>MAX(0,MIN(99,BP443+IF(C444="崩溃点",E444,0)))</x:f>
        <x:v>0</x:v>
      </x:c>
      <x:c r="BQ444">
        <x:f>MAX(0,MIN(BK444,IF(AND(H444=1,C444="重要关系1",LEFT('幕间与结算'!H351,8)="建立新的重要关系"),'幕间与结算'!E351+E444,BQ443+IF(C444="重要关系1",E444,0)+IF(AND(C444="魅力",E444&lt;0),E444,0))))</x:f>
        <x:v>0</x:v>
      </x:c>
      <x:c r="BR444">
        <x:f>MAX(0,MIN(BK444,IF(AND(H444=1,C444="重要关系2",LEFT('幕间与结算'!H351,8)="建立新的重要关系"),'幕间与结算'!E351+E444,BR443+IF(C444="重要关系2",E444,0)+IF(AND(C444="魅力",E444&lt;0),E444,0))))</x:f>
        <x:v>0</x:v>
      </x:c>
      <x:c r="BS444">
        <x:f>MAX(0,MIN(BK444,IF(AND(H444=1,C444="重要关系3",LEFT('幕间与结算'!H351,8)="建立新的重要关系"),'幕间与结算'!E351+E444,BS443+IF(C444="重要关系3",E444,0)+IF(AND(C444="魅力",E444&lt;0),E444,0))))</x:f>
        <x:v>0</x:v>
      </x:c>
      <x:c r="BT444">
        <x:f>MAX(0,MIN(BK444,IF(AND(H444=1,C444="重要关系4",LEFT('幕间与结算'!H351,8)="建立新的重要关系"),'幕间与结算'!E351+E444,BT443+IF(C444="重要关系4",E444,0)+IF(AND(C444="魅力",E444&lt;0),E444,0))))</x:f>
        <x:v>0</x:v>
      </x:c>
      <x:c r="BU444">
        <x:f>MAX(0,MIN(BK444,IF(AND(H444=1,C444="重要关系5",LEFT('幕间与结算'!H351,8)="建立新的重要关系"),'幕间与结算'!E351+E444,BU443+IF(C444="重要关系5",E444,0)+IF(AND(C444="魅力",E444&lt;0),E444,0))))</x:f>
        <x:v>0</x:v>
      </x:c>
      <x:c r="BV444">
        <x:f>MAX(0,MIN(BK444,IF(AND(H444=1,C444="重要关系6",LEFT('幕间与结算'!H351,8)="建立新的重要关系"),'幕间与结算'!E351+E444,BV443+IF(C444="重要关系6",E444,0)+IF(AND(C444="魅力",E444&lt;0),E444,0))))</x:f>
        <x:v>0</x:v>
      </x:c>
      <x:c r="BW444">
        <x:f>MAX(0,MIN(BK444,IF(AND(H444=1,C444="重要关系7",LEFT('幕间与结算'!H351,8)="建立新的重要关系"),'幕间与结算'!E351+E444,BW443+IF(C444="重要关系7",E444,0)+IF(AND(C444="魅力",E444&lt;0),E444,0))))</x:f>
        <x:v>0</x:v>
      </x:c>
    </x:row>
    <x:row r="445">
      <x:c r="A445" t="str">
        <x:f>IFERROR(TEXT(VALUE('幕间与结算'!A352),"00"),"")</x:f>
        <x:v>00</x:v>
      </x:c>
      <x:c r="B445">
        <x:f>'幕间与结算'!B352</x:f>
        <x:v>0</x:v>
      </x:c>
      <x:c r="C445">
        <x:f>'幕间与结算'!D352</x:f>
        <x:v>0</x:v>
      </x:c>
      <x:c r="D445">
        <x:f>'幕间与结算'!F352</x:f>
        <x:v>0</x:v>
      </x:c>
      <x:c r="E445">
        <x:f>IF(H445=1,MAX(-'幕间与结算'!E352,MIN(D445,IF(LEFT(C445,3)="技能：",99,IF(COUNTIF($L$2:$L$7,C445)&gt;0,18,999))-'幕间与结算'!E352)),0)</x:f>
        <x:v>0</x:v>
      </x:c>
      <x:c r="F445" t="str">
        <x:f>IF(C445=0,"",IF(G445=0,"记录不完整",IF(H445=0,"重复未计","已计入")))</x:f>
        <x:v/>
      </x:c>
      <x:c r="G445">
        <x:f>IF(AND(AND('幕间与结算'!A352&lt;&gt;"",'幕间与结算'!B352&lt;&gt;"",'幕间与结算'!I352&lt;&gt;"",OR(LEFT(C445,3)="技能：",COUNTIF($L$2:$L$19,C445)&gt;0),ISNUMBER('幕间与结算'!E352),ISNUMBER('幕间与结算'!F352),ISNUMBER('幕间与结算'!G352),'幕间与结算'!E352&gt;=0,'幕间与结算'!G352='幕间与结算'!E352+'幕间与结算'!F352),OR(B445&lt;&gt;"成长",AND(LEFT(C445,3)="技能：",C445&lt;&gt;"技能：非自然知识",'幕间与结算'!E352&gt;=1,'幕间与结算'!E352&lt;=99,'幕间与结算'!F352&gt;=0,'幕间与结算'!F352&lt;=4,'幕间与结算'!G352&lt;=99))),1,0)</x:f>
        <x:v>0</x:v>
      </x:c>
      <x:c r="H445">
        <x:f>IF(AND(G445=1,COUNTIFS($I$200:I445,I445,$G$200:G445,1)=1),1,0)</x:f>
        <x:v>0</x:v>
      </x:c>
      <x:c r="I445" t="str">
        <x:f>IF(G445=1,IF(B445="成长",A445&amp;"-成长-"&amp;C445,'幕间与结算'!I352),"")</x:f>
        <x:v/>
      </x:c>
      <x:c r="BF445">
        <x:f>MAX(0,MIN(18,BF444+IF(C445="力量",E445,0)))</x:f>
        <x:v>0</x:v>
      </x:c>
      <x:c r="BG445">
        <x:f>MAX(0,MIN(18,BG444+IF(C445="体质",E445,0)))</x:f>
        <x:v>0</x:v>
      </x:c>
      <x:c r="BH445">
        <x:f>MAX(0,MIN(18,BH444+IF(C445="敏捷",E445,0)))</x:f>
        <x:v>0</x:v>
      </x:c>
      <x:c r="BI445">
        <x:f>MAX(0,MIN(18,BI444+IF(C445="智力",E445,0)))</x:f>
        <x:v>0</x:v>
      </x:c>
      <x:c r="BJ445">
        <x:f>MAX(0,MIN(18,BJ444+IF(C445="意志",E445,0)))</x:f>
        <x:v>0</x:v>
      </x:c>
      <x:c r="BK445">
        <x:f>MAX(0,MIN(18,BK444+IF(C445="魅力",E445,0)))</x:f>
        <x:v>0</x:v>
      </x:c>
      <x:c r="BL445">
        <x:f>MAX(0,MIN(99,BL444+IF(C445="技能：非自然知识",E445,0)))</x:f>
        <x:v>0</x:v>
      </x:c>
      <x:c r="BM445">
        <x:f>MAX(0,MIN(CEILING((BF445+BG445)/2,1),BM444+IF(C445="体力",E445,0)))</x:f>
        <x:v>0</x:v>
      </x:c>
      <x:c r="BN445">
        <x:f>MAX(0,MIN(BJ445,BN444+IF(C445="毅力",E445,0)))</x:f>
        <x:v>0</x:v>
      </x:c>
      <x:c r="BO445">
        <x:f>MAX(0,MIN(99-BL445,BO444+IF(C445="理智",E445,0)))</x:f>
        <x:v>0</x:v>
      </x:c>
      <x:c r="BP445">
        <x:f>MAX(0,MIN(99,BP444+IF(C445="崩溃点",E445,0)))</x:f>
        <x:v>0</x:v>
      </x:c>
      <x:c r="BQ445">
        <x:f>MAX(0,MIN(BK445,IF(AND(H445=1,C445="重要关系1",LEFT('幕间与结算'!H352,8)="建立新的重要关系"),'幕间与结算'!E352+E445,BQ444+IF(C445="重要关系1",E445,0)+IF(AND(C445="魅力",E445&lt;0),E445,0))))</x:f>
        <x:v>0</x:v>
      </x:c>
      <x:c r="BR445">
        <x:f>MAX(0,MIN(BK445,IF(AND(H445=1,C445="重要关系2",LEFT('幕间与结算'!H352,8)="建立新的重要关系"),'幕间与结算'!E352+E445,BR444+IF(C445="重要关系2",E445,0)+IF(AND(C445="魅力",E445&lt;0),E445,0))))</x:f>
        <x:v>0</x:v>
      </x:c>
      <x:c r="BS445">
        <x:f>MAX(0,MIN(BK445,IF(AND(H445=1,C445="重要关系3",LEFT('幕间与结算'!H352,8)="建立新的重要关系"),'幕间与结算'!E352+E445,BS444+IF(C445="重要关系3",E445,0)+IF(AND(C445="魅力",E445&lt;0),E445,0))))</x:f>
        <x:v>0</x:v>
      </x:c>
      <x:c r="BT445">
        <x:f>MAX(0,MIN(BK445,IF(AND(H445=1,C445="重要关系4",LEFT('幕间与结算'!H352,8)="建立新的重要关系"),'幕间与结算'!E352+E445,BT444+IF(C445="重要关系4",E445,0)+IF(AND(C445="魅力",E445&lt;0),E445,0))))</x:f>
        <x:v>0</x:v>
      </x:c>
      <x:c r="BU445">
        <x:f>MAX(0,MIN(BK445,IF(AND(H445=1,C445="重要关系5",LEFT('幕间与结算'!H352,8)="建立新的重要关系"),'幕间与结算'!E352+E445,BU444+IF(C445="重要关系5",E445,0)+IF(AND(C445="魅力",E445&lt;0),E445,0))))</x:f>
        <x:v>0</x:v>
      </x:c>
      <x:c r="BV445">
        <x:f>MAX(0,MIN(BK445,IF(AND(H445=1,C445="重要关系6",LEFT('幕间与结算'!H352,8)="建立新的重要关系"),'幕间与结算'!E352+E445,BV444+IF(C445="重要关系6",E445,0)+IF(AND(C445="魅力",E445&lt;0),E445,0))))</x:f>
        <x:v>0</x:v>
      </x:c>
      <x:c r="BW445">
        <x:f>MAX(0,MIN(BK445,IF(AND(H445=1,C445="重要关系7",LEFT('幕间与结算'!H352,8)="建立新的重要关系"),'幕间与结算'!E352+E445,BW444+IF(C445="重要关系7",E445,0)+IF(AND(C445="魅力",E445&lt;0),E445,0))))</x:f>
        <x:v>0</x:v>
      </x:c>
    </x:row>
    <x:row r="446">
      <x:c r="A446" t="str">
        <x:f>IFERROR(TEXT(VALUE('幕间与结算'!A353),"00"),"")</x:f>
        <x:v>00</x:v>
      </x:c>
      <x:c r="B446">
        <x:f>'幕间与结算'!B353</x:f>
        <x:v>0</x:v>
      </x:c>
      <x:c r="C446">
        <x:f>'幕间与结算'!D353</x:f>
        <x:v>0</x:v>
      </x:c>
      <x:c r="D446">
        <x:f>'幕间与结算'!F353</x:f>
        <x:v>0</x:v>
      </x:c>
      <x:c r="E446">
        <x:f>IF(H446=1,MAX(-'幕间与结算'!E353,MIN(D446,IF(LEFT(C446,3)="技能：",99,IF(COUNTIF($L$2:$L$7,C446)&gt;0,18,999))-'幕间与结算'!E353)),0)</x:f>
        <x:v>0</x:v>
      </x:c>
      <x:c r="F446" t="str">
        <x:f>IF(C446=0,"",IF(G446=0,"记录不完整",IF(H446=0,"重复未计","已计入")))</x:f>
        <x:v/>
      </x:c>
      <x:c r="G446">
        <x:f>IF(AND(AND('幕间与结算'!A353&lt;&gt;"",'幕间与结算'!B353&lt;&gt;"",'幕间与结算'!I353&lt;&gt;"",OR(LEFT(C446,3)="技能：",COUNTIF($L$2:$L$19,C446)&gt;0),ISNUMBER('幕间与结算'!E353),ISNUMBER('幕间与结算'!F353),ISNUMBER('幕间与结算'!G353),'幕间与结算'!E353&gt;=0,'幕间与结算'!G353='幕间与结算'!E353+'幕间与结算'!F353),OR(B446&lt;&gt;"成长",AND(LEFT(C446,3)="技能：",C446&lt;&gt;"技能：非自然知识",'幕间与结算'!E353&gt;=1,'幕间与结算'!E353&lt;=99,'幕间与结算'!F353&gt;=0,'幕间与结算'!F353&lt;=4,'幕间与结算'!G353&lt;=99))),1,0)</x:f>
        <x:v>0</x:v>
      </x:c>
      <x:c r="H446">
        <x:f>IF(AND(G446=1,COUNTIFS($I$200:I446,I446,$G$200:G446,1)=1),1,0)</x:f>
        <x:v>0</x:v>
      </x:c>
      <x:c r="I446" t="str">
        <x:f>IF(G446=1,IF(B446="成长",A446&amp;"-成长-"&amp;C446,'幕间与结算'!I353),"")</x:f>
        <x:v/>
      </x:c>
      <x:c r="BF446">
        <x:f>MAX(0,MIN(18,BF445+IF(C446="力量",E446,0)))</x:f>
        <x:v>0</x:v>
      </x:c>
      <x:c r="BG446">
        <x:f>MAX(0,MIN(18,BG445+IF(C446="体质",E446,0)))</x:f>
        <x:v>0</x:v>
      </x:c>
      <x:c r="BH446">
        <x:f>MAX(0,MIN(18,BH445+IF(C446="敏捷",E446,0)))</x:f>
        <x:v>0</x:v>
      </x:c>
      <x:c r="BI446">
        <x:f>MAX(0,MIN(18,BI445+IF(C446="智力",E446,0)))</x:f>
        <x:v>0</x:v>
      </x:c>
      <x:c r="BJ446">
        <x:f>MAX(0,MIN(18,BJ445+IF(C446="意志",E446,0)))</x:f>
        <x:v>0</x:v>
      </x:c>
      <x:c r="BK446">
        <x:f>MAX(0,MIN(18,BK445+IF(C446="魅力",E446,0)))</x:f>
        <x:v>0</x:v>
      </x:c>
      <x:c r="BL446">
        <x:f>MAX(0,MIN(99,BL445+IF(C446="技能：非自然知识",E446,0)))</x:f>
        <x:v>0</x:v>
      </x:c>
      <x:c r="BM446">
        <x:f>MAX(0,MIN(CEILING((BF446+BG446)/2,1),BM445+IF(C446="体力",E446,0)))</x:f>
        <x:v>0</x:v>
      </x:c>
      <x:c r="BN446">
        <x:f>MAX(0,MIN(BJ446,BN445+IF(C446="毅力",E446,0)))</x:f>
        <x:v>0</x:v>
      </x:c>
      <x:c r="BO446">
        <x:f>MAX(0,MIN(99-BL446,BO445+IF(C446="理智",E446,0)))</x:f>
        <x:v>0</x:v>
      </x:c>
      <x:c r="BP446">
        <x:f>MAX(0,MIN(99,BP445+IF(C446="崩溃点",E446,0)))</x:f>
        <x:v>0</x:v>
      </x:c>
      <x:c r="BQ446">
        <x:f>MAX(0,MIN(BK446,IF(AND(H446=1,C446="重要关系1",LEFT('幕间与结算'!H353,8)="建立新的重要关系"),'幕间与结算'!E353+E446,BQ445+IF(C446="重要关系1",E446,0)+IF(AND(C446="魅力",E446&lt;0),E446,0))))</x:f>
        <x:v>0</x:v>
      </x:c>
      <x:c r="BR446">
        <x:f>MAX(0,MIN(BK446,IF(AND(H446=1,C446="重要关系2",LEFT('幕间与结算'!H353,8)="建立新的重要关系"),'幕间与结算'!E353+E446,BR445+IF(C446="重要关系2",E446,0)+IF(AND(C446="魅力",E446&lt;0),E446,0))))</x:f>
        <x:v>0</x:v>
      </x:c>
      <x:c r="BS446">
        <x:f>MAX(0,MIN(BK446,IF(AND(H446=1,C446="重要关系3",LEFT('幕间与结算'!H353,8)="建立新的重要关系"),'幕间与结算'!E353+E446,BS445+IF(C446="重要关系3",E446,0)+IF(AND(C446="魅力",E446&lt;0),E446,0))))</x:f>
        <x:v>0</x:v>
      </x:c>
      <x:c r="BT446">
        <x:f>MAX(0,MIN(BK446,IF(AND(H446=1,C446="重要关系4",LEFT('幕间与结算'!H353,8)="建立新的重要关系"),'幕间与结算'!E353+E446,BT445+IF(C446="重要关系4",E446,0)+IF(AND(C446="魅力",E446&lt;0),E446,0))))</x:f>
        <x:v>0</x:v>
      </x:c>
      <x:c r="BU446">
        <x:f>MAX(0,MIN(BK446,IF(AND(H446=1,C446="重要关系5",LEFT('幕间与结算'!H353,8)="建立新的重要关系"),'幕间与结算'!E353+E446,BU445+IF(C446="重要关系5",E446,0)+IF(AND(C446="魅力",E446&lt;0),E446,0))))</x:f>
        <x:v>0</x:v>
      </x:c>
      <x:c r="BV446">
        <x:f>MAX(0,MIN(BK446,IF(AND(H446=1,C446="重要关系6",LEFT('幕间与结算'!H353,8)="建立新的重要关系"),'幕间与结算'!E353+E446,BV445+IF(C446="重要关系6",E446,0)+IF(AND(C446="魅力",E446&lt;0),E446,0))))</x:f>
        <x:v>0</x:v>
      </x:c>
      <x:c r="BW446">
        <x:f>MAX(0,MIN(BK446,IF(AND(H446=1,C446="重要关系7",LEFT('幕间与结算'!H353,8)="建立新的重要关系"),'幕间与结算'!E353+E446,BW445+IF(C446="重要关系7",E446,0)+IF(AND(C446="魅力",E446&lt;0),E446,0))))</x:f>
        <x:v>0</x:v>
      </x:c>
    </x:row>
    <x:row r="447">
      <x:c r="A447" t="str">
        <x:f>IFERROR(TEXT(VALUE('幕间与结算'!A354),"00"),"")</x:f>
        <x:v>00</x:v>
      </x:c>
      <x:c r="B447">
        <x:f>'幕间与结算'!B354</x:f>
        <x:v>0</x:v>
      </x:c>
      <x:c r="C447">
        <x:f>'幕间与结算'!D354</x:f>
        <x:v>0</x:v>
      </x:c>
      <x:c r="D447">
        <x:f>'幕间与结算'!F354</x:f>
        <x:v>0</x:v>
      </x:c>
      <x:c r="E447">
        <x:f>IF(H447=1,MAX(-'幕间与结算'!E354,MIN(D447,IF(LEFT(C447,3)="技能：",99,IF(COUNTIF($L$2:$L$7,C447)&gt;0,18,999))-'幕间与结算'!E354)),0)</x:f>
        <x:v>0</x:v>
      </x:c>
      <x:c r="F447" t="str">
        <x:f>IF(C447=0,"",IF(G447=0,"记录不完整",IF(H447=0,"重复未计","已计入")))</x:f>
        <x:v/>
      </x:c>
      <x:c r="G447">
        <x:f>IF(AND(AND('幕间与结算'!A354&lt;&gt;"",'幕间与结算'!B354&lt;&gt;"",'幕间与结算'!I354&lt;&gt;"",OR(LEFT(C447,3)="技能：",COUNTIF($L$2:$L$19,C447)&gt;0),ISNUMBER('幕间与结算'!E354),ISNUMBER('幕间与结算'!F354),ISNUMBER('幕间与结算'!G354),'幕间与结算'!E354&gt;=0,'幕间与结算'!G354='幕间与结算'!E354+'幕间与结算'!F354),OR(B447&lt;&gt;"成长",AND(LEFT(C447,3)="技能：",C447&lt;&gt;"技能：非自然知识",'幕间与结算'!E354&gt;=1,'幕间与结算'!E354&lt;=99,'幕间与结算'!F354&gt;=0,'幕间与结算'!F354&lt;=4,'幕间与结算'!G354&lt;=99))),1,0)</x:f>
        <x:v>0</x:v>
      </x:c>
      <x:c r="H447">
        <x:f>IF(AND(G447=1,COUNTIFS($I$200:I447,I447,$G$200:G447,1)=1),1,0)</x:f>
        <x:v>0</x:v>
      </x:c>
      <x:c r="I447" t="str">
        <x:f>IF(G447=1,IF(B447="成长",A447&amp;"-成长-"&amp;C447,'幕间与结算'!I354),"")</x:f>
        <x:v/>
      </x:c>
      <x:c r="BF447">
        <x:f>MAX(0,MIN(18,BF446+IF(C447="力量",E447,0)))</x:f>
        <x:v>0</x:v>
      </x:c>
      <x:c r="BG447">
        <x:f>MAX(0,MIN(18,BG446+IF(C447="体质",E447,0)))</x:f>
        <x:v>0</x:v>
      </x:c>
      <x:c r="BH447">
        <x:f>MAX(0,MIN(18,BH446+IF(C447="敏捷",E447,0)))</x:f>
        <x:v>0</x:v>
      </x:c>
      <x:c r="BI447">
        <x:f>MAX(0,MIN(18,BI446+IF(C447="智力",E447,0)))</x:f>
        <x:v>0</x:v>
      </x:c>
      <x:c r="BJ447">
        <x:f>MAX(0,MIN(18,BJ446+IF(C447="意志",E447,0)))</x:f>
        <x:v>0</x:v>
      </x:c>
      <x:c r="BK447">
        <x:f>MAX(0,MIN(18,BK446+IF(C447="魅力",E447,0)))</x:f>
        <x:v>0</x:v>
      </x:c>
      <x:c r="BL447">
        <x:f>MAX(0,MIN(99,BL446+IF(C447="技能：非自然知识",E447,0)))</x:f>
        <x:v>0</x:v>
      </x:c>
      <x:c r="BM447">
        <x:f>MAX(0,MIN(CEILING((BF447+BG447)/2,1),BM446+IF(C447="体力",E447,0)))</x:f>
        <x:v>0</x:v>
      </x:c>
      <x:c r="BN447">
        <x:f>MAX(0,MIN(BJ447,BN446+IF(C447="毅力",E447,0)))</x:f>
        <x:v>0</x:v>
      </x:c>
      <x:c r="BO447">
        <x:f>MAX(0,MIN(99-BL447,BO446+IF(C447="理智",E447,0)))</x:f>
        <x:v>0</x:v>
      </x:c>
      <x:c r="BP447">
        <x:f>MAX(0,MIN(99,BP446+IF(C447="崩溃点",E447,0)))</x:f>
        <x:v>0</x:v>
      </x:c>
      <x:c r="BQ447">
        <x:f>MAX(0,MIN(BK447,IF(AND(H447=1,C447="重要关系1",LEFT('幕间与结算'!H354,8)="建立新的重要关系"),'幕间与结算'!E354+E447,BQ446+IF(C447="重要关系1",E447,0)+IF(AND(C447="魅力",E447&lt;0),E447,0))))</x:f>
        <x:v>0</x:v>
      </x:c>
      <x:c r="BR447">
        <x:f>MAX(0,MIN(BK447,IF(AND(H447=1,C447="重要关系2",LEFT('幕间与结算'!H354,8)="建立新的重要关系"),'幕间与结算'!E354+E447,BR446+IF(C447="重要关系2",E447,0)+IF(AND(C447="魅力",E447&lt;0),E447,0))))</x:f>
        <x:v>0</x:v>
      </x:c>
      <x:c r="BS447">
        <x:f>MAX(0,MIN(BK447,IF(AND(H447=1,C447="重要关系3",LEFT('幕间与结算'!H354,8)="建立新的重要关系"),'幕间与结算'!E354+E447,BS446+IF(C447="重要关系3",E447,0)+IF(AND(C447="魅力",E447&lt;0),E447,0))))</x:f>
        <x:v>0</x:v>
      </x:c>
      <x:c r="BT447">
        <x:f>MAX(0,MIN(BK447,IF(AND(H447=1,C447="重要关系4",LEFT('幕间与结算'!H354,8)="建立新的重要关系"),'幕间与结算'!E354+E447,BT446+IF(C447="重要关系4",E447,0)+IF(AND(C447="魅力",E447&lt;0),E447,0))))</x:f>
        <x:v>0</x:v>
      </x:c>
      <x:c r="BU447">
        <x:f>MAX(0,MIN(BK447,IF(AND(H447=1,C447="重要关系5",LEFT('幕间与结算'!H354,8)="建立新的重要关系"),'幕间与结算'!E354+E447,BU446+IF(C447="重要关系5",E447,0)+IF(AND(C447="魅力",E447&lt;0),E447,0))))</x:f>
        <x:v>0</x:v>
      </x:c>
      <x:c r="BV447">
        <x:f>MAX(0,MIN(BK447,IF(AND(H447=1,C447="重要关系6",LEFT('幕间与结算'!H354,8)="建立新的重要关系"),'幕间与结算'!E354+E447,BV446+IF(C447="重要关系6",E447,0)+IF(AND(C447="魅力",E447&lt;0),E447,0))))</x:f>
        <x:v>0</x:v>
      </x:c>
      <x:c r="BW447">
        <x:f>MAX(0,MIN(BK447,IF(AND(H447=1,C447="重要关系7",LEFT('幕间与结算'!H354,8)="建立新的重要关系"),'幕间与结算'!E354+E447,BW446+IF(C447="重要关系7",E447,0)+IF(AND(C447="魅力",E447&lt;0),E447,0))))</x:f>
        <x:v>0</x:v>
      </x:c>
    </x:row>
    <x:row r="448">
      <x:c r="A448" t="str">
        <x:f>IFERROR(TEXT(VALUE('幕间与结算'!A355),"00"),"")</x:f>
        <x:v>00</x:v>
      </x:c>
      <x:c r="B448">
        <x:f>'幕间与结算'!B355</x:f>
        <x:v>0</x:v>
      </x:c>
      <x:c r="C448">
        <x:f>'幕间与结算'!D355</x:f>
        <x:v>0</x:v>
      </x:c>
      <x:c r="D448">
        <x:f>'幕间与结算'!F355</x:f>
        <x:v>0</x:v>
      </x:c>
      <x:c r="E448">
        <x:f>IF(H448=1,MAX(-'幕间与结算'!E355,MIN(D448,IF(LEFT(C448,3)="技能：",99,IF(COUNTIF($L$2:$L$7,C448)&gt;0,18,999))-'幕间与结算'!E355)),0)</x:f>
        <x:v>0</x:v>
      </x:c>
      <x:c r="F448" t="str">
        <x:f>IF(C448=0,"",IF(G448=0,"记录不完整",IF(H448=0,"重复未计","已计入")))</x:f>
        <x:v/>
      </x:c>
      <x:c r="G448">
        <x:f>IF(AND(AND('幕间与结算'!A355&lt;&gt;"",'幕间与结算'!B355&lt;&gt;"",'幕间与结算'!I355&lt;&gt;"",OR(LEFT(C448,3)="技能：",COUNTIF($L$2:$L$19,C448)&gt;0),ISNUMBER('幕间与结算'!E355),ISNUMBER('幕间与结算'!F355),ISNUMBER('幕间与结算'!G355),'幕间与结算'!E355&gt;=0,'幕间与结算'!G355='幕间与结算'!E355+'幕间与结算'!F355),OR(B448&lt;&gt;"成长",AND(LEFT(C448,3)="技能：",C448&lt;&gt;"技能：非自然知识",'幕间与结算'!E355&gt;=1,'幕间与结算'!E355&lt;=99,'幕间与结算'!F355&gt;=0,'幕间与结算'!F355&lt;=4,'幕间与结算'!G355&lt;=99))),1,0)</x:f>
        <x:v>0</x:v>
      </x:c>
      <x:c r="H448">
        <x:f>IF(AND(G448=1,COUNTIFS($I$200:I448,I448,$G$200:G448,1)=1),1,0)</x:f>
        <x:v>0</x:v>
      </x:c>
      <x:c r="I448" t="str">
        <x:f>IF(G448=1,IF(B448="成长",A448&amp;"-成长-"&amp;C448,'幕间与结算'!I355),"")</x:f>
        <x:v/>
      </x:c>
      <x:c r="BF448">
        <x:f>MAX(0,MIN(18,BF447+IF(C448="力量",E448,0)))</x:f>
        <x:v>0</x:v>
      </x:c>
      <x:c r="BG448">
        <x:f>MAX(0,MIN(18,BG447+IF(C448="体质",E448,0)))</x:f>
        <x:v>0</x:v>
      </x:c>
      <x:c r="BH448">
        <x:f>MAX(0,MIN(18,BH447+IF(C448="敏捷",E448,0)))</x:f>
        <x:v>0</x:v>
      </x:c>
      <x:c r="BI448">
        <x:f>MAX(0,MIN(18,BI447+IF(C448="智力",E448,0)))</x:f>
        <x:v>0</x:v>
      </x:c>
      <x:c r="BJ448">
        <x:f>MAX(0,MIN(18,BJ447+IF(C448="意志",E448,0)))</x:f>
        <x:v>0</x:v>
      </x:c>
      <x:c r="BK448">
        <x:f>MAX(0,MIN(18,BK447+IF(C448="魅力",E448,0)))</x:f>
        <x:v>0</x:v>
      </x:c>
      <x:c r="BL448">
        <x:f>MAX(0,MIN(99,BL447+IF(C448="技能：非自然知识",E448,0)))</x:f>
        <x:v>0</x:v>
      </x:c>
      <x:c r="BM448">
        <x:f>MAX(0,MIN(CEILING((BF448+BG448)/2,1),BM447+IF(C448="体力",E448,0)))</x:f>
        <x:v>0</x:v>
      </x:c>
      <x:c r="BN448">
        <x:f>MAX(0,MIN(BJ448,BN447+IF(C448="毅力",E448,0)))</x:f>
        <x:v>0</x:v>
      </x:c>
      <x:c r="BO448">
        <x:f>MAX(0,MIN(99-BL448,BO447+IF(C448="理智",E448,0)))</x:f>
        <x:v>0</x:v>
      </x:c>
      <x:c r="BP448">
        <x:f>MAX(0,MIN(99,BP447+IF(C448="崩溃点",E448,0)))</x:f>
        <x:v>0</x:v>
      </x:c>
      <x:c r="BQ448">
        <x:f>MAX(0,MIN(BK448,IF(AND(H448=1,C448="重要关系1",LEFT('幕间与结算'!H355,8)="建立新的重要关系"),'幕间与结算'!E355+E448,BQ447+IF(C448="重要关系1",E448,0)+IF(AND(C448="魅力",E448&lt;0),E448,0))))</x:f>
        <x:v>0</x:v>
      </x:c>
      <x:c r="BR448">
        <x:f>MAX(0,MIN(BK448,IF(AND(H448=1,C448="重要关系2",LEFT('幕间与结算'!H355,8)="建立新的重要关系"),'幕间与结算'!E355+E448,BR447+IF(C448="重要关系2",E448,0)+IF(AND(C448="魅力",E448&lt;0),E448,0))))</x:f>
        <x:v>0</x:v>
      </x:c>
      <x:c r="BS448">
        <x:f>MAX(0,MIN(BK448,IF(AND(H448=1,C448="重要关系3",LEFT('幕间与结算'!H355,8)="建立新的重要关系"),'幕间与结算'!E355+E448,BS447+IF(C448="重要关系3",E448,0)+IF(AND(C448="魅力",E448&lt;0),E448,0))))</x:f>
        <x:v>0</x:v>
      </x:c>
      <x:c r="BT448">
        <x:f>MAX(0,MIN(BK448,IF(AND(H448=1,C448="重要关系4",LEFT('幕间与结算'!H355,8)="建立新的重要关系"),'幕间与结算'!E355+E448,BT447+IF(C448="重要关系4",E448,0)+IF(AND(C448="魅力",E448&lt;0),E448,0))))</x:f>
        <x:v>0</x:v>
      </x:c>
      <x:c r="BU448">
        <x:f>MAX(0,MIN(BK448,IF(AND(H448=1,C448="重要关系5",LEFT('幕间与结算'!H355,8)="建立新的重要关系"),'幕间与结算'!E355+E448,BU447+IF(C448="重要关系5",E448,0)+IF(AND(C448="魅力",E448&lt;0),E448,0))))</x:f>
        <x:v>0</x:v>
      </x:c>
      <x:c r="BV448">
        <x:f>MAX(0,MIN(BK448,IF(AND(H448=1,C448="重要关系6",LEFT('幕间与结算'!H355,8)="建立新的重要关系"),'幕间与结算'!E355+E448,BV447+IF(C448="重要关系6",E448,0)+IF(AND(C448="魅力",E448&lt;0),E448,0))))</x:f>
        <x:v>0</x:v>
      </x:c>
      <x:c r="BW448">
        <x:f>MAX(0,MIN(BK448,IF(AND(H448=1,C448="重要关系7",LEFT('幕间与结算'!H355,8)="建立新的重要关系"),'幕间与结算'!E355+E448,BW447+IF(C448="重要关系7",E448,0)+IF(AND(C448="魅力",E448&lt;0),E448,0))))</x:f>
        <x:v>0</x:v>
      </x:c>
    </x:row>
    <x:row r="449">
      <x:c r="A449" t="str">
        <x:f>IFERROR(TEXT(VALUE('幕间与结算'!A356),"00"),"")</x:f>
        <x:v>00</x:v>
      </x:c>
      <x:c r="B449">
        <x:f>'幕间与结算'!B356</x:f>
        <x:v>0</x:v>
      </x:c>
      <x:c r="C449">
        <x:f>'幕间与结算'!D356</x:f>
        <x:v>0</x:v>
      </x:c>
      <x:c r="D449">
        <x:f>'幕间与结算'!F356</x:f>
        <x:v>0</x:v>
      </x:c>
      <x:c r="E449">
        <x:f>IF(H449=1,MAX(-'幕间与结算'!E356,MIN(D449,IF(LEFT(C449,3)="技能：",99,IF(COUNTIF($L$2:$L$7,C449)&gt;0,18,999))-'幕间与结算'!E356)),0)</x:f>
        <x:v>0</x:v>
      </x:c>
      <x:c r="F449" t="str">
        <x:f>IF(C449=0,"",IF(G449=0,"记录不完整",IF(H449=0,"重复未计","已计入")))</x:f>
        <x:v/>
      </x:c>
      <x:c r="G449">
        <x:f>IF(AND(AND('幕间与结算'!A356&lt;&gt;"",'幕间与结算'!B356&lt;&gt;"",'幕间与结算'!I356&lt;&gt;"",OR(LEFT(C449,3)="技能：",COUNTIF($L$2:$L$19,C449)&gt;0),ISNUMBER('幕间与结算'!E356),ISNUMBER('幕间与结算'!F356),ISNUMBER('幕间与结算'!G356),'幕间与结算'!E356&gt;=0,'幕间与结算'!G356='幕间与结算'!E356+'幕间与结算'!F356),OR(B449&lt;&gt;"成长",AND(LEFT(C449,3)="技能：",C449&lt;&gt;"技能：非自然知识",'幕间与结算'!E356&gt;=1,'幕间与结算'!E356&lt;=99,'幕间与结算'!F356&gt;=0,'幕间与结算'!F356&lt;=4,'幕间与结算'!G356&lt;=99))),1,0)</x:f>
        <x:v>0</x:v>
      </x:c>
      <x:c r="H449">
        <x:f>IF(AND(G449=1,COUNTIFS($I$200:I449,I449,$G$200:G449,1)=1),1,0)</x:f>
        <x:v>0</x:v>
      </x:c>
      <x:c r="I449" t="str">
        <x:f>IF(G449=1,IF(B449="成长",A449&amp;"-成长-"&amp;C449,'幕间与结算'!I356),"")</x:f>
        <x:v/>
      </x:c>
      <x:c r="BF449">
        <x:f>MAX(0,MIN(18,BF448+IF(C449="力量",E449,0)))</x:f>
        <x:v>0</x:v>
      </x:c>
      <x:c r="BG449">
        <x:f>MAX(0,MIN(18,BG448+IF(C449="体质",E449,0)))</x:f>
        <x:v>0</x:v>
      </x:c>
      <x:c r="BH449">
        <x:f>MAX(0,MIN(18,BH448+IF(C449="敏捷",E449,0)))</x:f>
        <x:v>0</x:v>
      </x:c>
      <x:c r="BI449">
        <x:f>MAX(0,MIN(18,BI448+IF(C449="智力",E449,0)))</x:f>
        <x:v>0</x:v>
      </x:c>
      <x:c r="BJ449">
        <x:f>MAX(0,MIN(18,BJ448+IF(C449="意志",E449,0)))</x:f>
        <x:v>0</x:v>
      </x:c>
      <x:c r="BK449">
        <x:f>MAX(0,MIN(18,BK448+IF(C449="魅力",E449,0)))</x:f>
        <x:v>0</x:v>
      </x:c>
      <x:c r="BL449">
        <x:f>MAX(0,MIN(99,BL448+IF(C449="技能：非自然知识",E449,0)))</x:f>
        <x:v>0</x:v>
      </x:c>
      <x:c r="BM449">
        <x:f>MAX(0,MIN(CEILING((BF449+BG449)/2,1),BM448+IF(C449="体力",E449,0)))</x:f>
        <x:v>0</x:v>
      </x:c>
      <x:c r="BN449">
        <x:f>MAX(0,MIN(BJ449,BN448+IF(C449="毅力",E449,0)))</x:f>
        <x:v>0</x:v>
      </x:c>
      <x:c r="BO449">
        <x:f>MAX(0,MIN(99-BL449,BO448+IF(C449="理智",E449,0)))</x:f>
        <x:v>0</x:v>
      </x:c>
      <x:c r="BP449">
        <x:f>MAX(0,MIN(99,BP448+IF(C449="崩溃点",E449,0)))</x:f>
        <x:v>0</x:v>
      </x:c>
      <x:c r="BQ449">
        <x:f>MAX(0,MIN(BK449,IF(AND(H449=1,C449="重要关系1",LEFT('幕间与结算'!H356,8)="建立新的重要关系"),'幕间与结算'!E356+E449,BQ448+IF(C449="重要关系1",E449,0)+IF(AND(C449="魅力",E449&lt;0),E449,0))))</x:f>
        <x:v>0</x:v>
      </x:c>
      <x:c r="BR449">
        <x:f>MAX(0,MIN(BK449,IF(AND(H449=1,C449="重要关系2",LEFT('幕间与结算'!H356,8)="建立新的重要关系"),'幕间与结算'!E356+E449,BR448+IF(C449="重要关系2",E449,0)+IF(AND(C449="魅力",E449&lt;0),E449,0))))</x:f>
        <x:v>0</x:v>
      </x:c>
      <x:c r="BS449">
        <x:f>MAX(0,MIN(BK449,IF(AND(H449=1,C449="重要关系3",LEFT('幕间与结算'!H356,8)="建立新的重要关系"),'幕间与结算'!E356+E449,BS448+IF(C449="重要关系3",E449,0)+IF(AND(C449="魅力",E449&lt;0),E449,0))))</x:f>
        <x:v>0</x:v>
      </x:c>
      <x:c r="BT449">
        <x:f>MAX(0,MIN(BK449,IF(AND(H449=1,C449="重要关系4",LEFT('幕间与结算'!H356,8)="建立新的重要关系"),'幕间与结算'!E356+E449,BT448+IF(C449="重要关系4",E449,0)+IF(AND(C449="魅力",E449&lt;0),E449,0))))</x:f>
        <x:v>0</x:v>
      </x:c>
      <x:c r="BU449">
        <x:f>MAX(0,MIN(BK449,IF(AND(H449=1,C449="重要关系5",LEFT('幕间与结算'!H356,8)="建立新的重要关系"),'幕间与结算'!E356+E449,BU448+IF(C449="重要关系5",E449,0)+IF(AND(C449="魅力",E449&lt;0),E449,0))))</x:f>
        <x:v>0</x:v>
      </x:c>
      <x:c r="BV449">
        <x:f>MAX(0,MIN(BK449,IF(AND(H449=1,C449="重要关系6",LEFT('幕间与结算'!H356,8)="建立新的重要关系"),'幕间与结算'!E356+E449,BV448+IF(C449="重要关系6",E449,0)+IF(AND(C449="魅力",E449&lt;0),E449,0))))</x:f>
        <x:v>0</x:v>
      </x:c>
      <x:c r="BW449">
        <x:f>MAX(0,MIN(BK449,IF(AND(H449=1,C449="重要关系7",LEFT('幕间与结算'!H356,8)="建立新的重要关系"),'幕间与结算'!E356+E449,BW448+IF(C449="重要关系7",E449,0)+IF(AND(C449="魅力",E449&lt;0),E449,0))))</x:f>
        <x:v>0</x:v>
      </x:c>
    </x:row>
    <x:row r="450">
      <x:c r="A450" t="str">
        <x:f>IFERROR(TEXT(VALUE('幕间与结算'!A357),"00"),"")</x:f>
        <x:v>00</x:v>
      </x:c>
      <x:c r="B450">
        <x:f>'幕间与结算'!B357</x:f>
        <x:v>0</x:v>
      </x:c>
      <x:c r="C450">
        <x:f>'幕间与结算'!D357</x:f>
        <x:v>0</x:v>
      </x:c>
      <x:c r="D450">
        <x:f>'幕间与结算'!F357</x:f>
        <x:v>0</x:v>
      </x:c>
      <x:c r="E450">
        <x:f>IF(H450=1,MAX(-'幕间与结算'!E357,MIN(D450,IF(LEFT(C450,3)="技能：",99,IF(COUNTIF($L$2:$L$7,C450)&gt;0,18,999))-'幕间与结算'!E357)),0)</x:f>
        <x:v>0</x:v>
      </x:c>
      <x:c r="F450" t="str">
        <x:f>IF(C450=0,"",IF(G450=0,"记录不完整",IF(H450=0,"重复未计","已计入")))</x:f>
        <x:v/>
      </x:c>
      <x:c r="G450">
        <x:f>IF(AND(AND('幕间与结算'!A357&lt;&gt;"",'幕间与结算'!B357&lt;&gt;"",'幕间与结算'!I357&lt;&gt;"",OR(LEFT(C450,3)="技能：",COUNTIF($L$2:$L$19,C450)&gt;0),ISNUMBER('幕间与结算'!E357),ISNUMBER('幕间与结算'!F357),ISNUMBER('幕间与结算'!G357),'幕间与结算'!E357&gt;=0,'幕间与结算'!G357='幕间与结算'!E357+'幕间与结算'!F357),OR(B450&lt;&gt;"成长",AND(LEFT(C450,3)="技能：",C450&lt;&gt;"技能：非自然知识",'幕间与结算'!E357&gt;=1,'幕间与结算'!E357&lt;=99,'幕间与结算'!F357&gt;=0,'幕间与结算'!F357&lt;=4,'幕间与结算'!G357&lt;=99))),1,0)</x:f>
        <x:v>0</x:v>
      </x:c>
      <x:c r="H450">
        <x:f>IF(AND(G450=1,COUNTIFS($I$200:I450,I450,$G$200:G450,1)=1),1,0)</x:f>
        <x:v>0</x:v>
      </x:c>
      <x:c r="I450" t="str">
        <x:f>IF(G450=1,IF(B450="成长",A450&amp;"-成长-"&amp;C450,'幕间与结算'!I357),"")</x:f>
        <x:v/>
      </x:c>
      <x:c r="BF450">
        <x:f>MAX(0,MIN(18,BF449+IF(C450="力量",E450,0)))</x:f>
        <x:v>0</x:v>
      </x:c>
      <x:c r="BG450">
        <x:f>MAX(0,MIN(18,BG449+IF(C450="体质",E450,0)))</x:f>
        <x:v>0</x:v>
      </x:c>
      <x:c r="BH450">
        <x:f>MAX(0,MIN(18,BH449+IF(C450="敏捷",E450,0)))</x:f>
        <x:v>0</x:v>
      </x:c>
      <x:c r="BI450">
        <x:f>MAX(0,MIN(18,BI449+IF(C450="智力",E450,0)))</x:f>
        <x:v>0</x:v>
      </x:c>
      <x:c r="BJ450">
        <x:f>MAX(0,MIN(18,BJ449+IF(C450="意志",E450,0)))</x:f>
        <x:v>0</x:v>
      </x:c>
      <x:c r="BK450">
        <x:f>MAX(0,MIN(18,BK449+IF(C450="魅力",E450,0)))</x:f>
        <x:v>0</x:v>
      </x:c>
      <x:c r="BL450">
        <x:f>MAX(0,MIN(99,BL449+IF(C450="技能：非自然知识",E450,0)))</x:f>
        <x:v>0</x:v>
      </x:c>
      <x:c r="BM450">
        <x:f>MAX(0,MIN(CEILING((BF450+BG450)/2,1),BM449+IF(C450="体力",E450,0)))</x:f>
        <x:v>0</x:v>
      </x:c>
      <x:c r="BN450">
        <x:f>MAX(0,MIN(BJ450,BN449+IF(C450="毅力",E450,0)))</x:f>
        <x:v>0</x:v>
      </x:c>
      <x:c r="BO450">
        <x:f>MAX(0,MIN(99-BL450,BO449+IF(C450="理智",E450,0)))</x:f>
        <x:v>0</x:v>
      </x:c>
      <x:c r="BP450">
        <x:f>MAX(0,MIN(99,BP449+IF(C450="崩溃点",E450,0)))</x:f>
        <x:v>0</x:v>
      </x:c>
      <x:c r="BQ450">
        <x:f>MAX(0,MIN(BK450,IF(AND(H450=1,C450="重要关系1",LEFT('幕间与结算'!H357,8)="建立新的重要关系"),'幕间与结算'!E357+E450,BQ449+IF(C450="重要关系1",E450,0)+IF(AND(C450="魅力",E450&lt;0),E450,0))))</x:f>
        <x:v>0</x:v>
      </x:c>
      <x:c r="BR450">
        <x:f>MAX(0,MIN(BK450,IF(AND(H450=1,C450="重要关系2",LEFT('幕间与结算'!H357,8)="建立新的重要关系"),'幕间与结算'!E357+E450,BR449+IF(C450="重要关系2",E450,0)+IF(AND(C450="魅力",E450&lt;0),E450,0))))</x:f>
        <x:v>0</x:v>
      </x:c>
      <x:c r="BS450">
        <x:f>MAX(0,MIN(BK450,IF(AND(H450=1,C450="重要关系3",LEFT('幕间与结算'!H357,8)="建立新的重要关系"),'幕间与结算'!E357+E450,BS449+IF(C450="重要关系3",E450,0)+IF(AND(C450="魅力",E450&lt;0),E450,0))))</x:f>
        <x:v>0</x:v>
      </x:c>
      <x:c r="BT450">
        <x:f>MAX(0,MIN(BK450,IF(AND(H450=1,C450="重要关系4",LEFT('幕间与结算'!H357,8)="建立新的重要关系"),'幕间与结算'!E357+E450,BT449+IF(C450="重要关系4",E450,0)+IF(AND(C450="魅力",E450&lt;0),E450,0))))</x:f>
        <x:v>0</x:v>
      </x:c>
      <x:c r="BU450">
        <x:f>MAX(0,MIN(BK450,IF(AND(H450=1,C450="重要关系5",LEFT('幕间与结算'!H357,8)="建立新的重要关系"),'幕间与结算'!E357+E450,BU449+IF(C450="重要关系5",E450,0)+IF(AND(C450="魅力",E450&lt;0),E450,0))))</x:f>
        <x:v>0</x:v>
      </x:c>
      <x:c r="BV450">
        <x:f>MAX(0,MIN(BK450,IF(AND(H450=1,C450="重要关系6",LEFT('幕间与结算'!H357,8)="建立新的重要关系"),'幕间与结算'!E357+E450,BV449+IF(C450="重要关系6",E450,0)+IF(AND(C450="魅力",E450&lt;0),E450,0))))</x:f>
        <x:v>0</x:v>
      </x:c>
      <x:c r="BW450">
        <x:f>MAX(0,MIN(BK450,IF(AND(H450=1,C450="重要关系7",LEFT('幕间与结算'!H357,8)="建立新的重要关系"),'幕间与结算'!E357+E450,BW449+IF(C450="重要关系7",E450,0)+IF(AND(C450="魅力",E450&lt;0),E450,0))))</x:f>
        <x:v>0</x:v>
      </x:c>
    </x:row>
    <x:row r="451">
      <x:c r="A451" t="str">
        <x:f>IFERROR(TEXT(VALUE('幕间与结算'!A358),"00"),"")</x:f>
        <x:v>00</x:v>
      </x:c>
      <x:c r="B451">
        <x:f>'幕间与结算'!B358</x:f>
        <x:v>0</x:v>
      </x:c>
      <x:c r="C451">
        <x:f>'幕间与结算'!D358</x:f>
        <x:v>0</x:v>
      </x:c>
      <x:c r="D451">
        <x:f>'幕间与结算'!F358</x:f>
        <x:v>0</x:v>
      </x:c>
      <x:c r="E451">
        <x:f>IF(H451=1,MAX(-'幕间与结算'!E358,MIN(D451,IF(LEFT(C451,3)="技能：",99,IF(COUNTIF($L$2:$L$7,C451)&gt;0,18,999))-'幕间与结算'!E358)),0)</x:f>
        <x:v>0</x:v>
      </x:c>
      <x:c r="F451" t="str">
        <x:f>IF(C451=0,"",IF(G451=0,"记录不完整",IF(H451=0,"重复未计","已计入")))</x:f>
        <x:v/>
      </x:c>
      <x:c r="G451">
        <x:f>IF(AND(AND('幕间与结算'!A358&lt;&gt;"",'幕间与结算'!B358&lt;&gt;"",'幕间与结算'!I358&lt;&gt;"",OR(LEFT(C451,3)="技能：",COUNTIF($L$2:$L$19,C451)&gt;0),ISNUMBER('幕间与结算'!E358),ISNUMBER('幕间与结算'!F358),ISNUMBER('幕间与结算'!G358),'幕间与结算'!E358&gt;=0,'幕间与结算'!G358='幕间与结算'!E358+'幕间与结算'!F358),OR(B451&lt;&gt;"成长",AND(LEFT(C451,3)="技能：",C451&lt;&gt;"技能：非自然知识",'幕间与结算'!E358&gt;=1,'幕间与结算'!E358&lt;=99,'幕间与结算'!F358&gt;=0,'幕间与结算'!F358&lt;=4,'幕间与结算'!G358&lt;=99))),1,0)</x:f>
        <x:v>0</x:v>
      </x:c>
      <x:c r="H451">
        <x:f>IF(AND(G451=1,COUNTIFS($I$200:I451,I451,$G$200:G451,1)=1),1,0)</x:f>
        <x:v>0</x:v>
      </x:c>
      <x:c r="I451" t="str">
        <x:f>IF(G451=1,IF(B451="成长",A451&amp;"-成长-"&amp;C451,'幕间与结算'!I358),"")</x:f>
        <x:v/>
      </x:c>
      <x:c r="BF451">
        <x:f>MAX(0,MIN(18,BF450+IF(C451="力量",E451,0)))</x:f>
        <x:v>0</x:v>
      </x:c>
      <x:c r="BG451">
        <x:f>MAX(0,MIN(18,BG450+IF(C451="体质",E451,0)))</x:f>
        <x:v>0</x:v>
      </x:c>
      <x:c r="BH451">
        <x:f>MAX(0,MIN(18,BH450+IF(C451="敏捷",E451,0)))</x:f>
        <x:v>0</x:v>
      </x:c>
      <x:c r="BI451">
        <x:f>MAX(0,MIN(18,BI450+IF(C451="智力",E451,0)))</x:f>
        <x:v>0</x:v>
      </x:c>
      <x:c r="BJ451">
        <x:f>MAX(0,MIN(18,BJ450+IF(C451="意志",E451,0)))</x:f>
        <x:v>0</x:v>
      </x:c>
      <x:c r="BK451">
        <x:f>MAX(0,MIN(18,BK450+IF(C451="魅力",E451,0)))</x:f>
        <x:v>0</x:v>
      </x:c>
      <x:c r="BL451">
        <x:f>MAX(0,MIN(99,BL450+IF(C451="技能：非自然知识",E451,0)))</x:f>
        <x:v>0</x:v>
      </x:c>
      <x:c r="BM451">
        <x:f>MAX(0,MIN(CEILING((BF451+BG451)/2,1),BM450+IF(C451="体力",E451,0)))</x:f>
        <x:v>0</x:v>
      </x:c>
      <x:c r="BN451">
        <x:f>MAX(0,MIN(BJ451,BN450+IF(C451="毅力",E451,0)))</x:f>
        <x:v>0</x:v>
      </x:c>
      <x:c r="BO451">
        <x:f>MAX(0,MIN(99-BL451,BO450+IF(C451="理智",E451,0)))</x:f>
        <x:v>0</x:v>
      </x:c>
      <x:c r="BP451">
        <x:f>MAX(0,MIN(99,BP450+IF(C451="崩溃点",E451,0)))</x:f>
        <x:v>0</x:v>
      </x:c>
      <x:c r="BQ451">
        <x:f>MAX(0,MIN(BK451,IF(AND(H451=1,C451="重要关系1",LEFT('幕间与结算'!H358,8)="建立新的重要关系"),'幕间与结算'!E358+E451,BQ450+IF(C451="重要关系1",E451,0)+IF(AND(C451="魅力",E451&lt;0),E451,0))))</x:f>
        <x:v>0</x:v>
      </x:c>
      <x:c r="BR451">
        <x:f>MAX(0,MIN(BK451,IF(AND(H451=1,C451="重要关系2",LEFT('幕间与结算'!H358,8)="建立新的重要关系"),'幕间与结算'!E358+E451,BR450+IF(C451="重要关系2",E451,0)+IF(AND(C451="魅力",E451&lt;0),E451,0))))</x:f>
        <x:v>0</x:v>
      </x:c>
      <x:c r="BS451">
        <x:f>MAX(0,MIN(BK451,IF(AND(H451=1,C451="重要关系3",LEFT('幕间与结算'!H358,8)="建立新的重要关系"),'幕间与结算'!E358+E451,BS450+IF(C451="重要关系3",E451,0)+IF(AND(C451="魅力",E451&lt;0),E451,0))))</x:f>
        <x:v>0</x:v>
      </x:c>
      <x:c r="BT451">
        <x:f>MAX(0,MIN(BK451,IF(AND(H451=1,C451="重要关系4",LEFT('幕间与结算'!H358,8)="建立新的重要关系"),'幕间与结算'!E358+E451,BT450+IF(C451="重要关系4",E451,0)+IF(AND(C451="魅力",E451&lt;0),E451,0))))</x:f>
        <x:v>0</x:v>
      </x:c>
      <x:c r="BU451">
        <x:f>MAX(0,MIN(BK451,IF(AND(H451=1,C451="重要关系5",LEFT('幕间与结算'!H358,8)="建立新的重要关系"),'幕间与结算'!E358+E451,BU450+IF(C451="重要关系5",E451,0)+IF(AND(C451="魅力",E451&lt;0),E451,0))))</x:f>
        <x:v>0</x:v>
      </x:c>
      <x:c r="BV451">
        <x:f>MAX(0,MIN(BK451,IF(AND(H451=1,C451="重要关系6",LEFT('幕间与结算'!H358,8)="建立新的重要关系"),'幕间与结算'!E358+E451,BV450+IF(C451="重要关系6",E451,0)+IF(AND(C451="魅力",E451&lt;0),E451,0))))</x:f>
        <x:v>0</x:v>
      </x:c>
      <x:c r="BW451">
        <x:f>MAX(0,MIN(BK451,IF(AND(H451=1,C451="重要关系7",LEFT('幕间与结算'!H358,8)="建立新的重要关系"),'幕间与结算'!E358+E451,BW450+IF(C451="重要关系7",E451,0)+IF(AND(C451="魅力",E451&lt;0),E451,0))))</x:f>
        <x:v>0</x:v>
      </x:c>
    </x:row>
    <x:row r="452">
      <x:c r="A452" t="str">
        <x:f>IFERROR(TEXT(VALUE('幕间与结算'!A359),"00"),"")</x:f>
        <x:v>00</x:v>
      </x:c>
      <x:c r="B452">
        <x:f>'幕间与结算'!B359</x:f>
        <x:v>0</x:v>
      </x:c>
      <x:c r="C452">
        <x:f>'幕间与结算'!D359</x:f>
        <x:v>0</x:v>
      </x:c>
      <x:c r="D452">
        <x:f>'幕间与结算'!F359</x:f>
        <x:v>0</x:v>
      </x:c>
      <x:c r="E452">
        <x:f>IF(H452=1,MAX(-'幕间与结算'!E359,MIN(D452,IF(LEFT(C452,3)="技能：",99,IF(COUNTIF($L$2:$L$7,C452)&gt;0,18,999))-'幕间与结算'!E359)),0)</x:f>
        <x:v>0</x:v>
      </x:c>
      <x:c r="F452" t="str">
        <x:f>IF(C452=0,"",IF(G452=0,"记录不完整",IF(H452=0,"重复未计","已计入")))</x:f>
        <x:v/>
      </x:c>
      <x:c r="G452">
        <x:f>IF(AND(AND('幕间与结算'!A359&lt;&gt;"",'幕间与结算'!B359&lt;&gt;"",'幕间与结算'!I359&lt;&gt;"",OR(LEFT(C452,3)="技能：",COUNTIF($L$2:$L$19,C452)&gt;0),ISNUMBER('幕间与结算'!E359),ISNUMBER('幕间与结算'!F359),ISNUMBER('幕间与结算'!G359),'幕间与结算'!E359&gt;=0,'幕间与结算'!G359='幕间与结算'!E359+'幕间与结算'!F359),OR(B452&lt;&gt;"成长",AND(LEFT(C452,3)="技能：",C452&lt;&gt;"技能：非自然知识",'幕间与结算'!E359&gt;=1,'幕间与结算'!E359&lt;=99,'幕间与结算'!F359&gt;=0,'幕间与结算'!F359&lt;=4,'幕间与结算'!G359&lt;=99))),1,0)</x:f>
        <x:v>0</x:v>
      </x:c>
      <x:c r="H452">
        <x:f>IF(AND(G452=1,COUNTIFS($I$200:I452,I452,$G$200:G452,1)=1),1,0)</x:f>
        <x:v>0</x:v>
      </x:c>
      <x:c r="I452" t="str">
        <x:f>IF(G452=1,IF(B452="成长",A452&amp;"-成长-"&amp;C452,'幕间与结算'!I359),"")</x:f>
        <x:v/>
      </x:c>
      <x:c r="BF452">
        <x:f>MAX(0,MIN(18,BF451+IF(C452="力量",E452,0)))</x:f>
        <x:v>0</x:v>
      </x:c>
      <x:c r="BG452">
        <x:f>MAX(0,MIN(18,BG451+IF(C452="体质",E452,0)))</x:f>
        <x:v>0</x:v>
      </x:c>
      <x:c r="BH452">
        <x:f>MAX(0,MIN(18,BH451+IF(C452="敏捷",E452,0)))</x:f>
        <x:v>0</x:v>
      </x:c>
      <x:c r="BI452">
        <x:f>MAX(0,MIN(18,BI451+IF(C452="智力",E452,0)))</x:f>
        <x:v>0</x:v>
      </x:c>
      <x:c r="BJ452">
        <x:f>MAX(0,MIN(18,BJ451+IF(C452="意志",E452,0)))</x:f>
        <x:v>0</x:v>
      </x:c>
      <x:c r="BK452">
        <x:f>MAX(0,MIN(18,BK451+IF(C452="魅力",E452,0)))</x:f>
        <x:v>0</x:v>
      </x:c>
      <x:c r="BL452">
        <x:f>MAX(0,MIN(99,BL451+IF(C452="技能：非自然知识",E452,0)))</x:f>
        <x:v>0</x:v>
      </x:c>
      <x:c r="BM452">
        <x:f>MAX(0,MIN(CEILING((BF452+BG452)/2,1),BM451+IF(C452="体力",E452,0)))</x:f>
        <x:v>0</x:v>
      </x:c>
      <x:c r="BN452">
        <x:f>MAX(0,MIN(BJ452,BN451+IF(C452="毅力",E452,0)))</x:f>
        <x:v>0</x:v>
      </x:c>
      <x:c r="BO452">
        <x:f>MAX(0,MIN(99-BL452,BO451+IF(C452="理智",E452,0)))</x:f>
        <x:v>0</x:v>
      </x:c>
      <x:c r="BP452">
        <x:f>MAX(0,MIN(99,BP451+IF(C452="崩溃点",E452,0)))</x:f>
        <x:v>0</x:v>
      </x:c>
      <x:c r="BQ452">
        <x:f>MAX(0,MIN(BK452,IF(AND(H452=1,C452="重要关系1",LEFT('幕间与结算'!H359,8)="建立新的重要关系"),'幕间与结算'!E359+E452,BQ451+IF(C452="重要关系1",E452,0)+IF(AND(C452="魅力",E452&lt;0),E452,0))))</x:f>
        <x:v>0</x:v>
      </x:c>
      <x:c r="BR452">
        <x:f>MAX(0,MIN(BK452,IF(AND(H452=1,C452="重要关系2",LEFT('幕间与结算'!H359,8)="建立新的重要关系"),'幕间与结算'!E359+E452,BR451+IF(C452="重要关系2",E452,0)+IF(AND(C452="魅力",E452&lt;0),E452,0))))</x:f>
        <x:v>0</x:v>
      </x:c>
      <x:c r="BS452">
        <x:f>MAX(0,MIN(BK452,IF(AND(H452=1,C452="重要关系3",LEFT('幕间与结算'!H359,8)="建立新的重要关系"),'幕间与结算'!E359+E452,BS451+IF(C452="重要关系3",E452,0)+IF(AND(C452="魅力",E452&lt;0),E452,0))))</x:f>
        <x:v>0</x:v>
      </x:c>
      <x:c r="BT452">
        <x:f>MAX(0,MIN(BK452,IF(AND(H452=1,C452="重要关系4",LEFT('幕间与结算'!H359,8)="建立新的重要关系"),'幕间与结算'!E359+E452,BT451+IF(C452="重要关系4",E452,0)+IF(AND(C452="魅力",E452&lt;0),E452,0))))</x:f>
        <x:v>0</x:v>
      </x:c>
      <x:c r="BU452">
        <x:f>MAX(0,MIN(BK452,IF(AND(H452=1,C452="重要关系5",LEFT('幕间与结算'!H359,8)="建立新的重要关系"),'幕间与结算'!E359+E452,BU451+IF(C452="重要关系5",E452,0)+IF(AND(C452="魅力",E452&lt;0),E452,0))))</x:f>
        <x:v>0</x:v>
      </x:c>
      <x:c r="BV452">
        <x:f>MAX(0,MIN(BK452,IF(AND(H452=1,C452="重要关系6",LEFT('幕间与结算'!H359,8)="建立新的重要关系"),'幕间与结算'!E359+E452,BV451+IF(C452="重要关系6",E452,0)+IF(AND(C452="魅力",E452&lt;0),E452,0))))</x:f>
        <x:v>0</x:v>
      </x:c>
      <x:c r="BW452">
        <x:f>MAX(0,MIN(BK452,IF(AND(H452=1,C452="重要关系7",LEFT('幕间与结算'!H359,8)="建立新的重要关系"),'幕间与结算'!E359+E452,BW451+IF(C452="重要关系7",E452,0)+IF(AND(C452="魅力",E452&lt;0),E452,0))))</x:f>
        <x:v>0</x:v>
      </x:c>
    </x:row>
    <x:row r="453">
      <x:c r="A453" t="str">
        <x:f>IFERROR(TEXT(VALUE('幕间与结算'!A360),"00"),"")</x:f>
        <x:v>00</x:v>
      </x:c>
      <x:c r="B453">
        <x:f>'幕间与结算'!B360</x:f>
        <x:v>0</x:v>
      </x:c>
      <x:c r="C453">
        <x:f>'幕间与结算'!D360</x:f>
        <x:v>0</x:v>
      </x:c>
      <x:c r="D453">
        <x:f>'幕间与结算'!F360</x:f>
        <x:v>0</x:v>
      </x:c>
      <x:c r="E453">
        <x:f>IF(H453=1,MAX(-'幕间与结算'!E360,MIN(D453,IF(LEFT(C453,3)="技能：",99,IF(COUNTIF($L$2:$L$7,C453)&gt;0,18,999))-'幕间与结算'!E360)),0)</x:f>
        <x:v>0</x:v>
      </x:c>
      <x:c r="F453" t="str">
        <x:f>IF(C453=0,"",IF(G453=0,"记录不完整",IF(H453=0,"重复未计","已计入")))</x:f>
        <x:v/>
      </x:c>
      <x:c r="G453">
        <x:f>IF(AND(AND('幕间与结算'!A360&lt;&gt;"",'幕间与结算'!B360&lt;&gt;"",'幕间与结算'!I360&lt;&gt;"",OR(LEFT(C453,3)="技能：",COUNTIF($L$2:$L$19,C453)&gt;0),ISNUMBER('幕间与结算'!E360),ISNUMBER('幕间与结算'!F360),ISNUMBER('幕间与结算'!G360),'幕间与结算'!E360&gt;=0,'幕间与结算'!G360='幕间与结算'!E360+'幕间与结算'!F360),OR(B453&lt;&gt;"成长",AND(LEFT(C453,3)="技能：",C453&lt;&gt;"技能：非自然知识",'幕间与结算'!E360&gt;=1,'幕间与结算'!E360&lt;=99,'幕间与结算'!F360&gt;=0,'幕间与结算'!F360&lt;=4,'幕间与结算'!G360&lt;=99))),1,0)</x:f>
        <x:v>0</x:v>
      </x:c>
      <x:c r="H453">
        <x:f>IF(AND(G453=1,COUNTIFS($I$200:I453,I453,$G$200:G453,1)=1),1,0)</x:f>
        <x:v>0</x:v>
      </x:c>
      <x:c r="I453" t="str">
        <x:f>IF(G453=1,IF(B453="成长",A453&amp;"-成长-"&amp;C453,'幕间与结算'!I360),"")</x:f>
        <x:v/>
      </x:c>
      <x:c r="BF453">
        <x:f>MAX(0,MIN(18,BF452+IF(C453="力量",E453,0)))</x:f>
        <x:v>0</x:v>
      </x:c>
      <x:c r="BG453">
        <x:f>MAX(0,MIN(18,BG452+IF(C453="体质",E453,0)))</x:f>
        <x:v>0</x:v>
      </x:c>
      <x:c r="BH453">
        <x:f>MAX(0,MIN(18,BH452+IF(C453="敏捷",E453,0)))</x:f>
        <x:v>0</x:v>
      </x:c>
      <x:c r="BI453">
        <x:f>MAX(0,MIN(18,BI452+IF(C453="智力",E453,0)))</x:f>
        <x:v>0</x:v>
      </x:c>
      <x:c r="BJ453">
        <x:f>MAX(0,MIN(18,BJ452+IF(C453="意志",E453,0)))</x:f>
        <x:v>0</x:v>
      </x:c>
      <x:c r="BK453">
        <x:f>MAX(0,MIN(18,BK452+IF(C453="魅力",E453,0)))</x:f>
        <x:v>0</x:v>
      </x:c>
      <x:c r="BL453">
        <x:f>MAX(0,MIN(99,BL452+IF(C453="技能：非自然知识",E453,0)))</x:f>
        <x:v>0</x:v>
      </x:c>
      <x:c r="BM453">
        <x:f>MAX(0,MIN(CEILING((BF453+BG453)/2,1),BM452+IF(C453="体力",E453,0)))</x:f>
        <x:v>0</x:v>
      </x:c>
      <x:c r="BN453">
        <x:f>MAX(0,MIN(BJ453,BN452+IF(C453="毅力",E453,0)))</x:f>
        <x:v>0</x:v>
      </x:c>
      <x:c r="BO453">
        <x:f>MAX(0,MIN(99-BL453,BO452+IF(C453="理智",E453,0)))</x:f>
        <x:v>0</x:v>
      </x:c>
      <x:c r="BP453">
        <x:f>MAX(0,MIN(99,BP452+IF(C453="崩溃点",E453,0)))</x:f>
        <x:v>0</x:v>
      </x:c>
      <x:c r="BQ453">
        <x:f>MAX(0,MIN(BK453,IF(AND(H453=1,C453="重要关系1",LEFT('幕间与结算'!H360,8)="建立新的重要关系"),'幕间与结算'!E360+E453,BQ452+IF(C453="重要关系1",E453,0)+IF(AND(C453="魅力",E453&lt;0),E453,0))))</x:f>
        <x:v>0</x:v>
      </x:c>
      <x:c r="BR453">
        <x:f>MAX(0,MIN(BK453,IF(AND(H453=1,C453="重要关系2",LEFT('幕间与结算'!H360,8)="建立新的重要关系"),'幕间与结算'!E360+E453,BR452+IF(C453="重要关系2",E453,0)+IF(AND(C453="魅力",E453&lt;0),E453,0))))</x:f>
        <x:v>0</x:v>
      </x:c>
      <x:c r="BS453">
        <x:f>MAX(0,MIN(BK453,IF(AND(H453=1,C453="重要关系3",LEFT('幕间与结算'!H360,8)="建立新的重要关系"),'幕间与结算'!E360+E453,BS452+IF(C453="重要关系3",E453,0)+IF(AND(C453="魅力",E453&lt;0),E453,0))))</x:f>
        <x:v>0</x:v>
      </x:c>
      <x:c r="BT453">
        <x:f>MAX(0,MIN(BK453,IF(AND(H453=1,C453="重要关系4",LEFT('幕间与结算'!H360,8)="建立新的重要关系"),'幕间与结算'!E360+E453,BT452+IF(C453="重要关系4",E453,0)+IF(AND(C453="魅力",E453&lt;0),E453,0))))</x:f>
        <x:v>0</x:v>
      </x:c>
      <x:c r="BU453">
        <x:f>MAX(0,MIN(BK453,IF(AND(H453=1,C453="重要关系5",LEFT('幕间与结算'!H360,8)="建立新的重要关系"),'幕间与结算'!E360+E453,BU452+IF(C453="重要关系5",E453,0)+IF(AND(C453="魅力",E453&lt;0),E453,0))))</x:f>
        <x:v>0</x:v>
      </x:c>
      <x:c r="BV453">
        <x:f>MAX(0,MIN(BK453,IF(AND(H453=1,C453="重要关系6",LEFT('幕间与结算'!H360,8)="建立新的重要关系"),'幕间与结算'!E360+E453,BV452+IF(C453="重要关系6",E453,0)+IF(AND(C453="魅力",E453&lt;0),E453,0))))</x:f>
        <x:v>0</x:v>
      </x:c>
      <x:c r="BW453">
        <x:f>MAX(0,MIN(BK453,IF(AND(H453=1,C453="重要关系7",LEFT('幕间与结算'!H360,8)="建立新的重要关系"),'幕间与结算'!E360+E453,BW452+IF(C453="重要关系7",E453,0)+IF(AND(C453="魅力",E453&lt;0),E453,0))))</x:f>
        <x:v>0</x:v>
      </x:c>
    </x:row>
    <x:row r="454">
      <x:c r="A454" t="str">
        <x:f>IFERROR(TEXT(VALUE('幕间与结算'!A361),"00"),"")</x:f>
        <x:v>00</x:v>
      </x:c>
      <x:c r="B454">
        <x:f>'幕间与结算'!B361</x:f>
        <x:v>0</x:v>
      </x:c>
      <x:c r="C454">
        <x:f>'幕间与结算'!D361</x:f>
        <x:v>0</x:v>
      </x:c>
      <x:c r="D454">
        <x:f>'幕间与结算'!F361</x:f>
        <x:v>0</x:v>
      </x:c>
      <x:c r="E454">
        <x:f>IF(H454=1,MAX(-'幕间与结算'!E361,MIN(D454,IF(LEFT(C454,3)="技能：",99,IF(COUNTIF($L$2:$L$7,C454)&gt;0,18,999))-'幕间与结算'!E361)),0)</x:f>
        <x:v>0</x:v>
      </x:c>
      <x:c r="F454" t="str">
        <x:f>IF(C454=0,"",IF(G454=0,"记录不完整",IF(H454=0,"重复未计","已计入")))</x:f>
        <x:v/>
      </x:c>
      <x:c r="G454">
        <x:f>IF(AND(AND('幕间与结算'!A361&lt;&gt;"",'幕间与结算'!B361&lt;&gt;"",'幕间与结算'!I361&lt;&gt;"",OR(LEFT(C454,3)="技能：",COUNTIF($L$2:$L$19,C454)&gt;0),ISNUMBER('幕间与结算'!E361),ISNUMBER('幕间与结算'!F361),ISNUMBER('幕间与结算'!G361),'幕间与结算'!E361&gt;=0,'幕间与结算'!G361='幕间与结算'!E361+'幕间与结算'!F361),OR(B454&lt;&gt;"成长",AND(LEFT(C454,3)="技能：",C454&lt;&gt;"技能：非自然知识",'幕间与结算'!E361&gt;=1,'幕间与结算'!E361&lt;=99,'幕间与结算'!F361&gt;=0,'幕间与结算'!F361&lt;=4,'幕间与结算'!G361&lt;=99))),1,0)</x:f>
        <x:v>0</x:v>
      </x:c>
      <x:c r="H454">
        <x:f>IF(AND(G454=1,COUNTIFS($I$200:I454,I454,$G$200:G454,1)=1),1,0)</x:f>
        <x:v>0</x:v>
      </x:c>
      <x:c r="I454" t="str">
        <x:f>IF(G454=1,IF(B454="成长",A454&amp;"-成长-"&amp;C454,'幕间与结算'!I361),"")</x:f>
        <x:v/>
      </x:c>
      <x:c r="BF454">
        <x:f>MAX(0,MIN(18,BF453+IF(C454="力量",E454,0)))</x:f>
        <x:v>0</x:v>
      </x:c>
      <x:c r="BG454">
        <x:f>MAX(0,MIN(18,BG453+IF(C454="体质",E454,0)))</x:f>
        <x:v>0</x:v>
      </x:c>
      <x:c r="BH454">
        <x:f>MAX(0,MIN(18,BH453+IF(C454="敏捷",E454,0)))</x:f>
        <x:v>0</x:v>
      </x:c>
      <x:c r="BI454">
        <x:f>MAX(0,MIN(18,BI453+IF(C454="智力",E454,0)))</x:f>
        <x:v>0</x:v>
      </x:c>
      <x:c r="BJ454">
        <x:f>MAX(0,MIN(18,BJ453+IF(C454="意志",E454,0)))</x:f>
        <x:v>0</x:v>
      </x:c>
      <x:c r="BK454">
        <x:f>MAX(0,MIN(18,BK453+IF(C454="魅力",E454,0)))</x:f>
        <x:v>0</x:v>
      </x:c>
      <x:c r="BL454">
        <x:f>MAX(0,MIN(99,BL453+IF(C454="技能：非自然知识",E454,0)))</x:f>
        <x:v>0</x:v>
      </x:c>
      <x:c r="BM454">
        <x:f>MAX(0,MIN(CEILING((BF454+BG454)/2,1),BM453+IF(C454="体力",E454,0)))</x:f>
        <x:v>0</x:v>
      </x:c>
      <x:c r="BN454">
        <x:f>MAX(0,MIN(BJ454,BN453+IF(C454="毅力",E454,0)))</x:f>
        <x:v>0</x:v>
      </x:c>
      <x:c r="BO454">
        <x:f>MAX(0,MIN(99-BL454,BO453+IF(C454="理智",E454,0)))</x:f>
        <x:v>0</x:v>
      </x:c>
      <x:c r="BP454">
        <x:f>MAX(0,MIN(99,BP453+IF(C454="崩溃点",E454,0)))</x:f>
        <x:v>0</x:v>
      </x:c>
      <x:c r="BQ454">
        <x:f>MAX(0,MIN(BK454,IF(AND(H454=1,C454="重要关系1",LEFT('幕间与结算'!H361,8)="建立新的重要关系"),'幕间与结算'!E361+E454,BQ453+IF(C454="重要关系1",E454,0)+IF(AND(C454="魅力",E454&lt;0),E454,0))))</x:f>
        <x:v>0</x:v>
      </x:c>
      <x:c r="BR454">
        <x:f>MAX(0,MIN(BK454,IF(AND(H454=1,C454="重要关系2",LEFT('幕间与结算'!H361,8)="建立新的重要关系"),'幕间与结算'!E361+E454,BR453+IF(C454="重要关系2",E454,0)+IF(AND(C454="魅力",E454&lt;0),E454,0))))</x:f>
        <x:v>0</x:v>
      </x:c>
      <x:c r="BS454">
        <x:f>MAX(0,MIN(BK454,IF(AND(H454=1,C454="重要关系3",LEFT('幕间与结算'!H361,8)="建立新的重要关系"),'幕间与结算'!E361+E454,BS453+IF(C454="重要关系3",E454,0)+IF(AND(C454="魅力",E454&lt;0),E454,0))))</x:f>
        <x:v>0</x:v>
      </x:c>
      <x:c r="BT454">
        <x:f>MAX(0,MIN(BK454,IF(AND(H454=1,C454="重要关系4",LEFT('幕间与结算'!H361,8)="建立新的重要关系"),'幕间与结算'!E361+E454,BT453+IF(C454="重要关系4",E454,0)+IF(AND(C454="魅力",E454&lt;0),E454,0))))</x:f>
        <x:v>0</x:v>
      </x:c>
      <x:c r="BU454">
        <x:f>MAX(0,MIN(BK454,IF(AND(H454=1,C454="重要关系5",LEFT('幕间与结算'!H361,8)="建立新的重要关系"),'幕间与结算'!E361+E454,BU453+IF(C454="重要关系5",E454,0)+IF(AND(C454="魅力",E454&lt;0),E454,0))))</x:f>
        <x:v>0</x:v>
      </x:c>
      <x:c r="BV454">
        <x:f>MAX(0,MIN(BK454,IF(AND(H454=1,C454="重要关系6",LEFT('幕间与结算'!H361,8)="建立新的重要关系"),'幕间与结算'!E361+E454,BV453+IF(C454="重要关系6",E454,0)+IF(AND(C454="魅力",E454&lt;0),E454,0))))</x:f>
        <x:v>0</x:v>
      </x:c>
      <x:c r="BW454">
        <x:f>MAX(0,MIN(BK454,IF(AND(H454=1,C454="重要关系7",LEFT('幕间与结算'!H361,8)="建立新的重要关系"),'幕间与结算'!E361+E454,BW453+IF(C454="重要关系7",E454,0)+IF(AND(C454="魅力",E454&lt;0),E454,0))))</x:f>
        <x:v>0</x:v>
      </x:c>
    </x:row>
    <x:row r="455">
      <x:c r="A455" t="str">
        <x:f>IFERROR(TEXT(VALUE('幕间与结算'!A362),"00"),"")</x:f>
        <x:v>00</x:v>
      </x:c>
      <x:c r="B455">
        <x:f>'幕间与结算'!B362</x:f>
        <x:v>0</x:v>
      </x:c>
      <x:c r="C455">
        <x:f>'幕间与结算'!D362</x:f>
        <x:v>0</x:v>
      </x:c>
      <x:c r="D455">
        <x:f>'幕间与结算'!F362</x:f>
        <x:v>0</x:v>
      </x:c>
      <x:c r="E455">
        <x:f>IF(H455=1,MAX(-'幕间与结算'!E362,MIN(D455,IF(LEFT(C455,3)="技能：",99,IF(COUNTIF($L$2:$L$7,C455)&gt;0,18,999))-'幕间与结算'!E362)),0)</x:f>
        <x:v>0</x:v>
      </x:c>
      <x:c r="F455" t="str">
        <x:f>IF(C455=0,"",IF(G455=0,"记录不完整",IF(H455=0,"重复未计","已计入")))</x:f>
        <x:v/>
      </x:c>
      <x:c r="G455">
        <x:f>IF(AND(AND('幕间与结算'!A362&lt;&gt;"",'幕间与结算'!B362&lt;&gt;"",'幕间与结算'!I362&lt;&gt;"",OR(LEFT(C455,3)="技能：",COUNTIF($L$2:$L$19,C455)&gt;0),ISNUMBER('幕间与结算'!E362),ISNUMBER('幕间与结算'!F362),ISNUMBER('幕间与结算'!G362),'幕间与结算'!E362&gt;=0,'幕间与结算'!G362='幕间与结算'!E362+'幕间与结算'!F362),OR(B455&lt;&gt;"成长",AND(LEFT(C455,3)="技能：",C455&lt;&gt;"技能：非自然知识",'幕间与结算'!E362&gt;=1,'幕间与结算'!E362&lt;=99,'幕间与结算'!F362&gt;=0,'幕间与结算'!F362&lt;=4,'幕间与结算'!G362&lt;=99))),1,0)</x:f>
        <x:v>0</x:v>
      </x:c>
      <x:c r="H455">
        <x:f>IF(AND(G455=1,COUNTIFS($I$200:I455,I455,$G$200:G455,1)=1),1,0)</x:f>
        <x:v>0</x:v>
      </x:c>
      <x:c r="I455" t="str">
        <x:f>IF(G455=1,IF(B455="成长",A455&amp;"-成长-"&amp;C455,'幕间与结算'!I362),"")</x:f>
        <x:v/>
      </x:c>
      <x:c r="BF455">
        <x:f>MAX(0,MIN(18,BF454+IF(C455="力量",E455,0)))</x:f>
        <x:v>0</x:v>
      </x:c>
      <x:c r="BG455">
        <x:f>MAX(0,MIN(18,BG454+IF(C455="体质",E455,0)))</x:f>
        <x:v>0</x:v>
      </x:c>
      <x:c r="BH455">
        <x:f>MAX(0,MIN(18,BH454+IF(C455="敏捷",E455,0)))</x:f>
        <x:v>0</x:v>
      </x:c>
      <x:c r="BI455">
        <x:f>MAX(0,MIN(18,BI454+IF(C455="智力",E455,0)))</x:f>
        <x:v>0</x:v>
      </x:c>
      <x:c r="BJ455">
        <x:f>MAX(0,MIN(18,BJ454+IF(C455="意志",E455,0)))</x:f>
        <x:v>0</x:v>
      </x:c>
      <x:c r="BK455">
        <x:f>MAX(0,MIN(18,BK454+IF(C455="魅力",E455,0)))</x:f>
        <x:v>0</x:v>
      </x:c>
      <x:c r="BL455">
        <x:f>MAX(0,MIN(99,BL454+IF(C455="技能：非自然知识",E455,0)))</x:f>
        <x:v>0</x:v>
      </x:c>
      <x:c r="BM455">
        <x:f>MAX(0,MIN(CEILING((BF455+BG455)/2,1),BM454+IF(C455="体力",E455,0)))</x:f>
        <x:v>0</x:v>
      </x:c>
      <x:c r="BN455">
        <x:f>MAX(0,MIN(BJ455,BN454+IF(C455="毅力",E455,0)))</x:f>
        <x:v>0</x:v>
      </x:c>
      <x:c r="BO455">
        <x:f>MAX(0,MIN(99-BL455,BO454+IF(C455="理智",E455,0)))</x:f>
        <x:v>0</x:v>
      </x:c>
      <x:c r="BP455">
        <x:f>MAX(0,MIN(99,BP454+IF(C455="崩溃点",E455,0)))</x:f>
        <x:v>0</x:v>
      </x:c>
      <x:c r="BQ455">
        <x:f>MAX(0,MIN(BK455,IF(AND(H455=1,C455="重要关系1",LEFT('幕间与结算'!H362,8)="建立新的重要关系"),'幕间与结算'!E362+E455,BQ454+IF(C455="重要关系1",E455,0)+IF(AND(C455="魅力",E455&lt;0),E455,0))))</x:f>
        <x:v>0</x:v>
      </x:c>
      <x:c r="BR455">
        <x:f>MAX(0,MIN(BK455,IF(AND(H455=1,C455="重要关系2",LEFT('幕间与结算'!H362,8)="建立新的重要关系"),'幕间与结算'!E362+E455,BR454+IF(C455="重要关系2",E455,0)+IF(AND(C455="魅力",E455&lt;0),E455,0))))</x:f>
        <x:v>0</x:v>
      </x:c>
      <x:c r="BS455">
        <x:f>MAX(0,MIN(BK455,IF(AND(H455=1,C455="重要关系3",LEFT('幕间与结算'!H362,8)="建立新的重要关系"),'幕间与结算'!E362+E455,BS454+IF(C455="重要关系3",E455,0)+IF(AND(C455="魅力",E455&lt;0),E455,0))))</x:f>
        <x:v>0</x:v>
      </x:c>
      <x:c r="BT455">
        <x:f>MAX(0,MIN(BK455,IF(AND(H455=1,C455="重要关系4",LEFT('幕间与结算'!H362,8)="建立新的重要关系"),'幕间与结算'!E362+E455,BT454+IF(C455="重要关系4",E455,0)+IF(AND(C455="魅力",E455&lt;0),E455,0))))</x:f>
        <x:v>0</x:v>
      </x:c>
      <x:c r="BU455">
        <x:f>MAX(0,MIN(BK455,IF(AND(H455=1,C455="重要关系5",LEFT('幕间与结算'!H362,8)="建立新的重要关系"),'幕间与结算'!E362+E455,BU454+IF(C455="重要关系5",E455,0)+IF(AND(C455="魅力",E455&lt;0),E455,0))))</x:f>
        <x:v>0</x:v>
      </x:c>
      <x:c r="BV455">
        <x:f>MAX(0,MIN(BK455,IF(AND(H455=1,C455="重要关系6",LEFT('幕间与结算'!H362,8)="建立新的重要关系"),'幕间与结算'!E362+E455,BV454+IF(C455="重要关系6",E455,0)+IF(AND(C455="魅力",E455&lt;0),E455,0))))</x:f>
        <x:v>0</x:v>
      </x:c>
      <x:c r="BW455">
        <x:f>MAX(0,MIN(BK455,IF(AND(H455=1,C455="重要关系7",LEFT('幕间与结算'!H362,8)="建立新的重要关系"),'幕间与结算'!E362+E455,BW454+IF(C455="重要关系7",E455,0)+IF(AND(C455="魅力",E455&lt;0),E455,0))))</x:f>
        <x:v>0</x:v>
      </x:c>
    </x:row>
    <x:row r="456">
      <x:c r="A456" t="str">
        <x:f>IFERROR(TEXT(VALUE('幕间与结算'!A363),"00"),"")</x:f>
        <x:v>00</x:v>
      </x:c>
      <x:c r="B456">
        <x:f>'幕间与结算'!B363</x:f>
        <x:v>0</x:v>
      </x:c>
      <x:c r="C456">
        <x:f>'幕间与结算'!D363</x:f>
        <x:v>0</x:v>
      </x:c>
      <x:c r="D456">
        <x:f>'幕间与结算'!F363</x:f>
        <x:v>0</x:v>
      </x:c>
      <x:c r="E456">
        <x:f>IF(H456=1,MAX(-'幕间与结算'!E363,MIN(D456,IF(LEFT(C456,3)="技能：",99,IF(COUNTIF($L$2:$L$7,C456)&gt;0,18,999))-'幕间与结算'!E363)),0)</x:f>
        <x:v>0</x:v>
      </x:c>
      <x:c r="F456" t="str">
        <x:f>IF(C456=0,"",IF(G456=0,"记录不完整",IF(H456=0,"重复未计","已计入")))</x:f>
        <x:v/>
      </x:c>
      <x:c r="G456">
        <x:f>IF(AND(AND('幕间与结算'!A363&lt;&gt;"",'幕间与结算'!B363&lt;&gt;"",'幕间与结算'!I363&lt;&gt;"",OR(LEFT(C456,3)="技能：",COUNTIF($L$2:$L$19,C456)&gt;0),ISNUMBER('幕间与结算'!E363),ISNUMBER('幕间与结算'!F363),ISNUMBER('幕间与结算'!G363),'幕间与结算'!E363&gt;=0,'幕间与结算'!G363='幕间与结算'!E363+'幕间与结算'!F363),OR(B456&lt;&gt;"成长",AND(LEFT(C456,3)="技能：",C456&lt;&gt;"技能：非自然知识",'幕间与结算'!E363&gt;=1,'幕间与结算'!E363&lt;=99,'幕间与结算'!F363&gt;=0,'幕间与结算'!F363&lt;=4,'幕间与结算'!G363&lt;=99))),1,0)</x:f>
        <x:v>0</x:v>
      </x:c>
      <x:c r="H456">
        <x:f>IF(AND(G456=1,COUNTIFS($I$200:I456,I456,$G$200:G456,1)=1),1,0)</x:f>
        <x:v>0</x:v>
      </x:c>
      <x:c r="I456" t="str">
        <x:f>IF(G456=1,IF(B456="成长",A456&amp;"-成长-"&amp;C456,'幕间与结算'!I363),"")</x:f>
        <x:v/>
      </x:c>
      <x:c r="BF456">
        <x:f>MAX(0,MIN(18,BF455+IF(C456="力量",E456,0)))</x:f>
        <x:v>0</x:v>
      </x:c>
      <x:c r="BG456">
        <x:f>MAX(0,MIN(18,BG455+IF(C456="体质",E456,0)))</x:f>
        <x:v>0</x:v>
      </x:c>
      <x:c r="BH456">
        <x:f>MAX(0,MIN(18,BH455+IF(C456="敏捷",E456,0)))</x:f>
        <x:v>0</x:v>
      </x:c>
      <x:c r="BI456">
        <x:f>MAX(0,MIN(18,BI455+IF(C456="智力",E456,0)))</x:f>
        <x:v>0</x:v>
      </x:c>
      <x:c r="BJ456">
        <x:f>MAX(0,MIN(18,BJ455+IF(C456="意志",E456,0)))</x:f>
        <x:v>0</x:v>
      </x:c>
      <x:c r="BK456">
        <x:f>MAX(0,MIN(18,BK455+IF(C456="魅力",E456,0)))</x:f>
        <x:v>0</x:v>
      </x:c>
      <x:c r="BL456">
        <x:f>MAX(0,MIN(99,BL455+IF(C456="技能：非自然知识",E456,0)))</x:f>
        <x:v>0</x:v>
      </x:c>
      <x:c r="BM456">
        <x:f>MAX(0,MIN(CEILING((BF456+BG456)/2,1),BM455+IF(C456="体力",E456,0)))</x:f>
        <x:v>0</x:v>
      </x:c>
      <x:c r="BN456">
        <x:f>MAX(0,MIN(BJ456,BN455+IF(C456="毅力",E456,0)))</x:f>
        <x:v>0</x:v>
      </x:c>
      <x:c r="BO456">
        <x:f>MAX(0,MIN(99-BL456,BO455+IF(C456="理智",E456,0)))</x:f>
        <x:v>0</x:v>
      </x:c>
      <x:c r="BP456">
        <x:f>MAX(0,MIN(99,BP455+IF(C456="崩溃点",E456,0)))</x:f>
        <x:v>0</x:v>
      </x:c>
      <x:c r="BQ456">
        <x:f>MAX(0,MIN(BK456,IF(AND(H456=1,C456="重要关系1",LEFT('幕间与结算'!H363,8)="建立新的重要关系"),'幕间与结算'!E363+E456,BQ455+IF(C456="重要关系1",E456,0)+IF(AND(C456="魅力",E456&lt;0),E456,0))))</x:f>
        <x:v>0</x:v>
      </x:c>
      <x:c r="BR456">
        <x:f>MAX(0,MIN(BK456,IF(AND(H456=1,C456="重要关系2",LEFT('幕间与结算'!H363,8)="建立新的重要关系"),'幕间与结算'!E363+E456,BR455+IF(C456="重要关系2",E456,0)+IF(AND(C456="魅力",E456&lt;0),E456,0))))</x:f>
        <x:v>0</x:v>
      </x:c>
      <x:c r="BS456">
        <x:f>MAX(0,MIN(BK456,IF(AND(H456=1,C456="重要关系3",LEFT('幕间与结算'!H363,8)="建立新的重要关系"),'幕间与结算'!E363+E456,BS455+IF(C456="重要关系3",E456,0)+IF(AND(C456="魅力",E456&lt;0),E456,0))))</x:f>
        <x:v>0</x:v>
      </x:c>
      <x:c r="BT456">
        <x:f>MAX(0,MIN(BK456,IF(AND(H456=1,C456="重要关系4",LEFT('幕间与结算'!H363,8)="建立新的重要关系"),'幕间与结算'!E363+E456,BT455+IF(C456="重要关系4",E456,0)+IF(AND(C456="魅力",E456&lt;0),E456,0))))</x:f>
        <x:v>0</x:v>
      </x:c>
      <x:c r="BU456">
        <x:f>MAX(0,MIN(BK456,IF(AND(H456=1,C456="重要关系5",LEFT('幕间与结算'!H363,8)="建立新的重要关系"),'幕间与结算'!E363+E456,BU455+IF(C456="重要关系5",E456,0)+IF(AND(C456="魅力",E456&lt;0),E456,0))))</x:f>
        <x:v>0</x:v>
      </x:c>
      <x:c r="BV456">
        <x:f>MAX(0,MIN(BK456,IF(AND(H456=1,C456="重要关系6",LEFT('幕间与结算'!H363,8)="建立新的重要关系"),'幕间与结算'!E363+E456,BV455+IF(C456="重要关系6",E456,0)+IF(AND(C456="魅力",E456&lt;0),E456,0))))</x:f>
        <x:v>0</x:v>
      </x:c>
      <x:c r="BW456">
        <x:f>MAX(0,MIN(BK456,IF(AND(H456=1,C456="重要关系7",LEFT('幕间与结算'!H363,8)="建立新的重要关系"),'幕间与结算'!E363+E456,BW455+IF(C456="重要关系7",E456,0)+IF(AND(C456="魅力",E456&lt;0),E456,0))))</x:f>
        <x:v>0</x:v>
      </x:c>
    </x:row>
    <x:row r="457">
      <x:c r="A457" t="str">
        <x:f>IFERROR(TEXT(VALUE('幕间与结算'!A364),"00"),"")</x:f>
        <x:v>00</x:v>
      </x:c>
      <x:c r="B457">
        <x:f>'幕间与结算'!B364</x:f>
        <x:v>0</x:v>
      </x:c>
      <x:c r="C457">
        <x:f>'幕间与结算'!D364</x:f>
        <x:v>0</x:v>
      </x:c>
      <x:c r="D457">
        <x:f>'幕间与结算'!F364</x:f>
        <x:v>0</x:v>
      </x:c>
      <x:c r="E457">
        <x:f>IF(H457=1,MAX(-'幕间与结算'!E364,MIN(D457,IF(LEFT(C457,3)="技能：",99,IF(COUNTIF($L$2:$L$7,C457)&gt;0,18,999))-'幕间与结算'!E364)),0)</x:f>
        <x:v>0</x:v>
      </x:c>
      <x:c r="F457" t="str">
        <x:f>IF(C457=0,"",IF(G457=0,"记录不完整",IF(H457=0,"重复未计","已计入")))</x:f>
        <x:v/>
      </x:c>
      <x:c r="G457">
        <x:f>IF(AND(AND('幕间与结算'!A364&lt;&gt;"",'幕间与结算'!B364&lt;&gt;"",'幕间与结算'!I364&lt;&gt;"",OR(LEFT(C457,3)="技能：",COUNTIF($L$2:$L$19,C457)&gt;0),ISNUMBER('幕间与结算'!E364),ISNUMBER('幕间与结算'!F364),ISNUMBER('幕间与结算'!G364),'幕间与结算'!E364&gt;=0,'幕间与结算'!G364='幕间与结算'!E364+'幕间与结算'!F364),OR(B457&lt;&gt;"成长",AND(LEFT(C457,3)="技能：",C457&lt;&gt;"技能：非自然知识",'幕间与结算'!E364&gt;=1,'幕间与结算'!E364&lt;=99,'幕间与结算'!F364&gt;=0,'幕间与结算'!F364&lt;=4,'幕间与结算'!G364&lt;=99))),1,0)</x:f>
        <x:v>0</x:v>
      </x:c>
      <x:c r="H457">
        <x:f>IF(AND(G457=1,COUNTIFS($I$200:I457,I457,$G$200:G457,1)=1),1,0)</x:f>
        <x:v>0</x:v>
      </x:c>
      <x:c r="I457" t="str">
        <x:f>IF(G457=1,IF(B457="成长",A457&amp;"-成长-"&amp;C457,'幕间与结算'!I364),"")</x:f>
        <x:v/>
      </x:c>
      <x:c r="BF457">
        <x:f>MAX(0,MIN(18,BF456+IF(C457="力量",E457,0)))</x:f>
        <x:v>0</x:v>
      </x:c>
      <x:c r="BG457">
        <x:f>MAX(0,MIN(18,BG456+IF(C457="体质",E457,0)))</x:f>
        <x:v>0</x:v>
      </x:c>
      <x:c r="BH457">
        <x:f>MAX(0,MIN(18,BH456+IF(C457="敏捷",E457,0)))</x:f>
        <x:v>0</x:v>
      </x:c>
      <x:c r="BI457">
        <x:f>MAX(0,MIN(18,BI456+IF(C457="智力",E457,0)))</x:f>
        <x:v>0</x:v>
      </x:c>
      <x:c r="BJ457">
        <x:f>MAX(0,MIN(18,BJ456+IF(C457="意志",E457,0)))</x:f>
        <x:v>0</x:v>
      </x:c>
      <x:c r="BK457">
        <x:f>MAX(0,MIN(18,BK456+IF(C457="魅力",E457,0)))</x:f>
        <x:v>0</x:v>
      </x:c>
      <x:c r="BL457">
        <x:f>MAX(0,MIN(99,BL456+IF(C457="技能：非自然知识",E457,0)))</x:f>
        <x:v>0</x:v>
      </x:c>
      <x:c r="BM457">
        <x:f>MAX(0,MIN(CEILING((BF457+BG457)/2,1),BM456+IF(C457="体力",E457,0)))</x:f>
        <x:v>0</x:v>
      </x:c>
      <x:c r="BN457">
        <x:f>MAX(0,MIN(BJ457,BN456+IF(C457="毅力",E457,0)))</x:f>
        <x:v>0</x:v>
      </x:c>
      <x:c r="BO457">
        <x:f>MAX(0,MIN(99-BL457,BO456+IF(C457="理智",E457,0)))</x:f>
        <x:v>0</x:v>
      </x:c>
      <x:c r="BP457">
        <x:f>MAX(0,MIN(99,BP456+IF(C457="崩溃点",E457,0)))</x:f>
        <x:v>0</x:v>
      </x:c>
      <x:c r="BQ457">
        <x:f>MAX(0,MIN(BK457,IF(AND(H457=1,C457="重要关系1",LEFT('幕间与结算'!H364,8)="建立新的重要关系"),'幕间与结算'!E364+E457,BQ456+IF(C457="重要关系1",E457,0)+IF(AND(C457="魅力",E457&lt;0),E457,0))))</x:f>
        <x:v>0</x:v>
      </x:c>
      <x:c r="BR457">
        <x:f>MAX(0,MIN(BK457,IF(AND(H457=1,C457="重要关系2",LEFT('幕间与结算'!H364,8)="建立新的重要关系"),'幕间与结算'!E364+E457,BR456+IF(C457="重要关系2",E457,0)+IF(AND(C457="魅力",E457&lt;0),E457,0))))</x:f>
        <x:v>0</x:v>
      </x:c>
      <x:c r="BS457">
        <x:f>MAX(0,MIN(BK457,IF(AND(H457=1,C457="重要关系3",LEFT('幕间与结算'!H364,8)="建立新的重要关系"),'幕间与结算'!E364+E457,BS456+IF(C457="重要关系3",E457,0)+IF(AND(C457="魅力",E457&lt;0),E457,0))))</x:f>
        <x:v>0</x:v>
      </x:c>
      <x:c r="BT457">
        <x:f>MAX(0,MIN(BK457,IF(AND(H457=1,C457="重要关系4",LEFT('幕间与结算'!H364,8)="建立新的重要关系"),'幕间与结算'!E364+E457,BT456+IF(C457="重要关系4",E457,0)+IF(AND(C457="魅力",E457&lt;0),E457,0))))</x:f>
        <x:v>0</x:v>
      </x:c>
      <x:c r="BU457">
        <x:f>MAX(0,MIN(BK457,IF(AND(H457=1,C457="重要关系5",LEFT('幕间与结算'!H364,8)="建立新的重要关系"),'幕间与结算'!E364+E457,BU456+IF(C457="重要关系5",E457,0)+IF(AND(C457="魅力",E457&lt;0),E457,0))))</x:f>
        <x:v>0</x:v>
      </x:c>
      <x:c r="BV457">
        <x:f>MAX(0,MIN(BK457,IF(AND(H457=1,C457="重要关系6",LEFT('幕间与结算'!H364,8)="建立新的重要关系"),'幕间与结算'!E364+E457,BV456+IF(C457="重要关系6",E457,0)+IF(AND(C457="魅力",E457&lt;0),E457,0))))</x:f>
        <x:v>0</x:v>
      </x:c>
      <x:c r="BW457">
        <x:f>MAX(0,MIN(BK457,IF(AND(H457=1,C457="重要关系7",LEFT('幕间与结算'!H364,8)="建立新的重要关系"),'幕间与结算'!E364+E457,BW456+IF(C457="重要关系7",E457,0)+IF(AND(C457="魅力",E457&lt;0),E457,0))))</x:f>
        <x:v>0</x:v>
      </x:c>
    </x:row>
    <x:row r="458">
      <x:c r="A458" t="str">
        <x:f>IFERROR(TEXT(VALUE('幕间与结算'!A365),"00"),"")</x:f>
        <x:v>00</x:v>
      </x:c>
      <x:c r="B458">
        <x:f>'幕间与结算'!B365</x:f>
        <x:v>0</x:v>
      </x:c>
      <x:c r="C458">
        <x:f>'幕间与结算'!D365</x:f>
        <x:v>0</x:v>
      </x:c>
      <x:c r="D458">
        <x:f>'幕间与结算'!F365</x:f>
        <x:v>0</x:v>
      </x:c>
      <x:c r="E458">
        <x:f>IF(H458=1,MAX(-'幕间与结算'!E365,MIN(D458,IF(LEFT(C458,3)="技能：",99,IF(COUNTIF($L$2:$L$7,C458)&gt;0,18,999))-'幕间与结算'!E365)),0)</x:f>
        <x:v>0</x:v>
      </x:c>
      <x:c r="F458" t="str">
        <x:f>IF(C458=0,"",IF(G458=0,"记录不完整",IF(H458=0,"重复未计","已计入")))</x:f>
        <x:v/>
      </x:c>
      <x:c r="G458">
        <x:f>IF(AND(AND('幕间与结算'!A365&lt;&gt;"",'幕间与结算'!B365&lt;&gt;"",'幕间与结算'!I365&lt;&gt;"",OR(LEFT(C458,3)="技能：",COUNTIF($L$2:$L$19,C458)&gt;0),ISNUMBER('幕间与结算'!E365),ISNUMBER('幕间与结算'!F365),ISNUMBER('幕间与结算'!G365),'幕间与结算'!E365&gt;=0,'幕间与结算'!G365='幕间与结算'!E365+'幕间与结算'!F365),OR(B458&lt;&gt;"成长",AND(LEFT(C458,3)="技能：",C458&lt;&gt;"技能：非自然知识",'幕间与结算'!E365&gt;=1,'幕间与结算'!E365&lt;=99,'幕间与结算'!F365&gt;=0,'幕间与结算'!F365&lt;=4,'幕间与结算'!G365&lt;=99))),1,0)</x:f>
        <x:v>0</x:v>
      </x:c>
      <x:c r="H458">
        <x:f>IF(AND(G458=1,COUNTIFS($I$200:I458,I458,$G$200:G458,1)=1),1,0)</x:f>
        <x:v>0</x:v>
      </x:c>
      <x:c r="I458" t="str">
        <x:f>IF(G458=1,IF(B458="成长",A458&amp;"-成长-"&amp;C458,'幕间与结算'!I365),"")</x:f>
        <x:v/>
      </x:c>
      <x:c r="BF458">
        <x:f>MAX(0,MIN(18,BF457+IF(C458="力量",E458,0)))</x:f>
        <x:v>0</x:v>
      </x:c>
      <x:c r="BG458">
        <x:f>MAX(0,MIN(18,BG457+IF(C458="体质",E458,0)))</x:f>
        <x:v>0</x:v>
      </x:c>
      <x:c r="BH458">
        <x:f>MAX(0,MIN(18,BH457+IF(C458="敏捷",E458,0)))</x:f>
        <x:v>0</x:v>
      </x:c>
      <x:c r="BI458">
        <x:f>MAX(0,MIN(18,BI457+IF(C458="智力",E458,0)))</x:f>
        <x:v>0</x:v>
      </x:c>
      <x:c r="BJ458">
        <x:f>MAX(0,MIN(18,BJ457+IF(C458="意志",E458,0)))</x:f>
        <x:v>0</x:v>
      </x:c>
      <x:c r="BK458">
        <x:f>MAX(0,MIN(18,BK457+IF(C458="魅力",E458,0)))</x:f>
        <x:v>0</x:v>
      </x:c>
      <x:c r="BL458">
        <x:f>MAX(0,MIN(99,BL457+IF(C458="技能：非自然知识",E458,0)))</x:f>
        <x:v>0</x:v>
      </x:c>
      <x:c r="BM458">
        <x:f>MAX(0,MIN(CEILING((BF458+BG458)/2,1),BM457+IF(C458="体力",E458,0)))</x:f>
        <x:v>0</x:v>
      </x:c>
      <x:c r="BN458">
        <x:f>MAX(0,MIN(BJ458,BN457+IF(C458="毅力",E458,0)))</x:f>
        <x:v>0</x:v>
      </x:c>
      <x:c r="BO458">
        <x:f>MAX(0,MIN(99-BL458,BO457+IF(C458="理智",E458,0)))</x:f>
        <x:v>0</x:v>
      </x:c>
      <x:c r="BP458">
        <x:f>MAX(0,MIN(99,BP457+IF(C458="崩溃点",E458,0)))</x:f>
        <x:v>0</x:v>
      </x:c>
      <x:c r="BQ458">
        <x:f>MAX(0,MIN(BK458,IF(AND(H458=1,C458="重要关系1",LEFT('幕间与结算'!H365,8)="建立新的重要关系"),'幕间与结算'!E365+E458,BQ457+IF(C458="重要关系1",E458,0)+IF(AND(C458="魅力",E458&lt;0),E458,0))))</x:f>
        <x:v>0</x:v>
      </x:c>
      <x:c r="BR458">
        <x:f>MAX(0,MIN(BK458,IF(AND(H458=1,C458="重要关系2",LEFT('幕间与结算'!H365,8)="建立新的重要关系"),'幕间与结算'!E365+E458,BR457+IF(C458="重要关系2",E458,0)+IF(AND(C458="魅力",E458&lt;0),E458,0))))</x:f>
        <x:v>0</x:v>
      </x:c>
      <x:c r="BS458">
        <x:f>MAX(0,MIN(BK458,IF(AND(H458=1,C458="重要关系3",LEFT('幕间与结算'!H365,8)="建立新的重要关系"),'幕间与结算'!E365+E458,BS457+IF(C458="重要关系3",E458,0)+IF(AND(C458="魅力",E458&lt;0),E458,0))))</x:f>
        <x:v>0</x:v>
      </x:c>
      <x:c r="BT458">
        <x:f>MAX(0,MIN(BK458,IF(AND(H458=1,C458="重要关系4",LEFT('幕间与结算'!H365,8)="建立新的重要关系"),'幕间与结算'!E365+E458,BT457+IF(C458="重要关系4",E458,0)+IF(AND(C458="魅力",E458&lt;0),E458,0))))</x:f>
        <x:v>0</x:v>
      </x:c>
      <x:c r="BU458">
        <x:f>MAX(0,MIN(BK458,IF(AND(H458=1,C458="重要关系5",LEFT('幕间与结算'!H365,8)="建立新的重要关系"),'幕间与结算'!E365+E458,BU457+IF(C458="重要关系5",E458,0)+IF(AND(C458="魅力",E458&lt;0),E458,0))))</x:f>
        <x:v>0</x:v>
      </x:c>
      <x:c r="BV458">
        <x:f>MAX(0,MIN(BK458,IF(AND(H458=1,C458="重要关系6",LEFT('幕间与结算'!H365,8)="建立新的重要关系"),'幕间与结算'!E365+E458,BV457+IF(C458="重要关系6",E458,0)+IF(AND(C458="魅力",E458&lt;0),E458,0))))</x:f>
        <x:v>0</x:v>
      </x:c>
      <x:c r="BW458">
        <x:f>MAX(0,MIN(BK458,IF(AND(H458=1,C458="重要关系7",LEFT('幕间与结算'!H365,8)="建立新的重要关系"),'幕间与结算'!E365+E458,BW457+IF(C458="重要关系7",E458,0)+IF(AND(C458="魅力",E458&lt;0),E458,0))))</x:f>
        <x:v>0</x:v>
      </x:c>
    </x:row>
    <x:row r="459">
      <x:c r="A459" t="str">
        <x:f>IFERROR(TEXT(VALUE('幕间与结算'!A366),"00"),"")</x:f>
        <x:v>00</x:v>
      </x:c>
      <x:c r="B459">
        <x:f>'幕间与结算'!B366</x:f>
        <x:v>0</x:v>
      </x:c>
      <x:c r="C459">
        <x:f>'幕间与结算'!D366</x:f>
        <x:v>0</x:v>
      </x:c>
      <x:c r="D459">
        <x:f>'幕间与结算'!F366</x:f>
        <x:v>0</x:v>
      </x:c>
      <x:c r="E459">
        <x:f>IF(H459=1,MAX(-'幕间与结算'!E366,MIN(D459,IF(LEFT(C459,3)="技能：",99,IF(COUNTIF($L$2:$L$7,C459)&gt;0,18,999))-'幕间与结算'!E366)),0)</x:f>
        <x:v>0</x:v>
      </x:c>
      <x:c r="F459" t="str">
        <x:f>IF(C459=0,"",IF(G459=0,"记录不完整",IF(H459=0,"重复未计","已计入")))</x:f>
        <x:v/>
      </x:c>
      <x:c r="G459">
        <x:f>IF(AND(AND('幕间与结算'!A366&lt;&gt;"",'幕间与结算'!B366&lt;&gt;"",'幕间与结算'!I366&lt;&gt;"",OR(LEFT(C459,3)="技能：",COUNTIF($L$2:$L$19,C459)&gt;0),ISNUMBER('幕间与结算'!E366),ISNUMBER('幕间与结算'!F366),ISNUMBER('幕间与结算'!G366),'幕间与结算'!E366&gt;=0,'幕间与结算'!G366='幕间与结算'!E366+'幕间与结算'!F366),OR(B459&lt;&gt;"成长",AND(LEFT(C459,3)="技能：",C459&lt;&gt;"技能：非自然知识",'幕间与结算'!E366&gt;=1,'幕间与结算'!E366&lt;=99,'幕间与结算'!F366&gt;=0,'幕间与结算'!F366&lt;=4,'幕间与结算'!G366&lt;=99))),1,0)</x:f>
        <x:v>0</x:v>
      </x:c>
      <x:c r="H459">
        <x:f>IF(AND(G459=1,COUNTIFS($I$200:I459,I459,$G$200:G459,1)=1),1,0)</x:f>
        <x:v>0</x:v>
      </x:c>
      <x:c r="I459" t="str">
        <x:f>IF(G459=1,IF(B459="成长",A459&amp;"-成长-"&amp;C459,'幕间与结算'!I366),"")</x:f>
        <x:v/>
      </x:c>
      <x:c r="BF459">
        <x:f>MAX(0,MIN(18,BF458+IF(C459="力量",E459,0)))</x:f>
        <x:v>0</x:v>
      </x:c>
      <x:c r="BG459">
        <x:f>MAX(0,MIN(18,BG458+IF(C459="体质",E459,0)))</x:f>
        <x:v>0</x:v>
      </x:c>
      <x:c r="BH459">
        <x:f>MAX(0,MIN(18,BH458+IF(C459="敏捷",E459,0)))</x:f>
        <x:v>0</x:v>
      </x:c>
      <x:c r="BI459">
        <x:f>MAX(0,MIN(18,BI458+IF(C459="智力",E459,0)))</x:f>
        <x:v>0</x:v>
      </x:c>
      <x:c r="BJ459">
        <x:f>MAX(0,MIN(18,BJ458+IF(C459="意志",E459,0)))</x:f>
        <x:v>0</x:v>
      </x:c>
      <x:c r="BK459">
        <x:f>MAX(0,MIN(18,BK458+IF(C459="魅力",E459,0)))</x:f>
        <x:v>0</x:v>
      </x:c>
      <x:c r="BL459">
        <x:f>MAX(0,MIN(99,BL458+IF(C459="技能：非自然知识",E459,0)))</x:f>
        <x:v>0</x:v>
      </x:c>
      <x:c r="BM459">
        <x:f>MAX(0,MIN(CEILING((BF459+BG459)/2,1),BM458+IF(C459="体力",E459,0)))</x:f>
        <x:v>0</x:v>
      </x:c>
      <x:c r="BN459">
        <x:f>MAX(0,MIN(BJ459,BN458+IF(C459="毅力",E459,0)))</x:f>
        <x:v>0</x:v>
      </x:c>
      <x:c r="BO459">
        <x:f>MAX(0,MIN(99-BL459,BO458+IF(C459="理智",E459,0)))</x:f>
        <x:v>0</x:v>
      </x:c>
      <x:c r="BP459">
        <x:f>MAX(0,MIN(99,BP458+IF(C459="崩溃点",E459,0)))</x:f>
        <x:v>0</x:v>
      </x:c>
      <x:c r="BQ459">
        <x:f>MAX(0,MIN(BK459,IF(AND(H459=1,C459="重要关系1",LEFT('幕间与结算'!H366,8)="建立新的重要关系"),'幕间与结算'!E366+E459,BQ458+IF(C459="重要关系1",E459,0)+IF(AND(C459="魅力",E459&lt;0),E459,0))))</x:f>
        <x:v>0</x:v>
      </x:c>
      <x:c r="BR459">
        <x:f>MAX(0,MIN(BK459,IF(AND(H459=1,C459="重要关系2",LEFT('幕间与结算'!H366,8)="建立新的重要关系"),'幕间与结算'!E366+E459,BR458+IF(C459="重要关系2",E459,0)+IF(AND(C459="魅力",E459&lt;0),E459,0))))</x:f>
        <x:v>0</x:v>
      </x:c>
      <x:c r="BS459">
        <x:f>MAX(0,MIN(BK459,IF(AND(H459=1,C459="重要关系3",LEFT('幕间与结算'!H366,8)="建立新的重要关系"),'幕间与结算'!E366+E459,BS458+IF(C459="重要关系3",E459,0)+IF(AND(C459="魅力",E459&lt;0),E459,0))))</x:f>
        <x:v>0</x:v>
      </x:c>
      <x:c r="BT459">
        <x:f>MAX(0,MIN(BK459,IF(AND(H459=1,C459="重要关系4",LEFT('幕间与结算'!H366,8)="建立新的重要关系"),'幕间与结算'!E366+E459,BT458+IF(C459="重要关系4",E459,0)+IF(AND(C459="魅力",E459&lt;0),E459,0))))</x:f>
        <x:v>0</x:v>
      </x:c>
      <x:c r="BU459">
        <x:f>MAX(0,MIN(BK459,IF(AND(H459=1,C459="重要关系5",LEFT('幕间与结算'!H366,8)="建立新的重要关系"),'幕间与结算'!E366+E459,BU458+IF(C459="重要关系5",E459,0)+IF(AND(C459="魅力",E459&lt;0),E459,0))))</x:f>
        <x:v>0</x:v>
      </x:c>
      <x:c r="BV459">
        <x:f>MAX(0,MIN(BK459,IF(AND(H459=1,C459="重要关系6",LEFT('幕间与结算'!H366,8)="建立新的重要关系"),'幕间与结算'!E366+E459,BV458+IF(C459="重要关系6",E459,0)+IF(AND(C459="魅力",E459&lt;0),E459,0))))</x:f>
        <x:v>0</x:v>
      </x:c>
      <x:c r="BW459">
        <x:f>MAX(0,MIN(BK459,IF(AND(H459=1,C459="重要关系7",LEFT('幕间与结算'!H366,8)="建立新的重要关系"),'幕间与结算'!E366+E459,BW458+IF(C459="重要关系7",E459,0)+IF(AND(C459="魅力",E459&lt;0),E459,0))))</x:f>
        <x:v>0</x:v>
      </x:c>
    </x:row>
    <x:row r="460">
      <x:c r="A460" t="str">
        <x:f>IFERROR(TEXT(VALUE('幕间与结算'!A367),"00"),"")</x:f>
        <x:v>00</x:v>
      </x:c>
      <x:c r="B460">
        <x:f>'幕间与结算'!B367</x:f>
        <x:v>0</x:v>
      </x:c>
      <x:c r="C460">
        <x:f>'幕间与结算'!D367</x:f>
        <x:v>0</x:v>
      </x:c>
      <x:c r="D460">
        <x:f>'幕间与结算'!F367</x:f>
        <x:v>0</x:v>
      </x:c>
      <x:c r="E460">
        <x:f>IF(H460=1,MAX(-'幕间与结算'!E367,MIN(D460,IF(LEFT(C460,3)="技能：",99,IF(COUNTIF($L$2:$L$7,C460)&gt;0,18,999))-'幕间与结算'!E367)),0)</x:f>
        <x:v>0</x:v>
      </x:c>
      <x:c r="F460" t="str">
        <x:f>IF(C460=0,"",IF(G460=0,"记录不完整",IF(H460=0,"重复未计","已计入")))</x:f>
        <x:v/>
      </x:c>
      <x:c r="G460">
        <x:f>IF(AND(AND('幕间与结算'!A367&lt;&gt;"",'幕间与结算'!B367&lt;&gt;"",'幕间与结算'!I367&lt;&gt;"",OR(LEFT(C460,3)="技能：",COUNTIF($L$2:$L$19,C460)&gt;0),ISNUMBER('幕间与结算'!E367),ISNUMBER('幕间与结算'!F367),ISNUMBER('幕间与结算'!G367),'幕间与结算'!E367&gt;=0,'幕间与结算'!G367='幕间与结算'!E367+'幕间与结算'!F367),OR(B460&lt;&gt;"成长",AND(LEFT(C460,3)="技能：",C460&lt;&gt;"技能：非自然知识",'幕间与结算'!E367&gt;=1,'幕间与结算'!E367&lt;=99,'幕间与结算'!F367&gt;=0,'幕间与结算'!F367&lt;=4,'幕间与结算'!G367&lt;=99))),1,0)</x:f>
        <x:v>0</x:v>
      </x:c>
      <x:c r="H460">
        <x:f>IF(AND(G460=1,COUNTIFS($I$200:I460,I460,$G$200:G460,1)=1),1,0)</x:f>
        <x:v>0</x:v>
      </x:c>
      <x:c r="I460" t="str">
        <x:f>IF(G460=1,IF(B460="成长",A460&amp;"-成长-"&amp;C460,'幕间与结算'!I367),"")</x:f>
        <x:v/>
      </x:c>
      <x:c r="BF460">
        <x:f>MAX(0,MIN(18,BF459+IF(C460="力量",E460,0)))</x:f>
        <x:v>0</x:v>
      </x:c>
      <x:c r="BG460">
        <x:f>MAX(0,MIN(18,BG459+IF(C460="体质",E460,0)))</x:f>
        <x:v>0</x:v>
      </x:c>
      <x:c r="BH460">
        <x:f>MAX(0,MIN(18,BH459+IF(C460="敏捷",E460,0)))</x:f>
        <x:v>0</x:v>
      </x:c>
      <x:c r="BI460">
        <x:f>MAX(0,MIN(18,BI459+IF(C460="智力",E460,0)))</x:f>
        <x:v>0</x:v>
      </x:c>
      <x:c r="BJ460">
        <x:f>MAX(0,MIN(18,BJ459+IF(C460="意志",E460,0)))</x:f>
        <x:v>0</x:v>
      </x:c>
      <x:c r="BK460">
        <x:f>MAX(0,MIN(18,BK459+IF(C460="魅力",E460,0)))</x:f>
        <x:v>0</x:v>
      </x:c>
      <x:c r="BL460">
        <x:f>MAX(0,MIN(99,BL459+IF(C460="技能：非自然知识",E460,0)))</x:f>
        <x:v>0</x:v>
      </x:c>
      <x:c r="BM460">
        <x:f>MAX(0,MIN(CEILING((BF460+BG460)/2,1),BM459+IF(C460="体力",E460,0)))</x:f>
        <x:v>0</x:v>
      </x:c>
      <x:c r="BN460">
        <x:f>MAX(0,MIN(BJ460,BN459+IF(C460="毅力",E460,0)))</x:f>
        <x:v>0</x:v>
      </x:c>
      <x:c r="BO460">
        <x:f>MAX(0,MIN(99-BL460,BO459+IF(C460="理智",E460,0)))</x:f>
        <x:v>0</x:v>
      </x:c>
      <x:c r="BP460">
        <x:f>MAX(0,MIN(99,BP459+IF(C460="崩溃点",E460,0)))</x:f>
        <x:v>0</x:v>
      </x:c>
      <x:c r="BQ460">
        <x:f>MAX(0,MIN(BK460,IF(AND(H460=1,C460="重要关系1",LEFT('幕间与结算'!H367,8)="建立新的重要关系"),'幕间与结算'!E367+E460,BQ459+IF(C460="重要关系1",E460,0)+IF(AND(C460="魅力",E460&lt;0),E460,0))))</x:f>
        <x:v>0</x:v>
      </x:c>
      <x:c r="BR460">
        <x:f>MAX(0,MIN(BK460,IF(AND(H460=1,C460="重要关系2",LEFT('幕间与结算'!H367,8)="建立新的重要关系"),'幕间与结算'!E367+E460,BR459+IF(C460="重要关系2",E460,0)+IF(AND(C460="魅力",E460&lt;0),E460,0))))</x:f>
        <x:v>0</x:v>
      </x:c>
      <x:c r="BS460">
        <x:f>MAX(0,MIN(BK460,IF(AND(H460=1,C460="重要关系3",LEFT('幕间与结算'!H367,8)="建立新的重要关系"),'幕间与结算'!E367+E460,BS459+IF(C460="重要关系3",E460,0)+IF(AND(C460="魅力",E460&lt;0),E460,0))))</x:f>
        <x:v>0</x:v>
      </x:c>
      <x:c r="BT460">
        <x:f>MAX(0,MIN(BK460,IF(AND(H460=1,C460="重要关系4",LEFT('幕间与结算'!H367,8)="建立新的重要关系"),'幕间与结算'!E367+E460,BT459+IF(C460="重要关系4",E460,0)+IF(AND(C460="魅力",E460&lt;0),E460,0))))</x:f>
        <x:v>0</x:v>
      </x:c>
      <x:c r="BU460">
        <x:f>MAX(0,MIN(BK460,IF(AND(H460=1,C460="重要关系5",LEFT('幕间与结算'!H367,8)="建立新的重要关系"),'幕间与结算'!E367+E460,BU459+IF(C460="重要关系5",E460,0)+IF(AND(C460="魅力",E460&lt;0),E460,0))))</x:f>
        <x:v>0</x:v>
      </x:c>
      <x:c r="BV460">
        <x:f>MAX(0,MIN(BK460,IF(AND(H460=1,C460="重要关系6",LEFT('幕间与结算'!H367,8)="建立新的重要关系"),'幕间与结算'!E367+E460,BV459+IF(C460="重要关系6",E460,0)+IF(AND(C460="魅力",E460&lt;0),E460,0))))</x:f>
        <x:v>0</x:v>
      </x:c>
      <x:c r="BW460">
        <x:f>MAX(0,MIN(BK460,IF(AND(H460=1,C460="重要关系7",LEFT('幕间与结算'!H367,8)="建立新的重要关系"),'幕间与结算'!E367+E460,BW459+IF(C460="重要关系7",E460,0)+IF(AND(C460="魅力",E460&lt;0),E460,0))))</x:f>
        <x:v>0</x:v>
      </x:c>
    </x:row>
    <x:row r="461">
      <x:c r="A461" t="str">
        <x:f>IFERROR(TEXT(VALUE('幕间与结算'!A368),"00"),"")</x:f>
        <x:v>00</x:v>
      </x:c>
      <x:c r="B461">
        <x:f>'幕间与结算'!B368</x:f>
        <x:v>0</x:v>
      </x:c>
      <x:c r="C461">
        <x:f>'幕间与结算'!D368</x:f>
        <x:v>0</x:v>
      </x:c>
      <x:c r="D461">
        <x:f>'幕间与结算'!F368</x:f>
        <x:v>0</x:v>
      </x:c>
      <x:c r="E461">
        <x:f>IF(H461=1,MAX(-'幕间与结算'!E368,MIN(D461,IF(LEFT(C461,3)="技能：",99,IF(COUNTIF($L$2:$L$7,C461)&gt;0,18,999))-'幕间与结算'!E368)),0)</x:f>
        <x:v>0</x:v>
      </x:c>
      <x:c r="F461" t="str">
        <x:f>IF(C461=0,"",IF(G461=0,"记录不完整",IF(H461=0,"重复未计","已计入")))</x:f>
        <x:v/>
      </x:c>
      <x:c r="G461">
        <x:f>IF(AND(AND('幕间与结算'!A368&lt;&gt;"",'幕间与结算'!B368&lt;&gt;"",'幕间与结算'!I368&lt;&gt;"",OR(LEFT(C461,3)="技能：",COUNTIF($L$2:$L$19,C461)&gt;0),ISNUMBER('幕间与结算'!E368),ISNUMBER('幕间与结算'!F368),ISNUMBER('幕间与结算'!G368),'幕间与结算'!E368&gt;=0,'幕间与结算'!G368='幕间与结算'!E368+'幕间与结算'!F368),OR(B461&lt;&gt;"成长",AND(LEFT(C461,3)="技能：",C461&lt;&gt;"技能：非自然知识",'幕间与结算'!E368&gt;=1,'幕间与结算'!E368&lt;=99,'幕间与结算'!F368&gt;=0,'幕间与结算'!F368&lt;=4,'幕间与结算'!G368&lt;=99))),1,0)</x:f>
        <x:v>0</x:v>
      </x:c>
      <x:c r="H461">
        <x:f>IF(AND(G461=1,COUNTIFS($I$200:I461,I461,$G$200:G461,1)=1),1,0)</x:f>
        <x:v>0</x:v>
      </x:c>
      <x:c r="I461" t="str">
        <x:f>IF(G461=1,IF(B461="成长",A461&amp;"-成长-"&amp;C461,'幕间与结算'!I368),"")</x:f>
        <x:v/>
      </x:c>
      <x:c r="BF461">
        <x:f>MAX(0,MIN(18,BF460+IF(C461="力量",E461,0)))</x:f>
        <x:v>0</x:v>
      </x:c>
      <x:c r="BG461">
        <x:f>MAX(0,MIN(18,BG460+IF(C461="体质",E461,0)))</x:f>
        <x:v>0</x:v>
      </x:c>
      <x:c r="BH461">
        <x:f>MAX(0,MIN(18,BH460+IF(C461="敏捷",E461,0)))</x:f>
        <x:v>0</x:v>
      </x:c>
      <x:c r="BI461">
        <x:f>MAX(0,MIN(18,BI460+IF(C461="智力",E461,0)))</x:f>
        <x:v>0</x:v>
      </x:c>
      <x:c r="BJ461">
        <x:f>MAX(0,MIN(18,BJ460+IF(C461="意志",E461,0)))</x:f>
        <x:v>0</x:v>
      </x:c>
      <x:c r="BK461">
        <x:f>MAX(0,MIN(18,BK460+IF(C461="魅力",E461,0)))</x:f>
        <x:v>0</x:v>
      </x:c>
      <x:c r="BL461">
        <x:f>MAX(0,MIN(99,BL460+IF(C461="技能：非自然知识",E461,0)))</x:f>
        <x:v>0</x:v>
      </x:c>
      <x:c r="BM461">
        <x:f>MAX(0,MIN(CEILING((BF461+BG461)/2,1),BM460+IF(C461="体力",E461,0)))</x:f>
        <x:v>0</x:v>
      </x:c>
      <x:c r="BN461">
        <x:f>MAX(0,MIN(BJ461,BN460+IF(C461="毅力",E461,0)))</x:f>
        <x:v>0</x:v>
      </x:c>
      <x:c r="BO461">
        <x:f>MAX(0,MIN(99-BL461,BO460+IF(C461="理智",E461,0)))</x:f>
        <x:v>0</x:v>
      </x:c>
      <x:c r="BP461">
        <x:f>MAX(0,MIN(99,BP460+IF(C461="崩溃点",E461,0)))</x:f>
        <x:v>0</x:v>
      </x:c>
      <x:c r="BQ461">
        <x:f>MAX(0,MIN(BK461,IF(AND(H461=1,C461="重要关系1",LEFT('幕间与结算'!H368,8)="建立新的重要关系"),'幕间与结算'!E368+E461,BQ460+IF(C461="重要关系1",E461,0)+IF(AND(C461="魅力",E461&lt;0),E461,0))))</x:f>
        <x:v>0</x:v>
      </x:c>
      <x:c r="BR461">
        <x:f>MAX(0,MIN(BK461,IF(AND(H461=1,C461="重要关系2",LEFT('幕间与结算'!H368,8)="建立新的重要关系"),'幕间与结算'!E368+E461,BR460+IF(C461="重要关系2",E461,0)+IF(AND(C461="魅力",E461&lt;0),E461,0))))</x:f>
        <x:v>0</x:v>
      </x:c>
      <x:c r="BS461">
        <x:f>MAX(0,MIN(BK461,IF(AND(H461=1,C461="重要关系3",LEFT('幕间与结算'!H368,8)="建立新的重要关系"),'幕间与结算'!E368+E461,BS460+IF(C461="重要关系3",E461,0)+IF(AND(C461="魅力",E461&lt;0),E461,0))))</x:f>
        <x:v>0</x:v>
      </x:c>
      <x:c r="BT461">
        <x:f>MAX(0,MIN(BK461,IF(AND(H461=1,C461="重要关系4",LEFT('幕间与结算'!H368,8)="建立新的重要关系"),'幕间与结算'!E368+E461,BT460+IF(C461="重要关系4",E461,0)+IF(AND(C461="魅力",E461&lt;0),E461,0))))</x:f>
        <x:v>0</x:v>
      </x:c>
      <x:c r="BU461">
        <x:f>MAX(0,MIN(BK461,IF(AND(H461=1,C461="重要关系5",LEFT('幕间与结算'!H368,8)="建立新的重要关系"),'幕间与结算'!E368+E461,BU460+IF(C461="重要关系5",E461,0)+IF(AND(C461="魅力",E461&lt;0),E461,0))))</x:f>
        <x:v>0</x:v>
      </x:c>
      <x:c r="BV461">
        <x:f>MAX(0,MIN(BK461,IF(AND(H461=1,C461="重要关系6",LEFT('幕间与结算'!H368,8)="建立新的重要关系"),'幕间与结算'!E368+E461,BV460+IF(C461="重要关系6",E461,0)+IF(AND(C461="魅力",E461&lt;0),E461,0))))</x:f>
        <x:v>0</x:v>
      </x:c>
      <x:c r="BW461">
        <x:f>MAX(0,MIN(BK461,IF(AND(H461=1,C461="重要关系7",LEFT('幕间与结算'!H368,8)="建立新的重要关系"),'幕间与结算'!E368+E461,BW460+IF(C461="重要关系7",E461,0)+IF(AND(C461="魅力",E461&lt;0),E461,0))))</x:f>
        <x:v>0</x:v>
      </x:c>
    </x:row>
    <x:row r="462">
      <x:c r="A462" t="str">
        <x:f>IFERROR(TEXT(VALUE('幕间与结算'!A369),"00"),"")</x:f>
        <x:v>00</x:v>
      </x:c>
      <x:c r="B462">
        <x:f>'幕间与结算'!B369</x:f>
        <x:v>0</x:v>
      </x:c>
      <x:c r="C462">
        <x:f>'幕间与结算'!D369</x:f>
        <x:v>0</x:v>
      </x:c>
      <x:c r="D462">
        <x:f>'幕间与结算'!F369</x:f>
        <x:v>0</x:v>
      </x:c>
      <x:c r="E462">
        <x:f>IF(H462=1,MAX(-'幕间与结算'!E369,MIN(D462,IF(LEFT(C462,3)="技能：",99,IF(COUNTIF($L$2:$L$7,C462)&gt;0,18,999))-'幕间与结算'!E369)),0)</x:f>
        <x:v>0</x:v>
      </x:c>
      <x:c r="F462" t="str">
        <x:f>IF(C462=0,"",IF(G462=0,"记录不完整",IF(H462=0,"重复未计","已计入")))</x:f>
        <x:v/>
      </x:c>
      <x:c r="G462">
        <x:f>IF(AND(AND('幕间与结算'!A369&lt;&gt;"",'幕间与结算'!B369&lt;&gt;"",'幕间与结算'!I369&lt;&gt;"",OR(LEFT(C462,3)="技能：",COUNTIF($L$2:$L$19,C462)&gt;0),ISNUMBER('幕间与结算'!E369),ISNUMBER('幕间与结算'!F369),ISNUMBER('幕间与结算'!G369),'幕间与结算'!E369&gt;=0,'幕间与结算'!G369='幕间与结算'!E369+'幕间与结算'!F369),OR(B462&lt;&gt;"成长",AND(LEFT(C462,3)="技能：",C462&lt;&gt;"技能：非自然知识",'幕间与结算'!E369&gt;=1,'幕间与结算'!E369&lt;=99,'幕间与结算'!F369&gt;=0,'幕间与结算'!F369&lt;=4,'幕间与结算'!G369&lt;=99))),1,0)</x:f>
        <x:v>0</x:v>
      </x:c>
      <x:c r="H462">
        <x:f>IF(AND(G462=1,COUNTIFS($I$200:I462,I462,$G$200:G462,1)=1),1,0)</x:f>
        <x:v>0</x:v>
      </x:c>
      <x:c r="I462" t="str">
        <x:f>IF(G462=1,IF(B462="成长",A462&amp;"-成长-"&amp;C462,'幕间与结算'!I369),"")</x:f>
        <x:v/>
      </x:c>
      <x:c r="BF462">
        <x:f>MAX(0,MIN(18,BF461+IF(C462="力量",E462,0)))</x:f>
        <x:v>0</x:v>
      </x:c>
      <x:c r="BG462">
        <x:f>MAX(0,MIN(18,BG461+IF(C462="体质",E462,0)))</x:f>
        <x:v>0</x:v>
      </x:c>
      <x:c r="BH462">
        <x:f>MAX(0,MIN(18,BH461+IF(C462="敏捷",E462,0)))</x:f>
        <x:v>0</x:v>
      </x:c>
      <x:c r="BI462">
        <x:f>MAX(0,MIN(18,BI461+IF(C462="智力",E462,0)))</x:f>
        <x:v>0</x:v>
      </x:c>
      <x:c r="BJ462">
        <x:f>MAX(0,MIN(18,BJ461+IF(C462="意志",E462,0)))</x:f>
        <x:v>0</x:v>
      </x:c>
      <x:c r="BK462">
        <x:f>MAX(0,MIN(18,BK461+IF(C462="魅力",E462,0)))</x:f>
        <x:v>0</x:v>
      </x:c>
      <x:c r="BL462">
        <x:f>MAX(0,MIN(99,BL461+IF(C462="技能：非自然知识",E462,0)))</x:f>
        <x:v>0</x:v>
      </x:c>
      <x:c r="BM462">
        <x:f>MAX(0,MIN(CEILING((BF462+BG462)/2,1),BM461+IF(C462="体力",E462,0)))</x:f>
        <x:v>0</x:v>
      </x:c>
      <x:c r="BN462">
        <x:f>MAX(0,MIN(BJ462,BN461+IF(C462="毅力",E462,0)))</x:f>
        <x:v>0</x:v>
      </x:c>
      <x:c r="BO462">
        <x:f>MAX(0,MIN(99-BL462,BO461+IF(C462="理智",E462,0)))</x:f>
        <x:v>0</x:v>
      </x:c>
      <x:c r="BP462">
        <x:f>MAX(0,MIN(99,BP461+IF(C462="崩溃点",E462,0)))</x:f>
        <x:v>0</x:v>
      </x:c>
      <x:c r="BQ462">
        <x:f>MAX(0,MIN(BK462,IF(AND(H462=1,C462="重要关系1",LEFT('幕间与结算'!H369,8)="建立新的重要关系"),'幕间与结算'!E369+E462,BQ461+IF(C462="重要关系1",E462,0)+IF(AND(C462="魅力",E462&lt;0),E462,0))))</x:f>
        <x:v>0</x:v>
      </x:c>
      <x:c r="BR462">
        <x:f>MAX(0,MIN(BK462,IF(AND(H462=1,C462="重要关系2",LEFT('幕间与结算'!H369,8)="建立新的重要关系"),'幕间与结算'!E369+E462,BR461+IF(C462="重要关系2",E462,0)+IF(AND(C462="魅力",E462&lt;0),E462,0))))</x:f>
        <x:v>0</x:v>
      </x:c>
      <x:c r="BS462">
        <x:f>MAX(0,MIN(BK462,IF(AND(H462=1,C462="重要关系3",LEFT('幕间与结算'!H369,8)="建立新的重要关系"),'幕间与结算'!E369+E462,BS461+IF(C462="重要关系3",E462,0)+IF(AND(C462="魅力",E462&lt;0),E462,0))))</x:f>
        <x:v>0</x:v>
      </x:c>
      <x:c r="BT462">
        <x:f>MAX(0,MIN(BK462,IF(AND(H462=1,C462="重要关系4",LEFT('幕间与结算'!H369,8)="建立新的重要关系"),'幕间与结算'!E369+E462,BT461+IF(C462="重要关系4",E462,0)+IF(AND(C462="魅力",E462&lt;0),E462,0))))</x:f>
        <x:v>0</x:v>
      </x:c>
      <x:c r="BU462">
        <x:f>MAX(0,MIN(BK462,IF(AND(H462=1,C462="重要关系5",LEFT('幕间与结算'!H369,8)="建立新的重要关系"),'幕间与结算'!E369+E462,BU461+IF(C462="重要关系5",E462,0)+IF(AND(C462="魅力",E462&lt;0),E462,0))))</x:f>
        <x:v>0</x:v>
      </x:c>
      <x:c r="BV462">
        <x:f>MAX(0,MIN(BK462,IF(AND(H462=1,C462="重要关系6",LEFT('幕间与结算'!H369,8)="建立新的重要关系"),'幕间与结算'!E369+E462,BV461+IF(C462="重要关系6",E462,0)+IF(AND(C462="魅力",E462&lt;0),E462,0))))</x:f>
        <x:v>0</x:v>
      </x:c>
      <x:c r="BW462">
        <x:f>MAX(0,MIN(BK462,IF(AND(H462=1,C462="重要关系7",LEFT('幕间与结算'!H369,8)="建立新的重要关系"),'幕间与结算'!E369+E462,BW461+IF(C462="重要关系7",E462,0)+IF(AND(C462="魅力",E462&lt;0),E462,0))))</x:f>
        <x:v>0</x:v>
      </x:c>
    </x:row>
    <x:row r="463">
      <x:c r="A463" t="str">
        <x:f>IFERROR(TEXT(VALUE('幕间与结算'!A370),"00"),"")</x:f>
        <x:v>00</x:v>
      </x:c>
      <x:c r="B463">
        <x:f>'幕间与结算'!B370</x:f>
        <x:v>0</x:v>
      </x:c>
      <x:c r="C463">
        <x:f>'幕间与结算'!D370</x:f>
        <x:v>0</x:v>
      </x:c>
      <x:c r="D463">
        <x:f>'幕间与结算'!F370</x:f>
        <x:v>0</x:v>
      </x:c>
      <x:c r="E463">
        <x:f>IF(H463=1,MAX(-'幕间与结算'!E370,MIN(D463,IF(LEFT(C463,3)="技能：",99,IF(COUNTIF($L$2:$L$7,C463)&gt;0,18,999))-'幕间与结算'!E370)),0)</x:f>
        <x:v>0</x:v>
      </x:c>
      <x:c r="F463" t="str">
        <x:f>IF(C463=0,"",IF(G463=0,"记录不完整",IF(H463=0,"重复未计","已计入")))</x:f>
        <x:v/>
      </x:c>
      <x:c r="G463">
        <x:f>IF(AND(AND('幕间与结算'!A370&lt;&gt;"",'幕间与结算'!B370&lt;&gt;"",'幕间与结算'!I370&lt;&gt;"",OR(LEFT(C463,3)="技能：",COUNTIF($L$2:$L$19,C463)&gt;0),ISNUMBER('幕间与结算'!E370),ISNUMBER('幕间与结算'!F370),ISNUMBER('幕间与结算'!G370),'幕间与结算'!E370&gt;=0,'幕间与结算'!G370='幕间与结算'!E370+'幕间与结算'!F370),OR(B463&lt;&gt;"成长",AND(LEFT(C463,3)="技能：",C463&lt;&gt;"技能：非自然知识",'幕间与结算'!E370&gt;=1,'幕间与结算'!E370&lt;=99,'幕间与结算'!F370&gt;=0,'幕间与结算'!F370&lt;=4,'幕间与结算'!G370&lt;=99))),1,0)</x:f>
        <x:v>0</x:v>
      </x:c>
      <x:c r="H463">
        <x:f>IF(AND(G463=1,COUNTIFS($I$200:I463,I463,$G$200:G463,1)=1),1,0)</x:f>
        <x:v>0</x:v>
      </x:c>
      <x:c r="I463" t="str">
        <x:f>IF(G463=1,IF(B463="成长",A463&amp;"-成长-"&amp;C463,'幕间与结算'!I370),"")</x:f>
        <x:v/>
      </x:c>
      <x:c r="BF463">
        <x:f>MAX(0,MIN(18,BF462+IF(C463="力量",E463,0)))</x:f>
        <x:v>0</x:v>
      </x:c>
      <x:c r="BG463">
        <x:f>MAX(0,MIN(18,BG462+IF(C463="体质",E463,0)))</x:f>
        <x:v>0</x:v>
      </x:c>
      <x:c r="BH463">
        <x:f>MAX(0,MIN(18,BH462+IF(C463="敏捷",E463,0)))</x:f>
        <x:v>0</x:v>
      </x:c>
      <x:c r="BI463">
        <x:f>MAX(0,MIN(18,BI462+IF(C463="智力",E463,0)))</x:f>
        <x:v>0</x:v>
      </x:c>
      <x:c r="BJ463">
        <x:f>MAX(0,MIN(18,BJ462+IF(C463="意志",E463,0)))</x:f>
        <x:v>0</x:v>
      </x:c>
      <x:c r="BK463">
        <x:f>MAX(0,MIN(18,BK462+IF(C463="魅力",E463,0)))</x:f>
        <x:v>0</x:v>
      </x:c>
      <x:c r="BL463">
        <x:f>MAX(0,MIN(99,BL462+IF(C463="技能：非自然知识",E463,0)))</x:f>
        <x:v>0</x:v>
      </x:c>
      <x:c r="BM463">
        <x:f>MAX(0,MIN(CEILING((BF463+BG463)/2,1),BM462+IF(C463="体力",E463,0)))</x:f>
        <x:v>0</x:v>
      </x:c>
      <x:c r="BN463">
        <x:f>MAX(0,MIN(BJ463,BN462+IF(C463="毅力",E463,0)))</x:f>
        <x:v>0</x:v>
      </x:c>
      <x:c r="BO463">
        <x:f>MAX(0,MIN(99-BL463,BO462+IF(C463="理智",E463,0)))</x:f>
        <x:v>0</x:v>
      </x:c>
      <x:c r="BP463">
        <x:f>MAX(0,MIN(99,BP462+IF(C463="崩溃点",E463,0)))</x:f>
        <x:v>0</x:v>
      </x:c>
      <x:c r="BQ463">
        <x:f>MAX(0,MIN(BK463,IF(AND(H463=1,C463="重要关系1",LEFT('幕间与结算'!H370,8)="建立新的重要关系"),'幕间与结算'!E370+E463,BQ462+IF(C463="重要关系1",E463,0)+IF(AND(C463="魅力",E463&lt;0),E463,0))))</x:f>
        <x:v>0</x:v>
      </x:c>
      <x:c r="BR463">
        <x:f>MAX(0,MIN(BK463,IF(AND(H463=1,C463="重要关系2",LEFT('幕间与结算'!H370,8)="建立新的重要关系"),'幕间与结算'!E370+E463,BR462+IF(C463="重要关系2",E463,0)+IF(AND(C463="魅力",E463&lt;0),E463,0))))</x:f>
        <x:v>0</x:v>
      </x:c>
      <x:c r="BS463">
        <x:f>MAX(0,MIN(BK463,IF(AND(H463=1,C463="重要关系3",LEFT('幕间与结算'!H370,8)="建立新的重要关系"),'幕间与结算'!E370+E463,BS462+IF(C463="重要关系3",E463,0)+IF(AND(C463="魅力",E463&lt;0),E463,0))))</x:f>
        <x:v>0</x:v>
      </x:c>
      <x:c r="BT463">
        <x:f>MAX(0,MIN(BK463,IF(AND(H463=1,C463="重要关系4",LEFT('幕间与结算'!H370,8)="建立新的重要关系"),'幕间与结算'!E370+E463,BT462+IF(C463="重要关系4",E463,0)+IF(AND(C463="魅力",E463&lt;0),E463,0))))</x:f>
        <x:v>0</x:v>
      </x:c>
      <x:c r="BU463">
        <x:f>MAX(0,MIN(BK463,IF(AND(H463=1,C463="重要关系5",LEFT('幕间与结算'!H370,8)="建立新的重要关系"),'幕间与结算'!E370+E463,BU462+IF(C463="重要关系5",E463,0)+IF(AND(C463="魅力",E463&lt;0),E463,0))))</x:f>
        <x:v>0</x:v>
      </x:c>
      <x:c r="BV463">
        <x:f>MAX(0,MIN(BK463,IF(AND(H463=1,C463="重要关系6",LEFT('幕间与结算'!H370,8)="建立新的重要关系"),'幕间与结算'!E370+E463,BV462+IF(C463="重要关系6",E463,0)+IF(AND(C463="魅力",E463&lt;0),E463,0))))</x:f>
        <x:v>0</x:v>
      </x:c>
      <x:c r="BW463">
        <x:f>MAX(0,MIN(BK463,IF(AND(H463=1,C463="重要关系7",LEFT('幕间与结算'!H370,8)="建立新的重要关系"),'幕间与结算'!E370+E463,BW462+IF(C463="重要关系7",E463,0)+IF(AND(C463="魅力",E463&lt;0),E463,0))))</x:f>
        <x:v>0</x:v>
      </x:c>
    </x:row>
    <x:row r="464">
      <x:c r="A464" t="str">
        <x:f>IFERROR(TEXT(VALUE('幕间与结算'!A371),"00"),"")</x:f>
        <x:v>00</x:v>
      </x:c>
      <x:c r="B464">
        <x:f>'幕间与结算'!B371</x:f>
        <x:v>0</x:v>
      </x:c>
      <x:c r="C464">
        <x:f>'幕间与结算'!D371</x:f>
        <x:v>0</x:v>
      </x:c>
      <x:c r="D464">
        <x:f>'幕间与结算'!F371</x:f>
        <x:v>0</x:v>
      </x:c>
      <x:c r="E464">
        <x:f>IF(H464=1,MAX(-'幕间与结算'!E371,MIN(D464,IF(LEFT(C464,3)="技能：",99,IF(COUNTIF($L$2:$L$7,C464)&gt;0,18,999))-'幕间与结算'!E371)),0)</x:f>
        <x:v>0</x:v>
      </x:c>
      <x:c r="F464" t="str">
        <x:f>IF(C464=0,"",IF(G464=0,"记录不完整",IF(H464=0,"重复未计","已计入")))</x:f>
        <x:v/>
      </x:c>
      <x:c r="G464">
        <x:f>IF(AND(AND('幕间与结算'!A371&lt;&gt;"",'幕间与结算'!B371&lt;&gt;"",'幕间与结算'!I371&lt;&gt;"",OR(LEFT(C464,3)="技能：",COUNTIF($L$2:$L$19,C464)&gt;0),ISNUMBER('幕间与结算'!E371),ISNUMBER('幕间与结算'!F371),ISNUMBER('幕间与结算'!G371),'幕间与结算'!E371&gt;=0,'幕间与结算'!G371='幕间与结算'!E371+'幕间与结算'!F371),OR(B464&lt;&gt;"成长",AND(LEFT(C464,3)="技能：",C464&lt;&gt;"技能：非自然知识",'幕间与结算'!E371&gt;=1,'幕间与结算'!E371&lt;=99,'幕间与结算'!F371&gt;=0,'幕间与结算'!F371&lt;=4,'幕间与结算'!G371&lt;=99))),1,0)</x:f>
        <x:v>0</x:v>
      </x:c>
      <x:c r="H464">
        <x:f>IF(AND(G464=1,COUNTIFS($I$200:I464,I464,$G$200:G464,1)=1),1,0)</x:f>
        <x:v>0</x:v>
      </x:c>
      <x:c r="I464" t="str">
        <x:f>IF(G464=1,IF(B464="成长",A464&amp;"-成长-"&amp;C464,'幕间与结算'!I371),"")</x:f>
        <x:v/>
      </x:c>
      <x:c r="BF464">
        <x:f>MAX(0,MIN(18,BF463+IF(C464="力量",E464,0)))</x:f>
        <x:v>0</x:v>
      </x:c>
      <x:c r="BG464">
        <x:f>MAX(0,MIN(18,BG463+IF(C464="体质",E464,0)))</x:f>
        <x:v>0</x:v>
      </x:c>
      <x:c r="BH464">
        <x:f>MAX(0,MIN(18,BH463+IF(C464="敏捷",E464,0)))</x:f>
        <x:v>0</x:v>
      </x:c>
      <x:c r="BI464">
        <x:f>MAX(0,MIN(18,BI463+IF(C464="智力",E464,0)))</x:f>
        <x:v>0</x:v>
      </x:c>
      <x:c r="BJ464">
        <x:f>MAX(0,MIN(18,BJ463+IF(C464="意志",E464,0)))</x:f>
        <x:v>0</x:v>
      </x:c>
      <x:c r="BK464">
        <x:f>MAX(0,MIN(18,BK463+IF(C464="魅力",E464,0)))</x:f>
        <x:v>0</x:v>
      </x:c>
      <x:c r="BL464">
        <x:f>MAX(0,MIN(99,BL463+IF(C464="技能：非自然知识",E464,0)))</x:f>
        <x:v>0</x:v>
      </x:c>
      <x:c r="BM464">
        <x:f>MAX(0,MIN(CEILING((BF464+BG464)/2,1),BM463+IF(C464="体力",E464,0)))</x:f>
        <x:v>0</x:v>
      </x:c>
      <x:c r="BN464">
        <x:f>MAX(0,MIN(BJ464,BN463+IF(C464="毅力",E464,0)))</x:f>
        <x:v>0</x:v>
      </x:c>
      <x:c r="BO464">
        <x:f>MAX(0,MIN(99-BL464,BO463+IF(C464="理智",E464,0)))</x:f>
        <x:v>0</x:v>
      </x:c>
      <x:c r="BP464">
        <x:f>MAX(0,MIN(99,BP463+IF(C464="崩溃点",E464,0)))</x:f>
        <x:v>0</x:v>
      </x:c>
      <x:c r="BQ464">
        <x:f>MAX(0,MIN(BK464,IF(AND(H464=1,C464="重要关系1",LEFT('幕间与结算'!H371,8)="建立新的重要关系"),'幕间与结算'!E371+E464,BQ463+IF(C464="重要关系1",E464,0)+IF(AND(C464="魅力",E464&lt;0),E464,0))))</x:f>
        <x:v>0</x:v>
      </x:c>
      <x:c r="BR464">
        <x:f>MAX(0,MIN(BK464,IF(AND(H464=1,C464="重要关系2",LEFT('幕间与结算'!H371,8)="建立新的重要关系"),'幕间与结算'!E371+E464,BR463+IF(C464="重要关系2",E464,0)+IF(AND(C464="魅力",E464&lt;0),E464,0))))</x:f>
        <x:v>0</x:v>
      </x:c>
      <x:c r="BS464">
        <x:f>MAX(0,MIN(BK464,IF(AND(H464=1,C464="重要关系3",LEFT('幕间与结算'!H371,8)="建立新的重要关系"),'幕间与结算'!E371+E464,BS463+IF(C464="重要关系3",E464,0)+IF(AND(C464="魅力",E464&lt;0),E464,0))))</x:f>
        <x:v>0</x:v>
      </x:c>
      <x:c r="BT464">
        <x:f>MAX(0,MIN(BK464,IF(AND(H464=1,C464="重要关系4",LEFT('幕间与结算'!H371,8)="建立新的重要关系"),'幕间与结算'!E371+E464,BT463+IF(C464="重要关系4",E464,0)+IF(AND(C464="魅力",E464&lt;0),E464,0))))</x:f>
        <x:v>0</x:v>
      </x:c>
      <x:c r="BU464">
        <x:f>MAX(0,MIN(BK464,IF(AND(H464=1,C464="重要关系5",LEFT('幕间与结算'!H371,8)="建立新的重要关系"),'幕间与结算'!E371+E464,BU463+IF(C464="重要关系5",E464,0)+IF(AND(C464="魅力",E464&lt;0),E464,0))))</x:f>
        <x:v>0</x:v>
      </x:c>
      <x:c r="BV464">
        <x:f>MAX(0,MIN(BK464,IF(AND(H464=1,C464="重要关系6",LEFT('幕间与结算'!H371,8)="建立新的重要关系"),'幕间与结算'!E371+E464,BV463+IF(C464="重要关系6",E464,0)+IF(AND(C464="魅力",E464&lt;0),E464,0))))</x:f>
        <x:v>0</x:v>
      </x:c>
      <x:c r="BW464">
        <x:f>MAX(0,MIN(BK464,IF(AND(H464=1,C464="重要关系7",LEFT('幕间与结算'!H371,8)="建立新的重要关系"),'幕间与结算'!E371+E464,BW463+IF(C464="重要关系7",E464,0)+IF(AND(C464="魅力",E464&lt;0),E464,0))))</x:f>
        <x:v>0</x:v>
      </x:c>
    </x:row>
    <x:row r="465">
      <x:c r="A465" t="str">
        <x:f>IFERROR(TEXT(VALUE('幕间与结算'!A372),"00"),"")</x:f>
        <x:v>00</x:v>
      </x:c>
      <x:c r="B465">
        <x:f>'幕间与结算'!B372</x:f>
        <x:v>0</x:v>
      </x:c>
      <x:c r="C465">
        <x:f>'幕间与结算'!D372</x:f>
        <x:v>0</x:v>
      </x:c>
      <x:c r="D465">
        <x:f>'幕间与结算'!F372</x:f>
        <x:v>0</x:v>
      </x:c>
      <x:c r="E465">
        <x:f>IF(H465=1,MAX(-'幕间与结算'!E372,MIN(D465,IF(LEFT(C465,3)="技能：",99,IF(COUNTIF($L$2:$L$7,C465)&gt;0,18,999))-'幕间与结算'!E372)),0)</x:f>
        <x:v>0</x:v>
      </x:c>
      <x:c r="F465" t="str">
        <x:f>IF(C465=0,"",IF(G465=0,"记录不完整",IF(H465=0,"重复未计","已计入")))</x:f>
        <x:v/>
      </x:c>
      <x:c r="G465">
        <x:f>IF(AND(AND('幕间与结算'!A372&lt;&gt;"",'幕间与结算'!B372&lt;&gt;"",'幕间与结算'!I372&lt;&gt;"",OR(LEFT(C465,3)="技能：",COUNTIF($L$2:$L$19,C465)&gt;0),ISNUMBER('幕间与结算'!E372),ISNUMBER('幕间与结算'!F372),ISNUMBER('幕间与结算'!G372),'幕间与结算'!E372&gt;=0,'幕间与结算'!G372='幕间与结算'!E372+'幕间与结算'!F372),OR(B465&lt;&gt;"成长",AND(LEFT(C465,3)="技能：",C465&lt;&gt;"技能：非自然知识",'幕间与结算'!E372&gt;=1,'幕间与结算'!E372&lt;=99,'幕间与结算'!F372&gt;=0,'幕间与结算'!F372&lt;=4,'幕间与结算'!G372&lt;=99))),1,0)</x:f>
        <x:v>0</x:v>
      </x:c>
      <x:c r="H465">
        <x:f>IF(AND(G465=1,COUNTIFS($I$200:I465,I465,$G$200:G465,1)=1),1,0)</x:f>
        <x:v>0</x:v>
      </x:c>
      <x:c r="I465" t="str">
        <x:f>IF(G465=1,IF(B465="成长",A465&amp;"-成长-"&amp;C465,'幕间与结算'!I372),"")</x:f>
        <x:v/>
      </x:c>
      <x:c r="BF465">
        <x:f>MAX(0,MIN(18,BF464+IF(C465="力量",E465,0)))</x:f>
        <x:v>0</x:v>
      </x:c>
      <x:c r="BG465">
        <x:f>MAX(0,MIN(18,BG464+IF(C465="体质",E465,0)))</x:f>
        <x:v>0</x:v>
      </x:c>
      <x:c r="BH465">
        <x:f>MAX(0,MIN(18,BH464+IF(C465="敏捷",E465,0)))</x:f>
        <x:v>0</x:v>
      </x:c>
      <x:c r="BI465">
        <x:f>MAX(0,MIN(18,BI464+IF(C465="智力",E465,0)))</x:f>
        <x:v>0</x:v>
      </x:c>
      <x:c r="BJ465">
        <x:f>MAX(0,MIN(18,BJ464+IF(C465="意志",E465,0)))</x:f>
        <x:v>0</x:v>
      </x:c>
      <x:c r="BK465">
        <x:f>MAX(0,MIN(18,BK464+IF(C465="魅力",E465,0)))</x:f>
        <x:v>0</x:v>
      </x:c>
      <x:c r="BL465">
        <x:f>MAX(0,MIN(99,BL464+IF(C465="技能：非自然知识",E465,0)))</x:f>
        <x:v>0</x:v>
      </x:c>
      <x:c r="BM465">
        <x:f>MAX(0,MIN(CEILING((BF465+BG465)/2,1),BM464+IF(C465="体力",E465,0)))</x:f>
        <x:v>0</x:v>
      </x:c>
      <x:c r="BN465">
        <x:f>MAX(0,MIN(BJ465,BN464+IF(C465="毅力",E465,0)))</x:f>
        <x:v>0</x:v>
      </x:c>
      <x:c r="BO465">
        <x:f>MAX(0,MIN(99-BL465,BO464+IF(C465="理智",E465,0)))</x:f>
        <x:v>0</x:v>
      </x:c>
      <x:c r="BP465">
        <x:f>MAX(0,MIN(99,BP464+IF(C465="崩溃点",E465,0)))</x:f>
        <x:v>0</x:v>
      </x:c>
      <x:c r="BQ465">
        <x:f>MAX(0,MIN(BK465,IF(AND(H465=1,C465="重要关系1",LEFT('幕间与结算'!H372,8)="建立新的重要关系"),'幕间与结算'!E372+E465,BQ464+IF(C465="重要关系1",E465,0)+IF(AND(C465="魅力",E465&lt;0),E465,0))))</x:f>
        <x:v>0</x:v>
      </x:c>
      <x:c r="BR465">
        <x:f>MAX(0,MIN(BK465,IF(AND(H465=1,C465="重要关系2",LEFT('幕间与结算'!H372,8)="建立新的重要关系"),'幕间与结算'!E372+E465,BR464+IF(C465="重要关系2",E465,0)+IF(AND(C465="魅力",E465&lt;0),E465,0))))</x:f>
        <x:v>0</x:v>
      </x:c>
      <x:c r="BS465">
        <x:f>MAX(0,MIN(BK465,IF(AND(H465=1,C465="重要关系3",LEFT('幕间与结算'!H372,8)="建立新的重要关系"),'幕间与结算'!E372+E465,BS464+IF(C465="重要关系3",E465,0)+IF(AND(C465="魅力",E465&lt;0),E465,0))))</x:f>
        <x:v>0</x:v>
      </x:c>
      <x:c r="BT465">
        <x:f>MAX(0,MIN(BK465,IF(AND(H465=1,C465="重要关系4",LEFT('幕间与结算'!H372,8)="建立新的重要关系"),'幕间与结算'!E372+E465,BT464+IF(C465="重要关系4",E465,0)+IF(AND(C465="魅力",E465&lt;0),E465,0))))</x:f>
        <x:v>0</x:v>
      </x:c>
      <x:c r="BU465">
        <x:f>MAX(0,MIN(BK465,IF(AND(H465=1,C465="重要关系5",LEFT('幕间与结算'!H372,8)="建立新的重要关系"),'幕间与结算'!E372+E465,BU464+IF(C465="重要关系5",E465,0)+IF(AND(C465="魅力",E465&lt;0),E465,0))))</x:f>
        <x:v>0</x:v>
      </x:c>
      <x:c r="BV465">
        <x:f>MAX(0,MIN(BK465,IF(AND(H465=1,C465="重要关系6",LEFT('幕间与结算'!H372,8)="建立新的重要关系"),'幕间与结算'!E372+E465,BV464+IF(C465="重要关系6",E465,0)+IF(AND(C465="魅力",E465&lt;0),E465,0))))</x:f>
        <x:v>0</x:v>
      </x:c>
      <x:c r="BW465">
        <x:f>MAX(0,MIN(BK465,IF(AND(H465=1,C465="重要关系7",LEFT('幕间与结算'!H372,8)="建立新的重要关系"),'幕间与结算'!E372+E465,BW464+IF(C465="重要关系7",E465,0)+IF(AND(C465="魅力",E465&lt;0),E465,0))))</x:f>
        <x:v>0</x:v>
      </x:c>
    </x:row>
    <x:row r="466">
      <x:c r="A466" t="str">
        <x:f>IFERROR(TEXT(VALUE('幕间与结算'!A373),"00"),"")</x:f>
        <x:v>00</x:v>
      </x:c>
      <x:c r="B466">
        <x:f>'幕间与结算'!B373</x:f>
        <x:v>0</x:v>
      </x:c>
      <x:c r="C466">
        <x:f>'幕间与结算'!D373</x:f>
        <x:v>0</x:v>
      </x:c>
      <x:c r="D466">
        <x:f>'幕间与结算'!F373</x:f>
        <x:v>0</x:v>
      </x:c>
      <x:c r="E466">
        <x:f>IF(H466=1,MAX(-'幕间与结算'!E373,MIN(D466,IF(LEFT(C466,3)="技能：",99,IF(COUNTIF($L$2:$L$7,C466)&gt;0,18,999))-'幕间与结算'!E373)),0)</x:f>
        <x:v>0</x:v>
      </x:c>
      <x:c r="F466" t="str">
        <x:f>IF(C466=0,"",IF(G466=0,"记录不完整",IF(H466=0,"重复未计","已计入")))</x:f>
        <x:v/>
      </x:c>
      <x:c r="G466">
        <x:f>IF(AND(AND('幕间与结算'!A373&lt;&gt;"",'幕间与结算'!B373&lt;&gt;"",'幕间与结算'!I373&lt;&gt;"",OR(LEFT(C466,3)="技能：",COUNTIF($L$2:$L$19,C466)&gt;0),ISNUMBER('幕间与结算'!E373),ISNUMBER('幕间与结算'!F373),ISNUMBER('幕间与结算'!G373),'幕间与结算'!E373&gt;=0,'幕间与结算'!G373='幕间与结算'!E373+'幕间与结算'!F373),OR(B466&lt;&gt;"成长",AND(LEFT(C466,3)="技能：",C466&lt;&gt;"技能：非自然知识",'幕间与结算'!E373&gt;=1,'幕间与结算'!E373&lt;=99,'幕间与结算'!F373&gt;=0,'幕间与结算'!F373&lt;=4,'幕间与结算'!G373&lt;=99))),1,0)</x:f>
        <x:v>0</x:v>
      </x:c>
      <x:c r="H466">
        <x:f>IF(AND(G466=1,COUNTIFS($I$200:I466,I466,$G$200:G466,1)=1),1,0)</x:f>
        <x:v>0</x:v>
      </x:c>
      <x:c r="I466" t="str">
        <x:f>IF(G466=1,IF(B466="成长",A466&amp;"-成长-"&amp;C466,'幕间与结算'!I373),"")</x:f>
        <x:v/>
      </x:c>
      <x:c r="BF466">
        <x:f>MAX(0,MIN(18,BF465+IF(C466="力量",E466,0)))</x:f>
        <x:v>0</x:v>
      </x:c>
      <x:c r="BG466">
        <x:f>MAX(0,MIN(18,BG465+IF(C466="体质",E466,0)))</x:f>
        <x:v>0</x:v>
      </x:c>
      <x:c r="BH466">
        <x:f>MAX(0,MIN(18,BH465+IF(C466="敏捷",E466,0)))</x:f>
        <x:v>0</x:v>
      </x:c>
      <x:c r="BI466">
        <x:f>MAX(0,MIN(18,BI465+IF(C466="智力",E466,0)))</x:f>
        <x:v>0</x:v>
      </x:c>
      <x:c r="BJ466">
        <x:f>MAX(0,MIN(18,BJ465+IF(C466="意志",E466,0)))</x:f>
        <x:v>0</x:v>
      </x:c>
      <x:c r="BK466">
        <x:f>MAX(0,MIN(18,BK465+IF(C466="魅力",E466,0)))</x:f>
        <x:v>0</x:v>
      </x:c>
      <x:c r="BL466">
        <x:f>MAX(0,MIN(99,BL465+IF(C466="技能：非自然知识",E466,0)))</x:f>
        <x:v>0</x:v>
      </x:c>
      <x:c r="BM466">
        <x:f>MAX(0,MIN(CEILING((BF466+BG466)/2,1),BM465+IF(C466="体力",E466,0)))</x:f>
        <x:v>0</x:v>
      </x:c>
      <x:c r="BN466">
        <x:f>MAX(0,MIN(BJ466,BN465+IF(C466="毅力",E466,0)))</x:f>
        <x:v>0</x:v>
      </x:c>
      <x:c r="BO466">
        <x:f>MAX(0,MIN(99-BL466,BO465+IF(C466="理智",E466,0)))</x:f>
        <x:v>0</x:v>
      </x:c>
      <x:c r="BP466">
        <x:f>MAX(0,MIN(99,BP465+IF(C466="崩溃点",E466,0)))</x:f>
        <x:v>0</x:v>
      </x:c>
      <x:c r="BQ466">
        <x:f>MAX(0,MIN(BK466,IF(AND(H466=1,C466="重要关系1",LEFT('幕间与结算'!H373,8)="建立新的重要关系"),'幕间与结算'!E373+E466,BQ465+IF(C466="重要关系1",E466,0)+IF(AND(C466="魅力",E466&lt;0),E466,0))))</x:f>
        <x:v>0</x:v>
      </x:c>
      <x:c r="BR466">
        <x:f>MAX(0,MIN(BK466,IF(AND(H466=1,C466="重要关系2",LEFT('幕间与结算'!H373,8)="建立新的重要关系"),'幕间与结算'!E373+E466,BR465+IF(C466="重要关系2",E466,0)+IF(AND(C466="魅力",E466&lt;0),E466,0))))</x:f>
        <x:v>0</x:v>
      </x:c>
      <x:c r="BS466">
        <x:f>MAX(0,MIN(BK466,IF(AND(H466=1,C466="重要关系3",LEFT('幕间与结算'!H373,8)="建立新的重要关系"),'幕间与结算'!E373+E466,BS465+IF(C466="重要关系3",E466,0)+IF(AND(C466="魅力",E466&lt;0),E466,0))))</x:f>
        <x:v>0</x:v>
      </x:c>
      <x:c r="BT466">
        <x:f>MAX(0,MIN(BK466,IF(AND(H466=1,C466="重要关系4",LEFT('幕间与结算'!H373,8)="建立新的重要关系"),'幕间与结算'!E373+E466,BT465+IF(C466="重要关系4",E466,0)+IF(AND(C466="魅力",E466&lt;0),E466,0))))</x:f>
        <x:v>0</x:v>
      </x:c>
      <x:c r="BU466">
        <x:f>MAX(0,MIN(BK466,IF(AND(H466=1,C466="重要关系5",LEFT('幕间与结算'!H373,8)="建立新的重要关系"),'幕间与结算'!E373+E466,BU465+IF(C466="重要关系5",E466,0)+IF(AND(C466="魅力",E466&lt;0),E466,0))))</x:f>
        <x:v>0</x:v>
      </x:c>
      <x:c r="BV466">
        <x:f>MAX(0,MIN(BK466,IF(AND(H466=1,C466="重要关系6",LEFT('幕间与结算'!H373,8)="建立新的重要关系"),'幕间与结算'!E373+E466,BV465+IF(C466="重要关系6",E466,0)+IF(AND(C466="魅力",E466&lt;0),E466,0))))</x:f>
        <x:v>0</x:v>
      </x:c>
      <x:c r="BW466">
        <x:f>MAX(0,MIN(BK466,IF(AND(H466=1,C466="重要关系7",LEFT('幕间与结算'!H373,8)="建立新的重要关系"),'幕间与结算'!E373+E466,BW465+IF(C466="重要关系7",E466,0)+IF(AND(C466="魅力",E466&lt;0),E466,0))))</x:f>
        <x:v>0</x:v>
      </x:c>
    </x:row>
    <x:row r="467">
      <x:c r="A467" t="str">
        <x:f>IFERROR(TEXT(VALUE('幕间与结算'!A374),"00"),"")</x:f>
        <x:v>00</x:v>
      </x:c>
      <x:c r="B467">
        <x:f>'幕间与结算'!B374</x:f>
        <x:v>0</x:v>
      </x:c>
      <x:c r="C467">
        <x:f>'幕间与结算'!D374</x:f>
        <x:v>0</x:v>
      </x:c>
      <x:c r="D467">
        <x:f>'幕间与结算'!F374</x:f>
        <x:v>0</x:v>
      </x:c>
      <x:c r="E467">
        <x:f>IF(H467=1,MAX(-'幕间与结算'!E374,MIN(D467,IF(LEFT(C467,3)="技能：",99,IF(COUNTIF($L$2:$L$7,C467)&gt;0,18,999))-'幕间与结算'!E374)),0)</x:f>
        <x:v>0</x:v>
      </x:c>
      <x:c r="F467" t="str">
        <x:f>IF(C467=0,"",IF(G467=0,"记录不完整",IF(H467=0,"重复未计","已计入")))</x:f>
        <x:v/>
      </x:c>
      <x:c r="G467">
        <x:f>IF(AND(AND('幕间与结算'!A374&lt;&gt;"",'幕间与结算'!B374&lt;&gt;"",'幕间与结算'!I374&lt;&gt;"",OR(LEFT(C467,3)="技能：",COUNTIF($L$2:$L$19,C467)&gt;0),ISNUMBER('幕间与结算'!E374),ISNUMBER('幕间与结算'!F374),ISNUMBER('幕间与结算'!G374),'幕间与结算'!E374&gt;=0,'幕间与结算'!G374='幕间与结算'!E374+'幕间与结算'!F374),OR(B467&lt;&gt;"成长",AND(LEFT(C467,3)="技能：",C467&lt;&gt;"技能：非自然知识",'幕间与结算'!E374&gt;=1,'幕间与结算'!E374&lt;=99,'幕间与结算'!F374&gt;=0,'幕间与结算'!F374&lt;=4,'幕间与结算'!G374&lt;=99))),1,0)</x:f>
        <x:v>0</x:v>
      </x:c>
      <x:c r="H467">
        <x:f>IF(AND(G467=1,COUNTIFS($I$200:I467,I467,$G$200:G467,1)=1),1,0)</x:f>
        <x:v>0</x:v>
      </x:c>
      <x:c r="I467" t="str">
        <x:f>IF(G467=1,IF(B467="成长",A467&amp;"-成长-"&amp;C467,'幕间与结算'!I374),"")</x:f>
        <x:v/>
      </x:c>
      <x:c r="BF467">
        <x:f>MAX(0,MIN(18,BF466+IF(C467="力量",E467,0)))</x:f>
        <x:v>0</x:v>
      </x:c>
      <x:c r="BG467">
        <x:f>MAX(0,MIN(18,BG466+IF(C467="体质",E467,0)))</x:f>
        <x:v>0</x:v>
      </x:c>
      <x:c r="BH467">
        <x:f>MAX(0,MIN(18,BH466+IF(C467="敏捷",E467,0)))</x:f>
        <x:v>0</x:v>
      </x:c>
      <x:c r="BI467">
        <x:f>MAX(0,MIN(18,BI466+IF(C467="智力",E467,0)))</x:f>
        <x:v>0</x:v>
      </x:c>
      <x:c r="BJ467">
        <x:f>MAX(0,MIN(18,BJ466+IF(C467="意志",E467,0)))</x:f>
        <x:v>0</x:v>
      </x:c>
      <x:c r="BK467">
        <x:f>MAX(0,MIN(18,BK466+IF(C467="魅力",E467,0)))</x:f>
        <x:v>0</x:v>
      </x:c>
      <x:c r="BL467">
        <x:f>MAX(0,MIN(99,BL466+IF(C467="技能：非自然知识",E467,0)))</x:f>
        <x:v>0</x:v>
      </x:c>
      <x:c r="BM467">
        <x:f>MAX(0,MIN(CEILING((BF467+BG467)/2,1),BM466+IF(C467="体力",E467,0)))</x:f>
        <x:v>0</x:v>
      </x:c>
      <x:c r="BN467">
        <x:f>MAX(0,MIN(BJ467,BN466+IF(C467="毅力",E467,0)))</x:f>
        <x:v>0</x:v>
      </x:c>
      <x:c r="BO467">
        <x:f>MAX(0,MIN(99-BL467,BO466+IF(C467="理智",E467,0)))</x:f>
        <x:v>0</x:v>
      </x:c>
      <x:c r="BP467">
        <x:f>MAX(0,MIN(99,BP466+IF(C467="崩溃点",E467,0)))</x:f>
        <x:v>0</x:v>
      </x:c>
      <x:c r="BQ467">
        <x:f>MAX(0,MIN(BK467,IF(AND(H467=1,C467="重要关系1",LEFT('幕间与结算'!H374,8)="建立新的重要关系"),'幕间与结算'!E374+E467,BQ466+IF(C467="重要关系1",E467,0)+IF(AND(C467="魅力",E467&lt;0),E467,0))))</x:f>
        <x:v>0</x:v>
      </x:c>
      <x:c r="BR467">
        <x:f>MAX(0,MIN(BK467,IF(AND(H467=1,C467="重要关系2",LEFT('幕间与结算'!H374,8)="建立新的重要关系"),'幕间与结算'!E374+E467,BR466+IF(C467="重要关系2",E467,0)+IF(AND(C467="魅力",E467&lt;0),E467,0))))</x:f>
        <x:v>0</x:v>
      </x:c>
      <x:c r="BS467">
        <x:f>MAX(0,MIN(BK467,IF(AND(H467=1,C467="重要关系3",LEFT('幕间与结算'!H374,8)="建立新的重要关系"),'幕间与结算'!E374+E467,BS466+IF(C467="重要关系3",E467,0)+IF(AND(C467="魅力",E467&lt;0),E467,0))))</x:f>
        <x:v>0</x:v>
      </x:c>
      <x:c r="BT467">
        <x:f>MAX(0,MIN(BK467,IF(AND(H467=1,C467="重要关系4",LEFT('幕间与结算'!H374,8)="建立新的重要关系"),'幕间与结算'!E374+E467,BT466+IF(C467="重要关系4",E467,0)+IF(AND(C467="魅力",E467&lt;0),E467,0))))</x:f>
        <x:v>0</x:v>
      </x:c>
      <x:c r="BU467">
        <x:f>MAX(0,MIN(BK467,IF(AND(H467=1,C467="重要关系5",LEFT('幕间与结算'!H374,8)="建立新的重要关系"),'幕间与结算'!E374+E467,BU466+IF(C467="重要关系5",E467,0)+IF(AND(C467="魅力",E467&lt;0),E467,0))))</x:f>
        <x:v>0</x:v>
      </x:c>
      <x:c r="BV467">
        <x:f>MAX(0,MIN(BK467,IF(AND(H467=1,C467="重要关系6",LEFT('幕间与结算'!H374,8)="建立新的重要关系"),'幕间与结算'!E374+E467,BV466+IF(C467="重要关系6",E467,0)+IF(AND(C467="魅力",E467&lt;0),E467,0))))</x:f>
        <x:v>0</x:v>
      </x:c>
      <x:c r="BW467">
        <x:f>MAX(0,MIN(BK467,IF(AND(H467=1,C467="重要关系7",LEFT('幕间与结算'!H374,8)="建立新的重要关系"),'幕间与结算'!E374+E467,BW466+IF(C467="重要关系7",E467,0)+IF(AND(C467="魅力",E467&lt;0),E467,0))))</x:f>
        <x:v>0</x:v>
      </x:c>
    </x:row>
    <x:row r="468">
      <x:c r="A468" t="str">
        <x:f>IFERROR(TEXT(VALUE('幕间与结算'!A375),"00"),"")</x:f>
        <x:v>00</x:v>
      </x:c>
      <x:c r="B468">
        <x:f>'幕间与结算'!B375</x:f>
        <x:v>0</x:v>
      </x:c>
      <x:c r="C468">
        <x:f>'幕间与结算'!D375</x:f>
        <x:v>0</x:v>
      </x:c>
      <x:c r="D468">
        <x:f>'幕间与结算'!F375</x:f>
        <x:v>0</x:v>
      </x:c>
      <x:c r="E468">
        <x:f>IF(H468=1,MAX(-'幕间与结算'!E375,MIN(D468,IF(LEFT(C468,3)="技能：",99,IF(COUNTIF($L$2:$L$7,C468)&gt;0,18,999))-'幕间与结算'!E375)),0)</x:f>
        <x:v>0</x:v>
      </x:c>
      <x:c r="F468" t="str">
        <x:f>IF(C468=0,"",IF(G468=0,"记录不完整",IF(H468=0,"重复未计","已计入")))</x:f>
        <x:v/>
      </x:c>
      <x:c r="G468">
        <x:f>IF(AND(AND('幕间与结算'!A375&lt;&gt;"",'幕间与结算'!B375&lt;&gt;"",'幕间与结算'!I375&lt;&gt;"",OR(LEFT(C468,3)="技能：",COUNTIF($L$2:$L$19,C468)&gt;0),ISNUMBER('幕间与结算'!E375),ISNUMBER('幕间与结算'!F375),ISNUMBER('幕间与结算'!G375),'幕间与结算'!E375&gt;=0,'幕间与结算'!G375='幕间与结算'!E375+'幕间与结算'!F375),OR(B468&lt;&gt;"成长",AND(LEFT(C468,3)="技能：",C468&lt;&gt;"技能：非自然知识",'幕间与结算'!E375&gt;=1,'幕间与结算'!E375&lt;=99,'幕间与结算'!F375&gt;=0,'幕间与结算'!F375&lt;=4,'幕间与结算'!G375&lt;=99))),1,0)</x:f>
        <x:v>0</x:v>
      </x:c>
      <x:c r="H468">
        <x:f>IF(AND(G468=1,COUNTIFS($I$200:I468,I468,$G$200:G468,1)=1),1,0)</x:f>
        <x:v>0</x:v>
      </x:c>
      <x:c r="I468" t="str">
        <x:f>IF(G468=1,IF(B468="成长",A468&amp;"-成长-"&amp;C468,'幕间与结算'!I375),"")</x:f>
        <x:v/>
      </x:c>
      <x:c r="BF468">
        <x:f>MAX(0,MIN(18,BF467+IF(C468="力量",E468,0)))</x:f>
        <x:v>0</x:v>
      </x:c>
      <x:c r="BG468">
        <x:f>MAX(0,MIN(18,BG467+IF(C468="体质",E468,0)))</x:f>
        <x:v>0</x:v>
      </x:c>
      <x:c r="BH468">
        <x:f>MAX(0,MIN(18,BH467+IF(C468="敏捷",E468,0)))</x:f>
        <x:v>0</x:v>
      </x:c>
      <x:c r="BI468">
        <x:f>MAX(0,MIN(18,BI467+IF(C468="智力",E468,0)))</x:f>
        <x:v>0</x:v>
      </x:c>
      <x:c r="BJ468">
        <x:f>MAX(0,MIN(18,BJ467+IF(C468="意志",E468,0)))</x:f>
        <x:v>0</x:v>
      </x:c>
      <x:c r="BK468">
        <x:f>MAX(0,MIN(18,BK467+IF(C468="魅力",E468,0)))</x:f>
        <x:v>0</x:v>
      </x:c>
      <x:c r="BL468">
        <x:f>MAX(0,MIN(99,BL467+IF(C468="技能：非自然知识",E468,0)))</x:f>
        <x:v>0</x:v>
      </x:c>
      <x:c r="BM468">
        <x:f>MAX(0,MIN(CEILING((BF468+BG468)/2,1),BM467+IF(C468="体力",E468,0)))</x:f>
        <x:v>0</x:v>
      </x:c>
      <x:c r="BN468">
        <x:f>MAX(0,MIN(BJ468,BN467+IF(C468="毅力",E468,0)))</x:f>
        <x:v>0</x:v>
      </x:c>
      <x:c r="BO468">
        <x:f>MAX(0,MIN(99-BL468,BO467+IF(C468="理智",E468,0)))</x:f>
        <x:v>0</x:v>
      </x:c>
      <x:c r="BP468">
        <x:f>MAX(0,MIN(99,BP467+IF(C468="崩溃点",E468,0)))</x:f>
        <x:v>0</x:v>
      </x:c>
      <x:c r="BQ468">
        <x:f>MAX(0,MIN(BK468,IF(AND(H468=1,C468="重要关系1",LEFT('幕间与结算'!H375,8)="建立新的重要关系"),'幕间与结算'!E375+E468,BQ467+IF(C468="重要关系1",E468,0)+IF(AND(C468="魅力",E468&lt;0),E468,0))))</x:f>
        <x:v>0</x:v>
      </x:c>
      <x:c r="BR468">
        <x:f>MAX(0,MIN(BK468,IF(AND(H468=1,C468="重要关系2",LEFT('幕间与结算'!H375,8)="建立新的重要关系"),'幕间与结算'!E375+E468,BR467+IF(C468="重要关系2",E468,0)+IF(AND(C468="魅力",E468&lt;0),E468,0))))</x:f>
        <x:v>0</x:v>
      </x:c>
      <x:c r="BS468">
        <x:f>MAX(0,MIN(BK468,IF(AND(H468=1,C468="重要关系3",LEFT('幕间与结算'!H375,8)="建立新的重要关系"),'幕间与结算'!E375+E468,BS467+IF(C468="重要关系3",E468,0)+IF(AND(C468="魅力",E468&lt;0),E468,0))))</x:f>
        <x:v>0</x:v>
      </x:c>
      <x:c r="BT468">
        <x:f>MAX(0,MIN(BK468,IF(AND(H468=1,C468="重要关系4",LEFT('幕间与结算'!H375,8)="建立新的重要关系"),'幕间与结算'!E375+E468,BT467+IF(C468="重要关系4",E468,0)+IF(AND(C468="魅力",E468&lt;0),E468,0))))</x:f>
        <x:v>0</x:v>
      </x:c>
      <x:c r="BU468">
        <x:f>MAX(0,MIN(BK468,IF(AND(H468=1,C468="重要关系5",LEFT('幕间与结算'!H375,8)="建立新的重要关系"),'幕间与结算'!E375+E468,BU467+IF(C468="重要关系5",E468,0)+IF(AND(C468="魅力",E468&lt;0),E468,0))))</x:f>
        <x:v>0</x:v>
      </x:c>
      <x:c r="BV468">
        <x:f>MAX(0,MIN(BK468,IF(AND(H468=1,C468="重要关系6",LEFT('幕间与结算'!H375,8)="建立新的重要关系"),'幕间与结算'!E375+E468,BV467+IF(C468="重要关系6",E468,0)+IF(AND(C468="魅力",E468&lt;0),E468,0))))</x:f>
        <x:v>0</x:v>
      </x:c>
      <x:c r="BW468">
        <x:f>MAX(0,MIN(BK468,IF(AND(H468=1,C468="重要关系7",LEFT('幕间与结算'!H375,8)="建立新的重要关系"),'幕间与结算'!E375+E468,BW467+IF(C468="重要关系7",E468,0)+IF(AND(C468="魅力",E468&lt;0),E468,0))))</x:f>
        <x:v>0</x:v>
      </x:c>
    </x:row>
    <x:row r="469">
      <x:c r="A469" t="str">
        <x:f>IFERROR(TEXT(VALUE('幕间与结算'!A376),"00"),"")</x:f>
        <x:v>00</x:v>
      </x:c>
      <x:c r="B469">
        <x:f>'幕间与结算'!B376</x:f>
        <x:v>0</x:v>
      </x:c>
      <x:c r="C469">
        <x:f>'幕间与结算'!D376</x:f>
        <x:v>0</x:v>
      </x:c>
      <x:c r="D469">
        <x:f>'幕间与结算'!F376</x:f>
        <x:v>0</x:v>
      </x:c>
      <x:c r="E469">
        <x:f>IF(H469=1,MAX(-'幕间与结算'!E376,MIN(D469,IF(LEFT(C469,3)="技能：",99,IF(COUNTIF($L$2:$L$7,C469)&gt;0,18,999))-'幕间与结算'!E376)),0)</x:f>
        <x:v>0</x:v>
      </x:c>
      <x:c r="F469" t="str">
        <x:f>IF(C469=0,"",IF(G469=0,"记录不完整",IF(H469=0,"重复未计","已计入")))</x:f>
        <x:v/>
      </x:c>
      <x:c r="G469">
        <x:f>IF(AND(AND('幕间与结算'!A376&lt;&gt;"",'幕间与结算'!B376&lt;&gt;"",'幕间与结算'!I376&lt;&gt;"",OR(LEFT(C469,3)="技能：",COUNTIF($L$2:$L$19,C469)&gt;0),ISNUMBER('幕间与结算'!E376),ISNUMBER('幕间与结算'!F376),ISNUMBER('幕间与结算'!G376),'幕间与结算'!E376&gt;=0,'幕间与结算'!G376='幕间与结算'!E376+'幕间与结算'!F376),OR(B469&lt;&gt;"成长",AND(LEFT(C469,3)="技能：",C469&lt;&gt;"技能：非自然知识",'幕间与结算'!E376&gt;=1,'幕间与结算'!E376&lt;=99,'幕间与结算'!F376&gt;=0,'幕间与结算'!F376&lt;=4,'幕间与结算'!G376&lt;=99))),1,0)</x:f>
        <x:v>0</x:v>
      </x:c>
      <x:c r="H469">
        <x:f>IF(AND(G469=1,COUNTIFS($I$200:I469,I469,$G$200:G469,1)=1),1,0)</x:f>
        <x:v>0</x:v>
      </x:c>
      <x:c r="I469" t="str">
        <x:f>IF(G469=1,IF(B469="成长",A469&amp;"-成长-"&amp;C469,'幕间与结算'!I376),"")</x:f>
        <x:v/>
      </x:c>
      <x:c r="BF469">
        <x:f>MAX(0,MIN(18,BF468+IF(C469="力量",E469,0)))</x:f>
        <x:v>0</x:v>
      </x:c>
      <x:c r="BG469">
        <x:f>MAX(0,MIN(18,BG468+IF(C469="体质",E469,0)))</x:f>
        <x:v>0</x:v>
      </x:c>
      <x:c r="BH469">
        <x:f>MAX(0,MIN(18,BH468+IF(C469="敏捷",E469,0)))</x:f>
        <x:v>0</x:v>
      </x:c>
      <x:c r="BI469">
        <x:f>MAX(0,MIN(18,BI468+IF(C469="智力",E469,0)))</x:f>
        <x:v>0</x:v>
      </x:c>
      <x:c r="BJ469">
        <x:f>MAX(0,MIN(18,BJ468+IF(C469="意志",E469,0)))</x:f>
        <x:v>0</x:v>
      </x:c>
      <x:c r="BK469">
        <x:f>MAX(0,MIN(18,BK468+IF(C469="魅力",E469,0)))</x:f>
        <x:v>0</x:v>
      </x:c>
      <x:c r="BL469">
        <x:f>MAX(0,MIN(99,BL468+IF(C469="技能：非自然知识",E469,0)))</x:f>
        <x:v>0</x:v>
      </x:c>
      <x:c r="BM469">
        <x:f>MAX(0,MIN(CEILING((BF469+BG469)/2,1),BM468+IF(C469="体力",E469,0)))</x:f>
        <x:v>0</x:v>
      </x:c>
      <x:c r="BN469">
        <x:f>MAX(0,MIN(BJ469,BN468+IF(C469="毅力",E469,0)))</x:f>
        <x:v>0</x:v>
      </x:c>
      <x:c r="BO469">
        <x:f>MAX(0,MIN(99-BL469,BO468+IF(C469="理智",E469,0)))</x:f>
        <x:v>0</x:v>
      </x:c>
      <x:c r="BP469">
        <x:f>MAX(0,MIN(99,BP468+IF(C469="崩溃点",E469,0)))</x:f>
        <x:v>0</x:v>
      </x:c>
      <x:c r="BQ469">
        <x:f>MAX(0,MIN(BK469,IF(AND(H469=1,C469="重要关系1",LEFT('幕间与结算'!H376,8)="建立新的重要关系"),'幕间与结算'!E376+E469,BQ468+IF(C469="重要关系1",E469,0)+IF(AND(C469="魅力",E469&lt;0),E469,0))))</x:f>
        <x:v>0</x:v>
      </x:c>
      <x:c r="BR469">
        <x:f>MAX(0,MIN(BK469,IF(AND(H469=1,C469="重要关系2",LEFT('幕间与结算'!H376,8)="建立新的重要关系"),'幕间与结算'!E376+E469,BR468+IF(C469="重要关系2",E469,0)+IF(AND(C469="魅力",E469&lt;0),E469,0))))</x:f>
        <x:v>0</x:v>
      </x:c>
      <x:c r="BS469">
        <x:f>MAX(0,MIN(BK469,IF(AND(H469=1,C469="重要关系3",LEFT('幕间与结算'!H376,8)="建立新的重要关系"),'幕间与结算'!E376+E469,BS468+IF(C469="重要关系3",E469,0)+IF(AND(C469="魅力",E469&lt;0),E469,0))))</x:f>
        <x:v>0</x:v>
      </x:c>
      <x:c r="BT469">
        <x:f>MAX(0,MIN(BK469,IF(AND(H469=1,C469="重要关系4",LEFT('幕间与结算'!H376,8)="建立新的重要关系"),'幕间与结算'!E376+E469,BT468+IF(C469="重要关系4",E469,0)+IF(AND(C469="魅力",E469&lt;0),E469,0))))</x:f>
        <x:v>0</x:v>
      </x:c>
      <x:c r="BU469">
        <x:f>MAX(0,MIN(BK469,IF(AND(H469=1,C469="重要关系5",LEFT('幕间与结算'!H376,8)="建立新的重要关系"),'幕间与结算'!E376+E469,BU468+IF(C469="重要关系5",E469,0)+IF(AND(C469="魅力",E469&lt;0),E469,0))))</x:f>
        <x:v>0</x:v>
      </x:c>
      <x:c r="BV469">
        <x:f>MAX(0,MIN(BK469,IF(AND(H469=1,C469="重要关系6",LEFT('幕间与结算'!H376,8)="建立新的重要关系"),'幕间与结算'!E376+E469,BV468+IF(C469="重要关系6",E469,0)+IF(AND(C469="魅力",E469&lt;0),E469,0))))</x:f>
        <x:v>0</x:v>
      </x:c>
      <x:c r="BW469">
        <x:f>MAX(0,MIN(BK469,IF(AND(H469=1,C469="重要关系7",LEFT('幕间与结算'!H376,8)="建立新的重要关系"),'幕间与结算'!E376+E469,BW468+IF(C469="重要关系7",E469,0)+IF(AND(C469="魅力",E469&lt;0),E469,0))))</x:f>
        <x:v>0</x:v>
      </x:c>
    </x:row>
    <x:row r="470">
      <x:c r="A470" t="str">
        <x:f>IFERROR(TEXT(VALUE('幕间与结算'!A377),"00"),"")</x:f>
        <x:v>00</x:v>
      </x:c>
      <x:c r="B470">
        <x:f>'幕间与结算'!B377</x:f>
        <x:v>0</x:v>
      </x:c>
      <x:c r="C470">
        <x:f>'幕间与结算'!D377</x:f>
        <x:v>0</x:v>
      </x:c>
      <x:c r="D470">
        <x:f>'幕间与结算'!F377</x:f>
        <x:v>0</x:v>
      </x:c>
      <x:c r="E470">
        <x:f>IF(H470=1,MAX(-'幕间与结算'!E377,MIN(D470,IF(LEFT(C470,3)="技能：",99,IF(COUNTIF($L$2:$L$7,C470)&gt;0,18,999))-'幕间与结算'!E377)),0)</x:f>
        <x:v>0</x:v>
      </x:c>
      <x:c r="F470" t="str">
        <x:f>IF(C470=0,"",IF(G470=0,"记录不完整",IF(H470=0,"重复未计","已计入")))</x:f>
        <x:v/>
      </x:c>
      <x:c r="G470">
        <x:f>IF(AND(AND('幕间与结算'!A377&lt;&gt;"",'幕间与结算'!B377&lt;&gt;"",'幕间与结算'!I377&lt;&gt;"",OR(LEFT(C470,3)="技能：",COUNTIF($L$2:$L$19,C470)&gt;0),ISNUMBER('幕间与结算'!E377),ISNUMBER('幕间与结算'!F377),ISNUMBER('幕间与结算'!G377),'幕间与结算'!E377&gt;=0,'幕间与结算'!G377='幕间与结算'!E377+'幕间与结算'!F377),OR(B470&lt;&gt;"成长",AND(LEFT(C470,3)="技能：",C470&lt;&gt;"技能：非自然知识",'幕间与结算'!E377&gt;=1,'幕间与结算'!E377&lt;=99,'幕间与结算'!F377&gt;=0,'幕间与结算'!F377&lt;=4,'幕间与结算'!G377&lt;=99))),1,0)</x:f>
        <x:v>0</x:v>
      </x:c>
      <x:c r="H470">
        <x:f>IF(AND(G470=1,COUNTIFS($I$200:I470,I470,$G$200:G470,1)=1),1,0)</x:f>
        <x:v>0</x:v>
      </x:c>
      <x:c r="I470" t="str">
        <x:f>IF(G470=1,IF(B470="成长",A470&amp;"-成长-"&amp;C470,'幕间与结算'!I377),"")</x:f>
        <x:v/>
      </x:c>
      <x:c r="BF470">
        <x:f>MAX(0,MIN(18,BF469+IF(C470="力量",E470,0)))</x:f>
        <x:v>0</x:v>
      </x:c>
      <x:c r="BG470">
        <x:f>MAX(0,MIN(18,BG469+IF(C470="体质",E470,0)))</x:f>
        <x:v>0</x:v>
      </x:c>
      <x:c r="BH470">
        <x:f>MAX(0,MIN(18,BH469+IF(C470="敏捷",E470,0)))</x:f>
        <x:v>0</x:v>
      </x:c>
      <x:c r="BI470">
        <x:f>MAX(0,MIN(18,BI469+IF(C470="智力",E470,0)))</x:f>
        <x:v>0</x:v>
      </x:c>
      <x:c r="BJ470">
        <x:f>MAX(0,MIN(18,BJ469+IF(C470="意志",E470,0)))</x:f>
        <x:v>0</x:v>
      </x:c>
      <x:c r="BK470">
        <x:f>MAX(0,MIN(18,BK469+IF(C470="魅力",E470,0)))</x:f>
        <x:v>0</x:v>
      </x:c>
      <x:c r="BL470">
        <x:f>MAX(0,MIN(99,BL469+IF(C470="技能：非自然知识",E470,0)))</x:f>
        <x:v>0</x:v>
      </x:c>
      <x:c r="BM470">
        <x:f>MAX(0,MIN(CEILING((BF470+BG470)/2,1),BM469+IF(C470="体力",E470,0)))</x:f>
        <x:v>0</x:v>
      </x:c>
      <x:c r="BN470">
        <x:f>MAX(0,MIN(BJ470,BN469+IF(C470="毅力",E470,0)))</x:f>
        <x:v>0</x:v>
      </x:c>
      <x:c r="BO470">
        <x:f>MAX(0,MIN(99-BL470,BO469+IF(C470="理智",E470,0)))</x:f>
        <x:v>0</x:v>
      </x:c>
      <x:c r="BP470">
        <x:f>MAX(0,MIN(99,BP469+IF(C470="崩溃点",E470,0)))</x:f>
        <x:v>0</x:v>
      </x:c>
      <x:c r="BQ470">
        <x:f>MAX(0,MIN(BK470,IF(AND(H470=1,C470="重要关系1",LEFT('幕间与结算'!H377,8)="建立新的重要关系"),'幕间与结算'!E377+E470,BQ469+IF(C470="重要关系1",E470,0)+IF(AND(C470="魅力",E470&lt;0),E470,0))))</x:f>
        <x:v>0</x:v>
      </x:c>
      <x:c r="BR470">
        <x:f>MAX(0,MIN(BK470,IF(AND(H470=1,C470="重要关系2",LEFT('幕间与结算'!H377,8)="建立新的重要关系"),'幕间与结算'!E377+E470,BR469+IF(C470="重要关系2",E470,0)+IF(AND(C470="魅力",E470&lt;0),E470,0))))</x:f>
        <x:v>0</x:v>
      </x:c>
      <x:c r="BS470">
        <x:f>MAX(0,MIN(BK470,IF(AND(H470=1,C470="重要关系3",LEFT('幕间与结算'!H377,8)="建立新的重要关系"),'幕间与结算'!E377+E470,BS469+IF(C470="重要关系3",E470,0)+IF(AND(C470="魅力",E470&lt;0),E470,0))))</x:f>
        <x:v>0</x:v>
      </x:c>
      <x:c r="BT470">
        <x:f>MAX(0,MIN(BK470,IF(AND(H470=1,C470="重要关系4",LEFT('幕间与结算'!H377,8)="建立新的重要关系"),'幕间与结算'!E377+E470,BT469+IF(C470="重要关系4",E470,0)+IF(AND(C470="魅力",E470&lt;0),E470,0))))</x:f>
        <x:v>0</x:v>
      </x:c>
      <x:c r="BU470">
        <x:f>MAX(0,MIN(BK470,IF(AND(H470=1,C470="重要关系5",LEFT('幕间与结算'!H377,8)="建立新的重要关系"),'幕间与结算'!E377+E470,BU469+IF(C470="重要关系5",E470,0)+IF(AND(C470="魅力",E470&lt;0),E470,0))))</x:f>
        <x:v>0</x:v>
      </x:c>
      <x:c r="BV470">
        <x:f>MAX(0,MIN(BK470,IF(AND(H470=1,C470="重要关系6",LEFT('幕间与结算'!H377,8)="建立新的重要关系"),'幕间与结算'!E377+E470,BV469+IF(C470="重要关系6",E470,0)+IF(AND(C470="魅力",E470&lt;0),E470,0))))</x:f>
        <x:v>0</x:v>
      </x:c>
      <x:c r="BW470">
        <x:f>MAX(0,MIN(BK470,IF(AND(H470=1,C470="重要关系7",LEFT('幕间与结算'!H377,8)="建立新的重要关系"),'幕间与结算'!E377+E470,BW469+IF(C470="重要关系7",E470,0)+IF(AND(C470="魅力",E470&lt;0),E470,0))))</x:f>
        <x:v>0</x:v>
      </x:c>
    </x:row>
    <x:row r="471">
      <x:c r="A471" t="str">
        <x:f>IFERROR(TEXT(VALUE('幕间与结算'!A378),"00"),"")</x:f>
        <x:v>00</x:v>
      </x:c>
      <x:c r="B471">
        <x:f>'幕间与结算'!B378</x:f>
        <x:v>0</x:v>
      </x:c>
      <x:c r="C471">
        <x:f>'幕间与结算'!D378</x:f>
        <x:v>0</x:v>
      </x:c>
      <x:c r="D471">
        <x:f>'幕间与结算'!F378</x:f>
        <x:v>0</x:v>
      </x:c>
      <x:c r="E471">
        <x:f>IF(H471=1,MAX(-'幕间与结算'!E378,MIN(D471,IF(LEFT(C471,3)="技能：",99,IF(COUNTIF($L$2:$L$7,C471)&gt;0,18,999))-'幕间与结算'!E378)),0)</x:f>
        <x:v>0</x:v>
      </x:c>
      <x:c r="F471" t="str">
        <x:f>IF(C471=0,"",IF(G471=0,"记录不完整",IF(H471=0,"重复未计","已计入")))</x:f>
        <x:v/>
      </x:c>
      <x:c r="G471">
        <x:f>IF(AND(AND('幕间与结算'!A378&lt;&gt;"",'幕间与结算'!B378&lt;&gt;"",'幕间与结算'!I378&lt;&gt;"",OR(LEFT(C471,3)="技能：",COUNTIF($L$2:$L$19,C471)&gt;0),ISNUMBER('幕间与结算'!E378),ISNUMBER('幕间与结算'!F378),ISNUMBER('幕间与结算'!G378),'幕间与结算'!E378&gt;=0,'幕间与结算'!G378='幕间与结算'!E378+'幕间与结算'!F378),OR(B471&lt;&gt;"成长",AND(LEFT(C471,3)="技能：",C471&lt;&gt;"技能：非自然知识",'幕间与结算'!E378&gt;=1,'幕间与结算'!E378&lt;=99,'幕间与结算'!F378&gt;=0,'幕间与结算'!F378&lt;=4,'幕间与结算'!G378&lt;=99))),1,0)</x:f>
        <x:v>0</x:v>
      </x:c>
      <x:c r="H471">
        <x:f>IF(AND(G471=1,COUNTIFS($I$200:I471,I471,$G$200:G471,1)=1),1,0)</x:f>
        <x:v>0</x:v>
      </x:c>
      <x:c r="I471" t="str">
        <x:f>IF(G471=1,IF(B471="成长",A471&amp;"-成长-"&amp;C471,'幕间与结算'!I378),"")</x:f>
        <x:v/>
      </x:c>
      <x:c r="BF471">
        <x:f>MAX(0,MIN(18,BF470+IF(C471="力量",E471,0)))</x:f>
        <x:v>0</x:v>
      </x:c>
      <x:c r="BG471">
        <x:f>MAX(0,MIN(18,BG470+IF(C471="体质",E471,0)))</x:f>
        <x:v>0</x:v>
      </x:c>
      <x:c r="BH471">
        <x:f>MAX(0,MIN(18,BH470+IF(C471="敏捷",E471,0)))</x:f>
        <x:v>0</x:v>
      </x:c>
      <x:c r="BI471">
        <x:f>MAX(0,MIN(18,BI470+IF(C471="智力",E471,0)))</x:f>
        <x:v>0</x:v>
      </x:c>
      <x:c r="BJ471">
        <x:f>MAX(0,MIN(18,BJ470+IF(C471="意志",E471,0)))</x:f>
        <x:v>0</x:v>
      </x:c>
      <x:c r="BK471">
        <x:f>MAX(0,MIN(18,BK470+IF(C471="魅力",E471,0)))</x:f>
        <x:v>0</x:v>
      </x:c>
      <x:c r="BL471">
        <x:f>MAX(0,MIN(99,BL470+IF(C471="技能：非自然知识",E471,0)))</x:f>
        <x:v>0</x:v>
      </x:c>
      <x:c r="BM471">
        <x:f>MAX(0,MIN(CEILING((BF471+BG471)/2,1),BM470+IF(C471="体力",E471,0)))</x:f>
        <x:v>0</x:v>
      </x:c>
      <x:c r="BN471">
        <x:f>MAX(0,MIN(BJ471,BN470+IF(C471="毅力",E471,0)))</x:f>
        <x:v>0</x:v>
      </x:c>
      <x:c r="BO471">
        <x:f>MAX(0,MIN(99-BL471,BO470+IF(C471="理智",E471,0)))</x:f>
        <x:v>0</x:v>
      </x:c>
      <x:c r="BP471">
        <x:f>MAX(0,MIN(99,BP470+IF(C471="崩溃点",E471,0)))</x:f>
        <x:v>0</x:v>
      </x:c>
      <x:c r="BQ471">
        <x:f>MAX(0,MIN(BK471,IF(AND(H471=1,C471="重要关系1",LEFT('幕间与结算'!H378,8)="建立新的重要关系"),'幕间与结算'!E378+E471,BQ470+IF(C471="重要关系1",E471,0)+IF(AND(C471="魅力",E471&lt;0),E471,0))))</x:f>
        <x:v>0</x:v>
      </x:c>
      <x:c r="BR471">
        <x:f>MAX(0,MIN(BK471,IF(AND(H471=1,C471="重要关系2",LEFT('幕间与结算'!H378,8)="建立新的重要关系"),'幕间与结算'!E378+E471,BR470+IF(C471="重要关系2",E471,0)+IF(AND(C471="魅力",E471&lt;0),E471,0))))</x:f>
        <x:v>0</x:v>
      </x:c>
      <x:c r="BS471">
        <x:f>MAX(0,MIN(BK471,IF(AND(H471=1,C471="重要关系3",LEFT('幕间与结算'!H378,8)="建立新的重要关系"),'幕间与结算'!E378+E471,BS470+IF(C471="重要关系3",E471,0)+IF(AND(C471="魅力",E471&lt;0),E471,0))))</x:f>
        <x:v>0</x:v>
      </x:c>
      <x:c r="BT471">
        <x:f>MAX(0,MIN(BK471,IF(AND(H471=1,C471="重要关系4",LEFT('幕间与结算'!H378,8)="建立新的重要关系"),'幕间与结算'!E378+E471,BT470+IF(C471="重要关系4",E471,0)+IF(AND(C471="魅力",E471&lt;0),E471,0))))</x:f>
        <x:v>0</x:v>
      </x:c>
      <x:c r="BU471">
        <x:f>MAX(0,MIN(BK471,IF(AND(H471=1,C471="重要关系5",LEFT('幕间与结算'!H378,8)="建立新的重要关系"),'幕间与结算'!E378+E471,BU470+IF(C471="重要关系5",E471,0)+IF(AND(C471="魅力",E471&lt;0),E471,0))))</x:f>
        <x:v>0</x:v>
      </x:c>
      <x:c r="BV471">
        <x:f>MAX(0,MIN(BK471,IF(AND(H471=1,C471="重要关系6",LEFT('幕间与结算'!H378,8)="建立新的重要关系"),'幕间与结算'!E378+E471,BV470+IF(C471="重要关系6",E471,0)+IF(AND(C471="魅力",E471&lt;0),E471,0))))</x:f>
        <x:v>0</x:v>
      </x:c>
      <x:c r="BW471">
        <x:f>MAX(0,MIN(BK471,IF(AND(H471=1,C471="重要关系7",LEFT('幕间与结算'!H378,8)="建立新的重要关系"),'幕间与结算'!E378+E471,BW470+IF(C471="重要关系7",E471,0)+IF(AND(C471="魅力",E471&lt;0),E471,0))))</x:f>
        <x:v>0</x:v>
      </x:c>
    </x:row>
    <x:row r="472">
      <x:c r="A472" t="str">
        <x:f>IFERROR(TEXT(VALUE('幕间与结算'!A379),"00"),"")</x:f>
        <x:v>00</x:v>
      </x:c>
      <x:c r="B472">
        <x:f>'幕间与结算'!B379</x:f>
        <x:v>0</x:v>
      </x:c>
      <x:c r="C472">
        <x:f>'幕间与结算'!D379</x:f>
        <x:v>0</x:v>
      </x:c>
      <x:c r="D472">
        <x:f>'幕间与结算'!F379</x:f>
        <x:v>0</x:v>
      </x:c>
      <x:c r="E472">
        <x:f>IF(H472=1,MAX(-'幕间与结算'!E379,MIN(D472,IF(LEFT(C472,3)="技能：",99,IF(COUNTIF($L$2:$L$7,C472)&gt;0,18,999))-'幕间与结算'!E379)),0)</x:f>
        <x:v>0</x:v>
      </x:c>
      <x:c r="F472" t="str">
        <x:f>IF(C472=0,"",IF(G472=0,"记录不完整",IF(H472=0,"重复未计","已计入")))</x:f>
        <x:v/>
      </x:c>
      <x:c r="G472">
        <x:f>IF(AND(AND('幕间与结算'!A379&lt;&gt;"",'幕间与结算'!B379&lt;&gt;"",'幕间与结算'!I379&lt;&gt;"",OR(LEFT(C472,3)="技能：",COUNTIF($L$2:$L$19,C472)&gt;0),ISNUMBER('幕间与结算'!E379),ISNUMBER('幕间与结算'!F379),ISNUMBER('幕间与结算'!G379),'幕间与结算'!E379&gt;=0,'幕间与结算'!G379='幕间与结算'!E379+'幕间与结算'!F379),OR(B472&lt;&gt;"成长",AND(LEFT(C472,3)="技能：",C472&lt;&gt;"技能：非自然知识",'幕间与结算'!E379&gt;=1,'幕间与结算'!E379&lt;=99,'幕间与结算'!F379&gt;=0,'幕间与结算'!F379&lt;=4,'幕间与结算'!G379&lt;=99))),1,0)</x:f>
        <x:v>0</x:v>
      </x:c>
      <x:c r="H472">
        <x:f>IF(AND(G472=1,COUNTIFS($I$200:I472,I472,$G$200:G472,1)=1),1,0)</x:f>
        <x:v>0</x:v>
      </x:c>
      <x:c r="I472" t="str">
        <x:f>IF(G472=1,IF(B472="成长",A472&amp;"-成长-"&amp;C472,'幕间与结算'!I379),"")</x:f>
        <x:v/>
      </x:c>
      <x:c r="BF472">
        <x:f>MAX(0,MIN(18,BF471+IF(C472="力量",E472,0)))</x:f>
        <x:v>0</x:v>
      </x:c>
      <x:c r="BG472">
        <x:f>MAX(0,MIN(18,BG471+IF(C472="体质",E472,0)))</x:f>
        <x:v>0</x:v>
      </x:c>
      <x:c r="BH472">
        <x:f>MAX(0,MIN(18,BH471+IF(C472="敏捷",E472,0)))</x:f>
        <x:v>0</x:v>
      </x:c>
      <x:c r="BI472">
        <x:f>MAX(0,MIN(18,BI471+IF(C472="智力",E472,0)))</x:f>
        <x:v>0</x:v>
      </x:c>
      <x:c r="BJ472">
        <x:f>MAX(0,MIN(18,BJ471+IF(C472="意志",E472,0)))</x:f>
        <x:v>0</x:v>
      </x:c>
      <x:c r="BK472">
        <x:f>MAX(0,MIN(18,BK471+IF(C472="魅力",E472,0)))</x:f>
        <x:v>0</x:v>
      </x:c>
      <x:c r="BL472">
        <x:f>MAX(0,MIN(99,BL471+IF(C472="技能：非自然知识",E472,0)))</x:f>
        <x:v>0</x:v>
      </x:c>
      <x:c r="BM472">
        <x:f>MAX(0,MIN(CEILING((BF472+BG472)/2,1),BM471+IF(C472="体力",E472,0)))</x:f>
        <x:v>0</x:v>
      </x:c>
      <x:c r="BN472">
        <x:f>MAX(0,MIN(BJ472,BN471+IF(C472="毅力",E472,0)))</x:f>
        <x:v>0</x:v>
      </x:c>
      <x:c r="BO472">
        <x:f>MAX(0,MIN(99-BL472,BO471+IF(C472="理智",E472,0)))</x:f>
        <x:v>0</x:v>
      </x:c>
      <x:c r="BP472">
        <x:f>MAX(0,MIN(99,BP471+IF(C472="崩溃点",E472,0)))</x:f>
        <x:v>0</x:v>
      </x:c>
      <x:c r="BQ472">
        <x:f>MAX(0,MIN(BK472,IF(AND(H472=1,C472="重要关系1",LEFT('幕间与结算'!H379,8)="建立新的重要关系"),'幕间与结算'!E379+E472,BQ471+IF(C472="重要关系1",E472,0)+IF(AND(C472="魅力",E472&lt;0),E472,0))))</x:f>
        <x:v>0</x:v>
      </x:c>
      <x:c r="BR472">
        <x:f>MAX(0,MIN(BK472,IF(AND(H472=1,C472="重要关系2",LEFT('幕间与结算'!H379,8)="建立新的重要关系"),'幕间与结算'!E379+E472,BR471+IF(C472="重要关系2",E472,0)+IF(AND(C472="魅力",E472&lt;0),E472,0))))</x:f>
        <x:v>0</x:v>
      </x:c>
      <x:c r="BS472">
        <x:f>MAX(0,MIN(BK472,IF(AND(H472=1,C472="重要关系3",LEFT('幕间与结算'!H379,8)="建立新的重要关系"),'幕间与结算'!E379+E472,BS471+IF(C472="重要关系3",E472,0)+IF(AND(C472="魅力",E472&lt;0),E472,0))))</x:f>
        <x:v>0</x:v>
      </x:c>
      <x:c r="BT472">
        <x:f>MAX(0,MIN(BK472,IF(AND(H472=1,C472="重要关系4",LEFT('幕间与结算'!H379,8)="建立新的重要关系"),'幕间与结算'!E379+E472,BT471+IF(C472="重要关系4",E472,0)+IF(AND(C472="魅力",E472&lt;0),E472,0))))</x:f>
        <x:v>0</x:v>
      </x:c>
      <x:c r="BU472">
        <x:f>MAX(0,MIN(BK472,IF(AND(H472=1,C472="重要关系5",LEFT('幕间与结算'!H379,8)="建立新的重要关系"),'幕间与结算'!E379+E472,BU471+IF(C472="重要关系5",E472,0)+IF(AND(C472="魅力",E472&lt;0),E472,0))))</x:f>
        <x:v>0</x:v>
      </x:c>
      <x:c r="BV472">
        <x:f>MAX(0,MIN(BK472,IF(AND(H472=1,C472="重要关系6",LEFT('幕间与结算'!H379,8)="建立新的重要关系"),'幕间与结算'!E379+E472,BV471+IF(C472="重要关系6",E472,0)+IF(AND(C472="魅力",E472&lt;0),E472,0))))</x:f>
        <x:v>0</x:v>
      </x:c>
      <x:c r="BW472">
        <x:f>MAX(0,MIN(BK472,IF(AND(H472=1,C472="重要关系7",LEFT('幕间与结算'!H379,8)="建立新的重要关系"),'幕间与结算'!E379+E472,BW471+IF(C472="重要关系7",E472,0)+IF(AND(C472="魅力",E472&lt;0),E472,0))))</x:f>
        <x:v>0</x:v>
      </x:c>
    </x:row>
    <x:row r="473">
      <x:c r="A473" t="str">
        <x:f>IFERROR(TEXT(VALUE('幕间与结算'!A380),"00"),"")</x:f>
        <x:v>00</x:v>
      </x:c>
      <x:c r="B473">
        <x:f>'幕间与结算'!B380</x:f>
        <x:v>0</x:v>
      </x:c>
      <x:c r="C473">
        <x:f>'幕间与结算'!D380</x:f>
        <x:v>0</x:v>
      </x:c>
      <x:c r="D473">
        <x:f>'幕间与结算'!F380</x:f>
        <x:v>0</x:v>
      </x:c>
      <x:c r="E473">
        <x:f>IF(H473=1,MAX(-'幕间与结算'!E380,MIN(D473,IF(LEFT(C473,3)="技能：",99,IF(COUNTIF($L$2:$L$7,C473)&gt;0,18,999))-'幕间与结算'!E380)),0)</x:f>
        <x:v>0</x:v>
      </x:c>
      <x:c r="F473" t="str">
        <x:f>IF(C473=0,"",IF(G473=0,"记录不完整",IF(H473=0,"重复未计","已计入")))</x:f>
        <x:v/>
      </x:c>
      <x:c r="G473">
        <x:f>IF(AND(AND('幕间与结算'!A380&lt;&gt;"",'幕间与结算'!B380&lt;&gt;"",'幕间与结算'!I380&lt;&gt;"",OR(LEFT(C473,3)="技能：",COUNTIF($L$2:$L$19,C473)&gt;0),ISNUMBER('幕间与结算'!E380),ISNUMBER('幕间与结算'!F380),ISNUMBER('幕间与结算'!G380),'幕间与结算'!E380&gt;=0,'幕间与结算'!G380='幕间与结算'!E380+'幕间与结算'!F380),OR(B473&lt;&gt;"成长",AND(LEFT(C473,3)="技能：",C473&lt;&gt;"技能：非自然知识",'幕间与结算'!E380&gt;=1,'幕间与结算'!E380&lt;=99,'幕间与结算'!F380&gt;=0,'幕间与结算'!F380&lt;=4,'幕间与结算'!G380&lt;=99))),1,0)</x:f>
        <x:v>0</x:v>
      </x:c>
      <x:c r="H473">
        <x:f>IF(AND(G473=1,COUNTIFS($I$200:I473,I473,$G$200:G473,1)=1),1,0)</x:f>
        <x:v>0</x:v>
      </x:c>
      <x:c r="I473" t="str">
        <x:f>IF(G473=1,IF(B473="成长",A473&amp;"-成长-"&amp;C473,'幕间与结算'!I380),"")</x:f>
        <x:v/>
      </x:c>
      <x:c r="BF473">
        <x:f>MAX(0,MIN(18,BF472+IF(C473="力量",E473,0)))</x:f>
        <x:v>0</x:v>
      </x:c>
      <x:c r="BG473">
        <x:f>MAX(0,MIN(18,BG472+IF(C473="体质",E473,0)))</x:f>
        <x:v>0</x:v>
      </x:c>
      <x:c r="BH473">
        <x:f>MAX(0,MIN(18,BH472+IF(C473="敏捷",E473,0)))</x:f>
        <x:v>0</x:v>
      </x:c>
      <x:c r="BI473">
        <x:f>MAX(0,MIN(18,BI472+IF(C473="智力",E473,0)))</x:f>
        <x:v>0</x:v>
      </x:c>
      <x:c r="BJ473">
        <x:f>MAX(0,MIN(18,BJ472+IF(C473="意志",E473,0)))</x:f>
        <x:v>0</x:v>
      </x:c>
      <x:c r="BK473">
        <x:f>MAX(0,MIN(18,BK472+IF(C473="魅力",E473,0)))</x:f>
        <x:v>0</x:v>
      </x:c>
      <x:c r="BL473">
        <x:f>MAX(0,MIN(99,BL472+IF(C473="技能：非自然知识",E473,0)))</x:f>
        <x:v>0</x:v>
      </x:c>
      <x:c r="BM473">
        <x:f>MAX(0,MIN(CEILING((BF473+BG473)/2,1),BM472+IF(C473="体力",E473,0)))</x:f>
        <x:v>0</x:v>
      </x:c>
      <x:c r="BN473">
        <x:f>MAX(0,MIN(BJ473,BN472+IF(C473="毅力",E473,0)))</x:f>
        <x:v>0</x:v>
      </x:c>
      <x:c r="BO473">
        <x:f>MAX(0,MIN(99-BL473,BO472+IF(C473="理智",E473,0)))</x:f>
        <x:v>0</x:v>
      </x:c>
      <x:c r="BP473">
        <x:f>MAX(0,MIN(99,BP472+IF(C473="崩溃点",E473,0)))</x:f>
        <x:v>0</x:v>
      </x:c>
      <x:c r="BQ473">
        <x:f>MAX(0,MIN(BK473,IF(AND(H473=1,C473="重要关系1",LEFT('幕间与结算'!H380,8)="建立新的重要关系"),'幕间与结算'!E380+E473,BQ472+IF(C473="重要关系1",E473,0)+IF(AND(C473="魅力",E473&lt;0),E473,0))))</x:f>
        <x:v>0</x:v>
      </x:c>
      <x:c r="BR473">
        <x:f>MAX(0,MIN(BK473,IF(AND(H473=1,C473="重要关系2",LEFT('幕间与结算'!H380,8)="建立新的重要关系"),'幕间与结算'!E380+E473,BR472+IF(C473="重要关系2",E473,0)+IF(AND(C473="魅力",E473&lt;0),E473,0))))</x:f>
        <x:v>0</x:v>
      </x:c>
      <x:c r="BS473">
        <x:f>MAX(0,MIN(BK473,IF(AND(H473=1,C473="重要关系3",LEFT('幕间与结算'!H380,8)="建立新的重要关系"),'幕间与结算'!E380+E473,BS472+IF(C473="重要关系3",E473,0)+IF(AND(C473="魅力",E473&lt;0),E473,0))))</x:f>
        <x:v>0</x:v>
      </x:c>
      <x:c r="BT473">
        <x:f>MAX(0,MIN(BK473,IF(AND(H473=1,C473="重要关系4",LEFT('幕间与结算'!H380,8)="建立新的重要关系"),'幕间与结算'!E380+E473,BT472+IF(C473="重要关系4",E473,0)+IF(AND(C473="魅力",E473&lt;0),E473,0))))</x:f>
        <x:v>0</x:v>
      </x:c>
      <x:c r="BU473">
        <x:f>MAX(0,MIN(BK473,IF(AND(H473=1,C473="重要关系5",LEFT('幕间与结算'!H380,8)="建立新的重要关系"),'幕间与结算'!E380+E473,BU472+IF(C473="重要关系5",E473,0)+IF(AND(C473="魅力",E473&lt;0),E473,0))))</x:f>
        <x:v>0</x:v>
      </x:c>
      <x:c r="BV473">
        <x:f>MAX(0,MIN(BK473,IF(AND(H473=1,C473="重要关系6",LEFT('幕间与结算'!H380,8)="建立新的重要关系"),'幕间与结算'!E380+E473,BV472+IF(C473="重要关系6",E473,0)+IF(AND(C473="魅力",E473&lt;0),E473,0))))</x:f>
        <x:v>0</x:v>
      </x:c>
      <x:c r="BW473">
        <x:f>MAX(0,MIN(BK473,IF(AND(H473=1,C473="重要关系7",LEFT('幕间与结算'!H380,8)="建立新的重要关系"),'幕间与结算'!E380+E473,BW472+IF(C473="重要关系7",E473,0)+IF(AND(C473="魅力",E473&lt;0),E473,0))))</x:f>
        <x:v>0</x:v>
      </x:c>
    </x:row>
    <x:row r="474">
      <x:c r="A474" t="str">
        <x:f>IFERROR(TEXT(VALUE('幕间与结算'!A381),"00"),"")</x:f>
        <x:v>00</x:v>
      </x:c>
      <x:c r="B474">
        <x:f>'幕间与结算'!B381</x:f>
        <x:v>0</x:v>
      </x:c>
      <x:c r="C474">
        <x:f>'幕间与结算'!D381</x:f>
        <x:v>0</x:v>
      </x:c>
      <x:c r="D474">
        <x:f>'幕间与结算'!F381</x:f>
        <x:v>0</x:v>
      </x:c>
      <x:c r="E474">
        <x:f>IF(H474=1,MAX(-'幕间与结算'!E381,MIN(D474,IF(LEFT(C474,3)="技能：",99,IF(COUNTIF($L$2:$L$7,C474)&gt;0,18,999))-'幕间与结算'!E381)),0)</x:f>
        <x:v>0</x:v>
      </x:c>
      <x:c r="F474" t="str">
        <x:f>IF(C474=0,"",IF(G474=0,"记录不完整",IF(H474=0,"重复未计","已计入")))</x:f>
        <x:v/>
      </x:c>
      <x:c r="G474">
        <x:f>IF(AND(AND('幕间与结算'!A381&lt;&gt;"",'幕间与结算'!B381&lt;&gt;"",'幕间与结算'!I381&lt;&gt;"",OR(LEFT(C474,3)="技能：",COUNTIF($L$2:$L$19,C474)&gt;0),ISNUMBER('幕间与结算'!E381),ISNUMBER('幕间与结算'!F381),ISNUMBER('幕间与结算'!G381),'幕间与结算'!E381&gt;=0,'幕间与结算'!G381='幕间与结算'!E381+'幕间与结算'!F381),OR(B474&lt;&gt;"成长",AND(LEFT(C474,3)="技能：",C474&lt;&gt;"技能：非自然知识",'幕间与结算'!E381&gt;=1,'幕间与结算'!E381&lt;=99,'幕间与结算'!F381&gt;=0,'幕间与结算'!F381&lt;=4,'幕间与结算'!G381&lt;=99))),1,0)</x:f>
        <x:v>0</x:v>
      </x:c>
      <x:c r="H474">
        <x:f>IF(AND(G474=1,COUNTIFS($I$200:I474,I474,$G$200:G474,1)=1),1,0)</x:f>
        <x:v>0</x:v>
      </x:c>
      <x:c r="I474" t="str">
        <x:f>IF(G474=1,IF(B474="成长",A474&amp;"-成长-"&amp;C474,'幕间与结算'!I381),"")</x:f>
        <x:v/>
      </x:c>
      <x:c r="BF474">
        <x:f>MAX(0,MIN(18,BF473+IF(C474="力量",E474,0)))</x:f>
        <x:v>0</x:v>
      </x:c>
      <x:c r="BG474">
        <x:f>MAX(0,MIN(18,BG473+IF(C474="体质",E474,0)))</x:f>
        <x:v>0</x:v>
      </x:c>
      <x:c r="BH474">
        <x:f>MAX(0,MIN(18,BH473+IF(C474="敏捷",E474,0)))</x:f>
        <x:v>0</x:v>
      </x:c>
      <x:c r="BI474">
        <x:f>MAX(0,MIN(18,BI473+IF(C474="智力",E474,0)))</x:f>
        <x:v>0</x:v>
      </x:c>
      <x:c r="BJ474">
        <x:f>MAX(0,MIN(18,BJ473+IF(C474="意志",E474,0)))</x:f>
        <x:v>0</x:v>
      </x:c>
      <x:c r="BK474">
        <x:f>MAX(0,MIN(18,BK473+IF(C474="魅力",E474,0)))</x:f>
        <x:v>0</x:v>
      </x:c>
      <x:c r="BL474">
        <x:f>MAX(0,MIN(99,BL473+IF(C474="技能：非自然知识",E474,0)))</x:f>
        <x:v>0</x:v>
      </x:c>
      <x:c r="BM474">
        <x:f>MAX(0,MIN(CEILING((BF474+BG474)/2,1),BM473+IF(C474="体力",E474,0)))</x:f>
        <x:v>0</x:v>
      </x:c>
      <x:c r="BN474">
        <x:f>MAX(0,MIN(BJ474,BN473+IF(C474="毅力",E474,0)))</x:f>
        <x:v>0</x:v>
      </x:c>
      <x:c r="BO474">
        <x:f>MAX(0,MIN(99-BL474,BO473+IF(C474="理智",E474,0)))</x:f>
        <x:v>0</x:v>
      </x:c>
      <x:c r="BP474">
        <x:f>MAX(0,MIN(99,BP473+IF(C474="崩溃点",E474,0)))</x:f>
        <x:v>0</x:v>
      </x:c>
      <x:c r="BQ474">
        <x:f>MAX(0,MIN(BK474,IF(AND(H474=1,C474="重要关系1",LEFT('幕间与结算'!H381,8)="建立新的重要关系"),'幕间与结算'!E381+E474,BQ473+IF(C474="重要关系1",E474,0)+IF(AND(C474="魅力",E474&lt;0),E474,0))))</x:f>
        <x:v>0</x:v>
      </x:c>
      <x:c r="BR474">
        <x:f>MAX(0,MIN(BK474,IF(AND(H474=1,C474="重要关系2",LEFT('幕间与结算'!H381,8)="建立新的重要关系"),'幕间与结算'!E381+E474,BR473+IF(C474="重要关系2",E474,0)+IF(AND(C474="魅力",E474&lt;0),E474,0))))</x:f>
        <x:v>0</x:v>
      </x:c>
      <x:c r="BS474">
        <x:f>MAX(0,MIN(BK474,IF(AND(H474=1,C474="重要关系3",LEFT('幕间与结算'!H381,8)="建立新的重要关系"),'幕间与结算'!E381+E474,BS473+IF(C474="重要关系3",E474,0)+IF(AND(C474="魅力",E474&lt;0),E474,0))))</x:f>
        <x:v>0</x:v>
      </x:c>
      <x:c r="BT474">
        <x:f>MAX(0,MIN(BK474,IF(AND(H474=1,C474="重要关系4",LEFT('幕间与结算'!H381,8)="建立新的重要关系"),'幕间与结算'!E381+E474,BT473+IF(C474="重要关系4",E474,0)+IF(AND(C474="魅力",E474&lt;0),E474,0))))</x:f>
        <x:v>0</x:v>
      </x:c>
      <x:c r="BU474">
        <x:f>MAX(0,MIN(BK474,IF(AND(H474=1,C474="重要关系5",LEFT('幕间与结算'!H381,8)="建立新的重要关系"),'幕间与结算'!E381+E474,BU473+IF(C474="重要关系5",E474,0)+IF(AND(C474="魅力",E474&lt;0),E474,0))))</x:f>
        <x:v>0</x:v>
      </x:c>
      <x:c r="BV474">
        <x:f>MAX(0,MIN(BK474,IF(AND(H474=1,C474="重要关系6",LEFT('幕间与结算'!H381,8)="建立新的重要关系"),'幕间与结算'!E381+E474,BV473+IF(C474="重要关系6",E474,0)+IF(AND(C474="魅力",E474&lt;0),E474,0))))</x:f>
        <x:v>0</x:v>
      </x:c>
      <x:c r="BW474">
        <x:f>MAX(0,MIN(BK474,IF(AND(H474=1,C474="重要关系7",LEFT('幕间与结算'!H381,8)="建立新的重要关系"),'幕间与结算'!E381+E474,BW473+IF(C474="重要关系7",E474,0)+IF(AND(C474="魅力",E474&lt;0),E474,0))))</x:f>
        <x:v>0</x:v>
      </x:c>
    </x:row>
    <x:row r="475">
      <x:c r="A475" t="str">
        <x:f>IFERROR(TEXT(VALUE('幕间与结算'!A382),"00"),"")</x:f>
        <x:v>00</x:v>
      </x:c>
      <x:c r="B475">
        <x:f>'幕间与结算'!B382</x:f>
        <x:v>0</x:v>
      </x:c>
      <x:c r="C475">
        <x:f>'幕间与结算'!D382</x:f>
        <x:v>0</x:v>
      </x:c>
      <x:c r="D475">
        <x:f>'幕间与结算'!F382</x:f>
        <x:v>0</x:v>
      </x:c>
      <x:c r="E475">
        <x:f>IF(H475=1,MAX(-'幕间与结算'!E382,MIN(D475,IF(LEFT(C475,3)="技能：",99,IF(COUNTIF($L$2:$L$7,C475)&gt;0,18,999))-'幕间与结算'!E382)),0)</x:f>
        <x:v>0</x:v>
      </x:c>
      <x:c r="F475" t="str">
        <x:f>IF(C475=0,"",IF(G475=0,"记录不完整",IF(H475=0,"重复未计","已计入")))</x:f>
        <x:v/>
      </x:c>
      <x:c r="G475">
        <x:f>IF(AND(AND('幕间与结算'!A382&lt;&gt;"",'幕间与结算'!B382&lt;&gt;"",'幕间与结算'!I382&lt;&gt;"",OR(LEFT(C475,3)="技能：",COUNTIF($L$2:$L$19,C475)&gt;0),ISNUMBER('幕间与结算'!E382),ISNUMBER('幕间与结算'!F382),ISNUMBER('幕间与结算'!G382),'幕间与结算'!E382&gt;=0,'幕间与结算'!G382='幕间与结算'!E382+'幕间与结算'!F382),OR(B475&lt;&gt;"成长",AND(LEFT(C475,3)="技能：",C475&lt;&gt;"技能：非自然知识",'幕间与结算'!E382&gt;=1,'幕间与结算'!E382&lt;=99,'幕间与结算'!F382&gt;=0,'幕间与结算'!F382&lt;=4,'幕间与结算'!G382&lt;=99))),1,0)</x:f>
        <x:v>0</x:v>
      </x:c>
      <x:c r="H475">
        <x:f>IF(AND(G475=1,COUNTIFS($I$200:I475,I475,$G$200:G475,1)=1),1,0)</x:f>
        <x:v>0</x:v>
      </x:c>
      <x:c r="I475" t="str">
        <x:f>IF(G475=1,IF(B475="成长",A475&amp;"-成长-"&amp;C475,'幕间与结算'!I382),"")</x:f>
        <x:v/>
      </x:c>
      <x:c r="BF475">
        <x:f>MAX(0,MIN(18,BF474+IF(C475="力量",E475,0)))</x:f>
        <x:v>0</x:v>
      </x:c>
      <x:c r="BG475">
        <x:f>MAX(0,MIN(18,BG474+IF(C475="体质",E475,0)))</x:f>
        <x:v>0</x:v>
      </x:c>
      <x:c r="BH475">
        <x:f>MAX(0,MIN(18,BH474+IF(C475="敏捷",E475,0)))</x:f>
        <x:v>0</x:v>
      </x:c>
      <x:c r="BI475">
        <x:f>MAX(0,MIN(18,BI474+IF(C475="智力",E475,0)))</x:f>
        <x:v>0</x:v>
      </x:c>
      <x:c r="BJ475">
        <x:f>MAX(0,MIN(18,BJ474+IF(C475="意志",E475,0)))</x:f>
        <x:v>0</x:v>
      </x:c>
      <x:c r="BK475">
        <x:f>MAX(0,MIN(18,BK474+IF(C475="魅力",E475,0)))</x:f>
        <x:v>0</x:v>
      </x:c>
      <x:c r="BL475">
        <x:f>MAX(0,MIN(99,BL474+IF(C475="技能：非自然知识",E475,0)))</x:f>
        <x:v>0</x:v>
      </x:c>
      <x:c r="BM475">
        <x:f>MAX(0,MIN(CEILING((BF475+BG475)/2,1),BM474+IF(C475="体力",E475,0)))</x:f>
        <x:v>0</x:v>
      </x:c>
      <x:c r="BN475">
        <x:f>MAX(0,MIN(BJ475,BN474+IF(C475="毅力",E475,0)))</x:f>
        <x:v>0</x:v>
      </x:c>
      <x:c r="BO475">
        <x:f>MAX(0,MIN(99-BL475,BO474+IF(C475="理智",E475,0)))</x:f>
        <x:v>0</x:v>
      </x:c>
      <x:c r="BP475">
        <x:f>MAX(0,MIN(99,BP474+IF(C475="崩溃点",E475,0)))</x:f>
        <x:v>0</x:v>
      </x:c>
      <x:c r="BQ475">
        <x:f>MAX(0,MIN(BK475,IF(AND(H475=1,C475="重要关系1",LEFT('幕间与结算'!H382,8)="建立新的重要关系"),'幕间与结算'!E382+E475,BQ474+IF(C475="重要关系1",E475,0)+IF(AND(C475="魅力",E475&lt;0),E475,0))))</x:f>
        <x:v>0</x:v>
      </x:c>
      <x:c r="BR475">
        <x:f>MAX(0,MIN(BK475,IF(AND(H475=1,C475="重要关系2",LEFT('幕间与结算'!H382,8)="建立新的重要关系"),'幕间与结算'!E382+E475,BR474+IF(C475="重要关系2",E475,0)+IF(AND(C475="魅力",E475&lt;0),E475,0))))</x:f>
        <x:v>0</x:v>
      </x:c>
      <x:c r="BS475">
        <x:f>MAX(0,MIN(BK475,IF(AND(H475=1,C475="重要关系3",LEFT('幕间与结算'!H382,8)="建立新的重要关系"),'幕间与结算'!E382+E475,BS474+IF(C475="重要关系3",E475,0)+IF(AND(C475="魅力",E475&lt;0),E475,0))))</x:f>
        <x:v>0</x:v>
      </x:c>
      <x:c r="BT475">
        <x:f>MAX(0,MIN(BK475,IF(AND(H475=1,C475="重要关系4",LEFT('幕间与结算'!H382,8)="建立新的重要关系"),'幕间与结算'!E382+E475,BT474+IF(C475="重要关系4",E475,0)+IF(AND(C475="魅力",E475&lt;0),E475,0))))</x:f>
        <x:v>0</x:v>
      </x:c>
      <x:c r="BU475">
        <x:f>MAX(0,MIN(BK475,IF(AND(H475=1,C475="重要关系5",LEFT('幕间与结算'!H382,8)="建立新的重要关系"),'幕间与结算'!E382+E475,BU474+IF(C475="重要关系5",E475,0)+IF(AND(C475="魅力",E475&lt;0),E475,0))))</x:f>
        <x:v>0</x:v>
      </x:c>
      <x:c r="BV475">
        <x:f>MAX(0,MIN(BK475,IF(AND(H475=1,C475="重要关系6",LEFT('幕间与结算'!H382,8)="建立新的重要关系"),'幕间与结算'!E382+E475,BV474+IF(C475="重要关系6",E475,0)+IF(AND(C475="魅力",E475&lt;0),E475,0))))</x:f>
        <x:v>0</x:v>
      </x:c>
      <x:c r="BW475">
        <x:f>MAX(0,MIN(BK475,IF(AND(H475=1,C475="重要关系7",LEFT('幕间与结算'!H382,8)="建立新的重要关系"),'幕间与结算'!E382+E475,BW474+IF(C475="重要关系7",E475,0)+IF(AND(C475="魅力",E475&lt;0),E475,0))))</x:f>
        <x:v>0</x:v>
      </x:c>
    </x:row>
    <x:row r="476">
      <x:c r="A476" t="str">
        <x:f>IFERROR(TEXT(VALUE('幕间与结算'!A383),"00"),"")</x:f>
        <x:v>00</x:v>
      </x:c>
      <x:c r="B476">
        <x:f>'幕间与结算'!B383</x:f>
        <x:v>0</x:v>
      </x:c>
      <x:c r="C476">
        <x:f>'幕间与结算'!D383</x:f>
        <x:v>0</x:v>
      </x:c>
      <x:c r="D476">
        <x:f>'幕间与结算'!F383</x:f>
        <x:v>0</x:v>
      </x:c>
      <x:c r="E476">
        <x:f>IF(H476=1,MAX(-'幕间与结算'!E383,MIN(D476,IF(LEFT(C476,3)="技能：",99,IF(COUNTIF($L$2:$L$7,C476)&gt;0,18,999))-'幕间与结算'!E383)),0)</x:f>
        <x:v>0</x:v>
      </x:c>
      <x:c r="F476" t="str">
        <x:f>IF(C476=0,"",IF(G476=0,"记录不完整",IF(H476=0,"重复未计","已计入")))</x:f>
        <x:v/>
      </x:c>
      <x:c r="G476">
        <x:f>IF(AND(AND('幕间与结算'!A383&lt;&gt;"",'幕间与结算'!B383&lt;&gt;"",'幕间与结算'!I383&lt;&gt;"",OR(LEFT(C476,3)="技能：",COUNTIF($L$2:$L$19,C476)&gt;0),ISNUMBER('幕间与结算'!E383),ISNUMBER('幕间与结算'!F383),ISNUMBER('幕间与结算'!G383),'幕间与结算'!E383&gt;=0,'幕间与结算'!G383='幕间与结算'!E383+'幕间与结算'!F383),OR(B476&lt;&gt;"成长",AND(LEFT(C476,3)="技能：",C476&lt;&gt;"技能：非自然知识",'幕间与结算'!E383&gt;=1,'幕间与结算'!E383&lt;=99,'幕间与结算'!F383&gt;=0,'幕间与结算'!F383&lt;=4,'幕间与结算'!G383&lt;=99))),1,0)</x:f>
        <x:v>0</x:v>
      </x:c>
      <x:c r="H476">
        <x:f>IF(AND(G476=1,COUNTIFS($I$200:I476,I476,$G$200:G476,1)=1),1,0)</x:f>
        <x:v>0</x:v>
      </x:c>
      <x:c r="I476" t="str">
        <x:f>IF(G476=1,IF(B476="成长",A476&amp;"-成长-"&amp;C476,'幕间与结算'!I383),"")</x:f>
        <x:v/>
      </x:c>
      <x:c r="BF476">
        <x:f>MAX(0,MIN(18,BF475+IF(C476="力量",E476,0)))</x:f>
        <x:v>0</x:v>
      </x:c>
      <x:c r="BG476">
        <x:f>MAX(0,MIN(18,BG475+IF(C476="体质",E476,0)))</x:f>
        <x:v>0</x:v>
      </x:c>
      <x:c r="BH476">
        <x:f>MAX(0,MIN(18,BH475+IF(C476="敏捷",E476,0)))</x:f>
        <x:v>0</x:v>
      </x:c>
      <x:c r="BI476">
        <x:f>MAX(0,MIN(18,BI475+IF(C476="智力",E476,0)))</x:f>
        <x:v>0</x:v>
      </x:c>
      <x:c r="BJ476">
        <x:f>MAX(0,MIN(18,BJ475+IF(C476="意志",E476,0)))</x:f>
        <x:v>0</x:v>
      </x:c>
      <x:c r="BK476">
        <x:f>MAX(0,MIN(18,BK475+IF(C476="魅力",E476,0)))</x:f>
        <x:v>0</x:v>
      </x:c>
      <x:c r="BL476">
        <x:f>MAX(0,MIN(99,BL475+IF(C476="技能：非自然知识",E476,0)))</x:f>
        <x:v>0</x:v>
      </x:c>
      <x:c r="BM476">
        <x:f>MAX(0,MIN(CEILING((BF476+BG476)/2,1),BM475+IF(C476="体力",E476,0)))</x:f>
        <x:v>0</x:v>
      </x:c>
      <x:c r="BN476">
        <x:f>MAX(0,MIN(BJ476,BN475+IF(C476="毅力",E476,0)))</x:f>
        <x:v>0</x:v>
      </x:c>
      <x:c r="BO476">
        <x:f>MAX(0,MIN(99-BL476,BO475+IF(C476="理智",E476,0)))</x:f>
        <x:v>0</x:v>
      </x:c>
      <x:c r="BP476">
        <x:f>MAX(0,MIN(99,BP475+IF(C476="崩溃点",E476,0)))</x:f>
        <x:v>0</x:v>
      </x:c>
      <x:c r="BQ476">
        <x:f>MAX(0,MIN(BK476,IF(AND(H476=1,C476="重要关系1",LEFT('幕间与结算'!H383,8)="建立新的重要关系"),'幕间与结算'!E383+E476,BQ475+IF(C476="重要关系1",E476,0)+IF(AND(C476="魅力",E476&lt;0),E476,0))))</x:f>
        <x:v>0</x:v>
      </x:c>
      <x:c r="BR476">
        <x:f>MAX(0,MIN(BK476,IF(AND(H476=1,C476="重要关系2",LEFT('幕间与结算'!H383,8)="建立新的重要关系"),'幕间与结算'!E383+E476,BR475+IF(C476="重要关系2",E476,0)+IF(AND(C476="魅力",E476&lt;0),E476,0))))</x:f>
        <x:v>0</x:v>
      </x:c>
      <x:c r="BS476">
        <x:f>MAX(0,MIN(BK476,IF(AND(H476=1,C476="重要关系3",LEFT('幕间与结算'!H383,8)="建立新的重要关系"),'幕间与结算'!E383+E476,BS475+IF(C476="重要关系3",E476,0)+IF(AND(C476="魅力",E476&lt;0),E476,0))))</x:f>
        <x:v>0</x:v>
      </x:c>
      <x:c r="BT476">
        <x:f>MAX(0,MIN(BK476,IF(AND(H476=1,C476="重要关系4",LEFT('幕间与结算'!H383,8)="建立新的重要关系"),'幕间与结算'!E383+E476,BT475+IF(C476="重要关系4",E476,0)+IF(AND(C476="魅力",E476&lt;0),E476,0))))</x:f>
        <x:v>0</x:v>
      </x:c>
      <x:c r="BU476">
        <x:f>MAX(0,MIN(BK476,IF(AND(H476=1,C476="重要关系5",LEFT('幕间与结算'!H383,8)="建立新的重要关系"),'幕间与结算'!E383+E476,BU475+IF(C476="重要关系5",E476,0)+IF(AND(C476="魅力",E476&lt;0),E476,0))))</x:f>
        <x:v>0</x:v>
      </x:c>
      <x:c r="BV476">
        <x:f>MAX(0,MIN(BK476,IF(AND(H476=1,C476="重要关系6",LEFT('幕间与结算'!H383,8)="建立新的重要关系"),'幕间与结算'!E383+E476,BV475+IF(C476="重要关系6",E476,0)+IF(AND(C476="魅力",E476&lt;0),E476,0))))</x:f>
        <x:v>0</x:v>
      </x:c>
      <x:c r="BW476">
        <x:f>MAX(0,MIN(BK476,IF(AND(H476=1,C476="重要关系7",LEFT('幕间与结算'!H383,8)="建立新的重要关系"),'幕间与结算'!E383+E476,BW475+IF(C476="重要关系7",E476,0)+IF(AND(C476="魅力",E476&lt;0),E476,0))))</x:f>
        <x:v>0</x:v>
      </x:c>
    </x:row>
    <x:row r="477">
      <x:c r="A477" t="str">
        <x:f>IFERROR(TEXT(VALUE('幕间与结算'!A384),"00"),"")</x:f>
        <x:v>00</x:v>
      </x:c>
      <x:c r="B477">
        <x:f>'幕间与结算'!B384</x:f>
        <x:v>0</x:v>
      </x:c>
      <x:c r="C477">
        <x:f>'幕间与结算'!D384</x:f>
        <x:v>0</x:v>
      </x:c>
      <x:c r="D477">
        <x:f>'幕间与结算'!F384</x:f>
        <x:v>0</x:v>
      </x:c>
      <x:c r="E477">
        <x:f>IF(H477=1,MAX(-'幕间与结算'!E384,MIN(D477,IF(LEFT(C477,3)="技能：",99,IF(COUNTIF($L$2:$L$7,C477)&gt;0,18,999))-'幕间与结算'!E384)),0)</x:f>
        <x:v>0</x:v>
      </x:c>
      <x:c r="F477" t="str">
        <x:f>IF(C477=0,"",IF(G477=0,"记录不完整",IF(H477=0,"重复未计","已计入")))</x:f>
        <x:v/>
      </x:c>
      <x:c r="G477">
        <x:f>IF(AND(AND('幕间与结算'!A384&lt;&gt;"",'幕间与结算'!B384&lt;&gt;"",'幕间与结算'!I384&lt;&gt;"",OR(LEFT(C477,3)="技能：",COUNTIF($L$2:$L$19,C477)&gt;0),ISNUMBER('幕间与结算'!E384),ISNUMBER('幕间与结算'!F384),ISNUMBER('幕间与结算'!G384),'幕间与结算'!E384&gt;=0,'幕间与结算'!G384='幕间与结算'!E384+'幕间与结算'!F384),OR(B477&lt;&gt;"成长",AND(LEFT(C477,3)="技能：",C477&lt;&gt;"技能：非自然知识",'幕间与结算'!E384&gt;=1,'幕间与结算'!E384&lt;=99,'幕间与结算'!F384&gt;=0,'幕间与结算'!F384&lt;=4,'幕间与结算'!G384&lt;=99))),1,0)</x:f>
        <x:v>0</x:v>
      </x:c>
      <x:c r="H477">
        <x:f>IF(AND(G477=1,COUNTIFS($I$200:I477,I477,$G$200:G477,1)=1),1,0)</x:f>
        <x:v>0</x:v>
      </x:c>
      <x:c r="I477" t="str">
        <x:f>IF(G477=1,IF(B477="成长",A477&amp;"-成长-"&amp;C477,'幕间与结算'!I384),"")</x:f>
        <x:v/>
      </x:c>
      <x:c r="BF477">
        <x:f>MAX(0,MIN(18,BF476+IF(C477="力量",E477,0)))</x:f>
        <x:v>0</x:v>
      </x:c>
      <x:c r="BG477">
        <x:f>MAX(0,MIN(18,BG476+IF(C477="体质",E477,0)))</x:f>
        <x:v>0</x:v>
      </x:c>
      <x:c r="BH477">
        <x:f>MAX(0,MIN(18,BH476+IF(C477="敏捷",E477,0)))</x:f>
        <x:v>0</x:v>
      </x:c>
      <x:c r="BI477">
        <x:f>MAX(0,MIN(18,BI476+IF(C477="智力",E477,0)))</x:f>
        <x:v>0</x:v>
      </x:c>
      <x:c r="BJ477">
        <x:f>MAX(0,MIN(18,BJ476+IF(C477="意志",E477,0)))</x:f>
        <x:v>0</x:v>
      </x:c>
      <x:c r="BK477">
        <x:f>MAX(0,MIN(18,BK476+IF(C477="魅力",E477,0)))</x:f>
        <x:v>0</x:v>
      </x:c>
      <x:c r="BL477">
        <x:f>MAX(0,MIN(99,BL476+IF(C477="技能：非自然知识",E477,0)))</x:f>
        <x:v>0</x:v>
      </x:c>
      <x:c r="BM477">
        <x:f>MAX(0,MIN(CEILING((BF477+BG477)/2,1),BM476+IF(C477="体力",E477,0)))</x:f>
        <x:v>0</x:v>
      </x:c>
      <x:c r="BN477">
        <x:f>MAX(0,MIN(BJ477,BN476+IF(C477="毅力",E477,0)))</x:f>
        <x:v>0</x:v>
      </x:c>
      <x:c r="BO477">
        <x:f>MAX(0,MIN(99-BL477,BO476+IF(C477="理智",E477,0)))</x:f>
        <x:v>0</x:v>
      </x:c>
      <x:c r="BP477">
        <x:f>MAX(0,MIN(99,BP476+IF(C477="崩溃点",E477,0)))</x:f>
        <x:v>0</x:v>
      </x:c>
      <x:c r="BQ477">
        <x:f>MAX(0,MIN(BK477,IF(AND(H477=1,C477="重要关系1",LEFT('幕间与结算'!H384,8)="建立新的重要关系"),'幕间与结算'!E384+E477,BQ476+IF(C477="重要关系1",E477,0)+IF(AND(C477="魅力",E477&lt;0),E477,0))))</x:f>
        <x:v>0</x:v>
      </x:c>
      <x:c r="BR477">
        <x:f>MAX(0,MIN(BK477,IF(AND(H477=1,C477="重要关系2",LEFT('幕间与结算'!H384,8)="建立新的重要关系"),'幕间与结算'!E384+E477,BR476+IF(C477="重要关系2",E477,0)+IF(AND(C477="魅力",E477&lt;0),E477,0))))</x:f>
        <x:v>0</x:v>
      </x:c>
      <x:c r="BS477">
        <x:f>MAX(0,MIN(BK477,IF(AND(H477=1,C477="重要关系3",LEFT('幕间与结算'!H384,8)="建立新的重要关系"),'幕间与结算'!E384+E477,BS476+IF(C477="重要关系3",E477,0)+IF(AND(C477="魅力",E477&lt;0),E477,0))))</x:f>
        <x:v>0</x:v>
      </x:c>
      <x:c r="BT477">
        <x:f>MAX(0,MIN(BK477,IF(AND(H477=1,C477="重要关系4",LEFT('幕间与结算'!H384,8)="建立新的重要关系"),'幕间与结算'!E384+E477,BT476+IF(C477="重要关系4",E477,0)+IF(AND(C477="魅力",E477&lt;0),E477,0))))</x:f>
        <x:v>0</x:v>
      </x:c>
      <x:c r="BU477">
        <x:f>MAX(0,MIN(BK477,IF(AND(H477=1,C477="重要关系5",LEFT('幕间与结算'!H384,8)="建立新的重要关系"),'幕间与结算'!E384+E477,BU476+IF(C477="重要关系5",E477,0)+IF(AND(C477="魅力",E477&lt;0),E477,0))))</x:f>
        <x:v>0</x:v>
      </x:c>
      <x:c r="BV477">
        <x:f>MAX(0,MIN(BK477,IF(AND(H477=1,C477="重要关系6",LEFT('幕间与结算'!H384,8)="建立新的重要关系"),'幕间与结算'!E384+E477,BV476+IF(C477="重要关系6",E477,0)+IF(AND(C477="魅力",E477&lt;0),E477,0))))</x:f>
        <x:v>0</x:v>
      </x:c>
      <x:c r="BW477">
        <x:f>MAX(0,MIN(BK477,IF(AND(H477=1,C477="重要关系7",LEFT('幕间与结算'!H384,8)="建立新的重要关系"),'幕间与结算'!E384+E477,BW476+IF(C477="重要关系7",E477,0)+IF(AND(C477="魅力",E477&lt;0),E477,0))))</x:f>
        <x:v>0</x:v>
      </x:c>
    </x:row>
    <x:row r="478">
      <x:c r="A478" t="str">
        <x:f>IFERROR(TEXT(VALUE('幕间与结算'!A385),"00"),"")</x:f>
        <x:v>00</x:v>
      </x:c>
      <x:c r="B478">
        <x:f>'幕间与结算'!B385</x:f>
        <x:v>0</x:v>
      </x:c>
      <x:c r="C478">
        <x:f>'幕间与结算'!D385</x:f>
        <x:v>0</x:v>
      </x:c>
      <x:c r="D478">
        <x:f>'幕间与结算'!F385</x:f>
        <x:v>0</x:v>
      </x:c>
      <x:c r="E478">
        <x:f>IF(H478=1,MAX(-'幕间与结算'!E385,MIN(D478,IF(LEFT(C478,3)="技能：",99,IF(COUNTIF($L$2:$L$7,C478)&gt;0,18,999))-'幕间与结算'!E385)),0)</x:f>
        <x:v>0</x:v>
      </x:c>
      <x:c r="F478" t="str">
        <x:f>IF(C478=0,"",IF(G478=0,"记录不完整",IF(H478=0,"重复未计","已计入")))</x:f>
        <x:v/>
      </x:c>
      <x:c r="G478">
        <x:f>IF(AND(AND('幕间与结算'!A385&lt;&gt;"",'幕间与结算'!B385&lt;&gt;"",'幕间与结算'!I385&lt;&gt;"",OR(LEFT(C478,3)="技能：",COUNTIF($L$2:$L$19,C478)&gt;0),ISNUMBER('幕间与结算'!E385),ISNUMBER('幕间与结算'!F385),ISNUMBER('幕间与结算'!G385),'幕间与结算'!E385&gt;=0,'幕间与结算'!G385='幕间与结算'!E385+'幕间与结算'!F385),OR(B478&lt;&gt;"成长",AND(LEFT(C478,3)="技能：",C478&lt;&gt;"技能：非自然知识",'幕间与结算'!E385&gt;=1,'幕间与结算'!E385&lt;=99,'幕间与结算'!F385&gt;=0,'幕间与结算'!F385&lt;=4,'幕间与结算'!G385&lt;=99))),1,0)</x:f>
        <x:v>0</x:v>
      </x:c>
      <x:c r="H478">
        <x:f>IF(AND(G478=1,COUNTIFS($I$200:I478,I478,$G$200:G478,1)=1),1,0)</x:f>
        <x:v>0</x:v>
      </x:c>
      <x:c r="I478" t="str">
        <x:f>IF(G478=1,IF(B478="成长",A478&amp;"-成长-"&amp;C478,'幕间与结算'!I385),"")</x:f>
        <x:v/>
      </x:c>
      <x:c r="BF478">
        <x:f>MAX(0,MIN(18,BF477+IF(C478="力量",E478,0)))</x:f>
        <x:v>0</x:v>
      </x:c>
      <x:c r="BG478">
        <x:f>MAX(0,MIN(18,BG477+IF(C478="体质",E478,0)))</x:f>
        <x:v>0</x:v>
      </x:c>
      <x:c r="BH478">
        <x:f>MAX(0,MIN(18,BH477+IF(C478="敏捷",E478,0)))</x:f>
        <x:v>0</x:v>
      </x:c>
      <x:c r="BI478">
        <x:f>MAX(0,MIN(18,BI477+IF(C478="智力",E478,0)))</x:f>
        <x:v>0</x:v>
      </x:c>
      <x:c r="BJ478">
        <x:f>MAX(0,MIN(18,BJ477+IF(C478="意志",E478,0)))</x:f>
        <x:v>0</x:v>
      </x:c>
      <x:c r="BK478">
        <x:f>MAX(0,MIN(18,BK477+IF(C478="魅力",E478,0)))</x:f>
        <x:v>0</x:v>
      </x:c>
      <x:c r="BL478">
        <x:f>MAX(0,MIN(99,BL477+IF(C478="技能：非自然知识",E478,0)))</x:f>
        <x:v>0</x:v>
      </x:c>
      <x:c r="BM478">
        <x:f>MAX(0,MIN(CEILING((BF478+BG478)/2,1),BM477+IF(C478="体力",E478,0)))</x:f>
        <x:v>0</x:v>
      </x:c>
      <x:c r="BN478">
        <x:f>MAX(0,MIN(BJ478,BN477+IF(C478="毅力",E478,0)))</x:f>
        <x:v>0</x:v>
      </x:c>
      <x:c r="BO478">
        <x:f>MAX(0,MIN(99-BL478,BO477+IF(C478="理智",E478,0)))</x:f>
        <x:v>0</x:v>
      </x:c>
      <x:c r="BP478">
        <x:f>MAX(0,MIN(99,BP477+IF(C478="崩溃点",E478,0)))</x:f>
        <x:v>0</x:v>
      </x:c>
      <x:c r="BQ478">
        <x:f>MAX(0,MIN(BK478,IF(AND(H478=1,C478="重要关系1",LEFT('幕间与结算'!H385,8)="建立新的重要关系"),'幕间与结算'!E385+E478,BQ477+IF(C478="重要关系1",E478,0)+IF(AND(C478="魅力",E478&lt;0),E478,0))))</x:f>
        <x:v>0</x:v>
      </x:c>
      <x:c r="BR478">
        <x:f>MAX(0,MIN(BK478,IF(AND(H478=1,C478="重要关系2",LEFT('幕间与结算'!H385,8)="建立新的重要关系"),'幕间与结算'!E385+E478,BR477+IF(C478="重要关系2",E478,0)+IF(AND(C478="魅力",E478&lt;0),E478,0))))</x:f>
        <x:v>0</x:v>
      </x:c>
      <x:c r="BS478">
        <x:f>MAX(0,MIN(BK478,IF(AND(H478=1,C478="重要关系3",LEFT('幕间与结算'!H385,8)="建立新的重要关系"),'幕间与结算'!E385+E478,BS477+IF(C478="重要关系3",E478,0)+IF(AND(C478="魅力",E478&lt;0),E478,0))))</x:f>
        <x:v>0</x:v>
      </x:c>
      <x:c r="BT478">
        <x:f>MAX(0,MIN(BK478,IF(AND(H478=1,C478="重要关系4",LEFT('幕间与结算'!H385,8)="建立新的重要关系"),'幕间与结算'!E385+E478,BT477+IF(C478="重要关系4",E478,0)+IF(AND(C478="魅力",E478&lt;0),E478,0))))</x:f>
        <x:v>0</x:v>
      </x:c>
      <x:c r="BU478">
        <x:f>MAX(0,MIN(BK478,IF(AND(H478=1,C478="重要关系5",LEFT('幕间与结算'!H385,8)="建立新的重要关系"),'幕间与结算'!E385+E478,BU477+IF(C478="重要关系5",E478,0)+IF(AND(C478="魅力",E478&lt;0),E478,0))))</x:f>
        <x:v>0</x:v>
      </x:c>
      <x:c r="BV478">
        <x:f>MAX(0,MIN(BK478,IF(AND(H478=1,C478="重要关系6",LEFT('幕间与结算'!H385,8)="建立新的重要关系"),'幕间与结算'!E385+E478,BV477+IF(C478="重要关系6",E478,0)+IF(AND(C478="魅力",E478&lt;0),E478,0))))</x:f>
        <x:v>0</x:v>
      </x:c>
      <x:c r="BW478">
        <x:f>MAX(0,MIN(BK478,IF(AND(H478=1,C478="重要关系7",LEFT('幕间与结算'!H385,8)="建立新的重要关系"),'幕间与结算'!E385+E478,BW477+IF(C478="重要关系7",E478,0)+IF(AND(C478="魅力",E478&lt;0),E478,0))))</x:f>
        <x:v>0</x:v>
      </x:c>
    </x:row>
    <x:row r="479">
      <x:c r="A479" t="str">
        <x:f>IFERROR(TEXT(VALUE('幕间与结算'!A386),"00"),"")</x:f>
        <x:v>00</x:v>
      </x:c>
      <x:c r="B479">
        <x:f>'幕间与结算'!B386</x:f>
        <x:v>0</x:v>
      </x:c>
      <x:c r="C479">
        <x:f>'幕间与结算'!D386</x:f>
        <x:v>0</x:v>
      </x:c>
      <x:c r="D479">
        <x:f>'幕间与结算'!F386</x:f>
        <x:v>0</x:v>
      </x:c>
      <x:c r="E479">
        <x:f>IF(H479=1,MAX(-'幕间与结算'!E386,MIN(D479,IF(LEFT(C479,3)="技能：",99,IF(COUNTIF($L$2:$L$7,C479)&gt;0,18,999))-'幕间与结算'!E386)),0)</x:f>
        <x:v>0</x:v>
      </x:c>
      <x:c r="F479" t="str">
        <x:f>IF(C479=0,"",IF(G479=0,"记录不完整",IF(H479=0,"重复未计","已计入")))</x:f>
        <x:v/>
      </x:c>
      <x:c r="G479">
        <x:f>IF(AND(AND('幕间与结算'!A386&lt;&gt;"",'幕间与结算'!B386&lt;&gt;"",'幕间与结算'!I386&lt;&gt;"",OR(LEFT(C479,3)="技能：",COUNTIF($L$2:$L$19,C479)&gt;0),ISNUMBER('幕间与结算'!E386),ISNUMBER('幕间与结算'!F386),ISNUMBER('幕间与结算'!G386),'幕间与结算'!E386&gt;=0,'幕间与结算'!G386='幕间与结算'!E386+'幕间与结算'!F386),OR(B479&lt;&gt;"成长",AND(LEFT(C479,3)="技能：",C479&lt;&gt;"技能：非自然知识",'幕间与结算'!E386&gt;=1,'幕间与结算'!E386&lt;=99,'幕间与结算'!F386&gt;=0,'幕间与结算'!F386&lt;=4,'幕间与结算'!G386&lt;=99))),1,0)</x:f>
        <x:v>0</x:v>
      </x:c>
      <x:c r="H479">
        <x:f>IF(AND(G479=1,COUNTIFS($I$200:I479,I479,$G$200:G479,1)=1),1,0)</x:f>
        <x:v>0</x:v>
      </x:c>
      <x:c r="I479" t="str">
        <x:f>IF(G479=1,IF(B479="成长",A479&amp;"-成长-"&amp;C479,'幕间与结算'!I386),"")</x:f>
        <x:v/>
      </x:c>
      <x:c r="BF479">
        <x:f>MAX(0,MIN(18,BF478+IF(C479="力量",E479,0)))</x:f>
        <x:v>0</x:v>
      </x:c>
      <x:c r="BG479">
        <x:f>MAX(0,MIN(18,BG478+IF(C479="体质",E479,0)))</x:f>
        <x:v>0</x:v>
      </x:c>
      <x:c r="BH479">
        <x:f>MAX(0,MIN(18,BH478+IF(C479="敏捷",E479,0)))</x:f>
        <x:v>0</x:v>
      </x:c>
      <x:c r="BI479">
        <x:f>MAX(0,MIN(18,BI478+IF(C479="智力",E479,0)))</x:f>
        <x:v>0</x:v>
      </x:c>
      <x:c r="BJ479">
        <x:f>MAX(0,MIN(18,BJ478+IF(C479="意志",E479,0)))</x:f>
        <x:v>0</x:v>
      </x:c>
      <x:c r="BK479">
        <x:f>MAX(0,MIN(18,BK478+IF(C479="魅力",E479,0)))</x:f>
        <x:v>0</x:v>
      </x:c>
      <x:c r="BL479">
        <x:f>MAX(0,MIN(99,BL478+IF(C479="技能：非自然知识",E479,0)))</x:f>
        <x:v>0</x:v>
      </x:c>
      <x:c r="BM479">
        <x:f>MAX(0,MIN(CEILING((BF479+BG479)/2,1),BM478+IF(C479="体力",E479,0)))</x:f>
        <x:v>0</x:v>
      </x:c>
      <x:c r="BN479">
        <x:f>MAX(0,MIN(BJ479,BN478+IF(C479="毅力",E479,0)))</x:f>
        <x:v>0</x:v>
      </x:c>
      <x:c r="BO479">
        <x:f>MAX(0,MIN(99-BL479,BO478+IF(C479="理智",E479,0)))</x:f>
        <x:v>0</x:v>
      </x:c>
      <x:c r="BP479">
        <x:f>MAX(0,MIN(99,BP478+IF(C479="崩溃点",E479,0)))</x:f>
        <x:v>0</x:v>
      </x:c>
      <x:c r="BQ479">
        <x:f>MAX(0,MIN(BK479,IF(AND(H479=1,C479="重要关系1",LEFT('幕间与结算'!H386,8)="建立新的重要关系"),'幕间与结算'!E386+E479,BQ478+IF(C479="重要关系1",E479,0)+IF(AND(C479="魅力",E479&lt;0),E479,0))))</x:f>
        <x:v>0</x:v>
      </x:c>
      <x:c r="BR479">
        <x:f>MAX(0,MIN(BK479,IF(AND(H479=1,C479="重要关系2",LEFT('幕间与结算'!H386,8)="建立新的重要关系"),'幕间与结算'!E386+E479,BR478+IF(C479="重要关系2",E479,0)+IF(AND(C479="魅力",E479&lt;0),E479,0))))</x:f>
        <x:v>0</x:v>
      </x:c>
      <x:c r="BS479">
        <x:f>MAX(0,MIN(BK479,IF(AND(H479=1,C479="重要关系3",LEFT('幕间与结算'!H386,8)="建立新的重要关系"),'幕间与结算'!E386+E479,BS478+IF(C479="重要关系3",E479,0)+IF(AND(C479="魅力",E479&lt;0),E479,0))))</x:f>
        <x:v>0</x:v>
      </x:c>
      <x:c r="BT479">
        <x:f>MAX(0,MIN(BK479,IF(AND(H479=1,C479="重要关系4",LEFT('幕间与结算'!H386,8)="建立新的重要关系"),'幕间与结算'!E386+E479,BT478+IF(C479="重要关系4",E479,0)+IF(AND(C479="魅力",E479&lt;0),E479,0))))</x:f>
        <x:v>0</x:v>
      </x:c>
      <x:c r="BU479">
        <x:f>MAX(0,MIN(BK479,IF(AND(H479=1,C479="重要关系5",LEFT('幕间与结算'!H386,8)="建立新的重要关系"),'幕间与结算'!E386+E479,BU478+IF(C479="重要关系5",E479,0)+IF(AND(C479="魅力",E479&lt;0),E479,0))))</x:f>
        <x:v>0</x:v>
      </x:c>
      <x:c r="BV479">
        <x:f>MAX(0,MIN(BK479,IF(AND(H479=1,C479="重要关系6",LEFT('幕间与结算'!H386,8)="建立新的重要关系"),'幕间与结算'!E386+E479,BV478+IF(C479="重要关系6",E479,0)+IF(AND(C479="魅力",E479&lt;0),E479,0))))</x:f>
        <x:v>0</x:v>
      </x:c>
      <x:c r="BW479">
        <x:f>MAX(0,MIN(BK479,IF(AND(H479=1,C479="重要关系7",LEFT('幕间与结算'!H386,8)="建立新的重要关系"),'幕间与结算'!E386+E479,BW478+IF(C479="重要关系7",E479,0)+IF(AND(C479="魅力",E479&lt;0),E479,0))))</x:f>
        <x:v>0</x:v>
      </x:c>
    </x:row>
    <x:row r="480">
      <x:c r="A480" t="str">
        <x:f>IFERROR(TEXT(VALUE('幕间与结算'!A387),"00"),"")</x:f>
        <x:v>00</x:v>
      </x:c>
      <x:c r="B480">
        <x:f>'幕间与结算'!B387</x:f>
        <x:v>0</x:v>
      </x:c>
      <x:c r="C480">
        <x:f>'幕间与结算'!D387</x:f>
        <x:v>0</x:v>
      </x:c>
      <x:c r="D480">
        <x:f>'幕间与结算'!F387</x:f>
        <x:v>0</x:v>
      </x:c>
      <x:c r="E480">
        <x:f>IF(H480=1,MAX(-'幕间与结算'!E387,MIN(D480,IF(LEFT(C480,3)="技能：",99,IF(COUNTIF($L$2:$L$7,C480)&gt;0,18,999))-'幕间与结算'!E387)),0)</x:f>
        <x:v>0</x:v>
      </x:c>
      <x:c r="F480" t="str">
        <x:f>IF(C480=0,"",IF(G480=0,"记录不完整",IF(H480=0,"重复未计","已计入")))</x:f>
        <x:v/>
      </x:c>
      <x:c r="G480">
        <x:f>IF(AND(AND('幕间与结算'!A387&lt;&gt;"",'幕间与结算'!B387&lt;&gt;"",'幕间与结算'!I387&lt;&gt;"",OR(LEFT(C480,3)="技能：",COUNTIF($L$2:$L$19,C480)&gt;0),ISNUMBER('幕间与结算'!E387),ISNUMBER('幕间与结算'!F387),ISNUMBER('幕间与结算'!G387),'幕间与结算'!E387&gt;=0,'幕间与结算'!G387='幕间与结算'!E387+'幕间与结算'!F387),OR(B480&lt;&gt;"成长",AND(LEFT(C480,3)="技能：",C480&lt;&gt;"技能：非自然知识",'幕间与结算'!E387&gt;=1,'幕间与结算'!E387&lt;=99,'幕间与结算'!F387&gt;=0,'幕间与结算'!F387&lt;=4,'幕间与结算'!G387&lt;=99))),1,0)</x:f>
        <x:v>0</x:v>
      </x:c>
      <x:c r="H480">
        <x:f>IF(AND(G480=1,COUNTIFS($I$200:I480,I480,$G$200:G480,1)=1),1,0)</x:f>
        <x:v>0</x:v>
      </x:c>
      <x:c r="I480" t="str">
        <x:f>IF(G480=1,IF(B480="成长",A480&amp;"-成长-"&amp;C480,'幕间与结算'!I387),"")</x:f>
        <x:v/>
      </x:c>
      <x:c r="BF480">
        <x:f>MAX(0,MIN(18,BF479+IF(C480="力量",E480,0)))</x:f>
        <x:v>0</x:v>
      </x:c>
      <x:c r="BG480">
        <x:f>MAX(0,MIN(18,BG479+IF(C480="体质",E480,0)))</x:f>
        <x:v>0</x:v>
      </x:c>
      <x:c r="BH480">
        <x:f>MAX(0,MIN(18,BH479+IF(C480="敏捷",E480,0)))</x:f>
        <x:v>0</x:v>
      </x:c>
      <x:c r="BI480">
        <x:f>MAX(0,MIN(18,BI479+IF(C480="智力",E480,0)))</x:f>
        <x:v>0</x:v>
      </x:c>
      <x:c r="BJ480">
        <x:f>MAX(0,MIN(18,BJ479+IF(C480="意志",E480,0)))</x:f>
        <x:v>0</x:v>
      </x:c>
      <x:c r="BK480">
        <x:f>MAX(0,MIN(18,BK479+IF(C480="魅力",E480,0)))</x:f>
        <x:v>0</x:v>
      </x:c>
      <x:c r="BL480">
        <x:f>MAX(0,MIN(99,BL479+IF(C480="技能：非自然知识",E480,0)))</x:f>
        <x:v>0</x:v>
      </x:c>
      <x:c r="BM480">
        <x:f>MAX(0,MIN(CEILING((BF480+BG480)/2,1),BM479+IF(C480="体力",E480,0)))</x:f>
        <x:v>0</x:v>
      </x:c>
      <x:c r="BN480">
        <x:f>MAX(0,MIN(BJ480,BN479+IF(C480="毅力",E480,0)))</x:f>
        <x:v>0</x:v>
      </x:c>
      <x:c r="BO480">
        <x:f>MAX(0,MIN(99-BL480,BO479+IF(C480="理智",E480,0)))</x:f>
        <x:v>0</x:v>
      </x:c>
      <x:c r="BP480">
        <x:f>MAX(0,MIN(99,BP479+IF(C480="崩溃点",E480,0)))</x:f>
        <x:v>0</x:v>
      </x:c>
      <x:c r="BQ480">
        <x:f>MAX(0,MIN(BK480,IF(AND(H480=1,C480="重要关系1",LEFT('幕间与结算'!H387,8)="建立新的重要关系"),'幕间与结算'!E387+E480,BQ479+IF(C480="重要关系1",E480,0)+IF(AND(C480="魅力",E480&lt;0),E480,0))))</x:f>
        <x:v>0</x:v>
      </x:c>
      <x:c r="BR480">
        <x:f>MAX(0,MIN(BK480,IF(AND(H480=1,C480="重要关系2",LEFT('幕间与结算'!H387,8)="建立新的重要关系"),'幕间与结算'!E387+E480,BR479+IF(C480="重要关系2",E480,0)+IF(AND(C480="魅力",E480&lt;0),E480,0))))</x:f>
        <x:v>0</x:v>
      </x:c>
      <x:c r="BS480">
        <x:f>MAX(0,MIN(BK480,IF(AND(H480=1,C480="重要关系3",LEFT('幕间与结算'!H387,8)="建立新的重要关系"),'幕间与结算'!E387+E480,BS479+IF(C480="重要关系3",E480,0)+IF(AND(C480="魅力",E480&lt;0),E480,0))))</x:f>
        <x:v>0</x:v>
      </x:c>
      <x:c r="BT480">
        <x:f>MAX(0,MIN(BK480,IF(AND(H480=1,C480="重要关系4",LEFT('幕间与结算'!H387,8)="建立新的重要关系"),'幕间与结算'!E387+E480,BT479+IF(C480="重要关系4",E480,0)+IF(AND(C480="魅力",E480&lt;0),E480,0))))</x:f>
        <x:v>0</x:v>
      </x:c>
      <x:c r="BU480">
        <x:f>MAX(0,MIN(BK480,IF(AND(H480=1,C480="重要关系5",LEFT('幕间与结算'!H387,8)="建立新的重要关系"),'幕间与结算'!E387+E480,BU479+IF(C480="重要关系5",E480,0)+IF(AND(C480="魅力",E480&lt;0),E480,0))))</x:f>
        <x:v>0</x:v>
      </x:c>
      <x:c r="BV480">
        <x:f>MAX(0,MIN(BK480,IF(AND(H480=1,C480="重要关系6",LEFT('幕间与结算'!H387,8)="建立新的重要关系"),'幕间与结算'!E387+E480,BV479+IF(C480="重要关系6",E480,0)+IF(AND(C480="魅力",E480&lt;0),E480,0))))</x:f>
        <x:v>0</x:v>
      </x:c>
      <x:c r="BW480">
        <x:f>MAX(0,MIN(BK480,IF(AND(H480=1,C480="重要关系7",LEFT('幕间与结算'!H387,8)="建立新的重要关系"),'幕间与结算'!E387+E480,BW479+IF(C480="重要关系7",E480,0)+IF(AND(C480="魅力",E480&lt;0),E480,0))))</x:f>
        <x:v>0</x:v>
      </x:c>
    </x:row>
    <x:row r="481">
      <x:c r="A481" t="str">
        <x:f>IFERROR(TEXT(VALUE('幕间与结算'!A388),"00"),"")</x:f>
        <x:v>00</x:v>
      </x:c>
      <x:c r="B481">
        <x:f>'幕间与结算'!B388</x:f>
        <x:v>0</x:v>
      </x:c>
      <x:c r="C481">
        <x:f>'幕间与结算'!D388</x:f>
        <x:v>0</x:v>
      </x:c>
      <x:c r="D481">
        <x:f>'幕间与结算'!F388</x:f>
        <x:v>0</x:v>
      </x:c>
      <x:c r="E481">
        <x:f>IF(H481=1,MAX(-'幕间与结算'!E388,MIN(D481,IF(LEFT(C481,3)="技能：",99,IF(COUNTIF($L$2:$L$7,C481)&gt;0,18,999))-'幕间与结算'!E388)),0)</x:f>
        <x:v>0</x:v>
      </x:c>
      <x:c r="F481" t="str">
        <x:f>IF(C481=0,"",IF(G481=0,"记录不完整",IF(H481=0,"重复未计","已计入")))</x:f>
        <x:v/>
      </x:c>
      <x:c r="G481">
        <x:f>IF(AND(AND('幕间与结算'!A388&lt;&gt;"",'幕间与结算'!B388&lt;&gt;"",'幕间与结算'!I388&lt;&gt;"",OR(LEFT(C481,3)="技能：",COUNTIF($L$2:$L$19,C481)&gt;0),ISNUMBER('幕间与结算'!E388),ISNUMBER('幕间与结算'!F388),ISNUMBER('幕间与结算'!G388),'幕间与结算'!E388&gt;=0,'幕间与结算'!G388='幕间与结算'!E388+'幕间与结算'!F388),OR(B481&lt;&gt;"成长",AND(LEFT(C481,3)="技能：",C481&lt;&gt;"技能：非自然知识",'幕间与结算'!E388&gt;=1,'幕间与结算'!E388&lt;=99,'幕间与结算'!F388&gt;=0,'幕间与结算'!F388&lt;=4,'幕间与结算'!G388&lt;=99))),1,0)</x:f>
        <x:v>0</x:v>
      </x:c>
      <x:c r="H481">
        <x:f>IF(AND(G481=1,COUNTIFS($I$200:I481,I481,$G$200:G481,1)=1),1,0)</x:f>
        <x:v>0</x:v>
      </x:c>
      <x:c r="I481" t="str">
        <x:f>IF(G481=1,IF(B481="成长",A481&amp;"-成长-"&amp;C481,'幕间与结算'!I388),"")</x:f>
        <x:v/>
      </x:c>
      <x:c r="BF481">
        <x:f>MAX(0,MIN(18,BF480+IF(C481="力量",E481,0)))</x:f>
        <x:v>0</x:v>
      </x:c>
      <x:c r="BG481">
        <x:f>MAX(0,MIN(18,BG480+IF(C481="体质",E481,0)))</x:f>
        <x:v>0</x:v>
      </x:c>
      <x:c r="BH481">
        <x:f>MAX(0,MIN(18,BH480+IF(C481="敏捷",E481,0)))</x:f>
        <x:v>0</x:v>
      </x:c>
      <x:c r="BI481">
        <x:f>MAX(0,MIN(18,BI480+IF(C481="智力",E481,0)))</x:f>
        <x:v>0</x:v>
      </x:c>
      <x:c r="BJ481">
        <x:f>MAX(0,MIN(18,BJ480+IF(C481="意志",E481,0)))</x:f>
        <x:v>0</x:v>
      </x:c>
      <x:c r="BK481">
        <x:f>MAX(0,MIN(18,BK480+IF(C481="魅力",E481,0)))</x:f>
        <x:v>0</x:v>
      </x:c>
      <x:c r="BL481">
        <x:f>MAX(0,MIN(99,BL480+IF(C481="技能：非自然知识",E481,0)))</x:f>
        <x:v>0</x:v>
      </x:c>
      <x:c r="BM481">
        <x:f>MAX(0,MIN(CEILING((BF481+BG481)/2,1),BM480+IF(C481="体力",E481,0)))</x:f>
        <x:v>0</x:v>
      </x:c>
      <x:c r="BN481">
        <x:f>MAX(0,MIN(BJ481,BN480+IF(C481="毅力",E481,0)))</x:f>
        <x:v>0</x:v>
      </x:c>
      <x:c r="BO481">
        <x:f>MAX(0,MIN(99-BL481,BO480+IF(C481="理智",E481,0)))</x:f>
        <x:v>0</x:v>
      </x:c>
      <x:c r="BP481">
        <x:f>MAX(0,MIN(99,BP480+IF(C481="崩溃点",E481,0)))</x:f>
        <x:v>0</x:v>
      </x:c>
      <x:c r="BQ481">
        <x:f>MAX(0,MIN(BK481,IF(AND(H481=1,C481="重要关系1",LEFT('幕间与结算'!H388,8)="建立新的重要关系"),'幕间与结算'!E388+E481,BQ480+IF(C481="重要关系1",E481,0)+IF(AND(C481="魅力",E481&lt;0),E481,0))))</x:f>
        <x:v>0</x:v>
      </x:c>
      <x:c r="BR481">
        <x:f>MAX(0,MIN(BK481,IF(AND(H481=1,C481="重要关系2",LEFT('幕间与结算'!H388,8)="建立新的重要关系"),'幕间与结算'!E388+E481,BR480+IF(C481="重要关系2",E481,0)+IF(AND(C481="魅力",E481&lt;0),E481,0))))</x:f>
        <x:v>0</x:v>
      </x:c>
      <x:c r="BS481">
        <x:f>MAX(0,MIN(BK481,IF(AND(H481=1,C481="重要关系3",LEFT('幕间与结算'!H388,8)="建立新的重要关系"),'幕间与结算'!E388+E481,BS480+IF(C481="重要关系3",E481,0)+IF(AND(C481="魅力",E481&lt;0),E481,0))))</x:f>
        <x:v>0</x:v>
      </x:c>
      <x:c r="BT481">
        <x:f>MAX(0,MIN(BK481,IF(AND(H481=1,C481="重要关系4",LEFT('幕间与结算'!H388,8)="建立新的重要关系"),'幕间与结算'!E388+E481,BT480+IF(C481="重要关系4",E481,0)+IF(AND(C481="魅力",E481&lt;0),E481,0))))</x:f>
        <x:v>0</x:v>
      </x:c>
      <x:c r="BU481">
        <x:f>MAX(0,MIN(BK481,IF(AND(H481=1,C481="重要关系5",LEFT('幕间与结算'!H388,8)="建立新的重要关系"),'幕间与结算'!E388+E481,BU480+IF(C481="重要关系5",E481,0)+IF(AND(C481="魅力",E481&lt;0),E481,0))))</x:f>
        <x:v>0</x:v>
      </x:c>
      <x:c r="BV481">
        <x:f>MAX(0,MIN(BK481,IF(AND(H481=1,C481="重要关系6",LEFT('幕间与结算'!H388,8)="建立新的重要关系"),'幕间与结算'!E388+E481,BV480+IF(C481="重要关系6",E481,0)+IF(AND(C481="魅力",E481&lt;0),E481,0))))</x:f>
        <x:v>0</x:v>
      </x:c>
      <x:c r="BW481">
        <x:f>MAX(0,MIN(BK481,IF(AND(H481=1,C481="重要关系7",LEFT('幕间与结算'!H388,8)="建立新的重要关系"),'幕间与结算'!E388+E481,BW480+IF(C481="重要关系7",E481,0)+IF(AND(C481="魅力",E481&lt;0),E481,0))))</x:f>
        <x:v>0</x:v>
      </x:c>
    </x:row>
    <x:row r="482">
      <x:c r="A482" t="str">
        <x:f>IFERROR(TEXT(VALUE('幕间与结算'!A389),"00"),"")</x:f>
        <x:v>00</x:v>
      </x:c>
      <x:c r="B482">
        <x:f>'幕间与结算'!B389</x:f>
        <x:v>0</x:v>
      </x:c>
      <x:c r="C482">
        <x:f>'幕间与结算'!D389</x:f>
        <x:v>0</x:v>
      </x:c>
      <x:c r="D482">
        <x:f>'幕间与结算'!F389</x:f>
        <x:v>0</x:v>
      </x:c>
      <x:c r="E482">
        <x:f>IF(H482=1,MAX(-'幕间与结算'!E389,MIN(D482,IF(LEFT(C482,3)="技能：",99,IF(COUNTIF($L$2:$L$7,C482)&gt;0,18,999))-'幕间与结算'!E389)),0)</x:f>
        <x:v>0</x:v>
      </x:c>
      <x:c r="F482" t="str">
        <x:f>IF(C482=0,"",IF(G482=0,"记录不完整",IF(H482=0,"重复未计","已计入")))</x:f>
        <x:v/>
      </x:c>
      <x:c r="G482">
        <x:f>IF(AND(AND('幕间与结算'!A389&lt;&gt;"",'幕间与结算'!B389&lt;&gt;"",'幕间与结算'!I389&lt;&gt;"",OR(LEFT(C482,3)="技能：",COUNTIF($L$2:$L$19,C482)&gt;0),ISNUMBER('幕间与结算'!E389),ISNUMBER('幕间与结算'!F389),ISNUMBER('幕间与结算'!G389),'幕间与结算'!E389&gt;=0,'幕间与结算'!G389='幕间与结算'!E389+'幕间与结算'!F389),OR(B482&lt;&gt;"成长",AND(LEFT(C482,3)="技能：",C482&lt;&gt;"技能：非自然知识",'幕间与结算'!E389&gt;=1,'幕间与结算'!E389&lt;=99,'幕间与结算'!F389&gt;=0,'幕间与结算'!F389&lt;=4,'幕间与结算'!G389&lt;=99))),1,0)</x:f>
        <x:v>0</x:v>
      </x:c>
      <x:c r="H482">
        <x:f>IF(AND(G482=1,COUNTIFS($I$200:I482,I482,$G$200:G482,1)=1),1,0)</x:f>
        <x:v>0</x:v>
      </x:c>
      <x:c r="I482" t="str">
        <x:f>IF(G482=1,IF(B482="成长",A482&amp;"-成长-"&amp;C482,'幕间与结算'!I389),"")</x:f>
        <x:v/>
      </x:c>
      <x:c r="BF482">
        <x:f>MAX(0,MIN(18,BF481+IF(C482="力量",E482,0)))</x:f>
        <x:v>0</x:v>
      </x:c>
      <x:c r="BG482">
        <x:f>MAX(0,MIN(18,BG481+IF(C482="体质",E482,0)))</x:f>
        <x:v>0</x:v>
      </x:c>
      <x:c r="BH482">
        <x:f>MAX(0,MIN(18,BH481+IF(C482="敏捷",E482,0)))</x:f>
        <x:v>0</x:v>
      </x:c>
      <x:c r="BI482">
        <x:f>MAX(0,MIN(18,BI481+IF(C482="智力",E482,0)))</x:f>
        <x:v>0</x:v>
      </x:c>
      <x:c r="BJ482">
        <x:f>MAX(0,MIN(18,BJ481+IF(C482="意志",E482,0)))</x:f>
        <x:v>0</x:v>
      </x:c>
      <x:c r="BK482">
        <x:f>MAX(0,MIN(18,BK481+IF(C482="魅力",E482,0)))</x:f>
        <x:v>0</x:v>
      </x:c>
      <x:c r="BL482">
        <x:f>MAX(0,MIN(99,BL481+IF(C482="技能：非自然知识",E482,0)))</x:f>
        <x:v>0</x:v>
      </x:c>
      <x:c r="BM482">
        <x:f>MAX(0,MIN(CEILING((BF482+BG482)/2,1),BM481+IF(C482="体力",E482,0)))</x:f>
        <x:v>0</x:v>
      </x:c>
      <x:c r="BN482">
        <x:f>MAX(0,MIN(BJ482,BN481+IF(C482="毅力",E482,0)))</x:f>
        <x:v>0</x:v>
      </x:c>
      <x:c r="BO482">
        <x:f>MAX(0,MIN(99-BL482,BO481+IF(C482="理智",E482,0)))</x:f>
        <x:v>0</x:v>
      </x:c>
      <x:c r="BP482">
        <x:f>MAX(0,MIN(99,BP481+IF(C482="崩溃点",E482,0)))</x:f>
        <x:v>0</x:v>
      </x:c>
      <x:c r="BQ482">
        <x:f>MAX(0,MIN(BK482,IF(AND(H482=1,C482="重要关系1",LEFT('幕间与结算'!H389,8)="建立新的重要关系"),'幕间与结算'!E389+E482,BQ481+IF(C482="重要关系1",E482,0)+IF(AND(C482="魅力",E482&lt;0),E482,0))))</x:f>
        <x:v>0</x:v>
      </x:c>
      <x:c r="BR482">
        <x:f>MAX(0,MIN(BK482,IF(AND(H482=1,C482="重要关系2",LEFT('幕间与结算'!H389,8)="建立新的重要关系"),'幕间与结算'!E389+E482,BR481+IF(C482="重要关系2",E482,0)+IF(AND(C482="魅力",E482&lt;0),E482,0))))</x:f>
        <x:v>0</x:v>
      </x:c>
      <x:c r="BS482">
        <x:f>MAX(0,MIN(BK482,IF(AND(H482=1,C482="重要关系3",LEFT('幕间与结算'!H389,8)="建立新的重要关系"),'幕间与结算'!E389+E482,BS481+IF(C482="重要关系3",E482,0)+IF(AND(C482="魅力",E482&lt;0),E482,0))))</x:f>
        <x:v>0</x:v>
      </x:c>
      <x:c r="BT482">
        <x:f>MAX(0,MIN(BK482,IF(AND(H482=1,C482="重要关系4",LEFT('幕间与结算'!H389,8)="建立新的重要关系"),'幕间与结算'!E389+E482,BT481+IF(C482="重要关系4",E482,0)+IF(AND(C482="魅力",E482&lt;0),E482,0))))</x:f>
        <x:v>0</x:v>
      </x:c>
      <x:c r="BU482">
        <x:f>MAX(0,MIN(BK482,IF(AND(H482=1,C482="重要关系5",LEFT('幕间与结算'!H389,8)="建立新的重要关系"),'幕间与结算'!E389+E482,BU481+IF(C482="重要关系5",E482,0)+IF(AND(C482="魅力",E482&lt;0),E482,0))))</x:f>
        <x:v>0</x:v>
      </x:c>
      <x:c r="BV482">
        <x:f>MAX(0,MIN(BK482,IF(AND(H482=1,C482="重要关系6",LEFT('幕间与结算'!H389,8)="建立新的重要关系"),'幕间与结算'!E389+E482,BV481+IF(C482="重要关系6",E482,0)+IF(AND(C482="魅力",E482&lt;0),E482,0))))</x:f>
        <x:v>0</x:v>
      </x:c>
      <x:c r="BW482">
        <x:f>MAX(0,MIN(BK482,IF(AND(H482=1,C482="重要关系7",LEFT('幕间与结算'!H389,8)="建立新的重要关系"),'幕间与结算'!E389+E482,BW481+IF(C482="重要关系7",E482,0)+IF(AND(C482="魅力",E482&lt;0),E482,0))))</x:f>
        <x:v>0</x:v>
      </x:c>
    </x:row>
    <x:row r="483">
      <x:c r="A483" t="str">
        <x:f>IFERROR(TEXT(VALUE('幕间与结算'!A390),"00"),"")</x:f>
        <x:v>00</x:v>
      </x:c>
      <x:c r="B483">
        <x:f>'幕间与结算'!B390</x:f>
        <x:v>0</x:v>
      </x:c>
      <x:c r="C483">
        <x:f>'幕间与结算'!D390</x:f>
        <x:v>0</x:v>
      </x:c>
      <x:c r="D483">
        <x:f>'幕间与结算'!F390</x:f>
        <x:v>0</x:v>
      </x:c>
      <x:c r="E483">
        <x:f>IF(H483=1,MAX(-'幕间与结算'!E390,MIN(D483,IF(LEFT(C483,3)="技能：",99,IF(COUNTIF($L$2:$L$7,C483)&gt;0,18,999))-'幕间与结算'!E390)),0)</x:f>
        <x:v>0</x:v>
      </x:c>
      <x:c r="F483" t="str">
        <x:f>IF(C483=0,"",IF(G483=0,"记录不完整",IF(H483=0,"重复未计","已计入")))</x:f>
        <x:v/>
      </x:c>
      <x:c r="G483">
        <x:f>IF(AND(AND('幕间与结算'!A390&lt;&gt;"",'幕间与结算'!B390&lt;&gt;"",'幕间与结算'!I390&lt;&gt;"",OR(LEFT(C483,3)="技能：",COUNTIF($L$2:$L$19,C483)&gt;0),ISNUMBER('幕间与结算'!E390),ISNUMBER('幕间与结算'!F390),ISNUMBER('幕间与结算'!G390),'幕间与结算'!E390&gt;=0,'幕间与结算'!G390='幕间与结算'!E390+'幕间与结算'!F390),OR(B483&lt;&gt;"成长",AND(LEFT(C483,3)="技能：",C483&lt;&gt;"技能：非自然知识",'幕间与结算'!E390&gt;=1,'幕间与结算'!E390&lt;=99,'幕间与结算'!F390&gt;=0,'幕间与结算'!F390&lt;=4,'幕间与结算'!G390&lt;=99))),1,0)</x:f>
        <x:v>0</x:v>
      </x:c>
      <x:c r="H483">
        <x:f>IF(AND(G483=1,COUNTIFS($I$200:I483,I483,$G$200:G483,1)=1),1,0)</x:f>
        <x:v>0</x:v>
      </x:c>
      <x:c r="I483" t="str">
        <x:f>IF(G483=1,IF(B483="成长",A483&amp;"-成长-"&amp;C483,'幕间与结算'!I390),"")</x:f>
        <x:v/>
      </x:c>
      <x:c r="BF483">
        <x:f>MAX(0,MIN(18,BF482+IF(C483="力量",E483,0)))</x:f>
        <x:v>0</x:v>
      </x:c>
      <x:c r="BG483">
        <x:f>MAX(0,MIN(18,BG482+IF(C483="体质",E483,0)))</x:f>
        <x:v>0</x:v>
      </x:c>
      <x:c r="BH483">
        <x:f>MAX(0,MIN(18,BH482+IF(C483="敏捷",E483,0)))</x:f>
        <x:v>0</x:v>
      </x:c>
      <x:c r="BI483">
        <x:f>MAX(0,MIN(18,BI482+IF(C483="智力",E483,0)))</x:f>
        <x:v>0</x:v>
      </x:c>
      <x:c r="BJ483">
        <x:f>MAX(0,MIN(18,BJ482+IF(C483="意志",E483,0)))</x:f>
        <x:v>0</x:v>
      </x:c>
      <x:c r="BK483">
        <x:f>MAX(0,MIN(18,BK482+IF(C483="魅力",E483,0)))</x:f>
        <x:v>0</x:v>
      </x:c>
      <x:c r="BL483">
        <x:f>MAX(0,MIN(99,BL482+IF(C483="技能：非自然知识",E483,0)))</x:f>
        <x:v>0</x:v>
      </x:c>
      <x:c r="BM483">
        <x:f>MAX(0,MIN(CEILING((BF483+BG483)/2,1),BM482+IF(C483="体力",E483,0)))</x:f>
        <x:v>0</x:v>
      </x:c>
      <x:c r="BN483">
        <x:f>MAX(0,MIN(BJ483,BN482+IF(C483="毅力",E483,0)))</x:f>
        <x:v>0</x:v>
      </x:c>
      <x:c r="BO483">
        <x:f>MAX(0,MIN(99-BL483,BO482+IF(C483="理智",E483,0)))</x:f>
        <x:v>0</x:v>
      </x:c>
      <x:c r="BP483">
        <x:f>MAX(0,MIN(99,BP482+IF(C483="崩溃点",E483,0)))</x:f>
        <x:v>0</x:v>
      </x:c>
      <x:c r="BQ483">
        <x:f>MAX(0,MIN(BK483,IF(AND(H483=1,C483="重要关系1",LEFT('幕间与结算'!H390,8)="建立新的重要关系"),'幕间与结算'!E390+E483,BQ482+IF(C483="重要关系1",E483,0)+IF(AND(C483="魅力",E483&lt;0),E483,0))))</x:f>
        <x:v>0</x:v>
      </x:c>
      <x:c r="BR483">
        <x:f>MAX(0,MIN(BK483,IF(AND(H483=1,C483="重要关系2",LEFT('幕间与结算'!H390,8)="建立新的重要关系"),'幕间与结算'!E390+E483,BR482+IF(C483="重要关系2",E483,0)+IF(AND(C483="魅力",E483&lt;0),E483,0))))</x:f>
        <x:v>0</x:v>
      </x:c>
      <x:c r="BS483">
        <x:f>MAX(0,MIN(BK483,IF(AND(H483=1,C483="重要关系3",LEFT('幕间与结算'!H390,8)="建立新的重要关系"),'幕间与结算'!E390+E483,BS482+IF(C483="重要关系3",E483,0)+IF(AND(C483="魅力",E483&lt;0),E483,0))))</x:f>
        <x:v>0</x:v>
      </x:c>
      <x:c r="BT483">
        <x:f>MAX(0,MIN(BK483,IF(AND(H483=1,C483="重要关系4",LEFT('幕间与结算'!H390,8)="建立新的重要关系"),'幕间与结算'!E390+E483,BT482+IF(C483="重要关系4",E483,0)+IF(AND(C483="魅力",E483&lt;0),E483,0))))</x:f>
        <x:v>0</x:v>
      </x:c>
      <x:c r="BU483">
        <x:f>MAX(0,MIN(BK483,IF(AND(H483=1,C483="重要关系5",LEFT('幕间与结算'!H390,8)="建立新的重要关系"),'幕间与结算'!E390+E483,BU482+IF(C483="重要关系5",E483,0)+IF(AND(C483="魅力",E483&lt;0),E483,0))))</x:f>
        <x:v>0</x:v>
      </x:c>
      <x:c r="BV483">
        <x:f>MAX(0,MIN(BK483,IF(AND(H483=1,C483="重要关系6",LEFT('幕间与结算'!H390,8)="建立新的重要关系"),'幕间与结算'!E390+E483,BV482+IF(C483="重要关系6",E483,0)+IF(AND(C483="魅力",E483&lt;0),E483,0))))</x:f>
        <x:v>0</x:v>
      </x:c>
      <x:c r="BW483">
        <x:f>MAX(0,MIN(BK483,IF(AND(H483=1,C483="重要关系7",LEFT('幕间与结算'!H390,8)="建立新的重要关系"),'幕间与结算'!E390+E483,BW482+IF(C483="重要关系7",E483,0)+IF(AND(C483="魅力",E483&lt;0),E483,0))))</x:f>
        <x:v>0</x:v>
      </x:c>
    </x:row>
    <x:row r="484">
      <x:c r="A484" t="str">
        <x:f>IFERROR(TEXT(VALUE('幕间与结算'!A391),"00"),"")</x:f>
        <x:v>00</x:v>
      </x:c>
      <x:c r="B484">
        <x:f>'幕间与结算'!B391</x:f>
        <x:v>0</x:v>
      </x:c>
      <x:c r="C484">
        <x:f>'幕间与结算'!D391</x:f>
        <x:v>0</x:v>
      </x:c>
      <x:c r="D484">
        <x:f>'幕间与结算'!F391</x:f>
        <x:v>0</x:v>
      </x:c>
      <x:c r="E484">
        <x:f>IF(H484=1,MAX(-'幕间与结算'!E391,MIN(D484,IF(LEFT(C484,3)="技能：",99,IF(COUNTIF($L$2:$L$7,C484)&gt;0,18,999))-'幕间与结算'!E391)),0)</x:f>
        <x:v>0</x:v>
      </x:c>
      <x:c r="F484" t="str">
        <x:f>IF(C484=0,"",IF(G484=0,"记录不完整",IF(H484=0,"重复未计","已计入")))</x:f>
        <x:v/>
      </x:c>
      <x:c r="G484">
        <x:f>IF(AND(AND('幕间与结算'!A391&lt;&gt;"",'幕间与结算'!B391&lt;&gt;"",'幕间与结算'!I391&lt;&gt;"",OR(LEFT(C484,3)="技能：",COUNTIF($L$2:$L$19,C484)&gt;0),ISNUMBER('幕间与结算'!E391),ISNUMBER('幕间与结算'!F391),ISNUMBER('幕间与结算'!G391),'幕间与结算'!E391&gt;=0,'幕间与结算'!G391='幕间与结算'!E391+'幕间与结算'!F391),OR(B484&lt;&gt;"成长",AND(LEFT(C484,3)="技能：",C484&lt;&gt;"技能：非自然知识",'幕间与结算'!E391&gt;=1,'幕间与结算'!E391&lt;=99,'幕间与结算'!F391&gt;=0,'幕间与结算'!F391&lt;=4,'幕间与结算'!G391&lt;=99))),1,0)</x:f>
        <x:v>0</x:v>
      </x:c>
      <x:c r="H484">
        <x:f>IF(AND(G484=1,COUNTIFS($I$200:I484,I484,$G$200:G484,1)=1),1,0)</x:f>
        <x:v>0</x:v>
      </x:c>
      <x:c r="I484" t="str">
        <x:f>IF(G484=1,IF(B484="成长",A484&amp;"-成长-"&amp;C484,'幕间与结算'!I391),"")</x:f>
        <x:v/>
      </x:c>
      <x:c r="BF484">
        <x:f>MAX(0,MIN(18,BF483+IF(C484="力量",E484,0)))</x:f>
        <x:v>0</x:v>
      </x:c>
      <x:c r="BG484">
        <x:f>MAX(0,MIN(18,BG483+IF(C484="体质",E484,0)))</x:f>
        <x:v>0</x:v>
      </x:c>
      <x:c r="BH484">
        <x:f>MAX(0,MIN(18,BH483+IF(C484="敏捷",E484,0)))</x:f>
        <x:v>0</x:v>
      </x:c>
      <x:c r="BI484">
        <x:f>MAX(0,MIN(18,BI483+IF(C484="智力",E484,0)))</x:f>
        <x:v>0</x:v>
      </x:c>
      <x:c r="BJ484">
        <x:f>MAX(0,MIN(18,BJ483+IF(C484="意志",E484,0)))</x:f>
        <x:v>0</x:v>
      </x:c>
      <x:c r="BK484">
        <x:f>MAX(0,MIN(18,BK483+IF(C484="魅力",E484,0)))</x:f>
        <x:v>0</x:v>
      </x:c>
      <x:c r="BL484">
        <x:f>MAX(0,MIN(99,BL483+IF(C484="技能：非自然知识",E484,0)))</x:f>
        <x:v>0</x:v>
      </x:c>
      <x:c r="BM484">
        <x:f>MAX(0,MIN(CEILING((BF484+BG484)/2,1),BM483+IF(C484="体力",E484,0)))</x:f>
        <x:v>0</x:v>
      </x:c>
      <x:c r="BN484">
        <x:f>MAX(0,MIN(BJ484,BN483+IF(C484="毅力",E484,0)))</x:f>
        <x:v>0</x:v>
      </x:c>
      <x:c r="BO484">
        <x:f>MAX(0,MIN(99-BL484,BO483+IF(C484="理智",E484,0)))</x:f>
        <x:v>0</x:v>
      </x:c>
      <x:c r="BP484">
        <x:f>MAX(0,MIN(99,BP483+IF(C484="崩溃点",E484,0)))</x:f>
        <x:v>0</x:v>
      </x:c>
      <x:c r="BQ484">
        <x:f>MAX(0,MIN(BK484,IF(AND(H484=1,C484="重要关系1",LEFT('幕间与结算'!H391,8)="建立新的重要关系"),'幕间与结算'!E391+E484,BQ483+IF(C484="重要关系1",E484,0)+IF(AND(C484="魅力",E484&lt;0),E484,0))))</x:f>
        <x:v>0</x:v>
      </x:c>
      <x:c r="BR484">
        <x:f>MAX(0,MIN(BK484,IF(AND(H484=1,C484="重要关系2",LEFT('幕间与结算'!H391,8)="建立新的重要关系"),'幕间与结算'!E391+E484,BR483+IF(C484="重要关系2",E484,0)+IF(AND(C484="魅力",E484&lt;0),E484,0))))</x:f>
        <x:v>0</x:v>
      </x:c>
      <x:c r="BS484">
        <x:f>MAX(0,MIN(BK484,IF(AND(H484=1,C484="重要关系3",LEFT('幕间与结算'!H391,8)="建立新的重要关系"),'幕间与结算'!E391+E484,BS483+IF(C484="重要关系3",E484,0)+IF(AND(C484="魅力",E484&lt;0),E484,0))))</x:f>
        <x:v>0</x:v>
      </x:c>
      <x:c r="BT484">
        <x:f>MAX(0,MIN(BK484,IF(AND(H484=1,C484="重要关系4",LEFT('幕间与结算'!H391,8)="建立新的重要关系"),'幕间与结算'!E391+E484,BT483+IF(C484="重要关系4",E484,0)+IF(AND(C484="魅力",E484&lt;0),E484,0))))</x:f>
        <x:v>0</x:v>
      </x:c>
      <x:c r="BU484">
        <x:f>MAX(0,MIN(BK484,IF(AND(H484=1,C484="重要关系5",LEFT('幕间与结算'!H391,8)="建立新的重要关系"),'幕间与结算'!E391+E484,BU483+IF(C484="重要关系5",E484,0)+IF(AND(C484="魅力",E484&lt;0),E484,0))))</x:f>
        <x:v>0</x:v>
      </x:c>
      <x:c r="BV484">
        <x:f>MAX(0,MIN(BK484,IF(AND(H484=1,C484="重要关系6",LEFT('幕间与结算'!H391,8)="建立新的重要关系"),'幕间与结算'!E391+E484,BV483+IF(C484="重要关系6",E484,0)+IF(AND(C484="魅力",E484&lt;0),E484,0))))</x:f>
        <x:v>0</x:v>
      </x:c>
      <x:c r="BW484">
        <x:f>MAX(0,MIN(BK484,IF(AND(H484=1,C484="重要关系7",LEFT('幕间与结算'!H391,8)="建立新的重要关系"),'幕间与结算'!E391+E484,BW483+IF(C484="重要关系7",E484,0)+IF(AND(C484="魅力",E484&lt;0),E484,0))))</x:f>
        <x:v>0</x:v>
      </x:c>
    </x:row>
    <x:row r="485">
      <x:c r="A485" t="str">
        <x:f>IFERROR(TEXT(VALUE('幕间与结算'!A392),"00"),"")</x:f>
        <x:v>00</x:v>
      </x:c>
      <x:c r="B485">
        <x:f>'幕间与结算'!B392</x:f>
        <x:v>0</x:v>
      </x:c>
      <x:c r="C485">
        <x:f>'幕间与结算'!D392</x:f>
        <x:v>0</x:v>
      </x:c>
      <x:c r="D485">
        <x:f>'幕间与结算'!F392</x:f>
        <x:v>0</x:v>
      </x:c>
      <x:c r="E485">
        <x:f>IF(H485=1,MAX(-'幕间与结算'!E392,MIN(D485,IF(LEFT(C485,3)="技能：",99,IF(COUNTIF($L$2:$L$7,C485)&gt;0,18,999))-'幕间与结算'!E392)),0)</x:f>
        <x:v>0</x:v>
      </x:c>
      <x:c r="F485" t="str">
        <x:f>IF(C485=0,"",IF(G485=0,"记录不完整",IF(H485=0,"重复未计","已计入")))</x:f>
        <x:v/>
      </x:c>
      <x:c r="G485">
        <x:f>IF(AND(AND('幕间与结算'!A392&lt;&gt;"",'幕间与结算'!B392&lt;&gt;"",'幕间与结算'!I392&lt;&gt;"",OR(LEFT(C485,3)="技能：",COUNTIF($L$2:$L$19,C485)&gt;0),ISNUMBER('幕间与结算'!E392),ISNUMBER('幕间与结算'!F392),ISNUMBER('幕间与结算'!G392),'幕间与结算'!E392&gt;=0,'幕间与结算'!G392='幕间与结算'!E392+'幕间与结算'!F392),OR(B485&lt;&gt;"成长",AND(LEFT(C485,3)="技能：",C485&lt;&gt;"技能：非自然知识",'幕间与结算'!E392&gt;=1,'幕间与结算'!E392&lt;=99,'幕间与结算'!F392&gt;=0,'幕间与结算'!F392&lt;=4,'幕间与结算'!G392&lt;=99))),1,0)</x:f>
        <x:v>0</x:v>
      </x:c>
      <x:c r="H485">
        <x:f>IF(AND(G485=1,COUNTIFS($I$200:I485,I485,$G$200:G485,1)=1),1,0)</x:f>
        <x:v>0</x:v>
      </x:c>
      <x:c r="I485" t="str">
        <x:f>IF(G485=1,IF(B485="成长",A485&amp;"-成长-"&amp;C485,'幕间与结算'!I392),"")</x:f>
        <x:v/>
      </x:c>
      <x:c r="BF485">
        <x:f>MAX(0,MIN(18,BF484+IF(C485="力量",E485,0)))</x:f>
        <x:v>0</x:v>
      </x:c>
      <x:c r="BG485">
        <x:f>MAX(0,MIN(18,BG484+IF(C485="体质",E485,0)))</x:f>
        <x:v>0</x:v>
      </x:c>
      <x:c r="BH485">
        <x:f>MAX(0,MIN(18,BH484+IF(C485="敏捷",E485,0)))</x:f>
        <x:v>0</x:v>
      </x:c>
      <x:c r="BI485">
        <x:f>MAX(0,MIN(18,BI484+IF(C485="智力",E485,0)))</x:f>
        <x:v>0</x:v>
      </x:c>
      <x:c r="BJ485">
        <x:f>MAX(0,MIN(18,BJ484+IF(C485="意志",E485,0)))</x:f>
        <x:v>0</x:v>
      </x:c>
      <x:c r="BK485">
        <x:f>MAX(0,MIN(18,BK484+IF(C485="魅力",E485,0)))</x:f>
        <x:v>0</x:v>
      </x:c>
      <x:c r="BL485">
        <x:f>MAX(0,MIN(99,BL484+IF(C485="技能：非自然知识",E485,0)))</x:f>
        <x:v>0</x:v>
      </x:c>
      <x:c r="BM485">
        <x:f>MAX(0,MIN(CEILING((BF485+BG485)/2,1),BM484+IF(C485="体力",E485,0)))</x:f>
        <x:v>0</x:v>
      </x:c>
      <x:c r="BN485">
        <x:f>MAX(0,MIN(BJ485,BN484+IF(C485="毅力",E485,0)))</x:f>
        <x:v>0</x:v>
      </x:c>
      <x:c r="BO485">
        <x:f>MAX(0,MIN(99-BL485,BO484+IF(C485="理智",E485,0)))</x:f>
        <x:v>0</x:v>
      </x:c>
      <x:c r="BP485">
        <x:f>MAX(0,MIN(99,BP484+IF(C485="崩溃点",E485,0)))</x:f>
        <x:v>0</x:v>
      </x:c>
      <x:c r="BQ485">
        <x:f>MAX(0,MIN(BK485,IF(AND(H485=1,C485="重要关系1",LEFT('幕间与结算'!H392,8)="建立新的重要关系"),'幕间与结算'!E392+E485,BQ484+IF(C485="重要关系1",E485,0)+IF(AND(C485="魅力",E485&lt;0),E485,0))))</x:f>
        <x:v>0</x:v>
      </x:c>
      <x:c r="BR485">
        <x:f>MAX(0,MIN(BK485,IF(AND(H485=1,C485="重要关系2",LEFT('幕间与结算'!H392,8)="建立新的重要关系"),'幕间与结算'!E392+E485,BR484+IF(C485="重要关系2",E485,0)+IF(AND(C485="魅力",E485&lt;0),E485,0))))</x:f>
        <x:v>0</x:v>
      </x:c>
      <x:c r="BS485">
        <x:f>MAX(0,MIN(BK485,IF(AND(H485=1,C485="重要关系3",LEFT('幕间与结算'!H392,8)="建立新的重要关系"),'幕间与结算'!E392+E485,BS484+IF(C485="重要关系3",E485,0)+IF(AND(C485="魅力",E485&lt;0),E485,0))))</x:f>
        <x:v>0</x:v>
      </x:c>
      <x:c r="BT485">
        <x:f>MAX(0,MIN(BK485,IF(AND(H485=1,C485="重要关系4",LEFT('幕间与结算'!H392,8)="建立新的重要关系"),'幕间与结算'!E392+E485,BT484+IF(C485="重要关系4",E485,0)+IF(AND(C485="魅力",E485&lt;0),E485,0))))</x:f>
        <x:v>0</x:v>
      </x:c>
      <x:c r="BU485">
        <x:f>MAX(0,MIN(BK485,IF(AND(H485=1,C485="重要关系5",LEFT('幕间与结算'!H392,8)="建立新的重要关系"),'幕间与结算'!E392+E485,BU484+IF(C485="重要关系5",E485,0)+IF(AND(C485="魅力",E485&lt;0),E485,0))))</x:f>
        <x:v>0</x:v>
      </x:c>
      <x:c r="BV485">
        <x:f>MAX(0,MIN(BK485,IF(AND(H485=1,C485="重要关系6",LEFT('幕间与结算'!H392,8)="建立新的重要关系"),'幕间与结算'!E392+E485,BV484+IF(C485="重要关系6",E485,0)+IF(AND(C485="魅力",E485&lt;0),E485,0))))</x:f>
        <x:v>0</x:v>
      </x:c>
      <x:c r="BW485">
        <x:f>MAX(0,MIN(BK485,IF(AND(H485=1,C485="重要关系7",LEFT('幕间与结算'!H392,8)="建立新的重要关系"),'幕间与结算'!E392+E485,BW484+IF(C485="重要关系7",E485,0)+IF(AND(C485="魅力",E485&lt;0),E485,0))))</x:f>
        <x:v>0</x:v>
      </x:c>
    </x:row>
    <x:row r="486">
      <x:c r="A486" t="str">
        <x:f>IFERROR(TEXT(VALUE('幕间与结算'!A393),"00"),"")</x:f>
        <x:v>00</x:v>
      </x:c>
      <x:c r="B486">
        <x:f>'幕间与结算'!B393</x:f>
        <x:v>0</x:v>
      </x:c>
      <x:c r="C486">
        <x:f>'幕间与结算'!D393</x:f>
        <x:v>0</x:v>
      </x:c>
      <x:c r="D486">
        <x:f>'幕间与结算'!F393</x:f>
        <x:v>0</x:v>
      </x:c>
      <x:c r="E486">
        <x:f>IF(H486=1,MAX(-'幕间与结算'!E393,MIN(D486,IF(LEFT(C486,3)="技能：",99,IF(COUNTIF($L$2:$L$7,C486)&gt;0,18,999))-'幕间与结算'!E393)),0)</x:f>
        <x:v>0</x:v>
      </x:c>
      <x:c r="F486" t="str">
        <x:f>IF(C486=0,"",IF(G486=0,"记录不完整",IF(H486=0,"重复未计","已计入")))</x:f>
        <x:v/>
      </x:c>
      <x:c r="G486">
        <x:f>IF(AND(AND('幕间与结算'!A393&lt;&gt;"",'幕间与结算'!B393&lt;&gt;"",'幕间与结算'!I393&lt;&gt;"",OR(LEFT(C486,3)="技能：",COUNTIF($L$2:$L$19,C486)&gt;0),ISNUMBER('幕间与结算'!E393),ISNUMBER('幕间与结算'!F393),ISNUMBER('幕间与结算'!G393),'幕间与结算'!E393&gt;=0,'幕间与结算'!G393='幕间与结算'!E393+'幕间与结算'!F393),OR(B486&lt;&gt;"成长",AND(LEFT(C486,3)="技能：",C486&lt;&gt;"技能：非自然知识",'幕间与结算'!E393&gt;=1,'幕间与结算'!E393&lt;=99,'幕间与结算'!F393&gt;=0,'幕间与结算'!F393&lt;=4,'幕间与结算'!G393&lt;=99))),1,0)</x:f>
        <x:v>0</x:v>
      </x:c>
      <x:c r="H486">
        <x:f>IF(AND(G486=1,COUNTIFS($I$200:I486,I486,$G$200:G486,1)=1),1,0)</x:f>
        <x:v>0</x:v>
      </x:c>
      <x:c r="I486" t="str">
        <x:f>IF(G486=1,IF(B486="成长",A486&amp;"-成长-"&amp;C486,'幕间与结算'!I393),"")</x:f>
        <x:v/>
      </x:c>
      <x:c r="BF486">
        <x:f>MAX(0,MIN(18,BF485+IF(C486="力量",E486,0)))</x:f>
        <x:v>0</x:v>
      </x:c>
      <x:c r="BG486">
        <x:f>MAX(0,MIN(18,BG485+IF(C486="体质",E486,0)))</x:f>
        <x:v>0</x:v>
      </x:c>
      <x:c r="BH486">
        <x:f>MAX(0,MIN(18,BH485+IF(C486="敏捷",E486,0)))</x:f>
        <x:v>0</x:v>
      </x:c>
      <x:c r="BI486">
        <x:f>MAX(0,MIN(18,BI485+IF(C486="智力",E486,0)))</x:f>
        <x:v>0</x:v>
      </x:c>
      <x:c r="BJ486">
        <x:f>MAX(0,MIN(18,BJ485+IF(C486="意志",E486,0)))</x:f>
        <x:v>0</x:v>
      </x:c>
      <x:c r="BK486">
        <x:f>MAX(0,MIN(18,BK485+IF(C486="魅力",E486,0)))</x:f>
        <x:v>0</x:v>
      </x:c>
      <x:c r="BL486">
        <x:f>MAX(0,MIN(99,BL485+IF(C486="技能：非自然知识",E486,0)))</x:f>
        <x:v>0</x:v>
      </x:c>
      <x:c r="BM486">
        <x:f>MAX(0,MIN(CEILING((BF486+BG486)/2,1),BM485+IF(C486="体力",E486,0)))</x:f>
        <x:v>0</x:v>
      </x:c>
      <x:c r="BN486">
        <x:f>MAX(0,MIN(BJ486,BN485+IF(C486="毅力",E486,0)))</x:f>
        <x:v>0</x:v>
      </x:c>
      <x:c r="BO486">
        <x:f>MAX(0,MIN(99-BL486,BO485+IF(C486="理智",E486,0)))</x:f>
        <x:v>0</x:v>
      </x:c>
      <x:c r="BP486">
        <x:f>MAX(0,MIN(99,BP485+IF(C486="崩溃点",E486,0)))</x:f>
        <x:v>0</x:v>
      </x:c>
      <x:c r="BQ486">
        <x:f>MAX(0,MIN(BK486,IF(AND(H486=1,C486="重要关系1",LEFT('幕间与结算'!H393,8)="建立新的重要关系"),'幕间与结算'!E393+E486,BQ485+IF(C486="重要关系1",E486,0)+IF(AND(C486="魅力",E486&lt;0),E486,0))))</x:f>
        <x:v>0</x:v>
      </x:c>
      <x:c r="BR486">
        <x:f>MAX(0,MIN(BK486,IF(AND(H486=1,C486="重要关系2",LEFT('幕间与结算'!H393,8)="建立新的重要关系"),'幕间与结算'!E393+E486,BR485+IF(C486="重要关系2",E486,0)+IF(AND(C486="魅力",E486&lt;0),E486,0))))</x:f>
        <x:v>0</x:v>
      </x:c>
      <x:c r="BS486">
        <x:f>MAX(0,MIN(BK486,IF(AND(H486=1,C486="重要关系3",LEFT('幕间与结算'!H393,8)="建立新的重要关系"),'幕间与结算'!E393+E486,BS485+IF(C486="重要关系3",E486,0)+IF(AND(C486="魅力",E486&lt;0),E486,0))))</x:f>
        <x:v>0</x:v>
      </x:c>
      <x:c r="BT486">
        <x:f>MAX(0,MIN(BK486,IF(AND(H486=1,C486="重要关系4",LEFT('幕间与结算'!H393,8)="建立新的重要关系"),'幕间与结算'!E393+E486,BT485+IF(C486="重要关系4",E486,0)+IF(AND(C486="魅力",E486&lt;0),E486,0))))</x:f>
        <x:v>0</x:v>
      </x:c>
      <x:c r="BU486">
        <x:f>MAX(0,MIN(BK486,IF(AND(H486=1,C486="重要关系5",LEFT('幕间与结算'!H393,8)="建立新的重要关系"),'幕间与结算'!E393+E486,BU485+IF(C486="重要关系5",E486,0)+IF(AND(C486="魅力",E486&lt;0),E486,0))))</x:f>
        <x:v>0</x:v>
      </x:c>
      <x:c r="BV486">
        <x:f>MAX(0,MIN(BK486,IF(AND(H486=1,C486="重要关系6",LEFT('幕间与结算'!H393,8)="建立新的重要关系"),'幕间与结算'!E393+E486,BV485+IF(C486="重要关系6",E486,0)+IF(AND(C486="魅力",E486&lt;0),E486,0))))</x:f>
        <x:v>0</x:v>
      </x:c>
      <x:c r="BW486">
        <x:f>MAX(0,MIN(BK486,IF(AND(H486=1,C486="重要关系7",LEFT('幕间与结算'!H393,8)="建立新的重要关系"),'幕间与结算'!E393+E486,BW485+IF(C486="重要关系7",E486,0)+IF(AND(C486="魅力",E486&lt;0),E486,0))))</x:f>
        <x:v>0</x:v>
      </x:c>
    </x:row>
    <x:row r="487">
      <x:c r="A487" t="str">
        <x:f>IFERROR(TEXT(VALUE('幕间与结算'!A394),"00"),"")</x:f>
        <x:v>00</x:v>
      </x:c>
      <x:c r="B487">
        <x:f>'幕间与结算'!B394</x:f>
        <x:v>0</x:v>
      </x:c>
      <x:c r="C487">
        <x:f>'幕间与结算'!D394</x:f>
        <x:v>0</x:v>
      </x:c>
      <x:c r="D487">
        <x:f>'幕间与结算'!F394</x:f>
        <x:v>0</x:v>
      </x:c>
      <x:c r="E487">
        <x:f>IF(H487=1,MAX(-'幕间与结算'!E394,MIN(D487,IF(LEFT(C487,3)="技能：",99,IF(COUNTIF($L$2:$L$7,C487)&gt;0,18,999))-'幕间与结算'!E394)),0)</x:f>
        <x:v>0</x:v>
      </x:c>
      <x:c r="F487" t="str">
        <x:f>IF(C487=0,"",IF(G487=0,"记录不完整",IF(H487=0,"重复未计","已计入")))</x:f>
        <x:v/>
      </x:c>
      <x:c r="G487">
        <x:f>IF(AND(AND('幕间与结算'!A394&lt;&gt;"",'幕间与结算'!B394&lt;&gt;"",'幕间与结算'!I394&lt;&gt;"",OR(LEFT(C487,3)="技能：",COUNTIF($L$2:$L$19,C487)&gt;0),ISNUMBER('幕间与结算'!E394),ISNUMBER('幕间与结算'!F394),ISNUMBER('幕间与结算'!G394),'幕间与结算'!E394&gt;=0,'幕间与结算'!G394='幕间与结算'!E394+'幕间与结算'!F394),OR(B487&lt;&gt;"成长",AND(LEFT(C487,3)="技能：",C487&lt;&gt;"技能：非自然知识",'幕间与结算'!E394&gt;=1,'幕间与结算'!E394&lt;=99,'幕间与结算'!F394&gt;=0,'幕间与结算'!F394&lt;=4,'幕间与结算'!G394&lt;=99))),1,0)</x:f>
        <x:v>0</x:v>
      </x:c>
      <x:c r="H487">
        <x:f>IF(AND(G487=1,COUNTIFS($I$200:I487,I487,$G$200:G487,1)=1),1,0)</x:f>
        <x:v>0</x:v>
      </x:c>
      <x:c r="I487" t="str">
        <x:f>IF(G487=1,IF(B487="成长",A487&amp;"-成长-"&amp;C487,'幕间与结算'!I394),"")</x:f>
        <x:v/>
      </x:c>
      <x:c r="BF487">
        <x:f>MAX(0,MIN(18,BF486+IF(C487="力量",E487,0)))</x:f>
        <x:v>0</x:v>
      </x:c>
      <x:c r="BG487">
        <x:f>MAX(0,MIN(18,BG486+IF(C487="体质",E487,0)))</x:f>
        <x:v>0</x:v>
      </x:c>
      <x:c r="BH487">
        <x:f>MAX(0,MIN(18,BH486+IF(C487="敏捷",E487,0)))</x:f>
        <x:v>0</x:v>
      </x:c>
      <x:c r="BI487">
        <x:f>MAX(0,MIN(18,BI486+IF(C487="智力",E487,0)))</x:f>
        <x:v>0</x:v>
      </x:c>
      <x:c r="BJ487">
        <x:f>MAX(0,MIN(18,BJ486+IF(C487="意志",E487,0)))</x:f>
        <x:v>0</x:v>
      </x:c>
      <x:c r="BK487">
        <x:f>MAX(0,MIN(18,BK486+IF(C487="魅力",E487,0)))</x:f>
        <x:v>0</x:v>
      </x:c>
      <x:c r="BL487">
        <x:f>MAX(0,MIN(99,BL486+IF(C487="技能：非自然知识",E487,0)))</x:f>
        <x:v>0</x:v>
      </x:c>
      <x:c r="BM487">
        <x:f>MAX(0,MIN(CEILING((BF487+BG487)/2,1),BM486+IF(C487="体力",E487,0)))</x:f>
        <x:v>0</x:v>
      </x:c>
      <x:c r="BN487">
        <x:f>MAX(0,MIN(BJ487,BN486+IF(C487="毅力",E487,0)))</x:f>
        <x:v>0</x:v>
      </x:c>
      <x:c r="BO487">
        <x:f>MAX(0,MIN(99-BL487,BO486+IF(C487="理智",E487,0)))</x:f>
        <x:v>0</x:v>
      </x:c>
      <x:c r="BP487">
        <x:f>MAX(0,MIN(99,BP486+IF(C487="崩溃点",E487,0)))</x:f>
        <x:v>0</x:v>
      </x:c>
      <x:c r="BQ487">
        <x:f>MAX(0,MIN(BK487,IF(AND(H487=1,C487="重要关系1",LEFT('幕间与结算'!H394,8)="建立新的重要关系"),'幕间与结算'!E394+E487,BQ486+IF(C487="重要关系1",E487,0)+IF(AND(C487="魅力",E487&lt;0),E487,0))))</x:f>
        <x:v>0</x:v>
      </x:c>
      <x:c r="BR487">
        <x:f>MAX(0,MIN(BK487,IF(AND(H487=1,C487="重要关系2",LEFT('幕间与结算'!H394,8)="建立新的重要关系"),'幕间与结算'!E394+E487,BR486+IF(C487="重要关系2",E487,0)+IF(AND(C487="魅力",E487&lt;0),E487,0))))</x:f>
        <x:v>0</x:v>
      </x:c>
      <x:c r="BS487">
        <x:f>MAX(0,MIN(BK487,IF(AND(H487=1,C487="重要关系3",LEFT('幕间与结算'!H394,8)="建立新的重要关系"),'幕间与结算'!E394+E487,BS486+IF(C487="重要关系3",E487,0)+IF(AND(C487="魅力",E487&lt;0),E487,0))))</x:f>
        <x:v>0</x:v>
      </x:c>
      <x:c r="BT487">
        <x:f>MAX(0,MIN(BK487,IF(AND(H487=1,C487="重要关系4",LEFT('幕间与结算'!H394,8)="建立新的重要关系"),'幕间与结算'!E394+E487,BT486+IF(C487="重要关系4",E487,0)+IF(AND(C487="魅力",E487&lt;0),E487,0))))</x:f>
        <x:v>0</x:v>
      </x:c>
      <x:c r="BU487">
        <x:f>MAX(0,MIN(BK487,IF(AND(H487=1,C487="重要关系5",LEFT('幕间与结算'!H394,8)="建立新的重要关系"),'幕间与结算'!E394+E487,BU486+IF(C487="重要关系5",E487,0)+IF(AND(C487="魅力",E487&lt;0),E487,0))))</x:f>
        <x:v>0</x:v>
      </x:c>
      <x:c r="BV487">
        <x:f>MAX(0,MIN(BK487,IF(AND(H487=1,C487="重要关系6",LEFT('幕间与结算'!H394,8)="建立新的重要关系"),'幕间与结算'!E394+E487,BV486+IF(C487="重要关系6",E487,0)+IF(AND(C487="魅力",E487&lt;0),E487,0))))</x:f>
        <x:v>0</x:v>
      </x:c>
      <x:c r="BW487">
        <x:f>MAX(0,MIN(BK487,IF(AND(H487=1,C487="重要关系7",LEFT('幕间与结算'!H394,8)="建立新的重要关系"),'幕间与结算'!E394+E487,BW486+IF(C487="重要关系7",E487,0)+IF(AND(C487="魅力",E487&lt;0),E487,0))))</x:f>
        <x:v>0</x:v>
      </x:c>
    </x:row>
    <x:row r="488">
      <x:c r="A488" t="str">
        <x:f>IFERROR(TEXT(VALUE('幕间与结算'!A395),"00"),"")</x:f>
        <x:v>00</x:v>
      </x:c>
      <x:c r="B488">
        <x:f>'幕间与结算'!B395</x:f>
        <x:v>0</x:v>
      </x:c>
      <x:c r="C488">
        <x:f>'幕间与结算'!D395</x:f>
        <x:v>0</x:v>
      </x:c>
      <x:c r="D488">
        <x:f>'幕间与结算'!F395</x:f>
        <x:v>0</x:v>
      </x:c>
      <x:c r="E488">
        <x:f>IF(H488=1,MAX(-'幕间与结算'!E395,MIN(D488,IF(LEFT(C488,3)="技能：",99,IF(COUNTIF($L$2:$L$7,C488)&gt;0,18,999))-'幕间与结算'!E395)),0)</x:f>
        <x:v>0</x:v>
      </x:c>
      <x:c r="F488" t="str">
        <x:f>IF(C488=0,"",IF(G488=0,"记录不完整",IF(H488=0,"重复未计","已计入")))</x:f>
        <x:v/>
      </x:c>
      <x:c r="G488">
        <x:f>IF(AND(AND('幕间与结算'!A395&lt;&gt;"",'幕间与结算'!B395&lt;&gt;"",'幕间与结算'!I395&lt;&gt;"",OR(LEFT(C488,3)="技能：",COUNTIF($L$2:$L$19,C488)&gt;0),ISNUMBER('幕间与结算'!E395),ISNUMBER('幕间与结算'!F395),ISNUMBER('幕间与结算'!G395),'幕间与结算'!E395&gt;=0,'幕间与结算'!G395='幕间与结算'!E395+'幕间与结算'!F395),OR(B488&lt;&gt;"成长",AND(LEFT(C488,3)="技能：",C488&lt;&gt;"技能：非自然知识",'幕间与结算'!E395&gt;=1,'幕间与结算'!E395&lt;=99,'幕间与结算'!F395&gt;=0,'幕间与结算'!F395&lt;=4,'幕间与结算'!G395&lt;=99))),1,0)</x:f>
        <x:v>0</x:v>
      </x:c>
      <x:c r="H488">
        <x:f>IF(AND(G488=1,COUNTIFS($I$200:I488,I488,$G$200:G488,1)=1),1,0)</x:f>
        <x:v>0</x:v>
      </x:c>
      <x:c r="I488" t="str">
        <x:f>IF(G488=1,IF(B488="成长",A488&amp;"-成长-"&amp;C488,'幕间与结算'!I395),"")</x:f>
        <x:v/>
      </x:c>
      <x:c r="BF488">
        <x:f>MAX(0,MIN(18,BF487+IF(C488="力量",E488,0)))</x:f>
        <x:v>0</x:v>
      </x:c>
      <x:c r="BG488">
        <x:f>MAX(0,MIN(18,BG487+IF(C488="体质",E488,0)))</x:f>
        <x:v>0</x:v>
      </x:c>
      <x:c r="BH488">
        <x:f>MAX(0,MIN(18,BH487+IF(C488="敏捷",E488,0)))</x:f>
        <x:v>0</x:v>
      </x:c>
      <x:c r="BI488">
        <x:f>MAX(0,MIN(18,BI487+IF(C488="智力",E488,0)))</x:f>
        <x:v>0</x:v>
      </x:c>
      <x:c r="BJ488">
        <x:f>MAX(0,MIN(18,BJ487+IF(C488="意志",E488,0)))</x:f>
        <x:v>0</x:v>
      </x:c>
      <x:c r="BK488">
        <x:f>MAX(0,MIN(18,BK487+IF(C488="魅力",E488,0)))</x:f>
        <x:v>0</x:v>
      </x:c>
      <x:c r="BL488">
        <x:f>MAX(0,MIN(99,BL487+IF(C488="技能：非自然知识",E488,0)))</x:f>
        <x:v>0</x:v>
      </x:c>
      <x:c r="BM488">
        <x:f>MAX(0,MIN(CEILING((BF488+BG488)/2,1),BM487+IF(C488="体力",E488,0)))</x:f>
        <x:v>0</x:v>
      </x:c>
      <x:c r="BN488">
        <x:f>MAX(0,MIN(BJ488,BN487+IF(C488="毅力",E488,0)))</x:f>
        <x:v>0</x:v>
      </x:c>
      <x:c r="BO488">
        <x:f>MAX(0,MIN(99-BL488,BO487+IF(C488="理智",E488,0)))</x:f>
        <x:v>0</x:v>
      </x:c>
      <x:c r="BP488">
        <x:f>MAX(0,MIN(99,BP487+IF(C488="崩溃点",E488,0)))</x:f>
        <x:v>0</x:v>
      </x:c>
      <x:c r="BQ488">
        <x:f>MAX(0,MIN(BK488,IF(AND(H488=1,C488="重要关系1",LEFT('幕间与结算'!H395,8)="建立新的重要关系"),'幕间与结算'!E395+E488,BQ487+IF(C488="重要关系1",E488,0)+IF(AND(C488="魅力",E488&lt;0),E488,0))))</x:f>
        <x:v>0</x:v>
      </x:c>
      <x:c r="BR488">
        <x:f>MAX(0,MIN(BK488,IF(AND(H488=1,C488="重要关系2",LEFT('幕间与结算'!H395,8)="建立新的重要关系"),'幕间与结算'!E395+E488,BR487+IF(C488="重要关系2",E488,0)+IF(AND(C488="魅力",E488&lt;0),E488,0))))</x:f>
        <x:v>0</x:v>
      </x:c>
      <x:c r="BS488">
        <x:f>MAX(0,MIN(BK488,IF(AND(H488=1,C488="重要关系3",LEFT('幕间与结算'!H395,8)="建立新的重要关系"),'幕间与结算'!E395+E488,BS487+IF(C488="重要关系3",E488,0)+IF(AND(C488="魅力",E488&lt;0),E488,0))))</x:f>
        <x:v>0</x:v>
      </x:c>
      <x:c r="BT488">
        <x:f>MAX(0,MIN(BK488,IF(AND(H488=1,C488="重要关系4",LEFT('幕间与结算'!H395,8)="建立新的重要关系"),'幕间与结算'!E395+E488,BT487+IF(C488="重要关系4",E488,0)+IF(AND(C488="魅力",E488&lt;0),E488,0))))</x:f>
        <x:v>0</x:v>
      </x:c>
      <x:c r="BU488">
        <x:f>MAX(0,MIN(BK488,IF(AND(H488=1,C488="重要关系5",LEFT('幕间与结算'!H395,8)="建立新的重要关系"),'幕间与结算'!E395+E488,BU487+IF(C488="重要关系5",E488,0)+IF(AND(C488="魅力",E488&lt;0),E488,0))))</x:f>
        <x:v>0</x:v>
      </x:c>
      <x:c r="BV488">
        <x:f>MAX(0,MIN(BK488,IF(AND(H488=1,C488="重要关系6",LEFT('幕间与结算'!H395,8)="建立新的重要关系"),'幕间与结算'!E395+E488,BV487+IF(C488="重要关系6",E488,0)+IF(AND(C488="魅力",E488&lt;0),E488,0))))</x:f>
        <x:v>0</x:v>
      </x:c>
      <x:c r="BW488">
        <x:f>MAX(0,MIN(BK488,IF(AND(H488=1,C488="重要关系7",LEFT('幕间与结算'!H395,8)="建立新的重要关系"),'幕间与结算'!E395+E488,BW487+IF(C488="重要关系7",E488,0)+IF(AND(C488="魅力",E488&lt;0),E488,0))))</x:f>
        <x:v>0</x:v>
      </x:c>
    </x:row>
    <x:row r="489">
      <x:c r="A489" t="str">
        <x:f>IFERROR(TEXT(VALUE('幕间与结算'!A396),"00"),"")</x:f>
        <x:v>00</x:v>
      </x:c>
      <x:c r="B489">
        <x:f>'幕间与结算'!B396</x:f>
        <x:v>0</x:v>
      </x:c>
      <x:c r="C489">
        <x:f>'幕间与结算'!D396</x:f>
        <x:v>0</x:v>
      </x:c>
      <x:c r="D489">
        <x:f>'幕间与结算'!F396</x:f>
        <x:v>0</x:v>
      </x:c>
      <x:c r="E489">
        <x:f>IF(H489=1,MAX(-'幕间与结算'!E396,MIN(D489,IF(LEFT(C489,3)="技能：",99,IF(COUNTIF($L$2:$L$7,C489)&gt;0,18,999))-'幕间与结算'!E396)),0)</x:f>
        <x:v>0</x:v>
      </x:c>
      <x:c r="F489" t="str">
        <x:f>IF(C489=0,"",IF(G489=0,"记录不完整",IF(H489=0,"重复未计","已计入")))</x:f>
        <x:v/>
      </x:c>
      <x:c r="G489">
        <x:f>IF(AND(AND('幕间与结算'!A396&lt;&gt;"",'幕间与结算'!B396&lt;&gt;"",'幕间与结算'!I396&lt;&gt;"",OR(LEFT(C489,3)="技能：",COUNTIF($L$2:$L$19,C489)&gt;0),ISNUMBER('幕间与结算'!E396),ISNUMBER('幕间与结算'!F396),ISNUMBER('幕间与结算'!G396),'幕间与结算'!E396&gt;=0,'幕间与结算'!G396='幕间与结算'!E396+'幕间与结算'!F396),OR(B489&lt;&gt;"成长",AND(LEFT(C489,3)="技能：",C489&lt;&gt;"技能：非自然知识",'幕间与结算'!E396&gt;=1,'幕间与结算'!E396&lt;=99,'幕间与结算'!F396&gt;=0,'幕间与结算'!F396&lt;=4,'幕间与结算'!G396&lt;=99))),1,0)</x:f>
        <x:v>0</x:v>
      </x:c>
      <x:c r="H489">
        <x:f>IF(AND(G489=1,COUNTIFS($I$200:I489,I489,$G$200:G489,1)=1),1,0)</x:f>
        <x:v>0</x:v>
      </x:c>
      <x:c r="I489" t="str">
        <x:f>IF(G489=1,IF(B489="成长",A489&amp;"-成长-"&amp;C489,'幕间与结算'!I396),"")</x:f>
        <x:v/>
      </x:c>
      <x:c r="BF489">
        <x:f>MAX(0,MIN(18,BF488+IF(C489="力量",E489,0)))</x:f>
        <x:v>0</x:v>
      </x:c>
      <x:c r="BG489">
        <x:f>MAX(0,MIN(18,BG488+IF(C489="体质",E489,0)))</x:f>
        <x:v>0</x:v>
      </x:c>
      <x:c r="BH489">
        <x:f>MAX(0,MIN(18,BH488+IF(C489="敏捷",E489,0)))</x:f>
        <x:v>0</x:v>
      </x:c>
      <x:c r="BI489">
        <x:f>MAX(0,MIN(18,BI488+IF(C489="智力",E489,0)))</x:f>
        <x:v>0</x:v>
      </x:c>
      <x:c r="BJ489">
        <x:f>MAX(0,MIN(18,BJ488+IF(C489="意志",E489,0)))</x:f>
        <x:v>0</x:v>
      </x:c>
      <x:c r="BK489">
        <x:f>MAX(0,MIN(18,BK488+IF(C489="魅力",E489,0)))</x:f>
        <x:v>0</x:v>
      </x:c>
      <x:c r="BL489">
        <x:f>MAX(0,MIN(99,BL488+IF(C489="技能：非自然知识",E489,0)))</x:f>
        <x:v>0</x:v>
      </x:c>
      <x:c r="BM489">
        <x:f>MAX(0,MIN(CEILING((BF489+BG489)/2,1),BM488+IF(C489="体力",E489,0)))</x:f>
        <x:v>0</x:v>
      </x:c>
      <x:c r="BN489">
        <x:f>MAX(0,MIN(BJ489,BN488+IF(C489="毅力",E489,0)))</x:f>
        <x:v>0</x:v>
      </x:c>
      <x:c r="BO489">
        <x:f>MAX(0,MIN(99-BL489,BO488+IF(C489="理智",E489,0)))</x:f>
        <x:v>0</x:v>
      </x:c>
      <x:c r="BP489">
        <x:f>MAX(0,MIN(99,BP488+IF(C489="崩溃点",E489,0)))</x:f>
        <x:v>0</x:v>
      </x:c>
      <x:c r="BQ489">
        <x:f>MAX(0,MIN(BK489,IF(AND(H489=1,C489="重要关系1",LEFT('幕间与结算'!H396,8)="建立新的重要关系"),'幕间与结算'!E396+E489,BQ488+IF(C489="重要关系1",E489,0)+IF(AND(C489="魅力",E489&lt;0),E489,0))))</x:f>
        <x:v>0</x:v>
      </x:c>
      <x:c r="BR489">
        <x:f>MAX(0,MIN(BK489,IF(AND(H489=1,C489="重要关系2",LEFT('幕间与结算'!H396,8)="建立新的重要关系"),'幕间与结算'!E396+E489,BR488+IF(C489="重要关系2",E489,0)+IF(AND(C489="魅力",E489&lt;0),E489,0))))</x:f>
        <x:v>0</x:v>
      </x:c>
      <x:c r="BS489">
        <x:f>MAX(0,MIN(BK489,IF(AND(H489=1,C489="重要关系3",LEFT('幕间与结算'!H396,8)="建立新的重要关系"),'幕间与结算'!E396+E489,BS488+IF(C489="重要关系3",E489,0)+IF(AND(C489="魅力",E489&lt;0),E489,0))))</x:f>
        <x:v>0</x:v>
      </x:c>
      <x:c r="BT489">
        <x:f>MAX(0,MIN(BK489,IF(AND(H489=1,C489="重要关系4",LEFT('幕间与结算'!H396,8)="建立新的重要关系"),'幕间与结算'!E396+E489,BT488+IF(C489="重要关系4",E489,0)+IF(AND(C489="魅力",E489&lt;0),E489,0))))</x:f>
        <x:v>0</x:v>
      </x:c>
      <x:c r="BU489">
        <x:f>MAX(0,MIN(BK489,IF(AND(H489=1,C489="重要关系5",LEFT('幕间与结算'!H396,8)="建立新的重要关系"),'幕间与结算'!E396+E489,BU488+IF(C489="重要关系5",E489,0)+IF(AND(C489="魅力",E489&lt;0),E489,0))))</x:f>
        <x:v>0</x:v>
      </x:c>
      <x:c r="BV489">
        <x:f>MAX(0,MIN(BK489,IF(AND(H489=1,C489="重要关系6",LEFT('幕间与结算'!H396,8)="建立新的重要关系"),'幕间与结算'!E396+E489,BV488+IF(C489="重要关系6",E489,0)+IF(AND(C489="魅力",E489&lt;0),E489,0))))</x:f>
        <x:v>0</x:v>
      </x:c>
      <x:c r="BW489">
        <x:f>MAX(0,MIN(BK489,IF(AND(H489=1,C489="重要关系7",LEFT('幕间与结算'!H396,8)="建立新的重要关系"),'幕间与结算'!E396+E489,BW488+IF(C489="重要关系7",E489,0)+IF(AND(C489="魅力",E489&lt;0),E489,0))))</x:f>
        <x:v>0</x:v>
      </x:c>
    </x:row>
    <x:row r="490">
      <x:c r="A490" t="str">
        <x:f>IFERROR(TEXT(VALUE('幕间与结算'!A397),"00"),"")</x:f>
        <x:v>00</x:v>
      </x:c>
      <x:c r="B490">
        <x:f>'幕间与结算'!B397</x:f>
        <x:v>0</x:v>
      </x:c>
      <x:c r="C490">
        <x:f>'幕间与结算'!D397</x:f>
        <x:v>0</x:v>
      </x:c>
      <x:c r="D490">
        <x:f>'幕间与结算'!F397</x:f>
        <x:v>0</x:v>
      </x:c>
      <x:c r="E490">
        <x:f>IF(H490=1,MAX(-'幕间与结算'!E397,MIN(D490,IF(LEFT(C490,3)="技能：",99,IF(COUNTIF($L$2:$L$7,C490)&gt;0,18,999))-'幕间与结算'!E397)),0)</x:f>
        <x:v>0</x:v>
      </x:c>
      <x:c r="F490" t="str">
        <x:f>IF(C490=0,"",IF(G490=0,"记录不完整",IF(H490=0,"重复未计","已计入")))</x:f>
        <x:v/>
      </x:c>
      <x:c r="G490">
        <x:f>IF(AND(AND('幕间与结算'!A397&lt;&gt;"",'幕间与结算'!B397&lt;&gt;"",'幕间与结算'!I397&lt;&gt;"",OR(LEFT(C490,3)="技能：",COUNTIF($L$2:$L$19,C490)&gt;0),ISNUMBER('幕间与结算'!E397),ISNUMBER('幕间与结算'!F397),ISNUMBER('幕间与结算'!G397),'幕间与结算'!E397&gt;=0,'幕间与结算'!G397='幕间与结算'!E397+'幕间与结算'!F397),OR(B490&lt;&gt;"成长",AND(LEFT(C490,3)="技能：",C490&lt;&gt;"技能：非自然知识",'幕间与结算'!E397&gt;=1,'幕间与结算'!E397&lt;=99,'幕间与结算'!F397&gt;=0,'幕间与结算'!F397&lt;=4,'幕间与结算'!G397&lt;=99))),1,0)</x:f>
        <x:v>0</x:v>
      </x:c>
      <x:c r="H490">
        <x:f>IF(AND(G490=1,COUNTIFS($I$200:I490,I490,$G$200:G490,1)=1),1,0)</x:f>
        <x:v>0</x:v>
      </x:c>
      <x:c r="I490" t="str">
        <x:f>IF(G490=1,IF(B490="成长",A490&amp;"-成长-"&amp;C490,'幕间与结算'!I397),"")</x:f>
        <x:v/>
      </x:c>
      <x:c r="BF490">
        <x:f>MAX(0,MIN(18,BF489+IF(C490="力量",E490,0)))</x:f>
        <x:v>0</x:v>
      </x:c>
      <x:c r="BG490">
        <x:f>MAX(0,MIN(18,BG489+IF(C490="体质",E490,0)))</x:f>
        <x:v>0</x:v>
      </x:c>
      <x:c r="BH490">
        <x:f>MAX(0,MIN(18,BH489+IF(C490="敏捷",E490,0)))</x:f>
        <x:v>0</x:v>
      </x:c>
      <x:c r="BI490">
        <x:f>MAX(0,MIN(18,BI489+IF(C490="智力",E490,0)))</x:f>
        <x:v>0</x:v>
      </x:c>
      <x:c r="BJ490">
        <x:f>MAX(0,MIN(18,BJ489+IF(C490="意志",E490,0)))</x:f>
        <x:v>0</x:v>
      </x:c>
      <x:c r="BK490">
        <x:f>MAX(0,MIN(18,BK489+IF(C490="魅力",E490,0)))</x:f>
        <x:v>0</x:v>
      </x:c>
      <x:c r="BL490">
        <x:f>MAX(0,MIN(99,BL489+IF(C490="技能：非自然知识",E490,0)))</x:f>
        <x:v>0</x:v>
      </x:c>
      <x:c r="BM490">
        <x:f>MAX(0,MIN(CEILING((BF490+BG490)/2,1),BM489+IF(C490="体力",E490,0)))</x:f>
        <x:v>0</x:v>
      </x:c>
      <x:c r="BN490">
        <x:f>MAX(0,MIN(BJ490,BN489+IF(C490="毅力",E490,0)))</x:f>
        <x:v>0</x:v>
      </x:c>
      <x:c r="BO490">
        <x:f>MAX(0,MIN(99-BL490,BO489+IF(C490="理智",E490,0)))</x:f>
        <x:v>0</x:v>
      </x:c>
      <x:c r="BP490">
        <x:f>MAX(0,MIN(99,BP489+IF(C490="崩溃点",E490,0)))</x:f>
        <x:v>0</x:v>
      </x:c>
      <x:c r="BQ490">
        <x:f>MAX(0,MIN(BK490,IF(AND(H490=1,C490="重要关系1",LEFT('幕间与结算'!H397,8)="建立新的重要关系"),'幕间与结算'!E397+E490,BQ489+IF(C490="重要关系1",E490,0)+IF(AND(C490="魅力",E490&lt;0),E490,0))))</x:f>
        <x:v>0</x:v>
      </x:c>
      <x:c r="BR490">
        <x:f>MAX(0,MIN(BK490,IF(AND(H490=1,C490="重要关系2",LEFT('幕间与结算'!H397,8)="建立新的重要关系"),'幕间与结算'!E397+E490,BR489+IF(C490="重要关系2",E490,0)+IF(AND(C490="魅力",E490&lt;0),E490,0))))</x:f>
        <x:v>0</x:v>
      </x:c>
      <x:c r="BS490">
        <x:f>MAX(0,MIN(BK490,IF(AND(H490=1,C490="重要关系3",LEFT('幕间与结算'!H397,8)="建立新的重要关系"),'幕间与结算'!E397+E490,BS489+IF(C490="重要关系3",E490,0)+IF(AND(C490="魅力",E490&lt;0),E490,0))))</x:f>
        <x:v>0</x:v>
      </x:c>
      <x:c r="BT490">
        <x:f>MAX(0,MIN(BK490,IF(AND(H490=1,C490="重要关系4",LEFT('幕间与结算'!H397,8)="建立新的重要关系"),'幕间与结算'!E397+E490,BT489+IF(C490="重要关系4",E490,0)+IF(AND(C490="魅力",E490&lt;0),E490,0))))</x:f>
        <x:v>0</x:v>
      </x:c>
      <x:c r="BU490">
        <x:f>MAX(0,MIN(BK490,IF(AND(H490=1,C490="重要关系5",LEFT('幕间与结算'!H397,8)="建立新的重要关系"),'幕间与结算'!E397+E490,BU489+IF(C490="重要关系5",E490,0)+IF(AND(C490="魅力",E490&lt;0),E490,0))))</x:f>
        <x:v>0</x:v>
      </x:c>
      <x:c r="BV490">
        <x:f>MAX(0,MIN(BK490,IF(AND(H490=1,C490="重要关系6",LEFT('幕间与结算'!H397,8)="建立新的重要关系"),'幕间与结算'!E397+E490,BV489+IF(C490="重要关系6",E490,0)+IF(AND(C490="魅力",E490&lt;0),E490,0))))</x:f>
        <x:v>0</x:v>
      </x:c>
      <x:c r="BW490">
        <x:f>MAX(0,MIN(BK490,IF(AND(H490=1,C490="重要关系7",LEFT('幕间与结算'!H397,8)="建立新的重要关系"),'幕间与结算'!E397+E490,BW489+IF(C490="重要关系7",E490,0)+IF(AND(C490="魅力",E490&lt;0),E490,0))))</x:f>
        <x:v>0</x:v>
      </x:c>
    </x:row>
    <x:row r="491">
      <x:c r="A491" t="str">
        <x:f>IFERROR(TEXT(VALUE('幕间与结算'!A398),"00"),"")</x:f>
        <x:v>00</x:v>
      </x:c>
      <x:c r="B491">
        <x:f>'幕间与结算'!B398</x:f>
        <x:v>0</x:v>
      </x:c>
      <x:c r="C491">
        <x:f>'幕间与结算'!D398</x:f>
        <x:v>0</x:v>
      </x:c>
      <x:c r="D491">
        <x:f>'幕间与结算'!F398</x:f>
        <x:v>0</x:v>
      </x:c>
      <x:c r="E491">
        <x:f>IF(H491=1,MAX(-'幕间与结算'!E398,MIN(D491,IF(LEFT(C491,3)="技能：",99,IF(COUNTIF($L$2:$L$7,C491)&gt;0,18,999))-'幕间与结算'!E398)),0)</x:f>
        <x:v>0</x:v>
      </x:c>
      <x:c r="F491" t="str">
        <x:f>IF(C491=0,"",IF(G491=0,"记录不完整",IF(H491=0,"重复未计","已计入")))</x:f>
        <x:v/>
      </x:c>
      <x:c r="G491">
        <x:f>IF(AND(AND('幕间与结算'!A398&lt;&gt;"",'幕间与结算'!B398&lt;&gt;"",'幕间与结算'!I398&lt;&gt;"",OR(LEFT(C491,3)="技能：",COUNTIF($L$2:$L$19,C491)&gt;0),ISNUMBER('幕间与结算'!E398),ISNUMBER('幕间与结算'!F398),ISNUMBER('幕间与结算'!G398),'幕间与结算'!E398&gt;=0,'幕间与结算'!G398='幕间与结算'!E398+'幕间与结算'!F398),OR(B491&lt;&gt;"成长",AND(LEFT(C491,3)="技能：",C491&lt;&gt;"技能：非自然知识",'幕间与结算'!E398&gt;=1,'幕间与结算'!E398&lt;=99,'幕间与结算'!F398&gt;=0,'幕间与结算'!F398&lt;=4,'幕间与结算'!G398&lt;=99))),1,0)</x:f>
        <x:v>0</x:v>
      </x:c>
      <x:c r="H491">
        <x:f>IF(AND(G491=1,COUNTIFS($I$200:I491,I491,$G$200:G491,1)=1),1,0)</x:f>
        <x:v>0</x:v>
      </x:c>
      <x:c r="I491" t="str">
        <x:f>IF(G491=1,IF(B491="成长",A491&amp;"-成长-"&amp;C491,'幕间与结算'!I398),"")</x:f>
        <x:v/>
      </x:c>
      <x:c r="BF491">
        <x:f>MAX(0,MIN(18,BF490+IF(C491="力量",E491,0)))</x:f>
        <x:v>0</x:v>
      </x:c>
      <x:c r="BG491">
        <x:f>MAX(0,MIN(18,BG490+IF(C491="体质",E491,0)))</x:f>
        <x:v>0</x:v>
      </x:c>
      <x:c r="BH491">
        <x:f>MAX(0,MIN(18,BH490+IF(C491="敏捷",E491,0)))</x:f>
        <x:v>0</x:v>
      </x:c>
      <x:c r="BI491">
        <x:f>MAX(0,MIN(18,BI490+IF(C491="智力",E491,0)))</x:f>
        <x:v>0</x:v>
      </x:c>
      <x:c r="BJ491">
        <x:f>MAX(0,MIN(18,BJ490+IF(C491="意志",E491,0)))</x:f>
        <x:v>0</x:v>
      </x:c>
      <x:c r="BK491">
        <x:f>MAX(0,MIN(18,BK490+IF(C491="魅力",E491,0)))</x:f>
        <x:v>0</x:v>
      </x:c>
      <x:c r="BL491">
        <x:f>MAX(0,MIN(99,BL490+IF(C491="技能：非自然知识",E491,0)))</x:f>
        <x:v>0</x:v>
      </x:c>
      <x:c r="BM491">
        <x:f>MAX(0,MIN(CEILING((BF491+BG491)/2,1),BM490+IF(C491="体力",E491,0)))</x:f>
        <x:v>0</x:v>
      </x:c>
      <x:c r="BN491">
        <x:f>MAX(0,MIN(BJ491,BN490+IF(C491="毅力",E491,0)))</x:f>
        <x:v>0</x:v>
      </x:c>
      <x:c r="BO491">
        <x:f>MAX(0,MIN(99-BL491,BO490+IF(C491="理智",E491,0)))</x:f>
        <x:v>0</x:v>
      </x:c>
      <x:c r="BP491">
        <x:f>MAX(0,MIN(99,BP490+IF(C491="崩溃点",E491,0)))</x:f>
        <x:v>0</x:v>
      </x:c>
      <x:c r="BQ491">
        <x:f>MAX(0,MIN(BK491,IF(AND(H491=1,C491="重要关系1",LEFT('幕间与结算'!H398,8)="建立新的重要关系"),'幕间与结算'!E398+E491,BQ490+IF(C491="重要关系1",E491,0)+IF(AND(C491="魅力",E491&lt;0),E491,0))))</x:f>
        <x:v>0</x:v>
      </x:c>
      <x:c r="BR491">
        <x:f>MAX(0,MIN(BK491,IF(AND(H491=1,C491="重要关系2",LEFT('幕间与结算'!H398,8)="建立新的重要关系"),'幕间与结算'!E398+E491,BR490+IF(C491="重要关系2",E491,0)+IF(AND(C491="魅力",E491&lt;0),E491,0))))</x:f>
        <x:v>0</x:v>
      </x:c>
      <x:c r="BS491">
        <x:f>MAX(0,MIN(BK491,IF(AND(H491=1,C491="重要关系3",LEFT('幕间与结算'!H398,8)="建立新的重要关系"),'幕间与结算'!E398+E491,BS490+IF(C491="重要关系3",E491,0)+IF(AND(C491="魅力",E491&lt;0),E491,0))))</x:f>
        <x:v>0</x:v>
      </x:c>
      <x:c r="BT491">
        <x:f>MAX(0,MIN(BK491,IF(AND(H491=1,C491="重要关系4",LEFT('幕间与结算'!H398,8)="建立新的重要关系"),'幕间与结算'!E398+E491,BT490+IF(C491="重要关系4",E491,0)+IF(AND(C491="魅力",E491&lt;0),E491,0))))</x:f>
        <x:v>0</x:v>
      </x:c>
      <x:c r="BU491">
        <x:f>MAX(0,MIN(BK491,IF(AND(H491=1,C491="重要关系5",LEFT('幕间与结算'!H398,8)="建立新的重要关系"),'幕间与结算'!E398+E491,BU490+IF(C491="重要关系5",E491,0)+IF(AND(C491="魅力",E491&lt;0),E491,0))))</x:f>
        <x:v>0</x:v>
      </x:c>
      <x:c r="BV491">
        <x:f>MAX(0,MIN(BK491,IF(AND(H491=1,C491="重要关系6",LEFT('幕间与结算'!H398,8)="建立新的重要关系"),'幕间与结算'!E398+E491,BV490+IF(C491="重要关系6",E491,0)+IF(AND(C491="魅力",E491&lt;0),E491,0))))</x:f>
        <x:v>0</x:v>
      </x:c>
      <x:c r="BW491">
        <x:f>MAX(0,MIN(BK491,IF(AND(H491=1,C491="重要关系7",LEFT('幕间与结算'!H398,8)="建立新的重要关系"),'幕间与结算'!E398+E491,BW490+IF(C491="重要关系7",E491,0)+IF(AND(C491="魅力",E491&lt;0),E491,0))))</x:f>
        <x:v>0</x:v>
      </x:c>
    </x:row>
    <x:row r="492">
      <x:c r="A492" t="str">
        <x:f>IFERROR(TEXT(VALUE('幕间与结算'!A399),"00"),"")</x:f>
        <x:v>00</x:v>
      </x:c>
      <x:c r="B492">
        <x:f>'幕间与结算'!B399</x:f>
        <x:v>0</x:v>
      </x:c>
      <x:c r="C492">
        <x:f>'幕间与结算'!D399</x:f>
        <x:v>0</x:v>
      </x:c>
      <x:c r="D492">
        <x:f>'幕间与结算'!F399</x:f>
        <x:v>0</x:v>
      </x:c>
      <x:c r="E492">
        <x:f>IF(H492=1,MAX(-'幕间与结算'!E399,MIN(D492,IF(LEFT(C492,3)="技能：",99,IF(COUNTIF($L$2:$L$7,C492)&gt;0,18,999))-'幕间与结算'!E399)),0)</x:f>
        <x:v>0</x:v>
      </x:c>
      <x:c r="F492" t="str">
        <x:f>IF(C492=0,"",IF(G492=0,"记录不完整",IF(H492=0,"重复未计","已计入")))</x:f>
        <x:v/>
      </x:c>
      <x:c r="G492">
        <x:f>IF(AND(AND('幕间与结算'!A399&lt;&gt;"",'幕间与结算'!B399&lt;&gt;"",'幕间与结算'!I399&lt;&gt;"",OR(LEFT(C492,3)="技能：",COUNTIF($L$2:$L$19,C492)&gt;0),ISNUMBER('幕间与结算'!E399),ISNUMBER('幕间与结算'!F399),ISNUMBER('幕间与结算'!G399),'幕间与结算'!E399&gt;=0,'幕间与结算'!G399='幕间与结算'!E399+'幕间与结算'!F399),OR(B492&lt;&gt;"成长",AND(LEFT(C492,3)="技能：",C492&lt;&gt;"技能：非自然知识",'幕间与结算'!E399&gt;=1,'幕间与结算'!E399&lt;=99,'幕间与结算'!F399&gt;=0,'幕间与结算'!F399&lt;=4,'幕间与结算'!G399&lt;=99))),1,0)</x:f>
        <x:v>0</x:v>
      </x:c>
      <x:c r="H492">
        <x:f>IF(AND(G492=1,COUNTIFS($I$200:I492,I492,$G$200:G492,1)=1),1,0)</x:f>
        <x:v>0</x:v>
      </x:c>
      <x:c r="I492" t="str">
        <x:f>IF(G492=1,IF(B492="成长",A492&amp;"-成长-"&amp;C492,'幕间与结算'!I399),"")</x:f>
        <x:v/>
      </x:c>
      <x:c r="BF492">
        <x:f>MAX(0,MIN(18,BF491+IF(C492="力量",E492,0)))</x:f>
        <x:v>0</x:v>
      </x:c>
      <x:c r="BG492">
        <x:f>MAX(0,MIN(18,BG491+IF(C492="体质",E492,0)))</x:f>
        <x:v>0</x:v>
      </x:c>
      <x:c r="BH492">
        <x:f>MAX(0,MIN(18,BH491+IF(C492="敏捷",E492,0)))</x:f>
        <x:v>0</x:v>
      </x:c>
      <x:c r="BI492">
        <x:f>MAX(0,MIN(18,BI491+IF(C492="智力",E492,0)))</x:f>
        <x:v>0</x:v>
      </x:c>
      <x:c r="BJ492">
        <x:f>MAX(0,MIN(18,BJ491+IF(C492="意志",E492,0)))</x:f>
        <x:v>0</x:v>
      </x:c>
      <x:c r="BK492">
        <x:f>MAX(0,MIN(18,BK491+IF(C492="魅力",E492,0)))</x:f>
        <x:v>0</x:v>
      </x:c>
      <x:c r="BL492">
        <x:f>MAX(0,MIN(99,BL491+IF(C492="技能：非自然知识",E492,0)))</x:f>
        <x:v>0</x:v>
      </x:c>
      <x:c r="BM492">
        <x:f>MAX(0,MIN(CEILING((BF492+BG492)/2,1),BM491+IF(C492="体力",E492,0)))</x:f>
        <x:v>0</x:v>
      </x:c>
      <x:c r="BN492">
        <x:f>MAX(0,MIN(BJ492,BN491+IF(C492="毅力",E492,0)))</x:f>
        <x:v>0</x:v>
      </x:c>
      <x:c r="BO492">
        <x:f>MAX(0,MIN(99-BL492,BO491+IF(C492="理智",E492,0)))</x:f>
        <x:v>0</x:v>
      </x:c>
      <x:c r="BP492">
        <x:f>MAX(0,MIN(99,BP491+IF(C492="崩溃点",E492,0)))</x:f>
        <x:v>0</x:v>
      </x:c>
      <x:c r="BQ492">
        <x:f>MAX(0,MIN(BK492,IF(AND(H492=1,C492="重要关系1",LEFT('幕间与结算'!H399,8)="建立新的重要关系"),'幕间与结算'!E399+E492,BQ491+IF(C492="重要关系1",E492,0)+IF(AND(C492="魅力",E492&lt;0),E492,0))))</x:f>
        <x:v>0</x:v>
      </x:c>
      <x:c r="BR492">
        <x:f>MAX(0,MIN(BK492,IF(AND(H492=1,C492="重要关系2",LEFT('幕间与结算'!H399,8)="建立新的重要关系"),'幕间与结算'!E399+E492,BR491+IF(C492="重要关系2",E492,0)+IF(AND(C492="魅力",E492&lt;0),E492,0))))</x:f>
        <x:v>0</x:v>
      </x:c>
      <x:c r="BS492">
        <x:f>MAX(0,MIN(BK492,IF(AND(H492=1,C492="重要关系3",LEFT('幕间与结算'!H399,8)="建立新的重要关系"),'幕间与结算'!E399+E492,BS491+IF(C492="重要关系3",E492,0)+IF(AND(C492="魅力",E492&lt;0),E492,0))))</x:f>
        <x:v>0</x:v>
      </x:c>
      <x:c r="BT492">
        <x:f>MAX(0,MIN(BK492,IF(AND(H492=1,C492="重要关系4",LEFT('幕间与结算'!H399,8)="建立新的重要关系"),'幕间与结算'!E399+E492,BT491+IF(C492="重要关系4",E492,0)+IF(AND(C492="魅力",E492&lt;0),E492,0))))</x:f>
        <x:v>0</x:v>
      </x:c>
      <x:c r="BU492">
        <x:f>MAX(0,MIN(BK492,IF(AND(H492=1,C492="重要关系5",LEFT('幕间与结算'!H399,8)="建立新的重要关系"),'幕间与结算'!E399+E492,BU491+IF(C492="重要关系5",E492,0)+IF(AND(C492="魅力",E492&lt;0),E492,0))))</x:f>
        <x:v>0</x:v>
      </x:c>
      <x:c r="BV492">
        <x:f>MAX(0,MIN(BK492,IF(AND(H492=1,C492="重要关系6",LEFT('幕间与结算'!H399,8)="建立新的重要关系"),'幕间与结算'!E399+E492,BV491+IF(C492="重要关系6",E492,0)+IF(AND(C492="魅力",E492&lt;0),E492,0))))</x:f>
        <x:v>0</x:v>
      </x:c>
      <x:c r="BW492">
        <x:f>MAX(0,MIN(BK492,IF(AND(H492=1,C492="重要关系7",LEFT('幕间与结算'!H399,8)="建立新的重要关系"),'幕间与结算'!E399+E492,BW491+IF(C492="重要关系7",E492,0)+IF(AND(C492="魅力",E492&lt;0),E492,0))))</x:f>
        <x:v>0</x:v>
      </x:c>
    </x:row>
    <x:row r="493">
      <x:c r="A493" t="str">
        <x:f>IFERROR(TEXT(VALUE('幕间与结算'!A400),"00"),"")</x:f>
        <x:v>00</x:v>
      </x:c>
      <x:c r="B493">
        <x:f>'幕间与结算'!B400</x:f>
        <x:v>0</x:v>
      </x:c>
      <x:c r="C493">
        <x:f>'幕间与结算'!D400</x:f>
        <x:v>0</x:v>
      </x:c>
      <x:c r="D493">
        <x:f>'幕间与结算'!F400</x:f>
        <x:v>0</x:v>
      </x:c>
      <x:c r="E493">
        <x:f>IF(H493=1,MAX(-'幕间与结算'!E400,MIN(D493,IF(LEFT(C493,3)="技能：",99,IF(COUNTIF($L$2:$L$7,C493)&gt;0,18,999))-'幕间与结算'!E400)),0)</x:f>
        <x:v>0</x:v>
      </x:c>
      <x:c r="F493" t="str">
        <x:f>IF(C493=0,"",IF(G493=0,"记录不完整",IF(H493=0,"重复未计","已计入")))</x:f>
        <x:v/>
      </x:c>
      <x:c r="G493">
        <x:f>IF(AND(AND('幕间与结算'!A400&lt;&gt;"",'幕间与结算'!B400&lt;&gt;"",'幕间与结算'!I400&lt;&gt;"",OR(LEFT(C493,3)="技能：",COUNTIF($L$2:$L$19,C493)&gt;0),ISNUMBER('幕间与结算'!E400),ISNUMBER('幕间与结算'!F400),ISNUMBER('幕间与结算'!G400),'幕间与结算'!E400&gt;=0,'幕间与结算'!G400='幕间与结算'!E400+'幕间与结算'!F400),OR(B493&lt;&gt;"成长",AND(LEFT(C493,3)="技能：",C493&lt;&gt;"技能：非自然知识",'幕间与结算'!E400&gt;=1,'幕间与结算'!E400&lt;=99,'幕间与结算'!F400&gt;=0,'幕间与结算'!F400&lt;=4,'幕间与结算'!G400&lt;=99))),1,0)</x:f>
        <x:v>0</x:v>
      </x:c>
      <x:c r="H493">
        <x:f>IF(AND(G493=1,COUNTIFS($I$200:I493,I493,$G$200:G493,1)=1),1,0)</x:f>
        <x:v>0</x:v>
      </x:c>
      <x:c r="I493" t="str">
        <x:f>IF(G493=1,IF(B493="成长",A493&amp;"-成长-"&amp;C493,'幕间与结算'!I400),"")</x:f>
        <x:v/>
      </x:c>
      <x:c r="BF493">
        <x:f>MAX(0,MIN(18,BF492+IF(C493="力量",E493,0)))</x:f>
        <x:v>0</x:v>
      </x:c>
      <x:c r="BG493">
        <x:f>MAX(0,MIN(18,BG492+IF(C493="体质",E493,0)))</x:f>
        <x:v>0</x:v>
      </x:c>
      <x:c r="BH493">
        <x:f>MAX(0,MIN(18,BH492+IF(C493="敏捷",E493,0)))</x:f>
        <x:v>0</x:v>
      </x:c>
      <x:c r="BI493">
        <x:f>MAX(0,MIN(18,BI492+IF(C493="智力",E493,0)))</x:f>
        <x:v>0</x:v>
      </x:c>
      <x:c r="BJ493">
        <x:f>MAX(0,MIN(18,BJ492+IF(C493="意志",E493,0)))</x:f>
        <x:v>0</x:v>
      </x:c>
      <x:c r="BK493">
        <x:f>MAX(0,MIN(18,BK492+IF(C493="魅力",E493,0)))</x:f>
        <x:v>0</x:v>
      </x:c>
      <x:c r="BL493">
        <x:f>MAX(0,MIN(99,BL492+IF(C493="技能：非自然知识",E493,0)))</x:f>
        <x:v>0</x:v>
      </x:c>
      <x:c r="BM493">
        <x:f>MAX(0,MIN(CEILING((BF493+BG493)/2,1),BM492+IF(C493="体力",E493,0)))</x:f>
        <x:v>0</x:v>
      </x:c>
      <x:c r="BN493">
        <x:f>MAX(0,MIN(BJ493,BN492+IF(C493="毅力",E493,0)))</x:f>
        <x:v>0</x:v>
      </x:c>
      <x:c r="BO493">
        <x:f>MAX(0,MIN(99-BL493,BO492+IF(C493="理智",E493,0)))</x:f>
        <x:v>0</x:v>
      </x:c>
      <x:c r="BP493">
        <x:f>MAX(0,MIN(99,BP492+IF(C493="崩溃点",E493,0)))</x:f>
        <x:v>0</x:v>
      </x:c>
      <x:c r="BQ493">
        <x:f>MAX(0,MIN(BK493,IF(AND(H493=1,C493="重要关系1",LEFT('幕间与结算'!H400,8)="建立新的重要关系"),'幕间与结算'!E400+E493,BQ492+IF(C493="重要关系1",E493,0)+IF(AND(C493="魅力",E493&lt;0),E493,0))))</x:f>
        <x:v>0</x:v>
      </x:c>
      <x:c r="BR493">
        <x:f>MAX(0,MIN(BK493,IF(AND(H493=1,C493="重要关系2",LEFT('幕间与结算'!H400,8)="建立新的重要关系"),'幕间与结算'!E400+E493,BR492+IF(C493="重要关系2",E493,0)+IF(AND(C493="魅力",E493&lt;0),E493,0))))</x:f>
        <x:v>0</x:v>
      </x:c>
      <x:c r="BS493">
        <x:f>MAX(0,MIN(BK493,IF(AND(H493=1,C493="重要关系3",LEFT('幕间与结算'!H400,8)="建立新的重要关系"),'幕间与结算'!E400+E493,BS492+IF(C493="重要关系3",E493,0)+IF(AND(C493="魅力",E493&lt;0),E493,0))))</x:f>
        <x:v>0</x:v>
      </x:c>
      <x:c r="BT493">
        <x:f>MAX(0,MIN(BK493,IF(AND(H493=1,C493="重要关系4",LEFT('幕间与结算'!H400,8)="建立新的重要关系"),'幕间与结算'!E400+E493,BT492+IF(C493="重要关系4",E493,0)+IF(AND(C493="魅力",E493&lt;0),E493,0))))</x:f>
        <x:v>0</x:v>
      </x:c>
      <x:c r="BU493">
        <x:f>MAX(0,MIN(BK493,IF(AND(H493=1,C493="重要关系5",LEFT('幕间与结算'!H400,8)="建立新的重要关系"),'幕间与结算'!E400+E493,BU492+IF(C493="重要关系5",E493,0)+IF(AND(C493="魅力",E493&lt;0),E493,0))))</x:f>
        <x:v>0</x:v>
      </x:c>
      <x:c r="BV493">
        <x:f>MAX(0,MIN(BK493,IF(AND(H493=1,C493="重要关系6",LEFT('幕间与结算'!H400,8)="建立新的重要关系"),'幕间与结算'!E400+E493,BV492+IF(C493="重要关系6",E493,0)+IF(AND(C493="魅力",E493&lt;0),E493,0))))</x:f>
        <x:v>0</x:v>
      </x:c>
      <x:c r="BW493">
        <x:f>MAX(0,MIN(BK493,IF(AND(H493=1,C493="重要关系7",LEFT('幕间与结算'!H400,8)="建立新的重要关系"),'幕间与结算'!E400+E493,BW492+IF(C493="重要关系7",E493,0)+IF(AND(C493="魅力",E493&lt;0),E493,0))))</x:f>
        <x:v>0</x:v>
      </x:c>
    </x:row>
    <x:row r="494">
      <x:c r="A494" t="str">
        <x:f>IFERROR(TEXT(VALUE('幕间与结算'!A401),"00"),"")</x:f>
        <x:v>00</x:v>
      </x:c>
      <x:c r="B494">
        <x:f>'幕间与结算'!B401</x:f>
        <x:v>0</x:v>
      </x:c>
      <x:c r="C494">
        <x:f>'幕间与结算'!D401</x:f>
        <x:v>0</x:v>
      </x:c>
      <x:c r="D494">
        <x:f>'幕间与结算'!F401</x:f>
        <x:v>0</x:v>
      </x:c>
      <x:c r="E494">
        <x:f>IF(H494=1,MAX(-'幕间与结算'!E401,MIN(D494,IF(LEFT(C494,3)="技能：",99,IF(COUNTIF($L$2:$L$7,C494)&gt;0,18,999))-'幕间与结算'!E401)),0)</x:f>
        <x:v>0</x:v>
      </x:c>
      <x:c r="F494" t="str">
        <x:f>IF(C494=0,"",IF(G494=0,"记录不完整",IF(H494=0,"重复未计","已计入")))</x:f>
        <x:v/>
      </x:c>
      <x:c r="G494">
        <x:f>IF(AND(AND('幕间与结算'!A401&lt;&gt;"",'幕间与结算'!B401&lt;&gt;"",'幕间与结算'!I401&lt;&gt;"",OR(LEFT(C494,3)="技能：",COUNTIF($L$2:$L$19,C494)&gt;0),ISNUMBER('幕间与结算'!E401),ISNUMBER('幕间与结算'!F401),ISNUMBER('幕间与结算'!G401),'幕间与结算'!E401&gt;=0,'幕间与结算'!G401='幕间与结算'!E401+'幕间与结算'!F401),OR(B494&lt;&gt;"成长",AND(LEFT(C494,3)="技能：",C494&lt;&gt;"技能：非自然知识",'幕间与结算'!E401&gt;=1,'幕间与结算'!E401&lt;=99,'幕间与结算'!F401&gt;=0,'幕间与结算'!F401&lt;=4,'幕间与结算'!G401&lt;=99))),1,0)</x:f>
        <x:v>0</x:v>
      </x:c>
      <x:c r="H494">
        <x:f>IF(AND(G494=1,COUNTIFS($I$200:I494,I494,$G$200:G494,1)=1),1,0)</x:f>
        <x:v>0</x:v>
      </x:c>
      <x:c r="I494" t="str">
        <x:f>IF(G494=1,IF(B494="成长",A494&amp;"-成长-"&amp;C494,'幕间与结算'!I401),"")</x:f>
        <x:v/>
      </x:c>
      <x:c r="BF494">
        <x:f>MAX(0,MIN(18,BF493+IF(C494="力量",E494,0)))</x:f>
        <x:v>0</x:v>
      </x:c>
      <x:c r="BG494">
        <x:f>MAX(0,MIN(18,BG493+IF(C494="体质",E494,0)))</x:f>
        <x:v>0</x:v>
      </x:c>
      <x:c r="BH494">
        <x:f>MAX(0,MIN(18,BH493+IF(C494="敏捷",E494,0)))</x:f>
        <x:v>0</x:v>
      </x:c>
      <x:c r="BI494">
        <x:f>MAX(0,MIN(18,BI493+IF(C494="智力",E494,0)))</x:f>
        <x:v>0</x:v>
      </x:c>
      <x:c r="BJ494">
        <x:f>MAX(0,MIN(18,BJ493+IF(C494="意志",E494,0)))</x:f>
        <x:v>0</x:v>
      </x:c>
      <x:c r="BK494">
        <x:f>MAX(0,MIN(18,BK493+IF(C494="魅力",E494,0)))</x:f>
        <x:v>0</x:v>
      </x:c>
      <x:c r="BL494">
        <x:f>MAX(0,MIN(99,BL493+IF(C494="技能：非自然知识",E494,0)))</x:f>
        <x:v>0</x:v>
      </x:c>
      <x:c r="BM494">
        <x:f>MAX(0,MIN(CEILING((BF494+BG494)/2,1),BM493+IF(C494="体力",E494,0)))</x:f>
        <x:v>0</x:v>
      </x:c>
      <x:c r="BN494">
        <x:f>MAX(0,MIN(BJ494,BN493+IF(C494="毅力",E494,0)))</x:f>
        <x:v>0</x:v>
      </x:c>
      <x:c r="BO494">
        <x:f>MAX(0,MIN(99-BL494,BO493+IF(C494="理智",E494,0)))</x:f>
        <x:v>0</x:v>
      </x:c>
      <x:c r="BP494">
        <x:f>MAX(0,MIN(99,BP493+IF(C494="崩溃点",E494,0)))</x:f>
        <x:v>0</x:v>
      </x:c>
      <x:c r="BQ494">
        <x:f>MAX(0,MIN(BK494,IF(AND(H494=1,C494="重要关系1",LEFT('幕间与结算'!H401,8)="建立新的重要关系"),'幕间与结算'!E401+E494,BQ493+IF(C494="重要关系1",E494,0)+IF(AND(C494="魅力",E494&lt;0),E494,0))))</x:f>
        <x:v>0</x:v>
      </x:c>
      <x:c r="BR494">
        <x:f>MAX(0,MIN(BK494,IF(AND(H494=1,C494="重要关系2",LEFT('幕间与结算'!H401,8)="建立新的重要关系"),'幕间与结算'!E401+E494,BR493+IF(C494="重要关系2",E494,0)+IF(AND(C494="魅力",E494&lt;0),E494,0))))</x:f>
        <x:v>0</x:v>
      </x:c>
      <x:c r="BS494">
        <x:f>MAX(0,MIN(BK494,IF(AND(H494=1,C494="重要关系3",LEFT('幕间与结算'!H401,8)="建立新的重要关系"),'幕间与结算'!E401+E494,BS493+IF(C494="重要关系3",E494,0)+IF(AND(C494="魅力",E494&lt;0),E494,0))))</x:f>
        <x:v>0</x:v>
      </x:c>
      <x:c r="BT494">
        <x:f>MAX(0,MIN(BK494,IF(AND(H494=1,C494="重要关系4",LEFT('幕间与结算'!H401,8)="建立新的重要关系"),'幕间与结算'!E401+E494,BT493+IF(C494="重要关系4",E494,0)+IF(AND(C494="魅力",E494&lt;0),E494,0))))</x:f>
        <x:v>0</x:v>
      </x:c>
      <x:c r="BU494">
        <x:f>MAX(0,MIN(BK494,IF(AND(H494=1,C494="重要关系5",LEFT('幕间与结算'!H401,8)="建立新的重要关系"),'幕间与结算'!E401+E494,BU493+IF(C494="重要关系5",E494,0)+IF(AND(C494="魅力",E494&lt;0),E494,0))))</x:f>
        <x:v>0</x:v>
      </x:c>
      <x:c r="BV494">
        <x:f>MAX(0,MIN(BK494,IF(AND(H494=1,C494="重要关系6",LEFT('幕间与结算'!H401,8)="建立新的重要关系"),'幕间与结算'!E401+E494,BV493+IF(C494="重要关系6",E494,0)+IF(AND(C494="魅力",E494&lt;0),E494,0))))</x:f>
        <x:v>0</x:v>
      </x:c>
      <x:c r="BW494">
        <x:f>MAX(0,MIN(BK494,IF(AND(H494=1,C494="重要关系7",LEFT('幕间与结算'!H401,8)="建立新的重要关系"),'幕间与结算'!E401+E494,BW493+IF(C494="重要关系7",E494,0)+IF(AND(C494="魅力",E494&lt;0),E494,0))))</x:f>
        <x:v>0</x:v>
      </x:c>
    </x:row>
    <x:row r="495">
      <x:c r="A495" t="str">
        <x:f>IFERROR(TEXT(VALUE('幕间与结算'!A402),"00"),"")</x:f>
        <x:v>00</x:v>
      </x:c>
      <x:c r="B495">
        <x:f>'幕间与结算'!B402</x:f>
        <x:v>0</x:v>
      </x:c>
      <x:c r="C495">
        <x:f>'幕间与结算'!D402</x:f>
        <x:v>0</x:v>
      </x:c>
      <x:c r="D495">
        <x:f>'幕间与结算'!F402</x:f>
        <x:v>0</x:v>
      </x:c>
      <x:c r="E495">
        <x:f>IF(H495=1,MAX(-'幕间与结算'!E402,MIN(D495,IF(LEFT(C495,3)="技能：",99,IF(COUNTIF($L$2:$L$7,C495)&gt;0,18,999))-'幕间与结算'!E402)),0)</x:f>
        <x:v>0</x:v>
      </x:c>
      <x:c r="F495" t="str">
        <x:f>IF(C495=0,"",IF(G495=0,"记录不完整",IF(H495=0,"重复未计","已计入")))</x:f>
        <x:v/>
      </x:c>
      <x:c r="G495">
        <x:f>IF(AND(AND('幕间与结算'!A402&lt;&gt;"",'幕间与结算'!B402&lt;&gt;"",'幕间与结算'!I402&lt;&gt;"",OR(LEFT(C495,3)="技能：",COUNTIF($L$2:$L$19,C495)&gt;0),ISNUMBER('幕间与结算'!E402),ISNUMBER('幕间与结算'!F402),ISNUMBER('幕间与结算'!G402),'幕间与结算'!E402&gt;=0,'幕间与结算'!G402='幕间与结算'!E402+'幕间与结算'!F402),OR(B495&lt;&gt;"成长",AND(LEFT(C495,3)="技能：",C495&lt;&gt;"技能：非自然知识",'幕间与结算'!E402&gt;=1,'幕间与结算'!E402&lt;=99,'幕间与结算'!F402&gt;=0,'幕间与结算'!F402&lt;=4,'幕间与结算'!G402&lt;=99))),1,0)</x:f>
        <x:v>0</x:v>
      </x:c>
      <x:c r="H495">
        <x:f>IF(AND(G495=1,COUNTIFS($I$200:I495,I495,$G$200:G495,1)=1),1,0)</x:f>
        <x:v>0</x:v>
      </x:c>
      <x:c r="I495" t="str">
        <x:f>IF(G495=1,IF(B495="成长",A495&amp;"-成长-"&amp;C495,'幕间与结算'!I402),"")</x:f>
        <x:v/>
      </x:c>
      <x:c r="BF495">
        <x:f>MAX(0,MIN(18,BF494+IF(C495="力量",E495,0)))</x:f>
        <x:v>0</x:v>
      </x:c>
      <x:c r="BG495">
        <x:f>MAX(0,MIN(18,BG494+IF(C495="体质",E495,0)))</x:f>
        <x:v>0</x:v>
      </x:c>
      <x:c r="BH495">
        <x:f>MAX(0,MIN(18,BH494+IF(C495="敏捷",E495,0)))</x:f>
        <x:v>0</x:v>
      </x:c>
      <x:c r="BI495">
        <x:f>MAX(0,MIN(18,BI494+IF(C495="智力",E495,0)))</x:f>
        <x:v>0</x:v>
      </x:c>
      <x:c r="BJ495">
        <x:f>MAX(0,MIN(18,BJ494+IF(C495="意志",E495,0)))</x:f>
        <x:v>0</x:v>
      </x:c>
      <x:c r="BK495">
        <x:f>MAX(0,MIN(18,BK494+IF(C495="魅力",E495,0)))</x:f>
        <x:v>0</x:v>
      </x:c>
      <x:c r="BL495">
        <x:f>MAX(0,MIN(99,BL494+IF(C495="技能：非自然知识",E495,0)))</x:f>
        <x:v>0</x:v>
      </x:c>
      <x:c r="BM495">
        <x:f>MAX(0,MIN(CEILING((BF495+BG495)/2,1),BM494+IF(C495="体力",E495,0)))</x:f>
        <x:v>0</x:v>
      </x:c>
      <x:c r="BN495">
        <x:f>MAX(0,MIN(BJ495,BN494+IF(C495="毅力",E495,0)))</x:f>
        <x:v>0</x:v>
      </x:c>
      <x:c r="BO495">
        <x:f>MAX(0,MIN(99-BL495,BO494+IF(C495="理智",E495,0)))</x:f>
        <x:v>0</x:v>
      </x:c>
      <x:c r="BP495">
        <x:f>MAX(0,MIN(99,BP494+IF(C495="崩溃点",E495,0)))</x:f>
        <x:v>0</x:v>
      </x:c>
      <x:c r="BQ495">
        <x:f>MAX(0,MIN(BK495,IF(AND(H495=1,C495="重要关系1",LEFT('幕间与结算'!H402,8)="建立新的重要关系"),'幕间与结算'!E402+E495,BQ494+IF(C495="重要关系1",E495,0)+IF(AND(C495="魅力",E495&lt;0),E495,0))))</x:f>
        <x:v>0</x:v>
      </x:c>
      <x:c r="BR495">
        <x:f>MAX(0,MIN(BK495,IF(AND(H495=1,C495="重要关系2",LEFT('幕间与结算'!H402,8)="建立新的重要关系"),'幕间与结算'!E402+E495,BR494+IF(C495="重要关系2",E495,0)+IF(AND(C495="魅力",E495&lt;0),E495,0))))</x:f>
        <x:v>0</x:v>
      </x:c>
      <x:c r="BS495">
        <x:f>MAX(0,MIN(BK495,IF(AND(H495=1,C495="重要关系3",LEFT('幕间与结算'!H402,8)="建立新的重要关系"),'幕间与结算'!E402+E495,BS494+IF(C495="重要关系3",E495,0)+IF(AND(C495="魅力",E495&lt;0),E495,0))))</x:f>
        <x:v>0</x:v>
      </x:c>
      <x:c r="BT495">
        <x:f>MAX(0,MIN(BK495,IF(AND(H495=1,C495="重要关系4",LEFT('幕间与结算'!H402,8)="建立新的重要关系"),'幕间与结算'!E402+E495,BT494+IF(C495="重要关系4",E495,0)+IF(AND(C495="魅力",E495&lt;0),E495,0))))</x:f>
        <x:v>0</x:v>
      </x:c>
      <x:c r="BU495">
        <x:f>MAX(0,MIN(BK495,IF(AND(H495=1,C495="重要关系5",LEFT('幕间与结算'!H402,8)="建立新的重要关系"),'幕间与结算'!E402+E495,BU494+IF(C495="重要关系5",E495,0)+IF(AND(C495="魅力",E495&lt;0),E495,0))))</x:f>
        <x:v>0</x:v>
      </x:c>
      <x:c r="BV495">
        <x:f>MAX(0,MIN(BK495,IF(AND(H495=1,C495="重要关系6",LEFT('幕间与结算'!H402,8)="建立新的重要关系"),'幕间与结算'!E402+E495,BV494+IF(C495="重要关系6",E495,0)+IF(AND(C495="魅力",E495&lt;0),E495,0))))</x:f>
        <x:v>0</x:v>
      </x:c>
      <x:c r="BW495">
        <x:f>MAX(0,MIN(BK495,IF(AND(H495=1,C495="重要关系7",LEFT('幕间与结算'!H402,8)="建立新的重要关系"),'幕间与结算'!E402+E495,BW494+IF(C495="重要关系7",E495,0)+IF(AND(C495="魅力",E495&lt;0),E495,0))))</x:f>
        <x:v>0</x:v>
      </x:c>
    </x:row>
    <x:row r="496">
      <x:c r="A496" t="str">
        <x:f>IFERROR(TEXT(VALUE('幕间与结算'!A403),"00"),"")</x:f>
        <x:v>00</x:v>
      </x:c>
      <x:c r="B496">
        <x:f>'幕间与结算'!B403</x:f>
        <x:v>0</x:v>
      </x:c>
      <x:c r="C496">
        <x:f>'幕间与结算'!D403</x:f>
        <x:v>0</x:v>
      </x:c>
      <x:c r="D496">
        <x:f>'幕间与结算'!F403</x:f>
        <x:v>0</x:v>
      </x:c>
      <x:c r="E496">
        <x:f>IF(H496=1,MAX(-'幕间与结算'!E403,MIN(D496,IF(LEFT(C496,3)="技能：",99,IF(COUNTIF($L$2:$L$7,C496)&gt;0,18,999))-'幕间与结算'!E403)),0)</x:f>
        <x:v>0</x:v>
      </x:c>
      <x:c r="F496" t="str">
        <x:f>IF(C496=0,"",IF(G496=0,"记录不完整",IF(H496=0,"重复未计","已计入")))</x:f>
        <x:v/>
      </x:c>
      <x:c r="G496">
        <x:f>IF(AND(AND('幕间与结算'!A403&lt;&gt;"",'幕间与结算'!B403&lt;&gt;"",'幕间与结算'!I403&lt;&gt;"",OR(LEFT(C496,3)="技能：",COUNTIF($L$2:$L$19,C496)&gt;0),ISNUMBER('幕间与结算'!E403),ISNUMBER('幕间与结算'!F403),ISNUMBER('幕间与结算'!G403),'幕间与结算'!E403&gt;=0,'幕间与结算'!G403='幕间与结算'!E403+'幕间与结算'!F403),OR(B496&lt;&gt;"成长",AND(LEFT(C496,3)="技能：",C496&lt;&gt;"技能：非自然知识",'幕间与结算'!E403&gt;=1,'幕间与结算'!E403&lt;=99,'幕间与结算'!F403&gt;=0,'幕间与结算'!F403&lt;=4,'幕间与结算'!G403&lt;=99))),1,0)</x:f>
        <x:v>0</x:v>
      </x:c>
      <x:c r="H496">
        <x:f>IF(AND(G496=1,COUNTIFS($I$200:I496,I496,$G$200:G496,1)=1),1,0)</x:f>
        <x:v>0</x:v>
      </x:c>
      <x:c r="I496" t="str">
        <x:f>IF(G496=1,IF(B496="成长",A496&amp;"-成长-"&amp;C496,'幕间与结算'!I403),"")</x:f>
        <x:v/>
      </x:c>
      <x:c r="BF496">
        <x:f>MAX(0,MIN(18,BF495+IF(C496="力量",E496,0)))</x:f>
        <x:v>0</x:v>
      </x:c>
      <x:c r="BG496">
        <x:f>MAX(0,MIN(18,BG495+IF(C496="体质",E496,0)))</x:f>
        <x:v>0</x:v>
      </x:c>
      <x:c r="BH496">
        <x:f>MAX(0,MIN(18,BH495+IF(C496="敏捷",E496,0)))</x:f>
        <x:v>0</x:v>
      </x:c>
      <x:c r="BI496">
        <x:f>MAX(0,MIN(18,BI495+IF(C496="智力",E496,0)))</x:f>
        <x:v>0</x:v>
      </x:c>
      <x:c r="BJ496">
        <x:f>MAX(0,MIN(18,BJ495+IF(C496="意志",E496,0)))</x:f>
        <x:v>0</x:v>
      </x:c>
      <x:c r="BK496">
        <x:f>MAX(0,MIN(18,BK495+IF(C496="魅力",E496,0)))</x:f>
        <x:v>0</x:v>
      </x:c>
      <x:c r="BL496">
        <x:f>MAX(0,MIN(99,BL495+IF(C496="技能：非自然知识",E496,0)))</x:f>
        <x:v>0</x:v>
      </x:c>
      <x:c r="BM496">
        <x:f>MAX(0,MIN(CEILING((BF496+BG496)/2,1),BM495+IF(C496="体力",E496,0)))</x:f>
        <x:v>0</x:v>
      </x:c>
      <x:c r="BN496">
        <x:f>MAX(0,MIN(BJ496,BN495+IF(C496="毅力",E496,0)))</x:f>
        <x:v>0</x:v>
      </x:c>
      <x:c r="BO496">
        <x:f>MAX(0,MIN(99-BL496,BO495+IF(C496="理智",E496,0)))</x:f>
        <x:v>0</x:v>
      </x:c>
      <x:c r="BP496">
        <x:f>MAX(0,MIN(99,BP495+IF(C496="崩溃点",E496,0)))</x:f>
        <x:v>0</x:v>
      </x:c>
      <x:c r="BQ496">
        <x:f>MAX(0,MIN(BK496,IF(AND(H496=1,C496="重要关系1",LEFT('幕间与结算'!H403,8)="建立新的重要关系"),'幕间与结算'!E403+E496,BQ495+IF(C496="重要关系1",E496,0)+IF(AND(C496="魅力",E496&lt;0),E496,0))))</x:f>
        <x:v>0</x:v>
      </x:c>
      <x:c r="BR496">
        <x:f>MAX(0,MIN(BK496,IF(AND(H496=1,C496="重要关系2",LEFT('幕间与结算'!H403,8)="建立新的重要关系"),'幕间与结算'!E403+E496,BR495+IF(C496="重要关系2",E496,0)+IF(AND(C496="魅力",E496&lt;0),E496,0))))</x:f>
        <x:v>0</x:v>
      </x:c>
      <x:c r="BS496">
        <x:f>MAX(0,MIN(BK496,IF(AND(H496=1,C496="重要关系3",LEFT('幕间与结算'!H403,8)="建立新的重要关系"),'幕间与结算'!E403+E496,BS495+IF(C496="重要关系3",E496,0)+IF(AND(C496="魅力",E496&lt;0),E496,0))))</x:f>
        <x:v>0</x:v>
      </x:c>
      <x:c r="BT496">
        <x:f>MAX(0,MIN(BK496,IF(AND(H496=1,C496="重要关系4",LEFT('幕间与结算'!H403,8)="建立新的重要关系"),'幕间与结算'!E403+E496,BT495+IF(C496="重要关系4",E496,0)+IF(AND(C496="魅力",E496&lt;0),E496,0))))</x:f>
        <x:v>0</x:v>
      </x:c>
      <x:c r="BU496">
        <x:f>MAX(0,MIN(BK496,IF(AND(H496=1,C496="重要关系5",LEFT('幕间与结算'!H403,8)="建立新的重要关系"),'幕间与结算'!E403+E496,BU495+IF(C496="重要关系5",E496,0)+IF(AND(C496="魅力",E496&lt;0),E496,0))))</x:f>
        <x:v>0</x:v>
      </x:c>
      <x:c r="BV496">
        <x:f>MAX(0,MIN(BK496,IF(AND(H496=1,C496="重要关系6",LEFT('幕间与结算'!H403,8)="建立新的重要关系"),'幕间与结算'!E403+E496,BV495+IF(C496="重要关系6",E496,0)+IF(AND(C496="魅力",E496&lt;0),E496,0))))</x:f>
        <x:v>0</x:v>
      </x:c>
      <x:c r="BW496">
        <x:f>MAX(0,MIN(BK496,IF(AND(H496=1,C496="重要关系7",LEFT('幕间与结算'!H403,8)="建立新的重要关系"),'幕间与结算'!E403+E496,BW495+IF(C496="重要关系7",E496,0)+IF(AND(C496="魅力",E496&lt;0),E496,0))))</x:f>
        <x:v>0</x:v>
      </x:c>
    </x:row>
    <x:row r="497">
      <x:c r="A497" t="str">
        <x:f>IFERROR(TEXT(VALUE('幕间与结算'!A404),"00"),"")</x:f>
        <x:v>00</x:v>
      </x:c>
      <x:c r="B497">
        <x:f>'幕间与结算'!B404</x:f>
        <x:v>0</x:v>
      </x:c>
      <x:c r="C497">
        <x:f>'幕间与结算'!D404</x:f>
        <x:v>0</x:v>
      </x:c>
      <x:c r="D497">
        <x:f>'幕间与结算'!F404</x:f>
        <x:v>0</x:v>
      </x:c>
      <x:c r="E497">
        <x:f>IF(H497=1,MAX(-'幕间与结算'!E404,MIN(D497,IF(LEFT(C497,3)="技能：",99,IF(COUNTIF($L$2:$L$7,C497)&gt;0,18,999))-'幕间与结算'!E404)),0)</x:f>
        <x:v>0</x:v>
      </x:c>
      <x:c r="F497" t="str">
        <x:f>IF(C497=0,"",IF(G497=0,"记录不完整",IF(H497=0,"重复未计","已计入")))</x:f>
        <x:v/>
      </x:c>
      <x:c r="G497">
        <x:f>IF(AND(AND('幕间与结算'!A404&lt;&gt;"",'幕间与结算'!B404&lt;&gt;"",'幕间与结算'!I404&lt;&gt;"",OR(LEFT(C497,3)="技能：",COUNTIF($L$2:$L$19,C497)&gt;0),ISNUMBER('幕间与结算'!E404),ISNUMBER('幕间与结算'!F404),ISNUMBER('幕间与结算'!G404),'幕间与结算'!E404&gt;=0,'幕间与结算'!G404='幕间与结算'!E404+'幕间与结算'!F404),OR(B497&lt;&gt;"成长",AND(LEFT(C497,3)="技能：",C497&lt;&gt;"技能：非自然知识",'幕间与结算'!E404&gt;=1,'幕间与结算'!E404&lt;=99,'幕间与结算'!F404&gt;=0,'幕间与结算'!F404&lt;=4,'幕间与结算'!G404&lt;=99))),1,0)</x:f>
        <x:v>0</x:v>
      </x:c>
      <x:c r="H497">
        <x:f>IF(AND(G497=1,COUNTIFS($I$200:I497,I497,$G$200:G497,1)=1),1,0)</x:f>
        <x:v>0</x:v>
      </x:c>
      <x:c r="I497" t="str">
        <x:f>IF(G497=1,IF(B497="成长",A497&amp;"-成长-"&amp;C497,'幕间与结算'!I404),"")</x:f>
        <x:v/>
      </x:c>
      <x:c r="BF497">
        <x:f>MAX(0,MIN(18,BF496+IF(C497="力量",E497,0)))</x:f>
        <x:v>0</x:v>
      </x:c>
      <x:c r="BG497">
        <x:f>MAX(0,MIN(18,BG496+IF(C497="体质",E497,0)))</x:f>
        <x:v>0</x:v>
      </x:c>
      <x:c r="BH497">
        <x:f>MAX(0,MIN(18,BH496+IF(C497="敏捷",E497,0)))</x:f>
        <x:v>0</x:v>
      </x:c>
      <x:c r="BI497">
        <x:f>MAX(0,MIN(18,BI496+IF(C497="智力",E497,0)))</x:f>
        <x:v>0</x:v>
      </x:c>
      <x:c r="BJ497">
        <x:f>MAX(0,MIN(18,BJ496+IF(C497="意志",E497,0)))</x:f>
        <x:v>0</x:v>
      </x:c>
      <x:c r="BK497">
        <x:f>MAX(0,MIN(18,BK496+IF(C497="魅力",E497,0)))</x:f>
        <x:v>0</x:v>
      </x:c>
      <x:c r="BL497">
        <x:f>MAX(0,MIN(99,BL496+IF(C497="技能：非自然知识",E497,0)))</x:f>
        <x:v>0</x:v>
      </x:c>
      <x:c r="BM497">
        <x:f>MAX(0,MIN(CEILING((BF497+BG497)/2,1),BM496+IF(C497="体力",E497,0)))</x:f>
        <x:v>0</x:v>
      </x:c>
      <x:c r="BN497">
        <x:f>MAX(0,MIN(BJ497,BN496+IF(C497="毅力",E497,0)))</x:f>
        <x:v>0</x:v>
      </x:c>
      <x:c r="BO497">
        <x:f>MAX(0,MIN(99-BL497,BO496+IF(C497="理智",E497,0)))</x:f>
        <x:v>0</x:v>
      </x:c>
      <x:c r="BP497">
        <x:f>MAX(0,MIN(99,BP496+IF(C497="崩溃点",E497,0)))</x:f>
        <x:v>0</x:v>
      </x:c>
      <x:c r="BQ497">
        <x:f>MAX(0,MIN(BK497,IF(AND(H497=1,C497="重要关系1",LEFT('幕间与结算'!H404,8)="建立新的重要关系"),'幕间与结算'!E404+E497,BQ496+IF(C497="重要关系1",E497,0)+IF(AND(C497="魅力",E497&lt;0),E497,0))))</x:f>
        <x:v>0</x:v>
      </x:c>
      <x:c r="BR497">
        <x:f>MAX(0,MIN(BK497,IF(AND(H497=1,C497="重要关系2",LEFT('幕间与结算'!H404,8)="建立新的重要关系"),'幕间与结算'!E404+E497,BR496+IF(C497="重要关系2",E497,0)+IF(AND(C497="魅力",E497&lt;0),E497,0))))</x:f>
        <x:v>0</x:v>
      </x:c>
      <x:c r="BS497">
        <x:f>MAX(0,MIN(BK497,IF(AND(H497=1,C497="重要关系3",LEFT('幕间与结算'!H404,8)="建立新的重要关系"),'幕间与结算'!E404+E497,BS496+IF(C497="重要关系3",E497,0)+IF(AND(C497="魅力",E497&lt;0),E497,0))))</x:f>
        <x:v>0</x:v>
      </x:c>
      <x:c r="BT497">
        <x:f>MAX(0,MIN(BK497,IF(AND(H497=1,C497="重要关系4",LEFT('幕间与结算'!H404,8)="建立新的重要关系"),'幕间与结算'!E404+E497,BT496+IF(C497="重要关系4",E497,0)+IF(AND(C497="魅力",E497&lt;0),E497,0))))</x:f>
        <x:v>0</x:v>
      </x:c>
      <x:c r="BU497">
        <x:f>MAX(0,MIN(BK497,IF(AND(H497=1,C497="重要关系5",LEFT('幕间与结算'!H404,8)="建立新的重要关系"),'幕间与结算'!E404+E497,BU496+IF(C497="重要关系5",E497,0)+IF(AND(C497="魅力",E497&lt;0),E497,0))))</x:f>
        <x:v>0</x:v>
      </x:c>
      <x:c r="BV497">
        <x:f>MAX(0,MIN(BK497,IF(AND(H497=1,C497="重要关系6",LEFT('幕间与结算'!H404,8)="建立新的重要关系"),'幕间与结算'!E404+E497,BV496+IF(C497="重要关系6",E497,0)+IF(AND(C497="魅力",E497&lt;0),E497,0))))</x:f>
        <x:v>0</x:v>
      </x:c>
      <x:c r="BW497">
        <x:f>MAX(0,MIN(BK497,IF(AND(H497=1,C497="重要关系7",LEFT('幕间与结算'!H404,8)="建立新的重要关系"),'幕间与结算'!E404+E497,BW496+IF(C497="重要关系7",E497,0)+IF(AND(C497="魅力",E497&lt;0),E497,0))))</x:f>
        <x:v>0</x:v>
      </x:c>
    </x:row>
    <x:row r="498">
      <x:c r="A498" t="str">
        <x:f>IFERROR(TEXT(VALUE('幕间与结算'!A405),"00"),"")</x:f>
        <x:v>00</x:v>
      </x:c>
      <x:c r="B498">
        <x:f>'幕间与结算'!B405</x:f>
        <x:v>0</x:v>
      </x:c>
      <x:c r="C498">
        <x:f>'幕间与结算'!D405</x:f>
        <x:v>0</x:v>
      </x:c>
      <x:c r="D498">
        <x:f>'幕间与结算'!F405</x:f>
        <x:v>0</x:v>
      </x:c>
      <x:c r="E498">
        <x:f>IF(H498=1,MAX(-'幕间与结算'!E405,MIN(D498,IF(LEFT(C498,3)="技能：",99,IF(COUNTIF($L$2:$L$7,C498)&gt;0,18,999))-'幕间与结算'!E405)),0)</x:f>
        <x:v>0</x:v>
      </x:c>
      <x:c r="F498" t="str">
        <x:f>IF(C498=0,"",IF(G498=0,"记录不完整",IF(H498=0,"重复未计","已计入")))</x:f>
        <x:v/>
      </x:c>
      <x:c r="G498">
        <x:f>IF(AND(AND('幕间与结算'!A405&lt;&gt;"",'幕间与结算'!B405&lt;&gt;"",'幕间与结算'!I405&lt;&gt;"",OR(LEFT(C498,3)="技能：",COUNTIF($L$2:$L$19,C498)&gt;0),ISNUMBER('幕间与结算'!E405),ISNUMBER('幕间与结算'!F405),ISNUMBER('幕间与结算'!G405),'幕间与结算'!E405&gt;=0,'幕间与结算'!G405='幕间与结算'!E405+'幕间与结算'!F405),OR(B498&lt;&gt;"成长",AND(LEFT(C498,3)="技能：",C498&lt;&gt;"技能：非自然知识",'幕间与结算'!E405&gt;=1,'幕间与结算'!E405&lt;=99,'幕间与结算'!F405&gt;=0,'幕间与结算'!F405&lt;=4,'幕间与结算'!G405&lt;=99))),1,0)</x:f>
        <x:v>0</x:v>
      </x:c>
      <x:c r="H498">
        <x:f>IF(AND(G498=1,COUNTIFS($I$200:I498,I498,$G$200:G498,1)=1),1,0)</x:f>
        <x:v>0</x:v>
      </x:c>
      <x:c r="I498" t="str">
        <x:f>IF(G498=1,IF(B498="成长",A498&amp;"-成长-"&amp;C498,'幕间与结算'!I405),"")</x:f>
        <x:v/>
      </x:c>
      <x:c r="BF498">
        <x:f>MAX(0,MIN(18,BF497+IF(C498="力量",E498,0)))</x:f>
        <x:v>0</x:v>
      </x:c>
      <x:c r="BG498">
        <x:f>MAX(0,MIN(18,BG497+IF(C498="体质",E498,0)))</x:f>
        <x:v>0</x:v>
      </x:c>
      <x:c r="BH498">
        <x:f>MAX(0,MIN(18,BH497+IF(C498="敏捷",E498,0)))</x:f>
        <x:v>0</x:v>
      </x:c>
      <x:c r="BI498">
        <x:f>MAX(0,MIN(18,BI497+IF(C498="智力",E498,0)))</x:f>
        <x:v>0</x:v>
      </x:c>
      <x:c r="BJ498">
        <x:f>MAX(0,MIN(18,BJ497+IF(C498="意志",E498,0)))</x:f>
        <x:v>0</x:v>
      </x:c>
      <x:c r="BK498">
        <x:f>MAX(0,MIN(18,BK497+IF(C498="魅力",E498,0)))</x:f>
        <x:v>0</x:v>
      </x:c>
      <x:c r="BL498">
        <x:f>MAX(0,MIN(99,BL497+IF(C498="技能：非自然知识",E498,0)))</x:f>
        <x:v>0</x:v>
      </x:c>
      <x:c r="BM498">
        <x:f>MAX(0,MIN(CEILING((BF498+BG498)/2,1),BM497+IF(C498="体力",E498,0)))</x:f>
        <x:v>0</x:v>
      </x:c>
      <x:c r="BN498">
        <x:f>MAX(0,MIN(BJ498,BN497+IF(C498="毅力",E498,0)))</x:f>
        <x:v>0</x:v>
      </x:c>
      <x:c r="BO498">
        <x:f>MAX(0,MIN(99-BL498,BO497+IF(C498="理智",E498,0)))</x:f>
        <x:v>0</x:v>
      </x:c>
      <x:c r="BP498">
        <x:f>MAX(0,MIN(99,BP497+IF(C498="崩溃点",E498,0)))</x:f>
        <x:v>0</x:v>
      </x:c>
      <x:c r="BQ498">
        <x:f>MAX(0,MIN(BK498,IF(AND(H498=1,C498="重要关系1",LEFT('幕间与结算'!H405,8)="建立新的重要关系"),'幕间与结算'!E405+E498,BQ497+IF(C498="重要关系1",E498,0)+IF(AND(C498="魅力",E498&lt;0),E498,0))))</x:f>
        <x:v>0</x:v>
      </x:c>
      <x:c r="BR498">
        <x:f>MAX(0,MIN(BK498,IF(AND(H498=1,C498="重要关系2",LEFT('幕间与结算'!H405,8)="建立新的重要关系"),'幕间与结算'!E405+E498,BR497+IF(C498="重要关系2",E498,0)+IF(AND(C498="魅力",E498&lt;0),E498,0))))</x:f>
        <x:v>0</x:v>
      </x:c>
      <x:c r="BS498">
        <x:f>MAX(0,MIN(BK498,IF(AND(H498=1,C498="重要关系3",LEFT('幕间与结算'!H405,8)="建立新的重要关系"),'幕间与结算'!E405+E498,BS497+IF(C498="重要关系3",E498,0)+IF(AND(C498="魅力",E498&lt;0),E498,0))))</x:f>
        <x:v>0</x:v>
      </x:c>
      <x:c r="BT498">
        <x:f>MAX(0,MIN(BK498,IF(AND(H498=1,C498="重要关系4",LEFT('幕间与结算'!H405,8)="建立新的重要关系"),'幕间与结算'!E405+E498,BT497+IF(C498="重要关系4",E498,0)+IF(AND(C498="魅力",E498&lt;0),E498,0))))</x:f>
        <x:v>0</x:v>
      </x:c>
      <x:c r="BU498">
        <x:f>MAX(0,MIN(BK498,IF(AND(H498=1,C498="重要关系5",LEFT('幕间与结算'!H405,8)="建立新的重要关系"),'幕间与结算'!E405+E498,BU497+IF(C498="重要关系5",E498,0)+IF(AND(C498="魅力",E498&lt;0),E498,0))))</x:f>
        <x:v>0</x:v>
      </x:c>
      <x:c r="BV498">
        <x:f>MAX(0,MIN(BK498,IF(AND(H498=1,C498="重要关系6",LEFT('幕间与结算'!H405,8)="建立新的重要关系"),'幕间与结算'!E405+E498,BV497+IF(C498="重要关系6",E498,0)+IF(AND(C498="魅力",E498&lt;0),E498,0))))</x:f>
        <x:v>0</x:v>
      </x:c>
      <x:c r="BW498">
        <x:f>MAX(0,MIN(BK498,IF(AND(H498=1,C498="重要关系7",LEFT('幕间与结算'!H405,8)="建立新的重要关系"),'幕间与结算'!E405+E498,BW497+IF(C498="重要关系7",E498,0)+IF(AND(C498="魅力",E498&lt;0),E498,0))))</x:f>
        <x:v>0</x:v>
      </x:c>
    </x:row>
    <x:row r="499">
      <x:c r="A499" t="str">
        <x:f>IFERROR(TEXT(VALUE('幕间与结算'!A406),"00"),"")</x:f>
        <x:v>00</x:v>
      </x:c>
      <x:c r="B499">
        <x:f>'幕间与结算'!B406</x:f>
        <x:v>0</x:v>
      </x:c>
      <x:c r="C499">
        <x:f>'幕间与结算'!D406</x:f>
        <x:v>0</x:v>
      </x:c>
      <x:c r="D499">
        <x:f>'幕间与结算'!F406</x:f>
        <x:v>0</x:v>
      </x:c>
      <x:c r="E499">
        <x:f>IF(H499=1,MAX(-'幕间与结算'!E406,MIN(D499,IF(LEFT(C499,3)="技能：",99,IF(COUNTIF($L$2:$L$7,C499)&gt;0,18,999))-'幕间与结算'!E406)),0)</x:f>
        <x:v>0</x:v>
      </x:c>
      <x:c r="F499" t="str">
        <x:f>IF(C499=0,"",IF(G499=0,"记录不完整",IF(H499=0,"重复未计","已计入")))</x:f>
        <x:v/>
      </x:c>
      <x:c r="G499">
        <x:f>IF(AND(AND('幕间与结算'!A406&lt;&gt;"",'幕间与结算'!B406&lt;&gt;"",'幕间与结算'!I406&lt;&gt;"",OR(LEFT(C499,3)="技能：",COUNTIF($L$2:$L$19,C499)&gt;0),ISNUMBER('幕间与结算'!E406),ISNUMBER('幕间与结算'!F406),ISNUMBER('幕间与结算'!G406),'幕间与结算'!E406&gt;=0,'幕间与结算'!G406='幕间与结算'!E406+'幕间与结算'!F406),OR(B499&lt;&gt;"成长",AND(LEFT(C499,3)="技能：",C499&lt;&gt;"技能：非自然知识",'幕间与结算'!E406&gt;=1,'幕间与结算'!E406&lt;=99,'幕间与结算'!F406&gt;=0,'幕间与结算'!F406&lt;=4,'幕间与结算'!G406&lt;=99))),1,0)</x:f>
        <x:v>0</x:v>
      </x:c>
      <x:c r="H499">
        <x:f>IF(AND(G499=1,COUNTIFS($I$200:I499,I499,$G$200:G499,1)=1),1,0)</x:f>
        <x:v>0</x:v>
      </x:c>
      <x:c r="I499" t="str">
        <x:f>IF(G499=1,IF(B499="成长",A499&amp;"-成长-"&amp;C499,'幕间与结算'!I406),"")</x:f>
        <x:v/>
      </x:c>
      <x:c r="BF499">
        <x:f>MAX(0,MIN(18,BF498+IF(C499="力量",E499,0)))</x:f>
        <x:v>0</x:v>
      </x:c>
      <x:c r="BG499">
        <x:f>MAX(0,MIN(18,BG498+IF(C499="体质",E499,0)))</x:f>
        <x:v>0</x:v>
      </x:c>
      <x:c r="BH499">
        <x:f>MAX(0,MIN(18,BH498+IF(C499="敏捷",E499,0)))</x:f>
        <x:v>0</x:v>
      </x:c>
      <x:c r="BI499">
        <x:f>MAX(0,MIN(18,BI498+IF(C499="智力",E499,0)))</x:f>
        <x:v>0</x:v>
      </x:c>
      <x:c r="BJ499">
        <x:f>MAX(0,MIN(18,BJ498+IF(C499="意志",E499,0)))</x:f>
        <x:v>0</x:v>
      </x:c>
      <x:c r="BK499">
        <x:f>MAX(0,MIN(18,BK498+IF(C499="魅力",E499,0)))</x:f>
        <x:v>0</x:v>
      </x:c>
      <x:c r="BL499">
        <x:f>MAX(0,MIN(99,BL498+IF(C499="技能：非自然知识",E499,0)))</x:f>
        <x:v>0</x:v>
      </x:c>
      <x:c r="BM499">
        <x:f>MAX(0,MIN(CEILING((BF499+BG499)/2,1),BM498+IF(C499="体力",E499,0)))</x:f>
        <x:v>0</x:v>
      </x:c>
      <x:c r="BN499">
        <x:f>MAX(0,MIN(BJ499,BN498+IF(C499="毅力",E499,0)))</x:f>
        <x:v>0</x:v>
      </x:c>
      <x:c r="BO499">
        <x:f>MAX(0,MIN(99-BL499,BO498+IF(C499="理智",E499,0)))</x:f>
        <x:v>0</x:v>
      </x:c>
      <x:c r="BP499">
        <x:f>MAX(0,MIN(99,BP498+IF(C499="崩溃点",E499,0)))</x:f>
        <x:v>0</x:v>
      </x:c>
      <x:c r="BQ499">
        <x:f>MAX(0,MIN(BK499,IF(AND(H499=1,C499="重要关系1",LEFT('幕间与结算'!H406,8)="建立新的重要关系"),'幕间与结算'!E406+E499,BQ498+IF(C499="重要关系1",E499,0)+IF(AND(C499="魅力",E499&lt;0),E499,0))))</x:f>
        <x:v>0</x:v>
      </x:c>
      <x:c r="BR499">
        <x:f>MAX(0,MIN(BK499,IF(AND(H499=1,C499="重要关系2",LEFT('幕间与结算'!H406,8)="建立新的重要关系"),'幕间与结算'!E406+E499,BR498+IF(C499="重要关系2",E499,0)+IF(AND(C499="魅力",E499&lt;0),E499,0))))</x:f>
        <x:v>0</x:v>
      </x:c>
      <x:c r="BS499">
        <x:f>MAX(0,MIN(BK499,IF(AND(H499=1,C499="重要关系3",LEFT('幕间与结算'!H406,8)="建立新的重要关系"),'幕间与结算'!E406+E499,BS498+IF(C499="重要关系3",E499,0)+IF(AND(C499="魅力",E499&lt;0),E499,0))))</x:f>
        <x:v>0</x:v>
      </x:c>
      <x:c r="BT499">
        <x:f>MAX(0,MIN(BK499,IF(AND(H499=1,C499="重要关系4",LEFT('幕间与结算'!H406,8)="建立新的重要关系"),'幕间与结算'!E406+E499,BT498+IF(C499="重要关系4",E499,0)+IF(AND(C499="魅力",E499&lt;0),E499,0))))</x:f>
        <x:v>0</x:v>
      </x:c>
      <x:c r="BU499">
        <x:f>MAX(0,MIN(BK499,IF(AND(H499=1,C499="重要关系5",LEFT('幕间与结算'!H406,8)="建立新的重要关系"),'幕间与结算'!E406+E499,BU498+IF(C499="重要关系5",E499,0)+IF(AND(C499="魅力",E499&lt;0),E499,0))))</x:f>
        <x:v>0</x:v>
      </x:c>
      <x:c r="BV499">
        <x:f>MAX(0,MIN(BK499,IF(AND(H499=1,C499="重要关系6",LEFT('幕间与结算'!H406,8)="建立新的重要关系"),'幕间与结算'!E406+E499,BV498+IF(C499="重要关系6",E499,0)+IF(AND(C499="魅力",E499&lt;0),E499,0))))</x:f>
        <x:v>0</x:v>
      </x:c>
      <x:c r="BW499">
        <x:f>MAX(0,MIN(BK499,IF(AND(H499=1,C499="重要关系7",LEFT('幕间与结算'!H406,8)="建立新的重要关系"),'幕间与结算'!E406+E499,BW498+IF(C499="重要关系7",E499,0)+IF(AND(C499="魅力",E499&lt;0),E499,0))))</x:f>
        <x:v>0</x:v>
      </x:c>
    </x:row>
    <x:row r="500">
      <x:c r="A500" t="str">
        <x:f>IFERROR(TEXT(VALUE('幕间与结算'!A407),"00"),"")</x:f>
        <x:v>00</x:v>
      </x:c>
      <x:c r="B500">
        <x:f>'幕间与结算'!B407</x:f>
        <x:v>0</x:v>
      </x:c>
      <x:c r="C500">
        <x:f>'幕间与结算'!D407</x:f>
        <x:v>0</x:v>
      </x:c>
      <x:c r="D500">
        <x:f>'幕间与结算'!F407</x:f>
        <x:v>0</x:v>
      </x:c>
      <x:c r="E500">
        <x:f>IF(H500=1,MAX(-'幕间与结算'!E407,MIN(D500,IF(LEFT(C500,3)="技能：",99,IF(COUNTIF($L$2:$L$7,C500)&gt;0,18,999))-'幕间与结算'!E407)),0)</x:f>
        <x:v>0</x:v>
      </x:c>
      <x:c r="F500" t="str">
        <x:f>IF(C500=0,"",IF(G500=0,"记录不完整",IF(H500=0,"重复未计","已计入")))</x:f>
        <x:v/>
      </x:c>
      <x:c r="G500">
        <x:f>IF(AND(AND('幕间与结算'!A407&lt;&gt;"",'幕间与结算'!B407&lt;&gt;"",'幕间与结算'!I407&lt;&gt;"",OR(LEFT(C500,3)="技能：",COUNTIF($L$2:$L$19,C500)&gt;0),ISNUMBER('幕间与结算'!E407),ISNUMBER('幕间与结算'!F407),ISNUMBER('幕间与结算'!G407),'幕间与结算'!E407&gt;=0,'幕间与结算'!G407='幕间与结算'!E407+'幕间与结算'!F407),OR(B500&lt;&gt;"成长",AND(LEFT(C500,3)="技能：",C500&lt;&gt;"技能：非自然知识",'幕间与结算'!E407&gt;=1,'幕间与结算'!E407&lt;=99,'幕间与结算'!F407&gt;=0,'幕间与结算'!F407&lt;=4,'幕间与结算'!G407&lt;=99))),1,0)</x:f>
        <x:v>0</x:v>
      </x:c>
      <x:c r="H500">
        <x:f>IF(AND(G500=1,COUNTIFS($I$200:I500,I500,$G$200:G500,1)=1),1,0)</x:f>
        <x:v>0</x:v>
      </x:c>
      <x:c r="I500" t="str">
        <x:f>IF(G500=1,IF(B500="成长",A500&amp;"-成长-"&amp;C500,'幕间与结算'!I407),"")</x:f>
        <x:v/>
      </x:c>
      <x:c r="BF500">
        <x:f>MAX(0,MIN(18,BF499+IF(C500="力量",E500,0)))</x:f>
        <x:v>0</x:v>
      </x:c>
      <x:c r="BG500">
        <x:f>MAX(0,MIN(18,BG499+IF(C500="体质",E500,0)))</x:f>
        <x:v>0</x:v>
      </x:c>
      <x:c r="BH500">
        <x:f>MAX(0,MIN(18,BH499+IF(C500="敏捷",E500,0)))</x:f>
        <x:v>0</x:v>
      </x:c>
      <x:c r="BI500">
        <x:f>MAX(0,MIN(18,BI499+IF(C500="智力",E500,0)))</x:f>
        <x:v>0</x:v>
      </x:c>
      <x:c r="BJ500">
        <x:f>MAX(0,MIN(18,BJ499+IF(C500="意志",E500,0)))</x:f>
        <x:v>0</x:v>
      </x:c>
      <x:c r="BK500">
        <x:f>MAX(0,MIN(18,BK499+IF(C500="魅力",E500,0)))</x:f>
        <x:v>0</x:v>
      </x:c>
      <x:c r="BL500">
        <x:f>MAX(0,MIN(99,BL499+IF(C500="技能：非自然知识",E500,0)))</x:f>
        <x:v>0</x:v>
      </x:c>
      <x:c r="BM500">
        <x:f>MAX(0,MIN(CEILING((BF500+BG500)/2,1),BM499+IF(C500="体力",E500,0)))</x:f>
        <x:v>0</x:v>
      </x:c>
      <x:c r="BN500">
        <x:f>MAX(0,MIN(BJ500,BN499+IF(C500="毅力",E500,0)))</x:f>
        <x:v>0</x:v>
      </x:c>
      <x:c r="BO500">
        <x:f>MAX(0,MIN(99-BL500,BO499+IF(C500="理智",E500,0)))</x:f>
        <x:v>0</x:v>
      </x:c>
      <x:c r="BP500">
        <x:f>MAX(0,MIN(99,BP499+IF(C500="崩溃点",E500,0)))</x:f>
        <x:v>0</x:v>
      </x:c>
      <x:c r="BQ500">
        <x:f>MAX(0,MIN(BK500,IF(AND(H500=1,C500="重要关系1",LEFT('幕间与结算'!H407,8)="建立新的重要关系"),'幕间与结算'!E407+E500,BQ499+IF(C500="重要关系1",E500,0)+IF(AND(C500="魅力",E500&lt;0),E500,0))))</x:f>
        <x:v>0</x:v>
      </x:c>
      <x:c r="BR500">
        <x:f>MAX(0,MIN(BK500,IF(AND(H500=1,C500="重要关系2",LEFT('幕间与结算'!H407,8)="建立新的重要关系"),'幕间与结算'!E407+E500,BR499+IF(C500="重要关系2",E500,0)+IF(AND(C500="魅力",E500&lt;0),E500,0))))</x:f>
        <x:v>0</x:v>
      </x:c>
      <x:c r="BS500">
        <x:f>MAX(0,MIN(BK500,IF(AND(H500=1,C500="重要关系3",LEFT('幕间与结算'!H407,8)="建立新的重要关系"),'幕间与结算'!E407+E500,BS499+IF(C500="重要关系3",E500,0)+IF(AND(C500="魅力",E500&lt;0),E500,0))))</x:f>
        <x:v>0</x:v>
      </x:c>
      <x:c r="BT500">
        <x:f>MAX(0,MIN(BK500,IF(AND(H500=1,C500="重要关系4",LEFT('幕间与结算'!H407,8)="建立新的重要关系"),'幕间与结算'!E407+E500,BT499+IF(C500="重要关系4",E500,0)+IF(AND(C500="魅力",E500&lt;0),E500,0))))</x:f>
        <x:v>0</x:v>
      </x:c>
      <x:c r="BU500">
        <x:f>MAX(0,MIN(BK500,IF(AND(H500=1,C500="重要关系5",LEFT('幕间与结算'!H407,8)="建立新的重要关系"),'幕间与结算'!E407+E500,BU499+IF(C500="重要关系5",E500,0)+IF(AND(C500="魅力",E500&lt;0),E500,0))))</x:f>
        <x:v>0</x:v>
      </x:c>
      <x:c r="BV500">
        <x:f>MAX(0,MIN(BK500,IF(AND(H500=1,C500="重要关系6",LEFT('幕间与结算'!H407,8)="建立新的重要关系"),'幕间与结算'!E407+E500,BV499+IF(C500="重要关系6",E500,0)+IF(AND(C500="魅力",E500&lt;0),E500,0))))</x:f>
        <x:v>0</x:v>
      </x:c>
      <x:c r="BW500">
        <x:f>MAX(0,MIN(BK500,IF(AND(H500=1,C500="重要关系7",LEFT('幕间与结算'!H407,8)="建立新的重要关系"),'幕间与结算'!E407+E500,BW499+IF(C500="重要关系7",E500,0)+IF(AND(C500="魅力",E500&lt;0),E500,0))))</x:f>
        <x:v>0</x:v>
      </x:c>
    </x:row>
    <x:row r="501">
      <x:c r="A501" t="str">
        <x:f>IFERROR(TEXT(VALUE('幕间与结算'!A408),"00"),"")</x:f>
        <x:v>00</x:v>
      </x:c>
      <x:c r="B501">
        <x:f>'幕间与结算'!B408</x:f>
        <x:v>0</x:v>
      </x:c>
      <x:c r="C501">
        <x:f>'幕间与结算'!D408</x:f>
        <x:v>0</x:v>
      </x:c>
      <x:c r="D501">
        <x:f>'幕间与结算'!F408</x:f>
        <x:v>0</x:v>
      </x:c>
      <x:c r="E501">
        <x:f>IF(H501=1,MAX(-'幕间与结算'!E408,MIN(D501,IF(LEFT(C501,3)="技能：",99,IF(COUNTIF($L$2:$L$7,C501)&gt;0,18,999))-'幕间与结算'!E408)),0)</x:f>
        <x:v>0</x:v>
      </x:c>
      <x:c r="F501" t="str">
        <x:f>IF(C501=0,"",IF(G501=0,"记录不完整",IF(H501=0,"重复未计","已计入")))</x:f>
        <x:v/>
      </x:c>
      <x:c r="G501">
        <x:f>IF(AND(AND('幕间与结算'!A408&lt;&gt;"",'幕间与结算'!B408&lt;&gt;"",'幕间与结算'!I408&lt;&gt;"",OR(LEFT(C501,3)="技能：",COUNTIF($L$2:$L$19,C501)&gt;0),ISNUMBER('幕间与结算'!E408),ISNUMBER('幕间与结算'!F408),ISNUMBER('幕间与结算'!G408),'幕间与结算'!E408&gt;=0,'幕间与结算'!G408='幕间与结算'!E408+'幕间与结算'!F408),OR(B501&lt;&gt;"成长",AND(LEFT(C501,3)="技能：",C501&lt;&gt;"技能：非自然知识",'幕间与结算'!E408&gt;=1,'幕间与结算'!E408&lt;=99,'幕间与结算'!F408&gt;=0,'幕间与结算'!F408&lt;=4,'幕间与结算'!G408&lt;=99))),1,0)</x:f>
        <x:v>0</x:v>
      </x:c>
      <x:c r="H501">
        <x:f>IF(AND(G501=1,COUNTIFS($I$200:I501,I501,$G$200:G501,1)=1),1,0)</x:f>
        <x:v>0</x:v>
      </x:c>
      <x:c r="I501" t="str">
        <x:f>IF(G501=1,IF(B501="成长",A501&amp;"-成长-"&amp;C501,'幕间与结算'!I408),"")</x:f>
        <x:v/>
      </x:c>
      <x:c r="BF501">
        <x:f>MAX(0,MIN(18,BF500+IF(C501="力量",E501,0)))</x:f>
        <x:v>0</x:v>
      </x:c>
      <x:c r="BG501">
        <x:f>MAX(0,MIN(18,BG500+IF(C501="体质",E501,0)))</x:f>
        <x:v>0</x:v>
      </x:c>
      <x:c r="BH501">
        <x:f>MAX(0,MIN(18,BH500+IF(C501="敏捷",E501,0)))</x:f>
        <x:v>0</x:v>
      </x:c>
      <x:c r="BI501">
        <x:f>MAX(0,MIN(18,BI500+IF(C501="智力",E501,0)))</x:f>
        <x:v>0</x:v>
      </x:c>
      <x:c r="BJ501">
        <x:f>MAX(0,MIN(18,BJ500+IF(C501="意志",E501,0)))</x:f>
        <x:v>0</x:v>
      </x:c>
      <x:c r="BK501">
        <x:f>MAX(0,MIN(18,BK500+IF(C501="魅力",E501,0)))</x:f>
        <x:v>0</x:v>
      </x:c>
      <x:c r="BL501">
        <x:f>MAX(0,MIN(99,BL500+IF(C501="技能：非自然知识",E501,0)))</x:f>
        <x:v>0</x:v>
      </x:c>
      <x:c r="BM501">
        <x:f>MAX(0,MIN(CEILING((BF501+BG501)/2,1),BM500+IF(C501="体力",E501,0)))</x:f>
        <x:v>0</x:v>
      </x:c>
      <x:c r="BN501">
        <x:f>MAX(0,MIN(BJ501,BN500+IF(C501="毅力",E501,0)))</x:f>
        <x:v>0</x:v>
      </x:c>
      <x:c r="BO501">
        <x:f>MAX(0,MIN(99-BL501,BO500+IF(C501="理智",E501,0)))</x:f>
        <x:v>0</x:v>
      </x:c>
      <x:c r="BP501">
        <x:f>MAX(0,MIN(99,BP500+IF(C501="崩溃点",E501,0)))</x:f>
        <x:v>0</x:v>
      </x:c>
      <x:c r="BQ501">
        <x:f>MAX(0,MIN(BK501,IF(AND(H501=1,C501="重要关系1",LEFT('幕间与结算'!H408,8)="建立新的重要关系"),'幕间与结算'!E408+E501,BQ500+IF(C501="重要关系1",E501,0)+IF(AND(C501="魅力",E501&lt;0),E501,0))))</x:f>
        <x:v>0</x:v>
      </x:c>
      <x:c r="BR501">
        <x:f>MAX(0,MIN(BK501,IF(AND(H501=1,C501="重要关系2",LEFT('幕间与结算'!H408,8)="建立新的重要关系"),'幕间与结算'!E408+E501,BR500+IF(C501="重要关系2",E501,0)+IF(AND(C501="魅力",E501&lt;0),E501,0))))</x:f>
        <x:v>0</x:v>
      </x:c>
      <x:c r="BS501">
        <x:f>MAX(0,MIN(BK501,IF(AND(H501=1,C501="重要关系3",LEFT('幕间与结算'!H408,8)="建立新的重要关系"),'幕间与结算'!E408+E501,BS500+IF(C501="重要关系3",E501,0)+IF(AND(C501="魅力",E501&lt;0),E501,0))))</x:f>
        <x:v>0</x:v>
      </x:c>
      <x:c r="BT501">
        <x:f>MAX(0,MIN(BK501,IF(AND(H501=1,C501="重要关系4",LEFT('幕间与结算'!H408,8)="建立新的重要关系"),'幕间与结算'!E408+E501,BT500+IF(C501="重要关系4",E501,0)+IF(AND(C501="魅力",E501&lt;0),E501,0))))</x:f>
        <x:v>0</x:v>
      </x:c>
      <x:c r="BU501">
        <x:f>MAX(0,MIN(BK501,IF(AND(H501=1,C501="重要关系5",LEFT('幕间与结算'!H408,8)="建立新的重要关系"),'幕间与结算'!E408+E501,BU500+IF(C501="重要关系5",E501,0)+IF(AND(C501="魅力",E501&lt;0),E501,0))))</x:f>
        <x:v>0</x:v>
      </x:c>
      <x:c r="BV501">
        <x:f>MAX(0,MIN(BK501,IF(AND(H501=1,C501="重要关系6",LEFT('幕间与结算'!H408,8)="建立新的重要关系"),'幕间与结算'!E408+E501,BV500+IF(C501="重要关系6",E501,0)+IF(AND(C501="魅力",E501&lt;0),E501,0))))</x:f>
        <x:v>0</x:v>
      </x:c>
      <x:c r="BW501">
        <x:f>MAX(0,MIN(BK501,IF(AND(H501=1,C501="重要关系7",LEFT('幕间与结算'!H408,8)="建立新的重要关系"),'幕间与结算'!E408+E501,BW500+IF(C501="重要关系7",E501,0)+IF(AND(C501="魅力",E501&lt;0),E501,0))))</x:f>
        <x:v>0</x:v>
      </x:c>
    </x:row>
    <x:row r="502">
      <x:c r="A502" t="str">
        <x:f>IFERROR(TEXT(VALUE('幕间与结算'!A409),"00"),"")</x:f>
        <x:v>00</x:v>
      </x:c>
      <x:c r="B502">
        <x:f>'幕间与结算'!B409</x:f>
        <x:v>0</x:v>
      </x:c>
      <x:c r="C502">
        <x:f>'幕间与结算'!D409</x:f>
        <x:v>0</x:v>
      </x:c>
      <x:c r="D502">
        <x:f>'幕间与结算'!F409</x:f>
        <x:v>0</x:v>
      </x:c>
      <x:c r="E502">
        <x:f>IF(H502=1,MAX(-'幕间与结算'!E409,MIN(D502,IF(LEFT(C502,3)="技能：",99,IF(COUNTIF($L$2:$L$7,C502)&gt;0,18,999))-'幕间与结算'!E409)),0)</x:f>
        <x:v>0</x:v>
      </x:c>
      <x:c r="F502" t="str">
        <x:f>IF(C502=0,"",IF(G502=0,"记录不完整",IF(H502=0,"重复未计","已计入")))</x:f>
        <x:v/>
      </x:c>
      <x:c r="G502">
        <x:f>IF(AND(AND('幕间与结算'!A409&lt;&gt;"",'幕间与结算'!B409&lt;&gt;"",'幕间与结算'!I409&lt;&gt;"",OR(LEFT(C502,3)="技能：",COUNTIF($L$2:$L$19,C502)&gt;0),ISNUMBER('幕间与结算'!E409),ISNUMBER('幕间与结算'!F409),ISNUMBER('幕间与结算'!G409),'幕间与结算'!E409&gt;=0,'幕间与结算'!G409='幕间与结算'!E409+'幕间与结算'!F409),OR(B502&lt;&gt;"成长",AND(LEFT(C502,3)="技能：",C502&lt;&gt;"技能：非自然知识",'幕间与结算'!E409&gt;=1,'幕间与结算'!E409&lt;=99,'幕间与结算'!F409&gt;=0,'幕间与结算'!F409&lt;=4,'幕间与结算'!G409&lt;=99))),1,0)</x:f>
        <x:v>0</x:v>
      </x:c>
      <x:c r="H502">
        <x:f>IF(AND(G502=1,COUNTIFS($I$200:I502,I502,$G$200:G502,1)=1),1,0)</x:f>
        <x:v>0</x:v>
      </x:c>
      <x:c r="I502" t="str">
        <x:f>IF(G502=1,IF(B502="成长",A502&amp;"-成长-"&amp;C502,'幕间与结算'!I409),"")</x:f>
        <x:v/>
      </x:c>
      <x:c r="BF502">
        <x:f>MAX(0,MIN(18,BF501+IF(C502="力量",E502,0)))</x:f>
        <x:v>0</x:v>
      </x:c>
      <x:c r="BG502">
        <x:f>MAX(0,MIN(18,BG501+IF(C502="体质",E502,0)))</x:f>
        <x:v>0</x:v>
      </x:c>
      <x:c r="BH502">
        <x:f>MAX(0,MIN(18,BH501+IF(C502="敏捷",E502,0)))</x:f>
        <x:v>0</x:v>
      </x:c>
      <x:c r="BI502">
        <x:f>MAX(0,MIN(18,BI501+IF(C502="智力",E502,0)))</x:f>
        <x:v>0</x:v>
      </x:c>
      <x:c r="BJ502">
        <x:f>MAX(0,MIN(18,BJ501+IF(C502="意志",E502,0)))</x:f>
        <x:v>0</x:v>
      </x:c>
      <x:c r="BK502">
        <x:f>MAX(0,MIN(18,BK501+IF(C502="魅力",E502,0)))</x:f>
        <x:v>0</x:v>
      </x:c>
      <x:c r="BL502">
        <x:f>MAX(0,MIN(99,BL501+IF(C502="技能：非自然知识",E502,0)))</x:f>
        <x:v>0</x:v>
      </x:c>
      <x:c r="BM502">
        <x:f>MAX(0,MIN(CEILING((BF502+BG502)/2,1),BM501+IF(C502="体力",E502,0)))</x:f>
        <x:v>0</x:v>
      </x:c>
      <x:c r="BN502">
        <x:f>MAX(0,MIN(BJ502,BN501+IF(C502="毅力",E502,0)))</x:f>
        <x:v>0</x:v>
      </x:c>
      <x:c r="BO502">
        <x:f>MAX(0,MIN(99-BL502,BO501+IF(C502="理智",E502,0)))</x:f>
        <x:v>0</x:v>
      </x:c>
      <x:c r="BP502">
        <x:f>MAX(0,MIN(99,BP501+IF(C502="崩溃点",E502,0)))</x:f>
        <x:v>0</x:v>
      </x:c>
      <x:c r="BQ502">
        <x:f>MAX(0,MIN(BK502,IF(AND(H502=1,C502="重要关系1",LEFT('幕间与结算'!H409,8)="建立新的重要关系"),'幕间与结算'!E409+E502,BQ501+IF(C502="重要关系1",E502,0)+IF(AND(C502="魅力",E502&lt;0),E502,0))))</x:f>
        <x:v>0</x:v>
      </x:c>
      <x:c r="BR502">
        <x:f>MAX(0,MIN(BK502,IF(AND(H502=1,C502="重要关系2",LEFT('幕间与结算'!H409,8)="建立新的重要关系"),'幕间与结算'!E409+E502,BR501+IF(C502="重要关系2",E502,0)+IF(AND(C502="魅力",E502&lt;0),E502,0))))</x:f>
        <x:v>0</x:v>
      </x:c>
      <x:c r="BS502">
        <x:f>MAX(0,MIN(BK502,IF(AND(H502=1,C502="重要关系3",LEFT('幕间与结算'!H409,8)="建立新的重要关系"),'幕间与结算'!E409+E502,BS501+IF(C502="重要关系3",E502,0)+IF(AND(C502="魅力",E502&lt;0),E502,0))))</x:f>
        <x:v>0</x:v>
      </x:c>
      <x:c r="BT502">
        <x:f>MAX(0,MIN(BK502,IF(AND(H502=1,C502="重要关系4",LEFT('幕间与结算'!H409,8)="建立新的重要关系"),'幕间与结算'!E409+E502,BT501+IF(C502="重要关系4",E502,0)+IF(AND(C502="魅力",E502&lt;0),E502,0))))</x:f>
        <x:v>0</x:v>
      </x:c>
      <x:c r="BU502">
        <x:f>MAX(0,MIN(BK502,IF(AND(H502=1,C502="重要关系5",LEFT('幕间与结算'!H409,8)="建立新的重要关系"),'幕间与结算'!E409+E502,BU501+IF(C502="重要关系5",E502,0)+IF(AND(C502="魅力",E502&lt;0),E502,0))))</x:f>
        <x:v>0</x:v>
      </x:c>
      <x:c r="BV502">
        <x:f>MAX(0,MIN(BK502,IF(AND(H502=1,C502="重要关系6",LEFT('幕间与结算'!H409,8)="建立新的重要关系"),'幕间与结算'!E409+E502,BV501+IF(C502="重要关系6",E502,0)+IF(AND(C502="魅力",E502&lt;0),E502,0))))</x:f>
        <x:v>0</x:v>
      </x:c>
      <x:c r="BW502">
        <x:f>MAX(0,MIN(BK502,IF(AND(H502=1,C502="重要关系7",LEFT('幕间与结算'!H409,8)="建立新的重要关系"),'幕间与结算'!E409+E502,BW501+IF(C502="重要关系7",E502,0)+IF(AND(C502="魅力",E502&lt;0),E502,0))))</x:f>
        <x:v>0</x:v>
      </x:c>
    </x:row>
    <x:row r="503">
      <x:c r="A503" t="str">
        <x:f>IFERROR(TEXT(VALUE('幕间与结算'!A410),"00"),"")</x:f>
        <x:v>00</x:v>
      </x:c>
      <x:c r="B503">
        <x:f>'幕间与结算'!B410</x:f>
        <x:v>0</x:v>
      </x:c>
      <x:c r="C503">
        <x:f>'幕间与结算'!D410</x:f>
        <x:v>0</x:v>
      </x:c>
      <x:c r="D503">
        <x:f>'幕间与结算'!F410</x:f>
        <x:v>0</x:v>
      </x:c>
      <x:c r="E503">
        <x:f>IF(H503=1,MAX(-'幕间与结算'!E410,MIN(D503,IF(LEFT(C503,3)="技能：",99,IF(COUNTIF($L$2:$L$7,C503)&gt;0,18,999))-'幕间与结算'!E410)),0)</x:f>
        <x:v>0</x:v>
      </x:c>
      <x:c r="F503" t="str">
        <x:f>IF(C503=0,"",IF(G503=0,"记录不完整",IF(H503=0,"重复未计","已计入")))</x:f>
        <x:v/>
      </x:c>
      <x:c r="G503">
        <x:f>IF(AND(AND('幕间与结算'!A410&lt;&gt;"",'幕间与结算'!B410&lt;&gt;"",'幕间与结算'!I410&lt;&gt;"",OR(LEFT(C503,3)="技能：",COUNTIF($L$2:$L$19,C503)&gt;0),ISNUMBER('幕间与结算'!E410),ISNUMBER('幕间与结算'!F410),ISNUMBER('幕间与结算'!G410),'幕间与结算'!E410&gt;=0,'幕间与结算'!G410='幕间与结算'!E410+'幕间与结算'!F410),OR(B503&lt;&gt;"成长",AND(LEFT(C503,3)="技能：",C503&lt;&gt;"技能：非自然知识",'幕间与结算'!E410&gt;=1,'幕间与结算'!E410&lt;=99,'幕间与结算'!F410&gt;=0,'幕间与结算'!F410&lt;=4,'幕间与结算'!G410&lt;=99))),1,0)</x:f>
        <x:v>0</x:v>
      </x:c>
      <x:c r="H503">
        <x:f>IF(AND(G503=1,COUNTIFS($I$200:I503,I503,$G$200:G503,1)=1),1,0)</x:f>
        <x:v>0</x:v>
      </x:c>
      <x:c r="I503" t="str">
        <x:f>IF(G503=1,IF(B503="成长",A503&amp;"-成长-"&amp;C503,'幕间与结算'!I410),"")</x:f>
        <x:v/>
      </x:c>
      <x:c r="BF503">
        <x:f>MAX(0,MIN(18,BF502+IF(C503="力量",E503,0)))</x:f>
        <x:v>0</x:v>
      </x:c>
      <x:c r="BG503">
        <x:f>MAX(0,MIN(18,BG502+IF(C503="体质",E503,0)))</x:f>
        <x:v>0</x:v>
      </x:c>
      <x:c r="BH503">
        <x:f>MAX(0,MIN(18,BH502+IF(C503="敏捷",E503,0)))</x:f>
        <x:v>0</x:v>
      </x:c>
      <x:c r="BI503">
        <x:f>MAX(0,MIN(18,BI502+IF(C503="智力",E503,0)))</x:f>
        <x:v>0</x:v>
      </x:c>
      <x:c r="BJ503">
        <x:f>MAX(0,MIN(18,BJ502+IF(C503="意志",E503,0)))</x:f>
        <x:v>0</x:v>
      </x:c>
      <x:c r="BK503">
        <x:f>MAX(0,MIN(18,BK502+IF(C503="魅力",E503,0)))</x:f>
        <x:v>0</x:v>
      </x:c>
      <x:c r="BL503">
        <x:f>MAX(0,MIN(99,BL502+IF(C503="技能：非自然知识",E503,0)))</x:f>
        <x:v>0</x:v>
      </x:c>
      <x:c r="BM503">
        <x:f>MAX(0,MIN(CEILING((BF503+BG503)/2,1),BM502+IF(C503="体力",E503,0)))</x:f>
        <x:v>0</x:v>
      </x:c>
      <x:c r="BN503">
        <x:f>MAX(0,MIN(BJ503,BN502+IF(C503="毅力",E503,0)))</x:f>
        <x:v>0</x:v>
      </x:c>
      <x:c r="BO503">
        <x:f>MAX(0,MIN(99-BL503,BO502+IF(C503="理智",E503,0)))</x:f>
        <x:v>0</x:v>
      </x:c>
      <x:c r="BP503">
        <x:f>MAX(0,MIN(99,BP502+IF(C503="崩溃点",E503,0)))</x:f>
        <x:v>0</x:v>
      </x:c>
      <x:c r="BQ503">
        <x:f>MAX(0,MIN(BK503,IF(AND(H503=1,C503="重要关系1",LEFT('幕间与结算'!H410,8)="建立新的重要关系"),'幕间与结算'!E410+E503,BQ502+IF(C503="重要关系1",E503,0)+IF(AND(C503="魅力",E503&lt;0),E503,0))))</x:f>
        <x:v>0</x:v>
      </x:c>
      <x:c r="BR503">
        <x:f>MAX(0,MIN(BK503,IF(AND(H503=1,C503="重要关系2",LEFT('幕间与结算'!H410,8)="建立新的重要关系"),'幕间与结算'!E410+E503,BR502+IF(C503="重要关系2",E503,0)+IF(AND(C503="魅力",E503&lt;0),E503,0))))</x:f>
        <x:v>0</x:v>
      </x:c>
      <x:c r="BS503">
        <x:f>MAX(0,MIN(BK503,IF(AND(H503=1,C503="重要关系3",LEFT('幕间与结算'!H410,8)="建立新的重要关系"),'幕间与结算'!E410+E503,BS502+IF(C503="重要关系3",E503,0)+IF(AND(C503="魅力",E503&lt;0),E503,0))))</x:f>
        <x:v>0</x:v>
      </x:c>
      <x:c r="BT503">
        <x:f>MAX(0,MIN(BK503,IF(AND(H503=1,C503="重要关系4",LEFT('幕间与结算'!H410,8)="建立新的重要关系"),'幕间与结算'!E410+E503,BT502+IF(C503="重要关系4",E503,0)+IF(AND(C503="魅力",E503&lt;0),E503,0))))</x:f>
        <x:v>0</x:v>
      </x:c>
      <x:c r="BU503">
        <x:f>MAX(0,MIN(BK503,IF(AND(H503=1,C503="重要关系5",LEFT('幕间与结算'!H410,8)="建立新的重要关系"),'幕间与结算'!E410+E503,BU502+IF(C503="重要关系5",E503,0)+IF(AND(C503="魅力",E503&lt;0),E503,0))))</x:f>
        <x:v>0</x:v>
      </x:c>
      <x:c r="BV503">
        <x:f>MAX(0,MIN(BK503,IF(AND(H503=1,C503="重要关系6",LEFT('幕间与结算'!H410,8)="建立新的重要关系"),'幕间与结算'!E410+E503,BV502+IF(C503="重要关系6",E503,0)+IF(AND(C503="魅力",E503&lt;0),E503,0))))</x:f>
        <x:v>0</x:v>
      </x:c>
      <x:c r="BW503">
        <x:f>MAX(0,MIN(BK503,IF(AND(H503=1,C503="重要关系7",LEFT('幕间与结算'!H410,8)="建立新的重要关系"),'幕间与结算'!E410+E503,BW502+IF(C503="重要关系7",E503,0)+IF(AND(C503="魅力",E503&lt;0),E503,0))))</x:f>
        <x:v>0</x:v>
      </x:c>
    </x:row>
    <x:row r="504">
      <x:c r="A504" t="str">
        <x:f>IFERROR(TEXT(VALUE('幕间与结算'!A411),"00"),"")</x:f>
        <x:v>00</x:v>
      </x:c>
      <x:c r="B504">
        <x:f>'幕间与结算'!B411</x:f>
        <x:v>0</x:v>
      </x:c>
      <x:c r="C504">
        <x:f>'幕间与结算'!D411</x:f>
        <x:v>0</x:v>
      </x:c>
      <x:c r="D504">
        <x:f>'幕间与结算'!F411</x:f>
        <x:v>0</x:v>
      </x:c>
      <x:c r="E504">
        <x:f>IF(H504=1,MAX(-'幕间与结算'!E411,MIN(D504,IF(LEFT(C504,3)="技能：",99,IF(COUNTIF($L$2:$L$7,C504)&gt;0,18,999))-'幕间与结算'!E411)),0)</x:f>
        <x:v>0</x:v>
      </x:c>
      <x:c r="F504" t="str">
        <x:f>IF(C504=0,"",IF(G504=0,"记录不完整",IF(H504=0,"重复未计","已计入")))</x:f>
        <x:v/>
      </x:c>
      <x:c r="G504">
        <x:f>IF(AND(AND('幕间与结算'!A411&lt;&gt;"",'幕间与结算'!B411&lt;&gt;"",'幕间与结算'!I411&lt;&gt;"",OR(LEFT(C504,3)="技能：",COUNTIF($L$2:$L$19,C504)&gt;0),ISNUMBER('幕间与结算'!E411),ISNUMBER('幕间与结算'!F411),ISNUMBER('幕间与结算'!G411),'幕间与结算'!E411&gt;=0,'幕间与结算'!G411='幕间与结算'!E411+'幕间与结算'!F411),OR(B504&lt;&gt;"成长",AND(LEFT(C504,3)="技能：",C504&lt;&gt;"技能：非自然知识",'幕间与结算'!E411&gt;=1,'幕间与结算'!E411&lt;=99,'幕间与结算'!F411&gt;=0,'幕间与结算'!F411&lt;=4,'幕间与结算'!G411&lt;=99))),1,0)</x:f>
        <x:v>0</x:v>
      </x:c>
      <x:c r="H504">
        <x:f>IF(AND(G504=1,COUNTIFS($I$200:I504,I504,$G$200:G504,1)=1),1,0)</x:f>
        <x:v>0</x:v>
      </x:c>
      <x:c r="I504" t="str">
        <x:f>IF(G504=1,IF(B504="成长",A504&amp;"-成长-"&amp;C504,'幕间与结算'!I411),"")</x:f>
        <x:v/>
      </x:c>
      <x:c r="BF504">
        <x:f>MAX(0,MIN(18,BF503+IF(C504="力量",E504,0)))</x:f>
        <x:v>0</x:v>
      </x:c>
      <x:c r="BG504">
        <x:f>MAX(0,MIN(18,BG503+IF(C504="体质",E504,0)))</x:f>
        <x:v>0</x:v>
      </x:c>
      <x:c r="BH504">
        <x:f>MAX(0,MIN(18,BH503+IF(C504="敏捷",E504,0)))</x:f>
        <x:v>0</x:v>
      </x:c>
      <x:c r="BI504">
        <x:f>MAX(0,MIN(18,BI503+IF(C504="智力",E504,0)))</x:f>
        <x:v>0</x:v>
      </x:c>
      <x:c r="BJ504">
        <x:f>MAX(0,MIN(18,BJ503+IF(C504="意志",E504,0)))</x:f>
        <x:v>0</x:v>
      </x:c>
      <x:c r="BK504">
        <x:f>MAX(0,MIN(18,BK503+IF(C504="魅力",E504,0)))</x:f>
        <x:v>0</x:v>
      </x:c>
      <x:c r="BL504">
        <x:f>MAX(0,MIN(99,BL503+IF(C504="技能：非自然知识",E504,0)))</x:f>
        <x:v>0</x:v>
      </x:c>
      <x:c r="BM504">
        <x:f>MAX(0,MIN(CEILING((BF504+BG504)/2,1),BM503+IF(C504="体力",E504,0)))</x:f>
        <x:v>0</x:v>
      </x:c>
      <x:c r="BN504">
        <x:f>MAX(0,MIN(BJ504,BN503+IF(C504="毅力",E504,0)))</x:f>
        <x:v>0</x:v>
      </x:c>
      <x:c r="BO504">
        <x:f>MAX(0,MIN(99-BL504,BO503+IF(C504="理智",E504,0)))</x:f>
        <x:v>0</x:v>
      </x:c>
      <x:c r="BP504">
        <x:f>MAX(0,MIN(99,BP503+IF(C504="崩溃点",E504,0)))</x:f>
        <x:v>0</x:v>
      </x:c>
      <x:c r="BQ504">
        <x:f>MAX(0,MIN(BK504,IF(AND(H504=1,C504="重要关系1",LEFT('幕间与结算'!H411,8)="建立新的重要关系"),'幕间与结算'!E411+E504,BQ503+IF(C504="重要关系1",E504,0)+IF(AND(C504="魅力",E504&lt;0),E504,0))))</x:f>
        <x:v>0</x:v>
      </x:c>
      <x:c r="BR504">
        <x:f>MAX(0,MIN(BK504,IF(AND(H504=1,C504="重要关系2",LEFT('幕间与结算'!H411,8)="建立新的重要关系"),'幕间与结算'!E411+E504,BR503+IF(C504="重要关系2",E504,0)+IF(AND(C504="魅力",E504&lt;0),E504,0))))</x:f>
        <x:v>0</x:v>
      </x:c>
      <x:c r="BS504">
        <x:f>MAX(0,MIN(BK504,IF(AND(H504=1,C504="重要关系3",LEFT('幕间与结算'!H411,8)="建立新的重要关系"),'幕间与结算'!E411+E504,BS503+IF(C504="重要关系3",E504,0)+IF(AND(C504="魅力",E504&lt;0),E504,0))))</x:f>
        <x:v>0</x:v>
      </x:c>
      <x:c r="BT504">
        <x:f>MAX(0,MIN(BK504,IF(AND(H504=1,C504="重要关系4",LEFT('幕间与结算'!H411,8)="建立新的重要关系"),'幕间与结算'!E411+E504,BT503+IF(C504="重要关系4",E504,0)+IF(AND(C504="魅力",E504&lt;0),E504,0))))</x:f>
        <x:v>0</x:v>
      </x:c>
      <x:c r="BU504">
        <x:f>MAX(0,MIN(BK504,IF(AND(H504=1,C504="重要关系5",LEFT('幕间与结算'!H411,8)="建立新的重要关系"),'幕间与结算'!E411+E504,BU503+IF(C504="重要关系5",E504,0)+IF(AND(C504="魅力",E504&lt;0),E504,0))))</x:f>
        <x:v>0</x:v>
      </x:c>
      <x:c r="BV504">
        <x:f>MAX(0,MIN(BK504,IF(AND(H504=1,C504="重要关系6",LEFT('幕间与结算'!H411,8)="建立新的重要关系"),'幕间与结算'!E411+E504,BV503+IF(C504="重要关系6",E504,0)+IF(AND(C504="魅力",E504&lt;0),E504,0))))</x:f>
        <x:v>0</x:v>
      </x:c>
      <x:c r="BW504">
        <x:f>MAX(0,MIN(BK504,IF(AND(H504=1,C504="重要关系7",LEFT('幕间与结算'!H411,8)="建立新的重要关系"),'幕间与结算'!E411+E504,BW503+IF(C504="重要关系7",E504,0)+IF(AND(C504="魅力",E504&lt;0),E504,0))))</x:f>
        <x:v>0</x:v>
      </x:c>
    </x:row>
    <x:row r="505">
      <x:c r="A505" t="str">
        <x:f>IFERROR(TEXT(VALUE('幕间与结算'!A412),"00"),"")</x:f>
        <x:v>00</x:v>
      </x:c>
      <x:c r="B505">
        <x:f>'幕间与结算'!B412</x:f>
        <x:v>0</x:v>
      </x:c>
      <x:c r="C505">
        <x:f>'幕间与结算'!D412</x:f>
        <x:v>0</x:v>
      </x:c>
      <x:c r="D505">
        <x:f>'幕间与结算'!F412</x:f>
        <x:v>0</x:v>
      </x:c>
      <x:c r="E505">
        <x:f>IF(H505=1,MAX(-'幕间与结算'!E412,MIN(D505,IF(LEFT(C505,3)="技能：",99,IF(COUNTIF($L$2:$L$7,C505)&gt;0,18,999))-'幕间与结算'!E412)),0)</x:f>
        <x:v>0</x:v>
      </x:c>
      <x:c r="F505" t="str">
        <x:f>IF(C505=0,"",IF(G505=0,"记录不完整",IF(H505=0,"重复未计","已计入")))</x:f>
        <x:v/>
      </x:c>
      <x:c r="G505">
        <x:f>IF(AND(AND('幕间与结算'!A412&lt;&gt;"",'幕间与结算'!B412&lt;&gt;"",'幕间与结算'!I412&lt;&gt;"",OR(LEFT(C505,3)="技能：",COUNTIF($L$2:$L$19,C505)&gt;0),ISNUMBER('幕间与结算'!E412),ISNUMBER('幕间与结算'!F412),ISNUMBER('幕间与结算'!G412),'幕间与结算'!E412&gt;=0,'幕间与结算'!G412='幕间与结算'!E412+'幕间与结算'!F412),OR(B505&lt;&gt;"成长",AND(LEFT(C505,3)="技能：",C505&lt;&gt;"技能：非自然知识",'幕间与结算'!E412&gt;=1,'幕间与结算'!E412&lt;=99,'幕间与结算'!F412&gt;=0,'幕间与结算'!F412&lt;=4,'幕间与结算'!G412&lt;=99))),1,0)</x:f>
        <x:v>0</x:v>
      </x:c>
      <x:c r="H505">
        <x:f>IF(AND(G505=1,COUNTIFS($I$200:I505,I505,$G$200:G505,1)=1),1,0)</x:f>
        <x:v>0</x:v>
      </x:c>
      <x:c r="I505" t="str">
        <x:f>IF(G505=1,IF(B505="成长",A505&amp;"-成长-"&amp;C505,'幕间与结算'!I412),"")</x:f>
        <x:v/>
      </x:c>
      <x:c r="BF505">
        <x:f>MAX(0,MIN(18,BF504+IF(C505="力量",E505,0)))</x:f>
        <x:v>0</x:v>
      </x:c>
      <x:c r="BG505">
        <x:f>MAX(0,MIN(18,BG504+IF(C505="体质",E505,0)))</x:f>
        <x:v>0</x:v>
      </x:c>
      <x:c r="BH505">
        <x:f>MAX(0,MIN(18,BH504+IF(C505="敏捷",E505,0)))</x:f>
        <x:v>0</x:v>
      </x:c>
      <x:c r="BI505">
        <x:f>MAX(0,MIN(18,BI504+IF(C505="智力",E505,0)))</x:f>
        <x:v>0</x:v>
      </x:c>
      <x:c r="BJ505">
        <x:f>MAX(0,MIN(18,BJ504+IF(C505="意志",E505,0)))</x:f>
        <x:v>0</x:v>
      </x:c>
      <x:c r="BK505">
        <x:f>MAX(0,MIN(18,BK504+IF(C505="魅力",E505,0)))</x:f>
        <x:v>0</x:v>
      </x:c>
      <x:c r="BL505">
        <x:f>MAX(0,MIN(99,BL504+IF(C505="技能：非自然知识",E505,0)))</x:f>
        <x:v>0</x:v>
      </x:c>
      <x:c r="BM505">
        <x:f>MAX(0,MIN(CEILING((BF505+BG505)/2,1),BM504+IF(C505="体力",E505,0)))</x:f>
        <x:v>0</x:v>
      </x:c>
      <x:c r="BN505">
        <x:f>MAX(0,MIN(BJ505,BN504+IF(C505="毅力",E505,0)))</x:f>
        <x:v>0</x:v>
      </x:c>
      <x:c r="BO505">
        <x:f>MAX(0,MIN(99-BL505,BO504+IF(C505="理智",E505,0)))</x:f>
        <x:v>0</x:v>
      </x:c>
      <x:c r="BP505">
        <x:f>MAX(0,MIN(99,BP504+IF(C505="崩溃点",E505,0)))</x:f>
        <x:v>0</x:v>
      </x:c>
      <x:c r="BQ505">
        <x:f>MAX(0,MIN(BK505,IF(AND(H505=1,C505="重要关系1",LEFT('幕间与结算'!H412,8)="建立新的重要关系"),'幕间与结算'!E412+E505,BQ504+IF(C505="重要关系1",E505,0)+IF(AND(C505="魅力",E505&lt;0),E505,0))))</x:f>
        <x:v>0</x:v>
      </x:c>
      <x:c r="BR505">
        <x:f>MAX(0,MIN(BK505,IF(AND(H505=1,C505="重要关系2",LEFT('幕间与结算'!H412,8)="建立新的重要关系"),'幕间与结算'!E412+E505,BR504+IF(C505="重要关系2",E505,0)+IF(AND(C505="魅力",E505&lt;0),E505,0))))</x:f>
        <x:v>0</x:v>
      </x:c>
      <x:c r="BS505">
        <x:f>MAX(0,MIN(BK505,IF(AND(H505=1,C505="重要关系3",LEFT('幕间与结算'!H412,8)="建立新的重要关系"),'幕间与结算'!E412+E505,BS504+IF(C505="重要关系3",E505,0)+IF(AND(C505="魅力",E505&lt;0),E505,0))))</x:f>
        <x:v>0</x:v>
      </x:c>
      <x:c r="BT505">
        <x:f>MAX(0,MIN(BK505,IF(AND(H505=1,C505="重要关系4",LEFT('幕间与结算'!H412,8)="建立新的重要关系"),'幕间与结算'!E412+E505,BT504+IF(C505="重要关系4",E505,0)+IF(AND(C505="魅力",E505&lt;0),E505,0))))</x:f>
        <x:v>0</x:v>
      </x:c>
      <x:c r="BU505">
        <x:f>MAX(0,MIN(BK505,IF(AND(H505=1,C505="重要关系5",LEFT('幕间与结算'!H412,8)="建立新的重要关系"),'幕间与结算'!E412+E505,BU504+IF(C505="重要关系5",E505,0)+IF(AND(C505="魅力",E505&lt;0),E505,0))))</x:f>
        <x:v>0</x:v>
      </x:c>
      <x:c r="BV505">
        <x:f>MAX(0,MIN(BK505,IF(AND(H505=1,C505="重要关系6",LEFT('幕间与结算'!H412,8)="建立新的重要关系"),'幕间与结算'!E412+E505,BV504+IF(C505="重要关系6",E505,0)+IF(AND(C505="魅力",E505&lt;0),E505,0))))</x:f>
        <x:v>0</x:v>
      </x:c>
      <x:c r="BW505">
        <x:f>MAX(0,MIN(BK505,IF(AND(H505=1,C505="重要关系7",LEFT('幕间与结算'!H412,8)="建立新的重要关系"),'幕间与结算'!E412+E505,BW504+IF(C505="重要关系7",E505,0)+IF(AND(C505="魅力",E505&lt;0),E505,0))))</x:f>
        <x:v>0</x:v>
      </x:c>
    </x:row>
    <x:row r="506">
      <x:c r="A506" t="str">
        <x:f>IFERROR(TEXT(VALUE('幕间与结算'!A413),"00"),"")</x:f>
        <x:v>00</x:v>
      </x:c>
      <x:c r="B506">
        <x:f>'幕间与结算'!B413</x:f>
        <x:v>0</x:v>
      </x:c>
      <x:c r="C506">
        <x:f>'幕间与结算'!D413</x:f>
        <x:v>0</x:v>
      </x:c>
      <x:c r="D506">
        <x:f>'幕间与结算'!F413</x:f>
        <x:v>0</x:v>
      </x:c>
      <x:c r="E506">
        <x:f>IF(H506=1,MAX(-'幕间与结算'!E413,MIN(D506,IF(LEFT(C506,3)="技能：",99,IF(COUNTIF($L$2:$L$7,C506)&gt;0,18,999))-'幕间与结算'!E413)),0)</x:f>
        <x:v>0</x:v>
      </x:c>
      <x:c r="F506" t="str">
        <x:f>IF(C506=0,"",IF(G506=0,"记录不完整",IF(H506=0,"重复未计","已计入")))</x:f>
        <x:v/>
      </x:c>
      <x:c r="G506">
        <x:f>IF(AND(AND('幕间与结算'!A413&lt;&gt;"",'幕间与结算'!B413&lt;&gt;"",'幕间与结算'!I413&lt;&gt;"",OR(LEFT(C506,3)="技能：",COUNTIF($L$2:$L$19,C506)&gt;0),ISNUMBER('幕间与结算'!E413),ISNUMBER('幕间与结算'!F413),ISNUMBER('幕间与结算'!G413),'幕间与结算'!E413&gt;=0,'幕间与结算'!G413='幕间与结算'!E413+'幕间与结算'!F413),OR(B506&lt;&gt;"成长",AND(LEFT(C506,3)="技能：",C506&lt;&gt;"技能：非自然知识",'幕间与结算'!E413&gt;=1,'幕间与结算'!E413&lt;=99,'幕间与结算'!F413&gt;=0,'幕间与结算'!F413&lt;=4,'幕间与结算'!G413&lt;=99))),1,0)</x:f>
        <x:v>0</x:v>
      </x:c>
      <x:c r="H506">
        <x:f>IF(AND(G506=1,COUNTIFS($I$200:I506,I506,$G$200:G506,1)=1),1,0)</x:f>
        <x:v>0</x:v>
      </x:c>
      <x:c r="I506" t="str">
        <x:f>IF(G506=1,IF(B506="成长",A506&amp;"-成长-"&amp;C506,'幕间与结算'!I413),"")</x:f>
        <x:v/>
      </x:c>
      <x:c r="BF506">
        <x:f>MAX(0,MIN(18,BF505+IF(C506="力量",E506,0)))</x:f>
        <x:v>0</x:v>
      </x:c>
      <x:c r="BG506">
        <x:f>MAX(0,MIN(18,BG505+IF(C506="体质",E506,0)))</x:f>
        <x:v>0</x:v>
      </x:c>
      <x:c r="BH506">
        <x:f>MAX(0,MIN(18,BH505+IF(C506="敏捷",E506,0)))</x:f>
        <x:v>0</x:v>
      </x:c>
      <x:c r="BI506">
        <x:f>MAX(0,MIN(18,BI505+IF(C506="智力",E506,0)))</x:f>
        <x:v>0</x:v>
      </x:c>
      <x:c r="BJ506">
        <x:f>MAX(0,MIN(18,BJ505+IF(C506="意志",E506,0)))</x:f>
        <x:v>0</x:v>
      </x:c>
      <x:c r="BK506">
        <x:f>MAX(0,MIN(18,BK505+IF(C506="魅力",E506,0)))</x:f>
        <x:v>0</x:v>
      </x:c>
      <x:c r="BL506">
        <x:f>MAX(0,MIN(99,BL505+IF(C506="技能：非自然知识",E506,0)))</x:f>
        <x:v>0</x:v>
      </x:c>
      <x:c r="BM506">
        <x:f>MAX(0,MIN(CEILING((BF506+BG506)/2,1),BM505+IF(C506="体力",E506,0)))</x:f>
        <x:v>0</x:v>
      </x:c>
      <x:c r="BN506">
        <x:f>MAX(0,MIN(BJ506,BN505+IF(C506="毅力",E506,0)))</x:f>
        <x:v>0</x:v>
      </x:c>
      <x:c r="BO506">
        <x:f>MAX(0,MIN(99-BL506,BO505+IF(C506="理智",E506,0)))</x:f>
        <x:v>0</x:v>
      </x:c>
      <x:c r="BP506">
        <x:f>MAX(0,MIN(99,BP505+IF(C506="崩溃点",E506,0)))</x:f>
        <x:v>0</x:v>
      </x:c>
      <x:c r="BQ506">
        <x:f>MAX(0,MIN(BK506,IF(AND(H506=1,C506="重要关系1",LEFT('幕间与结算'!H413,8)="建立新的重要关系"),'幕间与结算'!E413+E506,BQ505+IF(C506="重要关系1",E506,0)+IF(AND(C506="魅力",E506&lt;0),E506,0))))</x:f>
        <x:v>0</x:v>
      </x:c>
      <x:c r="BR506">
        <x:f>MAX(0,MIN(BK506,IF(AND(H506=1,C506="重要关系2",LEFT('幕间与结算'!H413,8)="建立新的重要关系"),'幕间与结算'!E413+E506,BR505+IF(C506="重要关系2",E506,0)+IF(AND(C506="魅力",E506&lt;0),E506,0))))</x:f>
        <x:v>0</x:v>
      </x:c>
      <x:c r="BS506">
        <x:f>MAX(0,MIN(BK506,IF(AND(H506=1,C506="重要关系3",LEFT('幕间与结算'!H413,8)="建立新的重要关系"),'幕间与结算'!E413+E506,BS505+IF(C506="重要关系3",E506,0)+IF(AND(C506="魅力",E506&lt;0),E506,0))))</x:f>
        <x:v>0</x:v>
      </x:c>
      <x:c r="BT506">
        <x:f>MAX(0,MIN(BK506,IF(AND(H506=1,C506="重要关系4",LEFT('幕间与结算'!H413,8)="建立新的重要关系"),'幕间与结算'!E413+E506,BT505+IF(C506="重要关系4",E506,0)+IF(AND(C506="魅力",E506&lt;0),E506,0))))</x:f>
        <x:v>0</x:v>
      </x:c>
      <x:c r="BU506">
        <x:f>MAX(0,MIN(BK506,IF(AND(H506=1,C506="重要关系5",LEFT('幕间与结算'!H413,8)="建立新的重要关系"),'幕间与结算'!E413+E506,BU505+IF(C506="重要关系5",E506,0)+IF(AND(C506="魅力",E506&lt;0),E506,0))))</x:f>
        <x:v>0</x:v>
      </x:c>
      <x:c r="BV506">
        <x:f>MAX(0,MIN(BK506,IF(AND(H506=1,C506="重要关系6",LEFT('幕间与结算'!H413,8)="建立新的重要关系"),'幕间与结算'!E413+E506,BV505+IF(C506="重要关系6",E506,0)+IF(AND(C506="魅力",E506&lt;0),E506,0))))</x:f>
        <x:v>0</x:v>
      </x:c>
      <x:c r="BW506">
        <x:f>MAX(0,MIN(BK506,IF(AND(H506=1,C506="重要关系7",LEFT('幕间与结算'!H413,8)="建立新的重要关系"),'幕间与结算'!E413+E506,BW505+IF(C506="重要关系7",E506,0)+IF(AND(C506="魅力",E506&lt;0),E506,0))))</x:f>
        <x:v>0</x:v>
      </x:c>
    </x:row>
    <x:row r="507">
      <x:c r="A507" t="str">
        <x:f>IFERROR(TEXT(VALUE('幕间与结算'!A414),"00"),"")</x:f>
        <x:v>00</x:v>
      </x:c>
      <x:c r="B507">
        <x:f>'幕间与结算'!B414</x:f>
        <x:v>0</x:v>
      </x:c>
      <x:c r="C507">
        <x:f>'幕间与结算'!D414</x:f>
        <x:v>0</x:v>
      </x:c>
      <x:c r="D507">
        <x:f>'幕间与结算'!F414</x:f>
        <x:v>0</x:v>
      </x:c>
      <x:c r="E507">
        <x:f>IF(H507=1,MAX(-'幕间与结算'!E414,MIN(D507,IF(LEFT(C507,3)="技能：",99,IF(COUNTIF($L$2:$L$7,C507)&gt;0,18,999))-'幕间与结算'!E414)),0)</x:f>
        <x:v>0</x:v>
      </x:c>
      <x:c r="F507" t="str">
        <x:f>IF(C507=0,"",IF(G507=0,"记录不完整",IF(H507=0,"重复未计","已计入")))</x:f>
        <x:v/>
      </x:c>
      <x:c r="G507">
        <x:f>IF(AND(AND('幕间与结算'!A414&lt;&gt;"",'幕间与结算'!B414&lt;&gt;"",'幕间与结算'!I414&lt;&gt;"",OR(LEFT(C507,3)="技能：",COUNTIF($L$2:$L$19,C507)&gt;0),ISNUMBER('幕间与结算'!E414),ISNUMBER('幕间与结算'!F414),ISNUMBER('幕间与结算'!G414),'幕间与结算'!E414&gt;=0,'幕间与结算'!G414='幕间与结算'!E414+'幕间与结算'!F414),OR(B507&lt;&gt;"成长",AND(LEFT(C507,3)="技能：",C507&lt;&gt;"技能：非自然知识",'幕间与结算'!E414&gt;=1,'幕间与结算'!E414&lt;=99,'幕间与结算'!F414&gt;=0,'幕间与结算'!F414&lt;=4,'幕间与结算'!G414&lt;=99))),1,0)</x:f>
        <x:v>0</x:v>
      </x:c>
      <x:c r="H507">
        <x:f>IF(AND(G507=1,COUNTIFS($I$200:I507,I507,$G$200:G507,1)=1),1,0)</x:f>
        <x:v>0</x:v>
      </x:c>
      <x:c r="I507" t="str">
        <x:f>IF(G507=1,IF(B507="成长",A507&amp;"-成长-"&amp;C507,'幕间与结算'!I414),"")</x:f>
        <x:v/>
      </x:c>
      <x:c r="BF507">
        <x:f>MAX(0,MIN(18,BF506+IF(C507="力量",E507,0)))</x:f>
        <x:v>0</x:v>
      </x:c>
      <x:c r="BG507">
        <x:f>MAX(0,MIN(18,BG506+IF(C507="体质",E507,0)))</x:f>
        <x:v>0</x:v>
      </x:c>
      <x:c r="BH507">
        <x:f>MAX(0,MIN(18,BH506+IF(C507="敏捷",E507,0)))</x:f>
        <x:v>0</x:v>
      </x:c>
      <x:c r="BI507">
        <x:f>MAX(0,MIN(18,BI506+IF(C507="智力",E507,0)))</x:f>
        <x:v>0</x:v>
      </x:c>
      <x:c r="BJ507">
        <x:f>MAX(0,MIN(18,BJ506+IF(C507="意志",E507,0)))</x:f>
        <x:v>0</x:v>
      </x:c>
      <x:c r="BK507">
        <x:f>MAX(0,MIN(18,BK506+IF(C507="魅力",E507,0)))</x:f>
        <x:v>0</x:v>
      </x:c>
      <x:c r="BL507">
        <x:f>MAX(0,MIN(99,BL506+IF(C507="技能：非自然知识",E507,0)))</x:f>
        <x:v>0</x:v>
      </x:c>
      <x:c r="BM507">
        <x:f>MAX(0,MIN(CEILING((BF507+BG507)/2,1),BM506+IF(C507="体力",E507,0)))</x:f>
        <x:v>0</x:v>
      </x:c>
      <x:c r="BN507">
        <x:f>MAX(0,MIN(BJ507,BN506+IF(C507="毅力",E507,0)))</x:f>
        <x:v>0</x:v>
      </x:c>
      <x:c r="BO507">
        <x:f>MAX(0,MIN(99-BL507,BO506+IF(C507="理智",E507,0)))</x:f>
        <x:v>0</x:v>
      </x:c>
      <x:c r="BP507">
        <x:f>MAX(0,MIN(99,BP506+IF(C507="崩溃点",E507,0)))</x:f>
        <x:v>0</x:v>
      </x:c>
      <x:c r="BQ507">
        <x:f>MAX(0,MIN(BK507,IF(AND(H507=1,C507="重要关系1",LEFT('幕间与结算'!H414,8)="建立新的重要关系"),'幕间与结算'!E414+E507,BQ506+IF(C507="重要关系1",E507,0)+IF(AND(C507="魅力",E507&lt;0),E507,0))))</x:f>
        <x:v>0</x:v>
      </x:c>
      <x:c r="BR507">
        <x:f>MAX(0,MIN(BK507,IF(AND(H507=1,C507="重要关系2",LEFT('幕间与结算'!H414,8)="建立新的重要关系"),'幕间与结算'!E414+E507,BR506+IF(C507="重要关系2",E507,0)+IF(AND(C507="魅力",E507&lt;0),E507,0))))</x:f>
        <x:v>0</x:v>
      </x:c>
      <x:c r="BS507">
        <x:f>MAX(0,MIN(BK507,IF(AND(H507=1,C507="重要关系3",LEFT('幕间与结算'!H414,8)="建立新的重要关系"),'幕间与结算'!E414+E507,BS506+IF(C507="重要关系3",E507,0)+IF(AND(C507="魅力",E507&lt;0),E507,0))))</x:f>
        <x:v>0</x:v>
      </x:c>
      <x:c r="BT507">
        <x:f>MAX(0,MIN(BK507,IF(AND(H507=1,C507="重要关系4",LEFT('幕间与结算'!H414,8)="建立新的重要关系"),'幕间与结算'!E414+E507,BT506+IF(C507="重要关系4",E507,0)+IF(AND(C507="魅力",E507&lt;0),E507,0))))</x:f>
        <x:v>0</x:v>
      </x:c>
      <x:c r="BU507">
        <x:f>MAX(0,MIN(BK507,IF(AND(H507=1,C507="重要关系5",LEFT('幕间与结算'!H414,8)="建立新的重要关系"),'幕间与结算'!E414+E507,BU506+IF(C507="重要关系5",E507,0)+IF(AND(C507="魅力",E507&lt;0),E507,0))))</x:f>
        <x:v>0</x:v>
      </x:c>
      <x:c r="BV507">
        <x:f>MAX(0,MIN(BK507,IF(AND(H507=1,C507="重要关系6",LEFT('幕间与结算'!H414,8)="建立新的重要关系"),'幕间与结算'!E414+E507,BV506+IF(C507="重要关系6",E507,0)+IF(AND(C507="魅力",E507&lt;0),E507,0))))</x:f>
        <x:v>0</x:v>
      </x:c>
      <x:c r="BW507">
        <x:f>MAX(0,MIN(BK507,IF(AND(H507=1,C507="重要关系7",LEFT('幕间与结算'!H414,8)="建立新的重要关系"),'幕间与结算'!E414+E507,BW506+IF(C507="重要关系7",E507,0)+IF(AND(C507="魅力",E507&lt;0),E507,0))))</x:f>
        <x:v>0</x:v>
      </x:c>
    </x:row>
    <x:row r="508">
      <x:c r="A508" t="str">
        <x:f>IFERROR(TEXT(VALUE('幕间与结算'!A415),"00"),"")</x:f>
        <x:v>00</x:v>
      </x:c>
      <x:c r="B508">
        <x:f>'幕间与结算'!B415</x:f>
        <x:v>0</x:v>
      </x:c>
      <x:c r="C508">
        <x:f>'幕间与结算'!D415</x:f>
        <x:v>0</x:v>
      </x:c>
      <x:c r="D508">
        <x:f>'幕间与结算'!F415</x:f>
        <x:v>0</x:v>
      </x:c>
      <x:c r="E508">
        <x:f>IF(H508=1,MAX(-'幕间与结算'!E415,MIN(D508,IF(LEFT(C508,3)="技能：",99,IF(COUNTIF($L$2:$L$7,C508)&gt;0,18,999))-'幕间与结算'!E415)),0)</x:f>
        <x:v>0</x:v>
      </x:c>
      <x:c r="F508" t="str">
        <x:f>IF(C508=0,"",IF(G508=0,"记录不完整",IF(H508=0,"重复未计","已计入")))</x:f>
        <x:v/>
      </x:c>
      <x:c r="G508">
        <x:f>IF(AND(AND('幕间与结算'!A415&lt;&gt;"",'幕间与结算'!B415&lt;&gt;"",'幕间与结算'!I415&lt;&gt;"",OR(LEFT(C508,3)="技能：",COUNTIF($L$2:$L$19,C508)&gt;0),ISNUMBER('幕间与结算'!E415),ISNUMBER('幕间与结算'!F415),ISNUMBER('幕间与结算'!G415),'幕间与结算'!E415&gt;=0,'幕间与结算'!G415='幕间与结算'!E415+'幕间与结算'!F415),OR(B508&lt;&gt;"成长",AND(LEFT(C508,3)="技能：",C508&lt;&gt;"技能：非自然知识",'幕间与结算'!E415&gt;=1,'幕间与结算'!E415&lt;=99,'幕间与结算'!F415&gt;=0,'幕间与结算'!F415&lt;=4,'幕间与结算'!G415&lt;=99))),1,0)</x:f>
        <x:v>0</x:v>
      </x:c>
      <x:c r="H508">
        <x:f>IF(AND(G508=1,COUNTIFS($I$200:I508,I508,$G$200:G508,1)=1),1,0)</x:f>
        <x:v>0</x:v>
      </x:c>
      <x:c r="I508" t="str">
        <x:f>IF(G508=1,IF(B508="成长",A508&amp;"-成长-"&amp;C508,'幕间与结算'!I415),"")</x:f>
        <x:v/>
      </x:c>
      <x:c r="BF508">
        <x:f>MAX(0,MIN(18,BF507+IF(C508="力量",E508,0)))</x:f>
        <x:v>0</x:v>
      </x:c>
      <x:c r="BG508">
        <x:f>MAX(0,MIN(18,BG507+IF(C508="体质",E508,0)))</x:f>
        <x:v>0</x:v>
      </x:c>
      <x:c r="BH508">
        <x:f>MAX(0,MIN(18,BH507+IF(C508="敏捷",E508,0)))</x:f>
        <x:v>0</x:v>
      </x:c>
      <x:c r="BI508">
        <x:f>MAX(0,MIN(18,BI507+IF(C508="智力",E508,0)))</x:f>
        <x:v>0</x:v>
      </x:c>
      <x:c r="BJ508">
        <x:f>MAX(0,MIN(18,BJ507+IF(C508="意志",E508,0)))</x:f>
        <x:v>0</x:v>
      </x:c>
      <x:c r="BK508">
        <x:f>MAX(0,MIN(18,BK507+IF(C508="魅力",E508,0)))</x:f>
        <x:v>0</x:v>
      </x:c>
      <x:c r="BL508">
        <x:f>MAX(0,MIN(99,BL507+IF(C508="技能：非自然知识",E508,0)))</x:f>
        <x:v>0</x:v>
      </x:c>
      <x:c r="BM508">
        <x:f>MAX(0,MIN(CEILING((BF508+BG508)/2,1),BM507+IF(C508="体力",E508,0)))</x:f>
        <x:v>0</x:v>
      </x:c>
      <x:c r="BN508">
        <x:f>MAX(0,MIN(BJ508,BN507+IF(C508="毅力",E508,0)))</x:f>
        <x:v>0</x:v>
      </x:c>
      <x:c r="BO508">
        <x:f>MAX(0,MIN(99-BL508,BO507+IF(C508="理智",E508,0)))</x:f>
        <x:v>0</x:v>
      </x:c>
      <x:c r="BP508">
        <x:f>MAX(0,MIN(99,BP507+IF(C508="崩溃点",E508,0)))</x:f>
        <x:v>0</x:v>
      </x:c>
      <x:c r="BQ508">
        <x:f>MAX(0,MIN(BK508,IF(AND(H508=1,C508="重要关系1",LEFT('幕间与结算'!H415,8)="建立新的重要关系"),'幕间与结算'!E415+E508,BQ507+IF(C508="重要关系1",E508,0)+IF(AND(C508="魅力",E508&lt;0),E508,0))))</x:f>
        <x:v>0</x:v>
      </x:c>
      <x:c r="BR508">
        <x:f>MAX(0,MIN(BK508,IF(AND(H508=1,C508="重要关系2",LEFT('幕间与结算'!H415,8)="建立新的重要关系"),'幕间与结算'!E415+E508,BR507+IF(C508="重要关系2",E508,0)+IF(AND(C508="魅力",E508&lt;0),E508,0))))</x:f>
        <x:v>0</x:v>
      </x:c>
      <x:c r="BS508">
        <x:f>MAX(0,MIN(BK508,IF(AND(H508=1,C508="重要关系3",LEFT('幕间与结算'!H415,8)="建立新的重要关系"),'幕间与结算'!E415+E508,BS507+IF(C508="重要关系3",E508,0)+IF(AND(C508="魅力",E508&lt;0),E508,0))))</x:f>
        <x:v>0</x:v>
      </x:c>
      <x:c r="BT508">
        <x:f>MAX(0,MIN(BK508,IF(AND(H508=1,C508="重要关系4",LEFT('幕间与结算'!H415,8)="建立新的重要关系"),'幕间与结算'!E415+E508,BT507+IF(C508="重要关系4",E508,0)+IF(AND(C508="魅力",E508&lt;0),E508,0))))</x:f>
        <x:v>0</x:v>
      </x:c>
      <x:c r="BU508">
        <x:f>MAX(0,MIN(BK508,IF(AND(H508=1,C508="重要关系5",LEFT('幕间与结算'!H415,8)="建立新的重要关系"),'幕间与结算'!E415+E508,BU507+IF(C508="重要关系5",E508,0)+IF(AND(C508="魅力",E508&lt;0),E508,0))))</x:f>
        <x:v>0</x:v>
      </x:c>
      <x:c r="BV508">
        <x:f>MAX(0,MIN(BK508,IF(AND(H508=1,C508="重要关系6",LEFT('幕间与结算'!H415,8)="建立新的重要关系"),'幕间与结算'!E415+E508,BV507+IF(C508="重要关系6",E508,0)+IF(AND(C508="魅力",E508&lt;0),E508,0))))</x:f>
        <x:v>0</x:v>
      </x:c>
      <x:c r="BW508">
        <x:f>MAX(0,MIN(BK508,IF(AND(H508=1,C508="重要关系7",LEFT('幕间与结算'!H415,8)="建立新的重要关系"),'幕间与结算'!E415+E508,BW507+IF(C508="重要关系7",E508,0)+IF(AND(C508="魅力",E508&lt;0),E508,0))))</x:f>
        <x:v>0</x:v>
      </x:c>
    </x:row>
    <x:row r="509">
      <x:c r="A509" t="str">
        <x:f>IFERROR(TEXT(VALUE('幕间与结算'!A416),"00"),"")</x:f>
        <x:v>00</x:v>
      </x:c>
      <x:c r="B509">
        <x:f>'幕间与结算'!B416</x:f>
        <x:v>0</x:v>
      </x:c>
      <x:c r="C509">
        <x:f>'幕间与结算'!D416</x:f>
        <x:v>0</x:v>
      </x:c>
      <x:c r="D509">
        <x:f>'幕间与结算'!F416</x:f>
        <x:v>0</x:v>
      </x:c>
      <x:c r="E509">
        <x:f>IF(H509=1,MAX(-'幕间与结算'!E416,MIN(D509,IF(LEFT(C509,3)="技能：",99,IF(COUNTIF($L$2:$L$7,C509)&gt;0,18,999))-'幕间与结算'!E416)),0)</x:f>
        <x:v>0</x:v>
      </x:c>
      <x:c r="F509" t="str">
        <x:f>IF(C509=0,"",IF(G509=0,"记录不完整",IF(H509=0,"重复未计","已计入")))</x:f>
        <x:v/>
      </x:c>
      <x:c r="G509">
        <x:f>IF(AND(AND('幕间与结算'!A416&lt;&gt;"",'幕间与结算'!B416&lt;&gt;"",'幕间与结算'!I416&lt;&gt;"",OR(LEFT(C509,3)="技能：",COUNTIF($L$2:$L$19,C509)&gt;0),ISNUMBER('幕间与结算'!E416),ISNUMBER('幕间与结算'!F416),ISNUMBER('幕间与结算'!G416),'幕间与结算'!E416&gt;=0,'幕间与结算'!G416='幕间与结算'!E416+'幕间与结算'!F416),OR(B509&lt;&gt;"成长",AND(LEFT(C509,3)="技能：",C509&lt;&gt;"技能：非自然知识",'幕间与结算'!E416&gt;=1,'幕间与结算'!E416&lt;=99,'幕间与结算'!F416&gt;=0,'幕间与结算'!F416&lt;=4,'幕间与结算'!G416&lt;=99))),1,0)</x:f>
        <x:v>0</x:v>
      </x:c>
      <x:c r="H509">
        <x:f>IF(AND(G509=1,COUNTIFS($I$200:I509,I509,$G$200:G509,1)=1),1,0)</x:f>
        <x:v>0</x:v>
      </x:c>
      <x:c r="I509" t="str">
        <x:f>IF(G509=1,IF(B509="成长",A509&amp;"-成长-"&amp;C509,'幕间与结算'!I416),"")</x:f>
        <x:v/>
      </x:c>
      <x:c r="BF509">
        <x:f>MAX(0,MIN(18,BF508+IF(C509="力量",E509,0)))</x:f>
        <x:v>0</x:v>
      </x:c>
      <x:c r="BG509">
        <x:f>MAX(0,MIN(18,BG508+IF(C509="体质",E509,0)))</x:f>
        <x:v>0</x:v>
      </x:c>
      <x:c r="BH509">
        <x:f>MAX(0,MIN(18,BH508+IF(C509="敏捷",E509,0)))</x:f>
        <x:v>0</x:v>
      </x:c>
      <x:c r="BI509">
        <x:f>MAX(0,MIN(18,BI508+IF(C509="智力",E509,0)))</x:f>
        <x:v>0</x:v>
      </x:c>
      <x:c r="BJ509">
        <x:f>MAX(0,MIN(18,BJ508+IF(C509="意志",E509,0)))</x:f>
        <x:v>0</x:v>
      </x:c>
      <x:c r="BK509">
        <x:f>MAX(0,MIN(18,BK508+IF(C509="魅力",E509,0)))</x:f>
        <x:v>0</x:v>
      </x:c>
      <x:c r="BL509">
        <x:f>MAX(0,MIN(99,BL508+IF(C509="技能：非自然知识",E509,0)))</x:f>
        <x:v>0</x:v>
      </x:c>
      <x:c r="BM509">
        <x:f>MAX(0,MIN(CEILING((BF509+BG509)/2,1),BM508+IF(C509="体力",E509,0)))</x:f>
        <x:v>0</x:v>
      </x:c>
      <x:c r="BN509">
        <x:f>MAX(0,MIN(BJ509,BN508+IF(C509="毅力",E509,0)))</x:f>
        <x:v>0</x:v>
      </x:c>
      <x:c r="BO509">
        <x:f>MAX(0,MIN(99-BL509,BO508+IF(C509="理智",E509,0)))</x:f>
        <x:v>0</x:v>
      </x:c>
      <x:c r="BP509">
        <x:f>MAX(0,MIN(99,BP508+IF(C509="崩溃点",E509,0)))</x:f>
        <x:v>0</x:v>
      </x:c>
      <x:c r="BQ509">
        <x:f>MAX(0,MIN(BK509,IF(AND(H509=1,C509="重要关系1",LEFT('幕间与结算'!H416,8)="建立新的重要关系"),'幕间与结算'!E416+E509,BQ508+IF(C509="重要关系1",E509,0)+IF(AND(C509="魅力",E509&lt;0),E509,0))))</x:f>
        <x:v>0</x:v>
      </x:c>
      <x:c r="BR509">
        <x:f>MAX(0,MIN(BK509,IF(AND(H509=1,C509="重要关系2",LEFT('幕间与结算'!H416,8)="建立新的重要关系"),'幕间与结算'!E416+E509,BR508+IF(C509="重要关系2",E509,0)+IF(AND(C509="魅力",E509&lt;0),E509,0))))</x:f>
        <x:v>0</x:v>
      </x:c>
      <x:c r="BS509">
        <x:f>MAX(0,MIN(BK509,IF(AND(H509=1,C509="重要关系3",LEFT('幕间与结算'!H416,8)="建立新的重要关系"),'幕间与结算'!E416+E509,BS508+IF(C509="重要关系3",E509,0)+IF(AND(C509="魅力",E509&lt;0),E509,0))))</x:f>
        <x:v>0</x:v>
      </x:c>
      <x:c r="BT509">
        <x:f>MAX(0,MIN(BK509,IF(AND(H509=1,C509="重要关系4",LEFT('幕间与结算'!H416,8)="建立新的重要关系"),'幕间与结算'!E416+E509,BT508+IF(C509="重要关系4",E509,0)+IF(AND(C509="魅力",E509&lt;0),E509,0))))</x:f>
        <x:v>0</x:v>
      </x:c>
      <x:c r="BU509">
        <x:f>MAX(0,MIN(BK509,IF(AND(H509=1,C509="重要关系5",LEFT('幕间与结算'!H416,8)="建立新的重要关系"),'幕间与结算'!E416+E509,BU508+IF(C509="重要关系5",E509,0)+IF(AND(C509="魅力",E509&lt;0),E509,0))))</x:f>
        <x:v>0</x:v>
      </x:c>
      <x:c r="BV509">
        <x:f>MAX(0,MIN(BK509,IF(AND(H509=1,C509="重要关系6",LEFT('幕间与结算'!H416,8)="建立新的重要关系"),'幕间与结算'!E416+E509,BV508+IF(C509="重要关系6",E509,0)+IF(AND(C509="魅力",E509&lt;0),E509,0))))</x:f>
        <x:v>0</x:v>
      </x:c>
      <x:c r="BW509">
        <x:f>MAX(0,MIN(BK509,IF(AND(H509=1,C509="重要关系7",LEFT('幕间与结算'!H416,8)="建立新的重要关系"),'幕间与结算'!E416+E509,BW508+IF(C509="重要关系7",E509,0)+IF(AND(C509="魅力",E509&lt;0),E509,0))))</x:f>
        <x:v>0</x:v>
      </x:c>
    </x:row>
    <x:row r="510">
      <x:c r="A510" t="str">
        <x:f>IFERROR(TEXT(VALUE('幕间与结算'!A417),"00"),"")</x:f>
        <x:v>00</x:v>
      </x:c>
      <x:c r="B510">
        <x:f>'幕间与结算'!B417</x:f>
        <x:v>0</x:v>
      </x:c>
      <x:c r="C510">
        <x:f>'幕间与结算'!D417</x:f>
        <x:v>0</x:v>
      </x:c>
      <x:c r="D510">
        <x:f>'幕间与结算'!F417</x:f>
        <x:v>0</x:v>
      </x:c>
      <x:c r="E510">
        <x:f>IF(H510=1,MAX(-'幕间与结算'!E417,MIN(D510,IF(LEFT(C510,3)="技能：",99,IF(COUNTIF($L$2:$L$7,C510)&gt;0,18,999))-'幕间与结算'!E417)),0)</x:f>
        <x:v>0</x:v>
      </x:c>
      <x:c r="F510" t="str">
        <x:f>IF(C510=0,"",IF(G510=0,"记录不完整",IF(H510=0,"重复未计","已计入")))</x:f>
        <x:v/>
      </x:c>
      <x:c r="G510">
        <x:f>IF(AND(AND('幕间与结算'!A417&lt;&gt;"",'幕间与结算'!B417&lt;&gt;"",'幕间与结算'!I417&lt;&gt;"",OR(LEFT(C510,3)="技能：",COUNTIF($L$2:$L$19,C510)&gt;0),ISNUMBER('幕间与结算'!E417),ISNUMBER('幕间与结算'!F417),ISNUMBER('幕间与结算'!G417),'幕间与结算'!E417&gt;=0,'幕间与结算'!G417='幕间与结算'!E417+'幕间与结算'!F417),OR(B510&lt;&gt;"成长",AND(LEFT(C510,3)="技能：",C510&lt;&gt;"技能：非自然知识",'幕间与结算'!E417&gt;=1,'幕间与结算'!E417&lt;=99,'幕间与结算'!F417&gt;=0,'幕间与结算'!F417&lt;=4,'幕间与结算'!G417&lt;=99))),1,0)</x:f>
        <x:v>0</x:v>
      </x:c>
      <x:c r="H510">
        <x:f>IF(AND(G510=1,COUNTIFS($I$200:I510,I510,$G$200:G510,1)=1),1,0)</x:f>
        <x:v>0</x:v>
      </x:c>
      <x:c r="I510" t="str">
        <x:f>IF(G510=1,IF(B510="成长",A510&amp;"-成长-"&amp;C510,'幕间与结算'!I417),"")</x:f>
        <x:v/>
      </x:c>
      <x:c r="BF510">
        <x:f>MAX(0,MIN(18,BF509+IF(C510="力量",E510,0)))</x:f>
        <x:v>0</x:v>
      </x:c>
      <x:c r="BG510">
        <x:f>MAX(0,MIN(18,BG509+IF(C510="体质",E510,0)))</x:f>
        <x:v>0</x:v>
      </x:c>
      <x:c r="BH510">
        <x:f>MAX(0,MIN(18,BH509+IF(C510="敏捷",E510,0)))</x:f>
        <x:v>0</x:v>
      </x:c>
      <x:c r="BI510">
        <x:f>MAX(0,MIN(18,BI509+IF(C510="智力",E510,0)))</x:f>
        <x:v>0</x:v>
      </x:c>
      <x:c r="BJ510">
        <x:f>MAX(0,MIN(18,BJ509+IF(C510="意志",E510,0)))</x:f>
        <x:v>0</x:v>
      </x:c>
      <x:c r="BK510">
        <x:f>MAX(0,MIN(18,BK509+IF(C510="魅力",E510,0)))</x:f>
        <x:v>0</x:v>
      </x:c>
      <x:c r="BL510">
        <x:f>MAX(0,MIN(99,BL509+IF(C510="技能：非自然知识",E510,0)))</x:f>
        <x:v>0</x:v>
      </x:c>
      <x:c r="BM510">
        <x:f>MAX(0,MIN(CEILING((BF510+BG510)/2,1),BM509+IF(C510="体力",E510,0)))</x:f>
        <x:v>0</x:v>
      </x:c>
      <x:c r="BN510">
        <x:f>MAX(0,MIN(BJ510,BN509+IF(C510="毅力",E510,0)))</x:f>
        <x:v>0</x:v>
      </x:c>
      <x:c r="BO510">
        <x:f>MAX(0,MIN(99-BL510,BO509+IF(C510="理智",E510,0)))</x:f>
        <x:v>0</x:v>
      </x:c>
      <x:c r="BP510">
        <x:f>MAX(0,MIN(99,BP509+IF(C510="崩溃点",E510,0)))</x:f>
        <x:v>0</x:v>
      </x:c>
      <x:c r="BQ510">
        <x:f>MAX(0,MIN(BK510,IF(AND(H510=1,C510="重要关系1",LEFT('幕间与结算'!H417,8)="建立新的重要关系"),'幕间与结算'!E417+E510,BQ509+IF(C510="重要关系1",E510,0)+IF(AND(C510="魅力",E510&lt;0),E510,0))))</x:f>
        <x:v>0</x:v>
      </x:c>
      <x:c r="BR510">
        <x:f>MAX(0,MIN(BK510,IF(AND(H510=1,C510="重要关系2",LEFT('幕间与结算'!H417,8)="建立新的重要关系"),'幕间与结算'!E417+E510,BR509+IF(C510="重要关系2",E510,0)+IF(AND(C510="魅力",E510&lt;0),E510,0))))</x:f>
        <x:v>0</x:v>
      </x:c>
      <x:c r="BS510">
        <x:f>MAX(0,MIN(BK510,IF(AND(H510=1,C510="重要关系3",LEFT('幕间与结算'!H417,8)="建立新的重要关系"),'幕间与结算'!E417+E510,BS509+IF(C510="重要关系3",E510,0)+IF(AND(C510="魅力",E510&lt;0),E510,0))))</x:f>
        <x:v>0</x:v>
      </x:c>
      <x:c r="BT510">
        <x:f>MAX(0,MIN(BK510,IF(AND(H510=1,C510="重要关系4",LEFT('幕间与结算'!H417,8)="建立新的重要关系"),'幕间与结算'!E417+E510,BT509+IF(C510="重要关系4",E510,0)+IF(AND(C510="魅力",E510&lt;0),E510,0))))</x:f>
        <x:v>0</x:v>
      </x:c>
      <x:c r="BU510">
        <x:f>MAX(0,MIN(BK510,IF(AND(H510=1,C510="重要关系5",LEFT('幕间与结算'!H417,8)="建立新的重要关系"),'幕间与结算'!E417+E510,BU509+IF(C510="重要关系5",E510,0)+IF(AND(C510="魅力",E510&lt;0),E510,0))))</x:f>
        <x:v>0</x:v>
      </x:c>
      <x:c r="BV510">
        <x:f>MAX(0,MIN(BK510,IF(AND(H510=1,C510="重要关系6",LEFT('幕间与结算'!H417,8)="建立新的重要关系"),'幕间与结算'!E417+E510,BV509+IF(C510="重要关系6",E510,0)+IF(AND(C510="魅力",E510&lt;0),E510,0))))</x:f>
        <x:v>0</x:v>
      </x:c>
      <x:c r="BW510">
        <x:f>MAX(0,MIN(BK510,IF(AND(H510=1,C510="重要关系7",LEFT('幕间与结算'!H417,8)="建立新的重要关系"),'幕间与结算'!E417+E510,BW509+IF(C510="重要关系7",E510,0)+IF(AND(C510="魅力",E510&lt;0),E510,0))))</x:f>
        <x:v>0</x:v>
      </x:c>
    </x:row>
    <x:row r="511">
      <x:c r="A511" t="str">
        <x:f>IFERROR(TEXT(VALUE('幕间与结算'!A418),"00"),"")</x:f>
        <x:v>00</x:v>
      </x:c>
      <x:c r="B511">
        <x:f>'幕间与结算'!B418</x:f>
        <x:v>0</x:v>
      </x:c>
      <x:c r="C511">
        <x:f>'幕间与结算'!D418</x:f>
        <x:v>0</x:v>
      </x:c>
      <x:c r="D511">
        <x:f>'幕间与结算'!F418</x:f>
        <x:v>0</x:v>
      </x:c>
      <x:c r="E511">
        <x:f>IF(H511=1,MAX(-'幕间与结算'!E418,MIN(D511,IF(LEFT(C511,3)="技能：",99,IF(COUNTIF($L$2:$L$7,C511)&gt;0,18,999))-'幕间与结算'!E418)),0)</x:f>
        <x:v>0</x:v>
      </x:c>
      <x:c r="F511" t="str">
        <x:f>IF(C511=0,"",IF(G511=0,"记录不完整",IF(H511=0,"重复未计","已计入")))</x:f>
        <x:v/>
      </x:c>
      <x:c r="G511">
        <x:f>IF(AND(AND('幕间与结算'!A418&lt;&gt;"",'幕间与结算'!B418&lt;&gt;"",'幕间与结算'!I418&lt;&gt;"",OR(LEFT(C511,3)="技能：",COUNTIF($L$2:$L$19,C511)&gt;0),ISNUMBER('幕间与结算'!E418),ISNUMBER('幕间与结算'!F418),ISNUMBER('幕间与结算'!G418),'幕间与结算'!E418&gt;=0,'幕间与结算'!G418='幕间与结算'!E418+'幕间与结算'!F418),OR(B511&lt;&gt;"成长",AND(LEFT(C511,3)="技能：",C511&lt;&gt;"技能：非自然知识",'幕间与结算'!E418&gt;=1,'幕间与结算'!E418&lt;=99,'幕间与结算'!F418&gt;=0,'幕间与结算'!F418&lt;=4,'幕间与结算'!G418&lt;=99))),1,0)</x:f>
        <x:v>0</x:v>
      </x:c>
      <x:c r="H511">
        <x:f>IF(AND(G511=1,COUNTIFS($I$200:I511,I511,$G$200:G511,1)=1),1,0)</x:f>
        <x:v>0</x:v>
      </x:c>
      <x:c r="I511" t="str">
        <x:f>IF(G511=1,IF(B511="成长",A511&amp;"-成长-"&amp;C511,'幕间与结算'!I418),"")</x:f>
        <x:v/>
      </x:c>
      <x:c r="BF511">
        <x:f>MAX(0,MIN(18,BF510+IF(C511="力量",E511,0)))</x:f>
        <x:v>0</x:v>
      </x:c>
      <x:c r="BG511">
        <x:f>MAX(0,MIN(18,BG510+IF(C511="体质",E511,0)))</x:f>
        <x:v>0</x:v>
      </x:c>
      <x:c r="BH511">
        <x:f>MAX(0,MIN(18,BH510+IF(C511="敏捷",E511,0)))</x:f>
        <x:v>0</x:v>
      </x:c>
      <x:c r="BI511">
        <x:f>MAX(0,MIN(18,BI510+IF(C511="智力",E511,0)))</x:f>
        <x:v>0</x:v>
      </x:c>
      <x:c r="BJ511">
        <x:f>MAX(0,MIN(18,BJ510+IF(C511="意志",E511,0)))</x:f>
        <x:v>0</x:v>
      </x:c>
      <x:c r="BK511">
        <x:f>MAX(0,MIN(18,BK510+IF(C511="魅力",E511,0)))</x:f>
        <x:v>0</x:v>
      </x:c>
      <x:c r="BL511">
        <x:f>MAX(0,MIN(99,BL510+IF(C511="技能：非自然知识",E511,0)))</x:f>
        <x:v>0</x:v>
      </x:c>
      <x:c r="BM511">
        <x:f>MAX(0,MIN(CEILING((BF511+BG511)/2,1),BM510+IF(C511="体力",E511,0)))</x:f>
        <x:v>0</x:v>
      </x:c>
      <x:c r="BN511">
        <x:f>MAX(0,MIN(BJ511,BN510+IF(C511="毅力",E511,0)))</x:f>
        <x:v>0</x:v>
      </x:c>
      <x:c r="BO511">
        <x:f>MAX(0,MIN(99-BL511,BO510+IF(C511="理智",E511,0)))</x:f>
        <x:v>0</x:v>
      </x:c>
      <x:c r="BP511">
        <x:f>MAX(0,MIN(99,BP510+IF(C511="崩溃点",E511,0)))</x:f>
        <x:v>0</x:v>
      </x:c>
      <x:c r="BQ511">
        <x:f>MAX(0,MIN(BK511,IF(AND(H511=1,C511="重要关系1",LEFT('幕间与结算'!H418,8)="建立新的重要关系"),'幕间与结算'!E418+E511,BQ510+IF(C511="重要关系1",E511,0)+IF(AND(C511="魅力",E511&lt;0),E511,0))))</x:f>
        <x:v>0</x:v>
      </x:c>
      <x:c r="BR511">
        <x:f>MAX(0,MIN(BK511,IF(AND(H511=1,C511="重要关系2",LEFT('幕间与结算'!H418,8)="建立新的重要关系"),'幕间与结算'!E418+E511,BR510+IF(C511="重要关系2",E511,0)+IF(AND(C511="魅力",E511&lt;0),E511,0))))</x:f>
        <x:v>0</x:v>
      </x:c>
      <x:c r="BS511">
        <x:f>MAX(0,MIN(BK511,IF(AND(H511=1,C511="重要关系3",LEFT('幕间与结算'!H418,8)="建立新的重要关系"),'幕间与结算'!E418+E511,BS510+IF(C511="重要关系3",E511,0)+IF(AND(C511="魅力",E511&lt;0),E511,0))))</x:f>
        <x:v>0</x:v>
      </x:c>
      <x:c r="BT511">
        <x:f>MAX(0,MIN(BK511,IF(AND(H511=1,C511="重要关系4",LEFT('幕间与结算'!H418,8)="建立新的重要关系"),'幕间与结算'!E418+E511,BT510+IF(C511="重要关系4",E511,0)+IF(AND(C511="魅力",E511&lt;0),E511,0))))</x:f>
        <x:v>0</x:v>
      </x:c>
      <x:c r="BU511">
        <x:f>MAX(0,MIN(BK511,IF(AND(H511=1,C511="重要关系5",LEFT('幕间与结算'!H418,8)="建立新的重要关系"),'幕间与结算'!E418+E511,BU510+IF(C511="重要关系5",E511,0)+IF(AND(C511="魅力",E511&lt;0),E511,0))))</x:f>
        <x:v>0</x:v>
      </x:c>
      <x:c r="BV511">
        <x:f>MAX(0,MIN(BK511,IF(AND(H511=1,C511="重要关系6",LEFT('幕间与结算'!H418,8)="建立新的重要关系"),'幕间与结算'!E418+E511,BV510+IF(C511="重要关系6",E511,0)+IF(AND(C511="魅力",E511&lt;0),E511,0))))</x:f>
        <x:v>0</x:v>
      </x:c>
      <x:c r="BW511">
        <x:f>MAX(0,MIN(BK511,IF(AND(H511=1,C511="重要关系7",LEFT('幕间与结算'!H418,8)="建立新的重要关系"),'幕间与结算'!E418+E511,BW510+IF(C511="重要关系7",E511,0)+IF(AND(C511="魅力",E511&lt;0),E511,0))))</x:f>
        <x:v>0</x:v>
      </x:c>
    </x:row>
    <x:row r="512">
      <x:c r="A512" t="str">
        <x:f>IFERROR(TEXT(VALUE('幕间与结算'!A419),"00"),"")</x:f>
        <x:v>00</x:v>
      </x:c>
      <x:c r="B512">
        <x:f>'幕间与结算'!B419</x:f>
        <x:v>0</x:v>
      </x:c>
      <x:c r="C512">
        <x:f>'幕间与结算'!D419</x:f>
        <x:v>0</x:v>
      </x:c>
      <x:c r="D512">
        <x:f>'幕间与结算'!F419</x:f>
        <x:v>0</x:v>
      </x:c>
      <x:c r="E512">
        <x:f>IF(H512=1,MAX(-'幕间与结算'!E419,MIN(D512,IF(LEFT(C512,3)="技能：",99,IF(COUNTIF($L$2:$L$7,C512)&gt;0,18,999))-'幕间与结算'!E419)),0)</x:f>
        <x:v>0</x:v>
      </x:c>
      <x:c r="F512" t="str">
        <x:f>IF(C512=0,"",IF(G512=0,"记录不完整",IF(H512=0,"重复未计","已计入")))</x:f>
        <x:v/>
      </x:c>
      <x:c r="G512">
        <x:f>IF(AND(AND('幕间与结算'!A419&lt;&gt;"",'幕间与结算'!B419&lt;&gt;"",'幕间与结算'!I419&lt;&gt;"",OR(LEFT(C512,3)="技能：",COUNTIF($L$2:$L$19,C512)&gt;0),ISNUMBER('幕间与结算'!E419),ISNUMBER('幕间与结算'!F419),ISNUMBER('幕间与结算'!G419),'幕间与结算'!E419&gt;=0,'幕间与结算'!G419='幕间与结算'!E419+'幕间与结算'!F419),OR(B512&lt;&gt;"成长",AND(LEFT(C512,3)="技能：",C512&lt;&gt;"技能：非自然知识",'幕间与结算'!E419&gt;=1,'幕间与结算'!E419&lt;=99,'幕间与结算'!F419&gt;=0,'幕间与结算'!F419&lt;=4,'幕间与结算'!G419&lt;=99))),1,0)</x:f>
        <x:v>0</x:v>
      </x:c>
      <x:c r="H512">
        <x:f>IF(AND(G512=1,COUNTIFS($I$200:I512,I512,$G$200:G512,1)=1),1,0)</x:f>
        <x:v>0</x:v>
      </x:c>
      <x:c r="I512" t="str">
        <x:f>IF(G512=1,IF(B512="成长",A512&amp;"-成长-"&amp;C512,'幕间与结算'!I419),"")</x:f>
        <x:v/>
      </x:c>
      <x:c r="BF512">
        <x:f>MAX(0,MIN(18,BF511+IF(C512="力量",E512,0)))</x:f>
        <x:v>0</x:v>
      </x:c>
      <x:c r="BG512">
        <x:f>MAX(0,MIN(18,BG511+IF(C512="体质",E512,0)))</x:f>
        <x:v>0</x:v>
      </x:c>
      <x:c r="BH512">
        <x:f>MAX(0,MIN(18,BH511+IF(C512="敏捷",E512,0)))</x:f>
        <x:v>0</x:v>
      </x:c>
      <x:c r="BI512">
        <x:f>MAX(0,MIN(18,BI511+IF(C512="智力",E512,0)))</x:f>
        <x:v>0</x:v>
      </x:c>
      <x:c r="BJ512">
        <x:f>MAX(0,MIN(18,BJ511+IF(C512="意志",E512,0)))</x:f>
        <x:v>0</x:v>
      </x:c>
      <x:c r="BK512">
        <x:f>MAX(0,MIN(18,BK511+IF(C512="魅力",E512,0)))</x:f>
        <x:v>0</x:v>
      </x:c>
      <x:c r="BL512">
        <x:f>MAX(0,MIN(99,BL511+IF(C512="技能：非自然知识",E512,0)))</x:f>
        <x:v>0</x:v>
      </x:c>
      <x:c r="BM512">
        <x:f>MAX(0,MIN(CEILING((BF512+BG512)/2,1),BM511+IF(C512="体力",E512,0)))</x:f>
        <x:v>0</x:v>
      </x:c>
      <x:c r="BN512">
        <x:f>MAX(0,MIN(BJ512,BN511+IF(C512="毅力",E512,0)))</x:f>
        <x:v>0</x:v>
      </x:c>
      <x:c r="BO512">
        <x:f>MAX(0,MIN(99-BL512,BO511+IF(C512="理智",E512,0)))</x:f>
        <x:v>0</x:v>
      </x:c>
      <x:c r="BP512">
        <x:f>MAX(0,MIN(99,BP511+IF(C512="崩溃点",E512,0)))</x:f>
        <x:v>0</x:v>
      </x:c>
      <x:c r="BQ512">
        <x:f>MAX(0,MIN(BK512,IF(AND(H512=1,C512="重要关系1",LEFT('幕间与结算'!H419,8)="建立新的重要关系"),'幕间与结算'!E419+E512,BQ511+IF(C512="重要关系1",E512,0)+IF(AND(C512="魅力",E512&lt;0),E512,0))))</x:f>
        <x:v>0</x:v>
      </x:c>
      <x:c r="BR512">
        <x:f>MAX(0,MIN(BK512,IF(AND(H512=1,C512="重要关系2",LEFT('幕间与结算'!H419,8)="建立新的重要关系"),'幕间与结算'!E419+E512,BR511+IF(C512="重要关系2",E512,0)+IF(AND(C512="魅力",E512&lt;0),E512,0))))</x:f>
        <x:v>0</x:v>
      </x:c>
      <x:c r="BS512">
        <x:f>MAX(0,MIN(BK512,IF(AND(H512=1,C512="重要关系3",LEFT('幕间与结算'!H419,8)="建立新的重要关系"),'幕间与结算'!E419+E512,BS511+IF(C512="重要关系3",E512,0)+IF(AND(C512="魅力",E512&lt;0),E512,0))))</x:f>
        <x:v>0</x:v>
      </x:c>
      <x:c r="BT512">
        <x:f>MAX(0,MIN(BK512,IF(AND(H512=1,C512="重要关系4",LEFT('幕间与结算'!H419,8)="建立新的重要关系"),'幕间与结算'!E419+E512,BT511+IF(C512="重要关系4",E512,0)+IF(AND(C512="魅力",E512&lt;0),E512,0))))</x:f>
        <x:v>0</x:v>
      </x:c>
      <x:c r="BU512">
        <x:f>MAX(0,MIN(BK512,IF(AND(H512=1,C512="重要关系5",LEFT('幕间与结算'!H419,8)="建立新的重要关系"),'幕间与结算'!E419+E512,BU511+IF(C512="重要关系5",E512,0)+IF(AND(C512="魅力",E512&lt;0),E512,0))))</x:f>
        <x:v>0</x:v>
      </x:c>
      <x:c r="BV512">
        <x:f>MAX(0,MIN(BK512,IF(AND(H512=1,C512="重要关系6",LEFT('幕间与结算'!H419,8)="建立新的重要关系"),'幕间与结算'!E419+E512,BV511+IF(C512="重要关系6",E512,0)+IF(AND(C512="魅力",E512&lt;0),E512,0))))</x:f>
        <x:v>0</x:v>
      </x:c>
      <x:c r="BW512">
        <x:f>MAX(0,MIN(BK512,IF(AND(H512=1,C512="重要关系7",LEFT('幕间与结算'!H419,8)="建立新的重要关系"),'幕间与结算'!E419+E512,BW511+IF(C512="重要关系7",E512,0)+IF(AND(C512="魅力",E512&lt;0),E512,0))))</x:f>
        <x:v>0</x:v>
      </x:c>
    </x:row>
    <x:row r="513">
      <x:c r="A513" t="str">
        <x:f>IFERROR(TEXT(VALUE('幕间与结算'!A420),"00"),"")</x:f>
        <x:v>00</x:v>
      </x:c>
      <x:c r="B513">
        <x:f>'幕间与结算'!B420</x:f>
        <x:v>0</x:v>
      </x:c>
      <x:c r="C513">
        <x:f>'幕间与结算'!D420</x:f>
        <x:v>0</x:v>
      </x:c>
      <x:c r="D513">
        <x:f>'幕间与结算'!F420</x:f>
        <x:v>0</x:v>
      </x:c>
      <x:c r="E513">
        <x:f>IF(H513=1,MAX(-'幕间与结算'!E420,MIN(D513,IF(LEFT(C513,3)="技能：",99,IF(COUNTIF($L$2:$L$7,C513)&gt;0,18,999))-'幕间与结算'!E420)),0)</x:f>
        <x:v>0</x:v>
      </x:c>
      <x:c r="F513" t="str">
        <x:f>IF(C513=0,"",IF(G513=0,"记录不完整",IF(H513=0,"重复未计","已计入")))</x:f>
        <x:v/>
      </x:c>
      <x:c r="G513">
        <x:f>IF(AND(AND('幕间与结算'!A420&lt;&gt;"",'幕间与结算'!B420&lt;&gt;"",'幕间与结算'!I420&lt;&gt;"",OR(LEFT(C513,3)="技能：",COUNTIF($L$2:$L$19,C513)&gt;0),ISNUMBER('幕间与结算'!E420),ISNUMBER('幕间与结算'!F420),ISNUMBER('幕间与结算'!G420),'幕间与结算'!E420&gt;=0,'幕间与结算'!G420='幕间与结算'!E420+'幕间与结算'!F420),OR(B513&lt;&gt;"成长",AND(LEFT(C513,3)="技能：",C513&lt;&gt;"技能：非自然知识",'幕间与结算'!E420&gt;=1,'幕间与结算'!E420&lt;=99,'幕间与结算'!F420&gt;=0,'幕间与结算'!F420&lt;=4,'幕间与结算'!G420&lt;=99))),1,0)</x:f>
        <x:v>0</x:v>
      </x:c>
      <x:c r="H513">
        <x:f>IF(AND(G513=1,COUNTIFS($I$200:I513,I513,$G$200:G513,1)=1),1,0)</x:f>
        <x:v>0</x:v>
      </x:c>
      <x:c r="I513" t="str">
        <x:f>IF(G513=1,IF(B513="成长",A513&amp;"-成长-"&amp;C513,'幕间与结算'!I420),"")</x:f>
        <x:v/>
      </x:c>
      <x:c r="BF513">
        <x:f>MAX(0,MIN(18,BF512+IF(C513="力量",E513,0)))</x:f>
        <x:v>0</x:v>
      </x:c>
      <x:c r="BG513">
        <x:f>MAX(0,MIN(18,BG512+IF(C513="体质",E513,0)))</x:f>
        <x:v>0</x:v>
      </x:c>
      <x:c r="BH513">
        <x:f>MAX(0,MIN(18,BH512+IF(C513="敏捷",E513,0)))</x:f>
        <x:v>0</x:v>
      </x:c>
      <x:c r="BI513">
        <x:f>MAX(0,MIN(18,BI512+IF(C513="智力",E513,0)))</x:f>
        <x:v>0</x:v>
      </x:c>
      <x:c r="BJ513">
        <x:f>MAX(0,MIN(18,BJ512+IF(C513="意志",E513,0)))</x:f>
        <x:v>0</x:v>
      </x:c>
      <x:c r="BK513">
        <x:f>MAX(0,MIN(18,BK512+IF(C513="魅力",E513,0)))</x:f>
        <x:v>0</x:v>
      </x:c>
      <x:c r="BL513">
        <x:f>MAX(0,MIN(99,BL512+IF(C513="技能：非自然知识",E513,0)))</x:f>
        <x:v>0</x:v>
      </x:c>
      <x:c r="BM513">
        <x:f>MAX(0,MIN(CEILING((BF513+BG513)/2,1),BM512+IF(C513="体力",E513,0)))</x:f>
        <x:v>0</x:v>
      </x:c>
      <x:c r="BN513">
        <x:f>MAX(0,MIN(BJ513,BN512+IF(C513="毅力",E513,0)))</x:f>
        <x:v>0</x:v>
      </x:c>
      <x:c r="BO513">
        <x:f>MAX(0,MIN(99-BL513,BO512+IF(C513="理智",E513,0)))</x:f>
        <x:v>0</x:v>
      </x:c>
      <x:c r="BP513">
        <x:f>MAX(0,MIN(99,BP512+IF(C513="崩溃点",E513,0)))</x:f>
        <x:v>0</x:v>
      </x:c>
      <x:c r="BQ513">
        <x:f>MAX(0,MIN(BK513,IF(AND(H513=1,C513="重要关系1",LEFT('幕间与结算'!H420,8)="建立新的重要关系"),'幕间与结算'!E420+E513,BQ512+IF(C513="重要关系1",E513,0)+IF(AND(C513="魅力",E513&lt;0),E513,0))))</x:f>
        <x:v>0</x:v>
      </x:c>
      <x:c r="BR513">
        <x:f>MAX(0,MIN(BK513,IF(AND(H513=1,C513="重要关系2",LEFT('幕间与结算'!H420,8)="建立新的重要关系"),'幕间与结算'!E420+E513,BR512+IF(C513="重要关系2",E513,0)+IF(AND(C513="魅力",E513&lt;0),E513,0))))</x:f>
        <x:v>0</x:v>
      </x:c>
      <x:c r="BS513">
        <x:f>MAX(0,MIN(BK513,IF(AND(H513=1,C513="重要关系3",LEFT('幕间与结算'!H420,8)="建立新的重要关系"),'幕间与结算'!E420+E513,BS512+IF(C513="重要关系3",E513,0)+IF(AND(C513="魅力",E513&lt;0),E513,0))))</x:f>
        <x:v>0</x:v>
      </x:c>
      <x:c r="BT513">
        <x:f>MAX(0,MIN(BK513,IF(AND(H513=1,C513="重要关系4",LEFT('幕间与结算'!H420,8)="建立新的重要关系"),'幕间与结算'!E420+E513,BT512+IF(C513="重要关系4",E513,0)+IF(AND(C513="魅力",E513&lt;0),E513,0))))</x:f>
        <x:v>0</x:v>
      </x:c>
      <x:c r="BU513">
        <x:f>MAX(0,MIN(BK513,IF(AND(H513=1,C513="重要关系5",LEFT('幕间与结算'!H420,8)="建立新的重要关系"),'幕间与结算'!E420+E513,BU512+IF(C513="重要关系5",E513,0)+IF(AND(C513="魅力",E513&lt;0),E513,0))))</x:f>
        <x:v>0</x:v>
      </x:c>
      <x:c r="BV513">
        <x:f>MAX(0,MIN(BK513,IF(AND(H513=1,C513="重要关系6",LEFT('幕间与结算'!H420,8)="建立新的重要关系"),'幕间与结算'!E420+E513,BV512+IF(C513="重要关系6",E513,0)+IF(AND(C513="魅力",E513&lt;0),E513,0))))</x:f>
        <x:v>0</x:v>
      </x:c>
      <x:c r="BW513">
        <x:f>MAX(0,MIN(BK513,IF(AND(H513=1,C513="重要关系7",LEFT('幕间与结算'!H420,8)="建立新的重要关系"),'幕间与结算'!E420+E513,BW512+IF(C513="重要关系7",E513,0)+IF(AND(C513="魅力",E513&lt;0),E513,0))))</x:f>
        <x:v>0</x:v>
      </x:c>
    </x:row>
    <x:row r="514">
      <x:c r="A514" t="str">
        <x:f>IFERROR(TEXT(VALUE('幕间与结算'!A421),"00"),"")</x:f>
        <x:v>00</x:v>
      </x:c>
      <x:c r="B514">
        <x:f>'幕间与结算'!B421</x:f>
        <x:v>0</x:v>
      </x:c>
      <x:c r="C514">
        <x:f>'幕间与结算'!D421</x:f>
        <x:v>0</x:v>
      </x:c>
      <x:c r="D514">
        <x:f>'幕间与结算'!F421</x:f>
        <x:v>0</x:v>
      </x:c>
      <x:c r="E514">
        <x:f>IF(H514=1,MAX(-'幕间与结算'!E421,MIN(D514,IF(LEFT(C514,3)="技能：",99,IF(COUNTIF($L$2:$L$7,C514)&gt;0,18,999))-'幕间与结算'!E421)),0)</x:f>
        <x:v>0</x:v>
      </x:c>
      <x:c r="F514" t="str">
        <x:f>IF(C514=0,"",IF(G514=0,"记录不完整",IF(H514=0,"重复未计","已计入")))</x:f>
        <x:v/>
      </x:c>
      <x:c r="G514">
        <x:f>IF(AND(AND('幕间与结算'!A421&lt;&gt;"",'幕间与结算'!B421&lt;&gt;"",'幕间与结算'!I421&lt;&gt;"",OR(LEFT(C514,3)="技能：",COUNTIF($L$2:$L$19,C514)&gt;0),ISNUMBER('幕间与结算'!E421),ISNUMBER('幕间与结算'!F421),ISNUMBER('幕间与结算'!G421),'幕间与结算'!E421&gt;=0,'幕间与结算'!G421='幕间与结算'!E421+'幕间与结算'!F421),OR(B514&lt;&gt;"成长",AND(LEFT(C514,3)="技能：",C514&lt;&gt;"技能：非自然知识",'幕间与结算'!E421&gt;=1,'幕间与结算'!E421&lt;=99,'幕间与结算'!F421&gt;=0,'幕间与结算'!F421&lt;=4,'幕间与结算'!G421&lt;=99))),1,0)</x:f>
        <x:v>0</x:v>
      </x:c>
      <x:c r="H514">
        <x:f>IF(AND(G514=1,COUNTIFS($I$200:I514,I514,$G$200:G514,1)=1),1,0)</x:f>
        <x:v>0</x:v>
      </x:c>
      <x:c r="I514" t="str">
        <x:f>IF(G514=1,IF(B514="成长",A514&amp;"-成长-"&amp;C514,'幕间与结算'!I421),"")</x:f>
        <x:v/>
      </x:c>
      <x:c r="BF514">
        <x:f>MAX(0,MIN(18,BF513+IF(C514="力量",E514,0)))</x:f>
        <x:v>0</x:v>
      </x:c>
      <x:c r="BG514">
        <x:f>MAX(0,MIN(18,BG513+IF(C514="体质",E514,0)))</x:f>
        <x:v>0</x:v>
      </x:c>
      <x:c r="BH514">
        <x:f>MAX(0,MIN(18,BH513+IF(C514="敏捷",E514,0)))</x:f>
        <x:v>0</x:v>
      </x:c>
      <x:c r="BI514">
        <x:f>MAX(0,MIN(18,BI513+IF(C514="智力",E514,0)))</x:f>
        <x:v>0</x:v>
      </x:c>
      <x:c r="BJ514">
        <x:f>MAX(0,MIN(18,BJ513+IF(C514="意志",E514,0)))</x:f>
        <x:v>0</x:v>
      </x:c>
      <x:c r="BK514">
        <x:f>MAX(0,MIN(18,BK513+IF(C514="魅力",E514,0)))</x:f>
        <x:v>0</x:v>
      </x:c>
      <x:c r="BL514">
        <x:f>MAX(0,MIN(99,BL513+IF(C514="技能：非自然知识",E514,0)))</x:f>
        <x:v>0</x:v>
      </x:c>
      <x:c r="BM514">
        <x:f>MAX(0,MIN(CEILING((BF514+BG514)/2,1),BM513+IF(C514="体力",E514,0)))</x:f>
        <x:v>0</x:v>
      </x:c>
      <x:c r="BN514">
        <x:f>MAX(0,MIN(BJ514,BN513+IF(C514="毅力",E514,0)))</x:f>
        <x:v>0</x:v>
      </x:c>
      <x:c r="BO514">
        <x:f>MAX(0,MIN(99-BL514,BO513+IF(C514="理智",E514,0)))</x:f>
        <x:v>0</x:v>
      </x:c>
      <x:c r="BP514">
        <x:f>MAX(0,MIN(99,BP513+IF(C514="崩溃点",E514,0)))</x:f>
        <x:v>0</x:v>
      </x:c>
      <x:c r="BQ514">
        <x:f>MAX(0,MIN(BK514,IF(AND(H514=1,C514="重要关系1",LEFT('幕间与结算'!H421,8)="建立新的重要关系"),'幕间与结算'!E421+E514,BQ513+IF(C514="重要关系1",E514,0)+IF(AND(C514="魅力",E514&lt;0),E514,0))))</x:f>
        <x:v>0</x:v>
      </x:c>
      <x:c r="BR514">
        <x:f>MAX(0,MIN(BK514,IF(AND(H514=1,C514="重要关系2",LEFT('幕间与结算'!H421,8)="建立新的重要关系"),'幕间与结算'!E421+E514,BR513+IF(C514="重要关系2",E514,0)+IF(AND(C514="魅力",E514&lt;0),E514,0))))</x:f>
        <x:v>0</x:v>
      </x:c>
      <x:c r="BS514">
        <x:f>MAX(0,MIN(BK514,IF(AND(H514=1,C514="重要关系3",LEFT('幕间与结算'!H421,8)="建立新的重要关系"),'幕间与结算'!E421+E514,BS513+IF(C514="重要关系3",E514,0)+IF(AND(C514="魅力",E514&lt;0),E514,0))))</x:f>
        <x:v>0</x:v>
      </x:c>
      <x:c r="BT514">
        <x:f>MAX(0,MIN(BK514,IF(AND(H514=1,C514="重要关系4",LEFT('幕间与结算'!H421,8)="建立新的重要关系"),'幕间与结算'!E421+E514,BT513+IF(C514="重要关系4",E514,0)+IF(AND(C514="魅力",E514&lt;0),E514,0))))</x:f>
        <x:v>0</x:v>
      </x:c>
      <x:c r="BU514">
        <x:f>MAX(0,MIN(BK514,IF(AND(H514=1,C514="重要关系5",LEFT('幕间与结算'!H421,8)="建立新的重要关系"),'幕间与结算'!E421+E514,BU513+IF(C514="重要关系5",E514,0)+IF(AND(C514="魅力",E514&lt;0),E514,0))))</x:f>
        <x:v>0</x:v>
      </x:c>
      <x:c r="BV514">
        <x:f>MAX(0,MIN(BK514,IF(AND(H514=1,C514="重要关系6",LEFT('幕间与结算'!H421,8)="建立新的重要关系"),'幕间与结算'!E421+E514,BV513+IF(C514="重要关系6",E514,0)+IF(AND(C514="魅力",E514&lt;0),E514,0))))</x:f>
        <x:v>0</x:v>
      </x:c>
      <x:c r="BW514">
        <x:f>MAX(0,MIN(BK514,IF(AND(H514=1,C514="重要关系7",LEFT('幕间与结算'!H421,8)="建立新的重要关系"),'幕间与结算'!E421+E514,BW513+IF(C514="重要关系7",E514,0)+IF(AND(C514="魅力",E514&lt;0),E514,0))))</x:f>
        <x:v>0</x:v>
      </x:c>
    </x:row>
    <x:row r="515">
      <x:c r="A515" t="str">
        <x:f>IFERROR(TEXT(VALUE('幕间与结算'!A422),"00"),"")</x:f>
        <x:v>00</x:v>
      </x:c>
      <x:c r="B515">
        <x:f>'幕间与结算'!B422</x:f>
        <x:v>0</x:v>
      </x:c>
      <x:c r="C515">
        <x:f>'幕间与结算'!D422</x:f>
        <x:v>0</x:v>
      </x:c>
      <x:c r="D515">
        <x:f>'幕间与结算'!F422</x:f>
        <x:v>0</x:v>
      </x:c>
      <x:c r="E515">
        <x:f>IF(H515=1,MAX(-'幕间与结算'!E422,MIN(D515,IF(LEFT(C515,3)="技能：",99,IF(COUNTIF($L$2:$L$7,C515)&gt;0,18,999))-'幕间与结算'!E422)),0)</x:f>
        <x:v>0</x:v>
      </x:c>
      <x:c r="F515" t="str">
        <x:f>IF(C515=0,"",IF(G515=0,"记录不完整",IF(H515=0,"重复未计","已计入")))</x:f>
        <x:v/>
      </x:c>
      <x:c r="G515">
        <x:f>IF(AND(AND('幕间与结算'!A422&lt;&gt;"",'幕间与结算'!B422&lt;&gt;"",'幕间与结算'!I422&lt;&gt;"",OR(LEFT(C515,3)="技能：",COUNTIF($L$2:$L$19,C515)&gt;0),ISNUMBER('幕间与结算'!E422),ISNUMBER('幕间与结算'!F422),ISNUMBER('幕间与结算'!G422),'幕间与结算'!E422&gt;=0,'幕间与结算'!G422='幕间与结算'!E422+'幕间与结算'!F422),OR(B515&lt;&gt;"成长",AND(LEFT(C515,3)="技能：",C515&lt;&gt;"技能：非自然知识",'幕间与结算'!E422&gt;=1,'幕间与结算'!E422&lt;=99,'幕间与结算'!F422&gt;=0,'幕间与结算'!F422&lt;=4,'幕间与结算'!G422&lt;=99))),1,0)</x:f>
        <x:v>0</x:v>
      </x:c>
      <x:c r="H515">
        <x:f>IF(AND(G515=1,COUNTIFS($I$200:I515,I515,$G$200:G515,1)=1),1,0)</x:f>
        <x:v>0</x:v>
      </x:c>
      <x:c r="I515" t="str">
        <x:f>IF(G515=1,IF(B515="成长",A515&amp;"-成长-"&amp;C515,'幕间与结算'!I422),"")</x:f>
        <x:v/>
      </x:c>
      <x:c r="BF515">
        <x:f>MAX(0,MIN(18,BF514+IF(C515="力量",E515,0)))</x:f>
        <x:v>0</x:v>
      </x:c>
      <x:c r="BG515">
        <x:f>MAX(0,MIN(18,BG514+IF(C515="体质",E515,0)))</x:f>
        <x:v>0</x:v>
      </x:c>
      <x:c r="BH515">
        <x:f>MAX(0,MIN(18,BH514+IF(C515="敏捷",E515,0)))</x:f>
        <x:v>0</x:v>
      </x:c>
      <x:c r="BI515">
        <x:f>MAX(0,MIN(18,BI514+IF(C515="智力",E515,0)))</x:f>
        <x:v>0</x:v>
      </x:c>
      <x:c r="BJ515">
        <x:f>MAX(0,MIN(18,BJ514+IF(C515="意志",E515,0)))</x:f>
        <x:v>0</x:v>
      </x:c>
      <x:c r="BK515">
        <x:f>MAX(0,MIN(18,BK514+IF(C515="魅力",E515,0)))</x:f>
        <x:v>0</x:v>
      </x:c>
      <x:c r="BL515">
        <x:f>MAX(0,MIN(99,BL514+IF(C515="技能：非自然知识",E515,0)))</x:f>
        <x:v>0</x:v>
      </x:c>
      <x:c r="BM515">
        <x:f>MAX(0,MIN(CEILING((BF515+BG515)/2,1),BM514+IF(C515="体力",E515,0)))</x:f>
        <x:v>0</x:v>
      </x:c>
      <x:c r="BN515">
        <x:f>MAX(0,MIN(BJ515,BN514+IF(C515="毅力",E515,0)))</x:f>
        <x:v>0</x:v>
      </x:c>
      <x:c r="BO515">
        <x:f>MAX(0,MIN(99-BL515,BO514+IF(C515="理智",E515,0)))</x:f>
        <x:v>0</x:v>
      </x:c>
      <x:c r="BP515">
        <x:f>MAX(0,MIN(99,BP514+IF(C515="崩溃点",E515,0)))</x:f>
        <x:v>0</x:v>
      </x:c>
      <x:c r="BQ515">
        <x:f>MAX(0,MIN(BK515,IF(AND(H515=1,C515="重要关系1",LEFT('幕间与结算'!H422,8)="建立新的重要关系"),'幕间与结算'!E422+E515,BQ514+IF(C515="重要关系1",E515,0)+IF(AND(C515="魅力",E515&lt;0),E515,0))))</x:f>
        <x:v>0</x:v>
      </x:c>
      <x:c r="BR515">
        <x:f>MAX(0,MIN(BK515,IF(AND(H515=1,C515="重要关系2",LEFT('幕间与结算'!H422,8)="建立新的重要关系"),'幕间与结算'!E422+E515,BR514+IF(C515="重要关系2",E515,0)+IF(AND(C515="魅力",E515&lt;0),E515,0))))</x:f>
        <x:v>0</x:v>
      </x:c>
      <x:c r="BS515">
        <x:f>MAX(0,MIN(BK515,IF(AND(H515=1,C515="重要关系3",LEFT('幕间与结算'!H422,8)="建立新的重要关系"),'幕间与结算'!E422+E515,BS514+IF(C515="重要关系3",E515,0)+IF(AND(C515="魅力",E515&lt;0),E515,0))))</x:f>
        <x:v>0</x:v>
      </x:c>
      <x:c r="BT515">
        <x:f>MAX(0,MIN(BK515,IF(AND(H515=1,C515="重要关系4",LEFT('幕间与结算'!H422,8)="建立新的重要关系"),'幕间与结算'!E422+E515,BT514+IF(C515="重要关系4",E515,0)+IF(AND(C515="魅力",E515&lt;0),E515,0))))</x:f>
        <x:v>0</x:v>
      </x:c>
      <x:c r="BU515">
        <x:f>MAX(0,MIN(BK515,IF(AND(H515=1,C515="重要关系5",LEFT('幕间与结算'!H422,8)="建立新的重要关系"),'幕间与结算'!E422+E515,BU514+IF(C515="重要关系5",E515,0)+IF(AND(C515="魅力",E515&lt;0),E515,0))))</x:f>
        <x:v>0</x:v>
      </x:c>
      <x:c r="BV515">
        <x:f>MAX(0,MIN(BK515,IF(AND(H515=1,C515="重要关系6",LEFT('幕间与结算'!H422,8)="建立新的重要关系"),'幕间与结算'!E422+E515,BV514+IF(C515="重要关系6",E515,0)+IF(AND(C515="魅力",E515&lt;0),E515,0))))</x:f>
        <x:v>0</x:v>
      </x:c>
      <x:c r="BW515">
        <x:f>MAX(0,MIN(BK515,IF(AND(H515=1,C515="重要关系7",LEFT('幕间与结算'!H422,8)="建立新的重要关系"),'幕间与结算'!E422+E515,BW514+IF(C515="重要关系7",E515,0)+IF(AND(C515="魅力",E515&lt;0),E515,0))))</x:f>
        <x:v>0</x:v>
      </x:c>
    </x:row>
    <x:row r="516">
      <x:c r="A516" t="str">
        <x:f>IFERROR(TEXT(VALUE('幕间与结算'!A423),"00"),"")</x:f>
        <x:v>00</x:v>
      </x:c>
      <x:c r="B516">
        <x:f>'幕间与结算'!B423</x:f>
        <x:v>0</x:v>
      </x:c>
      <x:c r="C516">
        <x:f>'幕间与结算'!D423</x:f>
        <x:v>0</x:v>
      </x:c>
      <x:c r="D516">
        <x:f>'幕间与结算'!F423</x:f>
        <x:v>0</x:v>
      </x:c>
      <x:c r="E516">
        <x:f>IF(H516=1,MAX(-'幕间与结算'!E423,MIN(D516,IF(LEFT(C516,3)="技能：",99,IF(COUNTIF($L$2:$L$7,C516)&gt;0,18,999))-'幕间与结算'!E423)),0)</x:f>
        <x:v>0</x:v>
      </x:c>
      <x:c r="F516" t="str">
        <x:f>IF(C516=0,"",IF(G516=0,"记录不完整",IF(H516=0,"重复未计","已计入")))</x:f>
        <x:v/>
      </x:c>
      <x:c r="G516">
        <x:f>IF(AND(AND('幕间与结算'!A423&lt;&gt;"",'幕间与结算'!B423&lt;&gt;"",'幕间与结算'!I423&lt;&gt;"",OR(LEFT(C516,3)="技能：",COUNTIF($L$2:$L$19,C516)&gt;0),ISNUMBER('幕间与结算'!E423),ISNUMBER('幕间与结算'!F423),ISNUMBER('幕间与结算'!G423),'幕间与结算'!E423&gt;=0,'幕间与结算'!G423='幕间与结算'!E423+'幕间与结算'!F423),OR(B516&lt;&gt;"成长",AND(LEFT(C516,3)="技能：",C516&lt;&gt;"技能：非自然知识",'幕间与结算'!E423&gt;=1,'幕间与结算'!E423&lt;=99,'幕间与结算'!F423&gt;=0,'幕间与结算'!F423&lt;=4,'幕间与结算'!G423&lt;=99))),1,0)</x:f>
        <x:v>0</x:v>
      </x:c>
      <x:c r="H516">
        <x:f>IF(AND(G516=1,COUNTIFS($I$200:I516,I516,$G$200:G516,1)=1),1,0)</x:f>
        <x:v>0</x:v>
      </x:c>
      <x:c r="I516" t="str">
        <x:f>IF(G516=1,IF(B516="成长",A516&amp;"-成长-"&amp;C516,'幕间与结算'!I423),"")</x:f>
        <x:v/>
      </x:c>
      <x:c r="BF516">
        <x:f>MAX(0,MIN(18,BF515+IF(C516="力量",E516,0)))</x:f>
        <x:v>0</x:v>
      </x:c>
      <x:c r="BG516">
        <x:f>MAX(0,MIN(18,BG515+IF(C516="体质",E516,0)))</x:f>
        <x:v>0</x:v>
      </x:c>
      <x:c r="BH516">
        <x:f>MAX(0,MIN(18,BH515+IF(C516="敏捷",E516,0)))</x:f>
        <x:v>0</x:v>
      </x:c>
      <x:c r="BI516">
        <x:f>MAX(0,MIN(18,BI515+IF(C516="智力",E516,0)))</x:f>
        <x:v>0</x:v>
      </x:c>
      <x:c r="BJ516">
        <x:f>MAX(0,MIN(18,BJ515+IF(C516="意志",E516,0)))</x:f>
        <x:v>0</x:v>
      </x:c>
      <x:c r="BK516">
        <x:f>MAX(0,MIN(18,BK515+IF(C516="魅力",E516,0)))</x:f>
        <x:v>0</x:v>
      </x:c>
      <x:c r="BL516">
        <x:f>MAX(0,MIN(99,BL515+IF(C516="技能：非自然知识",E516,0)))</x:f>
        <x:v>0</x:v>
      </x:c>
      <x:c r="BM516">
        <x:f>MAX(0,MIN(CEILING((BF516+BG516)/2,1),BM515+IF(C516="体力",E516,0)))</x:f>
        <x:v>0</x:v>
      </x:c>
      <x:c r="BN516">
        <x:f>MAX(0,MIN(BJ516,BN515+IF(C516="毅力",E516,0)))</x:f>
        <x:v>0</x:v>
      </x:c>
      <x:c r="BO516">
        <x:f>MAX(0,MIN(99-BL516,BO515+IF(C516="理智",E516,0)))</x:f>
        <x:v>0</x:v>
      </x:c>
      <x:c r="BP516">
        <x:f>MAX(0,MIN(99,BP515+IF(C516="崩溃点",E516,0)))</x:f>
        <x:v>0</x:v>
      </x:c>
      <x:c r="BQ516">
        <x:f>MAX(0,MIN(BK516,IF(AND(H516=1,C516="重要关系1",LEFT('幕间与结算'!H423,8)="建立新的重要关系"),'幕间与结算'!E423+E516,BQ515+IF(C516="重要关系1",E516,0)+IF(AND(C516="魅力",E516&lt;0),E516,0))))</x:f>
        <x:v>0</x:v>
      </x:c>
      <x:c r="BR516">
        <x:f>MAX(0,MIN(BK516,IF(AND(H516=1,C516="重要关系2",LEFT('幕间与结算'!H423,8)="建立新的重要关系"),'幕间与结算'!E423+E516,BR515+IF(C516="重要关系2",E516,0)+IF(AND(C516="魅力",E516&lt;0),E516,0))))</x:f>
        <x:v>0</x:v>
      </x:c>
      <x:c r="BS516">
        <x:f>MAX(0,MIN(BK516,IF(AND(H516=1,C516="重要关系3",LEFT('幕间与结算'!H423,8)="建立新的重要关系"),'幕间与结算'!E423+E516,BS515+IF(C516="重要关系3",E516,0)+IF(AND(C516="魅力",E516&lt;0),E516,0))))</x:f>
        <x:v>0</x:v>
      </x:c>
      <x:c r="BT516">
        <x:f>MAX(0,MIN(BK516,IF(AND(H516=1,C516="重要关系4",LEFT('幕间与结算'!H423,8)="建立新的重要关系"),'幕间与结算'!E423+E516,BT515+IF(C516="重要关系4",E516,0)+IF(AND(C516="魅力",E516&lt;0),E516,0))))</x:f>
        <x:v>0</x:v>
      </x:c>
      <x:c r="BU516">
        <x:f>MAX(0,MIN(BK516,IF(AND(H516=1,C516="重要关系5",LEFT('幕间与结算'!H423,8)="建立新的重要关系"),'幕间与结算'!E423+E516,BU515+IF(C516="重要关系5",E516,0)+IF(AND(C516="魅力",E516&lt;0),E516,0))))</x:f>
        <x:v>0</x:v>
      </x:c>
      <x:c r="BV516">
        <x:f>MAX(0,MIN(BK516,IF(AND(H516=1,C516="重要关系6",LEFT('幕间与结算'!H423,8)="建立新的重要关系"),'幕间与结算'!E423+E516,BV515+IF(C516="重要关系6",E516,0)+IF(AND(C516="魅力",E516&lt;0),E516,0))))</x:f>
        <x:v>0</x:v>
      </x:c>
      <x:c r="BW516">
        <x:f>MAX(0,MIN(BK516,IF(AND(H516=1,C516="重要关系7",LEFT('幕间与结算'!H423,8)="建立新的重要关系"),'幕间与结算'!E423+E516,BW515+IF(C516="重要关系7",E516,0)+IF(AND(C516="魅力",E516&lt;0),E516,0))))</x:f>
        <x:v>0</x:v>
      </x:c>
    </x:row>
    <x:row r="517">
      <x:c r="A517" t="str">
        <x:f>IFERROR(TEXT(VALUE('幕间与结算'!A424),"00"),"")</x:f>
        <x:v>00</x:v>
      </x:c>
      <x:c r="B517">
        <x:f>'幕间与结算'!B424</x:f>
        <x:v>0</x:v>
      </x:c>
      <x:c r="C517">
        <x:f>'幕间与结算'!D424</x:f>
        <x:v>0</x:v>
      </x:c>
      <x:c r="D517">
        <x:f>'幕间与结算'!F424</x:f>
        <x:v>0</x:v>
      </x:c>
      <x:c r="E517">
        <x:f>IF(H517=1,MAX(-'幕间与结算'!E424,MIN(D517,IF(LEFT(C517,3)="技能：",99,IF(COUNTIF($L$2:$L$7,C517)&gt;0,18,999))-'幕间与结算'!E424)),0)</x:f>
        <x:v>0</x:v>
      </x:c>
      <x:c r="F517" t="str">
        <x:f>IF(C517=0,"",IF(G517=0,"记录不完整",IF(H517=0,"重复未计","已计入")))</x:f>
        <x:v/>
      </x:c>
      <x:c r="G517">
        <x:f>IF(AND(AND('幕间与结算'!A424&lt;&gt;"",'幕间与结算'!B424&lt;&gt;"",'幕间与结算'!I424&lt;&gt;"",OR(LEFT(C517,3)="技能：",COUNTIF($L$2:$L$19,C517)&gt;0),ISNUMBER('幕间与结算'!E424),ISNUMBER('幕间与结算'!F424),ISNUMBER('幕间与结算'!G424),'幕间与结算'!E424&gt;=0,'幕间与结算'!G424='幕间与结算'!E424+'幕间与结算'!F424),OR(B517&lt;&gt;"成长",AND(LEFT(C517,3)="技能：",C517&lt;&gt;"技能：非自然知识",'幕间与结算'!E424&gt;=1,'幕间与结算'!E424&lt;=99,'幕间与结算'!F424&gt;=0,'幕间与结算'!F424&lt;=4,'幕间与结算'!G424&lt;=99))),1,0)</x:f>
        <x:v>0</x:v>
      </x:c>
      <x:c r="H517">
        <x:f>IF(AND(G517=1,COUNTIFS($I$200:I517,I517,$G$200:G517,1)=1),1,0)</x:f>
        <x:v>0</x:v>
      </x:c>
      <x:c r="I517" t="str">
        <x:f>IF(G517=1,IF(B517="成长",A517&amp;"-成长-"&amp;C517,'幕间与结算'!I424),"")</x:f>
        <x:v/>
      </x:c>
      <x:c r="BF517">
        <x:f>MAX(0,MIN(18,BF516+IF(C517="力量",E517,0)))</x:f>
        <x:v>0</x:v>
      </x:c>
      <x:c r="BG517">
        <x:f>MAX(0,MIN(18,BG516+IF(C517="体质",E517,0)))</x:f>
        <x:v>0</x:v>
      </x:c>
      <x:c r="BH517">
        <x:f>MAX(0,MIN(18,BH516+IF(C517="敏捷",E517,0)))</x:f>
        <x:v>0</x:v>
      </x:c>
      <x:c r="BI517">
        <x:f>MAX(0,MIN(18,BI516+IF(C517="智力",E517,0)))</x:f>
        <x:v>0</x:v>
      </x:c>
      <x:c r="BJ517">
        <x:f>MAX(0,MIN(18,BJ516+IF(C517="意志",E517,0)))</x:f>
        <x:v>0</x:v>
      </x:c>
      <x:c r="BK517">
        <x:f>MAX(0,MIN(18,BK516+IF(C517="魅力",E517,0)))</x:f>
        <x:v>0</x:v>
      </x:c>
      <x:c r="BL517">
        <x:f>MAX(0,MIN(99,BL516+IF(C517="技能：非自然知识",E517,0)))</x:f>
        <x:v>0</x:v>
      </x:c>
      <x:c r="BM517">
        <x:f>MAX(0,MIN(CEILING((BF517+BG517)/2,1),BM516+IF(C517="体力",E517,0)))</x:f>
        <x:v>0</x:v>
      </x:c>
      <x:c r="BN517">
        <x:f>MAX(0,MIN(BJ517,BN516+IF(C517="毅力",E517,0)))</x:f>
        <x:v>0</x:v>
      </x:c>
      <x:c r="BO517">
        <x:f>MAX(0,MIN(99-BL517,BO516+IF(C517="理智",E517,0)))</x:f>
        <x:v>0</x:v>
      </x:c>
      <x:c r="BP517">
        <x:f>MAX(0,MIN(99,BP516+IF(C517="崩溃点",E517,0)))</x:f>
        <x:v>0</x:v>
      </x:c>
      <x:c r="BQ517">
        <x:f>MAX(0,MIN(BK517,IF(AND(H517=1,C517="重要关系1",LEFT('幕间与结算'!H424,8)="建立新的重要关系"),'幕间与结算'!E424+E517,BQ516+IF(C517="重要关系1",E517,0)+IF(AND(C517="魅力",E517&lt;0),E517,0))))</x:f>
        <x:v>0</x:v>
      </x:c>
      <x:c r="BR517">
        <x:f>MAX(0,MIN(BK517,IF(AND(H517=1,C517="重要关系2",LEFT('幕间与结算'!H424,8)="建立新的重要关系"),'幕间与结算'!E424+E517,BR516+IF(C517="重要关系2",E517,0)+IF(AND(C517="魅力",E517&lt;0),E517,0))))</x:f>
        <x:v>0</x:v>
      </x:c>
      <x:c r="BS517">
        <x:f>MAX(0,MIN(BK517,IF(AND(H517=1,C517="重要关系3",LEFT('幕间与结算'!H424,8)="建立新的重要关系"),'幕间与结算'!E424+E517,BS516+IF(C517="重要关系3",E517,0)+IF(AND(C517="魅力",E517&lt;0),E517,0))))</x:f>
        <x:v>0</x:v>
      </x:c>
      <x:c r="BT517">
        <x:f>MAX(0,MIN(BK517,IF(AND(H517=1,C517="重要关系4",LEFT('幕间与结算'!H424,8)="建立新的重要关系"),'幕间与结算'!E424+E517,BT516+IF(C517="重要关系4",E517,0)+IF(AND(C517="魅力",E517&lt;0),E517,0))))</x:f>
        <x:v>0</x:v>
      </x:c>
      <x:c r="BU517">
        <x:f>MAX(0,MIN(BK517,IF(AND(H517=1,C517="重要关系5",LEFT('幕间与结算'!H424,8)="建立新的重要关系"),'幕间与结算'!E424+E517,BU516+IF(C517="重要关系5",E517,0)+IF(AND(C517="魅力",E517&lt;0),E517,0))))</x:f>
        <x:v>0</x:v>
      </x:c>
      <x:c r="BV517">
        <x:f>MAX(0,MIN(BK517,IF(AND(H517=1,C517="重要关系6",LEFT('幕间与结算'!H424,8)="建立新的重要关系"),'幕间与结算'!E424+E517,BV516+IF(C517="重要关系6",E517,0)+IF(AND(C517="魅力",E517&lt;0),E517,0))))</x:f>
        <x:v>0</x:v>
      </x:c>
      <x:c r="BW517">
        <x:f>MAX(0,MIN(BK517,IF(AND(H517=1,C517="重要关系7",LEFT('幕间与结算'!H424,8)="建立新的重要关系"),'幕间与结算'!E424+E517,BW516+IF(C517="重要关系7",E517,0)+IF(AND(C517="魅力",E517&lt;0),E517,0))))</x:f>
        <x:v>0</x:v>
      </x:c>
    </x:row>
    <x:row r="518">
      <x:c r="A518" t="str">
        <x:f>IFERROR(TEXT(VALUE('幕间与结算'!A425),"00"),"")</x:f>
        <x:v>00</x:v>
      </x:c>
      <x:c r="B518">
        <x:f>'幕间与结算'!B425</x:f>
        <x:v>0</x:v>
      </x:c>
      <x:c r="C518">
        <x:f>'幕间与结算'!D425</x:f>
        <x:v>0</x:v>
      </x:c>
      <x:c r="D518">
        <x:f>'幕间与结算'!F425</x:f>
        <x:v>0</x:v>
      </x:c>
      <x:c r="E518">
        <x:f>IF(H518=1,MAX(-'幕间与结算'!E425,MIN(D518,IF(LEFT(C518,3)="技能：",99,IF(COUNTIF($L$2:$L$7,C518)&gt;0,18,999))-'幕间与结算'!E425)),0)</x:f>
        <x:v>0</x:v>
      </x:c>
      <x:c r="F518" t="str">
        <x:f>IF(C518=0,"",IF(G518=0,"记录不完整",IF(H518=0,"重复未计","已计入")))</x:f>
        <x:v/>
      </x:c>
      <x:c r="G518">
        <x:f>IF(AND(AND('幕间与结算'!A425&lt;&gt;"",'幕间与结算'!B425&lt;&gt;"",'幕间与结算'!I425&lt;&gt;"",OR(LEFT(C518,3)="技能：",COUNTIF($L$2:$L$19,C518)&gt;0),ISNUMBER('幕间与结算'!E425),ISNUMBER('幕间与结算'!F425),ISNUMBER('幕间与结算'!G425),'幕间与结算'!E425&gt;=0,'幕间与结算'!G425='幕间与结算'!E425+'幕间与结算'!F425),OR(B518&lt;&gt;"成长",AND(LEFT(C518,3)="技能：",C518&lt;&gt;"技能：非自然知识",'幕间与结算'!E425&gt;=1,'幕间与结算'!E425&lt;=99,'幕间与结算'!F425&gt;=0,'幕间与结算'!F425&lt;=4,'幕间与结算'!G425&lt;=99))),1,0)</x:f>
        <x:v>0</x:v>
      </x:c>
      <x:c r="H518">
        <x:f>IF(AND(G518=1,COUNTIFS($I$200:I518,I518,$G$200:G518,1)=1),1,0)</x:f>
        <x:v>0</x:v>
      </x:c>
      <x:c r="I518" t="str">
        <x:f>IF(G518=1,IF(B518="成长",A518&amp;"-成长-"&amp;C518,'幕间与结算'!I425),"")</x:f>
        <x:v/>
      </x:c>
      <x:c r="BF518">
        <x:f>MAX(0,MIN(18,BF517+IF(C518="力量",E518,0)))</x:f>
        <x:v>0</x:v>
      </x:c>
      <x:c r="BG518">
        <x:f>MAX(0,MIN(18,BG517+IF(C518="体质",E518,0)))</x:f>
        <x:v>0</x:v>
      </x:c>
      <x:c r="BH518">
        <x:f>MAX(0,MIN(18,BH517+IF(C518="敏捷",E518,0)))</x:f>
        <x:v>0</x:v>
      </x:c>
      <x:c r="BI518">
        <x:f>MAX(0,MIN(18,BI517+IF(C518="智力",E518,0)))</x:f>
        <x:v>0</x:v>
      </x:c>
      <x:c r="BJ518">
        <x:f>MAX(0,MIN(18,BJ517+IF(C518="意志",E518,0)))</x:f>
        <x:v>0</x:v>
      </x:c>
      <x:c r="BK518">
        <x:f>MAX(0,MIN(18,BK517+IF(C518="魅力",E518,0)))</x:f>
        <x:v>0</x:v>
      </x:c>
      <x:c r="BL518">
        <x:f>MAX(0,MIN(99,BL517+IF(C518="技能：非自然知识",E518,0)))</x:f>
        <x:v>0</x:v>
      </x:c>
      <x:c r="BM518">
        <x:f>MAX(0,MIN(CEILING((BF518+BG518)/2,1),BM517+IF(C518="体力",E518,0)))</x:f>
        <x:v>0</x:v>
      </x:c>
      <x:c r="BN518">
        <x:f>MAX(0,MIN(BJ518,BN517+IF(C518="毅力",E518,0)))</x:f>
        <x:v>0</x:v>
      </x:c>
      <x:c r="BO518">
        <x:f>MAX(0,MIN(99-BL518,BO517+IF(C518="理智",E518,0)))</x:f>
        <x:v>0</x:v>
      </x:c>
      <x:c r="BP518">
        <x:f>MAX(0,MIN(99,BP517+IF(C518="崩溃点",E518,0)))</x:f>
        <x:v>0</x:v>
      </x:c>
      <x:c r="BQ518">
        <x:f>MAX(0,MIN(BK518,IF(AND(H518=1,C518="重要关系1",LEFT('幕间与结算'!H425,8)="建立新的重要关系"),'幕间与结算'!E425+E518,BQ517+IF(C518="重要关系1",E518,0)+IF(AND(C518="魅力",E518&lt;0),E518,0))))</x:f>
        <x:v>0</x:v>
      </x:c>
      <x:c r="BR518">
        <x:f>MAX(0,MIN(BK518,IF(AND(H518=1,C518="重要关系2",LEFT('幕间与结算'!H425,8)="建立新的重要关系"),'幕间与结算'!E425+E518,BR517+IF(C518="重要关系2",E518,0)+IF(AND(C518="魅力",E518&lt;0),E518,0))))</x:f>
        <x:v>0</x:v>
      </x:c>
      <x:c r="BS518">
        <x:f>MAX(0,MIN(BK518,IF(AND(H518=1,C518="重要关系3",LEFT('幕间与结算'!H425,8)="建立新的重要关系"),'幕间与结算'!E425+E518,BS517+IF(C518="重要关系3",E518,0)+IF(AND(C518="魅力",E518&lt;0),E518,0))))</x:f>
        <x:v>0</x:v>
      </x:c>
      <x:c r="BT518">
        <x:f>MAX(0,MIN(BK518,IF(AND(H518=1,C518="重要关系4",LEFT('幕间与结算'!H425,8)="建立新的重要关系"),'幕间与结算'!E425+E518,BT517+IF(C518="重要关系4",E518,0)+IF(AND(C518="魅力",E518&lt;0),E518,0))))</x:f>
        <x:v>0</x:v>
      </x:c>
      <x:c r="BU518">
        <x:f>MAX(0,MIN(BK518,IF(AND(H518=1,C518="重要关系5",LEFT('幕间与结算'!H425,8)="建立新的重要关系"),'幕间与结算'!E425+E518,BU517+IF(C518="重要关系5",E518,0)+IF(AND(C518="魅力",E518&lt;0),E518,0))))</x:f>
        <x:v>0</x:v>
      </x:c>
      <x:c r="BV518">
        <x:f>MAX(0,MIN(BK518,IF(AND(H518=1,C518="重要关系6",LEFT('幕间与结算'!H425,8)="建立新的重要关系"),'幕间与结算'!E425+E518,BV517+IF(C518="重要关系6",E518,0)+IF(AND(C518="魅力",E518&lt;0),E518,0))))</x:f>
        <x:v>0</x:v>
      </x:c>
      <x:c r="BW518">
        <x:f>MAX(0,MIN(BK518,IF(AND(H518=1,C518="重要关系7",LEFT('幕间与结算'!H425,8)="建立新的重要关系"),'幕间与结算'!E425+E518,BW517+IF(C518="重要关系7",E518,0)+IF(AND(C518="魅力",E518&lt;0),E518,0))))</x:f>
        <x:v>0</x:v>
      </x:c>
    </x:row>
    <x:row r="519">
      <x:c r="A519" t="str">
        <x:f>IFERROR(TEXT(VALUE('幕间与结算'!A426),"00"),"")</x:f>
        <x:v>00</x:v>
      </x:c>
      <x:c r="B519">
        <x:f>'幕间与结算'!B426</x:f>
        <x:v>0</x:v>
      </x:c>
      <x:c r="C519">
        <x:f>'幕间与结算'!D426</x:f>
        <x:v>0</x:v>
      </x:c>
      <x:c r="D519">
        <x:f>'幕间与结算'!F426</x:f>
        <x:v>0</x:v>
      </x:c>
      <x:c r="E519">
        <x:f>IF(H519=1,MAX(-'幕间与结算'!E426,MIN(D519,IF(LEFT(C519,3)="技能：",99,IF(COUNTIF($L$2:$L$7,C519)&gt;0,18,999))-'幕间与结算'!E426)),0)</x:f>
        <x:v>0</x:v>
      </x:c>
      <x:c r="F519" t="str">
        <x:f>IF(C519=0,"",IF(G519=0,"记录不完整",IF(H519=0,"重复未计","已计入")))</x:f>
        <x:v/>
      </x:c>
      <x:c r="G519">
        <x:f>IF(AND(AND('幕间与结算'!A426&lt;&gt;"",'幕间与结算'!B426&lt;&gt;"",'幕间与结算'!I426&lt;&gt;"",OR(LEFT(C519,3)="技能：",COUNTIF($L$2:$L$19,C519)&gt;0),ISNUMBER('幕间与结算'!E426),ISNUMBER('幕间与结算'!F426),ISNUMBER('幕间与结算'!G426),'幕间与结算'!E426&gt;=0,'幕间与结算'!G426='幕间与结算'!E426+'幕间与结算'!F426),OR(B519&lt;&gt;"成长",AND(LEFT(C519,3)="技能：",C519&lt;&gt;"技能：非自然知识",'幕间与结算'!E426&gt;=1,'幕间与结算'!E426&lt;=99,'幕间与结算'!F426&gt;=0,'幕间与结算'!F426&lt;=4,'幕间与结算'!G426&lt;=99))),1,0)</x:f>
        <x:v>0</x:v>
      </x:c>
      <x:c r="H519">
        <x:f>IF(AND(G519=1,COUNTIFS($I$200:I519,I519,$G$200:G519,1)=1),1,0)</x:f>
        <x:v>0</x:v>
      </x:c>
      <x:c r="I519" t="str">
        <x:f>IF(G519=1,IF(B519="成长",A519&amp;"-成长-"&amp;C519,'幕间与结算'!I426),"")</x:f>
        <x:v/>
      </x:c>
      <x:c r="BF519">
        <x:f>MAX(0,MIN(18,BF518+IF(C519="力量",E519,0)))</x:f>
        <x:v>0</x:v>
      </x:c>
      <x:c r="BG519">
        <x:f>MAX(0,MIN(18,BG518+IF(C519="体质",E519,0)))</x:f>
        <x:v>0</x:v>
      </x:c>
      <x:c r="BH519">
        <x:f>MAX(0,MIN(18,BH518+IF(C519="敏捷",E519,0)))</x:f>
        <x:v>0</x:v>
      </x:c>
      <x:c r="BI519">
        <x:f>MAX(0,MIN(18,BI518+IF(C519="智力",E519,0)))</x:f>
        <x:v>0</x:v>
      </x:c>
      <x:c r="BJ519">
        <x:f>MAX(0,MIN(18,BJ518+IF(C519="意志",E519,0)))</x:f>
        <x:v>0</x:v>
      </x:c>
      <x:c r="BK519">
        <x:f>MAX(0,MIN(18,BK518+IF(C519="魅力",E519,0)))</x:f>
        <x:v>0</x:v>
      </x:c>
      <x:c r="BL519">
        <x:f>MAX(0,MIN(99,BL518+IF(C519="技能：非自然知识",E519,0)))</x:f>
        <x:v>0</x:v>
      </x:c>
      <x:c r="BM519">
        <x:f>MAX(0,MIN(CEILING((BF519+BG519)/2,1),BM518+IF(C519="体力",E519,0)))</x:f>
        <x:v>0</x:v>
      </x:c>
      <x:c r="BN519">
        <x:f>MAX(0,MIN(BJ519,BN518+IF(C519="毅力",E519,0)))</x:f>
        <x:v>0</x:v>
      </x:c>
      <x:c r="BO519">
        <x:f>MAX(0,MIN(99-BL519,BO518+IF(C519="理智",E519,0)))</x:f>
        <x:v>0</x:v>
      </x:c>
      <x:c r="BP519">
        <x:f>MAX(0,MIN(99,BP518+IF(C519="崩溃点",E519,0)))</x:f>
        <x:v>0</x:v>
      </x:c>
      <x:c r="BQ519">
        <x:f>MAX(0,MIN(BK519,IF(AND(H519=1,C519="重要关系1",LEFT('幕间与结算'!H426,8)="建立新的重要关系"),'幕间与结算'!E426+E519,BQ518+IF(C519="重要关系1",E519,0)+IF(AND(C519="魅力",E519&lt;0),E519,0))))</x:f>
        <x:v>0</x:v>
      </x:c>
      <x:c r="BR519">
        <x:f>MAX(0,MIN(BK519,IF(AND(H519=1,C519="重要关系2",LEFT('幕间与结算'!H426,8)="建立新的重要关系"),'幕间与结算'!E426+E519,BR518+IF(C519="重要关系2",E519,0)+IF(AND(C519="魅力",E519&lt;0),E519,0))))</x:f>
        <x:v>0</x:v>
      </x:c>
      <x:c r="BS519">
        <x:f>MAX(0,MIN(BK519,IF(AND(H519=1,C519="重要关系3",LEFT('幕间与结算'!H426,8)="建立新的重要关系"),'幕间与结算'!E426+E519,BS518+IF(C519="重要关系3",E519,0)+IF(AND(C519="魅力",E519&lt;0),E519,0))))</x:f>
        <x:v>0</x:v>
      </x:c>
      <x:c r="BT519">
        <x:f>MAX(0,MIN(BK519,IF(AND(H519=1,C519="重要关系4",LEFT('幕间与结算'!H426,8)="建立新的重要关系"),'幕间与结算'!E426+E519,BT518+IF(C519="重要关系4",E519,0)+IF(AND(C519="魅力",E519&lt;0),E519,0))))</x:f>
        <x:v>0</x:v>
      </x:c>
      <x:c r="BU519">
        <x:f>MAX(0,MIN(BK519,IF(AND(H519=1,C519="重要关系5",LEFT('幕间与结算'!H426,8)="建立新的重要关系"),'幕间与结算'!E426+E519,BU518+IF(C519="重要关系5",E519,0)+IF(AND(C519="魅力",E519&lt;0),E519,0))))</x:f>
        <x:v>0</x:v>
      </x:c>
      <x:c r="BV519">
        <x:f>MAX(0,MIN(BK519,IF(AND(H519=1,C519="重要关系6",LEFT('幕间与结算'!H426,8)="建立新的重要关系"),'幕间与结算'!E426+E519,BV518+IF(C519="重要关系6",E519,0)+IF(AND(C519="魅力",E519&lt;0),E519,0))))</x:f>
        <x:v>0</x:v>
      </x:c>
      <x:c r="BW519">
        <x:f>MAX(0,MIN(BK519,IF(AND(H519=1,C519="重要关系7",LEFT('幕间与结算'!H426,8)="建立新的重要关系"),'幕间与结算'!E426+E519,BW518+IF(C519="重要关系7",E519,0)+IF(AND(C519="魅力",E519&lt;0),E519,0))))</x:f>
        <x:v>0</x:v>
      </x:c>
    </x:row>
    <x:row r="520">
      <x:c r="A520" t="str">
        <x:f>IFERROR(TEXT(VALUE('幕间与结算'!A427),"00"),"")</x:f>
        <x:v>00</x:v>
      </x:c>
      <x:c r="B520">
        <x:f>'幕间与结算'!B427</x:f>
        <x:v>0</x:v>
      </x:c>
      <x:c r="C520">
        <x:f>'幕间与结算'!D427</x:f>
        <x:v>0</x:v>
      </x:c>
      <x:c r="D520">
        <x:f>'幕间与结算'!F427</x:f>
        <x:v>0</x:v>
      </x:c>
      <x:c r="E520">
        <x:f>IF(H520=1,MAX(-'幕间与结算'!E427,MIN(D520,IF(LEFT(C520,3)="技能：",99,IF(COUNTIF($L$2:$L$7,C520)&gt;0,18,999))-'幕间与结算'!E427)),0)</x:f>
        <x:v>0</x:v>
      </x:c>
      <x:c r="F520" t="str">
        <x:f>IF(C520=0,"",IF(G520=0,"记录不完整",IF(H520=0,"重复未计","已计入")))</x:f>
        <x:v/>
      </x:c>
      <x:c r="G520">
        <x:f>IF(AND(AND('幕间与结算'!A427&lt;&gt;"",'幕间与结算'!B427&lt;&gt;"",'幕间与结算'!I427&lt;&gt;"",OR(LEFT(C520,3)="技能：",COUNTIF($L$2:$L$19,C520)&gt;0),ISNUMBER('幕间与结算'!E427),ISNUMBER('幕间与结算'!F427),ISNUMBER('幕间与结算'!G427),'幕间与结算'!E427&gt;=0,'幕间与结算'!G427='幕间与结算'!E427+'幕间与结算'!F427),OR(B520&lt;&gt;"成长",AND(LEFT(C520,3)="技能：",C520&lt;&gt;"技能：非自然知识",'幕间与结算'!E427&gt;=1,'幕间与结算'!E427&lt;=99,'幕间与结算'!F427&gt;=0,'幕间与结算'!F427&lt;=4,'幕间与结算'!G427&lt;=99))),1,0)</x:f>
        <x:v>0</x:v>
      </x:c>
      <x:c r="H520">
        <x:f>IF(AND(G520=1,COUNTIFS($I$200:I520,I520,$G$200:G520,1)=1),1,0)</x:f>
        <x:v>0</x:v>
      </x:c>
      <x:c r="I520" t="str">
        <x:f>IF(G520=1,IF(B520="成长",A520&amp;"-成长-"&amp;C520,'幕间与结算'!I427),"")</x:f>
        <x:v/>
      </x:c>
      <x:c r="BF520">
        <x:f>MAX(0,MIN(18,BF519+IF(C520="力量",E520,0)))</x:f>
        <x:v>0</x:v>
      </x:c>
      <x:c r="BG520">
        <x:f>MAX(0,MIN(18,BG519+IF(C520="体质",E520,0)))</x:f>
        <x:v>0</x:v>
      </x:c>
      <x:c r="BH520">
        <x:f>MAX(0,MIN(18,BH519+IF(C520="敏捷",E520,0)))</x:f>
        <x:v>0</x:v>
      </x:c>
      <x:c r="BI520">
        <x:f>MAX(0,MIN(18,BI519+IF(C520="智力",E520,0)))</x:f>
        <x:v>0</x:v>
      </x:c>
      <x:c r="BJ520">
        <x:f>MAX(0,MIN(18,BJ519+IF(C520="意志",E520,0)))</x:f>
        <x:v>0</x:v>
      </x:c>
      <x:c r="BK520">
        <x:f>MAX(0,MIN(18,BK519+IF(C520="魅力",E520,0)))</x:f>
        <x:v>0</x:v>
      </x:c>
      <x:c r="BL520">
        <x:f>MAX(0,MIN(99,BL519+IF(C520="技能：非自然知识",E520,0)))</x:f>
        <x:v>0</x:v>
      </x:c>
      <x:c r="BM520">
        <x:f>MAX(0,MIN(CEILING((BF520+BG520)/2,1),BM519+IF(C520="体力",E520,0)))</x:f>
        <x:v>0</x:v>
      </x:c>
      <x:c r="BN520">
        <x:f>MAX(0,MIN(BJ520,BN519+IF(C520="毅力",E520,0)))</x:f>
        <x:v>0</x:v>
      </x:c>
      <x:c r="BO520">
        <x:f>MAX(0,MIN(99-BL520,BO519+IF(C520="理智",E520,0)))</x:f>
        <x:v>0</x:v>
      </x:c>
      <x:c r="BP520">
        <x:f>MAX(0,MIN(99,BP519+IF(C520="崩溃点",E520,0)))</x:f>
        <x:v>0</x:v>
      </x:c>
      <x:c r="BQ520">
        <x:f>MAX(0,MIN(BK520,IF(AND(H520=1,C520="重要关系1",LEFT('幕间与结算'!H427,8)="建立新的重要关系"),'幕间与结算'!E427+E520,BQ519+IF(C520="重要关系1",E520,0)+IF(AND(C520="魅力",E520&lt;0),E520,0))))</x:f>
        <x:v>0</x:v>
      </x:c>
      <x:c r="BR520">
        <x:f>MAX(0,MIN(BK520,IF(AND(H520=1,C520="重要关系2",LEFT('幕间与结算'!H427,8)="建立新的重要关系"),'幕间与结算'!E427+E520,BR519+IF(C520="重要关系2",E520,0)+IF(AND(C520="魅力",E520&lt;0),E520,0))))</x:f>
        <x:v>0</x:v>
      </x:c>
      <x:c r="BS520">
        <x:f>MAX(0,MIN(BK520,IF(AND(H520=1,C520="重要关系3",LEFT('幕间与结算'!H427,8)="建立新的重要关系"),'幕间与结算'!E427+E520,BS519+IF(C520="重要关系3",E520,0)+IF(AND(C520="魅力",E520&lt;0),E520,0))))</x:f>
        <x:v>0</x:v>
      </x:c>
      <x:c r="BT520">
        <x:f>MAX(0,MIN(BK520,IF(AND(H520=1,C520="重要关系4",LEFT('幕间与结算'!H427,8)="建立新的重要关系"),'幕间与结算'!E427+E520,BT519+IF(C520="重要关系4",E520,0)+IF(AND(C520="魅力",E520&lt;0),E520,0))))</x:f>
        <x:v>0</x:v>
      </x:c>
      <x:c r="BU520">
        <x:f>MAX(0,MIN(BK520,IF(AND(H520=1,C520="重要关系5",LEFT('幕间与结算'!H427,8)="建立新的重要关系"),'幕间与结算'!E427+E520,BU519+IF(C520="重要关系5",E520,0)+IF(AND(C520="魅力",E520&lt;0),E520,0))))</x:f>
        <x:v>0</x:v>
      </x:c>
      <x:c r="BV520">
        <x:f>MAX(0,MIN(BK520,IF(AND(H520=1,C520="重要关系6",LEFT('幕间与结算'!H427,8)="建立新的重要关系"),'幕间与结算'!E427+E520,BV519+IF(C520="重要关系6",E520,0)+IF(AND(C520="魅力",E520&lt;0),E520,0))))</x:f>
        <x:v>0</x:v>
      </x:c>
      <x:c r="BW520">
        <x:f>MAX(0,MIN(BK520,IF(AND(H520=1,C520="重要关系7",LEFT('幕间与结算'!H427,8)="建立新的重要关系"),'幕间与结算'!E427+E520,BW519+IF(C520="重要关系7",E520,0)+IF(AND(C520="魅力",E520&lt;0),E520,0))))</x:f>
        <x:v>0</x:v>
      </x:c>
    </x:row>
    <x:row r="521">
      <x:c r="A521" t="str">
        <x:f>IFERROR(TEXT(VALUE('幕间与结算'!A428),"00"),"")</x:f>
        <x:v>00</x:v>
      </x:c>
      <x:c r="B521">
        <x:f>'幕间与结算'!B428</x:f>
        <x:v>0</x:v>
      </x:c>
      <x:c r="C521">
        <x:f>'幕间与结算'!D428</x:f>
        <x:v>0</x:v>
      </x:c>
      <x:c r="D521">
        <x:f>'幕间与结算'!F428</x:f>
        <x:v>0</x:v>
      </x:c>
      <x:c r="E521">
        <x:f>IF(H521=1,MAX(-'幕间与结算'!E428,MIN(D521,IF(LEFT(C521,3)="技能：",99,IF(COUNTIF($L$2:$L$7,C521)&gt;0,18,999))-'幕间与结算'!E428)),0)</x:f>
        <x:v>0</x:v>
      </x:c>
      <x:c r="F521" t="str">
        <x:f>IF(C521=0,"",IF(G521=0,"记录不完整",IF(H521=0,"重复未计","已计入")))</x:f>
        <x:v/>
      </x:c>
      <x:c r="G521">
        <x:f>IF(AND(AND('幕间与结算'!A428&lt;&gt;"",'幕间与结算'!B428&lt;&gt;"",'幕间与结算'!I428&lt;&gt;"",OR(LEFT(C521,3)="技能：",COUNTIF($L$2:$L$19,C521)&gt;0),ISNUMBER('幕间与结算'!E428),ISNUMBER('幕间与结算'!F428),ISNUMBER('幕间与结算'!G428),'幕间与结算'!E428&gt;=0,'幕间与结算'!G428='幕间与结算'!E428+'幕间与结算'!F428),OR(B521&lt;&gt;"成长",AND(LEFT(C521,3)="技能：",C521&lt;&gt;"技能：非自然知识",'幕间与结算'!E428&gt;=1,'幕间与结算'!E428&lt;=99,'幕间与结算'!F428&gt;=0,'幕间与结算'!F428&lt;=4,'幕间与结算'!G428&lt;=99))),1,0)</x:f>
        <x:v>0</x:v>
      </x:c>
      <x:c r="H521">
        <x:f>IF(AND(G521=1,COUNTIFS($I$200:I521,I521,$G$200:G521,1)=1),1,0)</x:f>
        <x:v>0</x:v>
      </x:c>
      <x:c r="I521" t="str">
        <x:f>IF(G521=1,IF(B521="成长",A521&amp;"-成长-"&amp;C521,'幕间与结算'!I428),"")</x:f>
        <x:v/>
      </x:c>
      <x:c r="BF521">
        <x:f>MAX(0,MIN(18,BF520+IF(C521="力量",E521,0)))</x:f>
        <x:v>0</x:v>
      </x:c>
      <x:c r="BG521">
        <x:f>MAX(0,MIN(18,BG520+IF(C521="体质",E521,0)))</x:f>
        <x:v>0</x:v>
      </x:c>
      <x:c r="BH521">
        <x:f>MAX(0,MIN(18,BH520+IF(C521="敏捷",E521,0)))</x:f>
        <x:v>0</x:v>
      </x:c>
      <x:c r="BI521">
        <x:f>MAX(0,MIN(18,BI520+IF(C521="智力",E521,0)))</x:f>
        <x:v>0</x:v>
      </x:c>
      <x:c r="BJ521">
        <x:f>MAX(0,MIN(18,BJ520+IF(C521="意志",E521,0)))</x:f>
        <x:v>0</x:v>
      </x:c>
      <x:c r="BK521">
        <x:f>MAX(0,MIN(18,BK520+IF(C521="魅力",E521,0)))</x:f>
        <x:v>0</x:v>
      </x:c>
      <x:c r="BL521">
        <x:f>MAX(0,MIN(99,BL520+IF(C521="技能：非自然知识",E521,0)))</x:f>
        <x:v>0</x:v>
      </x:c>
      <x:c r="BM521">
        <x:f>MAX(0,MIN(CEILING((BF521+BG521)/2,1),BM520+IF(C521="体力",E521,0)))</x:f>
        <x:v>0</x:v>
      </x:c>
      <x:c r="BN521">
        <x:f>MAX(0,MIN(BJ521,BN520+IF(C521="毅力",E521,0)))</x:f>
        <x:v>0</x:v>
      </x:c>
      <x:c r="BO521">
        <x:f>MAX(0,MIN(99-BL521,BO520+IF(C521="理智",E521,0)))</x:f>
        <x:v>0</x:v>
      </x:c>
      <x:c r="BP521">
        <x:f>MAX(0,MIN(99,BP520+IF(C521="崩溃点",E521,0)))</x:f>
        <x:v>0</x:v>
      </x:c>
      <x:c r="BQ521">
        <x:f>MAX(0,MIN(BK521,IF(AND(H521=1,C521="重要关系1",LEFT('幕间与结算'!H428,8)="建立新的重要关系"),'幕间与结算'!E428+E521,BQ520+IF(C521="重要关系1",E521,0)+IF(AND(C521="魅力",E521&lt;0),E521,0))))</x:f>
        <x:v>0</x:v>
      </x:c>
      <x:c r="BR521">
        <x:f>MAX(0,MIN(BK521,IF(AND(H521=1,C521="重要关系2",LEFT('幕间与结算'!H428,8)="建立新的重要关系"),'幕间与结算'!E428+E521,BR520+IF(C521="重要关系2",E521,0)+IF(AND(C521="魅力",E521&lt;0),E521,0))))</x:f>
        <x:v>0</x:v>
      </x:c>
      <x:c r="BS521">
        <x:f>MAX(0,MIN(BK521,IF(AND(H521=1,C521="重要关系3",LEFT('幕间与结算'!H428,8)="建立新的重要关系"),'幕间与结算'!E428+E521,BS520+IF(C521="重要关系3",E521,0)+IF(AND(C521="魅力",E521&lt;0),E521,0))))</x:f>
        <x:v>0</x:v>
      </x:c>
      <x:c r="BT521">
        <x:f>MAX(0,MIN(BK521,IF(AND(H521=1,C521="重要关系4",LEFT('幕间与结算'!H428,8)="建立新的重要关系"),'幕间与结算'!E428+E521,BT520+IF(C521="重要关系4",E521,0)+IF(AND(C521="魅力",E521&lt;0),E521,0))))</x:f>
        <x:v>0</x:v>
      </x:c>
      <x:c r="BU521">
        <x:f>MAX(0,MIN(BK521,IF(AND(H521=1,C521="重要关系5",LEFT('幕间与结算'!H428,8)="建立新的重要关系"),'幕间与结算'!E428+E521,BU520+IF(C521="重要关系5",E521,0)+IF(AND(C521="魅力",E521&lt;0),E521,0))))</x:f>
        <x:v>0</x:v>
      </x:c>
      <x:c r="BV521">
        <x:f>MAX(0,MIN(BK521,IF(AND(H521=1,C521="重要关系6",LEFT('幕间与结算'!H428,8)="建立新的重要关系"),'幕间与结算'!E428+E521,BV520+IF(C521="重要关系6",E521,0)+IF(AND(C521="魅力",E521&lt;0),E521,0))))</x:f>
        <x:v>0</x:v>
      </x:c>
      <x:c r="BW521">
        <x:f>MAX(0,MIN(BK521,IF(AND(H521=1,C521="重要关系7",LEFT('幕间与结算'!H428,8)="建立新的重要关系"),'幕间与结算'!E428+E521,BW520+IF(C521="重要关系7",E521,0)+IF(AND(C521="魅力",E521&lt;0),E521,0))))</x:f>
        <x:v>0</x:v>
      </x:c>
    </x:row>
    <x:row r="522">
      <x:c r="A522" t="str">
        <x:f>IFERROR(TEXT(VALUE('幕间与结算'!A429),"00"),"")</x:f>
        <x:v>00</x:v>
      </x:c>
      <x:c r="B522">
        <x:f>'幕间与结算'!B429</x:f>
        <x:v>0</x:v>
      </x:c>
      <x:c r="C522">
        <x:f>'幕间与结算'!D429</x:f>
        <x:v>0</x:v>
      </x:c>
      <x:c r="D522">
        <x:f>'幕间与结算'!F429</x:f>
        <x:v>0</x:v>
      </x:c>
      <x:c r="E522">
        <x:f>IF(H522=1,MAX(-'幕间与结算'!E429,MIN(D522,IF(LEFT(C522,3)="技能：",99,IF(COUNTIF($L$2:$L$7,C522)&gt;0,18,999))-'幕间与结算'!E429)),0)</x:f>
        <x:v>0</x:v>
      </x:c>
      <x:c r="F522" t="str">
        <x:f>IF(C522=0,"",IF(G522=0,"记录不完整",IF(H522=0,"重复未计","已计入")))</x:f>
        <x:v/>
      </x:c>
      <x:c r="G522">
        <x:f>IF(AND(AND('幕间与结算'!A429&lt;&gt;"",'幕间与结算'!B429&lt;&gt;"",'幕间与结算'!I429&lt;&gt;"",OR(LEFT(C522,3)="技能：",COUNTIF($L$2:$L$19,C522)&gt;0),ISNUMBER('幕间与结算'!E429),ISNUMBER('幕间与结算'!F429),ISNUMBER('幕间与结算'!G429),'幕间与结算'!E429&gt;=0,'幕间与结算'!G429='幕间与结算'!E429+'幕间与结算'!F429),OR(B522&lt;&gt;"成长",AND(LEFT(C522,3)="技能：",C522&lt;&gt;"技能：非自然知识",'幕间与结算'!E429&gt;=1,'幕间与结算'!E429&lt;=99,'幕间与结算'!F429&gt;=0,'幕间与结算'!F429&lt;=4,'幕间与结算'!G429&lt;=99))),1,0)</x:f>
        <x:v>0</x:v>
      </x:c>
      <x:c r="H522">
        <x:f>IF(AND(G522=1,COUNTIFS($I$200:I522,I522,$G$200:G522,1)=1),1,0)</x:f>
        <x:v>0</x:v>
      </x:c>
      <x:c r="I522" t="str">
        <x:f>IF(G522=1,IF(B522="成长",A522&amp;"-成长-"&amp;C522,'幕间与结算'!I429),"")</x:f>
        <x:v/>
      </x:c>
      <x:c r="BF522">
        <x:f>MAX(0,MIN(18,BF521+IF(C522="力量",E522,0)))</x:f>
        <x:v>0</x:v>
      </x:c>
      <x:c r="BG522">
        <x:f>MAX(0,MIN(18,BG521+IF(C522="体质",E522,0)))</x:f>
        <x:v>0</x:v>
      </x:c>
      <x:c r="BH522">
        <x:f>MAX(0,MIN(18,BH521+IF(C522="敏捷",E522,0)))</x:f>
        <x:v>0</x:v>
      </x:c>
      <x:c r="BI522">
        <x:f>MAX(0,MIN(18,BI521+IF(C522="智力",E522,0)))</x:f>
        <x:v>0</x:v>
      </x:c>
      <x:c r="BJ522">
        <x:f>MAX(0,MIN(18,BJ521+IF(C522="意志",E522,0)))</x:f>
        <x:v>0</x:v>
      </x:c>
      <x:c r="BK522">
        <x:f>MAX(0,MIN(18,BK521+IF(C522="魅力",E522,0)))</x:f>
        <x:v>0</x:v>
      </x:c>
      <x:c r="BL522">
        <x:f>MAX(0,MIN(99,BL521+IF(C522="技能：非自然知识",E522,0)))</x:f>
        <x:v>0</x:v>
      </x:c>
      <x:c r="BM522">
        <x:f>MAX(0,MIN(CEILING((BF522+BG522)/2,1),BM521+IF(C522="体力",E522,0)))</x:f>
        <x:v>0</x:v>
      </x:c>
      <x:c r="BN522">
        <x:f>MAX(0,MIN(BJ522,BN521+IF(C522="毅力",E522,0)))</x:f>
        <x:v>0</x:v>
      </x:c>
      <x:c r="BO522">
        <x:f>MAX(0,MIN(99-BL522,BO521+IF(C522="理智",E522,0)))</x:f>
        <x:v>0</x:v>
      </x:c>
      <x:c r="BP522">
        <x:f>MAX(0,MIN(99,BP521+IF(C522="崩溃点",E522,0)))</x:f>
        <x:v>0</x:v>
      </x:c>
      <x:c r="BQ522">
        <x:f>MAX(0,MIN(BK522,IF(AND(H522=1,C522="重要关系1",LEFT('幕间与结算'!H429,8)="建立新的重要关系"),'幕间与结算'!E429+E522,BQ521+IF(C522="重要关系1",E522,0)+IF(AND(C522="魅力",E522&lt;0),E522,0))))</x:f>
        <x:v>0</x:v>
      </x:c>
      <x:c r="BR522">
        <x:f>MAX(0,MIN(BK522,IF(AND(H522=1,C522="重要关系2",LEFT('幕间与结算'!H429,8)="建立新的重要关系"),'幕间与结算'!E429+E522,BR521+IF(C522="重要关系2",E522,0)+IF(AND(C522="魅力",E522&lt;0),E522,0))))</x:f>
        <x:v>0</x:v>
      </x:c>
      <x:c r="BS522">
        <x:f>MAX(0,MIN(BK522,IF(AND(H522=1,C522="重要关系3",LEFT('幕间与结算'!H429,8)="建立新的重要关系"),'幕间与结算'!E429+E522,BS521+IF(C522="重要关系3",E522,0)+IF(AND(C522="魅力",E522&lt;0),E522,0))))</x:f>
        <x:v>0</x:v>
      </x:c>
      <x:c r="BT522">
        <x:f>MAX(0,MIN(BK522,IF(AND(H522=1,C522="重要关系4",LEFT('幕间与结算'!H429,8)="建立新的重要关系"),'幕间与结算'!E429+E522,BT521+IF(C522="重要关系4",E522,0)+IF(AND(C522="魅力",E522&lt;0),E522,0))))</x:f>
        <x:v>0</x:v>
      </x:c>
      <x:c r="BU522">
        <x:f>MAX(0,MIN(BK522,IF(AND(H522=1,C522="重要关系5",LEFT('幕间与结算'!H429,8)="建立新的重要关系"),'幕间与结算'!E429+E522,BU521+IF(C522="重要关系5",E522,0)+IF(AND(C522="魅力",E522&lt;0),E522,0))))</x:f>
        <x:v>0</x:v>
      </x:c>
      <x:c r="BV522">
        <x:f>MAX(0,MIN(BK522,IF(AND(H522=1,C522="重要关系6",LEFT('幕间与结算'!H429,8)="建立新的重要关系"),'幕间与结算'!E429+E522,BV521+IF(C522="重要关系6",E522,0)+IF(AND(C522="魅力",E522&lt;0),E522,0))))</x:f>
        <x:v>0</x:v>
      </x:c>
      <x:c r="BW522">
        <x:f>MAX(0,MIN(BK522,IF(AND(H522=1,C522="重要关系7",LEFT('幕间与结算'!H429,8)="建立新的重要关系"),'幕间与结算'!E429+E522,BW521+IF(C522="重要关系7",E522,0)+IF(AND(C522="魅力",E522&lt;0),E522,0))))</x:f>
        <x:v>0</x:v>
      </x:c>
    </x:row>
    <x:row r="523">
      <x:c r="A523" t="str">
        <x:f>IFERROR(TEXT(VALUE('幕间与结算'!A430),"00"),"")</x:f>
        <x:v>00</x:v>
      </x:c>
      <x:c r="B523">
        <x:f>'幕间与结算'!B430</x:f>
        <x:v>0</x:v>
      </x:c>
      <x:c r="C523">
        <x:f>'幕间与结算'!D430</x:f>
        <x:v>0</x:v>
      </x:c>
      <x:c r="D523">
        <x:f>'幕间与结算'!F430</x:f>
        <x:v>0</x:v>
      </x:c>
      <x:c r="E523">
        <x:f>IF(H523=1,MAX(-'幕间与结算'!E430,MIN(D523,IF(LEFT(C523,3)="技能：",99,IF(COUNTIF($L$2:$L$7,C523)&gt;0,18,999))-'幕间与结算'!E430)),0)</x:f>
        <x:v>0</x:v>
      </x:c>
      <x:c r="F523" t="str">
        <x:f>IF(C523=0,"",IF(G523=0,"记录不完整",IF(H523=0,"重复未计","已计入")))</x:f>
        <x:v/>
      </x:c>
      <x:c r="G523">
        <x:f>IF(AND(AND('幕间与结算'!A430&lt;&gt;"",'幕间与结算'!B430&lt;&gt;"",'幕间与结算'!I430&lt;&gt;"",OR(LEFT(C523,3)="技能：",COUNTIF($L$2:$L$19,C523)&gt;0),ISNUMBER('幕间与结算'!E430),ISNUMBER('幕间与结算'!F430),ISNUMBER('幕间与结算'!G430),'幕间与结算'!E430&gt;=0,'幕间与结算'!G430='幕间与结算'!E430+'幕间与结算'!F430),OR(B523&lt;&gt;"成长",AND(LEFT(C523,3)="技能：",C523&lt;&gt;"技能：非自然知识",'幕间与结算'!E430&gt;=1,'幕间与结算'!E430&lt;=99,'幕间与结算'!F430&gt;=0,'幕间与结算'!F430&lt;=4,'幕间与结算'!G430&lt;=99))),1,0)</x:f>
        <x:v>0</x:v>
      </x:c>
      <x:c r="H523">
        <x:f>IF(AND(G523=1,COUNTIFS($I$200:I523,I523,$G$200:G523,1)=1),1,0)</x:f>
        <x:v>0</x:v>
      </x:c>
      <x:c r="I523" t="str">
        <x:f>IF(G523=1,IF(B523="成长",A523&amp;"-成长-"&amp;C523,'幕间与结算'!I430),"")</x:f>
        <x:v/>
      </x:c>
      <x:c r="BF523">
        <x:f>MAX(0,MIN(18,BF522+IF(C523="力量",E523,0)))</x:f>
        <x:v>0</x:v>
      </x:c>
      <x:c r="BG523">
        <x:f>MAX(0,MIN(18,BG522+IF(C523="体质",E523,0)))</x:f>
        <x:v>0</x:v>
      </x:c>
      <x:c r="BH523">
        <x:f>MAX(0,MIN(18,BH522+IF(C523="敏捷",E523,0)))</x:f>
        <x:v>0</x:v>
      </x:c>
      <x:c r="BI523">
        <x:f>MAX(0,MIN(18,BI522+IF(C523="智力",E523,0)))</x:f>
        <x:v>0</x:v>
      </x:c>
      <x:c r="BJ523">
        <x:f>MAX(0,MIN(18,BJ522+IF(C523="意志",E523,0)))</x:f>
        <x:v>0</x:v>
      </x:c>
      <x:c r="BK523">
        <x:f>MAX(0,MIN(18,BK522+IF(C523="魅力",E523,0)))</x:f>
        <x:v>0</x:v>
      </x:c>
      <x:c r="BL523">
        <x:f>MAX(0,MIN(99,BL522+IF(C523="技能：非自然知识",E523,0)))</x:f>
        <x:v>0</x:v>
      </x:c>
      <x:c r="BM523">
        <x:f>MAX(0,MIN(CEILING((BF523+BG523)/2,1),BM522+IF(C523="体力",E523,0)))</x:f>
        <x:v>0</x:v>
      </x:c>
      <x:c r="BN523">
        <x:f>MAX(0,MIN(BJ523,BN522+IF(C523="毅力",E523,0)))</x:f>
        <x:v>0</x:v>
      </x:c>
      <x:c r="BO523">
        <x:f>MAX(0,MIN(99-BL523,BO522+IF(C523="理智",E523,0)))</x:f>
        <x:v>0</x:v>
      </x:c>
      <x:c r="BP523">
        <x:f>MAX(0,MIN(99,BP522+IF(C523="崩溃点",E523,0)))</x:f>
        <x:v>0</x:v>
      </x:c>
      <x:c r="BQ523">
        <x:f>MAX(0,MIN(BK523,IF(AND(H523=1,C523="重要关系1",LEFT('幕间与结算'!H430,8)="建立新的重要关系"),'幕间与结算'!E430+E523,BQ522+IF(C523="重要关系1",E523,0)+IF(AND(C523="魅力",E523&lt;0),E523,0))))</x:f>
        <x:v>0</x:v>
      </x:c>
      <x:c r="BR523">
        <x:f>MAX(0,MIN(BK523,IF(AND(H523=1,C523="重要关系2",LEFT('幕间与结算'!H430,8)="建立新的重要关系"),'幕间与结算'!E430+E523,BR522+IF(C523="重要关系2",E523,0)+IF(AND(C523="魅力",E523&lt;0),E523,0))))</x:f>
        <x:v>0</x:v>
      </x:c>
      <x:c r="BS523">
        <x:f>MAX(0,MIN(BK523,IF(AND(H523=1,C523="重要关系3",LEFT('幕间与结算'!H430,8)="建立新的重要关系"),'幕间与结算'!E430+E523,BS522+IF(C523="重要关系3",E523,0)+IF(AND(C523="魅力",E523&lt;0),E523,0))))</x:f>
        <x:v>0</x:v>
      </x:c>
      <x:c r="BT523">
        <x:f>MAX(0,MIN(BK523,IF(AND(H523=1,C523="重要关系4",LEFT('幕间与结算'!H430,8)="建立新的重要关系"),'幕间与结算'!E430+E523,BT522+IF(C523="重要关系4",E523,0)+IF(AND(C523="魅力",E523&lt;0),E523,0))))</x:f>
        <x:v>0</x:v>
      </x:c>
      <x:c r="BU523">
        <x:f>MAX(0,MIN(BK523,IF(AND(H523=1,C523="重要关系5",LEFT('幕间与结算'!H430,8)="建立新的重要关系"),'幕间与结算'!E430+E523,BU522+IF(C523="重要关系5",E523,0)+IF(AND(C523="魅力",E523&lt;0),E523,0))))</x:f>
        <x:v>0</x:v>
      </x:c>
      <x:c r="BV523">
        <x:f>MAX(0,MIN(BK523,IF(AND(H523=1,C523="重要关系6",LEFT('幕间与结算'!H430,8)="建立新的重要关系"),'幕间与结算'!E430+E523,BV522+IF(C523="重要关系6",E523,0)+IF(AND(C523="魅力",E523&lt;0),E523,0))))</x:f>
        <x:v>0</x:v>
      </x:c>
      <x:c r="BW523">
        <x:f>MAX(0,MIN(BK523,IF(AND(H523=1,C523="重要关系7",LEFT('幕间与结算'!H430,8)="建立新的重要关系"),'幕间与结算'!E430+E523,BW522+IF(C523="重要关系7",E523,0)+IF(AND(C523="魅力",E523&lt;0),E523,0))))</x:f>
        <x:v>0</x:v>
      </x:c>
    </x:row>
    <x:row r="524">
      <x:c r="A524" t="str">
        <x:f>IFERROR(TEXT(VALUE('幕间与结算'!A431),"00"),"")</x:f>
        <x:v>00</x:v>
      </x:c>
      <x:c r="B524">
        <x:f>'幕间与结算'!B431</x:f>
        <x:v>0</x:v>
      </x:c>
      <x:c r="C524">
        <x:f>'幕间与结算'!D431</x:f>
        <x:v>0</x:v>
      </x:c>
      <x:c r="D524">
        <x:f>'幕间与结算'!F431</x:f>
        <x:v>0</x:v>
      </x:c>
      <x:c r="E524">
        <x:f>IF(H524=1,MAX(-'幕间与结算'!E431,MIN(D524,IF(LEFT(C524,3)="技能：",99,IF(COUNTIF($L$2:$L$7,C524)&gt;0,18,999))-'幕间与结算'!E431)),0)</x:f>
        <x:v>0</x:v>
      </x:c>
      <x:c r="F524" t="str">
        <x:f>IF(C524=0,"",IF(G524=0,"记录不完整",IF(H524=0,"重复未计","已计入")))</x:f>
        <x:v/>
      </x:c>
      <x:c r="G524">
        <x:f>IF(AND(AND('幕间与结算'!A431&lt;&gt;"",'幕间与结算'!B431&lt;&gt;"",'幕间与结算'!I431&lt;&gt;"",OR(LEFT(C524,3)="技能：",COUNTIF($L$2:$L$19,C524)&gt;0),ISNUMBER('幕间与结算'!E431),ISNUMBER('幕间与结算'!F431),ISNUMBER('幕间与结算'!G431),'幕间与结算'!E431&gt;=0,'幕间与结算'!G431='幕间与结算'!E431+'幕间与结算'!F431),OR(B524&lt;&gt;"成长",AND(LEFT(C524,3)="技能：",C524&lt;&gt;"技能：非自然知识",'幕间与结算'!E431&gt;=1,'幕间与结算'!E431&lt;=99,'幕间与结算'!F431&gt;=0,'幕间与结算'!F431&lt;=4,'幕间与结算'!G431&lt;=99))),1,0)</x:f>
        <x:v>0</x:v>
      </x:c>
      <x:c r="H524">
        <x:f>IF(AND(G524=1,COUNTIFS($I$200:I524,I524,$G$200:G524,1)=1),1,0)</x:f>
        <x:v>0</x:v>
      </x:c>
      <x:c r="I524" t="str">
        <x:f>IF(G524=1,IF(B524="成长",A524&amp;"-成长-"&amp;C524,'幕间与结算'!I431),"")</x:f>
        <x:v/>
      </x:c>
      <x:c r="BF524">
        <x:f>MAX(0,MIN(18,BF523+IF(C524="力量",E524,0)))</x:f>
        <x:v>0</x:v>
      </x:c>
      <x:c r="BG524">
        <x:f>MAX(0,MIN(18,BG523+IF(C524="体质",E524,0)))</x:f>
        <x:v>0</x:v>
      </x:c>
      <x:c r="BH524">
        <x:f>MAX(0,MIN(18,BH523+IF(C524="敏捷",E524,0)))</x:f>
        <x:v>0</x:v>
      </x:c>
      <x:c r="BI524">
        <x:f>MAX(0,MIN(18,BI523+IF(C524="智力",E524,0)))</x:f>
        <x:v>0</x:v>
      </x:c>
      <x:c r="BJ524">
        <x:f>MAX(0,MIN(18,BJ523+IF(C524="意志",E524,0)))</x:f>
        <x:v>0</x:v>
      </x:c>
      <x:c r="BK524">
        <x:f>MAX(0,MIN(18,BK523+IF(C524="魅力",E524,0)))</x:f>
        <x:v>0</x:v>
      </x:c>
      <x:c r="BL524">
        <x:f>MAX(0,MIN(99,BL523+IF(C524="技能：非自然知识",E524,0)))</x:f>
        <x:v>0</x:v>
      </x:c>
      <x:c r="BM524">
        <x:f>MAX(0,MIN(CEILING((BF524+BG524)/2,1),BM523+IF(C524="体力",E524,0)))</x:f>
        <x:v>0</x:v>
      </x:c>
      <x:c r="BN524">
        <x:f>MAX(0,MIN(BJ524,BN523+IF(C524="毅力",E524,0)))</x:f>
        <x:v>0</x:v>
      </x:c>
      <x:c r="BO524">
        <x:f>MAX(0,MIN(99-BL524,BO523+IF(C524="理智",E524,0)))</x:f>
        <x:v>0</x:v>
      </x:c>
      <x:c r="BP524">
        <x:f>MAX(0,MIN(99,BP523+IF(C524="崩溃点",E524,0)))</x:f>
        <x:v>0</x:v>
      </x:c>
      <x:c r="BQ524">
        <x:f>MAX(0,MIN(BK524,IF(AND(H524=1,C524="重要关系1",LEFT('幕间与结算'!H431,8)="建立新的重要关系"),'幕间与结算'!E431+E524,BQ523+IF(C524="重要关系1",E524,0)+IF(AND(C524="魅力",E524&lt;0),E524,0))))</x:f>
        <x:v>0</x:v>
      </x:c>
      <x:c r="BR524">
        <x:f>MAX(0,MIN(BK524,IF(AND(H524=1,C524="重要关系2",LEFT('幕间与结算'!H431,8)="建立新的重要关系"),'幕间与结算'!E431+E524,BR523+IF(C524="重要关系2",E524,0)+IF(AND(C524="魅力",E524&lt;0),E524,0))))</x:f>
        <x:v>0</x:v>
      </x:c>
      <x:c r="BS524">
        <x:f>MAX(0,MIN(BK524,IF(AND(H524=1,C524="重要关系3",LEFT('幕间与结算'!H431,8)="建立新的重要关系"),'幕间与结算'!E431+E524,BS523+IF(C524="重要关系3",E524,0)+IF(AND(C524="魅力",E524&lt;0),E524,0))))</x:f>
        <x:v>0</x:v>
      </x:c>
      <x:c r="BT524">
        <x:f>MAX(0,MIN(BK524,IF(AND(H524=1,C524="重要关系4",LEFT('幕间与结算'!H431,8)="建立新的重要关系"),'幕间与结算'!E431+E524,BT523+IF(C524="重要关系4",E524,0)+IF(AND(C524="魅力",E524&lt;0),E524,0))))</x:f>
        <x:v>0</x:v>
      </x:c>
      <x:c r="BU524">
        <x:f>MAX(0,MIN(BK524,IF(AND(H524=1,C524="重要关系5",LEFT('幕间与结算'!H431,8)="建立新的重要关系"),'幕间与结算'!E431+E524,BU523+IF(C524="重要关系5",E524,0)+IF(AND(C524="魅力",E524&lt;0),E524,0))))</x:f>
        <x:v>0</x:v>
      </x:c>
      <x:c r="BV524">
        <x:f>MAX(0,MIN(BK524,IF(AND(H524=1,C524="重要关系6",LEFT('幕间与结算'!H431,8)="建立新的重要关系"),'幕间与结算'!E431+E524,BV523+IF(C524="重要关系6",E524,0)+IF(AND(C524="魅力",E524&lt;0),E524,0))))</x:f>
        <x:v>0</x:v>
      </x:c>
      <x:c r="BW524">
        <x:f>MAX(0,MIN(BK524,IF(AND(H524=1,C524="重要关系7",LEFT('幕间与结算'!H431,8)="建立新的重要关系"),'幕间与结算'!E431+E524,BW523+IF(C524="重要关系7",E524,0)+IF(AND(C524="魅力",E524&lt;0),E524,0))))</x:f>
        <x:v>0</x:v>
      </x:c>
    </x:row>
    <x:row r="525">
      <x:c r="A525" t="str">
        <x:f>IFERROR(TEXT(VALUE('幕间与结算'!A432),"00"),"")</x:f>
        <x:v>00</x:v>
      </x:c>
      <x:c r="B525">
        <x:f>'幕间与结算'!B432</x:f>
        <x:v>0</x:v>
      </x:c>
      <x:c r="C525">
        <x:f>'幕间与结算'!D432</x:f>
        <x:v>0</x:v>
      </x:c>
      <x:c r="D525">
        <x:f>'幕间与结算'!F432</x:f>
        <x:v>0</x:v>
      </x:c>
      <x:c r="E525">
        <x:f>IF(H525=1,MAX(-'幕间与结算'!E432,MIN(D525,IF(LEFT(C525,3)="技能：",99,IF(COUNTIF($L$2:$L$7,C525)&gt;0,18,999))-'幕间与结算'!E432)),0)</x:f>
        <x:v>0</x:v>
      </x:c>
      <x:c r="F525" t="str">
        <x:f>IF(C525=0,"",IF(G525=0,"记录不完整",IF(H525=0,"重复未计","已计入")))</x:f>
        <x:v/>
      </x:c>
      <x:c r="G525">
        <x:f>IF(AND(AND('幕间与结算'!A432&lt;&gt;"",'幕间与结算'!B432&lt;&gt;"",'幕间与结算'!I432&lt;&gt;"",OR(LEFT(C525,3)="技能：",COUNTIF($L$2:$L$19,C525)&gt;0),ISNUMBER('幕间与结算'!E432),ISNUMBER('幕间与结算'!F432),ISNUMBER('幕间与结算'!G432),'幕间与结算'!E432&gt;=0,'幕间与结算'!G432='幕间与结算'!E432+'幕间与结算'!F432),OR(B525&lt;&gt;"成长",AND(LEFT(C525,3)="技能：",C525&lt;&gt;"技能：非自然知识",'幕间与结算'!E432&gt;=1,'幕间与结算'!E432&lt;=99,'幕间与结算'!F432&gt;=0,'幕间与结算'!F432&lt;=4,'幕间与结算'!G432&lt;=99))),1,0)</x:f>
        <x:v>0</x:v>
      </x:c>
      <x:c r="H525">
        <x:f>IF(AND(G525=1,COUNTIFS($I$200:I525,I525,$G$200:G525,1)=1),1,0)</x:f>
        <x:v>0</x:v>
      </x:c>
      <x:c r="I525" t="str">
        <x:f>IF(G525=1,IF(B525="成长",A525&amp;"-成长-"&amp;C525,'幕间与结算'!I432),"")</x:f>
        <x:v/>
      </x:c>
      <x:c r="BF525">
        <x:f>MAX(0,MIN(18,BF524+IF(C525="力量",E525,0)))</x:f>
        <x:v>0</x:v>
      </x:c>
      <x:c r="BG525">
        <x:f>MAX(0,MIN(18,BG524+IF(C525="体质",E525,0)))</x:f>
        <x:v>0</x:v>
      </x:c>
      <x:c r="BH525">
        <x:f>MAX(0,MIN(18,BH524+IF(C525="敏捷",E525,0)))</x:f>
        <x:v>0</x:v>
      </x:c>
      <x:c r="BI525">
        <x:f>MAX(0,MIN(18,BI524+IF(C525="智力",E525,0)))</x:f>
        <x:v>0</x:v>
      </x:c>
      <x:c r="BJ525">
        <x:f>MAX(0,MIN(18,BJ524+IF(C525="意志",E525,0)))</x:f>
        <x:v>0</x:v>
      </x:c>
      <x:c r="BK525">
        <x:f>MAX(0,MIN(18,BK524+IF(C525="魅力",E525,0)))</x:f>
        <x:v>0</x:v>
      </x:c>
      <x:c r="BL525">
        <x:f>MAX(0,MIN(99,BL524+IF(C525="技能：非自然知识",E525,0)))</x:f>
        <x:v>0</x:v>
      </x:c>
      <x:c r="BM525">
        <x:f>MAX(0,MIN(CEILING((BF525+BG525)/2,1),BM524+IF(C525="体力",E525,0)))</x:f>
        <x:v>0</x:v>
      </x:c>
      <x:c r="BN525">
        <x:f>MAX(0,MIN(BJ525,BN524+IF(C525="毅力",E525,0)))</x:f>
        <x:v>0</x:v>
      </x:c>
      <x:c r="BO525">
        <x:f>MAX(0,MIN(99-BL525,BO524+IF(C525="理智",E525,0)))</x:f>
        <x:v>0</x:v>
      </x:c>
      <x:c r="BP525">
        <x:f>MAX(0,MIN(99,BP524+IF(C525="崩溃点",E525,0)))</x:f>
        <x:v>0</x:v>
      </x:c>
      <x:c r="BQ525">
        <x:f>MAX(0,MIN(BK525,IF(AND(H525=1,C525="重要关系1",LEFT('幕间与结算'!H432,8)="建立新的重要关系"),'幕间与结算'!E432+E525,BQ524+IF(C525="重要关系1",E525,0)+IF(AND(C525="魅力",E525&lt;0),E525,0))))</x:f>
        <x:v>0</x:v>
      </x:c>
      <x:c r="BR525">
        <x:f>MAX(0,MIN(BK525,IF(AND(H525=1,C525="重要关系2",LEFT('幕间与结算'!H432,8)="建立新的重要关系"),'幕间与结算'!E432+E525,BR524+IF(C525="重要关系2",E525,0)+IF(AND(C525="魅力",E525&lt;0),E525,0))))</x:f>
        <x:v>0</x:v>
      </x:c>
      <x:c r="BS525">
        <x:f>MAX(0,MIN(BK525,IF(AND(H525=1,C525="重要关系3",LEFT('幕间与结算'!H432,8)="建立新的重要关系"),'幕间与结算'!E432+E525,BS524+IF(C525="重要关系3",E525,0)+IF(AND(C525="魅力",E525&lt;0),E525,0))))</x:f>
        <x:v>0</x:v>
      </x:c>
      <x:c r="BT525">
        <x:f>MAX(0,MIN(BK525,IF(AND(H525=1,C525="重要关系4",LEFT('幕间与结算'!H432,8)="建立新的重要关系"),'幕间与结算'!E432+E525,BT524+IF(C525="重要关系4",E525,0)+IF(AND(C525="魅力",E525&lt;0),E525,0))))</x:f>
        <x:v>0</x:v>
      </x:c>
      <x:c r="BU525">
        <x:f>MAX(0,MIN(BK525,IF(AND(H525=1,C525="重要关系5",LEFT('幕间与结算'!H432,8)="建立新的重要关系"),'幕间与结算'!E432+E525,BU524+IF(C525="重要关系5",E525,0)+IF(AND(C525="魅力",E525&lt;0),E525,0))))</x:f>
        <x:v>0</x:v>
      </x:c>
      <x:c r="BV525">
        <x:f>MAX(0,MIN(BK525,IF(AND(H525=1,C525="重要关系6",LEFT('幕间与结算'!H432,8)="建立新的重要关系"),'幕间与结算'!E432+E525,BV524+IF(C525="重要关系6",E525,0)+IF(AND(C525="魅力",E525&lt;0),E525,0))))</x:f>
        <x:v>0</x:v>
      </x:c>
      <x:c r="BW525">
        <x:f>MAX(0,MIN(BK525,IF(AND(H525=1,C525="重要关系7",LEFT('幕间与结算'!H432,8)="建立新的重要关系"),'幕间与结算'!E432+E525,BW524+IF(C525="重要关系7",E525,0)+IF(AND(C525="魅力",E525&lt;0),E525,0))))</x:f>
        <x:v>0</x:v>
      </x:c>
    </x:row>
    <x:row r="526">
      <x:c r="A526" t="str">
        <x:f>IFERROR(TEXT(VALUE('幕间与结算'!A433),"00"),"")</x:f>
        <x:v>00</x:v>
      </x:c>
      <x:c r="B526">
        <x:f>'幕间与结算'!B433</x:f>
        <x:v>0</x:v>
      </x:c>
      <x:c r="C526">
        <x:f>'幕间与结算'!D433</x:f>
        <x:v>0</x:v>
      </x:c>
      <x:c r="D526">
        <x:f>'幕间与结算'!F433</x:f>
        <x:v>0</x:v>
      </x:c>
      <x:c r="E526">
        <x:f>IF(H526=1,MAX(-'幕间与结算'!E433,MIN(D526,IF(LEFT(C526,3)="技能：",99,IF(COUNTIF($L$2:$L$7,C526)&gt;0,18,999))-'幕间与结算'!E433)),0)</x:f>
        <x:v>0</x:v>
      </x:c>
      <x:c r="F526" t="str">
        <x:f>IF(C526=0,"",IF(G526=0,"记录不完整",IF(H526=0,"重复未计","已计入")))</x:f>
        <x:v/>
      </x:c>
      <x:c r="G526">
        <x:f>IF(AND(AND('幕间与结算'!A433&lt;&gt;"",'幕间与结算'!B433&lt;&gt;"",'幕间与结算'!I433&lt;&gt;"",OR(LEFT(C526,3)="技能：",COUNTIF($L$2:$L$19,C526)&gt;0),ISNUMBER('幕间与结算'!E433),ISNUMBER('幕间与结算'!F433),ISNUMBER('幕间与结算'!G433),'幕间与结算'!E433&gt;=0,'幕间与结算'!G433='幕间与结算'!E433+'幕间与结算'!F433),OR(B526&lt;&gt;"成长",AND(LEFT(C526,3)="技能：",C526&lt;&gt;"技能：非自然知识",'幕间与结算'!E433&gt;=1,'幕间与结算'!E433&lt;=99,'幕间与结算'!F433&gt;=0,'幕间与结算'!F433&lt;=4,'幕间与结算'!G433&lt;=99))),1,0)</x:f>
        <x:v>0</x:v>
      </x:c>
      <x:c r="H526">
        <x:f>IF(AND(G526=1,COUNTIFS($I$200:I526,I526,$G$200:G526,1)=1),1,0)</x:f>
        <x:v>0</x:v>
      </x:c>
      <x:c r="I526" t="str">
        <x:f>IF(G526=1,IF(B526="成长",A526&amp;"-成长-"&amp;C526,'幕间与结算'!I433),"")</x:f>
        <x:v/>
      </x:c>
      <x:c r="BF526">
        <x:f>MAX(0,MIN(18,BF525+IF(C526="力量",E526,0)))</x:f>
        <x:v>0</x:v>
      </x:c>
      <x:c r="BG526">
        <x:f>MAX(0,MIN(18,BG525+IF(C526="体质",E526,0)))</x:f>
        <x:v>0</x:v>
      </x:c>
      <x:c r="BH526">
        <x:f>MAX(0,MIN(18,BH525+IF(C526="敏捷",E526,0)))</x:f>
        <x:v>0</x:v>
      </x:c>
      <x:c r="BI526">
        <x:f>MAX(0,MIN(18,BI525+IF(C526="智力",E526,0)))</x:f>
        <x:v>0</x:v>
      </x:c>
      <x:c r="BJ526">
        <x:f>MAX(0,MIN(18,BJ525+IF(C526="意志",E526,0)))</x:f>
        <x:v>0</x:v>
      </x:c>
      <x:c r="BK526">
        <x:f>MAX(0,MIN(18,BK525+IF(C526="魅力",E526,0)))</x:f>
        <x:v>0</x:v>
      </x:c>
      <x:c r="BL526">
        <x:f>MAX(0,MIN(99,BL525+IF(C526="技能：非自然知识",E526,0)))</x:f>
        <x:v>0</x:v>
      </x:c>
      <x:c r="BM526">
        <x:f>MAX(0,MIN(CEILING((BF526+BG526)/2,1),BM525+IF(C526="体力",E526,0)))</x:f>
        <x:v>0</x:v>
      </x:c>
      <x:c r="BN526">
        <x:f>MAX(0,MIN(BJ526,BN525+IF(C526="毅力",E526,0)))</x:f>
        <x:v>0</x:v>
      </x:c>
      <x:c r="BO526">
        <x:f>MAX(0,MIN(99-BL526,BO525+IF(C526="理智",E526,0)))</x:f>
        <x:v>0</x:v>
      </x:c>
      <x:c r="BP526">
        <x:f>MAX(0,MIN(99,BP525+IF(C526="崩溃点",E526,0)))</x:f>
        <x:v>0</x:v>
      </x:c>
      <x:c r="BQ526">
        <x:f>MAX(0,MIN(BK526,IF(AND(H526=1,C526="重要关系1",LEFT('幕间与结算'!H433,8)="建立新的重要关系"),'幕间与结算'!E433+E526,BQ525+IF(C526="重要关系1",E526,0)+IF(AND(C526="魅力",E526&lt;0),E526,0))))</x:f>
        <x:v>0</x:v>
      </x:c>
      <x:c r="BR526">
        <x:f>MAX(0,MIN(BK526,IF(AND(H526=1,C526="重要关系2",LEFT('幕间与结算'!H433,8)="建立新的重要关系"),'幕间与结算'!E433+E526,BR525+IF(C526="重要关系2",E526,0)+IF(AND(C526="魅力",E526&lt;0),E526,0))))</x:f>
        <x:v>0</x:v>
      </x:c>
      <x:c r="BS526">
        <x:f>MAX(0,MIN(BK526,IF(AND(H526=1,C526="重要关系3",LEFT('幕间与结算'!H433,8)="建立新的重要关系"),'幕间与结算'!E433+E526,BS525+IF(C526="重要关系3",E526,0)+IF(AND(C526="魅力",E526&lt;0),E526,0))))</x:f>
        <x:v>0</x:v>
      </x:c>
      <x:c r="BT526">
        <x:f>MAX(0,MIN(BK526,IF(AND(H526=1,C526="重要关系4",LEFT('幕间与结算'!H433,8)="建立新的重要关系"),'幕间与结算'!E433+E526,BT525+IF(C526="重要关系4",E526,0)+IF(AND(C526="魅力",E526&lt;0),E526,0))))</x:f>
        <x:v>0</x:v>
      </x:c>
      <x:c r="BU526">
        <x:f>MAX(0,MIN(BK526,IF(AND(H526=1,C526="重要关系5",LEFT('幕间与结算'!H433,8)="建立新的重要关系"),'幕间与结算'!E433+E526,BU525+IF(C526="重要关系5",E526,0)+IF(AND(C526="魅力",E526&lt;0),E526,0))))</x:f>
        <x:v>0</x:v>
      </x:c>
      <x:c r="BV526">
        <x:f>MAX(0,MIN(BK526,IF(AND(H526=1,C526="重要关系6",LEFT('幕间与结算'!H433,8)="建立新的重要关系"),'幕间与结算'!E433+E526,BV525+IF(C526="重要关系6",E526,0)+IF(AND(C526="魅力",E526&lt;0),E526,0))))</x:f>
        <x:v>0</x:v>
      </x:c>
      <x:c r="BW526">
        <x:f>MAX(0,MIN(BK526,IF(AND(H526=1,C526="重要关系7",LEFT('幕间与结算'!H433,8)="建立新的重要关系"),'幕间与结算'!E433+E526,BW525+IF(C526="重要关系7",E526,0)+IF(AND(C526="魅力",E526&lt;0),E526,0))))</x:f>
        <x:v>0</x:v>
      </x:c>
    </x:row>
    <x:row r="527">
      <x:c r="A527" t="str">
        <x:f>IFERROR(TEXT(VALUE('幕间与结算'!A434),"00"),"")</x:f>
        <x:v>00</x:v>
      </x:c>
      <x:c r="B527">
        <x:f>'幕间与结算'!B434</x:f>
        <x:v>0</x:v>
      </x:c>
      <x:c r="C527">
        <x:f>'幕间与结算'!D434</x:f>
        <x:v>0</x:v>
      </x:c>
      <x:c r="D527">
        <x:f>'幕间与结算'!F434</x:f>
        <x:v>0</x:v>
      </x:c>
      <x:c r="E527">
        <x:f>IF(H527=1,MAX(-'幕间与结算'!E434,MIN(D527,IF(LEFT(C527,3)="技能：",99,IF(COUNTIF($L$2:$L$7,C527)&gt;0,18,999))-'幕间与结算'!E434)),0)</x:f>
        <x:v>0</x:v>
      </x:c>
      <x:c r="F527" t="str">
        <x:f>IF(C527=0,"",IF(G527=0,"记录不完整",IF(H527=0,"重复未计","已计入")))</x:f>
        <x:v/>
      </x:c>
      <x:c r="G527">
        <x:f>IF(AND(AND('幕间与结算'!A434&lt;&gt;"",'幕间与结算'!B434&lt;&gt;"",'幕间与结算'!I434&lt;&gt;"",OR(LEFT(C527,3)="技能：",COUNTIF($L$2:$L$19,C527)&gt;0),ISNUMBER('幕间与结算'!E434),ISNUMBER('幕间与结算'!F434),ISNUMBER('幕间与结算'!G434),'幕间与结算'!E434&gt;=0,'幕间与结算'!G434='幕间与结算'!E434+'幕间与结算'!F434),OR(B527&lt;&gt;"成长",AND(LEFT(C527,3)="技能：",C527&lt;&gt;"技能：非自然知识",'幕间与结算'!E434&gt;=1,'幕间与结算'!E434&lt;=99,'幕间与结算'!F434&gt;=0,'幕间与结算'!F434&lt;=4,'幕间与结算'!G434&lt;=99))),1,0)</x:f>
        <x:v>0</x:v>
      </x:c>
      <x:c r="H527">
        <x:f>IF(AND(G527=1,COUNTIFS($I$200:I527,I527,$G$200:G527,1)=1),1,0)</x:f>
        <x:v>0</x:v>
      </x:c>
      <x:c r="I527" t="str">
        <x:f>IF(G527=1,IF(B527="成长",A527&amp;"-成长-"&amp;C527,'幕间与结算'!I434),"")</x:f>
        <x:v/>
      </x:c>
      <x:c r="BF527">
        <x:f>MAX(0,MIN(18,BF526+IF(C527="力量",E527,0)))</x:f>
        <x:v>0</x:v>
      </x:c>
      <x:c r="BG527">
        <x:f>MAX(0,MIN(18,BG526+IF(C527="体质",E527,0)))</x:f>
        <x:v>0</x:v>
      </x:c>
      <x:c r="BH527">
        <x:f>MAX(0,MIN(18,BH526+IF(C527="敏捷",E527,0)))</x:f>
        <x:v>0</x:v>
      </x:c>
      <x:c r="BI527">
        <x:f>MAX(0,MIN(18,BI526+IF(C527="智力",E527,0)))</x:f>
        <x:v>0</x:v>
      </x:c>
      <x:c r="BJ527">
        <x:f>MAX(0,MIN(18,BJ526+IF(C527="意志",E527,0)))</x:f>
        <x:v>0</x:v>
      </x:c>
      <x:c r="BK527">
        <x:f>MAX(0,MIN(18,BK526+IF(C527="魅力",E527,0)))</x:f>
        <x:v>0</x:v>
      </x:c>
      <x:c r="BL527">
        <x:f>MAX(0,MIN(99,BL526+IF(C527="技能：非自然知识",E527,0)))</x:f>
        <x:v>0</x:v>
      </x:c>
      <x:c r="BM527">
        <x:f>MAX(0,MIN(CEILING((BF527+BG527)/2,1),BM526+IF(C527="体力",E527,0)))</x:f>
        <x:v>0</x:v>
      </x:c>
      <x:c r="BN527">
        <x:f>MAX(0,MIN(BJ527,BN526+IF(C527="毅力",E527,0)))</x:f>
        <x:v>0</x:v>
      </x:c>
      <x:c r="BO527">
        <x:f>MAX(0,MIN(99-BL527,BO526+IF(C527="理智",E527,0)))</x:f>
        <x:v>0</x:v>
      </x:c>
      <x:c r="BP527">
        <x:f>MAX(0,MIN(99,BP526+IF(C527="崩溃点",E527,0)))</x:f>
        <x:v>0</x:v>
      </x:c>
      <x:c r="BQ527">
        <x:f>MAX(0,MIN(BK527,IF(AND(H527=1,C527="重要关系1",LEFT('幕间与结算'!H434,8)="建立新的重要关系"),'幕间与结算'!E434+E527,BQ526+IF(C527="重要关系1",E527,0)+IF(AND(C527="魅力",E527&lt;0),E527,0))))</x:f>
        <x:v>0</x:v>
      </x:c>
      <x:c r="BR527">
        <x:f>MAX(0,MIN(BK527,IF(AND(H527=1,C527="重要关系2",LEFT('幕间与结算'!H434,8)="建立新的重要关系"),'幕间与结算'!E434+E527,BR526+IF(C527="重要关系2",E527,0)+IF(AND(C527="魅力",E527&lt;0),E527,0))))</x:f>
        <x:v>0</x:v>
      </x:c>
      <x:c r="BS527">
        <x:f>MAX(0,MIN(BK527,IF(AND(H527=1,C527="重要关系3",LEFT('幕间与结算'!H434,8)="建立新的重要关系"),'幕间与结算'!E434+E527,BS526+IF(C527="重要关系3",E527,0)+IF(AND(C527="魅力",E527&lt;0),E527,0))))</x:f>
        <x:v>0</x:v>
      </x:c>
      <x:c r="BT527">
        <x:f>MAX(0,MIN(BK527,IF(AND(H527=1,C527="重要关系4",LEFT('幕间与结算'!H434,8)="建立新的重要关系"),'幕间与结算'!E434+E527,BT526+IF(C527="重要关系4",E527,0)+IF(AND(C527="魅力",E527&lt;0),E527,0))))</x:f>
        <x:v>0</x:v>
      </x:c>
      <x:c r="BU527">
        <x:f>MAX(0,MIN(BK527,IF(AND(H527=1,C527="重要关系5",LEFT('幕间与结算'!H434,8)="建立新的重要关系"),'幕间与结算'!E434+E527,BU526+IF(C527="重要关系5",E527,0)+IF(AND(C527="魅力",E527&lt;0),E527,0))))</x:f>
        <x:v>0</x:v>
      </x:c>
      <x:c r="BV527">
        <x:f>MAX(0,MIN(BK527,IF(AND(H527=1,C527="重要关系6",LEFT('幕间与结算'!H434,8)="建立新的重要关系"),'幕间与结算'!E434+E527,BV526+IF(C527="重要关系6",E527,0)+IF(AND(C527="魅力",E527&lt;0),E527,0))))</x:f>
        <x:v>0</x:v>
      </x:c>
      <x:c r="BW527">
        <x:f>MAX(0,MIN(BK527,IF(AND(H527=1,C527="重要关系7",LEFT('幕间与结算'!H434,8)="建立新的重要关系"),'幕间与结算'!E434+E527,BW526+IF(C527="重要关系7",E527,0)+IF(AND(C527="魅力",E527&lt;0),E527,0))))</x:f>
        <x:v>0</x:v>
      </x:c>
    </x:row>
    <x:row r="528">
      <x:c r="A528" t="str">
        <x:f>IFERROR(TEXT(VALUE('幕间与结算'!A435),"00"),"")</x:f>
        <x:v>00</x:v>
      </x:c>
      <x:c r="B528">
        <x:f>'幕间与结算'!B435</x:f>
        <x:v>0</x:v>
      </x:c>
      <x:c r="C528">
        <x:f>'幕间与结算'!D435</x:f>
        <x:v>0</x:v>
      </x:c>
      <x:c r="D528">
        <x:f>'幕间与结算'!F435</x:f>
        <x:v>0</x:v>
      </x:c>
      <x:c r="E528">
        <x:f>IF(H528=1,MAX(-'幕间与结算'!E435,MIN(D528,IF(LEFT(C528,3)="技能：",99,IF(COUNTIF($L$2:$L$7,C528)&gt;0,18,999))-'幕间与结算'!E435)),0)</x:f>
        <x:v>0</x:v>
      </x:c>
      <x:c r="F528" t="str">
        <x:f>IF(C528=0,"",IF(G528=0,"记录不完整",IF(H528=0,"重复未计","已计入")))</x:f>
        <x:v/>
      </x:c>
      <x:c r="G528">
        <x:f>IF(AND(AND('幕间与结算'!A435&lt;&gt;"",'幕间与结算'!B435&lt;&gt;"",'幕间与结算'!I435&lt;&gt;"",OR(LEFT(C528,3)="技能：",COUNTIF($L$2:$L$19,C528)&gt;0),ISNUMBER('幕间与结算'!E435),ISNUMBER('幕间与结算'!F435),ISNUMBER('幕间与结算'!G435),'幕间与结算'!E435&gt;=0,'幕间与结算'!G435='幕间与结算'!E435+'幕间与结算'!F435),OR(B528&lt;&gt;"成长",AND(LEFT(C528,3)="技能：",C528&lt;&gt;"技能：非自然知识",'幕间与结算'!E435&gt;=1,'幕间与结算'!E435&lt;=99,'幕间与结算'!F435&gt;=0,'幕间与结算'!F435&lt;=4,'幕间与结算'!G435&lt;=99))),1,0)</x:f>
        <x:v>0</x:v>
      </x:c>
      <x:c r="H528">
        <x:f>IF(AND(G528=1,COUNTIFS($I$200:I528,I528,$G$200:G528,1)=1),1,0)</x:f>
        <x:v>0</x:v>
      </x:c>
      <x:c r="I528" t="str">
        <x:f>IF(G528=1,IF(B528="成长",A528&amp;"-成长-"&amp;C528,'幕间与结算'!I435),"")</x:f>
        <x:v/>
      </x:c>
      <x:c r="BF528">
        <x:f>MAX(0,MIN(18,BF527+IF(C528="力量",E528,0)))</x:f>
        <x:v>0</x:v>
      </x:c>
      <x:c r="BG528">
        <x:f>MAX(0,MIN(18,BG527+IF(C528="体质",E528,0)))</x:f>
        <x:v>0</x:v>
      </x:c>
      <x:c r="BH528">
        <x:f>MAX(0,MIN(18,BH527+IF(C528="敏捷",E528,0)))</x:f>
        <x:v>0</x:v>
      </x:c>
      <x:c r="BI528">
        <x:f>MAX(0,MIN(18,BI527+IF(C528="智力",E528,0)))</x:f>
        <x:v>0</x:v>
      </x:c>
      <x:c r="BJ528">
        <x:f>MAX(0,MIN(18,BJ527+IF(C528="意志",E528,0)))</x:f>
        <x:v>0</x:v>
      </x:c>
      <x:c r="BK528">
        <x:f>MAX(0,MIN(18,BK527+IF(C528="魅力",E528,0)))</x:f>
        <x:v>0</x:v>
      </x:c>
      <x:c r="BL528">
        <x:f>MAX(0,MIN(99,BL527+IF(C528="技能：非自然知识",E528,0)))</x:f>
        <x:v>0</x:v>
      </x:c>
      <x:c r="BM528">
        <x:f>MAX(0,MIN(CEILING((BF528+BG528)/2,1),BM527+IF(C528="体力",E528,0)))</x:f>
        <x:v>0</x:v>
      </x:c>
      <x:c r="BN528">
        <x:f>MAX(0,MIN(BJ528,BN527+IF(C528="毅力",E528,0)))</x:f>
        <x:v>0</x:v>
      </x:c>
      <x:c r="BO528">
        <x:f>MAX(0,MIN(99-BL528,BO527+IF(C528="理智",E528,0)))</x:f>
        <x:v>0</x:v>
      </x:c>
      <x:c r="BP528">
        <x:f>MAX(0,MIN(99,BP527+IF(C528="崩溃点",E528,0)))</x:f>
        <x:v>0</x:v>
      </x:c>
      <x:c r="BQ528">
        <x:f>MAX(0,MIN(BK528,IF(AND(H528=1,C528="重要关系1",LEFT('幕间与结算'!H435,8)="建立新的重要关系"),'幕间与结算'!E435+E528,BQ527+IF(C528="重要关系1",E528,0)+IF(AND(C528="魅力",E528&lt;0),E528,0))))</x:f>
        <x:v>0</x:v>
      </x:c>
      <x:c r="BR528">
        <x:f>MAX(0,MIN(BK528,IF(AND(H528=1,C528="重要关系2",LEFT('幕间与结算'!H435,8)="建立新的重要关系"),'幕间与结算'!E435+E528,BR527+IF(C528="重要关系2",E528,0)+IF(AND(C528="魅力",E528&lt;0),E528,0))))</x:f>
        <x:v>0</x:v>
      </x:c>
      <x:c r="BS528">
        <x:f>MAX(0,MIN(BK528,IF(AND(H528=1,C528="重要关系3",LEFT('幕间与结算'!H435,8)="建立新的重要关系"),'幕间与结算'!E435+E528,BS527+IF(C528="重要关系3",E528,0)+IF(AND(C528="魅力",E528&lt;0),E528,0))))</x:f>
        <x:v>0</x:v>
      </x:c>
      <x:c r="BT528">
        <x:f>MAX(0,MIN(BK528,IF(AND(H528=1,C528="重要关系4",LEFT('幕间与结算'!H435,8)="建立新的重要关系"),'幕间与结算'!E435+E528,BT527+IF(C528="重要关系4",E528,0)+IF(AND(C528="魅力",E528&lt;0),E528,0))))</x:f>
        <x:v>0</x:v>
      </x:c>
      <x:c r="BU528">
        <x:f>MAX(0,MIN(BK528,IF(AND(H528=1,C528="重要关系5",LEFT('幕间与结算'!H435,8)="建立新的重要关系"),'幕间与结算'!E435+E528,BU527+IF(C528="重要关系5",E528,0)+IF(AND(C528="魅力",E528&lt;0),E528,0))))</x:f>
        <x:v>0</x:v>
      </x:c>
      <x:c r="BV528">
        <x:f>MAX(0,MIN(BK528,IF(AND(H528=1,C528="重要关系6",LEFT('幕间与结算'!H435,8)="建立新的重要关系"),'幕间与结算'!E435+E528,BV527+IF(C528="重要关系6",E528,0)+IF(AND(C528="魅力",E528&lt;0),E528,0))))</x:f>
        <x:v>0</x:v>
      </x:c>
      <x:c r="BW528">
        <x:f>MAX(0,MIN(BK528,IF(AND(H528=1,C528="重要关系7",LEFT('幕间与结算'!H435,8)="建立新的重要关系"),'幕间与结算'!E435+E528,BW527+IF(C528="重要关系7",E528,0)+IF(AND(C528="魅力",E528&lt;0),E528,0))))</x:f>
        <x:v>0</x:v>
      </x:c>
    </x:row>
    <x:row r="529">
      <x:c r="A529" t="str">
        <x:f>IFERROR(TEXT(VALUE('幕间与结算'!A436),"00"),"")</x:f>
        <x:v>00</x:v>
      </x:c>
      <x:c r="B529">
        <x:f>'幕间与结算'!B436</x:f>
        <x:v>0</x:v>
      </x:c>
      <x:c r="C529">
        <x:f>'幕间与结算'!D436</x:f>
        <x:v>0</x:v>
      </x:c>
      <x:c r="D529">
        <x:f>'幕间与结算'!F436</x:f>
        <x:v>0</x:v>
      </x:c>
      <x:c r="E529">
        <x:f>IF(H529=1,MAX(-'幕间与结算'!E436,MIN(D529,IF(LEFT(C529,3)="技能：",99,IF(COUNTIF($L$2:$L$7,C529)&gt;0,18,999))-'幕间与结算'!E436)),0)</x:f>
        <x:v>0</x:v>
      </x:c>
      <x:c r="F529" t="str">
        <x:f>IF(C529=0,"",IF(G529=0,"记录不完整",IF(H529=0,"重复未计","已计入")))</x:f>
        <x:v/>
      </x:c>
      <x:c r="G529">
        <x:f>IF(AND(AND('幕间与结算'!A436&lt;&gt;"",'幕间与结算'!B436&lt;&gt;"",'幕间与结算'!I436&lt;&gt;"",OR(LEFT(C529,3)="技能：",COUNTIF($L$2:$L$19,C529)&gt;0),ISNUMBER('幕间与结算'!E436),ISNUMBER('幕间与结算'!F436),ISNUMBER('幕间与结算'!G436),'幕间与结算'!E436&gt;=0,'幕间与结算'!G436='幕间与结算'!E436+'幕间与结算'!F436),OR(B529&lt;&gt;"成长",AND(LEFT(C529,3)="技能：",C529&lt;&gt;"技能：非自然知识",'幕间与结算'!E436&gt;=1,'幕间与结算'!E436&lt;=99,'幕间与结算'!F436&gt;=0,'幕间与结算'!F436&lt;=4,'幕间与结算'!G436&lt;=99))),1,0)</x:f>
        <x:v>0</x:v>
      </x:c>
      <x:c r="H529">
        <x:f>IF(AND(G529=1,COUNTIFS($I$200:I529,I529,$G$200:G529,1)=1),1,0)</x:f>
        <x:v>0</x:v>
      </x:c>
      <x:c r="I529" t="str">
        <x:f>IF(G529=1,IF(B529="成长",A529&amp;"-成长-"&amp;C529,'幕间与结算'!I436),"")</x:f>
        <x:v/>
      </x:c>
      <x:c r="BF529">
        <x:f>MAX(0,MIN(18,BF528+IF(C529="力量",E529,0)))</x:f>
        <x:v>0</x:v>
      </x:c>
      <x:c r="BG529">
        <x:f>MAX(0,MIN(18,BG528+IF(C529="体质",E529,0)))</x:f>
        <x:v>0</x:v>
      </x:c>
      <x:c r="BH529">
        <x:f>MAX(0,MIN(18,BH528+IF(C529="敏捷",E529,0)))</x:f>
        <x:v>0</x:v>
      </x:c>
      <x:c r="BI529">
        <x:f>MAX(0,MIN(18,BI528+IF(C529="智力",E529,0)))</x:f>
        <x:v>0</x:v>
      </x:c>
      <x:c r="BJ529">
        <x:f>MAX(0,MIN(18,BJ528+IF(C529="意志",E529,0)))</x:f>
        <x:v>0</x:v>
      </x:c>
      <x:c r="BK529">
        <x:f>MAX(0,MIN(18,BK528+IF(C529="魅力",E529,0)))</x:f>
        <x:v>0</x:v>
      </x:c>
      <x:c r="BL529">
        <x:f>MAX(0,MIN(99,BL528+IF(C529="技能：非自然知识",E529,0)))</x:f>
        <x:v>0</x:v>
      </x:c>
      <x:c r="BM529">
        <x:f>MAX(0,MIN(CEILING((BF529+BG529)/2,1),BM528+IF(C529="体力",E529,0)))</x:f>
        <x:v>0</x:v>
      </x:c>
      <x:c r="BN529">
        <x:f>MAX(0,MIN(BJ529,BN528+IF(C529="毅力",E529,0)))</x:f>
        <x:v>0</x:v>
      </x:c>
      <x:c r="BO529">
        <x:f>MAX(0,MIN(99-BL529,BO528+IF(C529="理智",E529,0)))</x:f>
        <x:v>0</x:v>
      </x:c>
      <x:c r="BP529">
        <x:f>MAX(0,MIN(99,BP528+IF(C529="崩溃点",E529,0)))</x:f>
        <x:v>0</x:v>
      </x:c>
      <x:c r="BQ529">
        <x:f>MAX(0,MIN(BK529,IF(AND(H529=1,C529="重要关系1",LEFT('幕间与结算'!H436,8)="建立新的重要关系"),'幕间与结算'!E436+E529,BQ528+IF(C529="重要关系1",E529,0)+IF(AND(C529="魅力",E529&lt;0),E529,0))))</x:f>
        <x:v>0</x:v>
      </x:c>
      <x:c r="BR529">
        <x:f>MAX(0,MIN(BK529,IF(AND(H529=1,C529="重要关系2",LEFT('幕间与结算'!H436,8)="建立新的重要关系"),'幕间与结算'!E436+E529,BR528+IF(C529="重要关系2",E529,0)+IF(AND(C529="魅力",E529&lt;0),E529,0))))</x:f>
        <x:v>0</x:v>
      </x:c>
      <x:c r="BS529">
        <x:f>MAX(0,MIN(BK529,IF(AND(H529=1,C529="重要关系3",LEFT('幕间与结算'!H436,8)="建立新的重要关系"),'幕间与结算'!E436+E529,BS528+IF(C529="重要关系3",E529,0)+IF(AND(C529="魅力",E529&lt;0),E529,0))))</x:f>
        <x:v>0</x:v>
      </x:c>
      <x:c r="BT529">
        <x:f>MAX(0,MIN(BK529,IF(AND(H529=1,C529="重要关系4",LEFT('幕间与结算'!H436,8)="建立新的重要关系"),'幕间与结算'!E436+E529,BT528+IF(C529="重要关系4",E529,0)+IF(AND(C529="魅力",E529&lt;0),E529,0))))</x:f>
        <x:v>0</x:v>
      </x:c>
      <x:c r="BU529">
        <x:f>MAX(0,MIN(BK529,IF(AND(H529=1,C529="重要关系5",LEFT('幕间与结算'!H436,8)="建立新的重要关系"),'幕间与结算'!E436+E529,BU528+IF(C529="重要关系5",E529,0)+IF(AND(C529="魅力",E529&lt;0),E529,0))))</x:f>
        <x:v>0</x:v>
      </x:c>
      <x:c r="BV529">
        <x:f>MAX(0,MIN(BK529,IF(AND(H529=1,C529="重要关系6",LEFT('幕间与结算'!H436,8)="建立新的重要关系"),'幕间与结算'!E436+E529,BV528+IF(C529="重要关系6",E529,0)+IF(AND(C529="魅力",E529&lt;0),E529,0))))</x:f>
        <x:v>0</x:v>
      </x:c>
      <x:c r="BW529">
        <x:f>MAX(0,MIN(BK529,IF(AND(H529=1,C529="重要关系7",LEFT('幕间与结算'!H436,8)="建立新的重要关系"),'幕间与结算'!E436+E529,BW528+IF(C529="重要关系7",E529,0)+IF(AND(C529="魅力",E529&lt;0),E529,0))))</x:f>
        <x:v>0</x:v>
      </x:c>
    </x:row>
    <x:row r="530">
      <x:c r="A530" t="str">
        <x:f>IFERROR(TEXT(VALUE('幕间与结算'!A437),"00"),"")</x:f>
        <x:v>00</x:v>
      </x:c>
      <x:c r="B530">
        <x:f>'幕间与结算'!B437</x:f>
        <x:v>0</x:v>
      </x:c>
      <x:c r="C530">
        <x:f>'幕间与结算'!D437</x:f>
        <x:v>0</x:v>
      </x:c>
      <x:c r="D530">
        <x:f>'幕间与结算'!F437</x:f>
        <x:v>0</x:v>
      </x:c>
      <x:c r="E530">
        <x:f>IF(H530=1,MAX(-'幕间与结算'!E437,MIN(D530,IF(LEFT(C530,3)="技能：",99,IF(COUNTIF($L$2:$L$7,C530)&gt;0,18,999))-'幕间与结算'!E437)),0)</x:f>
        <x:v>0</x:v>
      </x:c>
      <x:c r="F530" t="str">
        <x:f>IF(C530=0,"",IF(G530=0,"记录不完整",IF(H530=0,"重复未计","已计入")))</x:f>
        <x:v/>
      </x:c>
      <x:c r="G530">
        <x:f>IF(AND(AND('幕间与结算'!A437&lt;&gt;"",'幕间与结算'!B437&lt;&gt;"",'幕间与结算'!I437&lt;&gt;"",OR(LEFT(C530,3)="技能：",COUNTIF($L$2:$L$19,C530)&gt;0),ISNUMBER('幕间与结算'!E437),ISNUMBER('幕间与结算'!F437),ISNUMBER('幕间与结算'!G437),'幕间与结算'!E437&gt;=0,'幕间与结算'!G437='幕间与结算'!E437+'幕间与结算'!F437),OR(B530&lt;&gt;"成长",AND(LEFT(C530,3)="技能：",C530&lt;&gt;"技能：非自然知识",'幕间与结算'!E437&gt;=1,'幕间与结算'!E437&lt;=99,'幕间与结算'!F437&gt;=0,'幕间与结算'!F437&lt;=4,'幕间与结算'!G437&lt;=99))),1,0)</x:f>
        <x:v>0</x:v>
      </x:c>
      <x:c r="H530">
        <x:f>IF(AND(G530=1,COUNTIFS($I$200:I530,I530,$G$200:G530,1)=1),1,0)</x:f>
        <x:v>0</x:v>
      </x:c>
      <x:c r="I530" t="str">
        <x:f>IF(G530=1,IF(B530="成长",A530&amp;"-成长-"&amp;C530,'幕间与结算'!I437),"")</x:f>
        <x:v/>
      </x:c>
      <x:c r="BF530">
        <x:f>MAX(0,MIN(18,BF529+IF(C530="力量",E530,0)))</x:f>
        <x:v>0</x:v>
      </x:c>
      <x:c r="BG530">
        <x:f>MAX(0,MIN(18,BG529+IF(C530="体质",E530,0)))</x:f>
        <x:v>0</x:v>
      </x:c>
      <x:c r="BH530">
        <x:f>MAX(0,MIN(18,BH529+IF(C530="敏捷",E530,0)))</x:f>
        <x:v>0</x:v>
      </x:c>
      <x:c r="BI530">
        <x:f>MAX(0,MIN(18,BI529+IF(C530="智力",E530,0)))</x:f>
        <x:v>0</x:v>
      </x:c>
      <x:c r="BJ530">
        <x:f>MAX(0,MIN(18,BJ529+IF(C530="意志",E530,0)))</x:f>
        <x:v>0</x:v>
      </x:c>
      <x:c r="BK530">
        <x:f>MAX(0,MIN(18,BK529+IF(C530="魅力",E530,0)))</x:f>
        <x:v>0</x:v>
      </x:c>
      <x:c r="BL530">
        <x:f>MAX(0,MIN(99,BL529+IF(C530="技能：非自然知识",E530,0)))</x:f>
        <x:v>0</x:v>
      </x:c>
      <x:c r="BM530">
        <x:f>MAX(0,MIN(CEILING((BF530+BG530)/2,1),BM529+IF(C530="体力",E530,0)))</x:f>
        <x:v>0</x:v>
      </x:c>
      <x:c r="BN530">
        <x:f>MAX(0,MIN(BJ530,BN529+IF(C530="毅力",E530,0)))</x:f>
        <x:v>0</x:v>
      </x:c>
      <x:c r="BO530">
        <x:f>MAX(0,MIN(99-BL530,BO529+IF(C530="理智",E530,0)))</x:f>
        <x:v>0</x:v>
      </x:c>
      <x:c r="BP530">
        <x:f>MAX(0,MIN(99,BP529+IF(C530="崩溃点",E530,0)))</x:f>
        <x:v>0</x:v>
      </x:c>
      <x:c r="BQ530">
        <x:f>MAX(0,MIN(BK530,IF(AND(H530=1,C530="重要关系1",LEFT('幕间与结算'!H437,8)="建立新的重要关系"),'幕间与结算'!E437+E530,BQ529+IF(C530="重要关系1",E530,0)+IF(AND(C530="魅力",E530&lt;0),E530,0))))</x:f>
        <x:v>0</x:v>
      </x:c>
      <x:c r="BR530">
        <x:f>MAX(0,MIN(BK530,IF(AND(H530=1,C530="重要关系2",LEFT('幕间与结算'!H437,8)="建立新的重要关系"),'幕间与结算'!E437+E530,BR529+IF(C530="重要关系2",E530,0)+IF(AND(C530="魅力",E530&lt;0),E530,0))))</x:f>
        <x:v>0</x:v>
      </x:c>
      <x:c r="BS530">
        <x:f>MAX(0,MIN(BK530,IF(AND(H530=1,C530="重要关系3",LEFT('幕间与结算'!H437,8)="建立新的重要关系"),'幕间与结算'!E437+E530,BS529+IF(C530="重要关系3",E530,0)+IF(AND(C530="魅力",E530&lt;0),E530,0))))</x:f>
        <x:v>0</x:v>
      </x:c>
      <x:c r="BT530">
        <x:f>MAX(0,MIN(BK530,IF(AND(H530=1,C530="重要关系4",LEFT('幕间与结算'!H437,8)="建立新的重要关系"),'幕间与结算'!E437+E530,BT529+IF(C530="重要关系4",E530,0)+IF(AND(C530="魅力",E530&lt;0),E530,0))))</x:f>
        <x:v>0</x:v>
      </x:c>
      <x:c r="BU530">
        <x:f>MAX(0,MIN(BK530,IF(AND(H530=1,C530="重要关系5",LEFT('幕间与结算'!H437,8)="建立新的重要关系"),'幕间与结算'!E437+E530,BU529+IF(C530="重要关系5",E530,0)+IF(AND(C530="魅力",E530&lt;0),E530,0))))</x:f>
        <x:v>0</x:v>
      </x:c>
      <x:c r="BV530">
        <x:f>MAX(0,MIN(BK530,IF(AND(H530=1,C530="重要关系6",LEFT('幕间与结算'!H437,8)="建立新的重要关系"),'幕间与结算'!E437+E530,BV529+IF(C530="重要关系6",E530,0)+IF(AND(C530="魅力",E530&lt;0),E530,0))))</x:f>
        <x:v>0</x:v>
      </x:c>
      <x:c r="BW530">
        <x:f>MAX(0,MIN(BK530,IF(AND(H530=1,C530="重要关系7",LEFT('幕间与结算'!H437,8)="建立新的重要关系"),'幕间与结算'!E437+E530,BW529+IF(C530="重要关系7",E530,0)+IF(AND(C530="魅力",E530&lt;0),E530,0))))</x:f>
        <x:v>0</x:v>
      </x:c>
    </x:row>
    <x:row r="531">
      <x:c r="A531" t="str">
        <x:f>IFERROR(TEXT(VALUE('幕间与结算'!A438),"00"),"")</x:f>
        <x:v>00</x:v>
      </x:c>
      <x:c r="B531">
        <x:f>'幕间与结算'!B438</x:f>
        <x:v>0</x:v>
      </x:c>
      <x:c r="C531">
        <x:f>'幕间与结算'!D438</x:f>
        <x:v>0</x:v>
      </x:c>
      <x:c r="D531">
        <x:f>'幕间与结算'!F438</x:f>
        <x:v>0</x:v>
      </x:c>
      <x:c r="E531">
        <x:f>IF(H531=1,MAX(-'幕间与结算'!E438,MIN(D531,IF(LEFT(C531,3)="技能：",99,IF(COUNTIF($L$2:$L$7,C531)&gt;0,18,999))-'幕间与结算'!E438)),0)</x:f>
        <x:v>0</x:v>
      </x:c>
      <x:c r="F531" t="str">
        <x:f>IF(C531=0,"",IF(G531=0,"记录不完整",IF(H531=0,"重复未计","已计入")))</x:f>
        <x:v/>
      </x:c>
      <x:c r="G531">
        <x:f>IF(AND(AND('幕间与结算'!A438&lt;&gt;"",'幕间与结算'!B438&lt;&gt;"",'幕间与结算'!I438&lt;&gt;"",OR(LEFT(C531,3)="技能：",COUNTIF($L$2:$L$19,C531)&gt;0),ISNUMBER('幕间与结算'!E438),ISNUMBER('幕间与结算'!F438),ISNUMBER('幕间与结算'!G438),'幕间与结算'!E438&gt;=0,'幕间与结算'!G438='幕间与结算'!E438+'幕间与结算'!F438),OR(B531&lt;&gt;"成长",AND(LEFT(C531,3)="技能：",C531&lt;&gt;"技能：非自然知识",'幕间与结算'!E438&gt;=1,'幕间与结算'!E438&lt;=99,'幕间与结算'!F438&gt;=0,'幕间与结算'!F438&lt;=4,'幕间与结算'!G438&lt;=99))),1,0)</x:f>
        <x:v>0</x:v>
      </x:c>
      <x:c r="H531">
        <x:f>IF(AND(G531=1,COUNTIFS($I$200:I531,I531,$G$200:G531,1)=1),1,0)</x:f>
        <x:v>0</x:v>
      </x:c>
      <x:c r="I531" t="str">
        <x:f>IF(G531=1,IF(B531="成长",A531&amp;"-成长-"&amp;C531,'幕间与结算'!I438),"")</x:f>
        <x:v/>
      </x:c>
      <x:c r="BF531">
        <x:f>MAX(0,MIN(18,BF530+IF(C531="力量",E531,0)))</x:f>
        <x:v>0</x:v>
      </x:c>
      <x:c r="BG531">
        <x:f>MAX(0,MIN(18,BG530+IF(C531="体质",E531,0)))</x:f>
        <x:v>0</x:v>
      </x:c>
      <x:c r="BH531">
        <x:f>MAX(0,MIN(18,BH530+IF(C531="敏捷",E531,0)))</x:f>
        <x:v>0</x:v>
      </x:c>
      <x:c r="BI531">
        <x:f>MAX(0,MIN(18,BI530+IF(C531="智力",E531,0)))</x:f>
        <x:v>0</x:v>
      </x:c>
      <x:c r="BJ531">
        <x:f>MAX(0,MIN(18,BJ530+IF(C531="意志",E531,0)))</x:f>
        <x:v>0</x:v>
      </x:c>
      <x:c r="BK531">
        <x:f>MAX(0,MIN(18,BK530+IF(C531="魅力",E531,0)))</x:f>
        <x:v>0</x:v>
      </x:c>
      <x:c r="BL531">
        <x:f>MAX(0,MIN(99,BL530+IF(C531="技能：非自然知识",E531,0)))</x:f>
        <x:v>0</x:v>
      </x:c>
      <x:c r="BM531">
        <x:f>MAX(0,MIN(CEILING((BF531+BG531)/2,1),BM530+IF(C531="体力",E531,0)))</x:f>
        <x:v>0</x:v>
      </x:c>
      <x:c r="BN531">
        <x:f>MAX(0,MIN(BJ531,BN530+IF(C531="毅力",E531,0)))</x:f>
        <x:v>0</x:v>
      </x:c>
      <x:c r="BO531">
        <x:f>MAX(0,MIN(99-BL531,BO530+IF(C531="理智",E531,0)))</x:f>
        <x:v>0</x:v>
      </x:c>
      <x:c r="BP531">
        <x:f>MAX(0,MIN(99,BP530+IF(C531="崩溃点",E531,0)))</x:f>
        <x:v>0</x:v>
      </x:c>
      <x:c r="BQ531">
        <x:f>MAX(0,MIN(BK531,IF(AND(H531=1,C531="重要关系1",LEFT('幕间与结算'!H438,8)="建立新的重要关系"),'幕间与结算'!E438+E531,BQ530+IF(C531="重要关系1",E531,0)+IF(AND(C531="魅力",E531&lt;0),E531,0))))</x:f>
        <x:v>0</x:v>
      </x:c>
      <x:c r="BR531">
        <x:f>MAX(0,MIN(BK531,IF(AND(H531=1,C531="重要关系2",LEFT('幕间与结算'!H438,8)="建立新的重要关系"),'幕间与结算'!E438+E531,BR530+IF(C531="重要关系2",E531,0)+IF(AND(C531="魅力",E531&lt;0),E531,0))))</x:f>
        <x:v>0</x:v>
      </x:c>
      <x:c r="BS531">
        <x:f>MAX(0,MIN(BK531,IF(AND(H531=1,C531="重要关系3",LEFT('幕间与结算'!H438,8)="建立新的重要关系"),'幕间与结算'!E438+E531,BS530+IF(C531="重要关系3",E531,0)+IF(AND(C531="魅力",E531&lt;0),E531,0))))</x:f>
        <x:v>0</x:v>
      </x:c>
      <x:c r="BT531">
        <x:f>MAX(0,MIN(BK531,IF(AND(H531=1,C531="重要关系4",LEFT('幕间与结算'!H438,8)="建立新的重要关系"),'幕间与结算'!E438+E531,BT530+IF(C531="重要关系4",E531,0)+IF(AND(C531="魅力",E531&lt;0),E531,0))))</x:f>
        <x:v>0</x:v>
      </x:c>
      <x:c r="BU531">
        <x:f>MAX(0,MIN(BK531,IF(AND(H531=1,C531="重要关系5",LEFT('幕间与结算'!H438,8)="建立新的重要关系"),'幕间与结算'!E438+E531,BU530+IF(C531="重要关系5",E531,0)+IF(AND(C531="魅力",E531&lt;0),E531,0))))</x:f>
        <x:v>0</x:v>
      </x:c>
      <x:c r="BV531">
        <x:f>MAX(0,MIN(BK531,IF(AND(H531=1,C531="重要关系6",LEFT('幕间与结算'!H438,8)="建立新的重要关系"),'幕间与结算'!E438+E531,BV530+IF(C531="重要关系6",E531,0)+IF(AND(C531="魅力",E531&lt;0),E531,0))))</x:f>
        <x:v>0</x:v>
      </x:c>
      <x:c r="BW531">
        <x:f>MAX(0,MIN(BK531,IF(AND(H531=1,C531="重要关系7",LEFT('幕间与结算'!H438,8)="建立新的重要关系"),'幕间与结算'!E438+E531,BW530+IF(C531="重要关系7",E531,0)+IF(AND(C531="魅力",E531&lt;0),E531,0))))</x:f>
        <x:v>0</x:v>
      </x:c>
    </x:row>
    <x:row r="532">
      <x:c r="A532" t="str">
        <x:f>IFERROR(TEXT(VALUE('幕间与结算'!A439),"00"),"")</x:f>
        <x:v>00</x:v>
      </x:c>
      <x:c r="B532">
        <x:f>'幕间与结算'!B439</x:f>
        <x:v>0</x:v>
      </x:c>
      <x:c r="C532">
        <x:f>'幕间与结算'!D439</x:f>
        <x:v>0</x:v>
      </x:c>
      <x:c r="D532">
        <x:f>'幕间与结算'!F439</x:f>
        <x:v>0</x:v>
      </x:c>
      <x:c r="E532">
        <x:f>IF(H532=1,MAX(-'幕间与结算'!E439,MIN(D532,IF(LEFT(C532,3)="技能：",99,IF(COUNTIF($L$2:$L$7,C532)&gt;0,18,999))-'幕间与结算'!E439)),0)</x:f>
        <x:v>0</x:v>
      </x:c>
      <x:c r="F532" t="str">
        <x:f>IF(C532=0,"",IF(G532=0,"记录不完整",IF(H532=0,"重复未计","已计入")))</x:f>
        <x:v/>
      </x:c>
      <x:c r="G532">
        <x:f>IF(AND(AND('幕间与结算'!A439&lt;&gt;"",'幕间与结算'!B439&lt;&gt;"",'幕间与结算'!I439&lt;&gt;"",OR(LEFT(C532,3)="技能：",COUNTIF($L$2:$L$19,C532)&gt;0),ISNUMBER('幕间与结算'!E439),ISNUMBER('幕间与结算'!F439),ISNUMBER('幕间与结算'!G439),'幕间与结算'!E439&gt;=0,'幕间与结算'!G439='幕间与结算'!E439+'幕间与结算'!F439),OR(B532&lt;&gt;"成长",AND(LEFT(C532,3)="技能：",C532&lt;&gt;"技能：非自然知识",'幕间与结算'!E439&gt;=1,'幕间与结算'!E439&lt;=99,'幕间与结算'!F439&gt;=0,'幕间与结算'!F439&lt;=4,'幕间与结算'!G439&lt;=99))),1,0)</x:f>
        <x:v>0</x:v>
      </x:c>
      <x:c r="H532">
        <x:f>IF(AND(G532=1,COUNTIFS($I$200:I532,I532,$G$200:G532,1)=1),1,0)</x:f>
        <x:v>0</x:v>
      </x:c>
      <x:c r="I532" t="str">
        <x:f>IF(G532=1,IF(B532="成长",A532&amp;"-成长-"&amp;C532,'幕间与结算'!I439),"")</x:f>
        <x:v/>
      </x:c>
      <x:c r="BF532">
        <x:f>MAX(0,MIN(18,BF531+IF(C532="力量",E532,0)))</x:f>
        <x:v>0</x:v>
      </x:c>
      <x:c r="BG532">
        <x:f>MAX(0,MIN(18,BG531+IF(C532="体质",E532,0)))</x:f>
        <x:v>0</x:v>
      </x:c>
      <x:c r="BH532">
        <x:f>MAX(0,MIN(18,BH531+IF(C532="敏捷",E532,0)))</x:f>
        <x:v>0</x:v>
      </x:c>
      <x:c r="BI532">
        <x:f>MAX(0,MIN(18,BI531+IF(C532="智力",E532,0)))</x:f>
        <x:v>0</x:v>
      </x:c>
      <x:c r="BJ532">
        <x:f>MAX(0,MIN(18,BJ531+IF(C532="意志",E532,0)))</x:f>
        <x:v>0</x:v>
      </x:c>
      <x:c r="BK532">
        <x:f>MAX(0,MIN(18,BK531+IF(C532="魅力",E532,0)))</x:f>
        <x:v>0</x:v>
      </x:c>
      <x:c r="BL532">
        <x:f>MAX(0,MIN(99,BL531+IF(C532="技能：非自然知识",E532,0)))</x:f>
        <x:v>0</x:v>
      </x:c>
      <x:c r="BM532">
        <x:f>MAX(0,MIN(CEILING((BF532+BG532)/2,1),BM531+IF(C532="体力",E532,0)))</x:f>
        <x:v>0</x:v>
      </x:c>
      <x:c r="BN532">
        <x:f>MAX(0,MIN(BJ532,BN531+IF(C532="毅力",E532,0)))</x:f>
        <x:v>0</x:v>
      </x:c>
      <x:c r="BO532">
        <x:f>MAX(0,MIN(99-BL532,BO531+IF(C532="理智",E532,0)))</x:f>
        <x:v>0</x:v>
      </x:c>
      <x:c r="BP532">
        <x:f>MAX(0,MIN(99,BP531+IF(C532="崩溃点",E532,0)))</x:f>
        <x:v>0</x:v>
      </x:c>
      <x:c r="BQ532">
        <x:f>MAX(0,MIN(BK532,IF(AND(H532=1,C532="重要关系1",LEFT('幕间与结算'!H439,8)="建立新的重要关系"),'幕间与结算'!E439+E532,BQ531+IF(C532="重要关系1",E532,0)+IF(AND(C532="魅力",E532&lt;0),E532,0))))</x:f>
        <x:v>0</x:v>
      </x:c>
      <x:c r="BR532">
        <x:f>MAX(0,MIN(BK532,IF(AND(H532=1,C532="重要关系2",LEFT('幕间与结算'!H439,8)="建立新的重要关系"),'幕间与结算'!E439+E532,BR531+IF(C532="重要关系2",E532,0)+IF(AND(C532="魅力",E532&lt;0),E532,0))))</x:f>
        <x:v>0</x:v>
      </x:c>
      <x:c r="BS532">
        <x:f>MAX(0,MIN(BK532,IF(AND(H532=1,C532="重要关系3",LEFT('幕间与结算'!H439,8)="建立新的重要关系"),'幕间与结算'!E439+E532,BS531+IF(C532="重要关系3",E532,0)+IF(AND(C532="魅力",E532&lt;0),E532,0))))</x:f>
        <x:v>0</x:v>
      </x:c>
      <x:c r="BT532">
        <x:f>MAX(0,MIN(BK532,IF(AND(H532=1,C532="重要关系4",LEFT('幕间与结算'!H439,8)="建立新的重要关系"),'幕间与结算'!E439+E532,BT531+IF(C532="重要关系4",E532,0)+IF(AND(C532="魅力",E532&lt;0),E532,0))))</x:f>
        <x:v>0</x:v>
      </x:c>
      <x:c r="BU532">
        <x:f>MAX(0,MIN(BK532,IF(AND(H532=1,C532="重要关系5",LEFT('幕间与结算'!H439,8)="建立新的重要关系"),'幕间与结算'!E439+E532,BU531+IF(C532="重要关系5",E532,0)+IF(AND(C532="魅力",E532&lt;0),E532,0))))</x:f>
        <x:v>0</x:v>
      </x:c>
      <x:c r="BV532">
        <x:f>MAX(0,MIN(BK532,IF(AND(H532=1,C532="重要关系6",LEFT('幕间与结算'!H439,8)="建立新的重要关系"),'幕间与结算'!E439+E532,BV531+IF(C532="重要关系6",E532,0)+IF(AND(C532="魅力",E532&lt;0),E532,0))))</x:f>
        <x:v>0</x:v>
      </x:c>
      <x:c r="BW532">
        <x:f>MAX(0,MIN(BK532,IF(AND(H532=1,C532="重要关系7",LEFT('幕间与结算'!H439,8)="建立新的重要关系"),'幕间与结算'!E439+E532,BW531+IF(C532="重要关系7",E532,0)+IF(AND(C532="魅力",E532&lt;0),E532,0))))</x:f>
        <x:v>0</x:v>
      </x:c>
    </x:row>
    <x:row r="533">
      <x:c r="A533" t="str">
        <x:f>IFERROR(TEXT(VALUE('幕间与结算'!A440),"00"),"")</x:f>
        <x:v>00</x:v>
      </x:c>
      <x:c r="B533">
        <x:f>'幕间与结算'!B440</x:f>
        <x:v>0</x:v>
      </x:c>
      <x:c r="C533">
        <x:f>'幕间与结算'!D440</x:f>
        <x:v>0</x:v>
      </x:c>
      <x:c r="D533">
        <x:f>'幕间与结算'!F440</x:f>
        <x:v>0</x:v>
      </x:c>
      <x:c r="E533">
        <x:f>IF(H533=1,MAX(-'幕间与结算'!E440,MIN(D533,IF(LEFT(C533,3)="技能：",99,IF(COUNTIF($L$2:$L$7,C533)&gt;0,18,999))-'幕间与结算'!E440)),0)</x:f>
        <x:v>0</x:v>
      </x:c>
      <x:c r="F533" t="str">
        <x:f>IF(C533=0,"",IF(G533=0,"记录不完整",IF(H533=0,"重复未计","已计入")))</x:f>
        <x:v/>
      </x:c>
      <x:c r="G533">
        <x:f>IF(AND(AND('幕间与结算'!A440&lt;&gt;"",'幕间与结算'!B440&lt;&gt;"",'幕间与结算'!I440&lt;&gt;"",OR(LEFT(C533,3)="技能：",COUNTIF($L$2:$L$19,C533)&gt;0),ISNUMBER('幕间与结算'!E440),ISNUMBER('幕间与结算'!F440),ISNUMBER('幕间与结算'!G440),'幕间与结算'!E440&gt;=0,'幕间与结算'!G440='幕间与结算'!E440+'幕间与结算'!F440),OR(B533&lt;&gt;"成长",AND(LEFT(C533,3)="技能：",C533&lt;&gt;"技能：非自然知识",'幕间与结算'!E440&gt;=1,'幕间与结算'!E440&lt;=99,'幕间与结算'!F440&gt;=0,'幕间与结算'!F440&lt;=4,'幕间与结算'!G440&lt;=99))),1,0)</x:f>
        <x:v>0</x:v>
      </x:c>
      <x:c r="H533">
        <x:f>IF(AND(G533=1,COUNTIFS($I$200:I533,I533,$G$200:G533,1)=1),1,0)</x:f>
        <x:v>0</x:v>
      </x:c>
      <x:c r="I533" t="str">
        <x:f>IF(G533=1,IF(B533="成长",A533&amp;"-成长-"&amp;C533,'幕间与结算'!I440),"")</x:f>
        <x:v/>
      </x:c>
      <x:c r="BF533">
        <x:f>MAX(0,MIN(18,BF532+IF(C533="力量",E533,0)))</x:f>
        <x:v>0</x:v>
      </x:c>
      <x:c r="BG533">
        <x:f>MAX(0,MIN(18,BG532+IF(C533="体质",E533,0)))</x:f>
        <x:v>0</x:v>
      </x:c>
      <x:c r="BH533">
        <x:f>MAX(0,MIN(18,BH532+IF(C533="敏捷",E533,0)))</x:f>
        <x:v>0</x:v>
      </x:c>
      <x:c r="BI533">
        <x:f>MAX(0,MIN(18,BI532+IF(C533="智力",E533,0)))</x:f>
        <x:v>0</x:v>
      </x:c>
      <x:c r="BJ533">
        <x:f>MAX(0,MIN(18,BJ532+IF(C533="意志",E533,0)))</x:f>
        <x:v>0</x:v>
      </x:c>
      <x:c r="BK533">
        <x:f>MAX(0,MIN(18,BK532+IF(C533="魅力",E533,0)))</x:f>
        <x:v>0</x:v>
      </x:c>
      <x:c r="BL533">
        <x:f>MAX(0,MIN(99,BL532+IF(C533="技能：非自然知识",E533,0)))</x:f>
        <x:v>0</x:v>
      </x:c>
      <x:c r="BM533">
        <x:f>MAX(0,MIN(CEILING((BF533+BG533)/2,1),BM532+IF(C533="体力",E533,0)))</x:f>
        <x:v>0</x:v>
      </x:c>
      <x:c r="BN533">
        <x:f>MAX(0,MIN(BJ533,BN532+IF(C533="毅力",E533,0)))</x:f>
        <x:v>0</x:v>
      </x:c>
      <x:c r="BO533">
        <x:f>MAX(0,MIN(99-BL533,BO532+IF(C533="理智",E533,0)))</x:f>
        <x:v>0</x:v>
      </x:c>
      <x:c r="BP533">
        <x:f>MAX(0,MIN(99,BP532+IF(C533="崩溃点",E533,0)))</x:f>
        <x:v>0</x:v>
      </x:c>
      <x:c r="BQ533">
        <x:f>MAX(0,MIN(BK533,IF(AND(H533=1,C533="重要关系1",LEFT('幕间与结算'!H440,8)="建立新的重要关系"),'幕间与结算'!E440+E533,BQ532+IF(C533="重要关系1",E533,0)+IF(AND(C533="魅力",E533&lt;0),E533,0))))</x:f>
        <x:v>0</x:v>
      </x:c>
      <x:c r="BR533">
        <x:f>MAX(0,MIN(BK533,IF(AND(H533=1,C533="重要关系2",LEFT('幕间与结算'!H440,8)="建立新的重要关系"),'幕间与结算'!E440+E533,BR532+IF(C533="重要关系2",E533,0)+IF(AND(C533="魅力",E533&lt;0),E533,0))))</x:f>
        <x:v>0</x:v>
      </x:c>
      <x:c r="BS533">
        <x:f>MAX(0,MIN(BK533,IF(AND(H533=1,C533="重要关系3",LEFT('幕间与结算'!H440,8)="建立新的重要关系"),'幕间与结算'!E440+E533,BS532+IF(C533="重要关系3",E533,0)+IF(AND(C533="魅力",E533&lt;0),E533,0))))</x:f>
        <x:v>0</x:v>
      </x:c>
      <x:c r="BT533">
        <x:f>MAX(0,MIN(BK533,IF(AND(H533=1,C533="重要关系4",LEFT('幕间与结算'!H440,8)="建立新的重要关系"),'幕间与结算'!E440+E533,BT532+IF(C533="重要关系4",E533,0)+IF(AND(C533="魅力",E533&lt;0),E533,0))))</x:f>
        <x:v>0</x:v>
      </x:c>
      <x:c r="BU533">
        <x:f>MAX(0,MIN(BK533,IF(AND(H533=1,C533="重要关系5",LEFT('幕间与结算'!H440,8)="建立新的重要关系"),'幕间与结算'!E440+E533,BU532+IF(C533="重要关系5",E533,0)+IF(AND(C533="魅力",E533&lt;0),E533,0))))</x:f>
        <x:v>0</x:v>
      </x:c>
      <x:c r="BV533">
        <x:f>MAX(0,MIN(BK533,IF(AND(H533=1,C533="重要关系6",LEFT('幕间与结算'!H440,8)="建立新的重要关系"),'幕间与结算'!E440+E533,BV532+IF(C533="重要关系6",E533,0)+IF(AND(C533="魅力",E533&lt;0),E533,0))))</x:f>
        <x:v>0</x:v>
      </x:c>
      <x:c r="BW533">
        <x:f>MAX(0,MIN(BK533,IF(AND(H533=1,C533="重要关系7",LEFT('幕间与结算'!H440,8)="建立新的重要关系"),'幕间与结算'!E440+E533,BW532+IF(C533="重要关系7",E533,0)+IF(AND(C533="魅力",E533&lt;0),E533,0))))</x:f>
        <x:v>0</x:v>
      </x:c>
    </x:row>
    <x:row r="534">
      <x:c r="A534" t="str">
        <x:f>IFERROR(TEXT(VALUE('幕间与结算'!A441),"00"),"")</x:f>
        <x:v>00</x:v>
      </x:c>
      <x:c r="B534">
        <x:f>'幕间与结算'!B441</x:f>
        <x:v>0</x:v>
      </x:c>
      <x:c r="C534">
        <x:f>'幕间与结算'!D441</x:f>
        <x:v>0</x:v>
      </x:c>
      <x:c r="D534">
        <x:f>'幕间与结算'!F441</x:f>
        <x:v>0</x:v>
      </x:c>
      <x:c r="E534">
        <x:f>IF(H534=1,MAX(-'幕间与结算'!E441,MIN(D534,IF(LEFT(C534,3)="技能：",99,IF(COUNTIF($L$2:$L$7,C534)&gt;0,18,999))-'幕间与结算'!E441)),0)</x:f>
        <x:v>0</x:v>
      </x:c>
      <x:c r="F534" t="str">
        <x:f>IF(C534=0,"",IF(G534=0,"记录不完整",IF(H534=0,"重复未计","已计入")))</x:f>
        <x:v/>
      </x:c>
      <x:c r="G534">
        <x:f>IF(AND(AND('幕间与结算'!A441&lt;&gt;"",'幕间与结算'!B441&lt;&gt;"",'幕间与结算'!I441&lt;&gt;"",OR(LEFT(C534,3)="技能：",COUNTIF($L$2:$L$19,C534)&gt;0),ISNUMBER('幕间与结算'!E441),ISNUMBER('幕间与结算'!F441),ISNUMBER('幕间与结算'!G441),'幕间与结算'!E441&gt;=0,'幕间与结算'!G441='幕间与结算'!E441+'幕间与结算'!F441),OR(B534&lt;&gt;"成长",AND(LEFT(C534,3)="技能：",C534&lt;&gt;"技能：非自然知识",'幕间与结算'!E441&gt;=1,'幕间与结算'!E441&lt;=99,'幕间与结算'!F441&gt;=0,'幕间与结算'!F441&lt;=4,'幕间与结算'!G441&lt;=99))),1,0)</x:f>
        <x:v>0</x:v>
      </x:c>
      <x:c r="H534">
        <x:f>IF(AND(G534=1,COUNTIFS($I$200:I534,I534,$G$200:G534,1)=1),1,0)</x:f>
        <x:v>0</x:v>
      </x:c>
      <x:c r="I534" t="str">
        <x:f>IF(G534=1,IF(B534="成长",A534&amp;"-成长-"&amp;C534,'幕间与结算'!I441),"")</x:f>
        <x:v/>
      </x:c>
      <x:c r="BF534">
        <x:f>MAX(0,MIN(18,BF533+IF(C534="力量",E534,0)))</x:f>
        <x:v>0</x:v>
      </x:c>
      <x:c r="BG534">
        <x:f>MAX(0,MIN(18,BG533+IF(C534="体质",E534,0)))</x:f>
        <x:v>0</x:v>
      </x:c>
      <x:c r="BH534">
        <x:f>MAX(0,MIN(18,BH533+IF(C534="敏捷",E534,0)))</x:f>
        <x:v>0</x:v>
      </x:c>
      <x:c r="BI534">
        <x:f>MAX(0,MIN(18,BI533+IF(C534="智力",E534,0)))</x:f>
        <x:v>0</x:v>
      </x:c>
      <x:c r="BJ534">
        <x:f>MAX(0,MIN(18,BJ533+IF(C534="意志",E534,0)))</x:f>
        <x:v>0</x:v>
      </x:c>
      <x:c r="BK534">
        <x:f>MAX(0,MIN(18,BK533+IF(C534="魅力",E534,0)))</x:f>
        <x:v>0</x:v>
      </x:c>
      <x:c r="BL534">
        <x:f>MAX(0,MIN(99,BL533+IF(C534="技能：非自然知识",E534,0)))</x:f>
        <x:v>0</x:v>
      </x:c>
      <x:c r="BM534">
        <x:f>MAX(0,MIN(CEILING((BF534+BG534)/2,1),BM533+IF(C534="体力",E534,0)))</x:f>
        <x:v>0</x:v>
      </x:c>
      <x:c r="BN534">
        <x:f>MAX(0,MIN(BJ534,BN533+IF(C534="毅力",E534,0)))</x:f>
        <x:v>0</x:v>
      </x:c>
      <x:c r="BO534">
        <x:f>MAX(0,MIN(99-BL534,BO533+IF(C534="理智",E534,0)))</x:f>
        <x:v>0</x:v>
      </x:c>
      <x:c r="BP534">
        <x:f>MAX(0,MIN(99,BP533+IF(C534="崩溃点",E534,0)))</x:f>
        <x:v>0</x:v>
      </x:c>
      <x:c r="BQ534">
        <x:f>MAX(0,MIN(BK534,IF(AND(H534=1,C534="重要关系1",LEFT('幕间与结算'!H441,8)="建立新的重要关系"),'幕间与结算'!E441+E534,BQ533+IF(C534="重要关系1",E534,0)+IF(AND(C534="魅力",E534&lt;0),E534,0))))</x:f>
        <x:v>0</x:v>
      </x:c>
      <x:c r="BR534">
        <x:f>MAX(0,MIN(BK534,IF(AND(H534=1,C534="重要关系2",LEFT('幕间与结算'!H441,8)="建立新的重要关系"),'幕间与结算'!E441+E534,BR533+IF(C534="重要关系2",E534,0)+IF(AND(C534="魅力",E534&lt;0),E534,0))))</x:f>
        <x:v>0</x:v>
      </x:c>
      <x:c r="BS534">
        <x:f>MAX(0,MIN(BK534,IF(AND(H534=1,C534="重要关系3",LEFT('幕间与结算'!H441,8)="建立新的重要关系"),'幕间与结算'!E441+E534,BS533+IF(C534="重要关系3",E534,0)+IF(AND(C534="魅力",E534&lt;0),E534,0))))</x:f>
        <x:v>0</x:v>
      </x:c>
      <x:c r="BT534">
        <x:f>MAX(0,MIN(BK534,IF(AND(H534=1,C534="重要关系4",LEFT('幕间与结算'!H441,8)="建立新的重要关系"),'幕间与结算'!E441+E534,BT533+IF(C534="重要关系4",E534,0)+IF(AND(C534="魅力",E534&lt;0),E534,0))))</x:f>
        <x:v>0</x:v>
      </x:c>
      <x:c r="BU534">
        <x:f>MAX(0,MIN(BK534,IF(AND(H534=1,C534="重要关系5",LEFT('幕间与结算'!H441,8)="建立新的重要关系"),'幕间与结算'!E441+E534,BU533+IF(C534="重要关系5",E534,0)+IF(AND(C534="魅力",E534&lt;0),E534,0))))</x:f>
        <x:v>0</x:v>
      </x:c>
      <x:c r="BV534">
        <x:f>MAX(0,MIN(BK534,IF(AND(H534=1,C534="重要关系6",LEFT('幕间与结算'!H441,8)="建立新的重要关系"),'幕间与结算'!E441+E534,BV533+IF(C534="重要关系6",E534,0)+IF(AND(C534="魅力",E534&lt;0),E534,0))))</x:f>
        <x:v>0</x:v>
      </x:c>
      <x:c r="BW534">
        <x:f>MAX(0,MIN(BK534,IF(AND(H534=1,C534="重要关系7",LEFT('幕间与结算'!H441,8)="建立新的重要关系"),'幕间与结算'!E441+E534,BW533+IF(C534="重要关系7",E534,0)+IF(AND(C534="魅力",E534&lt;0),E534,0))))</x:f>
        <x:v>0</x:v>
      </x:c>
    </x:row>
    <x:row r="535">
      <x:c r="A535" t="str">
        <x:f>IFERROR(TEXT(VALUE('幕间与结算'!A442),"00"),"")</x:f>
        <x:v>00</x:v>
      </x:c>
      <x:c r="B535">
        <x:f>'幕间与结算'!B442</x:f>
        <x:v>0</x:v>
      </x:c>
      <x:c r="C535">
        <x:f>'幕间与结算'!D442</x:f>
        <x:v>0</x:v>
      </x:c>
      <x:c r="D535">
        <x:f>'幕间与结算'!F442</x:f>
        <x:v>0</x:v>
      </x:c>
      <x:c r="E535">
        <x:f>IF(H535=1,MAX(-'幕间与结算'!E442,MIN(D535,IF(LEFT(C535,3)="技能：",99,IF(COUNTIF($L$2:$L$7,C535)&gt;0,18,999))-'幕间与结算'!E442)),0)</x:f>
        <x:v>0</x:v>
      </x:c>
      <x:c r="F535" t="str">
        <x:f>IF(C535=0,"",IF(G535=0,"记录不完整",IF(H535=0,"重复未计","已计入")))</x:f>
        <x:v/>
      </x:c>
      <x:c r="G535">
        <x:f>IF(AND(AND('幕间与结算'!A442&lt;&gt;"",'幕间与结算'!B442&lt;&gt;"",'幕间与结算'!I442&lt;&gt;"",OR(LEFT(C535,3)="技能：",COUNTIF($L$2:$L$19,C535)&gt;0),ISNUMBER('幕间与结算'!E442),ISNUMBER('幕间与结算'!F442),ISNUMBER('幕间与结算'!G442),'幕间与结算'!E442&gt;=0,'幕间与结算'!G442='幕间与结算'!E442+'幕间与结算'!F442),OR(B535&lt;&gt;"成长",AND(LEFT(C535,3)="技能：",C535&lt;&gt;"技能：非自然知识",'幕间与结算'!E442&gt;=1,'幕间与结算'!E442&lt;=99,'幕间与结算'!F442&gt;=0,'幕间与结算'!F442&lt;=4,'幕间与结算'!G442&lt;=99))),1,0)</x:f>
        <x:v>0</x:v>
      </x:c>
      <x:c r="H535">
        <x:f>IF(AND(G535=1,COUNTIFS($I$200:I535,I535,$G$200:G535,1)=1),1,0)</x:f>
        <x:v>0</x:v>
      </x:c>
      <x:c r="I535" t="str">
        <x:f>IF(G535=1,IF(B535="成长",A535&amp;"-成长-"&amp;C535,'幕间与结算'!I442),"")</x:f>
        <x:v/>
      </x:c>
      <x:c r="BF535">
        <x:f>MAX(0,MIN(18,BF534+IF(C535="力量",E535,0)))</x:f>
        <x:v>0</x:v>
      </x:c>
      <x:c r="BG535">
        <x:f>MAX(0,MIN(18,BG534+IF(C535="体质",E535,0)))</x:f>
        <x:v>0</x:v>
      </x:c>
      <x:c r="BH535">
        <x:f>MAX(0,MIN(18,BH534+IF(C535="敏捷",E535,0)))</x:f>
        <x:v>0</x:v>
      </x:c>
      <x:c r="BI535">
        <x:f>MAX(0,MIN(18,BI534+IF(C535="智力",E535,0)))</x:f>
        <x:v>0</x:v>
      </x:c>
      <x:c r="BJ535">
        <x:f>MAX(0,MIN(18,BJ534+IF(C535="意志",E535,0)))</x:f>
        <x:v>0</x:v>
      </x:c>
      <x:c r="BK535">
        <x:f>MAX(0,MIN(18,BK534+IF(C535="魅力",E535,0)))</x:f>
        <x:v>0</x:v>
      </x:c>
      <x:c r="BL535">
        <x:f>MAX(0,MIN(99,BL534+IF(C535="技能：非自然知识",E535,0)))</x:f>
        <x:v>0</x:v>
      </x:c>
      <x:c r="BM535">
        <x:f>MAX(0,MIN(CEILING((BF535+BG535)/2,1),BM534+IF(C535="体力",E535,0)))</x:f>
        <x:v>0</x:v>
      </x:c>
      <x:c r="BN535">
        <x:f>MAX(0,MIN(BJ535,BN534+IF(C535="毅力",E535,0)))</x:f>
        <x:v>0</x:v>
      </x:c>
      <x:c r="BO535">
        <x:f>MAX(0,MIN(99-BL535,BO534+IF(C535="理智",E535,0)))</x:f>
        <x:v>0</x:v>
      </x:c>
      <x:c r="BP535">
        <x:f>MAX(0,MIN(99,BP534+IF(C535="崩溃点",E535,0)))</x:f>
        <x:v>0</x:v>
      </x:c>
      <x:c r="BQ535">
        <x:f>MAX(0,MIN(BK535,IF(AND(H535=1,C535="重要关系1",LEFT('幕间与结算'!H442,8)="建立新的重要关系"),'幕间与结算'!E442+E535,BQ534+IF(C535="重要关系1",E535,0)+IF(AND(C535="魅力",E535&lt;0),E535,0))))</x:f>
        <x:v>0</x:v>
      </x:c>
      <x:c r="BR535">
        <x:f>MAX(0,MIN(BK535,IF(AND(H535=1,C535="重要关系2",LEFT('幕间与结算'!H442,8)="建立新的重要关系"),'幕间与结算'!E442+E535,BR534+IF(C535="重要关系2",E535,0)+IF(AND(C535="魅力",E535&lt;0),E535,0))))</x:f>
        <x:v>0</x:v>
      </x:c>
      <x:c r="BS535">
        <x:f>MAX(0,MIN(BK535,IF(AND(H535=1,C535="重要关系3",LEFT('幕间与结算'!H442,8)="建立新的重要关系"),'幕间与结算'!E442+E535,BS534+IF(C535="重要关系3",E535,0)+IF(AND(C535="魅力",E535&lt;0),E535,0))))</x:f>
        <x:v>0</x:v>
      </x:c>
      <x:c r="BT535">
        <x:f>MAX(0,MIN(BK535,IF(AND(H535=1,C535="重要关系4",LEFT('幕间与结算'!H442,8)="建立新的重要关系"),'幕间与结算'!E442+E535,BT534+IF(C535="重要关系4",E535,0)+IF(AND(C535="魅力",E535&lt;0),E535,0))))</x:f>
        <x:v>0</x:v>
      </x:c>
      <x:c r="BU535">
        <x:f>MAX(0,MIN(BK535,IF(AND(H535=1,C535="重要关系5",LEFT('幕间与结算'!H442,8)="建立新的重要关系"),'幕间与结算'!E442+E535,BU534+IF(C535="重要关系5",E535,0)+IF(AND(C535="魅力",E535&lt;0),E535,0))))</x:f>
        <x:v>0</x:v>
      </x:c>
      <x:c r="BV535">
        <x:f>MAX(0,MIN(BK535,IF(AND(H535=1,C535="重要关系6",LEFT('幕间与结算'!H442,8)="建立新的重要关系"),'幕间与结算'!E442+E535,BV534+IF(C535="重要关系6",E535,0)+IF(AND(C535="魅力",E535&lt;0),E535,0))))</x:f>
        <x:v>0</x:v>
      </x:c>
      <x:c r="BW535">
        <x:f>MAX(0,MIN(BK535,IF(AND(H535=1,C535="重要关系7",LEFT('幕间与结算'!H442,8)="建立新的重要关系"),'幕间与结算'!E442+E535,BW534+IF(C535="重要关系7",E535,0)+IF(AND(C535="魅力",E535&lt;0),E535,0))))</x:f>
        <x:v>0</x:v>
      </x:c>
    </x:row>
    <x:row r="536">
      <x:c r="A536" t="str">
        <x:f>IFERROR(TEXT(VALUE('幕间与结算'!A443),"00"),"")</x:f>
        <x:v>00</x:v>
      </x:c>
      <x:c r="B536">
        <x:f>'幕间与结算'!B443</x:f>
        <x:v>0</x:v>
      </x:c>
      <x:c r="C536">
        <x:f>'幕间与结算'!D443</x:f>
        <x:v>0</x:v>
      </x:c>
      <x:c r="D536">
        <x:f>'幕间与结算'!F443</x:f>
        <x:v>0</x:v>
      </x:c>
      <x:c r="E536">
        <x:f>IF(H536=1,MAX(-'幕间与结算'!E443,MIN(D536,IF(LEFT(C536,3)="技能：",99,IF(COUNTIF($L$2:$L$7,C536)&gt;0,18,999))-'幕间与结算'!E443)),0)</x:f>
        <x:v>0</x:v>
      </x:c>
      <x:c r="F536" t="str">
        <x:f>IF(C536=0,"",IF(G536=0,"记录不完整",IF(H536=0,"重复未计","已计入")))</x:f>
        <x:v/>
      </x:c>
      <x:c r="G536">
        <x:f>IF(AND(AND('幕间与结算'!A443&lt;&gt;"",'幕间与结算'!B443&lt;&gt;"",'幕间与结算'!I443&lt;&gt;"",OR(LEFT(C536,3)="技能：",COUNTIF($L$2:$L$19,C536)&gt;0),ISNUMBER('幕间与结算'!E443),ISNUMBER('幕间与结算'!F443),ISNUMBER('幕间与结算'!G443),'幕间与结算'!E443&gt;=0,'幕间与结算'!G443='幕间与结算'!E443+'幕间与结算'!F443),OR(B536&lt;&gt;"成长",AND(LEFT(C536,3)="技能：",C536&lt;&gt;"技能：非自然知识",'幕间与结算'!E443&gt;=1,'幕间与结算'!E443&lt;=99,'幕间与结算'!F443&gt;=0,'幕间与结算'!F443&lt;=4,'幕间与结算'!G443&lt;=99))),1,0)</x:f>
        <x:v>0</x:v>
      </x:c>
      <x:c r="H536">
        <x:f>IF(AND(G536=1,COUNTIFS($I$200:I536,I536,$G$200:G536,1)=1),1,0)</x:f>
        <x:v>0</x:v>
      </x:c>
      <x:c r="I536" t="str">
        <x:f>IF(G536=1,IF(B536="成长",A536&amp;"-成长-"&amp;C536,'幕间与结算'!I443),"")</x:f>
        <x:v/>
      </x:c>
      <x:c r="BF536">
        <x:f>MAX(0,MIN(18,BF535+IF(C536="力量",E536,0)))</x:f>
        <x:v>0</x:v>
      </x:c>
      <x:c r="BG536">
        <x:f>MAX(0,MIN(18,BG535+IF(C536="体质",E536,0)))</x:f>
        <x:v>0</x:v>
      </x:c>
      <x:c r="BH536">
        <x:f>MAX(0,MIN(18,BH535+IF(C536="敏捷",E536,0)))</x:f>
        <x:v>0</x:v>
      </x:c>
      <x:c r="BI536">
        <x:f>MAX(0,MIN(18,BI535+IF(C536="智力",E536,0)))</x:f>
        <x:v>0</x:v>
      </x:c>
      <x:c r="BJ536">
        <x:f>MAX(0,MIN(18,BJ535+IF(C536="意志",E536,0)))</x:f>
        <x:v>0</x:v>
      </x:c>
      <x:c r="BK536">
        <x:f>MAX(0,MIN(18,BK535+IF(C536="魅力",E536,0)))</x:f>
        <x:v>0</x:v>
      </x:c>
      <x:c r="BL536">
        <x:f>MAX(0,MIN(99,BL535+IF(C536="技能：非自然知识",E536,0)))</x:f>
        <x:v>0</x:v>
      </x:c>
      <x:c r="BM536">
        <x:f>MAX(0,MIN(CEILING((BF536+BG536)/2,1),BM535+IF(C536="体力",E536,0)))</x:f>
        <x:v>0</x:v>
      </x:c>
      <x:c r="BN536">
        <x:f>MAX(0,MIN(BJ536,BN535+IF(C536="毅力",E536,0)))</x:f>
        <x:v>0</x:v>
      </x:c>
      <x:c r="BO536">
        <x:f>MAX(0,MIN(99-BL536,BO535+IF(C536="理智",E536,0)))</x:f>
        <x:v>0</x:v>
      </x:c>
      <x:c r="BP536">
        <x:f>MAX(0,MIN(99,BP535+IF(C536="崩溃点",E536,0)))</x:f>
        <x:v>0</x:v>
      </x:c>
      <x:c r="BQ536">
        <x:f>MAX(0,MIN(BK536,IF(AND(H536=1,C536="重要关系1",LEFT('幕间与结算'!H443,8)="建立新的重要关系"),'幕间与结算'!E443+E536,BQ535+IF(C536="重要关系1",E536,0)+IF(AND(C536="魅力",E536&lt;0),E536,0))))</x:f>
        <x:v>0</x:v>
      </x:c>
      <x:c r="BR536">
        <x:f>MAX(0,MIN(BK536,IF(AND(H536=1,C536="重要关系2",LEFT('幕间与结算'!H443,8)="建立新的重要关系"),'幕间与结算'!E443+E536,BR535+IF(C536="重要关系2",E536,0)+IF(AND(C536="魅力",E536&lt;0),E536,0))))</x:f>
        <x:v>0</x:v>
      </x:c>
      <x:c r="BS536">
        <x:f>MAX(0,MIN(BK536,IF(AND(H536=1,C536="重要关系3",LEFT('幕间与结算'!H443,8)="建立新的重要关系"),'幕间与结算'!E443+E536,BS535+IF(C536="重要关系3",E536,0)+IF(AND(C536="魅力",E536&lt;0),E536,0))))</x:f>
        <x:v>0</x:v>
      </x:c>
      <x:c r="BT536">
        <x:f>MAX(0,MIN(BK536,IF(AND(H536=1,C536="重要关系4",LEFT('幕间与结算'!H443,8)="建立新的重要关系"),'幕间与结算'!E443+E536,BT535+IF(C536="重要关系4",E536,0)+IF(AND(C536="魅力",E536&lt;0),E536,0))))</x:f>
        <x:v>0</x:v>
      </x:c>
      <x:c r="BU536">
        <x:f>MAX(0,MIN(BK536,IF(AND(H536=1,C536="重要关系5",LEFT('幕间与结算'!H443,8)="建立新的重要关系"),'幕间与结算'!E443+E536,BU535+IF(C536="重要关系5",E536,0)+IF(AND(C536="魅力",E536&lt;0),E536,0))))</x:f>
        <x:v>0</x:v>
      </x:c>
      <x:c r="BV536">
        <x:f>MAX(0,MIN(BK536,IF(AND(H536=1,C536="重要关系6",LEFT('幕间与结算'!H443,8)="建立新的重要关系"),'幕间与结算'!E443+E536,BV535+IF(C536="重要关系6",E536,0)+IF(AND(C536="魅力",E536&lt;0),E536,0))))</x:f>
        <x:v>0</x:v>
      </x:c>
      <x:c r="BW536">
        <x:f>MAX(0,MIN(BK536,IF(AND(H536=1,C536="重要关系7",LEFT('幕间与结算'!H443,8)="建立新的重要关系"),'幕间与结算'!E443+E536,BW535+IF(C536="重要关系7",E536,0)+IF(AND(C536="魅力",E536&lt;0),E536,0))))</x:f>
        <x:v>0</x:v>
      </x:c>
    </x:row>
    <x:row r="537">
      <x:c r="A537" t="str">
        <x:f>IFERROR(TEXT(VALUE('幕间与结算'!A444),"00"),"")</x:f>
        <x:v>00</x:v>
      </x:c>
      <x:c r="B537">
        <x:f>'幕间与结算'!B444</x:f>
        <x:v>0</x:v>
      </x:c>
      <x:c r="C537">
        <x:f>'幕间与结算'!D444</x:f>
        <x:v>0</x:v>
      </x:c>
      <x:c r="D537">
        <x:f>'幕间与结算'!F444</x:f>
        <x:v>0</x:v>
      </x:c>
      <x:c r="E537">
        <x:f>IF(H537=1,MAX(-'幕间与结算'!E444,MIN(D537,IF(LEFT(C537,3)="技能：",99,IF(COUNTIF($L$2:$L$7,C537)&gt;0,18,999))-'幕间与结算'!E444)),0)</x:f>
        <x:v>0</x:v>
      </x:c>
      <x:c r="F537" t="str">
        <x:f>IF(C537=0,"",IF(G537=0,"记录不完整",IF(H537=0,"重复未计","已计入")))</x:f>
        <x:v/>
      </x:c>
      <x:c r="G537">
        <x:f>IF(AND(AND('幕间与结算'!A444&lt;&gt;"",'幕间与结算'!B444&lt;&gt;"",'幕间与结算'!I444&lt;&gt;"",OR(LEFT(C537,3)="技能：",COUNTIF($L$2:$L$19,C537)&gt;0),ISNUMBER('幕间与结算'!E444),ISNUMBER('幕间与结算'!F444),ISNUMBER('幕间与结算'!G444),'幕间与结算'!E444&gt;=0,'幕间与结算'!G444='幕间与结算'!E444+'幕间与结算'!F444),OR(B537&lt;&gt;"成长",AND(LEFT(C537,3)="技能：",C537&lt;&gt;"技能：非自然知识",'幕间与结算'!E444&gt;=1,'幕间与结算'!E444&lt;=99,'幕间与结算'!F444&gt;=0,'幕间与结算'!F444&lt;=4,'幕间与结算'!G444&lt;=99))),1,0)</x:f>
        <x:v>0</x:v>
      </x:c>
      <x:c r="H537">
        <x:f>IF(AND(G537=1,COUNTIFS($I$200:I537,I537,$G$200:G537,1)=1),1,0)</x:f>
        <x:v>0</x:v>
      </x:c>
      <x:c r="I537" t="str">
        <x:f>IF(G537=1,IF(B537="成长",A537&amp;"-成长-"&amp;C537,'幕间与结算'!I444),"")</x:f>
        <x:v/>
      </x:c>
      <x:c r="BF537">
        <x:f>MAX(0,MIN(18,BF536+IF(C537="力量",E537,0)))</x:f>
        <x:v>0</x:v>
      </x:c>
      <x:c r="BG537">
        <x:f>MAX(0,MIN(18,BG536+IF(C537="体质",E537,0)))</x:f>
        <x:v>0</x:v>
      </x:c>
      <x:c r="BH537">
        <x:f>MAX(0,MIN(18,BH536+IF(C537="敏捷",E537,0)))</x:f>
        <x:v>0</x:v>
      </x:c>
      <x:c r="BI537">
        <x:f>MAX(0,MIN(18,BI536+IF(C537="智力",E537,0)))</x:f>
        <x:v>0</x:v>
      </x:c>
      <x:c r="BJ537">
        <x:f>MAX(0,MIN(18,BJ536+IF(C537="意志",E537,0)))</x:f>
        <x:v>0</x:v>
      </x:c>
      <x:c r="BK537">
        <x:f>MAX(0,MIN(18,BK536+IF(C537="魅力",E537,0)))</x:f>
        <x:v>0</x:v>
      </x:c>
      <x:c r="BL537">
        <x:f>MAX(0,MIN(99,BL536+IF(C537="技能：非自然知识",E537,0)))</x:f>
        <x:v>0</x:v>
      </x:c>
      <x:c r="BM537">
        <x:f>MAX(0,MIN(CEILING((BF537+BG537)/2,1),BM536+IF(C537="体力",E537,0)))</x:f>
        <x:v>0</x:v>
      </x:c>
      <x:c r="BN537">
        <x:f>MAX(0,MIN(BJ537,BN536+IF(C537="毅力",E537,0)))</x:f>
        <x:v>0</x:v>
      </x:c>
      <x:c r="BO537">
        <x:f>MAX(0,MIN(99-BL537,BO536+IF(C537="理智",E537,0)))</x:f>
        <x:v>0</x:v>
      </x:c>
      <x:c r="BP537">
        <x:f>MAX(0,MIN(99,BP536+IF(C537="崩溃点",E537,0)))</x:f>
        <x:v>0</x:v>
      </x:c>
      <x:c r="BQ537">
        <x:f>MAX(0,MIN(BK537,IF(AND(H537=1,C537="重要关系1",LEFT('幕间与结算'!H444,8)="建立新的重要关系"),'幕间与结算'!E444+E537,BQ536+IF(C537="重要关系1",E537,0)+IF(AND(C537="魅力",E537&lt;0),E537,0))))</x:f>
        <x:v>0</x:v>
      </x:c>
      <x:c r="BR537">
        <x:f>MAX(0,MIN(BK537,IF(AND(H537=1,C537="重要关系2",LEFT('幕间与结算'!H444,8)="建立新的重要关系"),'幕间与结算'!E444+E537,BR536+IF(C537="重要关系2",E537,0)+IF(AND(C537="魅力",E537&lt;0),E537,0))))</x:f>
        <x:v>0</x:v>
      </x:c>
      <x:c r="BS537">
        <x:f>MAX(0,MIN(BK537,IF(AND(H537=1,C537="重要关系3",LEFT('幕间与结算'!H444,8)="建立新的重要关系"),'幕间与结算'!E444+E537,BS536+IF(C537="重要关系3",E537,0)+IF(AND(C537="魅力",E537&lt;0),E537,0))))</x:f>
        <x:v>0</x:v>
      </x:c>
      <x:c r="BT537">
        <x:f>MAX(0,MIN(BK537,IF(AND(H537=1,C537="重要关系4",LEFT('幕间与结算'!H444,8)="建立新的重要关系"),'幕间与结算'!E444+E537,BT536+IF(C537="重要关系4",E537,0)+IF(AND(C537="魅力",E537&lt;0),E537,0))))</x:f>
        <x:v>0</x:v>
      </x:c>
      <x:c r="BU537">
        <x:f>MAX(0,MIN(BK537,IF(AND(H537=1,C537="重要关系5",LEFT('幕间与结算'!H444,8)="建立新的重要关系"),'幕间与结算'!E444+E537,BU536+IF(C537="重要关系5",E537,0)+IF(AND(C537="魅力",E537&lt;0),E537,0))))</x:f>
        <x:v>0</x:v>
      </x:c>
      <x:c r="BV537">
        <x:f>MAX(0,MIN(BK537,IF(AND(H537=1,C537="重要关系6",LEFT('幕间与结算'!H444,8)="建立新的重要关系"),'幕间与结算'!E444+E537,BV536+IF(C537="重要关系6",E537,0)+IF(AND(C537="魅力",E537&lt;0),E537,0))))</x:f>
        <x:v>0</x:v>
      </x:c>
      <x:c r="BW537">
        <x:f>MAX(0,MIN(BK537,IF(AND(H537=1,C537="重要关系7",LEFT('幕间与结算'!H444,8)="建立新的重要关系"),'幕间与结算'!E444+E537,BW536+IF(C537="重要关系7",E537,0)+IF(AND(C537="魅力",E537&lt;0),E537,0))))</x:f>
        <x:v>0</x:v>
      </x:c>
    </x:row>
    <x:row r="538">
      <x:c r="A538" t="str">
        <x:f>IFERROR(TEXT(VALUE('幕间与结算'!A445),"00"),"")</x:f>
        <x:v>00</x:v>
      </x:c>
      <x:c r="B538">
        <x:f>'幕间与结算'!B445</x:f>
        <x:v>0</x:v>
      </x:c>
      <x:c r="C538">
        <x:f>'幕间与结算'!D445</x:f>
        <x:v>0</x:v>
      </x:c>
      <x:c r="D538">
        <x:f>'幕间与结算'!F445</x:f>
        <x:v>0</x:v>
      </x:c>
      <x:c r="E538">
        <x:f>IF(H538=1,MAX(-'幕间与结算'!E445,MIN(D538,IF(LEFT(C538,3)="技能：",99,IF(COUNTIF($L$2:$L$7,C538)&gt;0,18,999))-'幕间与结算'!E445)),0)</x:f>
        <x:v>0</x:v>
      </x:c>
      <x:c r="F538" t="str">
        <x:f>IF(C538=0,"",IF(G538=0,"记录不完整",IF(H538=0,"重复未计","已计入")))</x:f>
        <x:v/>
      </x:c>
      <x:c r="G538">
        <x:f>IF(AND(AND('幕间与结算'!A445&lt;&gt;"",'幕间与结算'!B445&lt;&gt;"",'幕间与结算'!I445&lt;&gt;"",OR(LEFT(C538,3)="技能：",COUNTIF($L$2:$L$19,C538)&gt;0),ISNUMBER('幕间与结算'!E445),ISNUMBER('幕间与结算'!F445),ISNUMBER('幕间与结算'!G445),'幕间与结算'!E445&gt;=0,'幕间与结算'!G445='幕间与结算'!E445+'幕间与结算'!F445),OR(B538&lt;&gt;"成长",AND(LEFT(C538,3)="技能：",C538&lt;&gt;"技能：非自然知识",'幕间与结算'!E445&gt;=1,'幕间与结算'!E445&lt;=99,'幕间与结算'!F445&gt;=0,'幕间与结算'!F445&lt;=4,'幕间与结算'!G445&lt;=99))),1,0)</x:f>
        <x:v>0</x:v>
      </x:c>
      <x:c r="H538">
        <x:f>IF(AND(G538=1,COUNTIFS($I$200:I538,I538,$G$200:G538,1)=1),1,0)</x:f>
        <x:v>0</x:v>
      </x:c>
      <x:c r="I538" t="str">
        <x:f>IF(G538=1,IF(B538="成长",A538&amp;"-成长-"&amp;C538,'幕间与结算'!I445),"")</x:f>
        <x:v/>
      </x:c>
      <x:c r="BF538">
        <x:f>MAX(0,MIN(18,BF537+IF(C538="力量",E538,0)))</x:f>
        <x:v>0</x:v>
      </x:c>
      <x:c r="BG538">
        <x:f>MAX(0,MIN(18,BG537+IF(C538="体质",E538,0)))</x:f>
        <x:v>0</x:v>
      </x:c>
      <x:c r="BH538">
        <x:f>MAX(0,MIN(18,BH537+IF(C538="敏捷",E538,0)))</x:f>
        <x:v>0</x:v>
      </x:c>
      <x:c r="BI538">
        <x:f>MAX(0,MIN(18,BI537+IF(C538="智力",E538,0)))</x:f>
        <x:v>0</x:v>
      </x:c>
      <x:c r="BJ538">
        <x:f>MAX(0,MIN(18,BJ537+IF(C538="意志",E538,0)))</x:f>
        <x:v>0</x:v>
      </x:c>
      <x:c r="BK538">
        <x:f>MAX(0,MIN(18,BK537+IF(C538="魅力",E538,0)))</x:f>
        <x:v>0</x:v>
      </x:c>
      <x:c r="BL538">
        <x:f>MAX(0,MIN(99,BL537+IF(C538="技能：非自然知识",E538,0)))</x:f>
        <x:v>0</x:v>
      </x:c>
      <x:c r="BM538">
        <x:f>MAX(0,MIN(CEILING((BF538+BG538)/2,1),BM537+IF(C538="体力",E538,0)))</x:f>
        <x:v>0</x:v>
      </x:c>
      <x:c r="BN538">
        <x:f>MAX(0,MIN(BJ538,BN537+IF(C538="毅力",E538,0)))</x:f>
        <x:v>0</x:v>
      </x:c>
      <x:c r="BO538">
        <x:f>MAX(0,MIN(99-BL538,BO537+IF(C538="理智",E538,0)))</x:f>
        <x:v>0</x:v>
      </x:c>
      <x:c r="BP538">
        <x:f>MAX(0,MIN(99,BP537+IF(C538="崩溃点",E538,0)))</x:f>
        <x:v>0</x:v>
      </x:c>
      <x:c r="BQ538">
        <x:f>MAX(0,MIN(BK538,IF(AND(H538=1,C538="重要关系1",LEFT('幕间与结算'!H445,8)="建立新的重要关系"),'幕间与结算'!E445+E538,BQ537+IF(C538="重要关系1",E538,0)+IF(AND(C538="魅力",E538&lt;0),E538,0))))</x:f>
        <x:v>0</x:v>
      </x:c>
      <x:c r="BR538">
        <x:f>MAX(0,MIN(BK538,IF(AND(H538=1,C538="重要关系2",LEFT('幕间与结算'!H445,8)="建立新的重要关系"),'幕间与结算'!E445+E538,BR537+IF(C538="重要关系2",E538,0)+IF(AND(C538="魅力",E538&lt;0),E538,0))))</x:f>
        <x:v>0</x:v>
      </x:c>
      <x:c r="BS538">
        <x:f>MAX(0,MIN(BK538,IF(AND(H538=1,C538="重要关系3",LEFT('幕间与结算'!H445,8)="建立新的重要关系"),'幕间与结算'!E445+E538,BS537+IF(C538="重要关系3",E538,0)+IF(AND(C538="魅力",E538&lt;0),E538,0))))</x:f>
        <x:v>0</x:v>
      </x:c>
      <x:c r="BT538">
        <x:f>MAX(0,MIN(BK538,IF(AND(H538=1,C538="重要关系4",LEFT('幕间与结算'!H445,8)="建立新的重要关系"),'幕间与结算'!E445+E538,BT537+IF(C538="重要关系4",E538,0)+IF(AND(C538="魅力",E538&lt;0),E538,0))))</x:f>
        <x:v>0</x:v>
      </x:c>
      <x:c r="BU538">
        <x:f>MAX(0,MIN(BK538,IF(AND(H538=1,C538="重要关系5",LEFT('幕间与结算'!H445,8)="建立新的重要关系"),'幕间与结算'!E445+E538,BU537+IF(C538="重要关系5",E538,0)+IF(AND(C538="魅力",E538&lt;0),E538,0))))</x:f>
        <x:v>0</x:v>
      </x:c>
      <x:c r="BV538">
        <x:f>MAX(0,MIN(BK538,IF(AND(H538=1,C538="重要关系6",LEFT('幕间与结算'!H445,8)="建立新的重要关系"),'幕间与结算'!E445+E538,BV537+IF(C538="重要关系6",E538,0)+IF(AND(C538="魅力",E538&lt;0),E538,0))))</x:f>
        <x:v>0</x:v>
      </x:c>
      <x:c r="BW538">
        <x:f>MAX(0,MIN(BK538,IF(AND(H538=1,C538="重要关系7",LEFT('幕间与结算'!H445,8)="建立新的重要关系"),'幕间与结算'!E445+E538,BW537+IF(C538="重要关系7",E538,0)+IF(AND(C538="魅力",E538&lt;0),E538,0))))</x:f>
        <x:v>0</x:v>
      </x:c>
    </x:row>
    <x:row r="539">
      <x:c r="A539" t="str">
        <x:f>IFERROR(TEXT(VALUE('幕间与结算'!A446),"00"),"")</x:f>
        <x:v>00</x:v>
      </x:c>
      <x:c r="B539">
        <x:f>'幕间与结算'!B446</x:f>
        <x:v>0</x:v>
      </x:c>
      <x:c r="C539">
        <x:f>'幕间与结算'!D446</x:f>
        <x:v>0</x:v>
      </x:c>
      <x:c r="D539">
        <x:f>'幕间与结算'!F446</x:f>
        <x:v>0</x:v>
      </x:c>
      <x:c r="E539">
        <x:f>IF(H539=1,MAX(-'幕间与结算'!E446,MIN(D539,IF(LEFT(C539,3)="技能：",99,IF(COUNTIF($L$2:$L$7,C539)&gt;0,18,999))-'幕间与结算'!E446)),0)</x:f>
        <x:v>0</x:v>
      </x:c>
      <x:c r="F539" t="str">
        <x:f>IF(C539=0,"",IF(G539=0,"记录不完整",IF(H539=0,"重复未计","已计入")))</x:f>
        <x:v/>
      </x:c>
      <x:c r="G539">
        <x:f>IF(AND(AND('幕间与结算'!A446&lt;&gt;"",'幕间与结算'!B446&lt;&gt;"",'幕间与结算'!I446&lt;&gt;"",OR(LEFT(C539,3)="技能：",COUNTIF($L$2:$L$19,C539)&gt;0),ISNUMBER('幕间与结算'!E446),ISNUMBER('幕间与结算'!F446),ISNUMBER('幕间与结算'!G446),'幕间与结算'!E446&gt;=0,'幕间与结算'!G446='幕间与结算'!E446+'幕间与结算'!F446),OR(B539&lt;&gt;"成长",AND(LEFT(C539,3)="技能：",C539&lt;&gt;"技能：非自然知识",'幕间与结算'!E446&gt;=1,'幕间与结算'!E446&lt;=99,'幕间与结算'!F446&gt;=0,'幕间与结算'!F446&lt;=4,'幕间与结算'!G446&lt;=99))),1,0)</x:f>
        <x:v>0</x:v>
      </x:c>
      <x:c r="H539">
        <x:f>IF(AND(G539=1,COUNTIFS($I$200:I539,I539,$G$200:G539,1)=1),1,0)</x:f>
        <x:v>0</x:v>
      </x:c>
      <x:c r="I539" t="str">
        <x:f>IF(G539=1,IF(B539="成长",A539&amp;"-成长-"&amp;C539,'幕间与结算'!I446),"")</x:f>
        <x:v/>
      </x:c>
      <x:c r="BF539">
        <x:f>MAX(0,MIN(18,BF538+IF(C539="力量",E539,0)))</x:f>
        <x:v>0</x:v>
      </x:c>
      <x:c r="BG539">
        <x:f>MAX(0,MIN(18,BG538+IF(C539="体质",E539,0)))</x:f>
        <x:v>0</x:v>
      </x:c>
      <x:c r="BH539">
        <x:f>MAX(0,MIN(18,BH538+IF(C539="敏捷",E539,0)))</x:f>
        <x:v>0</x:v>
      </x:c>
      <x:c r="BI539">
        <x:f>MAX(0,MIN(18,BI538+IF(C539="智力",E539,0)))</x:f>
        <x:v>0</x:v>
      </x:c>
      <x:c r="BJ539">
        <x:f>MAX(0,MIN(18,BJ538+IF(C539="意志",E539,0)))</x:f>
        <x:v>0</x:v>
      </x:c>
      <x:c r="BK539">
        <x:f>MAX(0,MIN(18,BK538+IF(C539="魅力",E539,0)))</x:f>
        <x:v>0</x:v>
      </x:c>
      <x:c r="BL539">
        <x:f>MAX(0,MIN(99,BL538+IF(C539="技能：非自然知识",E539,0)))</x:f>
        <x:v>0</x:v>
      </x:c>
      <x:c r="BM539">
        <x:f>MAX(0,MIN(CEILING((BF539+BG539)/2,1),BM538+IF(C539="体力",E539,0)))</x:f>
        <x:v>0</x:v>
      </x:c>
      <x:c r="BN539">
        <x:f>MAX(0,MIN(BJ539,BN538+IF(C539="毅力",E539,0)))</x:f>
        <x:v>0</x:v>
      </x:c>
      <x:c r="BO539">
        <x:f>MAX(0,MIN(99-BL539,BO538+IF(C539="理智",E539,0)))</x:f>
        <x:v>0</x:v>
      </x:c>
      <x:c r="BP539">
        <x:f>MAX(0,MIN(99,BP538+IF(C539="崩溃点",E539,0)))</x:f>
        <x:v>0</x:v>
      </x:c>
      <x:c r="BQ539">
        <x:f>MAX(0,MIN(BK539,IF(AND(H539=1,C539="重要关系1",LEFT('幕间与结算'!H446,8)="建立新的重要关系"),'幕间与结算'!E446+E539,BQ538+IF(C539="重要关系1",E539,0)+IF(AND(C539="魅力",E539&lt;0),E539,0))))</x:f>
        <x:v>0</x:v>
      </x:c>
      <x:c r="BR539">
        <x:f>MAX(0,MIN(BK539,IF(AND(H539=1,C539="重要关系2",LEFT('幕间与结算'!H446,8)="建立新的重要关系"),'幕间与结算'!E446+E539,BR538+IF(C539="重要关系2",E539,0)+IF(AND(C539="魅力",E539&lt;0),E539,0))))</x:f>
        <x:v>0</x:v>
      </x:c>
      <x:c r="BS539">
        <x:f>MAX(0,MIN(BK539,IF(AND(H539=1,C539="重要关系3",LEFT('幕间与结算'!H446,8)="建立新的重要关系"),'幕间与结算'!E446+E539,BS538+IF(C539="重要关系3",E539,0)+IF(AND(C539="魅力",E539&lt;0),E539,0))))</x:f>
        <x:v>0</x:v>
      </x:c>
      <x:c r="BT539">
        <x:f>MAX(0,MIN(BK539,IF(AND(H539=1,C539="重要关系4",LEFT('幕间与结算'!H446,8)="建立新的重要关系"),'幕间与结算'!E446+E539,BT538+IF(C539="重要关系4",E539,0)+IF(AND(C539="魅力",E539&lt;0),E539,0))))</x:f>
        <x:v>0</x:v>
      </x:c>
      <x:c r="BU539">
        <x:f>MAX(0,MIN(BK539,IF(AND(H539=1,C539="重要关系5",LEFT('幕间与结算'!H446,8)="建立新的重要关系"),'幕间与结算'!E446+E539,BU538+IF(C539="重要关系5",E539,0)+IF(AND(C539="魅力",E539&lt;0),E539,0))))</x:f>
        <x:v>0</x:v>
      </x:c>
      <x:c r="BV539">
        <x:f>MAX(0,MIN(BK539,IF(AND(H539=1,C539="重要关系6",LEFT('幕间与结算'!H446,8)="建立新的重要关系"),'幕间与结算'!E446+E539,BV538+IF(C539="重要关系6",E539,0)+IF(AND(C539="魅力",E539&lt;0),E539,0))))</x:f>
        <x:v>0</x:v>
      </x:c>
      <x:c r="BW539">
        <x:f>MAX(0,MIN(BK539,IF(AND(H539=1,C539="重要关系7",LEFT('幕间与结算'!H446,8)="建立新的重要关系"),'幕间与结算'!E446+E539,BW538+IF(C539="重要关系7",E539,0)+IF(AND(C539="魅力",E539&lt;0),E539,0))))</x:f>
        <x:v>0</x:v>
      </x:c>
    </x:row>
    <x:row r="540">
      <x:c r="A540" t="str">
        <x:f>IFERROR(TEXT(VALUE('幕间与结算'!A447),"00"),"")</x:f>
        <x:v>00</x:v>
      </x:c>
      <x:c r="B540">
        <x:f>'幕间与结算'!B447</x:f>
        <x:v>0</x:v>
      </x:c>
      <x:c r="C540">
        <x:f>'幕间与结算'!D447</x:f>
        <x:v>0</x:v>
      </x:c>
      <x:c r="D540">
        <x:f>'幕间与结算'!F447</x:f>
        <x:v>0</x:v>
      </x:c>
      <x:c r="E540">
        <x:f>IF(H540=1,MAX(-'幕间与结算'!E447,MIN(D540,IF(LEFT(C540,3)="技能：",99,IF(COUNTIF($L$2:$L$7,C540)&gt;0,18,999))-'幕间与结算'!E447)),0)</x:f>
        <x:v>0</x:v>
      </x:c>
      <x:c r="F540" t="str">
        <x:f>IF(C540=0,"",IF(G540=0,"记录不完整",IF(H540=0,"重复未计","已计入")))</x:f>
        <x:v/>
      </x:c>
      <x:c r="G540">
        <x:f>IF(AND(AND('幕间与结算'!A447&lt;&gt;"",'幕间与结算'!B447&lt;&gt;"",'幕间与结算'!I447&lt;&gt;"",OR(LEFT(C540,3)="技能：",COUNTIF($L$2:$L$19,C540)&gt;0),ISNUMBER('幕间与结算'!E447),ISNUMBER('幕间与结算'!F447),ISNUMBER('幕间与结算'!G447),'幕间与结算'!E447&gt;=0,'幕间与结算'!G447='幕间与结算'!E447+'幕间与结算'!F447),OR(B540&lt;&gt;"成长",AND(LEFT(C540,3)="技能：",C540&lt;&gt;"技能：非自然知识",'幕间与结算'!E447&gt;=1,'幕间与结算'!E447&lt;=99,'幕间与结算'!F447&gt;=0,'幕间与结算'!F447&lt;=4,'幕间与结算'!G447&lt;=99))),1,0)</x:f>
        <x:v>0</x:v>
      </x:c>
      <x:c r="H540">
        <x:f>IF(AND(G540=1,COUNTIFS($I$200:I540,I540,$G$200:G540,1)=1),1,0)</x:f>
        <x:v>0</x:v>
      </x:c>
      <x:c r="I540" t="str">
        <x:f>IF(G540=1,IF(B540="成长",A540&amp;"-成长-"&amp;C540,'幕间与结算'!I447),"")</x:f>
        <x:v/>
      </x:c>
      <x:c r="BF540">
        <x:f>MAX(0,MIN(18,BF539+IF(C540="力量",E540,0)))</x:f>
        <x:v>0</x:v>
      </x:c>
      <x:c r="BG540">
        <x:f>MAX(0,MIN(18,BG539+IF(C540="体质",E540,0)))</x:f>
        <x:v>0</x:v>
      </x:c>
      <x:c r="BH540">
        <x:f>MAX(0,MIN(18,BH539+IF(C540="敏捷",E540,0)))</x:f>
        <x:v>0</x:v>
      </x:c>
      <x:c r="BI540">
        <x:f>MAX(0,MIN(18,BI539+IF(C540="智力",E540,0)))</x:f>
        <x:v>0</x:v>
      </x:c>
      <x:c r="BJ540">
        <x:f>MAX(0,MIN(18,BJ539+IF(C540="意志",E540,0)))</x:f>
        <x:v>0</x:v>
      </x:c>
      <x:c r="BK540">
        <x:f>MAX(0,MIN(18,BK539+IF(C540="魅力",E540,0)))</x:f>
        <x:v>0</x:v>
      </x:c>
      <x:c r="BL540">
        <x:f>MAX(0,MIN(99,BL539+IF(C540="技能：非自然知识",E540,0)))</x:f>
        <x:v>0</x:v>
      </x:c>
      <x:c r="BM540">
        <x:f>MAX(0,MIN(CEILING((BF540+BG540)/2,1),BM539+IF(C540="体力",E540,0)))</x:f>
        <x:v>0</x:v>
      </x:c>
      <x:c r="BN540">
        <x:f>MAX(0,MIN(BJ540,BN539+IF(C540="毅力",E540,0)))</x:f>
        <x:v>0</x:v>
      </x:c>
      <x:c r="BO540">
        <x:f>MAX(0,MIN(99-BL540,BO539+IF(C540="理智",E540,0)))</x:f>
        <x:v>0</x:v>
      </x:c>
      <x:c r="BP540">
        <x:f>MAX(0,MIN(99,BP539+IF(C540="崩溃点",E540,0)))</x:f>
        <x:v>0</x:v>
      </x:c>
      <x:c r="BQ540">
        <x:f>MAX(0,MIN(BK540,IF(AND(H540=1,C540="重要关系1",LEFT('幕间与结算'!H447,8)="建立新的重要关系"),'幕间与结算'!E447+E540,BQ539+IF(C540="重要关系1",E540,0)+IF(AND(C540="魅力",E540&lt;0),E540,0))))</x:f>
        <x:v>0</x:v>
      </x:c>
      <x:c r="BR540">
        <x:f>MAX(0,MIN(BK540,IF(AND(H540=1,C540="重要关系2",LEFT('幕间与结算'!H447,8)="建立新的重要关系"),'幕间与结算'!E447+E540,BR539+IF(C540="重要关系2",E540,0)+IF(AND(C540="魅力",E540&lt;0),E540,0))))</x:f>
        <x:v>0</x:v>
      </x:c>
      <x:c r="BS540">
        <x:f>MAX(0,MIN(BK540,IF(AND(H540=1,C540="重要关系3",LEFT('幕间与结算'!H447,8)="建立新的重要关系"),'幕间与结算'!E447+E540,BS539+IF(C540="重要关系3",E540,0)+IF(AND(C540="魅力",E540&lt;0),E540,0))))</x:f>
        <x:v>0</x:v>
      </x:c>
      <x:c r="BT540">
        <x:f>MAX(0,MIN(BK540,IF(AND(H540=1,C540="重要关系4",LEFT('幕间与结算'!H447,8)="建立新的重要关系"),'幕间与结算'!E447+E540,BT539+IF(C540="重要关系4",E540,0)+IF(AND(C540="魅力",E540&lt;0),E540,0))))</x:f>
        <x:v>0</x:v>
      </x:c>
      <x:c r="BU540">
        <x:f>MAX(0,MIN(BK540,IF(AND(H540=1,C540="重要关系5",LEFT('幕间与结算'!H447,8)="建立新的重要关系"),'幕间与结算'!E447+E540,BU539+IF(C540="重要关系5",E540,0)+IF(AND(C540="魅力",E540&lt;0),E540,0))))</x:f>
        <x:v>0</x:v>
      </x:c>
      <x:c r="BV540">
        <x:f>MAX(0,MIN(BK540,IF(AND(H540=1,C540="重要关系6",LEFT('幕间与结算'!H447,8)="建立新的重要关系"),'幕间与结算'!E447+E540,BV539+IF(C540="重要关系6",E540,0)+IF(AND(C540="魅力",E540&lt;0),E540,0))))</x:f>
        <x:v>0</x:v>
      </x:c>
      <x:c r="BW540">
        <x:f>MAX(0,MIN(BK540,IF(AND(H540=1,C540="重要关系7",LEFT('幕间与结算'!H447,8)="建立新的重要关系"),'幕间与结算'!E447+E540,BW539+IF(C540="重要关系7",E540,0)+IF(AND(C540="魅力",E540&lt;0),E540,0))))</x:f>
        <x:v>0</x:v>
      </x:c>
    </x:row>
    <x:row r="541">
      <x:c r="A541" t="str">
        <x:f>IFERROR(TEXT(VALUE('幕间与结算'!A448),"00"),"")</x:f>
        <x:v>00</x:v>
      </x:c>
      <x:c r="B541">
        <x:f>'幕间与结算'!B448</x:f>
        <x:v>0</x:v>
      </x:c>
      <x:c r="C541">
        <x:f>'幕间与结算'!D448</x:f>
        <x:v>0</x:v>
      </x:c>
      <x:c r="D541">
        <x:f>'幕间与结算'!F448</x:f>
        <x:v>0</x:v>
      </x:c>
      <x:c r="E541">
        <x:f>IF(H541=1,MAX(-'幕间与结算'!E448,MIN(D541,IF(LEFT(C541,3)="技能：",99,IF(COUNTIF($L$2:$L$7,C541)&gt;0,18,999))-'幕间与结算'!E448)),0)</x:f>
        <x:v>0</x:v>
      </x:c>
      <x:c r="F541" t="str">
        <x:f>IF(C541=0,"",IF(G541=0,"记录不完整",IF(H541=0,"重复未计","已计入")))</x:f>
        <x:v/>
      </x:c>
      <x:c r="G541">
        <x:f>IF(AND(AND('幕间与结算'!A448&lt;&gt;"",'幕间与结算'!B448&lt;&gt;"",'幕间与结算'!I448&lt;&gt;"",OR(LEFT(C541,3)="技能：",COUNTIF($L$2:$L$19,C541)&gt;0),ISNUMBER('幕间与结算'!E448),ISNUMBER('幕间与结算'!F448),ISNUMBER('幕间与结算'!G448),'幕间与结算'!E448&gt;=0,'幕间与结算'!G448='幕间与结算'!E448+'幕间与结算'!F448),OR(B541&lt;&gt;"成长",AND(LEFT(C541,3)="技能：",C541&lt;&gt;"技能：非自然知识",'幕间与结算'!E448&gt;=1,'幕间与结算'!E448&lt;=99,'幕间与结算'!F448&gt;=0,'幕间与结算'!F448&lt;=4,'幕间与结算'!G448&lt;=99))),1,0)</x:f>
        <x:v>0</x:v>
      </x:c>
      <x:c r="H541">
        <x:f>IF(AND(G541=1,COUNTIFS($I$200:I541,I541,$G$200:G541,1)=1),1,0)</x:f>
        <x:v>0</x:v>
      </x:c>
      <x:c r="I541" t="str">
        <x:f>IF(G541=1,IF(B541="成长",A541&amp;"-成长-"&amp;C541,'幕间与结算'!I448),"")</x:f>
        <x:v/>
      </x:c>
      <x:c r="BF541">
        <x:f>MAX(0,MIN(18,BF540+IF(C541="力量",E541,0)))</x:f>
        <x:v>0</x:v>
      </x:c>
      <x:c r="BG541">
        <x:f>MAX(0,MIN(18,BG540+IF(C541="体质",E541,0)))</x:f>
        <x:v>0</x:v>
      </x:c>
      <x:c r="BH541">
        <x:f>MAX(0,MIN(18,BH540+IF(C541="敏捷",E541,0)))</x:f>
        <x:v>0</x:v>
      </x:c>
      <x:c r="BI541">
        <x:f>MAX(0,MIN(18,BI540+IF(C541="智力",E541,0)))</x:f>
        <x:v>0</x:v>
      </x:c>
      <x:c r="BJ541">
        <x:f>MAX(0,MIN(18,BJ540+IF(C541="意志",E541,0)))</x:f>
        <x:v>0</x:v>
      </x:c>
      <x:c r="BK541">
        <x:f>MAX(0,MIN(18,BK540+IF(C541="魅力",E541,0)))</x:f>
        <x:v>0</x:v>
      </x:c>
      <x:c r="BL541">
        <x:f>MAX(0,MIN(99,BL540+IF(C541="技能：非自然知识",E541,0)))</x:f>
        <x:v>0</x:v>
      </x:c>
      <x:c r="BM541">
        <x:f>MAX(0,MIN(CEILING((BF541+BG541)/2,1),BM540+IF(C541="体力",E541,0)))</x:f>
        <x:v>0</x:v>
      </x:c>
      <x:c r="BN541">
        <x:f>MAX(0,MIN(BJ541,BN540+IF(C541="毅力",E541,0)))</x:f>
        <x:v>0</x:v>
      </x:c>
      <x:c r="BO541">
        <x:f>MAX(0,MIN(99-BL541,BO540+IF(C541="理智",E541,0)))</x:f>
        <x:v>0</x:v>
      </x:c>
      <x:c r="BP541">
        <x:f>MAX(0,MIN(99,BP540+IF(C541="崩溃点",E541,0)))</x:f>
        <x:v>0</x:v>
      </x:c>
      <x:c r="BQ541">
        <x:f>MAX(0,MIN(BK541,IF(AND(H541=1,C541="重要关系1",LEFT('幕间与结算'!H448,8)="建立新的重要关系"),'幕间与结算'!E448+E541,BQ540+IF(C541="重要关系1",E541,0)+IF(AND(C541="魅力",E541&lt;0),E541,0))))</x:f>
        <x:v>0</x:v>
      </x:c>
      <x:c r="BR541">
        <x:f>MAX(0,MIN(BK541,IF(AND(H541=1,C541="重要关系2",LEFT('幕间与结算'!H448,8)="建立新的重要关系"),'幕间与结算'!E448+E541,BR540+IF(C541="重要关系2",E541,0)+IF(AND(C541="魅力",E541&lt;0),E541,0))))</x:f>
        <x:v>0</x:v>
      </x:c>
      <x:c r="BS541">
        <x:f>MAX(0,MIN(BK541,IF(AND(H541=1,C541="重要关系3",LEFT('幕间与结算'!H448,8)="建立新的重要关系"),'幕间与结算'!E448+E541,BS540+IF(C541="重要关系3",E541,0)+IF(AND(C541="魅力",E541&lt;0),E541,0))))</x:f>
        <x:v>0</x:v>
      </x:c>
      <x:c r="BT541">
        <x:f>MAX(0,MIN(BK541,IF(AND(H541=1,C541="重要关系4",LEFT('幕间与结算'!H448,8)="建立新的重要关系"),'幕间与结算'!E448+E541,BT540+IF(C541="重要关系4",E541,0)+IF(AND(C541="魅力",E541&lt;0),E541,0))))</x:f>
        <x:v>0</x:v>
      </x:c>
      <x:c r="BU541">
        <x:f>MAX(0,MIN(BK541,IF(AND(H541=1,C541="重要关系5",LEFT('幕间与结算'!H448,8)="建立新的重要关系"),'幕间与结算'!E448+E541,BU540+IF(C541="重要关系5",E541,0)+IF(AND(C541="魅力",E541&lt;0),E541,0))))</x:f>
        <x:v>0</x:v>
      </x:c>
      <x:c r="BV541">
        <x:f>MAX(0,MIN(BK541,IF(AND(H541=1,C541="重要关系6",LEFT('幕间与结算'!H448,8)="建立新的重要关系"),'幕间与结算'!E448+E541,BV540+IF(C541="重要关系6",E541,0)+IF(AND(C541="魅力",E541&lt;0),E541,0))))</x:f>
        <x:v>0</x:v>
      </x:c>
      <x:c r="BW541">
        <x:f>MAX(0,MIN(BK541,IF(AND(H541=1,C541="重要关系7",LEFT('幕间与结算'!H448,8)="建立新的重要关系"),'幕间与结算'!E448+E541,BW540+IF(C541="重要关系7",E541,0)+IF(AND(C541="魅力",E541&lt;0),E541,0))))</x:f>
        <x:v>0</x:v>
      </x:c>
    </x:row>
    <x:row r="542">
      <x:c r="A542" t="str">
        <x:f>IFERROR(TEXT(VALUE('幕间与结算'!A449),"00"),"")</x:f>
        <x:v>00</x:v>
      </x:c>
      <x:c r="B542">
        <x:f>'幕间与结算'!B449</x:f>
        <x:v>0</x:v>
      </x:c>
      <x:c r="C542">
        <x:f>'幕间与结算'!D449</x:f>
        <x:v>0</x:v>
      </x:c>
      <x:c r="D542">
        <x:f>'幕间与结算'!F449</x:f>
        <x:v>0</x:v>
      </x:c>
      <x:c r="E542">
        <x:f>IF(H542=1,MAX(-'幕间与结算'!E449,MIN(D542,IF(LEFT(C542,3)="技能：",99,IF(COUNTIF($L$2:$L$7,C542)&gt;0,18,999))-'幕间与结算'!E449)),0)</x:f>
        <x:v>0</x:v>
      </x:c>
      <x:c r="F542" t="str">
        <x:f>IF(C542=0,"",IF(G542=0,"记录不完整",IF(H542=0,"重复未计","已计入")))</x:f>
        <x:v/>
      </x:c>
      <x:c r="G542">
        <x:f>IF(AND(AND('幕间与结算'!A449&lt;&gt;"",'幕间与结算'!B449&lt;&gt;"",'幕间与结算'!I449&lt;&gt;"",OR(LEFT(C542,3)="技能：",COUNTIF($L$2:$L$19,C542)&gt;0),ISNUMBER('幕间与结算'!E449),ISNUMBER('幕间与结算'!F449),ISNUMBER('幕间与结算'!G449),'幕间与结算'!E449&gt;=0,'幕间与结算'!G449='幕间与结算'!E449+'幕间与结算'!F449),OR(B542&lt;&gt;"成长",AND(LEFT(C542,3)="技能：",C542&lt;&gt;"技能：非自然知识",'幕间与结算'!E449&gt;=1,'幕间与结算'!E449&lt;=99,'幕间与结算'!F449&gt;=0,'幕间与结算'!F449&lt;=4,'幕间与结算'!G449&lt;=99))),1,0)</x:f>
        <x:v>0</x:v>
      </x:c>
      <x:c r="H542">
        <x:f>IF(AND(G542=1,COUNTIFS($I$200:I542,I542,$G$200:G542,1)=1),1,0)</x:f>
        <x:v>0</x:v>
      </x:c>
      <x:c r="I542" t="str">
        <x:f>IF(G542=1,IF(B542="成长",A542&amp;"-成长-"&amp;C542,'幕间与结算'!I449),"")</x:f>
        <x:v/>
      </x:c>
      <x:c r="BF542">
        <x:f>MAX(0,MIN(18,BF541+IF(C542="力量",E542,0)))</x:f>
        <x:v>0</x:v>
      </x:c>
      <x:c r="BG542">
        <x:f>MAX(0,MIN(18,BG541+IF(C542="体质",E542,0)))</x:f>
        <x:v>0</x:v>
      </x:c>
      <x:c r="BH542">
        <x:f>MAX(0,MIN(18,BH541+IF(C542="敏捷",E542,0)))</x:f>
        <x:v>0</x:v>
      </x:c>
      <x:c r="BI542">
        <x:f>MAX(0,MIN(18,BI541+IF(C542="智力",E542,0)))</x:f>
        <x:v>0</x:v>
      </x:c>
      <x:c r="BJ542">
        <x:f>MAX(0,MIN(18,BJ541+IF(C542="意志",E542,0)))</x:f>
        <x:v>0</x:v>
      </x:c>
      <x:c r="BK542">
        <x:f>MAX(0,MIN(18,BK541+IF(C542="魅力",E542,0)))</x:f>
        <x:v>0</x:v>
      </x:c>
      <x:c r="BL542">
        <x:f>MAX(0,MIN(99,BL541+IF(C542="技能：非自然知识",E542,0)))</x:f>
        <x:v>0</x:v>
      </x:c>
      <x:c r="BM542">
        <x:f>MAX(0,MIN(CEILING((BF542+BG542)/2,1),BM541+IF(C542="体力",E542,0)))</x:f>
        <x:v>0</x:v>
      </x:c>
      <x:c r="BN542">
        <x:f>MAX(0,MIN(BJ542,BN541+IF(C542="毅力",E542,0)))</x:f>
        <x:v>0</x:v>
      </x:c>
      <x:c r="BO542">
        <x:f>MAX(0,MIN(99-BL542,BO541+IF(C542="理智",E542,0)))</x:f>
        <x:v>0</x:v>
      </x:c>
      <x:c r="BP542">
        <x:f>MAX(0,MIN(99,BP541+IF(C542="崩溃点",E542,0)))</x:f>
        <x:v>0</x:v>
      </x:c>
      <x:c r="BQ542">
        <x:f>MAX(0,MIN(BK542,IF(AND(H542=1,C542="重要关系1",LEFT('幕间与结算'!H449,8)="建立新的重要关系"),'幕间与结算'!E449+E542,BQ541+IF(C542="重要关系1",E542,0)+IF(AND(C542="魅力",E542&lt;0),E542,0))))</x:f>
        <x:v>0</x:v>
      </x:c>
      <x:c r="BR542">
        <x:f>MAX(0,MIN(BK542,IF(AND(H542=1,C542="重要关系2",LEFT('幕间与结算'!H449,8)="建立新的重要关系"),'幕间与结算'!E449+E542,BR541+IF(C542="重要关系2",E542,0)+IF(AND(C542="魅力",E542&lt;0),E542,0))))</x:f>
        <x:v>0</x:v>
      </x:c>
      <x:c r="BS542">
        <x:f>MAX(0,MIN(BK542,IF(AND(H542=1,C542="重要关系3",LEFT('幕间与结算'!H449,8)="建立新的重要关系"),'幕间与结算'!E449+E542,BS541+IF(C542="重要关系3",E542,0)+IF(AND(C542="魅力",E542&lt;0),E542,0))))</x:f>
        <x:v>0</x:v>
      </x:c>
      <x:c r="BT542">
        <x:f>MAX(0,MIN(BK542,IF(AND(H542=1,C542="重要关系4",LEFT('幕间与结算'!H449,8)="建立新的重要关系"),'幕间与结算'!E449+E542,BT541+IF(C542="重要关系4",E542,0)+IF(AND(C542="魅力",E542&lt;0),E542,0))))</x:f>
        <x:v>0</x:v>
      </x:c>
      <x:c r="BU542">
        <x:f>MAX(0,MIN(BK542,IF(AND(H542=1,C542="重要关系5",LEFT('幕间与结算'!H449,8)="建立新的重要关系"),'幕间与结算'!E449+E542,BU541+IF(C542="重要关系5",E542,0)+IF(AND(C542="魅力",E542&lt;0),E542,0))))</x:f>
        <x:v>0</x:v>
      </x:c>
      <x:c r="BV542">
        <x:f>MAX(0,MIN(BK542,IF(AND(H542=1,C542="重要关系6",LEFT('幕间与结算'!H449,8)="建立新的重要关系"),'幕间与结算'!E449+E542,BV541+IF(C542="重要关系6",E542,0)+IF(AND(C542="魅力",E542&lt;0),E542,0))))</x:f>
        <x:v>0</x:v>
      </x:c>
      <x:c r="BW542">
        <x:f>MAX(0,MIN(BK542,IF(AND(H542=1,C542="重要关系7",LEFT('幕间与结算'!H449,8)="建立新的重要关系"),'幕间与结算'!E449+E542,BW541+IF(C542="重要关系7",E542,0)+IF(AND(C542="魅力",E542&lt;0),E542,0))))</x:f>
        <x:v>0</x:v>
      </x:c>
    </x:row>
    <x:row r="543">
      <x:c r="A543" t="str">
        <x:f>IFERROR(TEXT(VALUE('幕间与结算'!A450),"00"),"")</x:f>
        <x:v>00</x:v>
      </x:c>
      <x:c r="B543">
        <x:f>'幕间与结算'!B450</x:f>
        <x:v>0</x:v>
      </x:c>
      <x:c r="C543">
        <x:f>'幕间与结算'!D450</x:f>
        <x:v>0</x:v>
      </x:c>
      <x:c r="D543">
        <x:f>'幕间与结算'!F450</x:f>
        <x:v>0</x:v>
      </x:c>
      <x:c r="E543">
        <x:f>IF(H543=1,MAX(-'幕间与结算'!E450,MIN(D543,IF(LEFT(C543,3)="技能：",99,IF(COUNTIF($L$2:$L$7,C543)&gt;0,18,999))-'幕间与结算'!E450)),0)</x:f>
        <x:v>0</x:v>
      </x:c>
      <x:c r="F543" t="str">
        <x:f>IF(C543=0,"",IF(G543=0,"记录不完整",IF(H543=0,"重复未计","已计入")))</x:f>
        <x:v/>
      </x:c>
      <x:c r="G543">
        <x:f>IF(AND(AND('幕间与结算'!A450&lt;&gt;"",'幕间与结算'!B450&lt;&gt;"",'幕间与结算'!I450&lt;&gt;"",OR(LEFT(C543,3)="技能：",COUNTIF($L$2:$L$19,C543)&gt;0),ISNUMBER('幕间与结算'!E450),ISNUMBER('幕间与结算'!F450),ISNUMBER('幕间与结算'!G450),'幕间与结算'!E450&gt;=0,'幕间与结算'!G450='幕间与结算'!E450+'幕间与结算'!F450),OR(B543&lt;&gt;"成长",AND(LEFT(C543,3)="技能：",C543&lt;&gt;"技能：非自然知识",'幕间与结算'!E450&gt;=1,'幕间与结算'!E450&lt;=99,'幕间与结算'!F450&gt;=0,'幕间与结算'!F450&lt;=4,'幕间与结算'!G450&lt;=99))),1,0)</x:f>
        <x:v>0</x:v>
      </x:c>
      <x:c r="H543">
        <x:f>IF(AND(G543=1,COUNTIFS($I$200:I543,I543,$G$200:G543,1)=1),1,0)</x:f>
        <x:v>0</x:v>
      </x:c>
      <x:c r="I543" t="str">
        <x:f>IF(G543=1,IF(B543="成长",A543&amp;"-成长-"&amp;C543,'幕间与结算'!I450),"")</x:f>
        <x:v/>
      </x:c>
      <x:c r="BF543">
        <x:f>MAX(0,MIN(18,BF542+IF(C543="力量",E543,0)))</x:f>
        <x:v>0</x:v>
      </x:c>
      <x:c r="BG543">
        <x:f>MAX(0,MIN(18,BG542+IF(C543="体质",E543,0)))</x:f>
        <x:v>0</x:v>
      </x:c>
      <x:c r="BH543">
        <x:f>MAX(0,MIN(18,BH542+IF(C543="敏捷",E543,0)))</x:f>
        <x:v>0</x:v>
      </x:c>
      <x:c r="BI543">
        <x:f>MAX(0,MIN(18,BI542+IF(C543="智力",E543,0)))</x:f>
        <x:v>0</x:v>
      </x:c>
      <x:c r="BJ543">
        <x:f>MAX(0,MIN(18,BJ542+IF(C543="意志",E543,0)))</x:f>
        <x:v>0</x:v>
      </x:c>
      <x:c r="BK543">
        <x:f>MAX(0,MIN(18,BK542+IF(C543="魅力",E543,0)))</x:f>
        <x:v>0</x:v>
      </x:c>
      <x:c r="BL543">
        <x:f>MAX(0,MIN(99,BL542+IF(C543="技能：非自然知识",E543,0)))</x:f>
        <x:v>0</x:v>
      </x:c>
      <x:c r="BM543">
        <x:f>MAX(0,MIN(CEILING((BF543+BG543)/2,1),BM542+IF(C543="体力",E543,0)))</x:f>
        <x:v>0</x:v>
      </x:c>
      <x:c r="BN543">
        <x:f>MAX(0,MIN(BJ543,BN542+IF(C543="毅力",E543,0)))</x:f>
        <x:v>0</x:v>
      </x:c>
      <x:c r="BO543">
        <x:f>MAX(0,MIN(99-BL543,BO542+IF(C543="理智",E543,0)))</x:f>
        <x:v>0</x:v>
      </x:c>
      <x:c r="BP543">
        <x:f>MAX(0,MIN(99,BP542+IF(C543="崩溃点",E543,0)))</x:f>
        <x:v>0</x:v>
      </x:c>
      <x:c r="BQ543">
        <x:f>MAX(0,MIN(BK543,IF(AND(H543=1,C543="重要关系1",LEFT('幕间与结算'!H450,8)="建立新的重要关系"),'幕间与结算'!E450+E543,BQ542+IF(C543="重要关系1",E543,0)+IF(AND(C543="魅力",E543&lt;0),E543,0))))</x:f>
        <x:v>0</x:v>
      </x:c>
      <x:c r="BR543">
        <x:f>MAX(0,MIN(BK543,IF(AND(H543=1,C543="重要关系2",LEFT('幕间与结算'!H450,8)="建立新的重要关系"),'幕间与结算'!E450+E543,BR542+IF(C543="重要关系2",E543,0)+IF(AND(C543="魅力",E543&lt;0),E543,0))))</x:f>
        <x:v>0</x:v>
      </x:c>
      <x:c r="BS543">
        <x:f>MAX(0,MIN(BK543,IF(AND(H543=1,C543="重要关系3",LEFT('幕间与结算'!H450,8)="建立新的重要关系"),'幕间与结算'!E450+E543,BS542+IF(C543="重要关系3",E543,0)+IF(AND(C543="魅力",E543&lt;0),E543,0))))</x:f>
        <x:v>0</x:v>
      </x:c>
      <x:c r="BT543">
        <x:f>MAX(0,MIN(BK543,IF(AND(H543=1,C543="重要关系4",LEFT('幕间与结算'!H450,8)="建立新的重要关系"),'幕间与结算'!E450+E543,BT542+IF(C543="重要关系4",E543,0)+IF(AND(C543="魅力",E543&lt;0),E543,0))))</x:f>
        <x:v>0</x:v>
      </x:c>
      <x:c r="BU543">
        <x:f>MAX(0,MIN(BK543,IF(AND(H543=1,C543="重要关系5",LEFT('幕间与结算'!H450,8)="建立新的重要关系"),'幕间与结算'!E450+E543,BU542+IF(C543="重要关系5",E543,0)+IF(AND(C543="魅力",E543&lt;0),E543,0))))</x:f>
        <x:v>0</x:v>
      </x:c>
      <x:c r="BV543">
        <x:f>MAX(0,MIN(BK543,IF(AND(H543=1,C543="重要关系6",LEFT('幕间与结算'!H450,8)="建立新的重要关系"),'幕间与结算'!E450+E543,BV542+IF(C543="重要关系6",E543,0)+IF(AND(C543="魅力",E543&lt;0),E543,0))))</x:f>
        <x:v>0</x:v>
      </x:c>
      <x:c r="BW543">
        <x:f>MAX(0,MIN(BK543,IF(AND(H543=1,C543="重要关系7",LEFT('幕间与结算'!H450,8)="建立新的重要关系"),'幕间与结算'!E450+E543,BW542+IF(C543="重要关系7",E543,0)+IF(AND(C543="魅力",E543&lt;0),E543,0))))</x:f>
        <x:v>0</x:v>
      </x:c>
    </x:row>
    <x:row r="544">
      <x:c r="A544" t="str">
        <x:f>IFERROR(TEXT(VALUE('幕间与结算'!A451),"00"),"")</x:f>
        <x:v>00</x:v>
      </x:c>
      <x:c r="B544">
        <x:f>'幕间与结算'!B451</x:f>
        <x:v>0</x:v>
      </x:c>
      <x:c r="C544">
        <x:f>'幕间与结算'!D451</x:f>
        <x:v>0</x:v>
      </x:c>
      <x:c r="D544">
        <x:f>'幕间与结算'!F451</x:f>
        <x:v>0</x:v>
      </x:c>
      <x:c r="E544">
        <x:f>IF(H544=1,MAX(-'幕间与结算'!E451,MIN(D544,IF(LEFT(C544,3)="技能：",99,IF(COUNTIF($L$2:$L$7,C544)&gt;0,18,999))-'幕间与结算'!E451)),0)</x:f>
        <x:v>0</x:v>
      </x:c>
      <x:c r="F544" t="str">
        <x:f>IF(C544=0,"",IF(G544=0,"记录不完整",IF(H544=0,"重复未计","已计入")))</x:f>
        <x:v/>
      </x:c>
      <x:c r="G544">
        <x:f>IF(AND(AND('幕间与结算'!A451&lt;&gt;"",'幕间与结算'!B451&lt;&gt;"",'幕间与结算'!I451&lt;&gt;"",OR(LEFT(C544,3)="技能：",COUNTIF($L$2:$L$19,C544)&gt;0),ISNUMBER('幕间与结算'!E451),ISNUMBER('幕间与结算'!F451),ISNUMBER('幕间与结算'!G451),'幕间与结算'!E451&gt;=0,'幕间与结算'!G451='幕间与结算'!E451+'幕间与结算'!F451),OR(B544&lt;&gt;"成长",AND(LEFT(C544,3)="技能：",C544&lt;&gt;"技能：非自然知识",'幕间与结算'!E451&gt;=1,'幕间与结算'!E451&lt;=99,'幕间与结算'!F451&gt;=0,'幕间与结算'!F451&lt;=4,'幕间与结算'!G451&lt;=99))),1,0)</x:f>
        <x:v>0</x:v>
      </x:c>
      <x:c r="H544">
        <x:f>IF(AND(G544=1,COUNTIFS($I$200:I544,I544,$G$200:G544,1)=1),1,0)</x:f>
        <x:v>0</x:v>
      </x:c>
      <x:c r="I544" t="str">
        <x:f>IF(G544=1,IF(B544="成长",A544&amp;"-成长-"&amp;C544,'幕间与结算'!I451),"")</x:f>
        <x:v/>
      </x:c>
      <x:c r="BF544">
        <x:f>MAX(0,MIN(18,BF543+IF(C544="力量",E544,0)))</x:f>
        <x:v>0</x:v>
      </x:c>
      <x:c r="BG544">
        <x:f>MAX(0,MIN(18,BG543+IF(C544="体质",E544,0)))</x:f>
        <x:v>0</x:v>
      </x:c>
      <x:c r="BH544">
        <x:f>MAX(0,MIN(18,BH543+IF(C544="敏捷",E544,0)))</x:f>
        <x:v>0</x:v>
      </x:c>
      <x:c r="BI544">
        <x:f>MAX(0,MIN(18,BI543+IF(C544="智力",E544,0)))</x:f>
        <x:v>0</x:v>
      </x:c>
      <x:c r="BJ544">
        <x:f>MAX(0,MIN(18,BJ543+IF(C544="意志",E544,0)))</x:f>
        <x:v>0</x:v>
      </x:c>
      <x:c r="BK544">
        <x:f>MAX(0,MIN(18,BK543+IF(C544="魅力",E544,0)))</x:f>
        <x:v>0</x:v>
      </x:c>
      <x:c r="BL544">
        <x:f>MAX(0,MIN(99,BL543+IF(C544="技能：非自然知识",E544,0)))</x:f>
        <x:v>0</x:v>
      </x:c>
      <x:c r="BM544">
        <x:f>MAX(0,MIN(CEILING((BF544+BG544)/2,1),BM543+IF(C544="体力",E544,0)))</x:f>
        <x:v>0</x:v>
      </x:c>
      <x:c r="BN544">
        <x:f>MAX(0,MIN(BJ544,BN543+IF(C544="毅力",E544,0)))</x:f>
        <x:v>0</x:v>
      </x:c>
      <x:c r="BO544">
        <x:f>MAX(0,MIN(99-BL544,BO543+IF(C544="理智",E544,0)))</x:f>
        <x:v>0</x:v>
      </x:c>
      <x:c r="BP544">
        <x:f>MAX(0,MIN(99,BP543+IF(C544="崩溃点",E544,0)))</x:f>
        <x:v>0</x:v>
      </x:c>
      <x:c r="BQ544">
        <x:f>MAX(0,MIN(BK544,IF(AND(H544=1,C544="重要关系1",LEFT('幕间与结算'!H451,8)="建立新的重要关系"),'幕间与结算'!E451+E544,BQ543+IF(C544="重要关系1",E544,0)+IF(AND(C544="魅力",E544&lt;0),E544,0))))</x:f>
        <x:v>0</x:v>
      </x:c>
      <x:c r="BR544">
        <x:f>MAX(0,MIN(BK544,IF(AND(H544=1,C544="重要关系2",LEFT('幕间与结算'!H451,8)="建立新的重要关系"),'幕间与结算'!E451+E544,BR543+IF(C544="重要关系2",E544,0)+IF(AND(C544="魅力",E544&lt;0),E544,0))))</x:f>
        <x:v>0</x:v>
      </x:c>
      <x:c r="BS544">
        <x:f>MAX(0,MIN(BK544,IF(AND(H544=1,C544="重要关系3",LEFT('幕间与结算'!H451,8)="建立新的重要关系"),'幕间与结算'!E451+E544,BS543+IF(C544="重要关系3",E544,0)+IF(AND(C544="魅力",E544&lt;0),E544,0))))</x:f>
        <x:v>0</x:v>
      </x:c>
      <x:c r="BT544">
        <x:f>MAX(0,MIN(BK544,IF(AND(H544=1,C544="重要关系4",LEFT('幕间与结算'!H451,8)="建立新的重要关系"),'幕间与结算'!E451+E544,BT543+IF(C544="重要关系4",E544,0)+IF(AND(C544="魅力",E544&lt;0),E544,0))))</x:f>
        <x:v>0</x:v>
      </x:c>
      <x:c r="BU544">
        <x:f>MAX(0,MIN(BK544,IF(AND(H544=1,C544="重要关系5",LEFT('幕间与结算'!H451,8)="建立新的重要关系"),'幕间与结算'!E451+E544,BU543+IF(C544="重要关系5",E544,0)+IF(AND(C544="魅力",E544&lt;0),E544,0))))</x:f>
        <x:v>0</x:v>
      </x:c>
      <x:c r="BV544">
        <x:f>MAX(0,MIN(BK544,IF(AND(H544=1,C544="重要关系6",LEFT('幕间与结算'!H451,8)="建立新的重要关系"),'幕间与结算'!E451+E544,BV543+IF(C544="重要关系6",E544,0)+IF(AND(C544="魅力",E544&lt;0),E544,0))))</x:f>
        <x:v>0</x:v>
      </x:c>
      <x:c r="BW544">
        <x:f>MAX(0,MIN(BK544,IF(AND(H544=1,C544="重要关系7",LEFT('幕间与结算'!H451,8)="建立新的重要关系"),'幕间与结算'!E451+E544,BW543+IF(C544="重要关系7",E544,0)+IF(AND(C544="魅力",E544&lt;0),E544,0))))</x:f>
        <x:v>0</x:v>
      </x:c>
    </x:row>
    <x:row r="545">
      <x:c r="A545" t="str">
        <x:f>IFERROR(TEXT(VALUE('幕间与结算'!A452),"00"),"")</x:f>
        <x:v>00</x:v>
      </x:c>
      <x:c r="B545">
        <x:f>'幕间与结算'!B452</x:f>
        <x:v>0</x:v>
      </x:c>
      <x:c r="C545">
        <x:f>'幕间与结算'!D452</x:f>
        <x:v>0</x:v>
      </x:c>
      <x:c r="D545">
        <x:f>'幕间与结算'!F452</x:f>
        <x:v>0</x:v>
      </x:c>
      <x:c r="E545">
        <x:f>IF(H545=1,MAX(-'幕间与结算'!E452,MIN(D545,IF(LEFT(C545,3)="技能：",99,IF(COUNTIF($L$2:$L$7,C545)&gt;0,18,999))-'幕间与结算'!E452)),0)</x:f>
        <x:v>0</x:v>
      </x:c>
      <x:c r="F545" t="str">
        <x:f>IF(C545=0,"",IF(G545=0,"记录不完整",IF(H545=0,"重复未计","已计入")))</x:f>
        <x:v/>
      </x:c>
      <x:c r="G545">
        <x:f>IF(AND(AND('幕间与结算'!A452&lt;&gt;"",'幕间与结算'!B452&lt;&gt;"",'幕间与结算'!I452&lt;&gt;"",OR(LEFT(C545,3)="技能：",COUNTIF($L$2:$L$19,C545)&gt;0),ISNUMBER('幕间与结算'!E452),ISNUMBER('幕间与结算'!F452),ISNUMBER('幕间与结算'!G452),'幕间与结算'!E452&gt;=0,'幕间与结算'!G452='幕间与结算'!E452+'幕间与结算'!F452),OR(B545&lt;&gt;"成长",AND(LEFT(C545,3)="技能：",C545&lt;&gt;"技能：非自然知识",'幕间与结算'!E452&gt;=1,'幕间与结算'!E452&lt;=99,'幕间与结算'!F452&gt;=0,'幕间与结算'!F452&lt;=4,'幕间与结算'!G452&lt;=99))),1,0)</x:f>
        <x:v>0</x:v>
      </x:c>
      <x:c r="H545">
        <x:f>IF(AND(G545=1,COUNTIFS($I$200:I545,I545,$G$200:G545,1)=1),1,0)</x:f>
        <x:v>0</x:v>
      </x:c>
      <x:c r="I545" t="str">
        <x:f>IF(G545=1,IF(B545="成长",A545&amp;"-成长-"&amp;C545,'幕间与结算'!I452),"")</x:f>
        <x:v/>
      </x:c>
      <x:c r="BF545">
        <x:f>MAX(0,MIN(18,BF544+IF(C545="力量",E545,0)))</x:f>
        <x:v>0</x:v>
      </x:c>
      <x:c r="BG545">
        <x:f>MAX(0,MIN(18,BG544+IF(C545="体质",E545,0)))</x:f>
        <x:v>0</x:v>
      </x:c>
      <x:c r="BH545">
        <x:f>MAX(0,MIN(18,BH544+IF(C545="敏捷",E545,0)))</x:f>
        <x:v>0</x:v>
      </x:c>
      <x:c r="BI545">
        <x:f>MAX(0,MIN(18,BI544+IF(C545="智力",E545,0)))</x:f>
        <x:v>0</x:v>
      </x:c>
      <x:c r="BJ545">
        <x:f>MAX(0,MIN(18,BJ544+IF(C545="意志",E545,0)))</x:f>
        <x:v>0</x:v>
      </x:c>
      <x:c r="BK545">
        <x:f>MAX(0,MIN(18,BK544+IF(C545="魅力",E545,0)))</x:f>
        <x:v>0</x:v>
      </x:c>
      <x:c r="BL545">
        <x:f>MAX(0,MIN(99,BL544+IF(C545="技能：非自然知识",E545,0)))</x:f>
        <x:v>0</x:v>
      </x:c>
      <x:c r="BM545">
        <x:f>MAX(0,MIN(CEILING((BF545+BG545)/2,1),BM544+IF(C545="体力",E545,0)))</x:f>
        <x:v>0</x:v>
      </x:c>
      <x:c r="BN545">
        <x:f>MAX(0,MIN(BJ545,BN544+IF(C545="毅力",E545,0)))</x:f>
        <x:v>0</x:v>
      </x:c>
      <x:c r="BO545">
        <x:f>MAX(0,MIN(99-BL545,BO544+IF(C545="理智",E545,0)))</x:f>
        <x:v>0</x:v>
      </x:c>
      <x:c r="BP545">
        <x:f>MAX(0,MIN(99,BP544+IF(C545="崩溃点",E545,0)))</x:f>
        <x:v>0</x:v>
      </x:c>
      <x:c r="BQ545">
        <x:f>MAX(0,MIN(BK545,IF(AND(H545=1,C545="重要关系1",LEFT('幕间与结算'!H452,8)="建立新的重要关系"),'幕间与结算'!E452+E545,BQ544+IF(C545="重要关系1",E545,0)+IF(AND(C545="魅力",E545&lt;0),E545,0))))</x:f>
        <x:v>0</x:v>
      </x:c>
      <x:c r="BR545">
        <x:f>MAX(0,MIN(BK545,IF(AND(H545=1,C545="重要关系2",LEFT('幕间与结算'!H452,8)="建立新的重要关系"),'幕间与结算'!E452+E545,BR544+IF(C545="重要关系2",E545,0)+IF(AND(C545="魅力",E545&lt;0),E545,0))))</x:f>
        <x:v>0</x:v>
      </x:c>
      <x:c r="BS545">
        <x:f>MAX(0,MIN(BK545,IF(AND(H545=1,C545="重要关系3",LEFT('幕间与结算'!H452,8)="建立新的重要关系"),'幕间与结算'!E452+E545,BS544+IF(C545="重要关系3",E545,0)+IF(AND(C545="魅力",E545&lt;0),E545,0))))</x:f>
        <x:v>0</x:v>
      </x:c>
      <x:c r="BT545">
        <x:f>MAX(0,MIN(BK545,IF(AND(H545=1,C545="重要关系4",LEFT('幕间与结算'!H452,8)="建立新的重要关系"),'幕间与结算'!E452+E545,BT544+IF(C545="重要关系4",E545,0)+IF(AND(C545="魅力",E545&lt;0),E545,0))))</x:f>
        <x:v>0</x:v>
      </x:c>
      <x:c r="BU545">
        <x:f>MAX(0,MIN(BK545,IF(AND(H545=1,C545="重要关系5",LEFT('幕间与结算'!H452,8)="建立新的重要关系"),'幕间与结算'!E452+E545,BU544+IF(C545="重要关系5",E545,0)+IF(AND(C545="魅力",E545&lt;0),E545,0))))</x:f>
        <x:v>0</x:v>
      </x:c>
      <x:c r="BV545">
        <x:f>MAX(0,MIN(BK545,IF(AND(H545=1,C545="重要关系6",LEFT('幕间与结算'!H452,8)="建立新的重要关系"),'幕间与结算'!E452+E545,BV544+IF(C545="重要关系6",E545,0)+IF(AND(C545="魅力",E545&lt;0),E545,0))))</x:f>
        <x:v>0</x:v>
      </x:c>
      <x:c r="BW545">
        <x:f>MAX(0,MIN(BK545,IF(AND(H545=1,C545="重要关系7",LEFT('幕间与结算'!H452,8)="建立新的重要关系"),'幕间与结算'!E452+E545,BW544+IF(C545="重要关系7",E545,0)+IF(AND(C545="魅力",E545&lt;0),E545,0))))</x:f>
        <x:v>0</x:v>
      </x:c>
    </x:row>
    <x:row r="546">
      <x:c r="A546" t="str">
        <x:f>IFERROR(TEXT(VALUE('幕间与结算'!A453),"00"),"")</x:f>
        <x:v>00</x:v>
      </x:c>
      <x:c r="B546">
        <x:f>'幕间与结算'!B453</x:f>
        <x:v>0</x:v>
      </x:c>
      <x:c r="C546">
        <x:f>'幕间与结算'!D453</x:f>
        <x:v>0</x:v>
      </x:c>
      <x:c r="D546">
        <x:f>'幕间与结算'!F453</x:f>
        <x:v>0</x:v>
      </x:c>
      <x:c r="E546">
        <x:f>IF(H546=1,MAX(-'幕间与结算'!E453,MIN(D546,IF(LEFT(C546,3)="技能：",99,IF(COUNTIF($L$2:$L$7,C546)&gt;0,18,999))-'幕间与结算'!E453)),0)</x:f>
        <x:v>0</x:v>
      </x:c>
      <x:c r="F546" t="str">
        <x:f>IF(C546=0,"",IF(G546=0,"记录不完整",IF(H546=0,"重复未计","已计入")))</x:f>
        <x:v/>
      </x:c>
      <x:c r="G546">
        <x:f>IF(AND(AND('幕间与结算'!A453&lt;&gt;"",'幕间与结算'!B453&lt;&gt;"",'幕间与结算'!I453&lt;&gt;"",OR(LEFT(C546,3)="技能：",COUNTIF($L$2:$L$19,C546)&gt;0),ISNUMBER('幕间与结算'!E453),ISNUMBER('幕间与结算'!F453),ISNUMBER('幕间与结算'!G453),'幕间与结算'!E453&gt;=0,'幕间与结算'!G453='幕间与结算'!E453+'幕间与结算'!F453),OR(B546&lt;&gt;"成长",AND(LEFT(C546,3)="技能：",C546&lt;&gt;"技能：非自然知识",'幕间与结算'!E453&gt;=1,'幕间与结算'!E453&lt;=99,'幕间与结算'!F453&gt;=0,'幕间与结算'!F453&lt;=4,'幕间与结算'!G453&lt;=99))),1,0)</x:f>
        <x:v>0</x:v>
      </x:c>
      <x:c r="H546">
        <x:f>IF(AND(G546=1,COUNTIFS($I$200:I546,I546,$G$200:G546,1)=1),1,0)</x:f>
        <x:v>0</x:v>
      </x:c>
      <x:c r="I546" t="str">
        <x:f>IF(G546=1,IF(B546="成长",A546&amp;"-成长-"&amp;C546,'幕间与结算'!I453),"")</x:f>
        <x:v/>
      </x:c>
      <x:c r="BF546">
        <x:f>MAX(0,MIN(18,BF545+IF(C546="力量",E546,0)))</x:f>
        <x:v>0</x:v>
      </x:c>
      <x:c r="BG546">
        <x:f>MAX(0,MIN(18,BG545+IF(C546="体质",E546,0)))</x:f>
        <x:v>0</x:v>
      </x:c>
      <x:c r="BH546">
        <x:f>MAX(0,MIN(18,BH545+IF(C546="敏捷",E546,0)))</x:f>
        <x:v>0</x:v>
      </x:c>
      <x:c r="BI546">
        <x:f>MAX(0,MIN(18,BI545+IF(C546="智力",E546,0)))</x:f>
        <x:v>0</x:v>
      </x:c>
      <x:c r="BJ546">
        <x:f>MAX(0,MIN(18,BJ545+IF(C546="意志",E546,0)))</x:f>
        <x:v>0</x:v>
      </x:c>
      <x:c r="BK546">
        <x:f>MAX(0,MIN(18,BK545+IF(C546="魅力",E546,0)))</x:f>
        <x:v>0</x:v>
      </x:c>
      <x:c r="BL546">
        <x:f>MAX(0,MIN(99,BL545+IF(C546="技能：非自然知识",E546,0)))</x:f>
        <x:v>0</x:v>
      </x:c>
      <x:c r="BM546">
        <x:f>MAX(0,MIN(CEILING((BF546+BG546)/2,1),BM545+IF(C546="体力",E546,0)))</x:f>
        <x:v>0</x:v>
      </x:c>
      <x:c r="BN546">
        <x:f>MAX(0,MIN(BJ546,BN545+IF(C546="毅力",E546,0)))</x:f>
        <x:v>0</x:v>
      </x:c>
      <x:c r="BO546">
        <x:f>MAX(0,MIN(99-BL546,BO545+IF(C546="理智",E546,0)))</x:f>
        <x:v>0</x:v>
      </x:c>
      <x:c r="BP546">
        <x:f>MAX(0,MIN(99,BP545+IF(C546="崩溃点",E546,0)))</x:f>
        <x:v>0</x:v>
      </x:c>
      <x:c r="BQ546">
        <x:f>MAX(0,MIN(BK546,IF(AND(H546=1,C546="重要关系1",LEFT('幕间与结算'!H453,8)="建立新的重要关系"),'幕间与结算'!E453+E546,BQ545+IF(C546="重要关系1",E546,0)+IF(AND(C546="魅力",E546&lt;0),E546,0))))</x:f>
        <x:v>0</x:v>
      </x:c>
      <x:c r="BR546">
        <x:f>MAX(0,MIN(BK546,IF(AND(H546=1,C546="重要关系2",LEFT('幕间与结算'!H453,8)="建立新的重要关系"),'幕间与结算'!E453+E546,BR545+IF(C546="重要关系2",E546,0)+IF(AND(C546="魅力",E546&lt;0),E546,0))))</x:f>
        <x:v>0</x:v>
      </x:c>
      <x:c r="BS546">
        <x:f>MAX(0,MIN(BK546,IF(AND(H546=1,C546="重要关系3",LEFT('幕间与结算'!H453,8)="建立新的重要关系"),'幕间与结算'!E453+E546,BS545+IF(C546="重要关系3",E546,0)+IF(AND(C546="魅力",E546&lt;0),E546,0))))</x:f>
        <x:v>0</x:v>
      </x:c>
      <x:c r="BT546">
        <x:f>MAX(0,MIN(BK546,IF(AND(H546=1,C546="重要关系4",LEFT('幕间与结算'!H453,8)="建立新的重要关系"),'幕间与结算'!E453+E546,BT545+IF(C546="重要关系4",E546,0)+IF(AND(C546="魅力",E546&lt;0),E546,0))))</x:f>
        <x:v>0</x:v>
      </x:c>
      <x:c r="BU546">
        <x:f>MAX(0,MIN(BK546,IF(AND(H546=1,C546="重要关系5",LEFT('幕间与结算'!H453,8)="建立新的重要关系"),'幕间与结算'!E453+E546,BU545+IF(C546="重要关系5",E546,0)+IF(AND(C546="魅力",E546&lt;0),E546,0))))</x:f>
        <x:v>0</x:v>
      </x:c>
      <x:c r="BV546">
        <x:f>MAX(0,MIN(BK546,IF(AND(H546=1,C546="重要关系6",LEFT('幕间与结算'!H453,8)="建立新的重要关系"),'幕间与结算'!E453+E546,BV545+IF(C546="重要关系6",E546,0)+IF(AND(C546="魅力",E546&lt;0),E546,0))))</x:f>
        <x:v>0</x:v>
      </x:c>
      <x:c r="BW546">
        <x:f>MAX(0,MIN(BK546,IF(AND(H546=1,C546="重要关系7",LEFT('幕间与结算'!H453,8)="建立新的重要关系"),'幕间与结算'!E453+E546,BW545+IF(C546="重要关系7",E546,0)+IF(AND(C546="魅力",E546&lt;0),E546,0))))</x:f>
        <x:v>0</x:v>
      </x:c>
    </x:row>
    <x:row r="547">
      <x:c r="A547" t="str">
        <x:f>IFERROR(TEXT(VALUE('幕间与结算'!A454),"00"),"")</x:f>
        <x:v>00</x:v>
      </x:c>
      <x:c r="B547">
        <x:f>'幕间与结算'!B454</x:f>
        <x:v>0</x:v>
      </x:c>
      <x:c r="C547">
        <x:f>'幕间与结算'!D454</x:f>
        <x:v>0</x:v>
      </x:c>
      <x:c r="D547">
        <x:f>'幕间与结算'!F454</x:f>
        <x:v>0</x:v>
      </x:c>
      <x:c r="E547">
        <x:f>IF(H547=1,MAX(-'幕间与结算'!E454,MIN(D547,IF(LEFT(C547,3)="技能：",99,IF(COUNTIF($L$2:$L$7,C547)&gt;0,18,999))-'幕间与结算'!E454)),0)</x:f>
        <x:v>0</x:v>
      </x:c>
      <x:c r="F547" t="str">
        <x:f>IF(C547=0,"",IF(G547=0,"记录不完整",IF(H547=0,"重复未计","已计入")))</x:f>
        <x:v/>
      </x:c>
      <x:c r="G547">
        <x:f>IF(AND(AND('幕间与结算'!A454&lt;&gt;"",'幕间与结算'!B454&lt;&gt;"",'幕间与结算'!I454&lt;&gt;"",OR(LEFT(C547,3)="技能：",COUNTIF($L$2:$L$19,C547)&gt;0),ISNUMBER('幕间与结算'!E454),ISNUMBER('幕间与结算'!F454),ISNUMBER('幕间与结算'!G454),'幕间与结算'!E454&gt;=0,'幕间与结算'!G454='幕间与结算'!E454+'幕间与结算'!F454),OR(B547&lt;&gt;"成长",AND(LEFT(C547,3)="技能：",C547&lt;&gt;"技能：非自然知识",'幕间与结算'!E454&gt;=1,'幕间与结算'!E454&lt;=99,'幕间与结算'!F454&gt;=0,'幕间与结算'!F454&lt;=4,'幕间与结算'!G454&lt;=99))),1,0)</x:f>
        <x:v>0</x:v>
      </x:c>
      <x:c r="H547">
        <x:f>IF(AND(G547=1,COUNTIFS($I$200:I547,I547,$G$200:G547,1)=1),1,0)</x:f>
        <x:v>0</x:v>
      </x:c>
      <x:c r="I547" t="str">
        <x:f>IF(G547=1,IF(B547="成长",A547&amp;"-成长-"&amp;C547,'幕间与结算'!I454),"")</x:f>
        <x:v/>
      </x:c>
      <x:c r="BF547">
        <x:f>MAX(0,MIN(18,BF546+IF(C547="力量",E547,0)))</x:f>
        <x:v>0</x:v>
      </x:c>
      <x:c r="BG547">
        <x:f>MAX(0,MIN(18,BG546+IF(C547="体质",E547,0)))</x:f>
        <x:v>0</x:v>
      </x:c>
      <x:c r="BH547">
        <x:f>MAX(0,MIN(18,BH546+IF(C547="敏捷",E547,0)))</x:f>
        <x:v>0</x:v>
      </x:c>
      <x:c r="BI547">
        <x:f>MAX(0,MIN(18,BI546+IF(C547="智力",E547,0)))</x:f>
        <x:v>0</x:v>
      </x:c>
      <x:c r="BJ547">
        <x:f>MAX(0,MIN(18,BJ546+IF(C547="意志",E547,0)))</x:f>
        <x:v>0</x:v>
      </x:c>
      <x:c r="BK547">
        <x:f>MAX(0,MIN(18,BK546+IF(C547="魅力",E547,0)))</x:f>
        <x:v>0</x:v>
      </x:c>
      <x:c r="BL547">
        <x:f>MAX(0,MIN(99,BL546+IF(C547="技能：非自然知识",E547,0)))</x:f>
        <x:v>0</x:v>
      </x:c>
      <x:c r="BM547">
        <x:f>MAX(0,MIN(CEILING((BF547+BG547)/2,1),BM546+IF(C547="体力",E547,0)))</x:f>
        <x:v>0</x:v>
      </x:c>
      <x:c r="BN547">
        <x:f>MAX(0,MIN(BJ547,BN546+IF(C547="毅力",E547,0)))</x:f>
        <x:v>0</x:v>
      </x:c>
      <x:c r="BO547">
        <x:f>MAX(0,MIN(99-BL547,BO546+IF(C547="理智",E547,0)))</x:f>
        <x:v>0</x:v>
      </x:c>
      <x:c r="BP547">
        <x:f>MAX(0,MIN(99,BP546+IF(C547="崩溃点",E547,0)))</x:f>
        <x:v>0</x:v>
      </x:c>
      <x:c r="BQ547">
        <x:f>MAX(0,MIN(BK547,IF(AND(H547=1,C547="重要关系1",LEFT('幕间与结算'!H454,8)="建立新的重要关系"),'幕间与结算'!E454+E547,BQ546+IF(C547="重要关系1",E547,0)+IF(AND(C547="魅力",E547&lt;0),E547,0))))</x:f>
        <x:v>0</x:v>
      </x:c>
      <x:c r="BR547">
        <x:f>MAX(0,MIN(BK547,IF(AND(H547=1,C547="重要关系2",LEFT('幕间与结算'!H454,8)="建立新的重要关系"),'幕间与结算'!E454+E547,BR546+IF(C547="重要关系2",E547,0)+IF(AND(C547="魅力",E547&lt;0),E547,0))))</x:f>
        <x:v>0</x:v>
      </x:c>
      <x:c r="BS547">
        <x:f>MAX(0,MIN(BK547,IF(AND(H547=1,C547="重要关系3",LEFT('幕间与结算'!H454,8)="建立新的重要关系"),'幕间与结算'!E454+E547,BS546+IF(C547="重要关系3",E547,0)+IF(AND(C547="魅力",E547&lt;0),E547,0))))</x:f>
        <x:v>0</x:v>
      </x:c>
      <x:c r="BT547">
        <x:f>MAX(0,MIN(BK547,IF(AND(H547=1,C547="重要关系4",LEFT('幕间与结算'!H454,8)="建立新的重要关系"),'幕间与结算'!E454+E547,BT546+IF(C547="重要关系4",E547,0)+IF(AND(C547="魅力",E547&lt;0),E547,0))))</x:f>
        <x:v>0</x:v>
      </x:c>
      <x:c r="BU547">
        <x:f>MAX(0,MIN(BK547,IF(AND(H547=1,C547="重要关系5",LEFT('幕间与结算'!H454,8)="建立新的重要关系"),'幕间与结算'!E454+E547,BU546+IF(C547="重要关系5",E547,0)+IF(AND(C547="魅力",E547&lt;0),E547,0))))</x:f>
        <x:v>0</x:v>
      </x:c>
      <x:c r="BV547">
        <x:f>MAX(0,MIN(BK547,IF(AND(H547=1,C547="重要关系6",LEFT('幕间与结算'!H454,8)="建立新的重要关系"),'幕间与结算'!E454+E547,BV546+IF(C547="重要关系6",E547,0)+IF(AND(C547="魅力",E547&lt;0),E547,0))))</x:f>
        <x:v>0</x:v>
      </x:c>
      <x:c r="BW547">
        <x:f>MAX(0,MIN(BK547,IF(AND(H547=1,C547="重要关系7",LEFT('幕间与结算'!H454,8)="建立新的重要关系"),'幕间与结算'!E454+E547,BW546+IF(C547="重要关系7",E547,0)+IF(AND(C547="魅力",E547&lt;0),E547,0))))</x:f>
        <x:v>0</x:v>
      </x:c>
    </x:row>
    <x:row r="548">
      <x:c r="A548" t="str">
        <x:f>IFERROR(TEXT(VALUE('幕间与结算'!A455),"00"),"")</x:f>
        <x:v>00</x:v>
      </x:c>
      <x:c r="B548">
        <x:f>'幕间与结算'!B455</x:f>
        <x:v>0</x:v>
      </x:c>
      <x:c r="C548">
        <x:f>'幕间与结算'!D455</x:f>
        <x:v>0</x:v>
      </x:c>
      <x:c r="D548">
        <x:f>'幕间与结算'!F455</x:f>
        <x:v>0</x:v>
      </x:c>
      <x:c r="E548">
        <x:f>IF(H548=1,MAX(-'幕间与结算'!E455,MIN(D548,IF(LEFT(C548,3)="技能：",99,IF(COUNTIF($L$2:$L$7,C548)&gt;0,18,999))-'幕间与结算'!E455)),0)</x:f>
        <x:v>0</x:v>
      </x:c>
      <x:c r="F548" t="str">
        <x:f>IF(C548=0,"",IF(G548=0,"记录不完整",IF(H548=0,"重复未计","已计入")))</x:f>
        <x:v/>
      </x:c>
      <x:c r="G548">
        <x:f>IF(AND(AND('幕间与结算'!A455&lt;&gt;"",'幕间与结算'!B455&lt;&gt;"",'幕间与结算'!I455&lt;&gt;"",OR(LEFT(C548,3)="技能：",COUNTIF($L$2:$L$19,C548)&gt;0),ISNUMBER('幕间与结算'!E455),ISNUMBER('幕间与结算'!F455),ISNUMBER('幕间与结算'!G455),'幕间与结算'!E455&gt;=0,'幕间与结算'!G455='幕间与结算'!E455+'幕间与结算'!F455),OR(B548&lt;&gt;"成长",AND(LEFT(C548,3)="技能：",C548&lt;&gt;"技能：非自然知识",'幕间与结算'!E455&gt;=1,'幕间与结算'!E455&lt;=99,'幕间与结算'!F455&gt;=0,'幕间与结算'!F455&lt;=4,'幕间与结算'!G455&lt;=99))),1,0)</x:f>
        <x:v>0</x:v>
      </x:c>
      <x:c r="H548">
        <x:f>IF(AND(G548=1,COUNTIFS($I$200:I548,I548,$G$200:G548,1)=1),1,0)</x:f>
        <x:v>0</x:v>
      </x:c>
      <x:c r="I548" t="str">
        <x:f>IF(G548=1,IF(B548="成长",A548&amp;"-成长-"&amp;C548,'幕间与结算'!I455),"")</x:f>
        <x:v/>
      </x:c>
      <x:c r="BF548">
        <x:f>MAX(0,MIN(18,BF547+IF(C548="力量",E548,0)))</x:f>
        <x:v>0</x:v>
      </x:c>
      <x:c r="BG548">
        <x:f>MAX(0,MIN(18,BG547+IF(C548="体质",E548,0)))</x:f>
        <x:v>0</x:v>
      </x:c>
      <x:c r="BH548">
        <x:f>MAX(0,MIN(18,BH547+IF(C548="敏捷",E548,0)))</x:f>
        <x:v>0</x:v>
      </x:c>
      <x:c r="BI548">
        <x:f>MAX(0,MIN(18,BI547+IF(C548="智力",E548,0)))</x:f>
        <x:v>0</x:v>
      </x:c>
      <x:c r="BJ548">
        <x:f>MAX(0,MIN(18,BJ547+IF(C548="意志",E548,0)))</x:f>
        <x:v>0</x:v>
      </x:c>
      <x:c r="BK548">
        <x:f>MAX(0,MIN(18,BK547+IF(C548="魅力",E548,0)))</x:f>
        <x:v>0</x:v>
      </x:c>
      <x:c r="BL548">
        <x:f>MAX(0,MIN(99,BL547+IF(C548="技能：非自然知识",E548,0)))</x:f>
        <x:v>0</x:v>
      </x:c>
      <x:c r="BM548">
        <x:f>MAX(0,MIN(CEILING((BF548+BG548)/2,1),BM547+IF(C548="体力",E548,0)))</x:f>
        <x:v>0</x:v>
      </x:c>
      <x:c r="BN548">
        <x:f>MAX(0,MIN(BJ548,BN547+IF(C548="毅力",E548,0)))</x:f>
        <x:v>0</x:v>
      </x:c>
      <x:c r="BO548">
        <x:f>MAX(0,MIN(99-BL548,BO547+IF(C548="理智",E548,0)))</x:f>
        <x:v>0</x:v>
      </x:c>
      <x:c r="BP548">
        <x:f>MAX(0,MIN(99,BP547+IF(C548="崩溃点",E548,0)))</x:f>
        <x:v>0</x:v>
      </x:c>
      <x:c r="BQ548">
        <x:f>MAX(0,MIN(BK548,IF(AND(H548=1,C548="重要关系1",LEFT('幕间与结算'!H455,8)="建立新的重要关系"),'幕间与结算'!E455+E548,BQ547+IF(C548="重要关系1",E548,0)+IF(AND(C548="魅力",E548&lt;0),E548,0))))</x:f>
        <x:v>0</x:v>
      </x:c>
      <x:c r="BR548">
        <x:f>MAX(0,MIN(BK548,IF(AND(H548=1,C548="重要关系2",LEFT('幕间与结算'!H455,8)="建立新的重要关系"),'幕间与结算'!E455+E548,BR547+IF(C548="重要关系2",E548,0)+IF(AND(C548="魅力",E548&lt;0),E548,0))))</x:f>
        <x:v>0</x:v>
      </x:c>
      <x:c r="BS548">
        <x:f>MAX(0,MIN(BK548,IF(AND(H548=1,C548="重要关系3",LEFT('幕间与结算'!H455,8)="建立新的重要关系"),'幕间与结算'!E455+E548,BS547+IF(C548="重要关系3",E548,0)+IF(AND(C548="魅力",E548&lt;0),E548,0))))</x:f>
        <x:v>0</x:v>
      </x:c>
      <x:c r="BT548">
        <x:f>MAX(0,MIN(BK548,IF(AND(H548=1,C548="重要关系4",LEFT('幕间与结算'!H455,8)="建立新的重要关系"),'幕间与结算'!E455+E548,BT547+IF(C548="重要关系4",E548,0)+IF(AND(C548="魅力",E548&lt;0),E548,0))))</x:f>
        <x:v>0</x:v>
      </x:c>
      <x:c r="BU548">
        <x:f>MAX(0,MIN(BK548,IF(AND(H548=1,C548="重要关系5",LEFT('幕间与结算'!H455,8)="建立新的重要关系"),'幕间与结算'!E455+E548,BU547+IF(C548="重要关系5",E548,0)+IF(AND(C548="魅力",E548&lt;0),E548,0))))</x:f>
        <x:v>0</x:v>
      </x:c>
      <x:c r="BV548">
        <x:f>MAX(0,MIN(BK548,IF(AND(H548=1,C548="重要关系6",LEFT('幕间与结算'!H455,8)="建立新的重要关系"),'幕间与结算'!E455+E548,BV547+IF(C548="重要关系6",E548,0)+IF(AND(C548="魅力",E548&lt;0),E548,0))))</x:f>
        <x:v>0</x:v>
      </x:c>
      <x:c r="BW548">
        <x:f>MAX(0,MIN(BK548,IF(AND(H548=1,C548="重要关系7",LEFT('幕间与结算'!H455,8)="建立新的重要关系"),'幕间与结算'!E455+E548,BW547+IF(C548="重要关系7",E548,0)+IF(AND(C548="魅力",E548&lt;0),E548,0))))</x:f>
        <x:v>0</x:v>
      </x:c>
    </x:row>
    <x:row r="549">
      <x:c r="A549" t="str">
        <x:f>IFERROR(TEXT(VALUE('幕间与结算'!A456),"00"),"")</x:f>
        <x:v>00</x:v>
      </x:c>
      <x:c r="B549">
        <x:f>'幕间与结算'!B456</x:f>
        <x:v>0</x:v>
      </x:c>
      <x:c r="C549">
        <x:f>'幕间与结算'!D456</x:f>
        <x:v>0</x:v>
      </x:c>
      <x:c r="D549">
        <x:f>'幕间与结算'!F456</x:f>
        <x:v>0</x:v>
      </x:c>
      <x:c r="E549">
        <x:f>IF(H549=1,MAX(-'幕间与结算'!E456,MIN(D549,IF(LEFT(C549,3)="技能：",99,IF(COUNTIF($L$2:$L$7,C549)&gt;0,18,999))-'幕间与结算'!E456)),0)</x:f>
        <x:v>0</x:v>
      </x:c>
      <x:c r="F549" t="str">
        <x:f>IF(C549=0,"",IF(G549=0,"记录不完整",IF(H549=0,"重复未计","已计入")))</x:f>
        <x:v/>
      </x:c>
      <x:c r="G549">
        <x:f>IF(AND(AND('幕间与结算'!A456&lt;&gt;"",'幕间与结算'!B456&lt;&gt;"",'幕间与结算'!I456&lt;&gt;"",OR(LEFT(C549,3)="技能：",COUNTIF($L$2:$L$19,C549)&gt;0),ISNUMBER('幕间与结算'!E456),ISNUMBER('幕间与结算'!F456),ISNUMBER('幕间与结算'!G456),'幕间与结算'!E456&gt;=0,'幕间与结算'!G456='幕间与结算'!E456+'幕间与结算'!F456),OR(B549&lt;&gt;"成长",AND(LEFT(C549,3)="技能：",C549&lt;&gt;"技能：非自然知识",'幕间与结算'!E456&gt;=1,'幕间与结算'!E456&lt;=99,'幕间与结算'!F456&gt;=0,'幕间与结算'!F456&lt;=4,'幕间与结算'!G456&lt;=99))),1,0)</x:f>
        <x:v>0</x:v>
      </x:c>
      <x:c r="H549">
        <x:f>IF(AND(G549=1,COUNTIFS($I$200:I549,I549,$G$200:G549,1)=1),1,0)</x:f>
        <x:v>0</x:v>
      </x:c>
      <x:c r="I549" t="str">
        <x:f>IF(G549=1,IF(B549="成长",A549&amp;"-成长-"&amp;C549,'幕间与结算'!I456),"")</x:f>
        <x:v/>
      </x:c>
      <x:c r="BF549">
        <x:f>MAX(0,MIN(18,BF548+IF(C549="力量",E549,0)))</x:f>
        <x:v>0</x:v>
      </x:c>
      <x:c r="BG549">
        <x:f>MAX(0,MIN(18,BG548+IF(C549="体质",E549,0)))</x:f>
        <x:v>0</x:v>
      </x:c>
      <x:c r="BH549">
        <x:f>MAX(0,MIN(18,BH548+IF(C549="敏捷",E549,0)))</x:f>
        <x:v>0</x:v>
      </x:c>
      <x:c r="BI549">
        <x:f>MAX(0,MIN(18,BI548+IF(C549="智力",E549,0)))</x:f>
        <x:v>0</x:v>
      </x:c>
      <x:c r="BJ549">
        <x:f>MAX(0,MIN(18,BJ548+IF(C549="意志",E549,0)))</x:f>
        <x:v>0</x:v>
      </x:c>
      <x:c r="BK549">
        <x:f>MAX(0,MIN(18,BK548+IF(C549="魅力",E549,0)))</x:f>
        <x:v>0</x:v>
      </x:c>
      <x:c r="BL549">
        <x:f>MAX(0,MIN(99,BL548+IF(C549="技能：非自然知识",E549,0)))</x:f>
        <x:v>0</x:v>
      </x:c>
      <x:c r="BM549">
        <x:f>MAX(0,MIN(CEILING((BF549+BG549)/2,1),BM548+IF(C549="体力",E549,0)))</x:f>
        <x:v>0</x:v>
      </x:c>
      <x:c r="BN549">
        <x:f>MAX(0,MIN(BJ549,BN548+IF(C549="毅力",E549,0)))</x:f>
        <x:v>0</x:v>
      </x:c>
      <x:c r="BO549">
        <x:f>MAX(0,MIN(99-BL549,BO548+IF(C549="理智",E549,0)))</x:f>
        <x:v>0</x:v>
      </x:c>
      <x:c r="BP549">
        <x:f>MAX(0,MIN(99,BP548+IF(C549="崩溃点",E549,0)))</x:f>
        <x:v>0</x:v>
      </x:c>
      <x:c r="BQ549">
        <x:f>MAX(0,MIN(BK549,IF(AND(H549=1,C549="重要关系1",LEFT('幕间与结算'!H456,8)="建立新的重要关系"),'幕间与结算'!E456+E549,BQ548+IF(C549="重要关系1",E549,0)+IF(AND(C549="魅力",E549&lt;0),E549,0))))</x:f>
        <x:v>0</x:v>
      </x:c>
      <x:c r="BR549">
        <x:f>MAX(0,MIN(BK549,IF(AND(H549=1,C549="重要关系2",LEFT('幕间与结算'!H456,8)="建立新的重要关系"),'幕间与结算'!E456+E549,BR548+IF(C549="重要关系2",E549,0)+IF(AND(C549="魅力",E549&lt;0),E549,0))))</x:f>
        <x:v>0</x:v>
      </x:c>
      <x:c r="BS549">
        <x:f>MAX(0,MIN(BK549,IF(AND(H549=1,C549="重要关系3",LEFT('幕间与结算'!H456,8)="建立新的重要关系"),'幕间与结算'!E456+E549,BS548+IF(C549="重要关系3",E549,0)+IF(AND(C549="魅力",E549&lt;0),E549,0))))</x:f>
        <x:v>0</x:v>
      </x:c>
      <x:c r="BT549">
        <x:f>MAX(0,MIN(BK549,IF(AND(H549=1,C549="重要关系4",LEFT('幕间与结算'!H456,8)="建立新的重要关系"),'幕间与结算'!E456+E549,BT548+IF(C549="重要关系4",E549,0)+IF(AND(C549="魅力",E549&lt;0),E549,0))))</x:f>
        <x:v>0</x:v>
      </x:c>
      <x:c r="BU549">
        <x:f>MAX(0,MIN(BK549,IF(AND(H549=1,C549="重要关系5",LEFT('幕间与结算'!H456,8)="建立新的重要关系"),'幕间与结算'!E456+E549,BU548+IF(C549="重要关系5",E549,0)+IF(AND(C549="魅力",E549&lt;0),E549,0))))</x:f>
        <x:v>0</x:v>
      </x:c>
      <x:c r="BV549">
        <x:f>MAX(0,MIN(BK549,IF(AND(H549=1,C549="重要关系6",LEFT('幕间与结算'!H456,8)="建立新的重要关系"),'幕间与结算'!E456+E549,BV548+IF(C549="重要关系6",E549,0)+IF(AND(C549="魅力",E549&lt;0),E549,0))))</x:f>
        <x:v>0</x:v>
      </x:c>
      <x:c r="BW549">
        <x:f>MAX(0,MIN(BK549,IF(AND(H549=1,C549="重要关系7",LEFT('幕间与结算'!H456,8)="建立新的重要关系"),'幕间与结算'!E456+E549,BW548+IF(C549="重要关系7",E549,0)+IF(AND(C549="魅力",E549&lt;0),E549,0))))</x:f>
        <x:v>0</x:v>
      </x:c>
    </x:row>
    <x:row r="550">
      <x:c r="A550" t="str">
        <x:f>IFERROR(TEXT(VALUE('幕间与结算'!A457),"00"),"")</x:f>
        <x:v>00</x:v>
      </x:c>
      <x:c r="B550">
        <x:f>'幕间与结算'!B457</x:f>
        <x:v>0</x:v>
      </x:c>
      <x:c r="C550">
        <x:f>'幕间与结算'!D457</x:f>
        <x:v>0</x:v>
      </x:c>
      <x:c r="D550">
        <x:f>'幕间与结算'!F457</x:f>
        <x:v>0</x:v>
      </x:c>
      <x:c r="E550">
        <x:f>IF(H550=1,MAX(-'幕间与结算'!E457,MIN(D550,IF(LEFT(C550,3)="技能：",99,IF(COUNTIF($L$2:$L$7,C550)&gt;0,18,999))-'幕间与结算'!E457)),0)</x:f>
        <x:v>0</x:v>
      </x:c>
      <x:c r="F550" t="str">
        <x:f>IF(C550=0,"",IF(G550=0,"记录不完整",IF(H550=0,"重复未计","已计入")))</x:f>
        <x:v/>
      </x:c>
      <x:c r="G550">
        <x:f>IF(AND(AND('幕间与结算'!A457&lt;&gt;"",'幕间与结算'!B457&lt;&gt;"",'幕间与结算'!I457&lt;&gt;"",OR(LEFT(C550,3)="技能：",COUNTIF($L$2:$L$19,C550)&gt;0),ISNUMBER('幕间与结算'!E457),ISNUMBER('幕间与结算'!F457),ISNUMBER('幕间与结算'!G457),'幕间与结算'!E457&gt;=0,'幕间与结算'!G457='幕间与结算'!E457+'幕间与结算'!F457),OR(B550&lt;&gt;"成长",AND(LEFT(C550,3)="技能：",C550&lt;&gt;"技能：非自然知识",'幕间与结算'!E457&gt;=1,'幕间与结算'!E457&lt;=99,'幕间与结算'!F457&gt;=0,'幕间与结算'!F457&lt;=4,'幕间与结算'!G457&lt;=99))),1,0)</x:f>
        <x:v>0</x:v>
      </x:c>
      <x:c r="H550">
        <x:f>IF(AND(G550=1,COUNTIFS($I$200:I550,I550,$G$200:G550,1)=1),1,0)</x:f>
        <x:v>0</x:v>
      </x:c>
      <x:c r="I550" t="str">
        <x:f>IF(G550=1,IF(B550="成长",A550&amp;"-成长-"&amp;C550,'幕间与结算'!I457),"")</x:f>
        <x:v/>
      </x:c>
      <x:c r="BF550">
        <x:f>MAX(0,MIN(18,BF549+IF(C550="力量",E550,0)))</x:f>
        <x:v>0</x:v>
      </x:c>
      <x:c r="BG550">
        <x:f>MAX(0,MIN(18,BG549+IF(C550="体质",E550,0)))</x:f>
        <x:v>0</x:v>
      </x:c>
      <x:c r="BH550">
        <x:f>MAX(0,MIN(18,BH549+IF(C550="敏捷",E550,0)))</x:f>
        <x:v>0</x:v>
      </x:c>
      <x:c r="BI550">
        <x:f>MAX(0,MIN(18,BI549+IF(C550="智力",E550,0)))</x:f>
        <x:v>0</x:v>
      </x:c>
      <x:c r="BJ550">
        <x:f>MAX(0,MIN(18,BJ549+IF(C550="意志",E550,0)))</x:f>
        <x:v>0</x:v>
      </x:c>
      <x:c r="BK550">
        <x:f>MAX(0,MIN(18,BK549+IF(C550="魅力",E550,0)))</x:f>
        <x:v>0</x:v>
      </x:c>
      <x:c r="BL550">
        <x:f>MAX(0,MIN(99,BL549+IF(C550="技能：非自然知识",E550,0)))</x:f>
        <x:v>0</x:v>
      </x:c>
      <x:c r="BM550">
        <x:f>MAX(0,MIN(CEILING((BF550+BG550)/2,1),BM549+IF(C550="体力",E550,0)))</x:f>
        <x:v>0</x:v>
      </x:c>
      <x:c r="BN550">
        <x:f>MAX(0,MIN(BJ550,BN549+IF(C550="毅力",E550,0)))</x:f>
        <x:v>0</x:v>
      </x:c>
      <x:c r="BO550">
        <x:f>MAX(0,MIN(99-BL550,BO549+IF(C550="理智",E550,0)))</x:f>
        <x:v>0</x:v>
      </x:c>
      <x:c r="BP550">
        <x:f>MAX(0,MIN(99,BP549+IF(C550="崩溃点",E550,0)))</x:f>
        <x:v>0</x:v>
      </x:c>
      <x:c r="BQ550">
        <x:f>MAX(0,MIN(BK550,IF(AND(H550=1,C550="重要关系1",LEFT('幕间与结算'!H457,8)="建立新的重要关系"),'幕间与结算'!E457+E550,BQ549+IF(C550="重要关系1",E550,0)+IF(AND(C550="魅力",E550&lt;0),E550,0))))</x:f>
        <x:v>0</x:v>
      </x:c>
      <x:c r="BR550">
        <x:f>MAX(0,MIN(BK550,IF(AND(H550=1,C550="重要关系2",LEFT('幕间与结算'!H457,8)="建立新的重要关系"),'幕间与结算'!E457+E550,BR549+IF(C550="重要关系2",E550,0)+IF(AND(C550="魅力",E550&lt;0),E550,0))))</x:f>
        <x:v>0</x:v>
      </x:c>
      <x:c r="BS550">
        <x:f>MAX(0,MIN(BK550,IF(AND(H550=1,C550="重要关系3",LEFT('幕间与结算'!H457,8)="建立新的重要关系"),'幕间与结算'!E457+E550,BS549+IF(C550="重要关系3",E550,0)+IF(AND(C550="魅力",E550&lt;0),E550,0))))</x:f>
        <x:v>0</x:v>
      </x:c>
      <x:c r="BT550">
        <x:f>MAX(0,MIN(BK550,IF(AND(H550=1,C550="重要关系4",LEFT('幕间与结算'!H457,8)="建立新的重要关系"),'幕间与结算'!E457+E550,BT549+IF(C550="重要关系4",E550,0)+IF(AND(C550="魅力",E550&lt;0),E550,0))))</x:f>
        <x:v>0</x:v>
      </x:c>
      <x:c r="BU550">
        <x:f>MAX(0,MIN(BK550,IF(AND(H550=1,C550="重要关系5",LEFT('幕间与结算'!H457,8)="建立新的重要关系"),'幕间与结算'!E457+E550,BU549+IF(C550="重要关系5",E550,0)+IF(AND(C550="魅力",E550&lt;0),E550,0))))</x:f>
        <x:v>0</x:v>
      </x:c>
      <x:c r="BV550">
        <x:f>MAX(0,MIN(BK550,IF(AND(H550=1,C550="重要关系6",LEFT('幕间与结算'!H457,8)="建立新的重要关系"),'幕间与结算'!E457+E550,BV549+IF(C550="重要关系6",E550,0)+IF(AND(C550="魅力",E550&lt;0),E550,0))))</x:f>
        <x:v>0</x:v>
      </x:c>
      <x:c r="BW550">
        <x:f>MAX(0,MIN(BK550,IF(AND(H550=1,C550="重要关系7",LEFT('幕间与结算'!H457,8)="建立新的重要关系"),'幕间与结算'!E457+E550,BW549+IF(C550="重要关系7",E550,0)+IF(AND(C550="魅力",E550&lt;0),E550,0))))</x:f>
        <x:v>0</x:v>
      </x:c>
    </x:row>
    <x:row r="551">
      <x:c r="A551" t="str">
        <x:f>IFERROR(TEXT(VALUE('幕间与结算'!A458),"00"),"")</x:f>
        <x:v>00</x:v>
      </x:c>
      <x:c r="B551">
        <x:f>'幕间与结算'!B458</x:f>
        <x:v>0</x:v>
      </x:c>
      <x:c r="C551">
        <x:f>'幕间与结算'!D458</x:f>
        <x:v>0</x:v>
      </x:c>
      <x:c r="D551">
        <x:f>'幕间与结算'!F458</x:f>
        <x:v>0</x:v>
      </x:c>
      <x:c r="E551">
        <x:f>IF(H551=1,MAX(-'幕间与结算'!E458,MIN(D551,IF(LEFT(C551,3)="技能：",99,IF(COUNTIF($L$2:$L$7,C551)&gt;0,18,999))-'幕间与结算'!E458)),0)</x:f>
        <x:v>0</x:v>
      </x:c>
      <x:c r="F551" t="str">
        <x:f>IF(C551=0,"",IF(G551=0,"记录不完整",IF(H551=0,"重复未计","已计入")))</x:f>
        <x:v/>
      </x:c>
      <x:c r="G551">
        <x:f>IF(AND(AND('幕间与结算'!A458&lt;&gt;"",'幕间与结算'!B458&lt;&gt;"",'幕间与结算'!I458&lt;&gt;"",OR(LEFT(C551,3)="技能：",COUNTIF($L$2:$L$19,C551)&gt;0),ISNUMBER('幕间与结算'!E458),ISNUMBER('幕间与结算'!F458),ISNUMBER('幕间与结算'!G458),'幕间与结算'!E458&gt;=0,'幕间与结算'!G458='幕间与结算'!E458+'幕间与结算'!F458),OR(B551&lt;&gt;"成长",AND(LEFT(C551,3)="技能：",C551&lt;&gt;"技能：非自然知识",'幕间与结算'!E458&gt;=1,'幕间与结算'!E458&lt;=99,'幕间与结算'!F458&gt;=0,'幕间与结算'!F458&lt;=4,'幕间与结算'!G458&lt;=99))),1,0)</x:f>
        <x:v>0</x:v>
      </x:c>
      <x:c r="H551">
        <x:f>IF(AND(G551=1,COUNTIFS($I$200:I551,I551,$G$200:G551,1)=1),1,0)</x:f>
        <x:v>0</x:v>
      </x:c>
      <x:c r="I551" t="str">
        <x:f>IF(G551=1,IF(B551="成长",A551&amp;"-成长-"&amp;C551,'幕间与结算'!I458),"")</x:f>
        <x:v/>
      </x:c>
      <x:c r="BF551">
        <x:f>MAX(0,MIN(18,BF550+IF(C551="力量",E551,0)))</x:f>
        <x:v>0</x:v>
      </x:c>
      <x:c r="BG551">
        <x:f>MAX(0,MIN(18,BG550+IF(C551="体质",E551,0)))</x:f>
        <x:v>0</x:v>
      </x:c>
      <x:c r="BH551">
        <x:f>MAX(0,MIN(18,BH550+IF(C551="敏捷",E551,0)))</x:f>
        <x:v>0</x:v>
      </x:c>
      <x:c r="BI551">
        <x:f>MAX(0,MIN(18,BI550+IF(C551="智力",E551,0)))</x:f>
        <x:v>0</x:v>
      </x:c>
      <x:c r="BJ551">
        <x:f>MAX(0,MIN(18,BJ550+IF(C551="意志",E551,0)))</x:f>
        <x:v>0</x:v>
      </x:c>
      <x:c r="BK551">
        <x:f>MAX(0,MIN(18,BK550+IF(C551="魅力",E551,0)))</x:f>
        <x:v>0</x:v>
      </x:c>
      <x:c r="BL551">
        <x:f>MAX(0,MIN(99,BL550+IF(C551="技能：非自然知识",E551,0)))</x:f>
        <x:v>0</x:v>
      </x:c>
      <x:c r="BM551">
        <x:f>MAX(0,MIN(CEILING((BF551+BG551)/2,1),BM550+IF(C551="体力",E551,0)))</x:f>
        <x:v>0</x:v>
      </x:c>
      <x:c r="BN551">
        <x:f>MAX(0,MIN(BJ551,BN550+IF(C551="毅力",E551,0)))</x:f>
        <x:v>0</x:v>
      </x:c>
      <x:c r="BO551">
        <x:f>MAX(0,MIN(99-BL551,BO550+IF(C551="理智",E551,0)))</x:f>
        <x:v>0</x:v>
      </x:c>
      <x:c r="BP551">
        <x:f>MAX(0,MIN(99,BP550+IF(C551="崩溃点",E551,0)))</x:f>
        <x:v>0</x:v>
      </x:c>
      <x:c r="BQ551">
        <x:f>MAX(0,MIN(BK551,IF(AND(H551=1,C551="重要关系1",LEFT('幕间与结算'!H458,8)="建立新的重要关系"),'幕间与结算'!E458+E551,BQ550+IF(C551="重要关系1",E551,0)+IF(AND(C551="魅力",E551&lt;0),E551,0))))</x:f>
        <x:v>0</x:v>
      </x:c>
      <x:c r="BR551">
        <x:f>MAX(0,MIN(BK551,IF(AND(H551=1,C551="重要关系2",LEFT('幕间与结算'!H458,8)="建立新的重要关系"),'幕间与结算'!E458+E551,BR550+IF(C551="重要关系2",E551,0)+IF(AND(C551="魅力",E551&lt;0),E551,0))))</x:f>
        <x:v>0</x:v>
      </x:c>
      <x:c r="BS551">
        <x:f>MAX(0,MIN(BK551,IF(AND(H551=1,C551="重要关系3",LEFT('幕间与结算'!H458,8)="建立新的重要关系"),'幕间与结算'!E458+E551,BS550+IF(C551="重要关系3",E551,0)+IF(AND(C551="魅力",E551&lt;0),E551,0))))</x:f>
        <x:v>0</x:v>
      </x:c>
      <x:c r="BT551">
        <x:f>MAX(0,MIN(BK551,IF(AND(H551=1,C551="重要关系4",LEFT('幕间与结算'!H458,8)="建立新的重要关系"),'幕间与结算'!E458+E551,BT550+IF(C551="重要关系4",E551,0)+IF(AND(C551="魅力",E551&lt;0),E551,0))))</x:f>
        <x:v>0</x:v>
      </x:c>
      <x:c r="BU551">
        <x:f>MAX(0,MIN(BK551,IF(AND(H551=1,C551="重要关系5",LEFT('幕间与结算'!H458,8)="建立新的重要关系"),'幕间与结算'!E458+E551,BU550+IF(C551="重要关系5",E551,0)+IF(AND(C551="魅力",E551&lt;0),E551,0))))</x:f>
        <x:v>0</x:v>
      </x:c>
      <x:c r="BV551">
        <x:f>MAX(0,MIN(BK551,IF(AND(H551=1,C551="重要关系6",LEFT('幕间与结算'!H458,8)="建立新的重要关系"),'幕间与结算'!E458+E551,BV550+IF(C551="重要关系6",E551,0)+IF(AND(C551="魅力",E551&lt;0),E551,0))))</x:f>
        <x:v>0</x:v>
      </x:c>
      <x:c r="BW551">
        <x:f>MAX(0,MIN(BK551,IF(AND(H551=1,C551="重要关系7",LEFT('幕间与结算'!H458,8)="建立新的重要关系"),'幕间与结算'!E458+E551,BW550+IF(C551="重要关系7",E551,0)+IF(AND(C551="魅力",E551&lt;0),E551,0))))</x:f>
        <x:v>0</x:v>
      </x:c>
    </x:row>
    <x:row r="552">
      <x:c r="A552" t="str">
        <x:f>IFERROR(TEXT(VALUE('幕间与结算'!A459),"00"),"")</x:f>
        <x:v>00</x:v>
      </x:c>
      <x:c r="B552">
        <x:f>'幕间与结算'!B459</x:f>
        <x:v>0</x:v>
      </x:c>
      <x:c r="C552">
        <x:f>'幕间与结算'!D459</x:f>
        <x:v>0</x:v>
      </x:c>
      <x:c r="D552">
        <x:f>'幕间与结算'!F459</x:f>
        <x:v>0</x:v>
      </x:c>
      <x:c r="E552">
        <x:f>IF(H552=1,MAX(-'幕间与结算'!E459,MIN(D552,IF(LEFT(C552,3)="技能：",99,IF(COUNTIF($L$2:$L$7,C552)&gt;0,18,999))-'幕间与结算'!E459)),0)</x:f>
        <x:v>0</x:v>
      </x:c>
      <x:c r="F552" t="str">
        <x:f>IF(C552=0,"",IF(G552=0,"记录不完整",IF(H552=0,"重复未计","已计入")))</x:f>
        <x:v/>
      </x:c>
      <x:c r="G552">
        <x:f>IF(AND(AND('幕间与结算'!A459&lt;&gt;"",'幕间与结算'!B459&lt;&gt;"",'幕间与结算'!I459&lt;&gt;"",OR(LEFT(C552,3)="技能：",COUNTIF($L$2:$L$19,C552)&gt;0),ISNUMBER('幕间与结算'!E459),ISNUMBER('幕间与结算'!F459),ISNUMBER('幕间与结算'!G459),'幕间与结算'!E459&gt;=0,'幕间与结算'!G459='幕间与结算'!E459+'幕间与结算'!F459),OR(B552&lt;&gt;"成长",AND(LEFT(C552,3)="技能：",C552&lt;&gt;"技能：非自然知识",'幕间与结算'!E459&gt;=1,'幕间与结算'!E459&lt;=99,'幕间与结算'!F459&gt;=0,'幕间与结算'!F459&lt;=4,'幕间与结算'!G459&lt;=99))),1,0)</x:f>
        <x:v>0</x:v>
      </x:c>
      <x:c r="H552">
        <x:f>IF(AND(G552=1,COUNTIFS($I$200:I552,I552,$G$200:G552,1)=1),1,0)</x:f>
        <x:v>0</x:v>
      </x:c>
      <x:c r="I552" t="str">
        <x:f>IF(G552=1,IF(B552="成长",A552&amp;"-成长-"&amp;C552,'幕间与结算'!I459),"")</x:f>
        <x:v/>
      </x:c>
      <x:c r="BF552">
        <x:f>MAX(0,MIN(18,BF551+IF(C552="力量",E552,0)))</x:f>
        <x:v>0</x:v>
      </x:c>
      <x:c r="BG552">
        <x:f>MAX(0,MIN(18,BG551+IF(C552="体质",E552,0)))</x:f>
        <x:v>0</x:v>
      </x:c>
      <x:c r="BH552">
        <x:f>MAX(0,MIN(18,BH551+IF(C552="敏捷",E552,0)))</x:f>
        <x:v>0</x:v>
      </x:c>
      <x:c r="BI552">
        <x:f>MAX(0,MIN(18,BI551+IF(C552="智力",E552,0)))</x:f>
        <x:v>0</x:v>
      </x:c>
      <x:c r="BJ552">
        <x:f>MAX(0,MIN(18,BJ551+IF(C552="意志",E552,0)))</x:f>
        <x:v>0</x:v>
      </x:c>
      <x:c r="BK552">
        <x:f>MAX(0,MIN(18,BK551+IF(C552="魅力",E552,0)))</x:f>
        <x:v>0</x:v>
      </x:c>
      <x:c r="BL552">
        <x:f>MAX(0,MIN(99,BL551+IF(C552="技能：非自然知识",E552,0)))</x:f>
        <x:v>0</x:v>
      </x:c>
      <x:c r="BM552">
        <x:f>MAX(0,MIN(CEILING((BF552+BG552)/2,1),BM551+IF(C552="体力",E552,0)))</x:f>
        <x:v>0</x:v>
      </x:c>
      <x:c r="BN552">
        <x:f>MAX(0,MIN(BJ552,BN551+IF(C552="毅力",E552,0)))</x:f>
        <x:v>0</x:v>
      </x:c>
      <x:c r="BO552">
        <x:f>MAX(0,MIN(99-BL552,BO551+IF(C552="理智",E552,0)))</x:f>
        <x:v>0</x:v>
      </x:c>
      <x:c r="BP552">
        <x:f>MAX(0,MIN(99,BP551+IF(C552="崩溃点",E552,0)))</x:f>
        <x:v>0</x:v>
      </x:c>
      <x:c r="BQ552">
        <x:f>MAX(0,MIN(BK552,IF(AND(H552=1,C552="重要关系1",LEFT('幕间与结算'!H459,8)="建立新的重要关系"),'幕间与结算'!E459+E552,BQ551+IF(C552="重要关系1",E552,0)+IF(AND(C552="魅力",E552&lt;0),E552,0))))</x:f>
        <x:v>0</x:v>
      </x:c>
      <x:c r="BR552">
        <x:f>MAX(0,MIN(BK552,IF(AND(H552=1,C552="重要关系2",LEFT('幕间与结算'!H459,8)="建立新的重要关系"),'幕间与结算'!E459+E552,BR551+IF(C552="重要关系2",E552,0)+IF(AND(C552="魅力",E552&lt;0),E552,0))))</x:f>
        <x:v>0</x:v>
      </x:c>
      <x:c r="BS552">
        <x:f>MAX(0,MIN(BK552,IF(AND(H552=1,C552="重要关系3",LEFT('幕间与结算'!H459,8)="建立新的重要关系"),'幕间与结算'!E459+E552,BS551+IF(C552="重要关系3",E552,0)+IF(AND(C552="魅力",E552&lt;0),E552,0))))</x:f>
        <x:v>0</x:v>
      </x:c>
      <x:c r="BT552">
        <x:f>MAX(0,MIN(BK552,IF(AND(H552=1,C552="重要关系4",LEFT('幕间与结算'!H459,8)="建立新的重要关系"),'幕间与结算'!E459+E552,BT551+IF(C552="重要关系4",E552,0)+IF(AND(C552="魅力",E552&lt;0),E552,0))))</x:f>
        <x:v>0</x:v>
      </x:c>
      <x:c r="BU552">
        <x:f>MAX(0,MIN(BK552,IF(AND(H552=1,C552="重要关系5",LEFT('幕间与结算'!H459,8)="建立新的重要关系"),'幕间与结算'!E459+E552,BU551+IF(C552="重要关系5",E552,0)+IF(AND(C552="魅力",E552&lt;0),E552,0))))</x:f>
        <x:v>0</x:v>
      </x:c>
      <x:c r="BV552">
        <x:f>MAX(0,MIN(BK552,IF(AND(H552=1,C552="重要关系6",LEFT('幕间与结算'!H459,8)="建立新的重要关系"),'幕间与结算'!E459+E552,BV551+IF(C552="重要关系6",E552,0)+IF(AND(C552="魅力",E552&lt;0),E552,0))))</x:f>
        <x:v>0</x:v>
      </x:c>
      <x:c r="BW552">
        <x:f>MAX(0,MIN(BK552,IF(AND(H552=1,C552="重要关系7",LEFT('幕间与结算'!H459,8)="建立新的重要关系"),'幕间与结算'!E459+E552,BW551+IF(C552="重要关系7",E552,0)+IF(AND(C552="魅力",E552&lt;0),E552,0))))</x:f>
        <x:v>0</x:v>
      </x:c>
    </x:row>
    <x:row r="553">
      <x:c r="A553" t="str">
        <x:f>IFERROR(TEXT(VALUE('幕间与结算'!A460),"00"),"")</x:f>
        <x:v>00</x:v>
      </x:c>
      <x:c r="B553">
        <x:f>'幕间与结算'!B460</x:f>
        <x:v>0</x:v>
      </x:c>
      <x:c r="C553">
        <x:f>'幕间与结算'!D460</x:f>
        <x:v>0</x:v>
      </x:c>
      <x:c r="D553">
        <x:f>'幕间与结算'!F460</x:f>
        <x:v>0</x:v>
      </x:c>
      <x:c r="E553">
        <x:f>IF(H553=1,MAX(-'幕间与结算'!E460,MIN(D553,IF(LEFT(C553,3)="技能：",99,IF(COUNTIF($L$2:$L$7,C553)&gt;0,18,999))-'幕间与结算'!E460)),0)</x:f>
        <x:v>0</x:v>
      </x:c>
      <x:c r="F553" t="str">
        <x:f>IF(C553=0,"",IF(G553=0,"记录不完整",IF(H553=0,"重复未计","已计入")))</x:f>
        <x:v/>
      </x:c>
      <x:c r="G553">
        <x:f>IF(AND(AND('幕间与结算'!A460&lt;&gt;"",'幕间与结算'!B460&lt;&gt;"",'幕间与结算'!I460&lt;&gt;"",OR(LEFT(C553,3)="技能：",COUNTIF($L$2:$L$19,C553)&gt;0),ISNUMBER('幕间与结算'!E460),ISNUMBER('幕间与结算'!F460),ISNUMBER('幕间与结算'!G460),'幕间与结算'!E460&gt;=0,'幕间与结算'!G460='幕间与结算'!E460+'幕间与结算'!F460),OR(B553&lt;&gt;"成长",AND(LEFT(C553,3)="技能：",C553&lt;&gt;"技能：非自然知识",'幕间与结算'!E460&gt;=1,'幕间与结算'!E460&lt;=99,'幕间与结算'!F460&gt;=0,'幕间与结算'!F460&lt;=4,'幕间与结算'!G460&lt;=99))),1,0)</x:f>
        <x:v>0</x:v>
      </x:c>
      <x:c r="H553">
        <x:f>IF(AND(G553=1,COUNTIFS($I$200:I553,I553,$G$200:G553,1)=1),1,0)</x:f>
        <x:v>0</x:v>
      </x:c>
      <x:c r="I553" t="str">
        <x:f>IF(G553=1,IF(B553="成长",A553&amp;"-成长-"&amp;C553,'幕间与结算'!I460),"")</x:f>
        <x:v/>
      </x:c>
      <x:c r="BF553">
        <x:f>MAX(0,MIN(18,BF552+IF(C553="力量",E553,0)))</x:f>
        <x:v>0</x:v>
      </x:c>
      <x:c r="BG553">
        <x:f>MAX(0,MIN(18,BG552+IF(C553="体质",E553,0)))</x:f>
        <x:v>0</x:v>
      </x:c>
      <x:c r="BH553">
        <x:f>MAX(0,MIN(18,BH552+IF(C553="敏捷",E553,0)))</x:f>
        <x:v>0</x:v>
      </x:c>
      <x:c r="BI553">
        <x:f>MAX(0,MIN(18,BI552+IF(C553="智力",E553,0)))</x:f>
        <x:v>0</x:v>
      </x:c>
      <x:c r="BJ553">
        <x:f>MAX(0,MIN(18,BJ552+IF(C553="意志",E553,0)))</x:f>
        <x:v>0</x:v>
      </x:c>
      <x:c r="BK553">
        <x:f>MAX(0,MIN(18,BK552+IF(C553="魅力",E553,0)))</x:f>
        <x:v>0</x:v>
      </x:c>
      <x:c r="BL553">
        <x:f>MAX(0,MIN(99,BL552+IF(C553="技能：非自然知识",E553,0)))</x:f>
        <x:v>0</x:v>
      </x:c>
      <x:c r="BM553">
        <x:f>MAX(0,MIN(CEILING((BF553+BG553)/2,1),BM552+IF(C553="体力",E553,0)))</x:f>
        <x:v>0</x:v>
      </x:c>
      <x:c r="BN553">
        <x:f>MAX(0,MIN(BJ553,BN552+IF(C553="毅力",E553,0)))</x:f>
        <x:v>0</x:v>
      </x:c>
      <x:c r="BO553">
        <x:f>MAX(0,MIN(99-BL553,BO552+IF(C553="理智",E553,0)))</x:f>
        <x:v>0</x:v>
      </x:c>
      <x:c r="BP553">
        <x:f>MAX(0,MIN(99,BP552+IF(C553="崩溃点",E553,0)))</x:f>
        <x:v>0</x:v>
      </x:c>
      <x:c r="BQ553">
        <x:f>MAX(0,MIN(BK553,IF(AND(H553=1,C553="重要关系1",LEFT('幕间与结算'!H460,8)="建立新的重要关系"),'幕间与结算'!E460+E553,BQ552+IF(C553="重要关系1",E553,0)+IF(AND(C553="魅力",E553&lt;0),E553,0))))</x:f>
        <x:v>0</x:v>
      </x:c>
      <x:c r="BR553">
        <x:f>MAX(0,MIN(BK553,IF(AND(H553=1,C553="重要关系2",LEFT('幕间与结算'!H460,8)="建立新的重要关系"),'幕间与结算'!E460+E553,BR552+IF(C553="重要关系2",E553,0)+IF(AND(C553="魅力",E553&lt;0),E553,0))))</x:f>
        <x:v>0</x:v>
      </x:c>
      <x:c r="BS553">
        <x:f>MAX(0,MIN(BK553,IF(AND(H553=1,C553="重要关系3",LEFT('幕间与结算'!H460,8)="建立新的重要关系"),'幕间与结算'!E460+E553,BS552+IF(C553="重要关系3",E553,0)+IF(AND(C553="魅力",E553&lt;0),E553,0))))</x:f>
        <x:v>0</x:v>
      </x:c>
      <x:c r="BT553">
        <x:f>MAX(0,MIN(BK553,IF(AND(H553=1,C553="重要关系4",LEFT('幕间与结算'!H460,8)="建立新的重要关系"),'幕间与结算'!E460+E553,BT552+IF(C553="重要关系4",E553,0)+IF(AND(C553="魅力",E553&lt;0),E553,0))))</x:f>
        <x:v>0</x:v>
      </x:c>
      <x:c r="BU553">
        <x:f>MAX(0,MIN(BK553,IF(AND(H553=1,C553="重要关系5",LEFT('幕间与结算'!H460,8)="建立新的重要关系"),'幕间与结算'!E460+E553,BU552+IF(C553="重要关系5",E553,0)+IF(AND(C553="魅力",E553&lt;0),E553,0))))</x:f>
        <x:v>0</x:v>
      </x:c>
      <x:c r="BV553">
        <x:f>MAX(0,MIN(BK553,IF(AND(H553=1,C553="重要关系6",LEFT('幕间与结算'!H460,8)="建立新的重要关系"),'幕间与结算'!E460+E553,BV552+IF(C553="重要关系6",E553,0)+IF(AND(C553="魅力",E553&lt;0),E553,0))))</x:f>
        <x:v>0</x:v>
      </x:c>
      <x:c r="BW553">
        <x:f>MAX(0,MIN(BK553,IF(AND(H553=1,C553="重要关系7",LEFT('幕间与结算'!H460,8)="建立新的重要关系"),'幕间与结算'!E460+E553,BW552+IF(C553="重要关系7",E553,0)+IF(AND(C553="魅力",E553&lt;0),E553,0))))</x:f>
        <x:v>0</x:v>
      </x:c>
    </x:row>
    <x:row r="554">
      <x:c r="A554" t="str">
        <x:f>IFERROR(TEXT(VALUE('幕间与结算'!A461),"00"),"")</x:f>
        <x:v>00</x:v>
      </x:c>
      <x:c r="B554">
        <x:f>'幕间与结算'!B461</x:f>
        <x:v>0</x:v>
      </x:c>
      <x:c r="C554">
        <x:f>'幕间与结算'!D461</x:f>
        <x:v>0</x:v>
      </x:c>
      <x:c r="D554">
        <x:f>'幕间与结算'!F461</x:f>
        <x:v>0</x:v>
      </x:c>
      <x:c r="E554">
        <x:f>IF(H554=1,MAX(-'幕间与结算'!E461,MIN(D554,IF(LEFT(C554,3)="技能：",99,IF(COUNTIF($L$2:$L$7,C554)&gt;0,18,999))-'幕间与结算'!E461)),0)</x:f>
        <x:v>0</x:v>
      </x:c>
      <x:c r="F554" t="str">
        <x:f>IF(C554=0,"",IF(G554=0,"记录不完整",IF(H554=0,"重复未计","已计入")))</x:f>
        <x:v/>
      </x:c>
      <x:c r="G554">
        <x:f>IF(AND(AND('幕间与结算'!A461&lt;&gt;"",'幕间与结算'!B461&lt;&gt;"",'幕间与结算'!I461&lt;&gt;"",OR(LEFT(C554,3)="技能：",COUNTIF($L$2:$L$19,C554)&gt;0),ISNUMBER('幕间与结算'!E461),ISNUMBER('幕间与结算'!F461),ISNUMBER('幕间与结算'!G461),'幕间与结算'!E461&gt;=0,'幕间与结算'!G461='幕间与结算'!E461+'幕间与结算'!F461),OR(B554&lt;&gt;"成长",AND(LEFT(C554,3)="技能：",C554&lt;&gt;"技能：非自然知识",'幕间与结算'!E461&gt;=1,'幕间与结算'!E461&lt;=99,'幕间与结算'!F461&gt;=0,'幕间与结算'!F461&lt;=4,'幕间与结算'!G461&lt;=99))),1,0)</x:f>
        <x:v>0</x:v>
      </x:c>
      <x:c r="H554">
        <x:f>IF(AND(G554=1,COUNTIFS($I$200:I554,I554,$G$200:G554,1)=1),1,0)</x:f>
        <x:v>0</x:v>
      </x:c>
      <x:c r="I554" t="str">
        <x:f>IF(G554=1,IF(B554="成长",A554&amp;"-成长-"&amp;C554,'幕间与结算'!I461),"")</x:f>
        <x:v/>
      </x:c>
      <x:c r="BF554">
        <x:f>MAX(0,MIN(18,BF553+IF(C554="力量",E554,0)))</x:f>
        <x:v>0</x:v>
      </x:c>
      <x:c r="BG554">
        <x:f>MAX(0,MIN(18,BG553+IF(C554="体质",E554,0)))</x:f>
        <x:v>0</x:v>
      </x:c>
      <x:c r="BH554">
        <x:f>MAX(0,MIN(18,BH553+IF(C554="敏捷",E554,0)))</x:f>
        <x:v>0</x:v>
      </x:c>
      <x:c r="BI554">
        <x:f>MAX(0,MIN(18,BI553+IF(C554="智力",E554,0)))</x:f>
        <x:v>0</x:v>
      </x:c>
      <x:c r="BJ554">
        <x:f>MAX(0,MIN(18,BJ553+IF(C554="意志",E554,0)))</x:f>
        <x:v>0</x:v>
      </x:c>
      <x:c r="BK554">
        <x:f>MAX(0,MIN(18,BK553+IF(C554="魅力",E554,0)))</x:f>
        <x:v>0</x:v>
      </x:c>
      <x:c r="BL554">
        <x:f>MAX(0,MIN(99,BL553+IF(C554="技能：非自然知识",E554,0)))</x:f>
        <x:v>0</x:v>
      </x:c>
      <x:c r="BM554">
        <x:f>MAX(0,MIN(CEILING((BF554+BG554)/2,1),BM553+IF(C554="体力",E554,0)))</x:f>
        <x:v>0</x:v>
      </x:c>
      <x:c r="BN554">
        <x:f>MAX(0,MIN(BJ554,BN553+IF(C554="毅力",E554,0)))</x:f>
        <x:v>0</x:v>
      </x:c>
      <x:c r="BO554">
        <x:f>MAX(0,MIN(99-BL554,BO553+IF(C554="理智",E554,0)))</x:f>
        <x:v>0</x:v>
      </x:c>
      <x:c r="BP554">
        <x:f>MAX(0,MIN(99,BP553+IF(C554="崩溃点",E554,0)))</x:f>
        <x:v>0</x:v>
      </x:c>
      <x:c r="BQ554">
        <x:f>MAX(0,MIN(BK554,IF(AND(H554=1,C554="重要关系1",LEFT('幕间与结算'!H461,8)="建立新的重要关系"),'幕间与结算'!E461+E554,BQ553+IF(C554="重要关系1",E554,0)+IF(AND(C554="魅力",E554&lt;0),E554,0))))</x:f>
        <x:v>0</x:v>
      </x:c>
      <x:c r="BR554">
        <x:f>MAX(0,MIN(BK554,IF(AND(H554=1,C554="重要关系2",LEFT('幕间与结算'!H461,8)="建立新的重要关系"),'幕间与结算'!E461+E554,BR553+IF(C554="重要关系2",E554,0)+IF(AND(C554="魅力",E554&lt;0),E554,0))))</x:f>
        <x:v>0</x:v>
      </x:c>
      <x:c r="BS554">
        <x:f>MAX(0,MIN(BK554,IF(AND(H554=1,C554="重要关系3",LEFT('幕间与结算'!H461,8)="建立新的重要关系"),'幕间与结算'!E461+E554,BS553+IF(C554="重要关系3",E554,0)+IF(AND(C554="魅力",E554&lt;0),E554,0))))</x:f>
        <x:v>0</x:v>
      </x:c>
      <x:c r="BT554">
        <x:f>MAX(0,MIN(BK554,IF(AND(H554=1,C554="重要关系4",LEFT('幕间与结算'!H461,8)="建立新的重要关系"),'幕间与结算'!E461+E554,BT553+IF(C554="重要关系4",E554,0)+IF(AND(C554="魅力",E554&lt;0),E554,0))))</x:f>
        <x:v>0</x:v>
      </x:c>
      <x:c r="BU554">
        <x:f>MAX(0,MIN(BK554,IF(AND(H554=1,C554="重要关系5",LEFT('幕间与结算'!H461,8)="建立新的重要关系"),'幕间与结算'!E461+E554,BU553+IF(C554="重要关系5",E554,0)+IF(AND(C554="魅力",E554&lt;0),E554,0))))</x:f>
        <x:v>0</x:v>
      </x:c>
      <x:c r="BV554">
        <x:f>MAX(0,MIN(BK554,IF(AND(H554=1,C554="重要关系6",LEFT('幕间与结算'!H461,8)="建立新的重要关系"),'幕间与结算'!E461+E554,BV553+IF(C554="重要关系6",E554,0)+IF(AND(C554="魅力",E554&lt;0),E554,0))))</x:f>
        <x:v>0</x:v>
      </x:c>
      <x:c r="BW554">
        <x:f>MAX(0,MIN(BK554,IF(AND(H554=1,C554="重要关系7",LEFT('幕间与结算'!H461,8)="建立新的重要关系"),'幕间与结算'!E461+E554,BW553+IF(C554="重要关系7",E554,0)+IF(AND(C554="魅力",E554&lt;0),E554,0))))</x:f>
        <x:v>0</x:v>
      </x:c>
    </x:row>
    <x:row r="555">
      <x:c r="A555" t="str">
        <x:f>IFERROR(TEXT(VALUE('幕间与结算'!A462),"00"),"")</x:f>
        <x:v>00</x:v>
      </x:c>
      <x:c r="B555">
        <x:f>'幕间与结算'!B462</x:f>
        <x:v>0</x:v>
      </x:c>
      <x:c r="C555">
        <x:f>'幕间与结算'!D462</x:f>
        <x:v>0</x:v>
      </x:c>
      <x:c r="D555">
        <x:f>'幕间与结算'!F462</x:f>
        <x:v>0</x:v>
      </x:c>
      <x:c r="E555">
        <x:f>IF(H555=1,MAX(-'幕间与结算'!E462,MIN(D555,IF(LEFT(C555,3)="技能：",99,IF(COUNTIF($L$2:$L$7,C555)&gt;0,18,999))-'幕间与结算'!E462)),0)</x:f>
        <x:v>0</x:v>
      </x:c>
      <x:c r="F555" t="str">
        <x:f>IF(C555=0,"",IF(G555=0,"记录不完整",IF(H555=0,"重复未计","已计入")))</x:f>
        <x:v/>
      </x:c>
      <x:c r="G555">
        <x:f>IF(AND(AND('幕间与结算'!A462&lt;&gt;"",'幕间与结算'!B462&lt;&gt;"",'幕间与结算'!I462&lt;&gt;"",OR(LEFT(C555,3)="技能：",COUNTIF($L$2:$L$19,C555)&gt;0),ISNUMBER('幕间与结算'!E462),ISNUMBER('幕间与结算'!F462),ISNUMBER('幕间与结算'!G462),'幕间与结算'!E462&gt;=0,'幕间与结算'!G462='幕间与结算'!E462+'幕间与结算'!F462),OR(B555&lt;&gt;"成长",AND(LEFT(C555,3)="技能：",C555&lt;&gt;"技能：非自然知识",'幕间与结算'!E462&gt;=1,'幕间与结算'!E462&lt;=99,'幕间与结算'!F462&gt;=0,'幕间与结算'!F462&lt;=4,'幕间与结算'!G462&lt;=99))),1,0)</x:f>
        <x:v>0</x:v>
      </x:c>
      <x:c r="H555">
        <x:f>IF(AND(G555=1,COUNTIFS($I$200:I555,I555,$G$200:G555,1)=1),1,0)</x:f>
        <x:v>0</x:v>
      </x:c>
      <x:c r="I555" t="str">
        <x:f>IF(G555=1,IF(B555="成长",A555&amp;"-成长-"&amp;C555,'幕间与结算'!I462),"")</x:f>
        <x:v/>
      </x:c>
      <x:c r="BF555">
        <x:f>MAX(0,MIN(18,BF554+IF(C555="力量",E555,0)))</x:f>
        <x:v>0</x:v>
      </x:c>
      <x:c r="BG555">
        <x:f>MAX(0,MIN(18,BG554+IF(C555="体质",E555,0)))</x:f>
        <x:v>0</x:v>
      </x:c>
      <x:c r="BH555">
        <x:f>MAX(0,MIN(18,BH554+IF(C555="敏捷",E555,0)))</x:f>
        <x:v>0</x:v>
      </x:c>
      <x:c r="BI555">
        <x:f>MAX(0,MIN(18,BI554+IF(C555="智力",E555,0)))</x:f>
        <x:v>0</x:v>
      </x:c>
      <x:c r="BJ555">
        <x:f>MAX(0,MIN(18,BJ554+IF(C555="意志",E555,0)))</x:f>
        <x:v>0</x:v>
      </x:c>
      <x:c r="BK555">
        <x:f>MAX(0,MIN(18,BK554+IF(C555="魅力",E555,0)))</x:f>
        <x:v>0</x:v>
      </x:c>
      <x:c r="BL555">
        <x:f>MAX(0,MIN(99,BL554+IF(C555="技能：非自然知识",E555,0)))</x:f>
        <x:v>0</x:v>
      </x:c>
      <x:c r="BM555">
        <x:f>MAX(0,MIN(CEILING((BF555+BG555)/2,1),BM554+IF(C555="体力",E555,0)))</x:f>
        <x:v>0</x:v>
      </x:c>
      <x:c r="BN555">
        <x:f>MAX(0,MIN(BJ555,BN554+IF(C555="毅力",E555,0)))</x:f>
        <x:v>0</x:v>
      </x:c>
      <x:c r="BO555">
        <x:f>MAX(0,MIN(99-BL555,BO554+IF(C555="理智",E555,0)))</x:f>
        <x:v>0</x:v>
      </x:c>
      <x:c r="BP555">
        <x:f>MAX(0,MIN(99,BP554+IF(C555="崩溃点",E555,0)))</x:f>
        <x:v>0</x:v>
      </x:c>
      <x:c r="BQ555">
        <x:f>MAX(0,MIN(BK555,IF(AND(H555=1,C555="重要关系1",LEFT('幕间与结算'!H462,8)="建立新的重要关系"),'幕间与结算'!E462+E555,BQ554+IF(C555="重要关系1",E555,0)+IF(AND(C555="魅力",E555&lt;0),E555,0))))</x:f>
        <x:v>0</x:v>
      </x:c>
      <x:c r="BR555">
        <x:f>MAX(0,MIN(BK555,IF(AND(H555=1,C555="重要关系2",LEFT('幕间与结算'!H462,8)="建立新的重要关系"),'幕间与结算'!E462+E555,BR554+IF(C555="重要关系2",E555,0)+IF(AND(C555="魅力",E555&lt;0),E555,0))))</x:f>
        <x:v>0</x:v>
      </x:c>
      <x:c r="BS555">
        <x:f>MAX(0,MIN(BK555,IF(AND(H555=1,C555="重要关系3",LEFT('幕间与结算'!H462,8)="建立新的重要关系"),'幕间与结算'!E462+E555,BS554+IF(C555="重要关系3",E555,0)+IF(AND(C555="魅力",E555&lt;0),E555,0))))</x:f>
        <x:v>0</x:v>
      </x:c>
      <x:c r="BT555">
        <x:f>MAX(0,MIN(BK555,IF(AND(H555=1,C555="重要关系4",LEFT('幕间与结算'!H462,8)="建立新的重要关系"),'幕间与结算'!E462+E555,BT554+IF(C555="重要关系4",E555,0)+IF(AND(C555="魅力",E555&lt;0),E555,0))))</x:f>
        <x:v>0</x:v>
      </x:c>
      <x:c r="BU555">
        <x:f>MAX(0,MIN(BK555,IF(AND(H555=1,C555="重要关系5",LEFT('幕间与结算'!H462,8)="建立新的重要关系"),'幕间与结算'!E462+E555,BU554+IF(C555="重要关系5",E555,0)+IF(AND(C555="魅力",E555&lt;0),E555,0))))</x:f>
        <x:v>0</x:v>
      </x:c>
      <x:c r="BV555">
        <x:f>MAX(0,MIN(BK555,IF(AND(H555=1,C555="重要关系6",LEFT('幕间与结算'!H462,8)="建立新的重要关系"),'幕间与结算'!E462+E555,BV554+IF(C555="重要关系6",E555,0)+IF(AND(C555="魅力",E555&lt;0),E555,0))))</x:f>
        <x:v>0</x:v>
      </x:c>
      <x:c r="BW555">
        <x:f>MAX(0,MIN(BK555,IF(AND(H555=1,C555="重要关系7",LEFT('幕间与结算'!H462,8)="建立新的重要关系"),'幕间与结算'!E462+E555,BW554+IF(C555="重要关系7",E555,0)+IF(AND(C555="魅力",E555&lt;0),E555,0))))</x:f>
        <x:v>0</x:v>
      </x:c>
    </x:row>
    <x:row r="556">
      <x:c r="A556" t="str">
        <x:f>IFERROR(TEXT(VALUE('幕间与结算'!A463),"00"),"")</x:f>
        <x:v>00</x:v>
      </x:c>
      <x:c r="B556">
        <x:f>'幕间与结算'!B463</x:f>
        <x:v>0</x:v>
      </x:c>
      <x:c r="C556">
        <x:f>'幕间与结算'!D463</x:f>
        <x:v>0</x:v>
      </x:c>
      <x:c r="D556">
        <x:f>'幕间与结算'!F463</x:f>
        <x:v>0</x:v>
      </x:c>
      <x:c r="E556">
        <x:f>IF(H556=1,MAX(-'幕间与结算'!E463,MIN(D556,IF(LEFT(C556,3)="技能：",99,IF(COUNTIF($L$2:$L$7,C556)&gt;0,18,999))-'幕间与结算'!E463)),0)</x:f>
        <x:v>0</x:v>
      </x:c>
      <x:c r="F556" t="str">
        <x:f>IF(C556=0,"",IF(G556=0,"记录不完整",IF(H556=0,"重复未计","已计入")))</x:f>
        <x:v/>
      </x:c>
      <x:c r="G556">
        <x:f>IF(AND(AND('幕间与结算'!A463&lt;&gt;"",'幕间与结算'!B463&lt;&gt;"",'幕间与结算'!I463&lt;&gt;"",OR(LEFT(C556,3)="技能：",COUNTIF($L$2:$L$19,C556)&gt;0),ISNUMBER('幕间与结算'!E463),ISNUMBER('幕间与结算'!F463),ISNUMBER('幕间与结算'!G463),'幕间与结算'!E463&gt;=0,'幕间与结算'!G463='幕间与结算'!E463+'幕间与结算'!F463),OR(B556&lt;&gt;"成长",AND(LEFT(C556,3)="技能：",C556&lt;&gt;"技能：非自然知识",'幕间与结算'!E463&gt;=1,'幕间与结算'!E463&lt;=99,'幕间与结算'!F463&gt;=0,'幕间与结算'!F463&lt;=4,'幕间与结算'!G463&lt;=99))),1,0)</x:f>
        <x:v>0</x:v>
      </x:c>
      <x:c r="H556">
        <x:f>IF(AND(G556=1,COUNTIFS($I$200:I556,I556,$G$200:G556,1)=1),1,0)</x:f>
        <x:v>0</x:v>
      </x:c>
      <x:c r="I556" t="str">
        <x:f>IF(G556=1,IF(B556="成长",A556&amp;"-成长-"&amp;C556,'幕间与结算'!I463),"")</x:f>
        <x:v/>
      </x:c>
      <x:c r="BF556">
        <x:f>MAX(0,MIN(18,BF555+IF(C556="力量",E556,0)))</x:f>
        <x:v>0</x:v>
      </x:c>
      <x:c r="BG556">
        <x:f>MAX(0,MIN(18,BG555+IF(C556="体质",E556,0)))</x:f>
        <x:v>0</x:v>
      </x:c>
      <x:c r="BH556">
        <x:f>MAX(0,MIN(18,BH555+IF(C556="敏捷",E556,0)))</x:f>
        <x:v>0</x:v>
      </x:c>
      <x:c r="BI556">
        <x:f>MAX(0,MIN(18,BI555+IF(C556="智力",E556,0)))</x:f>
        <x:v>0</x:v>
      </x:c>
      <x:c r="BJ556">
        <x:f>MAX(0,MIN(18,BJ555+IF(C556="意志",E556,0)))</x:f>
        <x:v>0</x:v>
      </x:c>
      <x:c r="BK556">
        <x:f>MAX(0,MIN(18,BK555+IF(C556="魅力",E556,0)))</x:f>
        <x:v>0</x:v>
      </x:c>
      <x:c r="BL556">
        <x:f>MAX(0,MIN(99,BL555+IF(C556="技能：非自然知识",E556,0)))</x:f>
        <x:v>0</x:v>
      </x:c>
      <x:c r="BM556">
        <x:f>MAX(0,MIN(CEILING((BF556+BG556)/2,1),BM555+IF(C556="体力",E556,0)))</x:f>
        <x:v>0</x:v>
      </x:c>
      <x:c r="BN556">
        <x:f>MAX(0,MIN(BJ556,BN555+IF(C556="毅力",E556,0)))</x:f>
        <x:v>0</x:v>
      </x:c>
      <x:c r="BO556">
        <x:f>MAX(0,MIN(99-BL556,BO555+IF(C556="理智",E556,0)))</x:f>
        <x:v>0</x:v>
      </x:c>
      <x:c r="BP556">
        <x:f>MAX(0,MIN(99,BP555+IF(C556="崩溃点",E556,0)))</x:f>
        <x:v>0</x:v>
      </x:c>
      <x:c r="BQ556">
        <x:f>MAX(0,MIN(BK556,IF(AND(H556=1,C556="重要关系1",LEFT('幕间与结算'!H463,8)="建立新的重要关系"),'幕间与结算'!E463+E556,BQ555+IF(C556="重要关系1",E556,0)+IF(AND(C556="魅力",E556&lt;0),E556,0))))</x:f>
        <x:v>0</x:v>
      </x:c>
      <x:c r="BR556">
        <x:f>MAX(0,MIN(BK556,IF(AND(H556=1,C556="重要关系2",LEFT('幕间与结算'!H463,8)="建立新的重要关系"),'幕间与结算'!E463+E556,BR555+IF(C556="重要关系2",E556,0)+IF(AND(C556="魅力",E556&lt;0),E556,0))))</x:f>
        <x:v>0</x:v>
      </x:c>
      <x:c r="BS556">
        <x:f>MAX(0,MIN(BK556,IF(AND(H556=1,C556="重要关系3",LEFT('幕间与结算'!H463,8)="建立新的重要关系"),'幕间与结算'!E463+E556,BS555+IF(C556="重要关系3",E556,0)+IF(AND(C556="魅力",E556&lt;0),E556,0))))</x:f>
        <x:v>0</x:v>
      </x:c>
      <x:c r="BT556">
        <x:f>MAX(0,MIN(BK556,IF(AND(H556=1,C556="重要关系4",LEFT('幕间与结算'!H463,8)="建立新的重要关系"),'幕间与结算'!E463+E556,BT555+IF(C556="重要关系4",E556,0)+IF(AND(C556="魅力",E556&lt;0),E556,0))))</x:f>
        <x:v>0</x:v>
      </x:c>
      <x:c r="BU556">
        <x:f>MAX(0,MIN(BK556,IF(AND(H556=1,C556="重要关系5",LEFT('幕间与结算'!H463,8)="建立新的重要关系"),'幕间与结算'!E463+E556,BU555+IF(C556="重要关系5",E556,0)+IF(AND(C556="魅力",E556&lt;0),E556,0))))</x:f>
        <x:v>0</x:v>
      </x:c>
      <x:c r="BV556">
        <x:f>MAX(0,MIN(BK556,IF(AND(H556=1,C556="重要关系6",LEFT('幕间与结算'!H463,8)="建立新的重要关系"),'幕间与结算'!E463+E556,BV555+IF(C556="重要关系6",E556,0)+IF(AND(C556="魅力",E556&lt;0),E556,0))))</x:f>
        <x:v>0</x:v>
      </x:c>
      <x:c r="BW556">
        <x:f>MAX(0,MIN(BK556,IF(AND(H556=1,C556="重要关系7",LEFT('幕间与结算'!H463,8)="建立新的重要关系"),'幕间与结算'!E463+E556,BW555+IF(C556="重要关系7",E556,0)+IF(AND(C556="魅力",E556&lt;0),E556,0))))</x:f>
        <x:v>0</x:v>
      </x:c>
    </x:row>
    <x:row r="557">
      <x:c r="A557" t="str">
        <x:f>IFERROR(TEXT(VALUE('幕间与结算'!A464),"00"),"")</x:f>
        <x:v>00</x:v>
      </x:c>
      <x:c r="B557">
        <x:f>'幕间与结算'!B464</x:f>
        <x:v>0</x:v>
      </x:c>
      <x:c r="C557">
        <x:f>'幕间与结算'!D464</x:f>
        <x:v>0</x:v>
      </x:c>
      <x:c r="D557">
        <x:f>'幕间与结算'!F464</x:f>
        <x:v>0</x:v>
      </x:c>
      <x:c r="E557">
        <x:f>IF(H557=1,MAX(-'幕间与结算'!E464,MIN(D557,IF(LEFT(C557,3)="技能：",99,IF(COUNTIF($L$2:$L$7,C557)&gt;0,18,999))-'幕间与结算'!E464)),0)</x:f>
        <x:v>0</x:v>
      </x:c>
      <x:c r="F557" t="str">
        <x:f>IF(C557=0,"",IF(G557=0,"记录不完整",IF(H557=0,"重复未计","已计入")))</x:f>
        <x:v/>
      </x:c>
      <x:c r="G557">
        <x:f>IF(AND(AND('幕间与结算'!A464&lt;&gt;"",'幕间与结算'!B464&lt;&gt;"",'幕间与结算'!I464&lt;&gt;"",OR(LEFT(C557,3)="技能：",COUNTIF($L$2:$L$19,C557)&gt;0),ISNUMBER('幕间与结算'!E464),ISNUMBER('幕间与结算'!F464),ISNUMBER('幕间与结算'!G464),'幕间与结算'!E464&gt;=0,'幕间与结算'!G464='幕间与结算'!E464+'幕间与结算'!F464),OR(B557&lt;&gt;"成长",AND(LEFT(C557,3)="技能：",C557&lt;&gt;"技能：非自然知识",'幕间与结算'!E464&gt;=1,'幕间与结算'!E464&lt;=99,'幕间与结算'!F464&gt;=0,'幕间与结算'!F464&lt;=4,'幕间与结算'!G464&lt;=99))),1,0)</x:f>
        <x:v>0</x:v>
      </x:c>
      <x:c r="H557">
        <x:f>IF(AND(G557=1,COUNTIFS($I$200:I557,I557,$G$200:G557,1)=1),1,0)</x:f>
        <x:v>0</x:v>
      </x:c>
      <x:c r="I557" t="str">
        <x:f>IF(G557=1,IF(B557="成长",A557&amp;"-成长-"&amp;C557,'幕间与结算'!I464),"")</x:f>
        <x:v/>
      </x:c>
      <x:c r="BF557">
        <x:f>MAX(0,MIN(18,BF556+IF(C557="力量",E557,0)))</x:f>
        <x:v>0</x:v>
      </x:c>
      <x:c r="BG557">
        <x:f>MAX(0,MIN(18,BG556+IF(C557="体质",E557,0)))</x:f>
        <x:v>0</x:v>
      </x:c>
      <x:c r="BH557">
        <x:f>MAX(0,MIN(18,BH556+IF(C557="敏捷",E557,0)))</x:f>
        <x:v>0</x:v>
      </x:c>
      <x:c r="BI557">
        <x:f>MAX(0,MIN(18,BI556+IF(C557="智力",E557,0)))</x:f>
        <x:v>0</x:v>
      </x:c>
      <x:c r="BJ557">
        <x:f>MAX(0,MIN(18,BJ556+IF(C557="意志",E557,0)))</x:f>
        <x:v>0</x:v>
      </x:c>
      <x:c r="BK557">
        <x:f>MAX(0,MIN(18,BK556+IF(C557="魅力",E557,0)))</x:f>
        <x:v>0</x:v>
      </x:c>
      <x:c r="BL557">
        <x:f>MAX(0,MIN(99,BL556+IF(C557="技能：非自然知识",E557,0)))</x:f>
        <x:v>0</x:v>
      </x:c>
      <x:c r="BM557">
        <x:f>MAX(0,MIN(CEILING((BF557+BG557)/2,1),BM556+IF(C557="体力",E557,0)))</x:f>
        <x:v>0</x:v>
      </x:c>
      <x:c r="BN557">
        <x:f>MAX(0,MIN(BJ557,BN556+IF(C557="毅力",E557,0)))</x:f>
        <x:v>0</x:v>
      </x:c>
      <x:c r="BO557">
        <x:f>MAX(0,MIN(99-BL557,BO556+IF(C557="理智",E557,0)))</x:f>
        <x:v>0</x:v>
      </x:c>
      <x:c r="BP557">
        <x:f>MAX(0,MIN(99,BP556+IF(C557="崩溃点",E557,0)))</x:f>
        <x:v>0</x:v>
      </x:c>
      <x:c r="BQ557">
        <x:f>MAX(0,MIN(BK557,IF(AND(H557=1,C557="重要关系1",LEFT('幕间与结算'!H464,8)="建立新的重要关系"),'幕间与结算'!E464+E557,BQ556+IF(C557="重要关系1",E557,0)+IF(AND(C557="魅力",E557&lt;0),E557,0))))</x:f>
        <x:v>0</x:v>
      </x:c>
      <x:c r="BR557">
        <x:f>MAX(0,MIN(BK557,IF(AND(H557=1,C557="重要关系2",LEFT('幕间与结算'!H464,8)="建立新的重要关系"),'幕间与结算'!E464+E557,BR556+IF(C557="重要关系2",E557,0)+IF(AND(C557="魅力",E557&lt;0),E557,0))))</x:f>
        <x:v>0</x:v>
      </x:c>
      <x:c r="BS557">
        <x:f>MAX(0,MIN(BK557,IF(AND(H557=1,C557="重要关系3",LEFT('幕间与结算'!H464,8)="建立新的重要关系"),'幕间与结算'!E464+E557,BS556+IF(C557="重要关系3",E557,0)+IF(AND(C557="魅力",E557&lt;0),E557,0))))</x:f>
        <x:v>0</x:v>
      </x:c>
      <x:c r="BT557">
        <x:f>MAX(0,MIN(BK557,IF(AND(H557=1,C557="重要关系4",LEFT('幕间与结算'!H464,8)="建立新的重要关系"),'幕间与结算'!E464+E557,BT556+IF(C557="重要关系4",E557,0)+IF(AND(C557="魅力",E557&lt;0),E557,0))))</x:f>
        <x:v>0</x:v>
      </x:c>
      <x:c r="BU557">
        <x:f>MAX(0,MIN(BK557,IF(AND(H557=1,C557="重要关系5",LEFT('幕间与结算'!H464,8)="建立新的重要关系"),'幕间与结算'!E464+E557,BU556+IF(C557="重要关系5",E557,0)+IF(AND(C557="魅力",E557&lt;0),E557,0))))</x:f>
        <x:v>0</x:v>
      </x:c>
      <x:c r="BV557">
        <x:f>MAX(0,MIN(BK557,IF(AND(H557=1,C557="重要关系6",LEFT('幕间与结算'!H464,8)="建立新的重要关系"),'幕间与结算'!E464+E557,BV556+IF(C557="重要关系6",E557,0)+IF(AND(C557="魅力",E557&lt;0),E557,0))))</x:f>
        <x:v>0</x:v>
      </x:c>
      <x:c r="BW557">
        <x:f>MAX(0,MIN(BK557,IF(AND(H557=1,C557="重要关系7",LEFT('幕间与结算'!H464,8)="建立新的重要关系"),'幕间与结算'!E464+E557,BW556+IF(C557="重要关系7",E557,0)+IF(AND(C557="魅力",E557&lt;0),E557,0))))</x:f>
        <x:v>0</x:v>
      </x:c>
    </x:row>
    <x:row r="558">
      <x:c r="A558" t="str">
        <x:f>IFERROR(TEXT(VALUE('幕间与结算'!A465),"00"),"")</x:f>
        <x:v>00</x:v>
      </x:c>
      <x:c r="B558">
        <x:f>'幕间与结算'!B465</x:f>
        <x:v>0</x:v>
      </x:c>
      <x:c r="C558">
        <x:f>'幕间与结算'!D465</x:f>
        <x:v>0</x:v>
      </x:c>
      <x:c r="D558">
        <x:f>'幕间与结算'!F465</x:f>
        <x:v>0</x:v>
      </x:c>
      <x:c r="E558">
        <x:f>IF(H558=1,MAX(-'幕间与结算'!E465,MIN(D558,IF(LEFT(C558,3)="技能：",99,IF(COUNTIF($L$2:$L$7,C558)&gt;0,18,999))-'幕间与结算'!E465)),0)</x:f>
        <x:v>0</x:v>
      </x:c>
      <x:c r="F558" t="str">
        <x:f>IF(C558=0,"",IF(G558=0,"记录不完整",IF(H558=0,"重复未计","已计入")))</x:f>
        <x:v/>
      </x:c>
      <x:c r="G558">
        <x:f>IF(AND(AND('幕间与结算'!A465&lt;&gt;"",'幕间与结算'!B465&lt;&gt;"",'幕间与结算'!I465&lt;&gt;"",OR(LEFT(C558,3)="技能：",COUNTIF($L$2:$L$19,C558)&gt;0),ISNUMBER('幕间与结算'!E465),ISNUMBER('幕间与结算'!F465),ISNUMBER('幕间与结算'!G465),'幕间与结算'!E465&gt;=0,'幕间与结算'!G465='幕间与结算'!E465+'幕间与结算'!F465),OR(B558&lt;&gt;"成长",AND(LEFT(C558,3)="技能：",C558&lt;&gt;"技能：非自然知识",'幕间与结算'!E465&gt;=1,'幕间与结算'!E465&lt;=99,'幕间与结算'!F465&gt;=0,'幕间与结算'!F465&lt;=4,'幕间与结算'!G465&lt;=99))),1,0)</x:f>
        <x:v>0</x:v>
      </x:c>
      <x:c r="H558">
        <x:f>IF(AND(G558=1,COUNTIFS($I$200:I558,I558,$G$200:G558,1)=1),1,0)</x:f>
        <x:v>0</x:v>
      </x:c>
      <x:c r="I558" t="str">
        <x:f>IF(G558=1,IF(B558="成长",A558&amp;"-成长-"&amp;C558,'幕间与结算'!I465),"")</x:f>
        <x:v/>
      </x:c>
      <x:c r="BF558">
        <x:f>MAX(0,MIN(18,BF557+IF(C558="力量",E558,0)))</x:f>
        <x:v>0</x:v>
      </x:c>
      <x:c r="BG558">
        <x:f>MAX(0,MIN(18,BG557+IF(C558="体质",E558,0)))</x:f>
        <x:v>0</x:v>
      </x:c>
      <x:c r="BH558">
        <x:f>MAX(0,MIN(18,BH557+IF(C558="敏捷",E558,0)))</x:f>
        <x:v>0</x:v>
      </x:c>
      <x:c r="BI558">
        <x:f>MAX(0,MIN(18,BI557+IF(C558="智力",E558,0)))</x:f>
        <x:v>0</x:v>
      </x:c>
      <x:c r="BJ558">
        <x:f>MAX(0,MIN(18,BJ557+IF(C558="意志",E558,0)))</x:f>
        <x:v>0</x:v>
      </x:c>
      <x:c r="BK558">
        <x:f>MAX(0,MIN(18,BK557+IF(C558="魅力",E558,0)))</x:f>
        <x:v>0</x:v>
      </x:c>
      <x:c r="BL558">
        <x:f>MAX(0,MIN(99,BL557+IF(C558="技能：非自然知识",E558,0)))</x:f>
        <x:v>0</x:v>
      </x:c>
      <x:c r="BM558">
        <x:f>MAX(0,MIN(CEILING((BF558+BG558)/2,1),BM557+IF(C558="体力",E558,0)))</x:f>
        <x:v>0</x:v>
      </x:c>
      <x:c r="BN558">
        <x:f>MAX(0,MIN(BJ558,BN557+IF(C558="毅力",E558,0)))</x:f>
        <x:v>0</x:v>
      </x:c>
      <x:c r="BO558">
        <x:f>MAX(0,MIN(99-BL558,BO557+IF(C558="理智",E558,0)))</x:f>
        <x:v>0</x:v>
      </x:c>
      <x:c r="BP558">
        <x:f>MAX(0,MIN(99,BP557+IF(C558="崩溃点",E558,0)))</x:f>
        <x:v>0</x:v>
      </x:c>
      <x:c r="BQ558">
        <x:f>MAX(0,MIN(BK558,IF(AND(H558=1,C558="重要关系1",LEFT('幕间与结算'!H465,8)="建立新的重要关系"),'幕间与结算'!E465+E558,BQ557+IF(C558="重要关系1",E558,0)+IF(AND(C558="魅力",E558&lt;0),E558,0))))</x:f>
        <x:v>0</x:v>
      </x:c>
      <x:c r="BR558">
        <x:f>MAX(0,MIN(BK558,IF(AND(H558=1,C558="重要关系2",LEFT('幕间与结算'!H465,8)="建立新的重要关系"),'幕间与结算'!E465+E558,BR557+IF(C558="重要关系2",E558,0)+IF(AND(C558="魅力",E558&lt;0),E558,0))))</x:f>
        <x:v>0</x:v>
      </x:c>
      <x:c r="BS558">
        <x:f>MAX(0,MIN(BK558,IF(AND(H558=1,C558="重要关系3",LEFT('幕间与结算'!H465,8)="建立新的重要关系"),'幕间与结算'!E465+E558,BS557+IF(C558="重要关系3",E558,0)+IF(AND(C558="魅力",E558&lt;0),E558,0))))</x:f>
        <x:v>0</x:v>
      </x:c>
      <x:c r="BT558">
        <x:f>MAX(0,MIN(BK558,IF(AND(H558=1,C558="重要关系4",LEFT('幕间与结算'!H465,8)="建立新的重要关系"),'幕间与结算'!E465+E558,BT557+IF(C558="重要关系4",E558,0)+IF(AND(C558="魅力",E558&lt;0),E558,0))))</x:f>
        <x:v>0</x:v>
      </x:c>
      <x:c r="BU558">
        <x:f>MAX(0,MIN(BK558,IF(AND(H558=1,C558="重要关系5",LEFT('幕间与结算'!H465,8)="建立新的重要关系"),'幕间与结算'!E465+E558,BU557+IF(C558="重要关系5",E558,0)+IF(AND(C558="魅力",E558&lt;0),E558,0))))</x:f>
        <x:v>0</x:v>
      </x:c>
      <x:c r="BV558">
        <x:f>MAX(0,MIN(BK558,IF(AND(H558=1,C558="重要关系6",LEFT('幕间与结算'!H465,8)="建立新的重要关系"),'幕间与结算'!E465+E558,BV557+IF(C558="重要关系6",E558,0)+IF(AND(C558="魅力",E558&lt;0),E558,0))))</x:f>
        <x:v>0</x:v>
      </x:c>
      <x:c r="BW558">
        <x:f>MAX(0,MIN(BK558,IF(AND(H558=1,C558="重要关系7",LEFT('幕间与结算'!H465,8)="建立新的重要关系"),'幕间与结算'!E465+E558,BW557+IF(C558="重要关系7",E558,0)+IF(AND(C558="魅力",E558&lt;0),E558,0))))</x:f>
        <x:v>0</x:v>
      </x:c>
    </x:row>
    <x:row r="559">
      <x:c r="A559" t="str">
        <x:f>IFERROR(TEXT(VALUE('幕间与结算'!A466),"00"),"")</x:f>
        <x:v>00</x:v>
      </x:c>
      <x:c r="B559">
        <x:f>'幕间与结算'!B466</x:f>
        <x:v>0</x:v>
      </x:c>
      <x:c r="C559">
        <x:f>'幕间与结算'!D466</x:f>
        <x:v>0</x:v>
      </x:c>
      <x:c r="D559">
        <x:f>'幕间与结算'!F466</x:f>
        <x:v>0</x:v>
      </x:c>
      <x:c r="E559">
        <x:f>IF(H559=1,MAX(-'幕间与结算'!E466,MIN(D559,IF(LEFT(C559,3)="技能：",99,IF(COUNTIF($L$2:$L$7,C559)&gt;0,18,999))-'幕间与结算'!E466)),0)</x:f>
        <x:v>0</x:v>
      </x:c>
      <x:c r="F559" t="str">
        <x:f>IF(C559=0,"",IF(G559=0,"记录不完整",IF(H559=0,"重复未计","已计入")))</x:f>
        <x:v/>
      </x:c>
      <x:c r="G559">
        <x:f>IF(AND(AND('幕间与结算'!A466&lt;&gt;"",'幕间与结算'!B466&lt;&gt;"",'幕间与结算'!I466&lt;&gt;"",OR(LEFT(C559,3)="技能：",COUNTIF($L$2:$L$19,C559)&gt;0),ISNUMBER('幕间与结算'!E466),ISNUMBER('幕间与结算'!F466),ISNUMBER('幕间与结算'!G466),'幕间与结算'!E466&gt;=0,'幕间与结算'!G466='幕间与结算'!E466+'幕间与结算'!F466),OR(B559&lt;&gt;"成长",AND(LEFT(C559,3)="技能：",C559&lt;&gt;"技能：非自然知识",'幕间与结算'!E466&gt;=1,'幕间与结算'!E466&lt;=99,'幕间与结算'!F466&gt;=0,'幕间与结算'!F466&lt;=4,'幕间与结算'!G466&lt;=99))),1,0)</x:f>
        <x:v>0</x:v>
      </x:c>
      <x:c r="H559">
        <x:f>IF(AND(G559=1,COUNTIFS($I$200:I559,I559,$G$200:G559,1)=1),1,0)</x:f>
        <x:v>0</x:v>
      </x:c>
      <x:c r="I559" t="str">
        <x:f>IF(G559=1,IF(B559="成长",A559&amp;"-成长-"&amp;C559,'幕间与结算'!I466),"")</x:f>
        <x:v/>
      </x:c>
      <x:c r="BF559">
        <x:f>MAX(0,MIN(18,BF558+IF(C559="力量",E559,0)))</x:f>
        <x:v>0</x:v>
      </x:c>
      <x:c r="BG559">
        <x:f>MAX(0,MIN(18,BG558+IF(C559="体质",E559,0)))</x:f>
        <x:v>0</x:v>
      </x:c>
      <x:c r="BH559">
        <x:f>MAX(0,MIN(18,BH558+IF(C559="敏捷",E559,0)))</x:f>
        <x:v>0</x:v>
      </x:c>
      <x:c r="BI559">
        <x:f>MAX(0,MIN(18,BI558+IF(C559="智力",E559,0)))</x:f>
        <x:v>0</x:v>
      </x:c>
      <x:c r="BJ559">
        <x:f>MAX(0,MIN(18,BJ558+IF(C559="意志",E559,0)))</x:f>
        <x:v>0</x:v>
      </x:c>
      <x:c r="BK559">
        <x:f>MAX(0,MIN(18,BK558+IF(C559="魅力",E559,0)))</x:f>
        <x:v>0</x:v>
      </x:c>
      <x:c r="BL559">
        <x:f>MAX(0,MIN(99,BL558+IF(C559="技能：非自然知识",E559,0)))</x:f>
        <x:v>0</x:v>
      </x:c>
      <x:c r="BM559">
        <x:f>MAX(0,MIN(CEILING((BF559+BG559)/2,1),BM558+IF(C559="体力",E559,0)))</x:f>
        <x:v>0</x:v>
      </x:c>
      <x:c r="BN559">
        <x:f>MAX(0,MIN(BJ559,BN558+IF(C559="毅力",E559,0)))</x:f>
        <x:v>0</x:v>
      </x:c>
      <x:c r="BO559">
        <x:f>MAX(0,MIN(99-BL559,BO558+IF(C559="理智",E559,0)))</x:f>
        <x:v>0</x:v>
      </x:c>
      <x:c r="BP559">
        <x:f>MAX(0,MIN(99,BP558+IF(C559="崩溃点",E559,0)))</x:f>
        <x:v>0</x:v>
      </x:c>
      <x:c r="BQ559">
        <x:f>MAX(0,MIN(BK559,IF(AND(H559=1,C559="重要关系1",LEFT('幕间与结算'!H466,8)="建立新的重要关系"),'幕间与结算'!E466+E559,BQ558+IF(C559="重要关系1",E559,0)+IF(AND(C559="魅力",E559&lt;0),E559,0))))</x:f>
        <x:v>0</x:v>
      </x:c>
      <x:c r="BR559">
        <x:f>MAX(0,MIN(BK559,IF(AND(H559=1,C559="重要关系2",LEFT('幕间与结算'!H466,8)="建立新的重要关系"),'幕间与结算'!E466+E559,BR558+IF(C559="重要关系2",E559,0)+IF(AND(C559="魅力",E559&lt;0),E559,0))))</x:f>
        <x:v>0</x:v>
      </x:c>
      <x:c r="BS559">
        <x:f>MAX(0,MIN(BK559,IF(AND(H559=1,C559="重要关系3",LEFT('幕间与结算'!H466,8)="建立新的重要关系"),'幕间与结算'!E466+E559,BS558+IF(C559="重要关系3",E559,0)+IF(AND(C559="魅力",E559&lt;0),E559,0))))</x:f>
        <x:v>0</x:v>
      </x:c>
      <x:c r="BT559">
        <x:f>MAX(0,MIN(BK559,IF(AND(H559=1,C559="重要关系4",LEFT('幕间与结算'!H466,8)="建立新的重要关系"),'幕间与结算'!E466+E559,BT558+IF(C559="重要关系4",E559,0)+IF(AND(C559="魅力",E559&lt;0),E559,0))))</x:f>
        <x:v>0</x:v>
      </x:c>
      <x:c r="BU559">
        <x:f>MAX(0,MIN(BK559,IF(AND(H559=1,C559="重要关系5",LEFT('幕间与结算'!H466,8)="建立新的重要关系"),'幕间与结算'!E466+E559,BU558+IF(C559="重要关系5",E559,0)+IF(AND(C559="魅力",E559&lt;0),E559,0))))</x:f>
        <x:v>0</x:v>
      </x:c>
      <x:c r="BV559">
        <x:f>MAX(0,MIN(BK559,IF(AND(H559=1,C559="重要关系6",LEFT('幕间与结算'!H466,8)="建立新的重要关系"),'幕间与结算'!E466+E559,BV558+IF(C559="重要关系6",E559,0)+IF(AND(C559="魅力",E559&lt;0),E559,0))))</x:f>
        <x:v>0</x:v>
      </x:c>
      <x:c r="BW559">
        <x:f>MAX(0,MIN(BK559,IF(AND(H559=1,C559="重要关系7",LEFT('幕间与结算'!H466,8)="建立新的重要关系"),'幕间与结算'!E466+E559,BW558+IF(C559="重要关系7",E559,0)+IF(AND(C559="魅力",E559&lt;0),E559,0))))</x:f>
        <x:v>0</x:v>
      </x:c>
    </x:row>
    <x:row r="560">
      <x:c r="A560" t="str">
        <x:f>IFERROR(TEXT(VALUE('幕间与结算'!A467),"00"),"")</x:f>
        <x:v>00</x:v>
      </x:c>
      <x:c r="B560">
        <x:f>'幕间与结算'!B467</x:f>
        <x:v>0</x:v>
      </x:c>
      <x:c r="C560">
        <x:f>'幕间与结算'!D467</x:f>
        <x:v>0</x:v>
      </x:c>
      <x:c r="D560">
        <x:f>'幕间与结算'!F467</x:f>
        <x:v>0</x:v>
      </x:c>
      <x:c r="E560">
        <x:f>IF(H560=1,MAX(-'幕间与结算'!E467,MIN(D560,IF(LEFT(C560,3)="技能：",99,IF(COUNTIF($L$2:$L$7,C560)&gt;0,18,999))-'幕间与结算'!E467)),0)</x:f>
        <x:v>0</x:v>
      </x:c>
      <x:c r="F560" t="str">
        <x:f>IF(C560=0,"",IF(G560=0,"记录不完整",IF(H560=0,"重复未计","已计入")))</x:f>
        <x:v/>
      </x:c>
      <x:c r="G560">
        <x:f>IF(AND(AND('幕间与结算'!A467&lt;&gt;"",'幕间与结算'!B467&lt;&gt;"",'幕间与结算'!I467&lt;&gt;"",OR(LEFT(C560,3)="技能：",COUNTIF($L$2:$L$19,C560)&gt;0),ISNUMBER('幕间与结算'!E467),ISNUMBER('幕间与结算'!F467),ISNUMBER('幕间与结算'!G467),'幕间与结算'!E467&gt;=0,'幕间与结算'!G467='幕间与结算'!E467+'幕间与结算'!F467),OR(B560&lt;&gt;"成长",AND(LEFT(C560,3)="技能：",C560&lt;&gt;"技能：非自然知识",'幕间与结算'!E467&gt;=1,'幕间与结算'!E467&lt;=99,'幕间与结算'!F467&gt;=0,'幕间与结算'!F467&lt;=4,'幕间与结算'!G467&lt;=99))),1,0)</x:f>
        <x:v>0</x:v>
      </x:c>
      <x:c r="H560">
        <x:f>IF(AND(G560=1,COUNTIFS($I$200:I560,I560,$G$200:G560,1)=1),1,0)</x:f>
        <x:v>0</x:v>
      </x:c>
      <x:c r="I560" t="str">
        <x:f>IF(G560=1,IF(B560="成长",A560&amp;"-成长-"&amp;C560,'幕间与结算'!I467),"")</x:f>
        <x:v/>
      </x:c>
      <x:c r="BF560">
        <x:f>MAX(0,MIN(18,BF559+IF(C560="力量",E560,0)))</x:f>
        <x:v>0</x:v>
      </x:c>
      <x:c r="BG560">
        <x:f>MAX(0,MIN(18,BG559+IF(C560="体质",E560,0)))</x:f>
        <x:v>0</x:v>
      </x:c>
      <x:c r="BH560">
        <x:f>MAX(0,MIN(18,BH559+IF(C560="敏捷",E560,0)))</x:f>
        <x:v>0</x:v>
      </x:c>
      <x:c r="BI560">
        <x:f>MAX(0,MIN(18,BI559+IF(C560="智力",E560,0)))</x:f>
        <x:v>0</x:v>
      </x:c>
      <x:c r="BJ560">
        <x:f>MAX(0,MIN(18,BJ559+IF(C560="意志",E560,0)))</x:f>
        <x:v>0</x:v>
      </x:c>
      <x:c r="BK560">
        <x:f>MAX(0,MIN(18,BK559+IF(C560="魅力",E560,0)))</x:f>
        <x:v>0</x:v>
      </x:c>
      <x:c r="BL560">
        <x:f>MAX(0,MIN(99,BL559+IF(C560="技能：非自然知识",E560,0)))</x:f>
        <x:v>0</x:v>
      </x:c>
      <x:c r="BM560">
        <x:f>MAX(0,MIN(CEILING((BF560+BG560)/2,1),BM559+IF(C560="体力",E560,0)))</x:f>
        <x:v>0</x:v>
      </x:c>
      <x:c r="BN560">
        <x:f>MAX(0,MIN(BJ560,BN559+IF(C560="毅力",E560,0)))</x:f>
        <x:v>0</x:v>
      </x:c>
      <x:c r="BO560">
        <x:f>MAX(0,MIN(99-BL560,BO559+IF(C560="理智",E560,0)))</x:f>
        <x:v>0</x:v>
      </x:c>
      <x:c r="BP560">
        <x:f>MAX(0,MIN(99,BP559+IF(C560="崩溃点",E560,0)))</x:f>
        <x:v>0</x:v>
      </x:c>
      <x:c r="BQ560">
        <x:f>MAX(0,MIN(BK560,IF(AND(H560=1,C560="重要关系1",LEFT('幕间与结算'!H467,8)="建立新的重要关系"),'幕间与结算'!E467+E560,BQ559+IF(C560="重要关系1",E560,0)+IF(AND(C560="魅力",E560&lt;0),E560,0))))</x:f>
        <x:v>0</x:v>
      </x:c>
      <x:c r="BR560">
        <x:f>MAX(0,MIN(BK560,IF(AND(H560=1,C560="重要关系2",LEFT('幕间与结算'!H467,8)="建立新的重要关系"),'幕间与结算'!E467+E560,BR559+IF(C560="重要关系2",E560,0)+IF(AND(C560="魅力",E560&lt;0),E560,0))))</x:f>
        <x:v>0</x:v>
      </x:c>
      <x:c r="BS560">
        <x:f>MAX(0,MIN(BK560,IF(AND(H560=1,C560="重要关系3",LEFT('幕间与结算'!H467,8)="建立新的重要关系"),'幕间与结算'!E467+E560,BS559+IF(C560="重要关系3",E560,0)+IF(AND(C560="魅力",E560&lt;0),E560,0))))</x:f>
        <x:v>0</x:v>
      </x:c>
      <x:c r="BT560">
        <x:f>MAX(0,MIN(BK560,IF(AND(H560=1,C560="重要关系4",LEFT('幕间与结算'!H467,8)="建立新的重要关系"),'幕间与结算'!E467+E560,BT559+IF(C560="重要关系4",E560,0)+IF(AND(C560="魅力",E560&lt;0),E560,0))))</x:f>
        <x:v>0</x:v>
      </x:c>
      <x:c r="BU560">
        <x:f>MAX(0,MIN(BK560,IF(AND(H560=1,C560="重要关系5",LEFT('幕间与结算'!H467,8)="建立新的重要关系"),'幕间与结算'!E467+E560,BU559+IF(C560="重要关系5",E560,0)+IF(AND(C560="魅力",E560&lt;0),E560,0))))</x:f>
        <x:v>0</x:v>
      </x:c>
      <x:c r="BV560">
        <x:f>MAX(0,MIN(BK560,IF(AND(H560=1,C560="重要关系6",LEFT('幕间与结算'!H467,8)="建立新的重要关系"),'幕间与结算'!E467+E560,BV559+IF(C560="重要关系6",E560,0)+IF(AND(C560="魅力",E560&lt;0),E560,0))))</x:f>
        <x:v>0</x:v>
      </x:c>
      <x:c r="BW560">
        <x:f>MAX(0,MIN(BK560,IF(AND(H560=1,C560="重要关系7",LEFT('幕间与结算'!H467,8)="建立新的重要关系"),'幕间与结算'!E467+E560,BW559+IF(C560="重要关系7",E560,0)+IF(AND(C560="魅力",E560&lt;0),E560,0))))</x:f>
        <x:v>0</x:v>
      </x:c>
    </x:row>
    <x:row r="561">
      <x:c r="A561" t="str">
        <x:f>IFERROR(TEXT(VALUE('幕间与结算'!A468),"00"),"")</x:f>
        <x:v>00</x:v>
      </x:c>
      <x:c r="B561">
        <x:f>'幕间与结算'!B468</x:f>
        <x:v>0</x:v>
      </x:c>
      <x:c r="C561">
        <x:f>'幕间与结算'!D468</x:f>
        <x:v>0</x:v>
      </x:c>
      <x:c r="D561">
        <x:f>'幕间与结算'!F468</x:f>
        <x:v>0</x:v>
      </x:c>
      <x:c r="E561">
        <x:f>IF(H561=1,MAX(-'幕间与结算'!E468,MIN(D561,IF(LEFT(C561,3)="技能：",99,IF(COUNTIF($L$2:$L$7,C561)&gt;0,18,999))-'幕间与结算'!E468)),0)</x:f>
        <x:v>0</x:v>
      </x:c>
      <x:c r="F561" t="str">
        <x:f>IF(C561=0,"",IF(G561=0,"记录不完整",IF(H561=0,"重复未计","已计入")))</x:f>
        <x:v/>
      </x:c>
      <x:c r="G561">
        <x:f>IF(AND(AND('幕间与结算'!A468&lt;&gt;"",'幕间与结算'!B468&lt;&gt;"",'幕间与结算'!I468&lt;&gt;"",OR(LEFT(C561,3)="技能：",COUNTIF($L$2:$L$19,C561)&gt;0),ISNUMBER('幕间与结算'!E468),ISNUMBER('幕间与结算'!F468),ISNUMBER('幕间与结算'!G468),'幕间与结算'!E468&gt;=0,'幕间与结算'!G468='幕间与结算'!E468+'幕间与结算'!F468),OR(B561&lt;&gt;"成长",AND(LEFT(C561,3)="技能：",C561&lt;&gt;"技能：非自然知识",'幕间与结算'!E468&gt;=1,'幕间与结算'!E468&lt;=99,'幕间与结算'!F468&gt;=0,'幕间与结算'!F468&lt;=4,'幕间与结算'!G468&lt;=99))),1,0)</x:f>
        <x:v>0</x:v>
      </x:c>
      <x:c r="H561">
        <x:f>IF(AND(G561=1,COUNTIFS($I$200:I561,I561,$G$200:G561,1)=1),1,0)</x:f>
        <x:v>0</x:v>
      </x:c>
      <x:c r="I561" t="str">
        <x:f>IF(G561=1,IF(B561="成长",A561&amp;"-成长-"&amp;C561,'幕间与结算'!I468),"")</x:f>
        <x:v/>
      </x:c>
      <x:c r="BF561">
        <x:f>MAX(0,MIN(18,BF560+IF(C561="力量",E561,0)))</x:f>
        <x:v>0</x:v>
      </x:c>
      <x:c r="BG561">
        <x:f>MAX(0,MIN(18,BG560+IF(C561="体质",E561,0)))</x:f>
        <x:v>0</x:v>
      </x:c>
      <x:c r="BH561">
        <x:f>MAX(0,MIN(18,BH560+IF(C561="敏捷",E561,0)))</x:f>
        <x:v>0</x:v>
      </x:c>
      <x:c r="BI561">
        <x:f>MAX(0,MIN(18,BI560+IF(C561="智力",E561,0)))</x:f>
        <x:v>0</x:v>
      </x:c>
      <x:c r="BJ561">
        <x:f>MAX(0,MIN(18,BJ560+IF(C561="意志",E561,0)))</x:f>
        <x:v>0</x:v>
      </x:c>
      <x:c r="BK561">
        <x:f>MAX(0,MIN(18,BK560+IF(C561="魅力",E561,0)))</x:f>
        <x:v>0</x:v>
      </x:c>
      <x:c r="BL561">
        <x:f>MAX(0,MIN(99,BL560+IF(C561="技能：非自然知识",E561,0)))</x:f>
        <x:v>0</x:v>
      </x:c>
      <x:c r="BM561">
        <x:f>MAX(0,MIN(CEILING((BF561+BG561)/2,1),BM560+IF(C561="体力",E561,0)))</x:f>
        <x:v>0</x:v>
      </x:c>
      <x:c r="BN561">
        <x:f>MAX(0,MIN(BJ561,BN560+IF(C561="毅力",E561,0)))</x:f>
        <x:v>0</x:v>
      </x:c>
      <x:c r="BO561">
        <x:f>MAX(0,MIN(99-BL561,BO560+IF(C561="理智",E561,0)))</x:f>
        <x:v>0</x:v>
      </x:c>
      <x:c r="BP561">
        <x:f>MAX(0,MIN(99,BP560+IF(C561="崩溃点",E561,0)))</x:f>
        <x:v>0</x:v>
      </x:c>
      <x:c r="BQ561">
        <x:f>MAX(0,MIN(BK561,IF(AND(H561=1,C561="重要关系1",LEFT('幕间与结算'!H468,8)="建立新的重要关系"),'幕间与结算'!E468+E561,BQ560+IF(C561="重要关系1",E561,0)+IF(AND(C561="魅力",E561&lt;0),E561,0))))</x:f>
        <x:v>0</x:v>
      </x:c>
      <x:c r="BR561">
        <x:f>MAX(0,MIN(BK561,IF(AND(H561=1,C561="重要关系2",LEFT('幕间与结算'!H468,8)="建立新的重要关系"),'幕间与结算'!E468+E561,BR560+IF(C561="重要关系2",E561,0)+IF(AND(C561="魅力",E561&lt;0),E561,0))))</x:f>
        <x:v>0</x:v>
      </x:c>
      <x:c r="BS561">
        <x:f>MAX(0,MIN(BK561,IF(AND(H561=1,C561="重要关系3",LEFT('幕间与结算'!H468,8)="建立新的重要关系"),'幕间与结算'!E468+E561,BS560+IF(C561="重要关系3",E561,0)+IF(AND(C561="魅力",E561&lt;0),E561,0))))</x:f>
        <x:v>0</x:v>
      </x:c>
      <x:c r="BT561">
        <x:f>MAX(0,MIN(BK561,IF(AND(H561=1,C561="重要关系4",LEFT('幕间与结算'!H468,8)="建立新的重要关系"),'幕间与结算'!E468+E561,BT560+IF(C561="重要关系4",E561,0)+IF(AND(C561="魅力",E561&lt;0),E561,0))))</x:f>
        <x:v>0</x:v>
      </x:c>
      <x:c r="BU561">
        <x:f>MAX(0,MIN(BK561,IF(AND(H561=1,C561="重要关系5",LEFT('幕间与结算'!H468,8)="建立新的重要关系"),'幕间与结算'!E468+E561,BU560+IF(C561="重要关系5",E561,0)+IF(AND(C561="魅力",E561&lt;0),E561,0))))</x:f>
        <x:v>0</x:v>
      </x:c>
      <x:c r="BV561">
        <x:f>MAX(0,MIN(BK561,IF(AND(H561=1,C561="重要关系6",LEFT('幕间与结算'!H468,8)="建立新的重要关系"),'幕间与结算'!E468+E561,BV560+IF(C561="重要关系6",E561,0)+IF(AND(C561="魅力",E561&lt;0),E561,0))))</x:f>
        <x:v>0</x:v>
      </x:c>
      <x:c r="BW561">
        <x:f>MAX(0,MIN(BK561,IF(AND(H561=1,C561="重要关系7",LEFT('幕间与结算'!H468,8)="建立新的重要关系"),'幕间与结算'!E468+E561,BW560+IF(C561="重要关系7",E561,0)+IF(AND(C561="魅力",E561&lt;0),E561,0))))</x:f>
        <x:v>0</x:v>
      </x:c>
    </x:row>
    <x:row r="562">
      <x:c r="A562" t="str">
        <x:f>IFERROR(TEXT(VALUE('幕间与结算'!A469),"00"),"")</x:f>
        <x:v>00</x:v>
      </x:c>
      <x:c r="B562">
        <x:f>'幕间与结算'!B469</x:f>
        <x:v>0</x:v>
      </x:c>
      <x:c r="C562">
        <x:f>'幕间与结算'!D469</x:f>
        <x:v>0</x:v>
      </x:c>
      <x:c r="D562">
        <x:f>'幕间与结算'!F469</x:f>
        <x:v>0</x:v>
      </x:c>
      <x:c r="E562">
        <x:f>IF(H562=1,MAX(-'幕间与结算'!E469,MIN(D562,IF(LEFT(C562,3)="技能：",99,IF(COUNTIF($L$2:$L$7,C562)&gt;0,18,999))-'幕间与结算'!E469)),0)</x:f>
        <x:v>0</x:v>
      </x:c>
      <x:c r="F562" t="str">
        <x:f>IF(C562=0,"",IF(G562=0,"记录不完整",IF(H562=0,"重复未计","已计入")))</x:f>
        <x:v/>
      </x:c>
      <x:c r="G562">
        <x:f>IF(AND(AND('幕间与结算'!A469&lt;&gt;"",'幕间与结算'!B469&lt;&gt;"",'幕间与结算'!I469&lt;&gt;"",OR(LEFT(C562,3)="技能：",COUNTIF($L$2:$L$19,C562)&gt;0),ISNUMBER('幕间与结算'!E469),ISNUMBER('幕间与结算'!F469),ISNUMBER('幕间与结算'!G469),'幕间与结算'!E469&gt;=0,'幕间与结算'!G469='幕间与结算'!E469+'幕间与结算'!F469),OR(B562&lt;&gt;"成长",AND(LEFT(C562,3)="技能：",C562&lt;&gt;"技能：非自然知识",'幕间与结算'!E469&gt;=1,'幕间与结算'!E469&lt;=99,'幕间与结算'!F469&gt;=0,'幕间与结算'!F469&lt;=4,'幕间与结算'!G469&lt;=99))),1,0)</x:f>
        <x:v>0</x:v>
      </x:c>
      <x:c r="H562">
        <x:f>IF(AND(G562=1,COUNTIFS($I$200:I562,I562,$G$200:G562,1)=1),1,0)</x:f>
        <x:v>0</x:v>
      </x:c>
      <x:c r="I562" t="str">
        <x:f>IF(G562=1,IF(B562="成长",A562&amp;"-成长-"&amp;C562,'幕间与结算'!I469),"")</x:f>
        <x:v/>
      </x:c>
      <x:c r="BF562">
        <x:f>MAX(0,MIN(18,BF561+IF(C562="力量",E562,0)))</x:f>
        <x:v>0</x:v>
      </x:c>
      <x:c r="BG562">
        <x:f>MAX(0,MIN(18,BG561+IF(C562="体质",E562,0)))</x:f>
        <x:v>0</x:v>
      </x:c>
      <x:c r="BH562">
        <x:f>MAX(0,MIN(18,BH561+IF(C562="敏捷",E562,0)))</x:f>
        <x:v>0</x:v>
      </x:c>
      <x:c r="BI562">
        <x:f>MAX(0,MIN(18,BI561+IF(C562="智力",E562,0)))</x:f>
        <x:v>0</x:v>
      </x:c>
      <x:c r="BJ562">
        <x:f>MAX(0,MIN(18,BJ561+IF(C562="意志",E562,0)))</x:f>
        <x:v>0</x:v>
      </x:c>
      <x:c r="BK562">
        <x:f>MAX(0,MIN(18,BK561+IF(C562="魅力",E562,0)))</x:f>
        <x:v>0</x:v>
      </x:c>
      <x:c r="BL562">
        <x:f>MAX(0,MIN(99,BL561+IF(C562="技能：非自然知识",E562,0)))</x:f>
        <x:v>0</x:v>
      </x:c>
      <x:c r="BM562">
        <x:f>MAX(0,MIN(CEILING((BF562+BG562)/2,1),BM561+IF(C562="体力",E562,0)))</x:f>
        <x:v>0</x:v>
      </x:c>
      <x:c r="BN562">
        <x:f>MAX(0,MIN(BJ562,BN561+IF(C562="毅力",E562,0)))</x:f>
        <x:v>0</x:v>
      </x:c>
      <x:c r="BO562">
        <x:f>MAX(0,MIN(99-BL562,BO561+IF(C562="理智",E562,0)))</x:f>
        <x:v>0</x:v>
      </x:c>
      <x:c r="BP562">
        <x:f>MAX(0,MIN(99,BP561+IF(C562="崩溃点",E562,0)))</x:f>
        <x:v>0</x:v>
      </x:c>
      <x:c r="BQ562">
        <x:f>MAX(0,MIN(BK562,IF(AND(H562=1,C562="重要关系1",LEFT('幕间与结算'!H469,8)="建立新的重要关系"),'幕间与结算'!E469+E562,BQ561+IF(C562="重要关系1",E562,0)+IF(AND(C562="魅力",E562&lt;0),E562,0))))</x:f>
        <x:v>0</x:v>
      </x:c>
      <x:c r="BR562">
        <x:f>MAX(0,MIN(BK562,IF(AND(H562=1,C562="重要关系2",LEFT('幕间与结算'!H469,8)="建立新的重要关系"),'幕间与结算'!E469+E562,BR561+IF(C562="重要关系2",E562,0)+IF(AND(C562="魅力",E562&lt;0),E562,0))))</x:f>
        <x:v>0</x:v>
      </x:c>
      <x:c r="BS562">
        <x:f>MAX(0,MIN(BK562,IF(AND(H562=1,C562="重要关系3",LEFT('幕间与结算'!H469,8)="建立新的重要关系"),'幕间与结算'!E469+E562,BS561+IF(C562="重要关系3",E562,0)+IF(AND(C562="魅力",E562&lt;0),E562,0))))</x:f>
        <x:v>0</x:v>
      </x:c>
      <x:c r="BT562">
        <x:f>MAX(0,MIN(BK562,IF(AND(H562=1,C562="重要关系4",LEFT('幕间与结算'!H469,8)="建立新的重要关系"),'幕间与结算'!E469+E562,BT561+IF(C562="重要关系4",E562,0)+IF(AND(C562="魅力",E562&lt;0),E562,0))))</x:f>
        <x:v>0</x:v>
      </x:c>
      <x:c r="BU562">
        <x:f>MAX(0,MIN(BK562,IF(AND(H562=1,C562="重要关系5",LEFT('幕间与结算'!H469,8)="建立新的重要关系"),'幕间与结算'!E469+E562,BU561+IF(C562="重要关系5",E562,0)+IF(AND(C562="魅力",E562&lt;0),E562,0))))</x:f>
        <x:v>0</x:v>
      </x:c>
      <x:c r="BV562">
        <x:f>MAX(0,MIN(BK562,IF(AND(H562=1,C562="重要关系6",LEFT('幕间与结算'!H469,8)="建立新的重要关系"),'幕间与结算'!E469+E562,BV561+IF(C562="重要关系6",E562,0)+IF(AND(C562="魅力",E562&lt;0),E562,0))))</x:f>
        <x:v>0</x:v>
      </x:c>
      <x:c r="BW562">
        <x:f>MAX(0,MIN(BK562,IF(AND(H562=1,C562="重要关系7",LEFT('幕间与结算'!H469,8)="建立新的重要关系"),'幕间与结算'!E469+E562,BW561+IF(C562="重要关系7",E562,0)+IF(AND(C562="魅力",E562&lt;0),E562,0))))</x:f>
        <x:v>0</x:v>
      </x:c>
    </x:row>
    <x:row r="563">
      <x:c r="A563" t="str">
        <x:f>IFERROR(TEXT(VALUE('幕间与结算'!A470),"00"),"")</x:f>
        <x:v>00</x:v>
      </x:c>
      <x:c r="B563">
        <x:f>'幕间与结算'!B470</x:f>
        <x:v>0</x:v>
      </x:c>
      <x:c r="C563">
        <x:f>'幕间与结算'!D470</x:f>
        <x:v>0</x:v>
      </x:c>
      <x:c r="D563">
        <x:f>'幕间与结算'!F470</x:f>
        <x:v>0</x:v>
      </x:c>
      <x:c r="E563">
        <x:f>IF(H563=1,MAX(-'幕间与结算'!E470,MIN(D563,IF(LEFT(C563,3)="技能：",99,IF(COUNTIF($L$2:$L$7,C563)&gt;0,18,999))-'幕间与结算'!E470)),0)</x:f>
        <x:v>0</x:v>
      </x:c>
      <x:c r="F563" t="str">
        <x:f>IF(C563=0,"",IF(G563=0,"记录不完整",IF(H563=0,"重复未计","已计入")))</x:f>
        <x:v/>
      </x:c>
      <x:c r="G563">
        <x:f>IF(AND(AND('幕间与结算'!A470&lt;&gt;"",'幕间与结算'!B470&lt;&gt;"",'幕间与结算'!I470&lt;&gt;"",OR(LEFT(C563,3)="技能：",COUNTIF($L$2:$L$19,C563)&gt;0),ISNUMBER('幕间与结算'!E470),ISNUMBER('幕间与结算'!F470),ISNUMBER('幕间与结算'!G470),'幕间与结算'!E470&gt;=0,'幕间与结算'!G470='幕间与结算'!E470+'幕间与结算'!F470),OR(B563&lt;&gt;"成长",AND(LEFT(C563,3)="技能：",C563&lt;&gt;"技能：非自然知识",'幕间与结算'!E470&gt;=1,'幕间与结算'!E470&lt;=99,'幕间与结算'!F470&gt;=0,'幕间与结算'!F470&lt;=4,'幕间与结算'!G470&lt;=99))),1,0)</x:f>
        <x:v>0</x:v>
      </x:c>
      <x:c r="H563">
        <x:f>IF(AND(G563=1,COUNTIFS($I$200:I563,I563,$G$200:G563,1)=1),1,0)</x:f>
        <x:v>0</x:v>
      </x:c>
      <x:c r="I563" t="str">
        <x:f>IF(G563=1,IF(B563="成长",A563&amp;"-成长-"&amp;C563,'幕间与结算'!I470),"")</x:f>
        <x:v/>
      </x:c>
      <x:c r="BF563">
        <x:f>MAX(0,MIN(18,BF562+IF(C563="力量",E563,0)))</x:f>
        <x:v>0</x:v>
      </x:c>
      <x:c r="BG563">
        <x:f>MAX(0,MIN(18,BG562+IF(C563="体质",E563,0)))</x:f>
        <x:v>0</x:v>
      </x:c>
      <x:c r="BH563">
        <x:f>MAX(0,MIN(18,BH562+IF(C563="敏捷",E563,0)))</x:f>
        <x:v>0</x:v>
      </x:c>
      <x:c r="BI563">
        <x:f>MAX(0,MIN(18,BI562+IF(C563="智力",E563,0)))</x:f>
        <x:v>0</x:v>
      </x:c>
      <x:c r="BJ563">
        <x:f>MAX(0,MIN(18,BJ562+IF(C563="意志",E563,0)))</x:f>
        <x:v>0</x:v>
      </x:c>
      <x:c r="BK563">
        <x:f>MAX(0,MIN(18,BK562+IF(C563="魅力",E563,0)))</x:f>
        <x:v>0</x:v>
      </x:c>
      <x:c r="BL563">
        <x:f>MAX(0,MIN(99,BL562+IF(C563="技能：非自然知识",E563,0)))</x:f>
        <x:v>0</x:v>
      </x:c>
      <x:c r="BM563">
        <x:f>MAX(0,MIN(CEILING((BF563+BG563)/2,1),BM562+IF(C563="体力",E563,0)))</x:f>
        <x:v>0</x:v>
      </x:c>
      <x:c r="BN563">
        <x:f>MAX(0,MIN(BJ563,BN562+IF(C563="毅力",E563,0)))</x:f>
        <x:v>0</x:v>
      </x:c>
      <x:c r="BO563">
        <x:f>MAX(0,MIN(99-BL563,BO562+IF(C563="理智",E563,0)))</x:f>
        <x:v>0</x:v>
      </x:c>
      <x:c r="BP563">
        <x:f>MAX(0,MIN(99,BP562+IF(C563="崩溃点",E563,0)))</x:f>
        <x:v>0</x:v>
      </x:c>
      <x:c r="BQ563">
        <x:f>MAX(0,MIN(BK563,IF(AND(H563=1,C563="重要关系1",LEFT('幕间与结算'!H470,8)="建立新的重要关系"),'幕间与结算'!E470+E563,BQ562+IF(C563="重要关系1",E563,0)+IF(AND(C563="魅力",E563&lt;0),E563,0))))</x:f>
        <x:v>0</x:v>
      </x:c>
      <x:c r="BR563">
        <x:f>MAX(0,MIN(BK563,IF(AND(H563=1,C563="重要关系2",LEFT('幕间与结算'!H470,8)="建立新的重要关系"),'幕间与结算'!E470+E563,BR562+IF(C563="重要关系2",E563,0)+IF(AND(C563="魅力",E563&lt;0),E563,0))))</x:f>
        <x:v>0</x:v>
      </x:c>
      <x:c r="BS563">
        <x:f>MAX(0,MIN(BK563,IF(AND(H563=1,C563="重要关系3",LEFT('幕间与结算'!H470,8)="建立新的重要关系"),'幕间与结算'!E470+E563,BS562+IF(C563="重要关系3",E563,0)+IF(AND(C563="魅力",E563&lt;0),E563,0))))</x:f>
        <x:v>0</x:v>
      </x:c>
      <x:c r="BT563">
        <x:f>MAX(0,MIN(BK563,IF(AND(H563=1,C563="重要关系4",LEFT('幕间与结算'!H470,8)="建立新的重要关系"),'幕间与结算'!E470+E563,BT562+IF(C563="重要关系4",E563,0)+IF(AND(C563="魅力",E563&lt;0),E563,0))))</x:f>
        <x:v>0</x:v>
      </x:c>
      <x:c r="BU563">
        <x:f>MAX(0,MIN(BK563,IF(AND(H563=1,C563="重要关系5",LEFT('幕间与结算'!H470,8)="建立新的重要关系"),'幕间与结算'!E470+E563,BU562+IF(C563="重要关系5",E563,0)+IF(AND(C563="魅力",E563&lt;0),E563,0))))</x:f>
        <x:v>0</x:v>
      </x:c>
      <x:c r="BV563">
        <x:f>MAX(0,MIN(BK563,IF(AND(H563=1,C563="重要关系6",LEFT('幕间与结算'!H470,8)="建立新的重要关系"),'幕间与结算'!E470+E563,BV562+IF(C563="重要关系6",E563,0)+IF(AND(C563="魅力",E563&lt;0),E563,0))))</x:f>
        <x:v>0</x:v>
      </x:c>
      <x:c r="BW563">
        <x:f>MAX(0,MIN(BK563,IF(AND(H563=1,C563="重要关系7",LEFT('幕间与结算'!H470,8)="建立新的重要关系"),'幕间与结算'!E470+E563,BW562+IF(C563="重要关系7",E563,0)+IF(AND(C563="魅力",E563&lt;0),E563,0))))</x:f>
        <x:v>0</x:v>
      </x:c>
    </x:row>
    <x:row r="564">
      <x:c r="A564" t="str">
        <x:f>IFERROR(TEXT(VALUE('幕间与结算'!A471),"00"),"")</x:f>
        <x:v>00</x:v>
      </x:c>
      <x:c r="B564">
        <x:f>'幕间与结算'!B471</x:f>
        <x:v>0</x:v>
      </x:c>
      <x:c r="C564">
        <x:f>'幕间与结算'!D471</x:f>
        <x:v>0</x:v>
      </x:c>
      <x:c r="D564">
        <x:f>'幕间与结算'!F471</x:f>
        <x:v>0</x:v>
      </x:c>
      <x:c r="E564">
        <x:f>IF(H564=1,MAX(-'幕间与结算'!E471,MIN(D564,IF(LEFT(C564,3)="技能：",99,IF(COUNTIF($L$2:$L$7,C564)&gt;0,18,999))-'幕间与结算'!E471)),0)</x:f>
        <x:v>0</x:v>
      </x:c>
      <x:c r="F564" t="str">
        <x:f>IF(C564=0,"",IF(G564=0,"记录不完整",IF(H564=0,"重复未计","已计入")))</x:f>
        <x:v/>
      </x:c>
      <x:c r="G564">
        <x:f>IF(AND(AND('幕间与结算'!A471&lt;&gt;"",'幕间与结算'!B471&lt;&gt;"",'幕间与结算'!I471&lt;&gt;"",OR(LEFT(C564,3)="技能：",COUNTIF($L$2:$L$19,C564)&gt;0),ISNUMBER('幕间与结算'!E471),ISNUMBER('幕间与结算'!F471),ISNUMBER('幕间与结算'!G471),'幕间与结算'!E471&gt;=0,'幕间与结算'!G471='幕间与结算'!E471+'幕间与结算'!F471),OR(B564&lt;&gt;"成长",AND(LEFT(C564,3)="技能：",C564&lt;&gt;"技能：非自然知识",'幕间与结算'!E471&gt;=1,'幕间与结算'!E471&lt;=99,'幕间与结算'!F471&gt;=0,'幕间与结算'!F471&lt;=4,'幕间与结算'!G471&lt;=99))),1,0)</x:f>
        <x:v>0</x:v>
      </x:c>
      <x:c r="H564">
        <x:f>IF(AND(G564=1,COUNTIFS($I$200:I564,I564,$G$200:G564,1)=1),1,0)</x:f>
        <x:v>0</x:v>
      </x:c>
      <x:c r="I564" t="str">
        <x:f>IF(G564=1,IF(B564="成长",A564&amp;"-成长-"&amp;C564,'幕间与结算'!I471),"")</x:f>
        <x:v/>
      </x:c>
      <x:c r="BF564">
        <x:f>MAX(0,MIN(18,BF563+IF(C564="力量",E564,0)))</x:f>
        <x:v>0</x:v>
      </x:c>
      <x:c r="BG564">
        <x:f>MAX(0,MIN(18,BG563+IF(C564="体质",E564,0)))</x:f>
        <x:v>0</x:v>
      </x:c>
      <x:c r="BH564">
        <x:f>MAX(0,MIN(18,BH563+IF(C564="敏捷",E564,0)))</x:f>
        <x:v>0</x:v>
      </x:c>
      <x:c r="BI564">
        <x:f>MAX(0,MIN(18,BI563+IF(C564="智力",E564,0)))</x:f>
        <x:v>0</x:v>
      </x:c>
      <x:c r="BJ564">
        <x:f>MAX(0,MIN(18,BJ563+IF(C564="意志",E564,0)))</x:f>
        <x:v>0</x:v>
      </x:c>
      <x:c r="BK564">
        <x:f>MAX(0,MIN(18,BK563+IF(C564="魅力",E564,0)))</x:f>
        <x:v>0</x:v>
      </x:c>
      <x:c r="BL564">
        <x:f>MAX(0,MIN(99,BL563+IF(C564="技能：非自然知识",E564,0)))</x:f>
        <x:v>0</x:v>
      </x:c>
      <x:c r="BM564">
        <x:f>MAX(0,MIN(CEILING((BF564+BG564)/2,1),BM563+IF(C564="体力",E564,0)))</x:f>
        <x:v>0</x:v>
      </x:c>
      <x:c r="BN564">
        <x:f>MAX(0,MIN(BJ564,BN563+IF(C564="毅力",E564,0)))</x:f>
        <x:v>0</x:v>
      </x:c>
      <x:c r="BO564">
        <x:f>MAX(0,MIN(99-BL564,BO563+IF(C564="理智",E564,0)))</x:f>
        <x:v>0</x:v>
      </x:c>
      <x:c r="BP564">
        <x:f>MAX(0,MIN(99,BP563+IF(C564="崩溃点",E564,0)))</x:f>
        <x:v>0</x:v>
      </x:c>
      <x:c r="BQ564">
        <x:f>MAX(0,MIN(BK564,IF(AND(H564=1,C564="重要关系1",LEFT('幕间与结算'!H471,8)="建立新的重要关系"),'幕间与结算'!E471+E564,BQ563+IF(C564="重要关系1",E564,0)+IF(AND(C564="魅力",E564&lt;0),E564,0))))</x:f>
        <x:v>0</x:v>
      </x:c>
      <x:c r="BR564">
        <x:f>MAX(0,MIN(BK564,IF(AND(H564=1,C564="重要关系2",LEFT('幕间与结算'!H471,8)="建立新的重要关系"),'幕间与结算'!E471+E564,BR563+IF(C564="重要关系2",E564,0)+IF(AND(C564="魅力",E564&lt;0),E564,0))))</x:f>
        <x:v>0</x:v>
      </x:c>
      <x:c r="BS564">
        <x:f>MAX(0,MIN(BK564,IF(AND(H564=1,C564="重要关系3",LEFT('幕间与结算'!H471,8)="建立新的重要关系"),'幕间与结算'!E471+E564,BS563+IF(C564="重要关系3",E564,0)+IF(AND(C564="魅力",E564&lt;0),E564,0))))</x:f>
        <x:v>0</x:v>
      </x:c>
      <x:c r="BT564">
        <x:f>MAX(0,MIN(BK564,IF(AND(H564=1,C564="重要关系4",LEFT('幕间与结算'!H471,8)="建立新的重要关系"),'幕间与结算'!E471+E564,BT563+IF(C564="重要关系4",E564,0)+IF(AND(C564="魅力",E564&lt;0),E564,0))))</x:f>
        <x:v>0</x:v>
      </x:c>
      <x:c r="BU564">
        <x:f>MAX(0,MIN(BK564,IF(AND(H564=1,C564="重要关系5",LEFT('幕间与结算'!H471,8)="建立新的重要关系"),'幕间与结算'!E471+E564,BU563+IF(C564="重要关系5",E564,0)+IF(AND(C564="魅力",E564&lt;0),E564,0))))</x:f>
        <x:v>0</x:v>
      </x:c>
      <x:c r="BV564">
        <x:f>MAX(0,MIN(BK564,IF(AND(H564=1,C564="重要关系6",LEFT('幕间与结算'!H471,8)="建立新的重要关系"),'幕间与结算'!E471+E564,BV563+IF(C564="重要关系6",E564,0)+IF(AND(C564="魅力",E564&lt;0),E564,0))))</x:f>
        <x:v>0</x:v>
      </x:c>
      <x:c r="BW564">
        <x:f>MAX(0,MIN(BK564,IF(AND(H564=1,C564="重要关系7",LEFT('幕间与结算'!H471,8)="建立新的重要关系"),'幕间与结算'!E471+E564,BW563+IF(C564="重要关系7",E564,0)+IF(AND(C564="魅力",E564&lt;0),E564,0))))</x:f>
        <x:v>0</x:v>
      </x:c>
    </x:row>
    <x:row r="565">
      <x:c r="A565" t="str">
        <x:f>IFERROR(TEXT(VALUE('幕间与结算'!A472),"00"),"")</x:f>
        <x:v>00</x:v>
      </x:c>
      <x:c r="B565">
        <x:f>'幕间与结算'!B472</x:f>
        <x:v>0</x:v>
      </x:c>
      <x:c r="C565">
        <x:f>'幕间与结算'!D472</x:f>
        <x:v>0</x:v>
      </x:c>
      <x:c r="D565">
        <x:f>'幕间与结算'!F472</x:f>
        <x:v>0</x:v>
      </x:c>
      <x:c r="E565">
        <x:f>IF(H565=1,MAX(-'幕间与结算'!E472,MIN(D565,IF(LEFT(C565,3)="技能：",99,IF(COUNTIF($L$2:$L$7,C565)&gt;0,18,999))-'幕间与结算'!E472)),0)</x:f>
        <x:v>0</x:v>
      </x:c>
      <x:c r="F565" t="str">
        <x:f>IF(C565=0,"",IF(G565=0,"记录不完整",IF(H565=0,"重复未计","已计入")))</x:f>
        <x:v/>
      </x:c>
      <x:c r="G565">
        <x:f>IF(AND(AND('幕间与结算'!A472&lt;&gt;"",'幕间与结算'!B472&lt;&gt;"",'幕间与结算'!I472&lt;&gt;"",OR(LEFT(C565,3)="技能：",COUNTIF($L$2:$L$19,C565)&gt;0),ISNUMBER('幕间与结算'!E472),ISNUMBER('幕间与结算'!F472),ISNUMBER('幕间与结算'!G472),'幕间与结算'!E472&gt;=0,'幕间与结算'!G472='幕间与结算'!E472+'幕间与结算'!F472),OR(B565&lt;&gt;"成长",AND(LEFT(C565,3)="技能：",C565&lt;&gt;"技能：非自然知识",'幕间与结算'!E472&gt;=1,'幕间与结算'!E472&lt;=99,'幕间与结算'!F472&gt;=0,'幕间与结算'!F472&lt;=4,'幕间与结算'!G472&lt;=99))),1,0)</x:f>
        <x:v>0</x:v>
      </x:c>
      <x:c r="H565">
        <x:f>IF(AND(G565=1,COUNTIFS($I$200:I565,I565,$G$200:G565,1)=1),1,0)</x:f>
        <x:v>0</x:v>
      </x:c>
      <x:c r="I565" t="str">
        <x:f>IF(G565=1,IF(B565="成长",A565&amp;"-成长-"&amp;C565,'幕间与结算'!I472),"")</x:f>
        <x:v/>
      </x:c>
      <x:c r="BF565">
        <x:f>MAX(0,MIN(18,BF564+IF(C565="力量",E565,0)))</x:f>
        <x:v>0</x:v>
      </x:c>
      <x:c r="BG565">
        <x:f>MAX(0,MIN(18,BG564+IF(C565="体质",E565,0)))</x:f>
        <x:v>0</x:v>
      </x:c>
      <x:c r="BH565">
        <x:f>MAX(0,MIN(18,BH564+IF(C565="敏捷",E565,0)))</x:f>
        <x:v>0</x:v>
      </x:c>
      <x:c r="BI565">
        <x:f>MAX(0,MIN(18,BI564+IF(C565="智力",E565,0)))</x:f>
        <x:v>0</x:v>
      </x:c>
      <x:c r="BJ565">
        <x:f>MAX(0,MIN(18,BJ564+IF(C565="意志",E565,0)))</x:f>
        <x:v>0</x:v>
      </x:c>
      <x:c r="BK565">
        <x:f>MAX(0,MIN(18,BK564+IF(C565="魅力",E565,0)))</x:f>
        <x:v>0</x:v>
      </x:c>
      <x:c r="BL565">
        <x:f>MAX(0,MIN(99,BL564+IF(C565="技能：非自然知识",E565,0)))</x:f>
        <x:v>0</x:v>
      </x:c>
      <x:c r="BM565">
        <x:f>MAX(0,MIN(CEILING((BF565+BG565)/2,1),BM564+IF(C565="体力",E565,0)))</x:f>
        <x:v>0</x:v>
      </x:c>
      <x:c r="BN565">
        <x:f>MAX(0,MIN(BJ565,BN564+IF(C565="毅力",E565,0)))</x:f>
        <x:v>0</x:v>
      </x:c>
      <x:c r="BO565">
        <x:f>MAX(0,MIN(99-BL565,BO564+IF(C565="理智",E565,0)))</x:f>
        <x:v>0</x:v>
      </x:c>
      <x:c r="BP565">
        <x:f>MAX(0,MIN(99,BP564+IF(C565="崩溃点",E565,0)))</x:f>
        <x:v>0</x:v>
      </x:c>
      <x:c r="BQ565">
        <x:f>MAX(0,MIN(BK565,IF(AND(H565=1,C565="重要关系1",LEFT('幕间与结算'!H472,8)="建立新的重要关系"),'幕间与结算'!E472+E565,BQ564+IF(C565="重要关系1",E565,0)+IF(AND(C565="魅力",E565&lt;0),E565,0))))</x:f>
        <x:v>0</x:v>
      </x:c>
      <x:c r="BR565">
        <x:f>MAX(0,MIN(BK565,IF(AND(H565=1,C565="重要关系2",LEFT('幕间与结算'!H472,8)="建立新的重要关系"),'幕间与结算'!E472+E565,BR564+IF(C565="重要关系2",E565,0)+IF(AND(C565="魅力",E565&lt;0),E565,0))))</x:f>
        <x:v>0</x:v>
      </x:c>
      <x:c r="BS565">
        <x:f>MAX(0,MIN(BK565,IF(AND(H565=1,C565="重要关系3",LEFT('幕间与结算'!H472,8)="建立新的重要关系"),'幕间与结算'!E472+E565,BS564+IF(C565="重要关系3",E565,0)+IF(AND(C565="魅力",E565&lt;0),E565,0))))</x:f>
        <x:v>0</x:v>
      </x:c>
      <x:c r="BT565">
        <x:f>MAX(0,MIN(BK565,IF(AND(H565=1,C565="重要关系4",LEFT('幕间与结算'!H472,8)="建立新的重要关系"),'幕间与结算'!E472+E565,BT564+IF(C565="重要关系4",E565,0)+IF(AND(C565="魅力",E565&lt;0),E565,0))))</x:f>
        <x:v>0</x:v>
      </x:c>
      <x:c r="BU565">
        <x:f>MAX(0,MIN(BK565,IF(AND(H565=1,C565="重要关系5",LEFT('幕间与结算'!H472,8)="建立新的重要关系"),'幕间与结算'!E472+E565,BU564+IF(C565="重要关系5",E565,0)+IF(AND(C565="魅力",E565&lt;0),E565,0))))</x:f>
        <x:v>0</x:v>
      </x:c>
      <x:c r="BV565">
        <x:f>MAX(0,MIN(BK565,IF(AND(H565=1,C565="重要关系6",LEFT('幕间与结算'!H472,8)="建立新的重要关系"),'幕间与结算'!E472+E565,BV564+IF(C565="重要关系6",E565,0)+IF(AND(C565="魅力",E565&lt;0),E565,0))))</x:f>
        <x:v>0</x:v>
      </x:c>
      <x:c r="BW565">
        <x:f>MAX(0,MIN(BK565,IF(AND(H565=1,C565="重要关系7",LEFT('幕间与结算'!H472,8)="建立新的重要关系"),'幕间与结算'!E472+E565,BW564+IF(C565="重要关系7",E565,0)+IF(AND(C565="魅力",E565&lt;0),E565,0))))</x:f>
        <x:v>0</x:v>
      </x:c>
    </x:row>
    <x:row r="566">
      <x:c r="A566" t="str">
        <x:f>IFERROR(TEXT(VALUE('幕间与结算'!A473),"00"),"")</x:f>
        <x:v>00</x:v>
      </x:c>
      <x:c r="B566">
        <x:f>'幕间与结算'!B473</x:f>
        <x:v>0</x:v>
      </x:c>
      <x:c r="C566">
        <x:f>'幕间与结算'!D473</x:f>
        <x:v>0</x:v>
      </x:c>
      <x:c r="D566">
        <x:f>'幕间与结算'!F473</x:f>
        <x:v>0</x:v>
      </x:c>
      <x:c r="E566">
        <x:f>IF(H566=1,MAX(-'幕间与结算'!E473,MIN(D566,IF(LEFT(C566,3)="技能：",99,IF(COUNTIF($L$2:$L$7,C566)&gt;0,18,999))-'幕间与结算'!E473)),0)</x:f>
        <x:v>0</x:v>
      </x:c>
      <x:c r="F566" t="str">
        <x:f>IF(C566=0,"",IF(G566=0,"记录不完整",IF(H566=0,"重复未计","已计入")))</x:f>
        <x:v/>
      </x:c>
      <x:c r="G566">
        <x:f>IF(AND(AND('幕间与结算'!A473&lt;&gt;"",'幕间与结算'!B473&lt;&gt;"",'幕间与结算'!I473&lt;&gt;"",OR(LEFT(C566,3)="技能：",COUNTIF($L$2:$L$19,C566)&gt;0),ISNUMBER('幕间与结算'!E473),ISNUMBER('幕间与结算'!F473),ISNUMBER('幕间与结算'!G473),'幕间与结算'!E473&gt;=0,'幕间与结算'!G473='幕间与结算'!E473+'幕间与结算'!F473),OR(B566&lt;&gt;"成长",AND(LEFT(C566,3)="技能：",C566&lt;&gt;"技能：非自然知识",'幕间与结算'!E473&gt;=1,'幕间与结算'!E473&lt;=99,'幕间与结算'!F473&gt;=0,'幕间与结算'!F473&lt;=4,'幕间与结算'!G473&lt;=99))),1,0)</x:f>
        <x:v>0</x:v>
      </x:c>
      <x:c r="H566">
        <x:f>IF(AND(G566=1,COUNTIFS($I$200:I566,I566,$G$200:G566,1)=1),1,0)</x:f>
        <x:v>0</x:v>
      </x:c>
      <x:c r="I566" t="str">
        <x:f>IF(G566=1,IF(B566="成长",A566&amp;"-成长-"&amp;C566,'幕间与结算'!I473),"")</x:f>
        <x:v/>
      </x:c>
      <x:c r="BF566">
        <x:f>MAX(0,MIN(18,BF565+IF(C566="力量",E566,0)))</x:f>
        <x:v>0</x:v>
      </x:c>
      <x:c r="BG566">
        <x:f>MAX(0,MIN(18,BG565+IF(C566="体质",E566,0)))</x:f>
        <x:v>0</x:v>
      </x:c>
      <x:c r="BH566">
        <x:f>MAX(0,MIN(18,BH565+IF(C566="敏捷",E566,0)))</x:f>
        <x:v>0</x:v>
      </x:c>
      <x:c r="BI566">
        <x:f>MAX(0,MIN(18,BI565+IF(C566="智力",E566,0)))</x:f>
        <x:v>0</x:v>
      </x:c>
      <x:c r="BJ566">
        <x:f>MAX(0,MIN(18,BJ565+IF(C566="意志",E566,0)))</x:f>
        <x:v>0</x:v>
      </x:c>
      <x:c r="BK566">
        <x:f>MAX(0,MIN(18,BK565+IF(C566="魅力",E566,0)))</x:f>
        <x:v>0</x:v>
      </x:c>
      <x:c r="BL566">
        <x:f>MAX(0,MIN(99,BL565+IF(C566="技能：非自然知识",E566,0)))</x:f>
        <x:v>0</x:v>
      </x:c>
      <x:c r="BM566">
        <x:f>MAX(0,MIN(CEILING((BF566+BG566)/2,1),BM565+IF(C566="体力",E566,0)))</x:f>
        <x:v>0</x:v>
      </x:c>
      <x:c r="BN566">
        <x:f>MAX(0,MIN(BJ566,BN565+IF(C566="毅力",E566,0)))</x:f>
        <x:v>0</x:v>
      </x:c>
      <x:c r="BO566">
        <x:f>MAX(0,MIN(99-BL566,BO565+IF(C566="理智",E566,0)))</x:f>
        <x:v>0</x:v>
      </x:c>
      <x:c r="BP566">
        <x:f>MAX(0,MIN(99,BP565+IF(C566="崩溃点",E566,0)))</x:f>
        <x:v>0</x:v>
      </x:c>
      <x:c r="BQ566">
        <x:f>MAX(0,MIN(BK566,IF(AND(H566=1,C566="重要关系1",LEFT('幕间与结算'!H473,8)="建立新的重要关系"),'幕间与结算'!E473+E566,BQ565+IF(C566="重要关系1",E566,0)+IF(AND(C566="魅力",E566&lt;0),E566,0))))</x:f>
        <x:v>0</x:v>
      </x:c>
      <x:c r="BR566">
        <x:f>MAX(0,MIN(BK566,IF(AND(H566=1,C566="重要关系2",LEFT('幕间与结算'!H473,8)="建立新的重要关系"),'幕间与结算'!E473+E566,BR565+IF(C566="重要关系2",E566,0)+IF(AND(C566="魅力",E566&lt;0),E566,0))))</x:f>
        <x:v>0</x:v>
      </x:c>
      <x:c r="BS566">
        <x:f>MAX(0,MIN(BK566,IF(AND(H566=1,C566="重要关系3",LEFT('幕间与结算'!H473,8)="建立新的重要关系"),'幕间与结算'!E473+E566,BS565+IF(C566="重要关系3",E566,0)+IF(AND(C566="魅力",E566&lt;0),E566,0))))</x:f>
        <x:v>0</x:v>
      </x:c>
      <x:c r="BT566">
        <x:f>MAX(0,MIN(BK566,IF(AND(H566=1,C566="重要关系4",LEFT('幕间与结算'!H473,8)="建立新的重要关系"),'幕间与结算'!E473+E566,BT565+IF(C566="重要关系4",E566,0)+IF(AND(C566="魅力",E566&lt;0),E566,0))))</x:f>
        <x:v>0</x:v>
      </x:c>
      <x:c r="BU566">
        <x:f>MAX(0,MIN(BK566,IF(AND(H566=1,C566="重要关系5",LEFT('幕间与结算'!H473,8)="建立新的重要关系"),'幕间与结算'!E473+E566,BU565+IF(C566="重要关系5",E566,0)+IF(AND(C566="魅力",E566&lt;0),E566,0))))</x:f>
        <x:v>0</x:v>
      </x:c>
      <x:c r="BV566">
        <x:f>MAX(0,MIN(BK566,IF(AND(H566=1,C566="重要关系6",LEFT('幕间与结算'!H473,8)="建立新的重要关系"),'幕间与结算'!E473+E566,BV565+IF(C566="重要关系6",E566,0)+IF(AND(C566="魅力",E566&lt;0),E566,0))))</x:f>
        <x:v>0</x:v>
      </x:c>
      <x:c r="BW566">
        <x:f>MAX(0,MIN(BK566,IF(AND(H566=1,C566="重要关系7",LEFT('幕间与结算'!H473,8)="建立新的重要关系"),'幕间与结算'!E473+E566,BW565+IF(C566="重要关系7",E566,0)+IF(AND(C566="魅力",E566&lt;0),E566,0))))</x:f>
        <x:v>0</x:v>
      </x:c>
    </x:row>
    <x:row r="567">
      <x:c r="A567" t="str">
        <x:f>IFERROR(TEXT(VALUE('幕间与结算'!A474),"00"),"")</x:f>
        <x:v>00</x:v>
      </x:c>
      <x:c r="B567">
        <x:f>'幕间与结算'!B474</x:f>
        <x:v>0</x:v>
      </x:c>
      <x:c r="C567">
        <x:f>'幕间与结算'!D474</x:f>
        <x:v>0</x:v>
      </x:c>
      <x:c r="D567">
        <x:f>'幕间与结算'!F474</x:f>
        <x:v>0</x:v>
      </x:c>
      <x:c r="E567">
        <x:f>IF(H567=1,MAX(-'幕间与结算'!E474,MIN(D567,IF(LEFT(C567,3)="技能：",99,IF(COUNTIF($L$2:$L$7,C567)&gt;0,18,999))-'幕间与结算'!E474)),0)</x:f>
        <x:v>0</x:v>
      </x:c>
      <x:c r="F567" t="str">
        <x:f>IF(C567=0,"",IF(G567=0,"记录不完整",IF(H567=0,"重复未计","已计入")))</x:f>
        <x:v/>
      </x:c>
      <x:c r="G567">
        <x:f>IF(AND(AND('幕间与结算'!A474&lt;&gt;"",'幕间与结算'!B474&lt;&gt;"",'幕间与结算'!I474&lt;&gt;"",OR(LEFT(C567,3)="技能：",COUNTIF($L$2:$L$19,C567)&gt;0),ISNUMBER('幕间与结算'!E474),ISNUMBER('幕间与结算'!F474),ISNUMBER('幕间与结算'!G474),'幕间与结算'!E474&gt;=0,'幕间与结算'!G474='幕间与结算'!E474+'幕间与结算'!F474),OR(B567&lt;&gt;"成长",AND(LEFT(C567,3)="技能：",C567&lt;&gt;"技能：非自然知识",'幕间与结算'!E474&gt;=1,'幕间与结算'!E474&lt;=99,'幕间与结算'!F474&gt;=0,'幕间与结算'!F474&lt;=4,'幕间与结算'!G474&lt;=99))),1,0)</x:f>
        <x:v>0</x:v>
      </x:c>
      <x:c r="H567">
        <x:f>IF(AND(G567=1,COUNTIFS($I$200:I567,I567,$G$200:G567,1)=1),1,0)</x:f>
        <x:v>0</x:v>
      </x:c>
      <x:c r="I567" t="str">
        <x:f>IF(G567=1,IF(B567="成长",A567&amp;"-成长-"&amp;C567,'幕间与结算'!I474),"")</x:f>
        <x:v/>
      </x:c>
      <x:c r="BF567">
        <x:f>MAX(0,MIN(18,BF566+IF(C567="力量",E567,0)))</x:f>
        <x:v>0</x:v>
      </x:c>
      <x:c r="BG567">
        <x:f>MAX(0,MIN(18,BG566+IF(C567="体质",E567,0)))</x:f>
        <x:v>0</x:v>
      </x:c>
      <x:c r="BH567">
        <x:f>MAX(0,MIN(18,BH566+IF(C567="敏捷",E567,0)))</x:f>
        <x:v>0</x:v>
      </x:c>
      <x:c r="BI567">
        <x:f>MAX(0,MIN(18,BI566+IF(C567="智力",E567,0)))</x:f>
        <x:v>0</x:v>
      </x:c>
      <x:c r="BJ567">
        <x:f>MAX(0,MIN(18,BJ566+IF(C567="意志",E567,0)))</x:f>
        <x:v>0</x:v>
      </x:c>
      <x:c r="BK567">
        <x:f>MAX(0,MIN(18,BK566+IF(C567="魅力",E567,0)))</x:f>
        <x:v>0</x:v>
      </x:c>
      <x:c r="BL567">
        <x:f>MAX(0,MIN(99,BL566+IF(C567="技能：非自然知识",E567,0)))</x:f>
        <x:v>0</x:v>
      </x:c>
      <x:c r="BM567">
        <x:f>MAX(0,MIN(CEILING((BF567+BG567)/2,1),BM566+IF(C567="体力",E567,0)))</x:f>
        <x:v>0</x:v>
      </x:c>
      <x:c r="BN567">
        <x:f>MAX(0,MIN(BJ567,BN566+IF(C567="毅力",E567,0)))</x:f>
        <x:v>0</x:v>
      </x:c>
      <x:c r="BO567">
        <x:f>MAX(0,MIN(99-BL567,BO566+IF(C567="理智",E567,0)))</x:f>
        <x:v>0</x:v>
      </x:c>
      <x:c r="BP567">
        <x:f>MAX(0,MIN(99,BP566+IF(C567="崩溃点",E567,0)))</x:f>
        <x:v>0</x:v>
      </x:c>
      <x:c r="BQ567">
        <x:f>MAX(0,MIN(BK567,IF(AND(H567=1,C567="重要关系1",LEFT('幕间与结算'!H474,8)="建立新的重要关系"),'幕间与结算'!E474+E567,BQ566+IF(C567="重要关系1",E567,0)+IF(AND(C567="魅力",E567&lt;0),E567,0))))</x:f>
        <x:v>0</x:v>
      </x:c>
      <x:c r="BR567">
        <x:f>MAX(0,MIN(BK567,IF(AND(H567=1,C567="重要关系2",LEFT('幕间与结算'!H474,8)="建立新的重要关系"),'幕间与结算'!E474+E567,BR566+IF(C567="重要关系2",E567,0)+IF(AND(C567="魅力",E567&lt;0),E567,0))))</x:f>
        <x:v>0</x:v>
      </x:c>
      <x:c r="BS567">
        <x:f>MAX(0,MIN(BK567,IF(AND(H567=1,C567="重要关系3",LEFT('幕间与结算'!H474,8)="建立新的重要关系"),'幕间与结算'!E474+E567,BS566+IF(C567="重要关系3",E567,0)+IF(AND(C567="魅力",E567&lt;0),E567,0))))</x:f>
        <x:v>0</x:v>
      </x:c>
      <x:c r="BT567">
        <x:f>MAX(0,MIN(BK567,IF(AND(H567=1,C567="重要关系4",LEFT('幕间与结算'!H474,8)="建立新的重要关系"),'幕间与结算'!E474+E567,BT566+IF(C567="重要关系4",E567,0)+IF(AND(C567="魅力",E567&lt;0),E567,0))))</x:f>
        <x:v>0</x:v>
      </x:c>
      <x:c r="BU567">
        <x:f>MAX(0,MIN(BK567,IF(AND(H567=1,C567="重要关系5",LEFT('幕间与结算'!H474,8)="建立新的重要关系"),'幕间与结算'!E474+E567,BU566+IF(C567="重要关系5",E567,0)+IF(AND(C567="魅力",E567&lt;0),E567,0))))</x:f>
        <x:v>0</x:v>
      </x:c>
      <x:c r="BV567">
        <x:f>MAX(0,MIN(BK567,IF(AND(H567=1,C567="重要关系6",LEFT('幕间与结算'!H474,8)="建立新的重要关系"),'幕间与结算'!E474+E567,BV566+IF(C567="重要关系6",E567,0)+IF(AND(C567="魅力",E567&lt;0),E567,0))))</x:f>
        <x:v>0</x:v>
      </x:c>
      <x:c r="BW567">
        <x:f>MAX(0,MIN(BK567,IF(AND(H567=1,C567="重要关系7",LEFT('幕间与结算'!H474,8)="建立新的重要关系"),'幕间与结算'!E474+E567,BW566+IF(C567="重要关系7",E567,0)+IF(AND(C567="魅力",E567&lt;0),E567,0))))</x:f>
        <x:v>0</x:v>
      </x:c>
    </x:row>
    <x:row r="568">
      <x:c r="A568" t="str">
        <x:f>IFERROR(TEXT(VALUE('幕间与结算'!A475),"00"),"")</x:f>
        <x:v>00</x:v>
      </x:c>
      <x:c r="B568">
        <x:f>'幕间与结算'!B475</x:f>
        <x:v>0</x:v>
      </x:c>
      <x:c r="C568">
        <x:f>'幕间与结算'!D475</x:f>
        <x:v>0</x:v>
      </x:c>
      <x:c r="D568">
        <x:f>'幕间与结算'!F475</x:f>
        <x:v>0</x:v>
      </x:c>
      <x:c r="E568">
        <x:f>IF(H568=1,MAX(-'幕间与结算'!E475,MIN(D568,IF(LEFT(C568,3)="技能：",99,IF(COUNTIF($L$2:$L$7,C568)&gt;0,18,999))-'幕间与结算'!E475)),0)</x:f>
        <x:v>0</x:v>
      </x:c>
      <x:c r="F568" t="str">
        <x:f>IF(C568=0,"",IF(G568=0,"记录不完整",IF(H568=0,"重复未计","已计入")))</x:f>
        <x:v/>
      </x:c>
      <x:c r="G568">
        <x:f>IF(AND(AND('幕间与结算'!A475&lt;&gt;"",'幕间与结算'!B475&lt;&gt;"",'幕间与结算'!I475&lt;&gt;"",OR(LEFT(C568,3)="技能：",COUNTIF($L$2:$L$19,C568)&gt;0),ISNUMBER('幕间与结算'!E475),ISNUMBER('幕间与结算'!F475),ISNUMBER('幕间与结算'!G475),'幕间与结算'!E475&gt;=0,'幕间与结算'!G475='幕间与结算'!E475+'幕间与结算'!F475),OR(B568&lt;&gt;"成长",AND(LEFT(C568,3)="技能：",C568&lt;&gt;"技能：非自然知识",'幕间与结算'!E475&gt;=1,'幕间与结算'!E475&lt;=99,'幕间与结算'!F475&gt;=0,'幕间与结算'!F475&lt;=4,'幕间与结算'!G475&lt;=99))),1,0)</x:f>
        <x:v>0</x:v>
      </x:c>
      <x:c r="H568">
        <x:f>IF(AND(G568=1,COUNTIFS($I$200:I568,I568,$G$200:G568,1)=1),1,0)</x:f>
        <x:v>0</x:v>
      </x:c>
      <x:c r="I568" t="str">
        <x:f>IF(G568=1,IF(B568="成长",A568&amp;"-成长-"&amp;C568,'幕间与结算'!I475),"")</x:f>
        <x:v/>
      </x:c>
      <x:c r="BF568">
        <x:f>MAX(0,MIN(18,BF567+IF(C568="力量",E568,0)))</x:f>
        <x:v>0</x:v>
      </x:c>
      <x:c r="BG568">
        <x:f>MAX(0,MIN(18,BG567+IF(C568="体质",E568,0)))</x:f>
        <x:v>0</x:v>
      </x:c>
      <x:c r="BH568">
        <x:f>MAX(0,MIN(18,BH567+IF(C568="敏捷",E568,0)))</x:f>
        <x:v>0</x:v>
      </x:c>
      <x:c r="BI568">
        <x:f>MAX(0,MIN(18,BI567+IF(C568="智力",E568,0)))</x:f>
        <x:v>0</x:v>
      </x:c>
      <x:c r="BJ568">
        <x:f>MAX(0,MIN(18,BJ567+IF(C568="意志",E568,0)))</x:f>
        <x:v>0</x:v>
      </x:c>
      <x:c r="BK568">
        <x:f>MAX(0,MIN(18,BK567+IF(C568="魅力",E568,0)))</x:f>
        <x:v>0</x:v>
      </x:c>
      <x:c r="BL568">
        <x:f>MAX(0,MIN(99,BL567+IF(C568="技能：非自然知识",E568,0)))</x:f>
        <x:v>0</x:v>
      </x:c>
      <x:c r="BM568">
        <x:f>MAX(0,MIN(CEILING((BF568+BG568)/2,1),BM567+IF(C568="体力",E568,0)))</x:f>
        <x:v>0</x:v>
      </x:c>
      <x:c r="BN568">
        <x:f>MAX(0,MIN(BJ568,BN567+IF(C568="毅力",E568,0)))</x:f>
        <x:v>0</x:v>
      </x:c>
      <x:c r="BO568">
        <x:f>MAX(0,MIN(99-BL568,BO567+IF(C568="理智",E568,0)))</x:f>
        <x:v>0</x:v>
      </x:c>
      <x:c r="BP568">
        <x:f>MAX(0,MIN(99,BP567+IF(C568="崩溃点",E568,0)))</x:f>
        <x:v>0</x:v>
      </x:c>
      <x:c r="BQ568">
        <x:f>MAX(0,MIN(BK568,IF(AND(H568=1,C568="重要关系1",LEFT('幕间与结算'!H475,8)="建立新的重要关系"),'幕间与结算'!E475+E568,BQ567+IF(C568="重要关系1",E568,0)+IF(AND(C568="魅力",E568&lt;0),E568,0))))</x:f>
        <x:v>0</x:v>
      </x:c>
      <x:c r="BR568">
        <x:f>MAX(0,MIN(BK568,IF(AND(H568=1,C568="重要关系2",LEFT('幕间与结算'!H475,8)="建立新的重要关系"),'幕间与结算'!E475+E568,BR567+IF(C568="重要关系2",E568,0)+IF(AND(C568="魅力",E568&lt;0),E568,0))))</x:f>
        <x:v>0</x:v>
      </x:c>
      <x:c r="BS568">
        <x:f>MAX(0,MIN(BK568,IF(AND(H568=1,C568="重要关系3",LEFT('幕间与结算'!H475,8)="建立新的重要关系"),'幕间与结算'!E475+E568,BS567+IF(C568="重要关系3",E568,0)+IF(AND(C568="魅力",E568&lt;0),E568,0))))</x:f>
        <x:v>0</x:v>
      </x:c>
      <x:c r="BT568">
        <x:f>MAX(0,MIN(BK568,IF(AND(H568=1,C568="重要关系4",LEFT('幕间与结算'!H475,8)="建立新的重要关系"),'幕间与结算'!E475+E568,BT567+IF(C568="重要关系4",E568,0)+IF(AND(C568="魅力",E568&lt;0),E568,0))))</x:f>
        <x:v>0</x:v>
      </x:c>
      <x:c r="BU568">
        <x:f>MAX(0,MIN(BK568,IF(AND(H568=1,C568="重要关系5",LEFT('幕间与结算'!H475,8)="建立新的重要关系"),'幕间与结算'!E475+E568,BU567+IF(C568="重要关系5",E568,0)+IF(AND(C568="魅力",E568&lt;0),E568,0))))</x:f>
        <x:v>0</x:v>
      </x:c>
      <x:c r="BV568">
        <x:f>MAX(0,MIN(BK568,IF(AND(H568=1,C568="重要关系6",LEFT('幕间与结算'!H475,8)="建立新的重要关系"),'幕间与结算'!E475+E568,BV567+IF(C568="重要关系6",E568,0)+IF(AND(C568="魅力",E568&lt;0),E568,0))))</x:f>
        <x:v>0</x:v>
      </x:c>
      <x:c r="BW568">
        <x:f>MAX(0,MIN(BK568,IF(AND(H568=1,C568="重要关系7",LEFT('幕间与结算'!H475,8)="建立新的重要关系"),'幕间与结算'!E475+E568,BW567+IF(C568="重要关系7",E568,0)+IF(AND(C568="魅力",E568&lt;0),E568,0))))</x:f>
        <x:v>0</x:v>
      </x:c>
    </x:row>
    <x:row r="569">
      <x:c r="A569" t="str">
        <x:f>IFERROR(TEXT(VALUE('幕间与结算'!A476),"00"),"")</x:f>
        <x:v>00</x:v>
      </x:c>
      <x:c r="B569">
        <x:f>'幕间与结算'!B476</x:f>
        <x:v>0</x:v>
      </x:c>
      <x:c r="C569">
        <x:f>'幕间与结算'!D476</x:f>
        <x:v>0</x:v>
      </x:c>
      <x:c r="D569">
        <x:f>'幕间与结算'!F476</x:f>
        <x:v>0</x:v>
      </x:c>
      <x:c r="E569">
        <x:f>IF(H569=1,MAX(-'幕间与结算'!E476,MIN(D569,IF(LEFT(C569,3)="技能：",99,IF(COUNTIF($L$2:$L$7,C569)&gt;0,18,999))-'幕间与结算'!E476)),0)</x:f>
        <x:v>0</x:v>
      </x:c>
      <x:c r="F569" t="str">
        <x:f>IF(C569=0,"",IF(G569=0,"记录不完整",IF(H569=0,"重复未计","已计入")))</x:f>
        <x:v/>
      </x:c>
      <x:c r="G569">
        <x:f>IF(AND(AND('幕间与结算'!A476&lt;&gt;"",'幕间与结算'!B476&lt;&gt;"",'幕间与结算'!I476&lt;&gt;"",OR(LEFT(C569,3)="技能：",COUNTIF($L$2:$L$19,C569)&gt;0),ISNUMBER('幕间与结算'!E476),ISNUMBER('幕间与结算'!F476),ISNUMBER('幕间与结算'!G476),'幕间与结算'!E476&gt;=0,'幕间与结算'!G476='幕间与结算'!E476+'幕间与结算'!F476),OR(B569&lt;&gt;"成长",AND(LEFT(C569,3)="技能：",C569&lt;&gt;"技能：非自然知识",'幕间与结算'!E476&gt;=1,'幕间与结算'!E476&lt;=99,'幕间与结算'!F476&gt;=0,'幕间与结算'!F476&lt;=4,'幕间与结算'!G476&lt;=99))),1,0)</x:f>
        <x:v>0</x:v>
      </x:c>
      <x:c r="H569">
        <x:f>IF(AND(G569=1,COUNTIFS($I$200:I569,I569,$G$200:G569,1)=1),1,0)</x:f>
        <x:v>0</x:v>
      </x:c>
      <x:c r="I569" t="str">
        <x:f>IF(G569=1,IF(B569="成长",A569&amp;"-成长-"&amp;C569,'幕间与结算'!I476),"")</x:f>
        <x:v/>
      </x:c>
      <x:c r="BF569">
        <x:f>MAX(0,MIN(18,BF568+IF(C569="力量",E569,0)))</x:f>
        <x:v>0</x:v>
      </x:c>
      <x:c r="BG569">
        <x:f>MAX(0,MIN(18,BG568+IF(C569="体质",E569,0)))</x:f>
        <x:v>0</x:v>
      </x:c>
      <x:c r="BH569">
        <x:f>MAX(0,MIN(18,BH568+IF(C569="敏捷",E569,0)))</x:f>
        <x:v>0</x:v>
      </x:c>
      <x:c r="BI569">
        <x:f>MAX(0,MIN(18,BI568+IF(C569="智力",E569,0)))</x:f>
        <x:v>0</x:v>
      </x:c>
      <x:c r="BJ569">
        <x:f>MAX(0,MIN(18,BJ568+IF(C569="意志",E569,0)))</x:f>
        <x:v>0</x:v>
      </x:c>
      <x:c r="BK569">
        <x:f>MAX(0,MIN(18,BK568+IF(C569="魅力",E569,0)))</x:f>
        <x:v>0</x:v>
      </x:c>
      <x:c r="BL569">
        <x:f>MAX(0,MIN(99,BL568+IF(C569="技能：非自然知识",E569,0)))</x:f>
        <x:v>0</x:v>
      </x:c>
      <x:c r="BM569">
        <x:f>MAX(0,MIN(CEILING((BF569+BG569)/2,1),BM568+IF(C569="体力",E569,0)))</x:f>
        <x:v>0</x:v>
      </x:c>
      <x:c r="BN569">
        <x:f>MAX(0,MIN(BJ569,BN568+IF(C569="毅力",E569,0)))</x:f>
        <x:v>0</x:v>
      </x:c>
      <x:c r="BO569">
        <x:f>MAX(0,MIN(99-BL569,BO568+IF(C569="理智",E569,0)))</x:f>
        <x:v>0</x:v>
      </x:c>
      <x:c r="BP569">
        <x:f>MAX(0,MIN(99,BP568+IF(C569="崩溃点",E569,0)))</x:f>
        <x:v>0</x:v>
      </x:c>
      <x:c r="BQ569">
        <x:f>MAX(0,MIN(BK569,IF(AND(H569=1,C569="重要关系1",LEFT('幕间与结算'!H476,8)="建立新的重要关系"),'幕间与结算'!E476+E569,BQ568+IF(C569="重要关系1",E569,0)+IF(AND(C569="魅力",E569&lt;0),E569,0))))</x:f>
        <x:v>0</x:v>
      </x:c>
      <x:c r="BR569">
        <x:f>MAX(0,MIN(BK569,IF(AND(H569=1,C569="重要关系2",LEFT('幕间与结算'!H476,8)="建立新的重要关系"),'幕间与结算'!E476+E569,BR568+IF(C569="重要关系2",E569,0)+IF(AND(C569="魅力",E569&lt;0),E569,0))))</x:f>
        <x:v>0</x:v>
      </x:c>
      <x:c r="BS569">
        <x:f>MAX(0,MIN(BK569,IF(AND(H569=1,C569="重要关系3",LEFT('幕间与结算'!H476,8)="建立新的重要关系"),'幕间与结算'!E476+E569,BS568+IF(C569="重要关系3",E569,0)+IF(AND(C569="魅力",E569&lt;0),E569,0))))</x:f>
        <x:v>0</x:v>
      </x:c>
      <x:c r="BT569">
        <x:f>MAX(0,MIN(BK569,IF(AND(H569=1,C569="重要关系4",LEFT('幕间与结算'!H476,8)="建立新的重要关系"),'幕间与结算'!E476+E569,BT568+IF(C569="重要关系4",E569,0)+IF(AND(C569="魅力",E569&lt;0),E569,0))))</x:f>
        <x:v>0</x:v>
      </x:c>
      <x:c r="BU569">
        <x:f>MAX(0,MIN(BK569,IF(AND(H569=1,C569="重要关系5",LEFT('幕间与结算'!H476,8)="建立新的重要关系"),'幕间与结算'!E476+E569,BU568+IF(C569="重要关系5",E569,0)+IF(AND(C569="魅力",E569&lt;0),E569,0))))</x:f>
        <x:v>0</x:v>
      </x:c>
      <x:c r="BV569">
        <x:f>MAX(0,MIN(BK569,IF(AND(H569=1,C569="重要关系6",LEFT('幕间与结算'!H476,8)="建立新的重要关系"),'幕间与结算'!E476+E569,BV568+IF(C569="重要关系6",E569,0)+IF(AND(C569="魅力",E569&lt;0),E569,0))))</x:f>
        <x:v>0</x:v>
      </x:c>
      <x:c r="BW569">
        <x:f>MAX(0,MIN(BK569,IF(AND(H569=1,C569="重要关系7",LEFT('幕间与结算'!H476,8)="建立新的重要关系"),'幕间与结算'!E476+E569,BW568+IF(C569="重要关系7",E569,0)+IF(AND(C569="魅力",E569&lt;0),E569,0))))</x:f>
        <x:v>0</x:v>
      </x:c>
    </x:row>
    <x:row r="570">
      <x:c r="A570" t="str">
        <x:f>IFERROR(TEXT(VALUE('幕间与结算'!A477),"00"),"")</x:f>
        <x:v>00</x:v>
      </x:c>
      <x:c r="B570">
        <x:f>'幕间与结算'!B477</x:f>
        <x:v>0</x:v>
      </x:c>
      <x:c r="C570">
        <x:f>'幕间与结算'!D477</x:f>
        <x:v>0</x:v>
      </x:c>
      <x:c r="D570">
        <x:f>'幕间与结算'!F477</x:f>
        <x:v>0</x:v>
      </x:c>
      <x:c r="E570">
        <x:f>IF(H570=1,MAX(-'幕间与结算'!E477,MIN(D570,IF(LEFT(C570,3)="技能：",99,IF(COUNTIF($L$2:$L$7,C570)&gt;0,18,999))-'幕间与结算'!E477)),0)</x:f>
        <x:v>0</x:v>
      </x:c>
      <x:c r="F570" t="str">
        <x:f>IF(C570=0,"",IF(G570=0,"记录不完整",IF(H570=0,"重复未计","已计入")))</x:f>
        <x:v/>
      </x:c>
      <x:c r="G570">
        <x:f>IF(AND(AND('幕间与结算'!A477&lt;&gt;"",'幕间与结算'!B477&lt;&gt;"",'幕间与结算'!I477&lt;&gt;"",OR(LEFT(C570,3)="技能：",COUNTIF($L$2:$L$19,C570)&gt;0),ISNUMBER('幕间与结算'!E477),ISNUMBER('幕间与结算'!F477),ISNUMBER('幕间与结算'!G477),'幕间与结算'!E477&gt;=0,'幕间与结算'!G477='幕间与结算'!E477+'幕间与结算'!F477),OR(B570&lt;&gt;"成长",AND(LEFT(C570,3)="技能：",C570&lt;&gt;"技能：非自然知识",'幕间与结算'!E477&gt;=1,'幕间与结算'!E477&lt;=99,'幕间与结算'!F477&gt;=0,'幕间与结算'!F477&lt;=4,'幕间与结算'!G477&lt;=99))),1,0)</x:f>
        <x:v>0</x:v>
      </x:c>
      <x:c r="H570">
        <x:f>IF(AND(G570=1,COUNTIFS($I$200:I570,I570,$G$200:G570,1)=1),1,0)</x:f>
        <x:v>0</x:v>
      </x:c>
      <x:c r="I570" t="str">
        <x:f>IF(G570=1,IF(B570="成长",A570&amp;"-成长-"&amp;C570,'幕间与结算'!I477),"")</x:f>
        <x:v/>
      </x:c>
      <x:c r="BF570">
        <x:f>MAX(0,MIN(18,BF569+IF(C570="力量",E570,0)))</x:f>
        <x:v>0</x:v>
      </x:c>
      <x:c r="BG570">
        <x:f>MAX(0,MIN(18,BG569+IF(C570="体质",E570,0)))</x:f>
        <x:v>0</x:v>
      </x:c>
      <x:c r="BH570">
        <x:f>MAX(0,MIN(18,BH569+IF(C570="敏捷",E570,0)))</x:f>
        <x:v>0</x:v>
      </x:c>
      <x:c r="BI570">
        <x:f>MAX(0,MIN(18,BI569+IF(C570="智力",E570,0)))</x:f>
        <x:v>0</x:v>
      </x:c>
      <x:c r="BJ570">
        <x:f>MAX(0,MIN(18,BJ569+IF(C570="意志",E570,0)))</x:f>
        <x:v>0</x:v>
      </x:c>
      <x:c r="BK570">
        <x:f>MAX(0,MIN(18,BK569+IF(C570="魅力",E570,0)))</x:f>
        <x:v>0</x:v>
      </x:c>
      <x:c r="BL570">
        <x:f>MAX(0,MIN(99,BL569+IF(C570="技能：非自然知识",E570,0)))</x:f>
        <x:v>0</x:v>
      </x:c>
      <x:c r="BM570">
        <x:f>MAX(0,MIN(CEILING((BF570+BG570)/2,1),BM569+IF(C570="体力",E570,0)))</x:f>
        <x:v>0</x:v>
      </x:c>
      <x:c r="BN570">
        <x:f>MAX(0,MIN(BJ570,BN569+IF(C570="毅力",E570,0)))</x:f>
        <x:v>0</x:v>
      </x:c>
      <x:c r="BO570">
        <x:f>MAX(0,MIN(99-BL570,BO569+IF(C570="理智",E570,0)))</x:f>
        <x:v>0</x:v>
      </x:c>
      <x:c r="BP570">
        <x:f>MAX(0,MIN(99,BP569+IF(C570="崩溃点",E570,0)))</x:f>
        <x:v>0</x:v>
      </x:c>
      <x:c r="BQ570">
        <x:f>MAX(0,MIN(BK570,IF(AND(H570=1,C570="重要关系1",LEFT('幕间与结算'!H477,8)="建立新的重要关系"),'幕间与结算'!E477+E570,BQ569+IF(C570="重要关系1",E570,0)+IF(AND(C570="魅力",E570&lt;0),E570,0))))</x:f>
        <x:v>0</x:v>
      </x:c>
      <x:c r="BR570">
        <x:f>MAX(0,MIN(BK570,IF(AND(H570=1,C570="重要关系2",LEFT('幕间与结算'!H477,8)="建立新的重要关系"),'幕间与结算'!E477+E570,BR569+IF(C570="重要关系2",E570,0)+IF(AND(C570="魅力",E570&lt;0),E570,0))))</x:f>
        <x:v>0</x:v>
      </x:c>
      <x:c r="BS570">
        <x:f>MAX(0,MIN(BK570,IF(AND(H570=1,C570="重要关系3",LEFT('幕间与结算'!H477,8)="建立新的重要关系"),'幕间与结算'!E477+E570,BS569+IF(C570="重要关系3",E570,0)+IF(AND(C570="魅力",E570&lt;0),E570,0))))</x:f>
        <x:v>0</x:v>
      </x:c>
      <x:c r="BT570">
        <x:f>MAX(0,MIN(BK570,IF(AND(H570=1,C570="重要关系4",LEFT('幕间与结算'!H477,8)="建立新的重要关系"),'幕间与结算'!E477+E570,BT569+IF(C570="重要关系4",E570,0)+IF(AND(C570="魅力",E570&lt;0),E570,0))))</x:f>
        <x:v>0</x:v>
      </x:c>
      <x:c r="BU570">
        <x:f>MAX(0,MIN(BK570,IF(AND(H570=1,C570="重要关系5",LEFT('幕间与结算'!H477,8)="建立新的重要关系"),'幕间与结算'!E477+E570,BU569+IF(C570="重要关系5",E570,0)+IF(AND(C570="魅力",E570&lt;0),E570,0))))</x:f>
        <x:v>0</x:v>
      </x:c>
      <x:c r="BV570">
        <x:f>MAX(0,MIN(BK570,IF(AND(H570=1,C570="重要关系6",LEFT('幕间与结算'!H477,8)="建立新的重要关系"),'幕间与结算'!E477+E570,BV569+IF(C570="重要关系6",E570,0)+IF(AND(C570="魅力",E570&lt;0),E570,0))))</x:f>
        <x:v>0</x:v>
      </x:c>
      <x:c r="BW570">
        <x:f>MAX(0,MIN(BK570,IF(AND(H570=1,C570="重要关系7",LEFT('幕间与结算'!H477,8)="建立新的重要关系"),'幕间与结算'!E477+E570,BW569+IF(C570="重要关系7",E570,0)+IF(AND(C570="魅力",E570&lt;0),E570,0))))</x:f>
        <x:v>0</x:v>
      </x:c>
    </x:row>
    <x:row r="571">
      <x:c r="A571" t="str">
        <x:f>IFERROR(TEXT(VALUE('幕间与结算'!A478),"00"),"")</x:f>
        <x:v>00</x:v>
      </x:c>
      <x:c r="B571">
        <x:f>'幕间与结算'!B478</x:f>
        <x:v>0</x:v>
      </x:c>
      <x:c r="C571">
        <x:f>'幕间与结算'!D478</x:f>
        <x:v>0</x:v>
      </x:c>
      <x:c r="D571">
        <x:f>'幕间与结算'!F478</x:f>
        <x:v>0</x:v>
      </x:c>
      <x:c r="E571">
        <x:f>IF(H571=1,MAX(-'幕间与结算'!E478,MIN(D571,IF(LEFT(C571,3)="技能：",99,IF(COUNTIF($L$2:$L$7,C571)&gt;0,18,999))-'幕间与结算'!E478)),0)</x:f>
        <x:v>0</x:v>
      </x:c>
      <x:c r="F571" t="str">
        <x:f>IF(C571=0,"",IF(G571=0,"记录不完整",IF(H571=0,"重复未计","已计入")))</x:f>
        <x:v/>
      </x:c>
      <x:c r="G571">
        <x:f>IF(AND(AND('幕间与结算'!A478&lt;&gt;"",'幕间与结算'!B478&lt;&gt;"",'幕间与结算'!I478&lt;&gt;"",OR(LEFT(C571,3)="技能：",COUNTIF($L$2:$L$19,C571)&gt;0),ISNUMBER('幕间与结算'!E478),ISNUMBER('幕间与结算'!F478),ISNUMBER('幕间与结算'!G478),'幕间与结算'!E478&gt;=0,'幕间与结算'!G478='幕间与结算'!E478+'幕间与结算'!F478),OR(B571&lt;&gt;"成长",AND(LEFT(C571,3)="技能：",C571&lt;&gt;"技能：非自然知识",'幕间与结算'!E478&gt;=1,'幕间与结算'!E478&lt;=99,'幕间与结算'!F478&gt;=0,'幕间与结算'!F478&lt;=4,'幕间与结算'!G478&lt;=99))),1,0)</x:f>
        <x:v>0</x:v>
      </x:c>
      <x:c r="H571">
        <x:f>IF(AND(G571=1,COUNTIFS($I$200:I571,I571,$G$200:G571,1)=1),1,0)</x:f>
        <x:v>0</x:v>
      </x:c>
      <x:c r="I571" t="str">
        <x:f>IF(G571=1,IF(B571="成长",A571&amp;"-成长-"&amp;C571,'幕间与结算'!I478),"")</x:f>
        <x:v/>
      </x:c>
      <x:c r="BF571">
        <x:f>MAX(0,MIN(18,BF570+IF(C571="力量",E571,0)))</x:f>
        <x:v>0</x:v>
      </x:c>
      <x:c r="BG571">
        <x:f>MAX(0,MIN(18,BG570+IF(C571="体质",E571,0)))</x:f>
        <x:v>0</x:v>
      </x:c>
      <x:c r="BH571">
        <x:f>MAX(0,MIN(18,BH570+IF(C571="敏捷",E571,0)))</x:f>
        <x:v>0</x:v>
      </x:c>
      <x:c r="BI571">
        <x:f>MAX(0,MIN(18,BI570+IF(C571="智力",E571,0)))</x:f>
        <x:v>0</x:v>
      </x:c>
      <x:c r="BJ571">
        <x:f>MAX(0,MIN(18,BJ570+IF(C571="意志",E571,0)))</x:f>
        <x:v>0</x:v>
      </x:c>
      <x:c r="BK571">
        <x:f>MAX(0,MIN(18,BK570+IF(C571="魅力",E571,0)))</x:f>
        <x:v>0</x:v>
      </x:c>
      <x:c r="BL571">
        <x:f>MAX(0,MIN(99,BL570+IF(C571="技能：非自然知识",E571,0)))</x:f>
        <x:v>0</x:v>
      </x:c>
      <x:c r="BM571">
        <x:f>MAX(0,MIN(CEILING((BF571+BG571)/2,1),BM570+IF(C571="体力",E571,0)))</x:f>
        <x:v>0</x:v>
      </x:c>
      <x:c r="BN571">
        <x:f>MAX(0,MIN(BJ571,BN570+IF(C571="毅力",E571,0)))</x:f>
        <x:v>0</x:v>
      </x:c>
      <x:c r="BO571">
        <x:f>MAX(0,MIN(99-BL571,BO570+IF(C571="理智",E571,0)))</x:f>
        <x:v>0</x:v>
      </x:c>
      <x:c r="BP571">
        <x:f>MAX(0,MIN(99,BP570+IF(C571="崩溃点",E571,0)))</x:f>
        <x:v>0</x:v>
      </x:c>
      <x:c r="BQ571">
        <x:f>MAX(0,MIN(BK571,IF(AND(H571=1,C571="重要关系1",LEFT('幕间与结算'!H478,8)="建立新的重要关系"),'幕间与结算'!E478+E571,BQ570+IF(C571="重要关系1",E571,0)+IF(AND(C571="魅力",E571&lt;0),E571,0))))</x:f>
        <x:v>0</x:v>
      </x:c>
      <x:c r="BR571">
        <x:f>MAX(0,MIN(BK571,IF(AND(H571=1,C571="重要关系2",LEFT('幕间与结算'!H478,8)="建立新的重要关系"),'幕间与结算'!E478+E571,BR570+IF(C571="重要关系2",E571,0)+IF(AND(C571="魅力",E571&lt;0),E571,0))))</x:f>
        <x:v>0</x:v>
      </x:c>
      <x:c r="BS571">
        <x:f>MAX(0,MIN(BK571,IF(AND(H571=1,C571="重要关系3",LEFT('幕间与结算'!H478,8)="建立新的重要关系"),'幕间与结算'!E478+E571,BS570+IF(C571="重要关系3",E571,0)+IF(AND(C571="魅力",E571&lt;0),E571,0))))</x:f>
        <x:v>0</x:v>
      </x:c>
      <x:c r="BT571">
        <x:f>MAX(0,MIN(BK571,IF(AND(H571=1,C571="重要关系4",LEFT('幕间与结算'!H478,8)="建立新的重要关系"),'幕间与结算'!E478+E571,BT570+IF(C571="重要关系4",E571,0)+IF(AND(C571="魅力",E571&lt;0),E571,0))))</x:f>
        <x:v>0</x:v>
      </x:c>
      <x:c r="BU571">
        <x:f>MAX(0,MIN(BK571,IF(AND(H571=1,C571="重要关系5",LEFT('幕间与结算'!H478,8)="建立新的重要关系"),'幕间与结算'!E478+E571,BU570+IF(C571="重要关系5",E571,0)+IF(AND(C571="魅力",E571&lt;0),E571,0))))</x:f>
        <x:v>0</x:v>
      </x:c>
      <x:c r="BV571">
        <x:f>MAX(0,MIN(BK571,IF(AND(H571=1,C571="重要关系6",LEFT('幕间与结算'!H478,8)="建立新的重要关系"),'幕间与结算'!E478+E571,BV570+IF(C571="重要关系6",E571,0)+IF(AND(C571="魅力",E571&lt;0),E571,0))))</x:f>
        <x:v>0</x:v>
      </x:c>
      <x:c r="BW571">
        <x:f>MAX(0,MIN(BK571,IF(AND(H571=1,C571="重要关系7",LEFT('幕间与结算'!H478,8)="建立新的重要关系"),'幕间与结算'!E478+E571,BW570+IF(C571="重要关系7",E571,0)+IF(AND(C571="魅力",E571&lt;0),E571,0))))</x:f>
        <x:v>0</x:v>
      </x:c>
    </x:row>
    <x:row r="572">
      <x:c r="A572" t="str">
        <x:f>IFERROR(TEXT(VALUE('幕间与结算'!A479),"00"),"")</x:f>
        <x:v>00</x:v>
      </x:c>
      <x:c r="B572">
        <x:f>'幕间与结算'!B479</x:f>
        <x:v>0</x:v>
      </x:c>
      <x:c r="C572">
        <x:f>'幕间与结算'!D479</x:f>
        <x:v>0</x:v>
      </x:c>
      <x:c r="D572">
        <x:f>'幕间与结算'!F479</x:f>
        <x:v>0</x:v>
      </x:c>
      <x:c r="E572">
        <x:f>IF(H572=1,MAX(-'幕间与结算'!E479,MIN(D572,IF(LEFT(C572,3)="技能：",99,IF(COUNTIF($L$2:$L$7,C572)&gt;0,18,999))-'幕间与结算'!E479)),0)</x:f>
        <x:v>0</x:v>
      </x:c>
      <x:c r="F572" t="str">
        <x:f>IF(C572=0,"",IF(G572=0,"记录不完整",IF(H572=0,"重复未计","已计入")))</x:f>
        <x:v/>
      </x:c>
      <x:c r="G572">
        <x:f>IF(AND(AND('幕间与结算'!A479&lt;&gt;"",'幕间与结算'!B479&lt;&gt;"",'幕间与结算'!I479&lt;&gt;"",OR(LEFT(C572,3)="技能：",COUNTIF($L$2:$L$19,C572)&gt;0),ISNUMBER('幕间与结算'!E479),ISNUMBER('幕间与结算'!F479),ISNUMBER('幕间与结算'!G479),'幕间与结算'!E479&gt;=0,'幕间与结算'!G479='幕间与结算'!E479+'幕间与结算'!F479),OR(B572&lt;&gt;"成长",AND(LEFT(C572,3)="技能：",C572&lt;&gt;"技能：非自然知识",'幕间与结算'!E479&gt;=1,'幕间与结算'!E479&lt;=99,'幕间与结算'!F479&gt;=0,'幕间与结算'!F479&lt;=4,'幕间与结算'!G479&lt;=99))),1,0)</x:f>
        <x:v>0</x:v>
      </x:c>
      <x:c r="H572">
        <x:f>IF(AND(G572=1,COUNTIFS($I$200:I572,I572,$G$200:G572,1)=1),1,0)</x:f>
        <x:v>0</x:v>
      </x:c>
      <x:c r="I572" t="str">
        <x:f>IF(G572=1,IF(B572="成长",A572&amp;"-成长-"&amp;C572,'幕间与结算'!I479),"")</x:f>
        <x:v/>
      </x:c>
      <x:c r="BF572">
        <x:f>MAX(0,MIN(18,BF571+IF(C572="力量",E572,0)))</x:f>
        <x:v>0</x:v>
      </x:c>
      <x:c r="BG572">
        <x:f>MAX(0,MIN(18,BG571+IF(C572="体质",E572,0)))</x:f>
        <x:v>0</x:v>
      </x:c>
      <x:c r="BH572">
        <x:f>MAX(0,MIN(18,BH571+IF(C572="敏捷",E572,0)))</x:f>
        <x:v>0</x:v>
      </x:c>
      <x:c r="BI572">
        <x:f>MAX(0,MIN(18,BI571+IF(C572="智力",E572,0)))</x:f>
        <x:v>0</x:v>
      </x:c>
      <x:c r="BJ572">
        <x:f>MAX(0,MIN(18,BJ571+IF(C572="意志",E572,0)))</x:f>
        <x:v>0</x:v>
      </x:c>
      <x:c r="BK572">
        <x:f>MAX(0,MIN(18,BK571+IF(C572="魅力",E572,0)))</x:f>
        <x:v>0</x:v>
      </x:c>
      <x:c r="BL572">
        <x:f>MAX(0,MIN(99,BL571+IF(C572="技能：非自然知识",E572,0)))</x:f>
        <x:v>0</x:v>
      </x:c>
      <x:c r="BM572">
        <x:f>MAX(0,MIN(CEILING((BF572+BG572)/2,1),BM571+IF(C572="体力",E572,0)))</x:f>
        <x:v>0</x:v>
      </x:c>
      <x:c r="BN572">
        <x:f>MAX(0,MIN(BJ572,BN571+IF(C572="毅力",E572,0)))</x:f>
        <x:v>0</x:v>
      </x:c>
      <x:c r="BO572">
        <x:f>MAX(0,MIN(99-BL572,BO571+IF(C572="理智",E572,0)))</x:f>
        <x:v>0</x:v>
      </x:c>
      <x:c r="BP572">
        <x:f>MAX(0,MIN(99,BP571+IF(C572="崩溃点",E572,0)))</x:f>
        <x:v>0</x:v>
      </x:c>
      <x:c r="BQ572">
        <x:f>MAX(0,MIN(BK572,IF(AND(H572=1,C572="重要关系1",LEFT('幕间与结算'!H479,8)="建立新的重要关系"),'幕间与结算'!E479+E572,BQ571+IF(C572="重要关系1",E572,0)+IF(AND(C572="魅力",E572&lt;0),E572,0))))</x:f>
        <x:v>0</x:v>
      </x:c>
      <x:c r="BR572">
        <x:f>MAX(0,MIN(BK572,IF(AND(H572=1,C572="重要关系2",LEFT('幕间与结算'!H479,8)="建立新的重要关系"),'幕间与结算'!E479+E572,BR571+IF(C572="重要关系2",E572,0)+IF(AND(C572="魅力",E572&lt;0),E572,0))))</x:f>
        <x:v>0</x:v>
      </x:c>
      <x:c r="BS572">
        <x:f>MAX(0,MIN(BK572,IF(AND(H572=1,C572="重要关系3",LEFT('幕间与结算'!H479,8)="建立新的重要关系"),'幕间与结算'!E479+E572,BS571+IF(C572="重要关系3",E572,0)+IF(AND(C572="魅力",E572&lt;0),E572,0))))</x:f>
        <x:v>0</x:v>
      </x:c>
      <x:c r="BT572">
        <x:f>MAX(0,MIN(BK572,IF(AND(H572=1,C572="重要关系4",LEFT('幕间与结算'!H479,8)="建立新的重要关系"),'幕间与结算'!E479+E572,BT571+IF(C572="重要关系4",E572,0)+IF(AND(C572="魅力",E572&lt;0),E572,0))))</x:f>
        <x:v>0</x:v>
      </x:c>
      <x:c r="BU572">
        <x:f>MAX(0,MIN(BK572,IF(AND(H572=1,C572="重要关系5",LEFT('幕间与结算'!H479,8)="建立新的重要关系"),'幕间与结算'!E479+E572,BU571+IF(C572="重要关系5",E572,0)+IF(AND(C572="魅力",E572&lt;0),E572,0))))</x:f>
        <x:v>0</x:v>
      </x:c>
      <x:c r="BV572">
        <x:f>MAX(0,MIN(BK572,IF(AND(H572=1,C572="重要关系6",LEFT('幕间与结算'!H479,8)="建立新的重要关系"),'幕间与结算'!E479+E572,BV571+IF(C572="重要关系6",E572,0)+IF(AND(C572="魅力",E572&lt;0),E572,0))))</x:f>
        <x:v>0</x:v>
      </x:c>
      <x:c r="BW572">
        <x:f>MAX(0,MIN(BK572,IF(AND(H572=1,C572="重要关系7",LEFT('幕间与结算'!H479,8)="建立新的重要关系"),'幕间与结算'!E479+E572,BW571+IF(C572="重要关系7",E572,0)+IF(AND(C572="魅力",E572&lt;0),E572,0))))</x:f>
        <x:v>0</x:v>
      </x:c>
    </x:row>
    <x:row r="573">
      <x:c r="A573" t="str">
        <x:f>IFERROR(TEXT(VALUE('幕间与结算'!A480),"00"),"")</x:f>
        <x:v>00</x:v>
      </x:c>
      <x:c r="B573">
        <x:f>'幕间与结算'!B480</x:f>
        <x:v>0</x:v>
      </x:c>
      <x:c r="C573">
        <x:f>'幕间与结算'!D480</x:f>
        <x:v>0</x:v>
      </x:c>
      <x:c r="D573">
        <x:f>'幕间与结算'!F480</x:f>
        <x:v>0</x:v>
      </x:c>
      <x:c r="E573">
        <x:f>IF(H573=1,MAX(-'幕间与结算'!E480,MIN(D573,IF(LEFT(C573,3)="技能：",99,IF(COUNTIF($L$2:$L$7,C573)&gt;0,18,999))-'幕间与结算'!E480)),0)</x:f>
        <x:v>0</x:v>
      </x:c>
      <x:c r="F573" t="str">
        <x:f>IF(C573=0,"",IF(G573=0,"记录不完整",IF(H573=0,"重复未计","已计入")))</x:f>
        <x:v/>
      </x:c>
      <x:c r="G573">
        <x:f>IF(AND(AND('幕间与结算'!A480&lt;&gt;"",'幕间与结算'!B480&lt;&gt;"",'幕间与结算'!I480&lt;&gt;"",OR(LEFT(C573,3)="技能：",COUNTIF($L$2:$L$19,C573)&gt;0),ISNUMBER('幕间与结算'!E480),ISNUMBER('幕间与结算'!F480),ISNUMBER('幕间与结算'!G480),'幕间与结算'!E480&gt;=0,'幕间与结算'!G480='幕间与结算'!E480+'幕间与结算'!F480),OR(B573&lt;&gt;"成长",AND(LEFT(C573,3)="技能：",C573&lt;&gt;"技能：非自然知识",'幕间与结算'!E480&gt;=1,'幕间与结算'!E480&lt;=99,'幕间与结算'!F480&gt;=0,'幕间与结算'!F480&lt;=4,'幕间与结算'!G480&lt;=99))),1,0)</x:f>
        <x:v>0</x:v>
      </x:c>
      <x:c r="H573">
        <x:f>IF(AND(G573=1,COUNTIFS($I$200:I573,I573,$G$200:G573,1)=1),1,0)</x:f>
        <x:v>0</x:v>
      </x:c>
      <x:c r="I573" t="str">
        <x:f>IF(G573=1,IF(B573="成长",A573&amp;"-成长-"&amp;C573,'幕间与结算'!I480),"")</x:f>
        <x:v/>
      </x:c>
      <x:c r="BF573">
        <x:f>MAX(0,MIN(18,BF572+IF(C573="力量",E573,0)))</x:f>
        <x:v>0</x:v>
      </x:c>
      <x:c r="BG573">
        <x:f>MAX(0,MIN(18,BG572+IF(C573="体质",E573,0)))</x:f>
        <x:v>0</x:v>
      </x:c>
      <x:c r="BH573">
        <x:f>MAX(0,MIN(18,BH572+IF(C573="敏捷",E573,0)))</x:f>
        <x:v>0</x:v>
      </x:c>
      <x:c r="BI573">
        <x:f>MAX(0,MIN(18,BI572+IF(C573="智力",E573,0)))</x:f>
        <x:v>0</x:v>
      </x:c>
      <x:c r="BJ573">
        <x:f>MAX(0,MIN(18,BJ572+IF(C573="意志",E573,0)))</x:f>
        <x:v>0</x:v>
      </x:c>
      <x:c r="BK573">
        <x:f>MAX(0,MIN(18,BK572+IF(C573="魅力",E573,0)))</x:f>
        <x:v>0</x:v>
      </x:c>
      <x:c r="BL573">
        <x:f>MAX(0,MIN(99,BL572+IF(C573="技能：非自然知识",E573,0)))</x:f>
        <x:v>0</x:v>
      </x:c>
      <x:c r="BM573">
        <x:f>MAX(0,MIN(CEILING((BF573+BG573)/2,1),BM572+IF(C573="体力",E573,0)))</x:f>
        <x:v>0</x:v>
      </x:c>
      <x:c r="BN573">
        <x:f>MAX(0,MIN(BJ573,BN572+IF(C573="毅力",E573,0)))</x:f>
        <x:v>0</x:v>
      </x:c>
      <x:c r="BO573">
        <x:f>MAX(0,MIN(99-BL573,BO572+IF(C573="理智",E573,0)))</x:f>
        <x:v>0</x:v>
      </x:c>
      <x:c r="BP573">
        <x:f>MAX(0,MIN(99,BP572+IF(C573="崩溃点",E573,0)))</x:f>
        <x:v>0</x:v>
      </x:c>
      <x:c r="BQ573">
        <x:f>MAX(0,MIN(BK573,IF(AND(H573=1,C573="重要关系1",LEFT('幕间与结算'!H480,8)="建立新的重要关系"),'幕间与结算'!E480+E573,BQ572+IF(C573="重要关系1",E573,0)+IF(AND(C573="魅力",E573&lt;0),E573,0))))</x:f>
        <x:v>0</x:v>
      </x:c>
      <x:c r="BR573">
        <x:f>MAX(0,MIN(BK573,IF(AND(H573=1,C573="重要关系2",LEFT('幕间与结算'!H480,8)="建立新的重要关系"),'幕间与结算'!E480+E573,BR572+IF(C573="重要关系2",E573,0)+IF(AND(C573="魅力",E573&lt;0),E573,0))))</x:f>
        <x:v>0</x:v>
      </x:c>
      <x:c r="BS573">
        <x:f>MAX(0,MIN(BK573,IF(AND(H573=1,C573="重要关系3",LEFT('幕间与结算'!H480,8)="建立新的重要关系"),'幕间与结算'!E480+E573,BS572+IF(C573="重要关系3",E573,0)+IF(AND(C573="魅力",E573&lt;0),E573,0))))</x:f>
        <x:v>0</x:v>
      </x:c>
      <x:c r="BT573">
        <x:f>MAX(0,MIN(BK573,IF(AND(H573=1,C573="重要关系4",LEFT('幕间与结算'!H480,8)="建立新的重要关系"),'幕间与结算'!E480+E573,BT572+IF(C573="重要关系4",E573,0)+IF(AND(C573="魅力",E573&lt;0),E573,0))))</x:f>
        <x:v>0</x:v>
      </x:c>
      <x:c r="BU573">
        <x:f>MAX(0,MIN(BK573,IF(AND(H573=1,C573="重要关系5",LEFT('幕间与结算'!H480,8)="建立新的重要关系"),'幕间与结算'!E480+E573,BU572+IF(C573="重要关系5",E573,0)+IF(AND(C573="魅力",E573&lt;0),E573,0))))</x:f>
        <x:v>0</x:v>
      </x:c>
      <x:c r="BV573">
        <x:f>MAX(0,MIN(BK573,IF(AND(H573=1,C573="重要关系6",LEFT('幕间与结算'!H480,8)="建立新的重要关系"),'幕间与结算'!E480+E573,BV572+IF(C573="重要关系6",E573,0)+IF(AND(C573="魅力",E573&lt;0),E573,0))))</x:f>
        <x:v>0</x:v>
      </x:c>
      <x:c r="BW573">
        <x:f>MAX(0,MIN(BK573,IF(AND(H573=1,C573="重要关系7",LEFT('幕间与结算'!H480,8)="建立新的重要关系"),'幕间与结算'!E480+E573,BW572+IF(C573="重要关系7",E573,0)+IF(AND(C573="魅力",E573&lt;0),E573,0))))</x:f>
        <x:v>0</x:v>
      </x:c>
    </x:row>
    <x:row r="574">
      <x:c r="A574" t="str">
        <x:f>IFERROR(TEXT(VALUE('幕间与结算'!A481),"00"),"")</x:f>
        <x:v>00</x:v>
      </x:c>
      <x:c r="B574">
        <x:f>'幕间与结算'!B481</x:f>
        <x:v>0</x:v>
      </x:c>
      <x:c r="C574">
        <x:f>'幕间与结算'!D481</x:f>
        <x:v>0</x:v>
      </x:c>
      <x:c r="D574">
        <x:f>'幕间与结算'!F481</x:f>
        <x:v>0</x:v>
      </x:c>
      <x:c r="E574">
        <x:f>IF(H574=1,MAX(-'幕间与结算'!E481,MIN(D574,IF(LEFT(C574,3)="技能：",99,IF(COUNTIF($L$2:$L$7,C574)&gt;0,18,999))-'幕间与结算'!E481)),0)</x:f>
        <x:v>0</x:v>
      </x:c>
      <x:c r="F574" t="str">
        <x:f>IF(C574=0,"",IF(G574=0,"记录不完整",IF(H574=0,"重复未计","已计入")))</x:f>
        <x:v/>
      </x:c>
      <x:c r="G574">
        <x:f>IF(AND(AND('幕间与结算'!A481&lt;&gt;"",'幕间与结算'!B481&lt;&gt;"",'幕间与结算'!I481&lt;&gt;"",OR(LEFT(C574,3)="技能：",COUNTIF($L$2:$L$19,C574)&gt;0),ISNUMBER('幕间与结算'!E481),ISNUMBER('幕间与结算'!F481),ISNUMBER('幕间与结算'!G481),'幕间与结算'!E481&gt;=0,'幕间与结算'!G481='幕间与结算'!E481+'幕间与结算'!F481),OR(B574&lt;&gt;"成长",AND(LEFT(C574,3)="技能：",C574&lt;&gt;"技能：非自然知识",'幕间与结算'!E481&gt;=1,'幕间与结算'!E481&lt;=99,'幕间与结算'!F481&gt;=0,'幕间与结算'!F481&lt;=4,'幕间与结算'!G481&lt;=99))),1,0)</x:f>
        <x:v>0</x:v>
      </x:c>
      <x:c r="H574">
        <x:f>IF(AND(G574=1,COUNTIFS($I$200:I574,I574,$G$200:G574,1)=1),1,0)</x:f>
        <x:v>0</x:v>
      </x:c>
      <x:c r="I574" t="str">
        <x:f>IF(G574=1,IF(B574="成长",A574&amp;"-成长-"&amp;C574,'幕间与结算'!I481),"")</x:f>
        <x:v/>
      </x:c>
      <x:c r="BF574">
        <x:f>MAX(0,MIN(18,BF573+IF(C574="力量",E574,0)))</x:f>
        <x:v>0</x:v>
      </x:c>
      <x:c r="BG574">
        <x:f>MAX(0,MIN(18,BG573+IF(C574="体质",E574,0)))</x:f>
        <x:v>0</x:v>
      </x:c>
      <x:c r="BH574">
        <x:f>MAX(0,MIN(18,BH573+IF(C574="敏捷",E574,0)))</x:f>
        <x:v>0</x:v>
      </x:c>
      <x:c r="BI574">
        <x:f>MAX(0,MIN(18,BI573+IF(C574="智力",E574,0)))</x:f>
        <x:v>0</x:v>
      </x:c>
      <x:c r="BJ574">
        <x:f>MAX(0,MIN(18,BJ573+IF(C574="意志",E574,0)))</x:f>
        <x:v>0</x:v>
      </x:c>
      <x:c r="BK574">
        <x:f>MAX(0,MIN(18,BK573+IF(C574="魅力",E574,0)))</x:f>
        <x:v>0</x:v>
      </x:c>
      <x:c r="BL574">
        <x:f>MAX(0,MIN(99,BL573+IF(C574="技能：非自然知识",E574,0)))</x:f>
        <x:v>0</x:v>
      </x:c>
      <x:c r="BM574">
        <x:f>MAX(0,MIN(CEILING((BF574+BG574)/2,1),BM573+IF(C574="体力",E574,0)))</x:f>
        <x:v>0</x:v>
      </x:c>
      <x:c r="BN574">
        <x:f>MAX(0,MIN(BJ574,BN573+IF(C574="毅力",E574,0)))</x:f>
        <x:v>0</x:v>
      </x:c>
      <x:c r="BO574">
        <x:f>MAX(0,MIN(99-BL574,BO573+IF(C574="理智",E574,0)))</x:f>
        <x:v>0</x:v>
      </x:c>
      <x:c r="BP574">
        <x:f>MAX(0,MIN(99,BP573+IF(C574="崩溃点",E574,0)))</x:f>
        <x:v>0</x:v>
      </x:c>
      <x:c r="BQ574">
        <x:f>MAX(0,MIN(BK574,IF(AND(H574=1,C574="重要关系1",LEFT('幕间与结算'!H481,8)="建立新的重要关系"),'幕间与结算'!E481+E574,BQ573+IF(C574="重要关系1",E574,0)+IF(AND(C574="魅力",E574&lt;0),E574,0))))</x:f>
        <x:v>0</x:v>
      </x:c>
      <x:c r="BR574">
        <x:f>MAX(0,MIN(BK574,IF(AND(H574=1,C574="重要关系2",LEFT('幕间与结算'!H481,8)="建立新的重要关系"),'幕间与结算'!E481+E574,BR573+IF(C574="重要关系2",E574,0)+IF(AND(C574="魅力",E574&lt;0),E574,0))))</x:f>
        <x:v>0</x:v>
      </x:c>
      <x:c r="BS574">
        <x:f>MAX(0,MIN(BK574,IF(AND(H574=1,C574="重要关系3",LEFT('幕间与结算'!H481,8)="建立新的重要关系"),'幕间与结算'!E481+E574,BS573+IF(C574="重要关系3",E574,0)+IF(AND(C574="魅力",E574&lt;0),E574,0))))</x:f>
        <x:v>0</x:v>
      </x:c>
      <x:c r="BT574">
        <x:f>MAX(0,MIN(BK574,IF(AND(H574=1,C574="重要关系4",LEFT('幕间与结算'!H481,8)="建立新的重要关系"),'幕间与结算'!E481+E574,BT573+IF(C574="重要关系4",E574,0)+IF(AND(C574="魅力",E574&lt;0),E574,0))))</x:f>
        <x:v>0</x:v>
      </x:c>
      <x:c r="BU574">
        <x:f>MAX(0,MIN(BK574,IF(AND(H574=1,C574="重要关系5",LEFT('幕间与结算'!H481,8)="建立新的重要关系"),'幕间与结算'!E481+E574,BU573+IF(C574="重要关系5",E574,0)+IF(AND(C574="魅力",E574&lt;0),E574,0))))</x:f>
        <x:v>0</x:v>
      </x:c>
      <x:c r="BV574">
        <x:f>MAX(0,MIN(BK574,IF(AND(H574=1,C574="重要关系6",LEFT('幕间与结算'!H481,8)="建立新的重要关系"),'幕间与结算'!E481+E574,BV573+IF(C574="重要关系6",E574,0)+IF(AND(C574="魅力",E574&lt;0),E574,0))))</x:f>
        <x:v>0</x:v>
      </x:c>
      <x:c r="BW574">
        <x:f>MAX(0,MIN(BK574,IF(AND(H574=1,C574="重要关系7",LEFT('幕间与结算'!H481,8)="建立新的重要关系"),'幕间与结算'!E481+E574,BW573+IF(C574="重要关系7",E574,0)+IF(AND(C574="魅力",E574&lt;0),E574,0))))</x:f>
        <x:v>0</x:v>
      </x:c>
    </x:row>
    <x:row r="575">
      <x:c r="A575" t="str">
        <x:f>IFERROR(TEXT(VALUE('幕间与结算'!A482),"00"),"")</x:f>
        <x:v>00</x:v>
      </x:c>
      <x:c r="B575">
        <x:f>'幕间与结算'!B482</x:f>
        <x:v>0</x:v>
      </x:c>
      <x:c r="C575">
        <x:f>'幕间与结算'!D482</x:f>
        <x:v>0</x:v>
      </x:c>
      <x:c r="D575">
        <x:f>'幕间与结算'!F482</x:f>
        <x:v>0</x:v>
      </x:c>
      <x:c r="E575">
        <x:f>IF(H575=1,MAX(-'幕间与结算'!E482,MIN(D575,IF(LEFT(C575,3)="技能：",99,IF(COUNTIF($L$2:$L$7,C575)&gt;0,18,999))-'幕间与结算'!E482)),0)</x:f>
        <x:v>0</x:v>
      </x:c>
      <x:c r="F575" t="str">
        <x:f>IF(C575=0,"",IF(G575=0,"记录不完整",IF(H575=0,"重复未计","已计入")))</x:f>
        <x:v/>
      </x:c>
      <x:c r="G575">
        <x:f>IF(AND(AND('幕间与结算'!A482&lt;&gt;"",'幕间与结算'!B482&lt;&gt;"",'幕间与结算'!I482&lt;&gt;"",OR(LEFT(C575,3)="技能：",COUNTIF($L$2:$L$19,C575)&gt;0),ISNUMBER('幕间与结算'!E482),ISNUMBER('幕间与结算'!F482),ISNUMBER('幕间与结算'!G482),'幕间与结算'!E482&gt;=0,'幕间与结算'!G482='幕间与结算'!E482+'幕间与结算'!F482),OR(B575&lt;&gt;"成长",AND(LEFT(C575,3)="技能：",C575&lt;&gt;"技能：非自然知识",'幕间与结算'!E482&gt;=1,'幕间与结算'!E482&lt;=99,'幕间与结算'!F482&gt;=0,'幕间与结算'!F482&lt;=4,'幕间与结算'!G482&lt;=99))),1,0)</x:f>
        <x:v>0</x:v>
      </x:c>
      <x:c r="H575">
        <x:f>IF(AND(G575=1,COUNTIFS($I$200:I575,I575,$G$200:G575,1)=1),1,0)</x:f>
        <x:v>0</x:v>
      </x:c>
      <x:c r="I575" t="str">
        <x:f>IF(G575=1,IF(B575="成长",A575&amp;"-成长-"&amp;C575,'幕间与结算'!I482),"")</x:f>
        <x:v/>
      </x:c>
      <x:c r="BF575">
        <x:f>MAX(0,MIN(18,BF574+IF(C575="力量",E575,0)))</x:f>
        <x:v>0</x:v>
      </x:c>
      <x:c r="BG575">
        <x:f>MAX(0,MIN(18,BG574+IF(C575="体质",E575,0)))</x:f>
        <x:v>0</x:v>
      </x:c>
      <x:c r="BH575">
        <x:f>MAX(0,MIN(18,BH574+IF(C575="敏捷",E575,0)))</x:f>
        <x:v>0</x:v>
      </x:c>
      <x:c r="BI575">
        <x:f>MAX(0,MIN(18,BI574+IF(C575="智力",E575,0)))</x:f>
        <x:v>0</x:v>
      </x:c>
      <x:c r="BJ575">
        <x:f>MAX(0,MIN(18,BJ574+IF(C575="意志",E575,0)))</x:f>
        <x:v>0</x:v>
      </x:c>
      <x:c r="BK575">
        <x:f>MAX(0,MIN(18,BK574+IF(C575="魅力",E575,0)))</x:f>
        <x:v>0</x:v>
      </x:c>
      <x:c r="BL575">
        <x:f>MAX(0,MIN(99,BL574+IF(C575="技能：非自然知识",E575,0)))</x:f>
        <x:v>0</x:v>
      </x:c>
      <x:c r="BM575">
        <x:f>MAX(0,MIN(CEILING((BF575+BG575)/2,1),BM574+IF(C575="体力",E575,0)))</x:f>
        <x:v>0</x:v>
      </x:c>
      <x:c r="BN575">
        <x:f>MAX(0,MIN(BJ575,BN574+IF(C575="毅力",E575,0)))</x:f>
        <x:v>0</x:v>
      </x:c>
      <x:c r="BO575">
        <x:f>MAX(0,MIN(99-BL575,BO574+IF(C575="理智",E575,0)))</x:f>
        <x:v>0</x:v>
      </x:c>
      <x:c r="BP575">
        <x:f>MAX(0,MIN(99,BP574+IF(C575="崩溃点",E575,0)))</x:f>
        <x:v>0</x:v>
      </x:c>
      <x:c r="BQ575">
        <x:f>MAX(0,MIN(BK575,IF(AND(H575=1,C575="重要关系1",LEFT('幕间与结算'!H482,8)="建立新的重要关系"),'幕间与结算'!E482+E575,BQ574+IF(C575="重要关系1",E575,0)+IF(AND(C575="魅力",E575&lt;0),E575,0))))</x:f>
        <x:v>0</x:v>
      </x:c>
      <x:c r="BR575">
        <x:f>MAX(0,MIN(BK575,IF(AND(H575=1,C575="重要关系2",LEFT('幕间与结算'!H482,8)="建立新的重要关系"),'幕间与结算'!E482+E575,BR574+IF(C575="重要关系2",E575,0)+IF(AND(C575="魅力",E575&lt;0),E575,0))))</x:f>
        <x:v>0</x:v>
      </x:c>
      <x:c r="BS575">
        <x:f>MAX(0,MIN(BK575,IF(AND(H575=1,C575="重要关系3",LEFT('幕间与结算'!H482,8)="建立新的重要关系"),'幕间与结算'!E482+E575,BS574+IF(C575="重要关系3",E575,0)+IF(AND(C575="魅力",E575&lt;0),E575,0))))</x:f>
        <x:v>0</x:v>
      </x:c>
      <x:c r="BT575">
        <x:f>MAX(0,MIN(BK575,IF(AND(H575=1,C575="重要关系4",LEFT('幕间与结算'!H482,8)="建立新的重要关系"),'幕间与结算'!E482+E575,BT574+IF(C575="重要关系4",E575,0)+IF(AND(C575="魅力",E575&lt;0),E575,0))))</x:f>
        <x:v>0</x:v>
      </x:c>
      <x:c r="BU575">
        <x:f>MAX(0,MIN(BK575,IF(AND(H575=1,C575="重要关系5",LEFT('幕间与结算'!H482,8)="建立新的重要关系"),'幕间与结算'!E482+E575,BU574+IF(C575="重要关系5",E575,0)+IF(AND(C575="魅力",E575&lt;0),E575,0))))</x:f>
        <x:v>0</x:v>
      </x:c>
      <x:c r="BV575">
        <x:f>MAX(0,MIN(BK575,IF(AND(H575=1,C575="重要关系6",LEFT('幕间与结算'!H482,8)="建立新的重要关系"),'幕间与结算'!E482+E575,BV574+IF(C575="重要关系6",E575,0)+IF(AND(C575="魅力",E575&lt;0),E575,0))))</x:f>
        <x:v>0</x:v>
      </x:c>
      <x:c r="BW575">
        <x:f>MAX(0,MIN(BK575,IF(AND(H575=1,C575="重要关系7",LEFT('幕间与结算'!H482,8)="建立新的重要关系"),'幕间与结算'!E482+E575,BW574+IF(C575="重要关系7",E575,0)+IF(AND(C575="魅力",E575&lt;0),E575,0))))</x:f>
        <x:v>0</x:v>
      </x:c>
    </x:row>
    <x:row r="576">
      <x:c r="A576" t="str">
        <x:f>IFERROR(TEXT(VALUE('幕间与结算'!A483),"00"),"")</x:f>
        <x:v>00</x:v>
      </x:c>
      <x:c r="B576">
        <x:f>'幕间与结算'!B483</x:f>
        <x:v>0</x:v>
      </x:c>
      <x:c r="C576">
        <x:f>'幕间与结算'!D483</x:f>
        <x:v>0</x:v>
      </x:c>
      <x:c r="D576">
        <x:f>'幕间与结算'!F483</x:f>
        <x:v>0</x:v>
      </x:c>
      <x:c r="E576">
        <x:f>IF(H576=1,MAX(-'幕间与结算'!E483,MIN(D576,IF(LEFT(C576,3)="技能：",99,IF(COUNTIF($L$2:$L$7,C576)&gt;0,18,999))-'幕间与结算'!E483)),0)</x:f>
        <x:v>0</x:v>
      </x:c>
      <x:c r="F576" t="str">
        <x:f>IF(C576=0,"",IF(G576=0,"记录不完整",IF(H576=0,"重复未计","已计入")))</x:f>
        <x:v/>
      </x:c>
      <x:c r="G576">
        <x:f>IF(AND(AND('幕间与结算'!A483&lt;&gt;"",'幕间与结算'!B483&lt;&gt;"",'幕间与结算'!I483&lt;&gt;"",OR(LEFT(C576,3)="技能：",COUNTIF($L$2:$L$19,C576)&gt;0),ISNUMBER('幕间与结算'!E483),ISNUMBER('幕间与结算'!F483),ISNUMBER('幕间与结算'!G483),'幕间与结算'!E483&gt;=0,'幕间与结算'!G483='幕间与结算'!E483+'幕间与结算'!F483),OR(B576&lt;&gt;"成长",AND(LEFT(C576,3)="技能：",C576&lt;&gt;"技能：非自然知识",'幕间与结算'!E483&gt;=1,'幕间与结算'!E483&lt;=99,'幕间与结算'!F483&gt;=0,'幕间与结算'!F483&lt;=4,'幕间与结算'!G483&lt;=99))),1,0)</x:f>
        <x:v>0</x:v>
      </x:c>
      <x:c r="H576">
        <x:f>IF(AND(G576=1,COUNTIFS($I$200:I576,I576,$G$200:G576,1)=1),1,0)</x:f>
        <x:v>0</x:v>
      </x:c>
      <x:c r="I576" t="str">
        <x:f>IF(G576=1,IF(B576="成长",A576&amp;"-成长-"&amp;C576,'幕间与结算'!I483),"")</x:f>
        <x:v/>
      </x:c>
      <x:c r="BF576">
        <x:f>MAX(0,MIN(18,BF575+IF(C576="力量",E576,0)))</x:f>
        <x:v>0</x:v>
      </x:c>
      <x:c r="BG576">
        <x:f>MAX(0,MIN(18,BG575+IF(C576="体质",E576,0)))</x:f>
        <x:v>0</x:v>
      </x:c>
      <x:c r="BH576">
        <x:f>MAX(0,MIN(18,BH575+IF(C576="敏捷",E576,0)))</x:f>
        <x:v>0</x:v>
      </x:c>
      <x:c r="BI576">
        <x:f>MAX(0,MIN(18,BI575+IF(C576="智力",E576,0)))</x:f>
        <x:v>0</x:v>
      </x:c>
      <x:c r="BJ576">
        <x:f>MAX(0,MIN(18,BJ575+IF(C576="意志",E576,0)))</x:f>
        <x:v>0</x:v>
      </x:c>
      <x:c r="BK576">
        <x:f>MAX(0,MIN(18,BK575+IF(C576="魅力",E576,0)))</x:f>
        <x:v>0</x:v>
      </x:c>
      <x:c r="BL576">
        <x:f>MAX(0,MIN(99,BL575+IF(C576="技能：非自然知识",E576,0)))</x:f>
        <x:v>0</x:v>
      </x:c>
      <x:c r="BM576">
        <x:f>MAX(0,MIN(CEILING((BF576+BG576)/2,1),BM575+IF(C576="体力",E576,0)))</x:f>
        <x:v>0</x:v>
      </x:c>
      <x:c r="BN576">
        <x:f>MAX(0,MIN(BJ576,BN575+IF(C576="毅力",E576,0)))</x:f>
        <x:v>0</x:v>
      </x:c>
      <x:c r="BO576">
        <x:f>MAX(0,MIN(99-BL576,BO575+IF(C576="理智",E576,0)))</x:f>
        <x:v>0</x:v>
      </x:c>
      <x:c r="BP576">
        <x:f>MAX(0,MIN(99,BP575+IF(C576="崩溃点",E576,0)))</x:f>
        <x:v>0</x:v>
      </x:c>
      <x:c r="BQ576">
        <x:f>MAX(0,MIN(BK576,IF(AND(H576=1,C576="重要关系1",LEFT('幕间与结算'!H483,8)="建立新的重要关系"),'幕间与结算'!E483+E576,BQ575+IF(C576="重要关系1",E576,0)+IF(AND(C576="魅力",E576&lt;0),E576,0))))</x:f>
        <x:v>0</x:v>
      </x:c>
      <x:c r="BR576">
        <x:f>MAX(0,MIN(BK576,IF(AND(H576=1,C576="重要关系2",LEFT('幕间与结算'!H483,8)="建立新的重要关系"),'幕间与结算'!E483+E576,BR575+IF(C576="重要关系2",E576,0)+IF(AND(C576="魅力",E576&lt;0),E576,0))))</x:f>
        <x:v>0</x:v>
      </x:c>
      <x:c r="BS576">
        <x:f>MAX(0,MIN(BK576,IF(AND(H576=1,C576="重要关系3",LEFT('幕间与结算'!H483,8)="建立新的重要关系"),'幕间与结算'!E483+E576,BS575+IF(C576="重要关系3",E576,0)+IF(AND(C576="魅力",E576&lt;0),E576,0))))</x:f>
        <x:v>0</x:v>
      </x:c>
      <x:c r="BT576">
        <x:f>MAX(0,MIN(BK576,IF(AND(H576=1,C576="重要关系4",LEFT('幕间与结算'!H483,8)="建立新的重要关系"),'幕间与结算'!E483+E576,BT575+IF(C576="重要关系4",E576,0)+IF(AND(C576="魅力",E576&lt;0),E576,0))))</x:f>
        <x:v>0</x:v>
      </x:c>
      <x:c r="BU576">
        <x:f>MAX(0,MIN(BK576,IF(AND(H576=1,C576="重要关系5",LEFT('幕间与结算'!H483,8)="建立新的重要关系"),'幕间与结算'!E483+E576,BU575+IF(C576="重要关系5",E576,0)+IF(AND(C576="魅力",E576&lt;0),E576,0))))</x:f>
        <x:v>0</x:v>
      </x:c>
      <x:c r="BV576">
        <x:f>MAX(0,MIN(BK576,IF(AND(H576=1,C576="重要关系6",LEFT('幕间与结算'!H483,8)="建立新的重要关系"),'幕间与结算'!E483+E576,BV575+IF(C576="重要关系6",E576,0)+IF(AND(C576="魅力",E576&lt;0),E576,0))))</x:f>
        <x:v>0</x:v>
      </x:c>
      <x:c r="BW576">
        <x:f>MAX(0,MIN(BK576,IF(AND(H576=1,C576="重要关系7",LEFT('幕间与结算'!H483,8)="建立新的重要关系"),'幕间与结算'!E483+E576,BW575+IF(C576="重要关系7",E576,0)+IF(AND(C576="魅力",E576&lt;0),E576,0))))</x:f>
        <x:v>0</x:v>
      </x:c>
    </x:row>
    <x:row r="577">
      <x:c r="A577" t="str">
        <x:f>IFERROR(TEXT(VALUE('幕间与结算'!A484),"00"),"")</x:f>
        <x:v>00</x:v>
      </x:c>
      <x:c r="B577">
        <x:f>'幕间与结算'!B484</x:f>
        <x:v>0</x:v>
      </x:c>
      <x:c r="C577">
        <x:f>'幕间与结算'!D484</x:f>
        <x:v>0</x:v>
      </x:c>
      <x:c r="D577">
        <x:f>'幕间与结算'!F484</x:f>
        <x:v>0</x:v>
      </x:c>
      <x:c r="E577">
        <x:f>IF(H577=1,MAX(-'幕间与结算'!E484,MIN(D577,IF(LEFT(C577,3)="技能：",99,IF(COUNTIF($L$2:$L$7,C577)&gt;0,18,999))-'幕间与结算'!E484)),0)</x:f>
        <x:v>0</x:v>
      </x:c>
      <x:c r="F577" t="str">
        <x:f>IF(C577=0,"",IF(G577=0,"记录不完整",IF(H577=0,"重复未计","已计入")))</x:f>
        <x:v/>
      </x:c>
      <x:c r="G577">
        <x:f>IF(AND(AND('幕间与结算'!A484&lt;&gt;"",'幕间与结算'!B484&lt;&gt;"",'幕间与结算'!I484&lt;&gt;"",OR(LEFT(C577,3)="技能：",COUNTIF($L$2:$L$19,C577)&gt;0),ISNUMBER('幕间与结算'!E484),ISNUMBER('幕间与结算'!F484),ISNUMBER('幕间与结算'!G484),'幕间与结算'!E484&gt;=0,'幕间与结算'!G484='幕间与结算'!E484+'幕间与结算'!F484),OR(B577&lt;&gt;"成长",AND(LEFT(C577,3)="技能：",C577&lt;&gt;"技能：非自然知识",'幕间与结算'!E484&gt;=1,'幕间与结算'!E484&lt;=99,'幕间与结算'!F484&gt;=0,'幕间与结算'!F484&lt;=4,'幕间与结算'!G484&lt;=99))),1,0)</x:f>
        <x:v>0</x:v>
      </x:c>
      <x:c r="H577">
        <x:f>IF(AND(G577=1,COUNTIFS($I$200:I577,I577,$G$200:G577,1)=1),1,0)</x:f>
        <x:v>0</x:v>
      </x:c>
      <x:c r="I577" t="str">
        <x:f>IF(G577=1,IF(B577="成长",A577&amp;"-成长-"&amp;C577,'幕间与结算'!I484),"")</x:f>
        <x:v/>
      </x:c>
      <x:c r="BF577">
        <x:f>MAX(0,MIN(18,BF576+IF(C577="力量",E577,0)))</x:f>
        <x:v>0</x:v>
      </x:c>
      <x:c r="BG577">
        <x:f>MAX(0,MIN(18,BG576+IF(C577="体质",E577,0)))</x:f>
        <x:v>0</x:v>
      </x:c>
      <x:c r="BH577">
        <x:f>MAX(0,MIN(18,BH576+IF(C577="敏捷",E577,0)))</x:f>
        <x:v>0</x:v>
      </x:c>
      <x:c r="BI577">
        <x:f>MAX(0,MIN(18,BI576+IF(C577="智力",E577,0)))</x:f>
        <x:v>0</x:v>
      </x:c>
      <x:c r="BJ577">
        <x:f>MAX(0,MIN(18,BJ576+IF(C577="意志",E577,0)))</x:f>
        <x:v>0</x:v>
      </x:c>
      <x:c r="BK577">
        <x:f>MAX(0,MIN(18,BK576+IF(C577="魅力",E577,0)))</x:f>
        <x:v>0</x:v>
      </x:c>
      <x:c r="BL577">
        <x:f>MAX(0,MIN(99,BL576+IF(C577="技能：非自然知识",E577,0)))</x:f>
        <x:v>0</x:v>
      </x:c>
      <x:c r="BM577">
        <x:f>MAX(0,MIN(CEILING((BF577+BG577)/2,1),BM576+IF(C577="体力",E577,0)))</x:f>
        <x:v>0</x:v>
      </x:c>
      <x:c r="BN577">
        <x:f>MAX(0,MIN(BJ577,BN576+IF(C577="毅力",E577,0)))</x:f>
        <x:v>0</x:v>
      </x:c>
      <x:c r="BO577">
        <x:f>MAX(0,MIN(99-BL577,BO576+IF(C577="理智",E577,0)))</x:f>
        <x:v>0</x:v>
      </x:c>
      <x:c r="BP577">
        <x:f>MAX(0,MIN(99,BP576+IF(C577="崩溃点",E577,0)))</x:f>
        <x:v>0</x:v>
      </x:c>
      <x:c r="BQ577">
        <x:f>MAX(0,MIN(BK577,IF(AND(H577=1,C577="重要关系1",LEFT('幕间与结算'!H484,8)="建立新的重要关系"),'幕间与结算'!E484+E577,BQ576+IF(C577="重要关系1",E577,0)+IF(AND(C577="魅力",E577&lt;0),E577,0))))</x:f>
        <x:v>0</x:v>
      </x:c>
      <x:c r="BR577">
        <x:f>MAX(0,MIN(BK577,IF(AND(H577=1,C577="重要关系2",LEFT('幕间与结算'!H484,8)="建立新的重要关系"),'幕间与结算'!E484+E577,BR576+IF(C577="重要关系2",E577,0)+IF(AND(C577="魅力",E577&lt;0),E577,0))))</x:f>
        <x:v>0</x:v>
      </x:c>
      <x:c r="BS577">
        <x:f>MAX(0,MIN(BK577,IF(AND(H577=1,C577="重要关系3",LEFT('幕间与结算'!H484,8)="建立新的重要关系"),'幕间与结算'!E484+E577,BS576+IF(C577="重要关系3",E577,0)+IF(AND(C577="魅力",E577&lt;0),E577,0))))</x:f>
        <x:v>0</x:v>
      </x:c>
      <x:c r="BT577">
        <x:f>MAX(0,MIN(BK577,IF(AND(H577=1,C577="重要关系4",LEFT('幕间与结算'!H484,8)="建立新的重要关系"),'幕间与结算'!E484+E577,BT576+IF(C577="重要关系4",E577,0)+IF(AND(C577="魅力",E577&lt;0),E577,0))))</x:f>
        <x:v>0</x:v>
      </x:c>
      <x:c r="BU577">
        <x:f>MAX(0,MIN(BK577,IF(AND(H577=1,C577="重要关系5",LEFT('幕间与结算'!H484,8)="建立新的重要关系"),'幕间与结算'!E484+E577,BU576+IF(C577="重要关系5",E577,0)+IF(AND(C577="魅力",E577&lt;0),E577,0))))</x:f>
        <x:v>0</x:v>
      </x:c>
      <x:c r="BV577">
        <x:f>MAX(0,MIN(BK577,IF(AND(H577=1,C577="重要关系6",LEFT('幕间与结算'!H484,8)="建立新的重要关系"),'幕间与结算'!E484+E577,BV576+IF(C577="重要关系6",E577,0)+IF(AND(C577="魅力",E577&lt;0),E577,0))))</x:f>
        <x:v>0</x:v>
      </x:c>
      <x:c r="BW577">
        <x:f>MAX(0,MIN(BK577,IF(AND(H577=1,C577="重要关系7",LEFT('幕间与结算'!H484,8)="建立新的重要关系"),'幕间与结算'!E484+E577,BW576+IF(C577="重要关系7",E577,0)+IF(AND(C577="魅力",E577&lt;0),E577,0))))</x:f>
        <x:v>0</x:v>
      </x:c>
    </x:row>
    <x:row r="578">
      <x:c r="A578" t="str">
        <x:f>IFERROR(TEXT(VALUE('幕间与结算'!A485),"00"),"")</x:f>
        <x:v>00</x:v>
      </x:c>
      <x:c r="B578">
        <x:f>'幕间与结算'!B485</x:f>
        <x:v>0</x:v>
      </x:c>
      <x:c r="C578">
        <x:f>'幕间与结算'!D485</x:f>
        <x:v>0</x:v>
      </x:c>
      <x:c r="D578">
        <x:f>'幕间与结算'!F485</x:f>
        <x:v>0</x:v>
      </x:c>
      <x:c r="E578">
        <x:f>IF(H578=1,MAX(-'幕间与结算'!E485,MIN(D578,IF(LEFT(C578,3)="技能：",99,IF(COUNTIF($L$2:$L$7,C578)&gt;0,18,999))-'幕间与结算'!E485)),0)</x:f>
        <x:v>0</x:v>
      </x:c>
      <x:c r="F578" t="str">
        <x:f>IF(C578=0,"",IF(G578=0,"记录不完整",IF(H578=0,"重复未计","已计入")))</x:f>
        <x:v/>
      </x:c>
      <x:c r="G578">
        <x:f>IF(AND(AND('幕间与结算'!A485&lt;&gt;"",'幕间与结算'!B485&lt;&gt;"",'幕间与结算'!I485&lt;&gt;"",OR(LEFT(C578,3)="技能：",COUNTIF($L$2:$L$19,C578)&gt;0),ISNUMBER('幕间与结算'!E485),ISNUMBER('幕间与结算'!F485),ISNUMBER('幕间与结算'!G485),'幕间与结算'!E485&gt;=0,'幕间与结算'!G485='幕间与结算'!E485+'幕间与结算'!F485),OR(B578&lt;&gt;"成长",AND(LEFT(C578,3)="技能：",C578&lt;&gt;"技能：非自然知识",'幕间与结算'!E485&gt;=1,'幕间与结算'!E485&lt;=99,'幕间与结算'!F485&gt;=0,'幕间与结算'!F485&lt;=4,'幕间与结算'!G485&lt;=99))),1,0)</x:f>
        <x:v>0</x:v>
      </x:c>
      <x:c r="H578">
        <x:f>IF(AND(G578=1,COUNTIFS($I$200:I578,I578,$G$200:G578,1)=1),1,0)</x:f>
        <x:v>0</x:v>
      </x:c>
      <x:c r="I578" t="str">
        <x:f>IF(G578=1,IF(B578="成长",A578&amp;"-成长-"&amp;C578,'幕间与结算'!I485),"")</x:f>
        <x:v/>
      </x:c>
      <x:c r="BF578">
        <x:f>MAX(0,MIN(18,BF577+IF(C578="力量",E578,0)))</x:f>
        <x:v>0</x:v>
      </x:c>
      <x:c r="BG578">
        <x:f>MAX(0,MIN(18,BG577+IF(C578="体质",E578,0)))</x:f>
        <x:v>0</x:v>
      </x:c>
      <x:c r="BH578">
        <x:f>MAX(0,MIN(18,BH577+IF(C578="敏捷",E578,0)))</x:f>
        <x:v>0</x:v>
      </x:c>
      <x:c r="BI578">
        <x:f>MAX(0,MIN(18,BI577+IF(C578="智力",E578,0)))</x:f>
        <x:v>0</x:v>
      </x:c>
      <x:c r="BJ578">
        <x:f>MAX(0,MIN(18,BJ577+IF(C578="意志",E578,0)))</x:f>
        <x:v>0</x:v>
      </x:c>
      <x:c r="BK578">
        <x:f>MAX(0,MIN(18,BK577+IF(C578="魅力",E578,0)))</x:f>
        <x:v>0</x:v>
      </x:c>
      <x:c r="BL578">
        <x:f>MAX(0,MIN(99,BL577+IF(C578="技能：非自然知识",E578,0)))</x:f>
        <x:v>0</x:v>
      </x:c>
      <x:c r="BM578">
        <x:f>MAX(0,MIN(CEILING((BF578+BG578)/2,1),BM577+IF(C578="体力",E578,0)))</x:f>
        <x:v>0</x:v>
      </x:c>
      <x:c r="BN578">
        <x:f>MAX(0,MIN(BJ578,BN577+IF(C578="毅力",E578,0)))</x:f>
        <x:v>0</x:v>
      </x:c>
      <x:c r="BO578">
        <x:f>MAX(0,MIN(99-BL578,BO577+IF(C578="理智",E578,0)))</x:f>
        <x:v>0</x:v>
      </x:c>
      <x:c r="BP578">
        <x:f>MAX(0,MIN(99,BP577+IF(C578="崩溃点",E578,0)))</x:f>
        <x:v>0</x:v>
      </x:c>
      <x:c r="BQ578">
        <x:f>MAX(0,MIN(BK578,IF(AND(H578=1,C578="重要关系1",LEFT('幕间与结算'!H485,8)="建立新的重要关系"),'幕间与结算'!E485+E578,BQ577+IF(C578="重要关系1",E578,0)+IF(AND(C578="魅力",E578&lt;0),E578,0))))</x:f>
        <x:v>0</x:v>
      </x:c>
      <x:c r="BR578">
        <x:f>MAX(0,MIN(BK578,IF(AND(H578=1,C578="重要关系2",LEFT('幕间与结算'!H485,8)="建立新的重要关系"),'幕间与结算'!E485+E578,BR577+IF(C578="重要关系2",E578,0)+IF(AND(C578="魅力",E578&lt;0),E578,0))))</x:f>
        <x:v>0</x:v>
      </x:c>
      <x:c r="BS578">
        <x:f>MAX(0,MIN(BK578,IF(AND(H578=1,C578="重要关系3",LEFT('幕间与结算'!H485,8)="建立新的重要关系"),'幕间与结算'!E485+E578,BS577+IF(C578="重要关系3",E578,0)+IF(AND(C578="魅力",E578&lt;0),E578,0))))</x:f>
        <x:v>0</x:v>
      </x:c>
      <x:c r="BT578">
        <x:f>MAX(0,MIN(BK578,IF(AND(H578=1,C578="重要关系4",LEFT('幕间与结算'!H485,8)="建立新的重要关系"),'幕间与结算'!E485+E578,BT577+IF(C578="重要关系4",E578,0)+IF(AND(C578="魅力",E578&lt;0),E578,0))))</x:f>
        <x:v>0</x:v>
      </x:c>
      <x:c r="BU578">
        <x:f>MAX(0,MIN(BK578,IF(AND(H578=1,C578="重要关系5",LEFT('幕间与结算'!H485,8)="建立新的重要关系"),'幕间与结算'!E485+E578,BU577+IF(C578="重要关系5",E578,0)+IF(AND(C578="魅力",E578&lt;0),E578,0))))</x:f>
        <x:v>0</x:v>
      </x:c>
      <x:c r="BV578">
        <x:f>MAX(0,MIN(BK578,IF(AND(H578=1,C578="重要关系6",LEFT('幕间与结算'!H485,8)="建立新的重要关系"),'幕间与结算'!E485+E578,BV577+IF(C578="重要关系6",E578,0)+IF(AND(C578="魅力",E578&lt;0),E578,0))))</x:f>
        <x:v>0</x:v>
      </x:c>
      <x:c r="BW578">
        <x:f>MAX(0,MIN(BK578,IF(AND(H578=1,C578="重要关系7",LEFT('幕间与结算'!H485,8)="建立新的重要关系"),'幕间与结算'!E485+E578,BW577+IF(C578="重要关系7",E578,0)+IF(AND(C578="魅力",E578&lt;0),E578,0))))</x:f>
        <x:v>0</x:v>
      </x:c>
    </x:row>
    <x:row r="579">
      <x:c r="A579" t="str">
        <x:f>IFERROR(TEXT(VALUE('幕间与结算'!A486),"00"),"")</x:f>
        <x:v>00</x:v>
      </x:c>
      <x:c r="B579">
        <x:f>'幕间与结算'!B486</x:f>
        <x:v>0</x:v>
      </x:c>
      <x:c r="C579">
        <x:f>'幕间与结算'!D486</x:f>
        <x:v>0</x:v>
      </x:c>
      <x:c r="D579">
        <x:f>'幕间与结算'!F486</x:f>
        <x:v>0</x:v>
      </x:c>
      <x:c r="E579">
        <x:f>IF(H579=1,MAX(-'幕间与结算'!E486,MIN(D579,IF(LEFT(C579,3)="技能：",99,IF(COUNTIF($L$2:$L$7,C579)&gt;0,18,999))-'幕间与结算'!E486)),0)</x:f>
        <x:v>0</x:v>
      </x:c>
      <x:c r="F579" t="str">
        <x:f>IF(C579=0,"",IF(G579=0,"记录不完整",IF(H579=0,"重复未计","已计入")))</x:f>
        <x:v/>
      </x:c>
      <x:c r="G579">
        <x:f>IF(AND(AND('幕间与结算'!A486&lt;&gt;"",'幕间与结算'!B486&lt;&gt;"",'幕间与结算'!I486&lt;&gt;"",OR(LEFT(C579,3)="技能：",COUNTIF($L$2:$L$19,C579)&gt;0),ISNUMBER('幕间与结算'!E486),ISNUMBER('幕间与结算'!F486),ISNUMBER('幕间与结算'!G486),'幕间与结算'!E486&gt;=0,'幕间与结算'!G486='幕间与结算'!E486+'幕间与结算'!F486),OR(B579&lt;&gt;"成长",AND(LEFT(C579,3)="技能：",C579&lt;&gt;"技能：非自然知识",'幕间与结算'!E486&gt;=1,'幕间与结算'!E486&lt;=99,'幕间与结算'!F486&gt;=0,'幕间与结算'!F486&lt;=4,'幕间与结算'!G486&lt;=99))),1,0)</x:f>
        <x:v>0</x:v>
      </x:c>
      <x:c r="H579">
        <x:f>IF(AND(G579=1,COUNTIFS($I$200:I579,I579,$G$200:G579,1)=1),1,0)</x:f>
        <x:v>0</x:v>
      </x:c>
      <x:c r="I579" t="str">
        <x:f>IF(G579=1,IF(B579="成长",A579&amp;"-成长-"&amp;C579,'幕间与结算'!I486),"")</x:f>
        <x:v/>
      </x:c>
      <x:c r="BF579">
        <x:f>MAX(0,MIN(18,BF578+IF(C579="力量",E579,0)))</x:f>
        <x:v>0</x:v>
      </x:c>
      <x:c r="BG579">
        <x:f>MAX(0,MIN(18,BG578+IF(C579="体质",E579,0)))</x:f>
        <x:v>0</x:v>
      </x:c>
      <x:c r="BH579">
        <x:f>MAX(0,MIN(18,BH578+IF(C579="敏捷",E579,0)))</x:f>
        <x:v>0</x:v>
      </x:c>
      <x:c r="BI579">
        <x:f>MAX(0,MIN(18,BI578+IF(C579="智力",E579,0)))</x:f>
        <x:v>0</x:v>
      </x:c>
      <x:c r="BJ579">
        <x:f>MAX(0,MIN(18,BJ578+IF(C579="意志",E579,0)))</x:f>
        <x:v>0</x:v>
      </x:c>
      <x:c r="BK579">
        <x:f>MAX(0,MIN(18,BK578+IF(C579="魅力",E579,0)))</x:f>
        <x:v>0</x:v>
      </x:c>
      <x:c r="BL579">
        <x:f>MAX(0,MIN(99,BL578+IF(C579="技能：非自然知识",E579,0)))</x:f>
        <x:v>0</x:v>
      </x:c>
      <x:c r="BM579">
        <x:f>MAX(0,MIN(CEILING((BF579+BG579)/2,1),BM578+IF(C579="体力",E579,0)))</x:f>
        <x:v>0</x:v>
      </x:c>
      <x:c r="BN579">
        <x:f>MAX(0,MIN(BJ579,BN578+IF(C579="毅力",E579,0)))</x:f>
        <x:v>0</x:v>
      </x:c>
      <x:c r="BO579">
        <x:f>MAX(0,MIN(99-BL579,BO578+IF(C579="理智",E579,0)))</x:f>
        <x:v>0</x:v>
      </x:c>
      <x:c r="BP579">
        <x:f>MAX(0,MIN(99,BP578+IF(C579="崩溃点",E579,0)))</x:f>
        <x:v>0</x:v>
      </x:c>
      <x:c r="BQ579">
        <x:f>MAX(0,MIN(BK579,IF(AND(H579=1,C579="重要关系1",LEFT('幕间与结算'!H486,8)="建立新的重要关系"),'幕间与结算'!E486+E579,BQ578+IF(C579="重要关系1",E579,0)+IF(AND(C579="魅力",E579&lt;0),E579,0))))</x:f>
        <x:v>0</x:v>
      </x:c>
      <x:c r="BR579">
        <x:f>MAX(0,MIN(BK579,IF(AND(H579=1,C579="重要关系2",LEFT('幕间与结算'!H486,8)="建立新的重要关系"),'幕间与结算'!E486+E579,BR578+IF(C579="重要关系2",E579,0)+IF(AND(C579="魅力",E579&lt;0),E579,0))))</x:f>
        <x:v>0</x:v>
      </x:c>
      <x:c r="BS579">
        <x:f>MAX(0,MIN(BK579,IF(AND(H579=1,C579="重要关系3",LEFT('幕间与结算'!H486,8)="建立新的重要关系"),'幕间与结算'!E486+E579,BS578+IF(C579="重要关系3",E579,0)+IF(AND(C579="魅力",E579&lt;0),E579,0))))</x:f>
        <x:v>0</x:v>
      </x:c>
      <x:c r="BT579">
        <x:f>MAX(0,MIN(BK579,IF(AND(H579=1,C579="重要关系4",LEFT('幕间与结算'!H486,8)="建立新的重要关系"),'幕间与结算'!E486+E579,BT578+IF(C579="重要关系4",E579,0)+IF(AND(C579="魅力",E579&lt;0),E579,0))))</x:f>
        <x:v>0</x:v>
      </x:c>
      <x:c r="BU579">
        <x:f>MAX(0,MIN(BK579,IF(AND(H579=1,C579="重要关系5",LEFT('幕间与结算'!H486,8)="建立新的重要关系"),'幕间与结算'!E486+E579,BU578+IF(C579="重要关系5",E579,0)+IF(AND(C579="魅力",E579&lt;0),E579,0))))</x:f>
        <x:v>0</x:v>
      </x:c>
      <x:c r="BV579">
        <x:f>MAX(0,MIN(BK579,IF(AND(H579=1,C579="重要关系6",LEFT('幕间与结算'!H486,8)="建立新的重要关系"),'幕间与结算'!E486+E579,BV578+IF(C579="重要关系6",E579,0)+IF(AND(C579="魅力",E579&lt;0),E579,0))))</x:f>
        <x:v>0</x:v>
      </x:c>
      <x:c r="BW579">
        <x:f>MAX(0,MIN(BK579,IF(AND(H579=1,C579="重要关系7",LEFT('幕间与结算'!H486,8)="建立新的重要关系"),'幕间与结算'!E486+E579,BW578+IF(C579="重要关系7",E579,0)+IF(AND(C579="魅力",E579&lt;0),E579,0))))</x:f>
        <x:v>0</x:v>
      </x:c>
    </x:row>
    <x:row r="580">
      <x:c r="A580" t="str">
        <x:f>IFERROR(TEXT(VALUE('幕间与结算'!A487),"00"),"")</x:f>
        <x:v>00</x:v>
      </x:c>
      <x:c r="B580">
        <x:f>'幕间与结算'!B487</x:f>
        <x:v>0</x:v>
      </x:c>
      <x:c r="C580">
        <x:f>'幕间与结算'!D487</x:f>
        <x:v>0</x:v>
      </x:c>
      <x:c r="D580">
        <x:f>'幕间与结算'!F487</x:f>
        <x:v>0</x:v>
      </x:c>
      <x:c r="E580">
        <x:f>IF(H580=1,MAX(-'幕间与结算'!E487,MIN(D580,IF(LEFT(C580,3)="技能：",99,IF(COUNTIF($L$2:$L$7,C580)&gt;0,18,999))-'幕间与结算'!E487)),0)</x:f>
        <x:v>0</x:v>
      </x:c>
      <x:c r="F580" t="str">
        <x:f>IF(C580=0,"",IF(G580=0,"记录不完整",IF(H580=0,"重复未计","已计入")))</x:f>
        <x:v/>
      </x:c>
      <x:c r="G580">
        <x:f>IF(AND(AND('幕间与结算'!A487&lt;&gt;"",'幕间与结算'!B487&lt;&gt;"",'幕间与结算'!I487&lt;&gt;"",OR(LEFT(C580,3)="技能：",COUNTIF($L$2:$L$19,C580)&gt;0),ISNUMBER('幕间与结算'!E487),ISNUMBER('幕间与结算'!F487),ISNUMBER('幕间与结算'!G487),'幕间与结算'!E487&gt;=0,'幕间与结算'!G487='幕间与结算'!E487+'幕间与结算'!F487),OR(B580&lt;&gt;"成长",AND(LEFT(C580,3)="技能：",C580&lt;&gt;"技能：非自然知识",'幕间与结算'!E487&gt;=1,'幕间与结算'!E487&lt;=99,'幕间与结算'!F487&gt;=0,'幕间与结算'!F487&lt;=4,'幕间与结算'!G487&lt;=99))),1,0)</x:f>
        <x:v>0</x:v>
      </x:c>
      <x:c r="H580">
        <x:f>IF(AND(G580=1,COUNTIFS($I$200:I580,I580,$G$200:G580,1)=1),1,0)</x:f>
        <x:v>0</x:v>
      </x:c>
      <x:c r="I580" t="str">
        <x:f>IF(G580=1,IF(B580="成长",A580&amp;"-成长-"&amp;C580,'幕间与结算'!I487),"")</x:f>
        <x:v/>
      </x:c>
      <x:c r="BF580">
        <x:f>MAX(0,MIN(18,BF579+IF(C580="力量",E580,0)))</x:f>
        <x:v>0</x:v>
      </x:c>
      <x:c r="BG580">
        <x:f>MAX(0,MIN(18,BG579+IF(C580="体质",E580,0)))</x:f>
        <x:v>0</x:v>
      </x:c>
      <x:c r="BH580">
        <x:f>MAX(0,MIN(18,BH579+IF(C580="敏捷",E580,0)))</x:f>
        <x:v>0</x:v>
      </x:c>
      <x:c r="BI580">
        <x:f>MAX(0,MIN(18,BI579+IF(C580="智力",E580,0)))</x:f>
        <x:v>0</x:v>
      </x:c>
      <x:c r="BJ580">
        <x:f>MAX(0,MIN(18,BJ579+IF(C580="意志",E580,0)))</x:f>
        <x:v>0</x:v>
      </x:c>
      <x:c r="BK580">
        <x:f>MAX(0,MIN(18,BK579+IF(C580="魅力",E580,0)))</x:f>
        <x:v>0</x:v>
      </x:c>
      <x:c r="BL580">
        <x:f>MAX(0,MIN(99,BL579+IF(C580="技能：非自然知识",E580,0)))</x:f>
        <x:v>0</x:v>
      </x:c>
      <x:c r="BM580">
        <x:f>MAX(0,MIN(CEILING((BF580+BG580)/2,1),BM579+IF(C580="体力",E580,0)))</x:f>
        <x:v>0</x:v>
      </x:c>
      <x:c r="BN580">
        <x:f>MAX(0,MIN(BJ580,BN579+IF(C580="毅力",E580,0)))</x:f>
        <x:v>0</x:v>
      </x:c>
      <x:c r="BO580">
        <x:f>MAX(0,MIN(99-BL580,BO579+IF(C580="理智",E580,0)))</x:f>
        <x:v>0</x:v>
      </x:c>
      <x:c r="BP580">
        <x:f>MAX(0,MIN(99,BP579+IF(C580="崩溃点",E580,0)))</x:f>
        <x:v>0</x:v>
      </x:c>
      <x:c r="BQ580">
        <x:f>MAX(0,MIN(BK580,IF(AND(H580=1,C580="重要关系1",LEFT('幕间与结算'!H487,8)="建立新的重要关系"),'幕间与结算'!E487+E580,BQ579+IF(C580="重要关系1",E580,0)+IF(AND(C580="魅力",E580&lt;0),E580,0))))</x:f>
        <x:v>0</x:v>
      </x:c>
      <x:c r="BR580">
        <x:f>MAX(0,MIN(BK580,IF(AND(H580=1,C580="重要关系2",LEFT('幕间与结算'!H487,8)="建立新的重要关系"),'幕间与结算'!E487+E580,BR579+IF(C580="重要关系2",E580,0)+IF(AND(C580="魅力",E580&lt;0),E580,0))))</x:f>
        <x:v>0</x:v>
      </x:c>
      <x:c r="BS580">
        <x:f>MAX(0,MIN(BK580,IF(AND(H580=1,C580="重要关系3",LEFT('幕间与结算'!H487,8)="建立新的重要关系"),'幕间与结算'!E487+E580,BS579+IF(C580="重要关系3",E580,0)+IF(AND(C580="魅力",E580&lt;0),E580,0))))</x:f>
        <x:v>0</x:v>
      </x:c>
      <x:c r="BT580">
        <x:f>MAX(0,MIN(BK580,IF(AND(H580=1,C580="重要关系4",LEFT('幕间与结算'!H487,8)="建立新的重要关系"),'幕间与结算'!E487+E580,BT579+IF(C580="重要关系4",E580,0)+IF(AND(C580="魅力",E580&lt;0),E580,0))))</x:f>
        <x:v>0</x:v>
      </x:c>
      <x:c r="BU580">
        <x:f>MAX(0,MIN(BK580,IF(AND(H580=1,C580="重要关系5",LEFT('幕间与结算'!H487,8)="建立新的重要关系"),'幕间与结算'!E487+E580,BU579+IF(C580="重要关系5",E580,0)+IF(AND(C580="魅力",E580&lt;0),E580,0))))</x:f>
        <x:v>0</x:v>
      </x:c>
      <x:c r="BV580">
        <x:f>MAX(0,MIN(BK580,IF(AND(H580=1,C580="重要关系6",LEFT('幕间与结算'!H487,8)="建立新的重要关系"),'幕间与结算'!E487+E580,BV579+IF(C580="重要关系6",E580,0)+IF(AND(C580="魅力",E580&lt;0),E580,0))))</x:f>
        <x:v>0</x:v>
      </x:c>
      <x:c r="BW580">
        <x:f>MAX(0,MIN(BK580,IF(AND(H580=1,C580="重要关系7",LEFT('幕间与结算'!H487,8)="建立新的重要关系"),'幕间与结算'!E487+E580,BW579+IF(C580="重要关系7",E580,0)+IF(AND(C580="魅力",E580&lt;0),E580,0))))</x:f>
        <x:v>0</x:v>
      </x:c>
    </x:row>
    <x:row r="581">
      <x:c r="A581" t="str">
        <x:f>IFERROR(TEXT(VALUE('幕间与结算'!A488),"00"),"")</x:f>
        <x:v>00</x:v>
      </x:c>
      <x:c r="B581">
        <x:f>'幕间与结算'!B488</x:f>
        <x:v>0</x:v>
      </x:c>
      <x:c r="C581">
        <x:f>'幕间与结算'!D488</x:f>
        <x:v>0</x:v>
      </x:c>
      <x:c r="D581">
        <x:f>'幕间与结算'!F488</x:f>
        <x:v>0</x:v>
      </x:c>
      <x:c r="E581">
        <x:f>IF(H581=1,MAX(-'幕间与结算'!E488,MIN(D581,IF(LEFT(C581,3)="技能：",99,IF(COUNTIF($L$2:$L$7,C581)&gt;0,18,999))-'幕间与结算'!E488)),0)</x:f>
        <x:v>0</x:v>
      </x:c>
      <x:c r="F581" t="str">
        <x:f>IF(C581=0,"",IF(G581=0,"记录不完整",IF(H581=0,"重复未计","已计入")))</x:f>
        <x:v/>
      </x:c>
      <x:c r="G581">
        <x:f>IF(AND(AND('幕间与结算'!A488&lt;&gt;"",'幕间与结算'!B488&lt;&gt;"",'幕间与结算'!I488&lt;&gt;"",OR(LEFT(C581,3)="技能：",COUNTIF($L$2:$L$19,C581)&gt;0),ISNUMBER('幕间与结算'!E488),ISNUMBER('幕间与结算'!F488),ISNUMBER('幕间与结算'!G488),'幕间与结算'!E488&gt;=0,'幕间与结算'!G488='幕间与结算'!E488+'幕间与结算'!F488),OR(B581&lt;&gt;"成长",AND(LEFT(C581,3)="技能：",C581&lt;&gt;"技能：非自然知识",'幕间与结算'!E488&gt;=1,'幕间与结算'!E488&lt;=99,'幕间与结算'!F488&gt;=0,'幕间与结算'!F488&lt;=4,'幕间与结算'!G488&lt;=99))),1,0)</x:f>
        <x:v>0</x:v>
      </x:c>
      <x:c r="H581">
        <x:f>IF(AND(G581=1,COUNTIFS($I$200:I581,I581,$G$200:G581,1)=1),1,0)</x:f>
        <x:v>0</x:v>
      </x:c>
      <x:c r="I581" t="str">
        <x:f>IF(G581=1,IF(B581="成长",A581&amp;"-成长-"&amp;C581,'幕间与结算'!I488),"")</x:f>
        <x:v/>
      </x:c>
      <x:c r="BF581">
        <x:f>MAX(0,MIN(18,BF580+IF(C581="力量",E581,0)))</x:f>
        <x:v>0</x:v>
      </x:c>
      <x:c r="BG581">
        <x:f>MAX(0,MIN(18,BG580+IF(C581="体质",E581,0)))</x:f>
        <x:v>0</x:v>
      </x:c>
      <x:c r="BH581">
        <x:f>MAX(0,MIN(18,BH580+IF(C581="敏捷",E581,0)))</x:f>
        <x:v>0</x:v>
      </x:c>
      <x:c r="BI581">
        <x:f>MAX(0,MIN(18,BI580+IF(C581="智力",E581,0)))</x:f>
        <x:v>0</x:v>
      </x:c>
      <x:c r="BJ581">
        <x:f>MAX(0,MIN(18,BJ580+IF(C581="意志",E581,0)))</x:f>
        <x:v>0</x:v>
      </x:c>
      <x:c r="BK581">
        <x:f>MAX(0,MIN(18,BK580+IF(C581="魅力",E581,0)))</x:f>
        <x:v>0</x:v>
      </x:c>
      <x:c r="BL581">
        <x:f>MAX(0,MIN(99,BL580+IF(C581="技能：非自然知识",E581,0)))</x:f>
        <x:v>0</x:v>
      </x:c>
      <x:c r="BM581">
        <x:f>MAX(0,MIN(CEILING((BF581+BG581)/2,1),BM580+IF(C581="体力",E581,0)))</x:f>
        <x:v>0</x:v>
      </x:c>
      <x:c r="BN581">
        <x:f>MAX(0,MIN(BJ581,BN580+IF(C581="毅力",E581,0)))</x:f>
        <x:v>0</x:v>
      </x:c>
      <x:c r="BO581">
        <x:f>MAX(0,MIN(99-BL581,BO580+IF(C581="理智",E581,0)))</x:f>
        <x:v>0</x:v>
      </x:c>
      <x:c r="BP581">
        <x:f>MAX(0,MIN(99,BP580+IF(C581="崩溃点",E581,0)))</x:f>
        <x:v>0</x:v>
      </x:c>
      <x:c r="BQ581">
        <x:f>MAX(0,MIN(BK581,IF(AND(H581=1,C581="重要关系1",LEFT('幕间与结算'!H488,8)="建立新的重要关系"),'幕间与结算'!E488+E581,BQ580+IF(C581="重要关系1",E581,0)+IF(AND(C581="魅力",E581&lt;0),E581,0))))</x:f>
        <x:v>0</x:v>
      </x:c>
      <x:c r="BR581">
        <x:f>MAX(0,MIN(BK581,IF(AND(H581=1,C581="重要关系2",LEFT('幕间与结算'!H488,8)="建立新的重要关系"),'幕间与结算'!E488+E581,BR580+IF(C581="重要关系2",E581,0)+IF(AND(C581="魅力",E581&lt;0),E581,0))))</x:f>
        <x:v>0</x:v>
      </x:c>
      <x:c r="BS581">
        <x:f>MAX(0,MIN(BK581,IF(AND(H581=1,C581="重要关系3",LEFT('幕间与结算'!H488,8)="建立新的重要关系"),'幕间与结算'!E488+E581,BS580+IF(C581="重要关系3",E581,0)+IF(AND(C581="魅力",E581&lt;0),E581,0))))</x:f>
        <x:v>0</x:v>
      </x:c>
      <x:c r="BT581">
        <x:f>MAX(0,MIN(BK581,IF(AND(H581=1,C581="重要关系4",LEFT('幕间与结算'!H488,8)="建立新的重要关系"),'幕间与结算'!E488+E581,BT580+IF(C581="重要关系4",E581,0)+IF(AND(C581="魅力",E581&lt;0),E581,0))))</x:f>
        <x:v>0</x:v>
      </x:c>
      <x:c r="BU581">
        <x:f>MAX(0,MIN(BK581,IF(AND(H581=1,C581="重要关系5",LEFT('幕间与结算'!H488,8)="建立新的重要关系"),'幕间与结算'!E488+E581,BU580+IF(C581="重要关系5",E581,0)+IF(AND(C581="魅力",E581&lt;0),E581,0))))</x:f>
        <x:v>0</x:v>
      </x:c>
      <x:c r="BV581">
        <x:f>MAX(0,MIN(BK581,IF(AND(H581=1,C581="重要关系6",LEFT('幕间与结算'!H488,8)="建立新的重要关系"),'幕间与结算'!E488+E581,BV580+IF(C581="重要关系6",E581,0)+IF(AND(C581="魅力",E581&lt;0),E581,0))))</x:f>
        <x:v>0</x:v>
      </x:c>
      <x:c r="BW581">
        <x:f>MAX(0,MIN(BK581,IF(AND(H581=1,C581="重要关系7",LEFT('幕间与结算'!H488,8)="建立新的重要关系"),'幕间与结算'!E488+E581,BW580+IF(C581="重要关系7",E581,0)+IF(AND(C581="魅力",E581&lt;0),E581,0))))</x:f>
        <x:v>0</x:v>
      </x:c>
    </x:row>
    <x:row r="582">
      <x:c r="A582" t="str">
        <x:f>IFERROR(TEXT(VALUE('幕间与结算'!A489),"00"),"")</x:f>
        <x:v>00</x:v>
      </x:c>
      <x:c r="B582">
        <x:f>'幕间与结算'!B489</x:f>
        <x:v>0</x:v>
      </x:c>
      <x:c r="C582">
        <x:f>'幕间与结算'!D489</x:f>
        <x:v>0</x:v>
      </x:c>
      <x:c r="D582">
        <x:f>'幕间与结算'!F489</x:f>
        <x:v>0</x:v>
      </x:c>
      <x:c r="E582">
        <x:f>IF(H582=1,MAX(-'幕间与结算'!E489,MIN(D582,IF(LEFT(C582,3)="技能：",99,IF(COUNTIF($L$2:$L$7,C582)&gt;0,18,999))-'幕间与结算'!E489)),0)</x:f>
        <x:v>0</x:v>
      </x:c>
      <x:c r="F582" t="str">
        <x:f>IF(C582=0,"",IF(G582=0,"记录不完整",IF(H582=0,"重复未计","已计入")))</x:f>
        <x:v/>
      </x:c>
      <x:c r="G582">
        <x:f>IF(AND(AND('幕间与结算'!A489&lt;&gt;"",'幕间与结算'!B489&lt;&gt;"",'幕间与结算'!I489&lt;&gt;"",OR(LEFT(C582,3)="技能：",COUNTIF($L$2:$L$19,C582)&gt;0),ISNUMBER('幕间与结算'!E489),ISNUMBER('幕间与结算'!F489),ISNUMBER('幕间与结算'!G489),'幕间与结算'!E489&gt;=0,'幕间与结算'!G489='幕间与结算'!E489+'幕间与结算'!F489),OR(B582&lt;&gt;"成长",AND(LEFT(C582,3)="技能：",C582&lt;&gt;"技能：非自然知识",'幕间与结算'!E489&gt;=1,'幕间与结算'!E489&lt;=99,'幕间与结算'!F489&gt;=0,'幕间与结算'!F489&lt;=4,'幕间与结算'!G489&lt;=99))),1,0)</x:f>
        <x:v>0</x:v>
      </x:c>
      <x:c r="H582">
        <x:f>IF(AND(G582=1,COUNTIFS($I$200:I582,I582,$G$200:G582,1)=1),1,0)</x:f>
        <x:v>0</x:v>
      </x:c>
      <x:c r="I582" t="str">
        <x:f>IF(G582=1,IF(B582="成长",A582&amp;"-成长-"&amp;C582,'幕间与结算'!I489),"")</x:f>
        <x:v/>
      </x:c>
      <x:c r="BF582">
        <x:f>MAX(0,MIN(18,BF581+IF(C582="力量",E582,0)))</x:f>
        <x:v>0</x:v>
      </x:c>
      <x:c r="BG582">
        <x:f>MAX(0,MIN(18,BG581+IF(C582="体质",E582,0)))</x:f>
        <x:v>0</x:v>
      </x:c>
      <x:c r="BH582">
        <x:f>MAX(0,MIN(18,BH581+IF(C582="敏捷",E582,0)))</x:f>
        <x:v>0</x:v>
      </x:c>
      <x:c r="BI582">
        <x:f>MAX(0,MIN(18,BI581+IF(C582="智力",E582,0)))</x:f>
        <x:v>0</x:v>
      </x:c>
      <x:c r="BJ582">
        <x:f>MAX(0,MIN(18,BJ581+IF(C582="意志",E582,0)))</x:f>
        <x:v>0</x:v>
      </x:c>
      <x:c r="BK582">
        <x:f>MAX(0,MIN(18,BK581+IF(C582="魅力",E582,0)))</x:f>
        <x:v>0</x:v>
      </x:c>
      <x:c r="BL582">
        <x:f>MAX(0,MIN(99,BL581+IF(C582="技能：非自然知识",E582,0)))</x:f>
        <x:v>0</x:v>
      </x:c>
      <x:c r="BM582">
        <x:f>MAX(0,MIN(CEILING((BF582+BG582)/2,1),BM581+IF(C582="体力",E582,0)))</x:f>
        <x:v>0</x:v>
      </x:c>
      <x:c r="BN582">
        <x:f>MAX(0,MIN(BJ582,BN581+IF(C582="毅力",E582,0)))</x:f>
        <x:v>0</x:v>
      </x:c>
      <x:c r="BO582">
        <x:f>MAX(0,MIN(99-BL582,BO581+IF(C582="理智",E582,0)))</x:f>
        <x:v>0</x:v>
      </x:c>
      <x:c r="BP582">
        <x:f>MAX(0,MIN(99,BP581+IF(C582="崩溃点",E582,0)))</x:f>
        <x:v>0</x:v>
      </x:c>
      <x:c r="BQ582">
        <x:f>MAX(0,MIN(BK582,IF(AND(H582=1,C582="重要关系1",LEFT('幕间与结算'!H489,8)="建立新的重要关系"),'幕间与结算'!E489+E582,BQ581+IF(C582="重要关系1",E582,0)+IF(AND(C582="魅力",E582&lt;0),E582,0))))</x:f>
        <x:v>0</x:v>
      </x:c>
      <x:c r="BR582">
        <x:f>MAX(0,MIN(BK582,IF(AND(H582=1,C582="重要关系2",LEFT('幕间与结算'!H489,8)="建立新的重要关系"),'幕间与结算'!E489+E582,BR581+IF(C582="重要关系2",E582,0)+IF(AND(C582="魅力",E582&lt;0),E582,0))))</x:f>
        <x:v>0</x:v>
      </x:c>
      <x:c r="BS582">
        <x:f>MAX(0,MIN(BK582,IF(AND(H582=1,C582="重要关系3",LEFT('幕间与结算'!H489,8)="建立新的重要关系"),'幕间与结算'!E489+E582,BS581+IF(C582="重要关系3",E582,0)+IF(AND(C582="魅力",E582&lt;0),E582,0))))</x:f>
        <x:v>0</x:v>
      </x:c>
      <x:c r="BT582">
        <x:f>MAX(0,MIN(BK582,IF(AND(H582=1,C582="重要关系4",LEFT('幕间与结算'!H489,8)="建立新的重要关系"),'幕间与结算'!E489+E582,BT581+IF(C582="重要关系4",E582,0)+IF(AND(C582="魅力",E582&lt;0),E582,0))))</x:f>
        <x:v>0</x:v>
      </x:c>
      <x:c r="BU582">
        <x:f>MAX(0,MIN(BK582,IF(AND(H582=1,C582="重要关系5",LEFT('幕间与结算'!H489,8)="建立新的重要关系"),'幕间与结算'!E489+E582,BU581+IF(C582="重要关系5",E582,0)+IF(AND(C582="魅力",E582&lt;0),E582,0))))</x:f>
        <x:v>0</x:v>
      </x:c>
      <x:c r="BV582">
        <x:f>MAX(0,MIN(BK582,IF(AND(H582=1,C582="重要关系6",LEFT('幕间与结算'!H489,8)="建立新的重要关系"),'幕间与结算'!E489+E582,BV581+IF(C582="重要关系6",E582,0)+IF(AND(C582="魅力",E582&lt;0),E582,0))))</x:f>
        <x:v>0</x:v>
      </x:c>
      <x:c r="BW582">
        <x:f>MAX(0,MIN(BK582,IF(AND(H582=1,C582="重要关系7",LEFT('幕间与结算'!H489,8)="建立新的重要关系"),'幕间与结算'!E489+E582,BW581+IF(C582="重要关系7",E582,0)+IF(AND(C582="魅力",E582&lt;0),E582,0))))</x:f>
        <x:v>0</x:v>
      </x:c>
    </x:row>
    <x:row r="583">
      <x:c r="A583" t="str">
        <x:f>IFERROR(TEXT(VALUE('幕间与结算'!A490),"00"),"")</x:f>
        <x:v>00</x:v>
      </x:c>
      <x:c r="B583">
        <x:f>'幕间与结算'!B490</x:f>
        <x:v>0</x:v>
      </x:c>
      <x:c r="C583">
        <x:f>'幕间与结算'!D490</x:f>
        <x:v>0</x:v>
      </x:c>
      <x:c r="D583">
        <x:f>'幕间与结算'!F490</x:f>
        <x:v>0</x:v>
      </x:c>
      <x:c r="E583">
        <x:f>IF(H583=1,MAX(-'幕间与结算'!E490,MIN(D583,IF(LEFT(C583,3)="技能：",99,IF(COUNTIF($L$2:$L$7,C583)&gt;0,18,999))-'幕间与结算'!E490)),0)</x:f>
        <x:v>0</x:v>
      </x:c>
      <x:c r="F583" t="str">
        <x:f>IF(C583=0,"",IF(G583=0,"记录不完整",IF(H583=0,"重复未计","已计入")))</x:f>
        <x:v/>
      </x:c>
      <x:c r="G583">
        <x:f>IF(AND(AND('幕间与结算'!A490&lt;&gt;"",'幕间与结算'!B490&lt;&gt;"",'幕间与结算'!I490&lt;&gt;"",OR(LEFT(C583,3)="技能：",COUNTIF($L$2:$L$19,C583)&gt;0),ISNUMBER('幕间与结算'!E490),ISNUMBER('幕间与结算'!F490),ISNUMBER('幕间与结算'!G490),'幕间与结算'!E490&gt;=0,'幕间与结算'!G490='幕间与结算'!E490+'幕间与结算'!F490),OR(B583&lt;&gt;"成长",AND(LEFT(C583,3)="技能：",C583&lt;&gt;"技能：非自然知识",'幕间与结算'!E490&gt;=1,'幕间与结算'!E490&lt;=99,'幕间与结算'!F490&gt;=0,'幕间与结算'!F490&lt;=4,'幕间与结算'!G490&lt;=99))),1,0)</x:f>
        <x:v>0</x:v>
      </x:c>
      <x:c r="H583">
        <x:f>IF(AND(G583=1,COUNTIFS($I$200:I583,I583,$G$200:G583,1)=1),1,0)</x:f>
        <x:v>0</x:v>
      </x:c>
      <x:c r="I583" t="str">
        <x:f>IF(G583=1,IF(B583="成长",A583&amp;"-成长-"&amp;C583,'幕间与结算'!I490),"")</x:f>
        <x:v/>
      </x:c>
      <x:c r="BF583">
        <x:f>MAX(0,MIN(18,BF582+IF(C583="力量",E583,0)))</x:f>
        <x:v>0</x:v>
      </x:c>
      <x:c r="BG583">
        <x:f>MAX(0,MIN(18,BG582+IF(C583="体质",E583,0)))</x:f>
        <x:v>0</x:v>
      </x:c>
      <x:c r="BH583">
        <x:f>MAX(0,MIN(18,BH582+IF(C583="敏捷",E583,0)))</x:f>
        <x:v>0</x:v>
      </x:c>
      <x:c r="BI583">
        <x:f>MAX(0,MIN(18,BI582+IF(C583="智力",E583,0)))</x:f>
        <x:v>0</x:v>
      </x:c>
      <x:c r="BJ583">
        <x:f>MAX(0,MIN(18,BJ582+IF(C583="意志",E583,0)))</x:f>
        <x:v>0</x:v>
      </x:c>
      <x:c r="BK583">
        <x:f>MAX(0,MIN(18,BK582+IF(C583="魅力",E583,0)))</x:f>
        <x:v>0</x:v>
      </x:c>
      <x:c r="BL583">
        <x:f>MAX(0,MIN(99,BL582+IF(C583="技能：非自然知识",E583,0)))</x:f>
        <x:v>0</x:v>
      </x:c>
      <x:c r="BM583">
        <x:f>MAX(0,MIN(CEILING((BF583+BG583)/2,1),BM582+IF(C583="体力",E583,0)))</x:f>
        <x:v>0</x:v>
      </x:c>
      <x:c r="BN583">
        <x:f>MAX(0,MIN(BJ583,BN582+IF(C583="毅力",E583,0)))</x:f>
        <x:v>0</x:v>
      </x:c>
      <x:c r="BO583">
        <x:f>MAX(0,MIN(99-BL583,BO582+IF(C583="理智",E583,0)))</x:f>
        <x:v>0</x:v>
      </x:c>
      <x:c r="BP583">
        <x:f>MAX(0,MIN(99,BP582+IF(C583="崩溃点",E583,0)))</x:f>
        <x:v>0</x:v>
      </x:c>
      <x:c r="BQ583">
        <x:f>MAX(0,MIN(BK583,IF(AND(H583=1,C583="重要关系1",LEFT('幕间与结算'!H490,8)="建立新的重要关系"),'幕间与结算'!E490+E583,BQ582+IF(C583="重要关系1",E583,0)+IF(AND(C583="魅力",E583&lt;0),E583,0))))</x:f>
        <x:v>0</x:v>
      </x:c>
      <x:c r="BR583">
        <x:f>MAX(0,MIN(BK583,IF(AND(H583=1,C583="重要关系2",LEFT('幕间与结算'!H490,8)="建立新的重要关系"),'幕间与结算'!E490+E583,BR582+IF(C583="重要关系2",E583,0)+IF(AND(C583="魅力",E583&lt;0),E583,0))))</x:f>
        <x:v>0</x:v>
      </x:c>
      <x:c r="BS583">
        <x:f>MAX(0,MIN(BK583,IF(AND(H583=1,C583="重要关系3",LEFT('幕间与结算'!H490,8)="建立新的重要关系"),'幕间与结算'!E490+E583,BS582+IF(C583="重要关系3",E583,0)+IF(AND(C583="魅力",E583&lt;0),E583,0))))</x:f>
        <x:v>0</x:v>
      </x:c>
      <x:c r="BT583">
        <x:f>MAX(0,MIN(BK583,IF(AND(H583=1,C583="重要关系4",LEFT('幕间与结算'!H490,8)="建立新的重要关系"),'幕间与结算'!E490+E583,BT582+IF(C583="重要关系4",E583,0)+IF(AND(C583="魅力",E583&lt;0),E583,0))))</x:f>
        <x:v>0</x:v>
      </x:c>
      <x:c r="BU583">
        <x:f>MAX(0,MIN(BK583,IF(AND(H583=1,C583="重要关系5",LEFT('幕间与结算'!H490,8)="建立新的重要关系"),'幕间与结算'!E490+E583,BU582+IF(C583="重要关系5",E583,0)+IF(AND(C583="魅力",E583&lt;0),E583,0))))</x:f>
        <x:v>0</x:v>
      </x:c>
      <x:c r="BV583">
        <x:f>MAX(0,MIN(BK583,IF(AND(H583=1,C583="重要关系6",LEFT('幕间与结算'!H490,8)="建立新的重要关系"),'幕间与结算'!E490+E583,BV582+IF(C583="重要关系6",E583,0)+IF(AND(C583="魅力",E583&lt;0),E583,0))))</x:f>
        <x:v>0</x:v>
      </x:c>
      <x:c r="BW583">
        <x:f>MAX(0,MIN(BK583,IF(AND(H583=1,C583="重要关系7",LEFT('幕间与结算'!H490,8)="建立新的重要关系"),'幕间与结算'!E490+E583,BW582+IF(C583="重要关系7",E583,0)+IF(AND(C583="魅力",E583&lt;0),E583,0))))</x:f>
        <x:v>0</x:v>
      </x:c>
    </x:row>
    <x:row r="584">
      <x:c r="A584" t="str">
        <x:f>IFERROR(TEXT(VALUE('幕间与结算'!A491),"00"),"")</x:f>
        <x:v>00</x:v>
      </x:c>
      <x:c r="B584">
        <x:f>'幕间与结算'!B491</x:f>
        <x:v>0</x:v>
      </x:c>
      <x:c r="C584">
        <x:f>'幕间与结算'!D491</x:f>
        <x:v>0</x:v>
      </x:c>
      <x:c r="D584">
        <x:f>'幕间与结算'!F491</x:f>
        <x:v>0</x:v>
      </x:c>
      <x:c r="E584">
        <x:f>IF(H584=1,MAX(-'幕间与结算'!E491,MIN(D584,IF(LEFT(C584,3)="技能：",99,IF(COUNTIF($L$2:$L$7,C584)&gt;0,18,999))-'幕间与结算'!E491)),0)</x:f>
        <x:v>0</x:v>
      </x:c>
      <x:c r="F584" t="str">
        <x:f>IF(C584=0,"",IF(G584=0,"记录不完整",IF(H584=0,"重复未计","已计入")))</x:f>
        <x:v/>
      </x:c>
      <x:c r="G584">
        <x:f>IF(AND(AND('幕间与结算'!A491&lt;&gt;"",'幕间与结算'!B491&lt;&gt;"",'幕间与结算'!I491&lt;&gt;"",OR(LEFT(C584,3)="技能：",COUNTIF($L$2:$L$19,C584)&gt;0),ISNUMBER('幕间与结算'!E491),ISNUMBER('幕间与结算'!F491),ISNUMBER('幕间与结算'!G491),'幕间与结算'!E491&gt;=0,'幕间与结算'!G491='幕间与结算'!E491+'幕间与结算'!F491),OR(B584&lt;&gt;"成长",AND(LEFT(C584,3)="技能：",C584&lt;&gt;"技能：非自然知识",'幕间与结算'!E491&gt;=1,'幕间与结算'!E491&lt;=99,'幕间与结算'!F491&gt;=0,'幕间与结算'!F491&lt;=4,'幕间与结算'!G491&lt;=99))),1,0)</x:f>
        <x:v>0</x:v>
      </x:c>
      <x:c r="H584">
        <x:f>IF(AND(G584=1,COUNTIFS($I$200:I584,I584,$G$200:G584,1)=1),1,0)</x:f>
        <x:v>0</x:v>
      </x:c>
      <x:c r="I584" t="str">
        <x:f>IF(G584=1,IF(B584="成长",A584&amp;"-成长-"&amp;C584,'幕间与结算'!I491),"")</x:f>
        <x:v/>
      </x:c>
      <x:c r="BF584">
        <x:f>MAX(0,MIN(18,BF583+IF(C584="力量",E584,0)))</x:f>
        <x:v>0</x:v>
      </x:c>
      <x:c r="BG584">
        <x:f>MAX(0,MIN(18,BG583+IF(C584="体质",E584,0)))</x:f>
        <x:v>0</x:v>
      </x:c>
      <x:c r="BH584">
        <x:f>MAX(0,MIN(18,BH583+IF(C584="敏捷",E584,0)))</x:f>
        <x:v>0</x:v>
      </x:c>
      <x:c r="BI584">
        <x:f>MAX(0,MIN(18,BI583+IF(C584="智力",E584,0)))</x:f>
        <x:v>0</x:v>
      </x:c>
      <x:c r="BJ584">
        <x:f>MAX(0,MIN(18,BJ583+IF(C584="意志",E584,0)))</x:f>
        <x:v>0</x:v>
      </x:c>
      <x:c r="BK584">
        <x:f>MAX(0,MIN(18,BK583+IF(C584="魅力",E584,0)))</x:f>
        <x:v>0</x:v>
      </x:c>
      <x:c r="BL584">
        <x:f>MAX(0,MIN(99,BL583+IF(C584="技能：非自然知识",E584,0)))</x:f>
        <x:v>0</x:v>
      </x:c>
      <x:c r="BM584">
        <x:f>MAX(0,MIN(CEILING((BF584+BG584)/2,1),BM583+IF(C584="体力",E584,0)))</x:f>
        <x:v>0</x:v>
      </x:c>
      <x:c r="BN584">
        <x:f>MAX(0,MIN(BJ584,BN583+IF(C584="毅力",E584,0)))</x:f>
        <x:v>0</x:v>
      </x:c>
      <x:c r="BO584">
        <x:f>MAX(0,MIN(99-BL584,BO583+IF(C584="理智",E584,0)))</x:f>
        <x:v>0</x:v>
      </x:c>
      <x:c r="BP584">
        <x:f>MAX(0,MIN(99,BP583+IF(C584="崩溃点",E584,0)))</x:f>
        <x:v>0</x:v>
      </x:c>
      <x:c r="BQ584">
        <x:f>MAX(0,MIN(BK584,IF(AND(H584=1,C584="重要关系1",LEFT('幕间与结算'!H491,8)="建立新的重要关系"),'幕间与结算'!E491+E584,BQ583+IF(C584="重要关系1",E584,0)+IF(AND(C584="魅力",E584&lt;0),E584,0))))</x:f>
        <x:v>0</x:v>
      </x:c>
      <x:c r="BR584">
        <x:f>MAX(0,MIN(BK584,IF(AND(H584=1,C584="重要关系2",LEFT('幕间与结算'!H491,8)="建立新的重要关系"),'幕间与结算'!E491+E584,BR583+IF(C584="重要关系2",E584,0)+IF(AND(C584="魅力",E584&lt;0),E584,0))))</x:f>
        <x:v>0</x:v>
      </x:c>
      <x:c r="BS584">
        <x:f>MAX(0,MIN(BK584,IF(AND(H584=1,C584="重要关系3",LEFT('幕间与结算'!H491,8)="建立新的重要关系"),'幕间与结算'!E491+E584,BS583+IF(C584="重要关系3",E584,0)+IF(AND(C584="魅力",E584&lt;0),E584,0))))</x:f>
        <x:v>0</x:v>
      </x:c>
      <x:c r="BT584">
        <x:f>MAX(0,MIN(BK584,IF(AND(H584=1,C584="重要关系4",LEFT('幕间与结算'!H491,8)="建立新的重要关系"),'幕间与结算'!E491+E584,BT583+IF(C584="重要关系4",E584,0)+IF(AND(C584="魅力",E584&lt;0),E584,0))))</x:f>
        <x:v>0</x:v>
      </x:c>
      <x:c r="BU584">
        <x:f>MAX(0,MIN(BK584,IF(AND(H584=1,C584="重要关系5",LEFT('幕间与结算'!H491,8)="建立新的重要关系"),'幕间与结算'!E491+E584,BU583+IF(C584="重要关系5",E584,0)+IF(AND(C584="魅力",E584&lt;0),E584,0))))</x:f>
        <x:v>0</x:v>
      </x:c>
      <x:c r="BV584">
        <x:f>MAX(0,MIN(BK584,IF(AND(H584=1,C584="重要关系6",LEFT('幕间与结算'!H491,8)="建立新的重要关系"),'幕间与结算'!E491+E584,BV583+IF(C584="重要关系6",E584,0)+IF(AND(C584="魅力",E584&lt;0),E584,0))))</x:f>
        <x:v>0</x:v>
      </x:c>
      <x:c r="BW584">
        <x:f>MAX(0,MIN(BK584,IF(AND(H584=1,C584="重要关系7",LEFT('幕间与结算'!H491,8)="建立新的重要关系"),'幕间与结算'!E491+E584,BW583+IF(C584="重要关系7",E584,0)+IF(AND(C584="魅力",E584&lt;0),E584,0))))</x:f>
        <x:v>0</x:v>
      </x:c>
    </x:row>
    <x:row r="585">
      <x:c r="A585" t="str">
        <x:f>IFERROR(TEXT(VALUE('幕间与结算'!A492),"00"),"")</x:f>
        <x:v>00</x:v>
      </x:c>
      <x:c r="B585">
        <x:f>'幕间与结算'!B492</x:f>
        <x:v>0</x:v>
      </x:c>
      <x:c r="C585">
        <x:f>'幕间与结算'!D492</x:f>
        <x:v>0</x:v>
      </x:c>
      <x:c r="D585">
        <x:f>'幕间与结算'!F492</x:f>
        <x:v>0</x:v>
      </x:c>
      <x:c r="E585">
        <x:f>IF(H585=1,MAX(-'幕间与结算'!E492,MIN(D585,IF(LEFT(C585,3)="技能：",99,IF(COUNTIF($L$2:$L$7,C585)&gt;0,18,999))-'幕间与结算'!E492)),0)</x:f>
        <x:v>0</x:v>
      </x:c>
      <x:c r="F585" t="str">
        <x:f>IF(C585=0,"",IF(G585=0,"记录不完整",IF(H585=0,"重复未计","已计入")))</x:f>
        <x:v/>
      </x:c>
      <x:c r="G585">
        <x:f>IF(AND(AND('幕间与结算'!A492&lt;&gt;"",'幕间与结算'!B492&lt;&gt;"",'幕间与结算'!I492&lt;&gt;"",OR(LEFT(C585,3)="技能：",COUNTIF($L$2:$L$19,C585)&gt;0),ISNUMBER('幕间与结算'!E492),ISNUMBER('幕间与结算'!F492),ISNUMBER('幕间与结算'!G492),'幕间与结算'!E492&gt;=0,'幕间与结算'!G492='幕间与结算'!E492+'幕间与结算'!F492),OR(B585&lt;&gt;"成长",AND(LEFT(C585,3)="技能：",C585&lt;&gt;"技能：非自然知识",'幕间与结算'!E492&gt;=1,'幕间与结算'!E492&lt;=99,'幕间与结算'!F492&gt;=0,'幕间与结算'!F492&lt;=4,'幕间与结算'!G492&lt;=99))),1,0)</x:f>
        <x:v>0</x:v>
      </x:c>
      <x:c r="H585">
        <x:f>IF(AND(G585=1,COUNTIFS($I$200:I585,I585,$G$200:G585,1)=1),1,0)</x:f>
        <x:v>0</x:v>
      </x:c>
      <x:c r="I585" t="str">
        <x:f>IF(G585=1,IF(B585="成长",A585&amp;"-成长-"&amp;C585,'幕间与结算'!I492),"")</x:f>
        <x:v/>
      </x:c>
      <x:c r="BF585">
        <x:f>MAX(0,MIN(18,BF584+IF(C585="力量",E585,0)))</x:f>
        <x:v>0</x:v>
      </x:c>
      <x:c r="BG585">
        <x:f>MAX(0,MIN(18,BG584+IF(C585="体质",E585,0)))</x:f>
        <x:v>0</x:v>
      </x:c>
      <x:c r="BH585">
        <x:f>MAX(0,MIN(18,BH584+IF(C585="敏捷",E585,0)))</x:f>
        <x:v>0</x:v>
      </x:c>
      <x:c r="BI585">
        <x:f>MAX(0,MIN(18,BI584+IF(C585="智力",E585,0)))</x:f>
        <x:v>0</x:v>
      </x:c>
      <x:c r="BJ585">
        <x:f>MAX(0,MIN(18,BJ584+IF(C585="意志",E585,0)))</x:f>
        <x:v>0</x:v>
      </x:c>
      <x:c r="BK585">
        <x:f>MAX(0,MIN(18,BK584+IF(C585="魅力",E585,0)))</x:f>
        <x:v>0</x:v>
      </x:c>
      <x:c r="BL585">
        <x:f>MAX(0,MIN(99,BL584+IF(C585="技能：非自然知识",E585,0)))</x:f>
        <x:v>0</x:v>
      </x:c>
      <x:c r="BM585">
        <x:f>MAX(0,MIN(CEILING((BF585+BG585)/2,1),BM584+IF(C585="体力",E585,0)))</x:f>
        <x:v>0</x:v>
      </x:c>
      <x:c r="BN585">
        <x:f>MAX(0,MIN(BJ585,BN584+IF(C585="毅力",E585,0)))</x:f>
        <x:v>0</x:v>
      </x:c>
      <x:c r="BO585">
        <x:f>MAX(0,MIN(99-BL585,BO584+IF(C585="理智",E585,0)))</x:f>
        <x:v>0</x:v>
      </x:c>
      <x:c r="BP585">
        <x:f>MAX(0,MIN(99,BP584+IF(C585="崩溃点",E585,0)))</x:f>
        <x:v>0</x:v>
      </x:c>
      <x:c r="BQ585">
        <x:f>MAX(0,MIN(BK585,IF(AND(H585=1,C585="重要关系1",LEFT('幕间与结算'!H492,8)="建立新的重要关系"),'幕间与结算'!E492+E585,BQ584+IF(C585="重要关系1",E585,0)+IF(AND(C585="魅力",E585&lt;0),E585,0))))</x:f>
        <x:v>0</x:v>
      </x:c>
      <x:c r="BR585">
        <x:f>MAX(0,MIN(BK585,IF(AND(H585=1,C585="重要关系2",LEFT('幕间与结算'!H492,8)="建立新的重要关系"),'幕间与结算'!E492+E585,BR584+IF(C585="重要关系2",E585,0)+IF(AND(C585="魅力",E585&lt;0),E585,0))))</x:f>
        <x:v>0</x:v>
      </x:c>
      <x:c r="BS585">
        <x:f>MAX(0,MIN(BK585,IF(AND(H585=1,C585="重要关系3",LEFT('幕间与结算'!H492,8)="建立新的重要关系"),'幕间与结算'!E492+E585,BS584+IF(C585="重要关系3",E585,0)+IF(AND(C585="魅力",E585&lt;0),E585,0))))</x:f>
        <x:v>0</x:v>
      </x:c>
      <x:c r="BT585">
        <x:f>MAX(0,MIN(BK585,IF(AND(H585=1,C585="重要关系4",LEFT('幕间与结算'!H492,8)="建立新的重要关系"),'幕间与结算'!E492+E585,BT584+IF(C585="重要关系4",E585,0)+IF(AND(C585="魅力",E585&lt;0),E585,0))))</x:f>
        <x:v>0</x:v>
      </x:c>
      <x:c r="BU585">
        <x:f>MAX(0,MIN(BK585,IF(AND(H585=1,C585="重要关系5",LEFT('幕间与结算'!H492,8)="建立新的重要关系"),'幕间与结算'!E492+E585,BU584+IF(C585="重要关系5",E585,0)+IF(AND(C585="魅力",E585&lt;0),E585,0))))</x:f>
        <x:v>0</x:v>
      </x:c>
      <x:c r="BV585">
        <x:f>MAX(0,MIN(BK585,IF(AND(H585=1,C585="重要关系6",LEFT('幕间与结算'!H492,8)="建立新的重要关系"),'幕间与结算'!E492+E585,BV584+IF(C585="重要关系6",E585,0)+IF(AND(C585="魅力",E585&lt;0),E585,0))))</x:f>
        <x:v>0</x:v>
      </x:c>
      <x:c r="BW585">
        <x:f>MAX(0,MIN(BK585,IF(AND(H585=1,C585="重要关系7",LEFT('幕间与结算'!H492,8)="建立新的重要关系"),'幕间与结算'!E492+E585,BW584+IF(C585="重要关系7",E585,0)+IF(AND(C585="魅力",E585&lt;0),E585,0))))</x:f>
        <x:v>0</x:v>
      </x:c>
    </x:row>
    <x:row r="586">
      <x:c r="A586" t="str">
        <x:f>IFERROR(TEXT(VALUE('幕间与结算'!A493),"00"),"")</x:f>
        <x:v>00</x:v>
      </x:c>
      <x:c r="B586">
        <x:f>'幕间与结算'!B493</x:f>
        <x:v>0</x:v>
      </x:c>
      <x:c r="C586">
        <x:f>'幕间与结算'!D493</x:f>
        <x:v>0</x:v>
      </x:c>
      <x:c r="D586">
        <x:f>'幕间与结算'!F493</x:f>
        <x:v>0</x:v>
      </x:c>
      <x:c r="E586">
        <x:f>IF(H586=1,MAX(-'幕间与结算'!E493,MIN(D586,IF(LEFT(C586,3)="技能：",99,IF(COUNTIF($L$2:$L$7,C586)&gt;0,18,999))-'幕间与结算'!E493)),0)</x:f>
        <x:v>0</x:v>
      </x:c>
      <x:c r="F586" t="str">
        <x:f>IF(C586=0,"",IF(G586=0,"记录不完整",IF(H586=0,"重复未计","已计入")))</x:f>
        <x:v/>
      </x:c>
      <x:c r="G586">
        <x:f>IF(AND(AND('幕间与结算'!A493&lt;&gt;"",'幕间与结算'!B493&lt;&gt;"",'幕间与结算'!I493&lt;&gt;"",OR(LEFT(C586,3)="技能：",COUNTIF($L$2:$L$19,C586)&gt;0),ISNUMBER('幕间与结算'!E493),ISNUMBER('幕间与结算'!F493),ISNUMBER('幕间与结算'!G493),'幕间与结算'!E493&gt;=0,'幕间与结算'!G493='幕间与结算'!E493+'幕间与结算'!F493),OR(B586&lt;&gt;"成长",AND(LEFT(C586,3)="技能：",C586&lt;&gt;"技能：非自然知识",'幕间与结算'!E493&gt;=1,'幕间与结算'!E493&lt;=99,'幕间与结算'!F493&gt;=0,'幕间与结算'!F493&lt;=4,'幕间与结算'!G493&lt;=99))),1,0)</x:f>
        <x:v>0</x:v>
      </x:c>
      <x:c r="H586">
        <x:f>IF(AND(G586=1,COUNTIFS($I$200:I586,I586,$G$200:G586,1)=1),1,0)</x:f>
        <x:v>0</x:v>
      </x:c>
      <x:c r="I586" t="str">
        <x:f>IF(G586=1,IF(B586="成长",A586&amp;"-成长-"&amp;C586,'幕间与结算'!I493),"")</x:f>
        <x:v/>
      </x:c>
      <x:c r="BF586">
        <x:f>MAX(0,MIN(18,BF585+IF(C586="力量",E586,0)))</x:f>
        <x:v>0</x:v>
      </x:c>
      <x:c r="BG586">
        <x:f>MAX(0,MIN(18,BG585+IF(C586="体质",E586,0)))</x:f>
        <x:v>0</x:v>
      </x:c>
      <x:c r="BH586">
        <x:f>MAX(0,MIN(18,BH585+IF(C586="敏捷",E586,0)))</x:f>
        <x:v>0</x:v>
      </x:c>
      <x:c r="BI586">
        <x:f>MAX(0,MIN(18,BI585+IF(C586="智力",E586,0)))</x:f>
        <x:v>0</x:v>
      </x:c>
      <x:c r="BJ586">
        <x:f>MAX(0,MIN(18,BJ585+IF(C586="意志",E586,0)))</x:f>
        <x:v>0</x:v>
      </x:c>
      <x:c r="BK586">
        <x:f>MAX(0,MIN(18,BK585+IF(C586="魅力",E586,0)))</x:f>
        <x:v>0</x:v>
      </x:c>
      <x:c r="BL586">
        <x:f>MAX(0,MIN(99,BL585+IF(C586="技能：非自然知识",E586,0)))</x:f>
        <x:v>0</x:v>
      </x:c>
      <x:c r="BM586">
        <x:f>MAX(0,MIN(CEILING((BF586+BG586)/2,1),BM585+IF(C586="体力",E586,0)))</x:f>
        <x:v>0</x:v>
      </x:c>
      <x:c r="BN586">
        <x:f>MAX(0,MIN(BJ586,BN585+IF(C586="毅力",E586,0)))</x:f>
        <x:v>0</x:v>
      </x:c>
      <x:c r="BO586">
        <x:f>MAX(0,MIN(99-BL586,BO585+IF(C586="理智",E586,0)))</x:f>
        <x:v>0</x:v>
      </x:c>
      <x:c r="BP586">
        <x:f>MAX(0,MIN(99,BP585+IF(C586="崩溃点",E586,0)))</x:f>
        <x:v>0</x:v>
      </x:c>
      <x:c r="BQ586">
        <x:f>MAX(0,MIN(BK586,IF(AND(H586=1,C586="重要关系1",LEFT('幕间与结算'!H493,8)="建立新的重要关系"),'幕间与结算'!E493+E586,BQ585+IF(C586="重要关系1",E586,0)+IF(AND(C586="魅力",E586&lt;0),E586,0))))</x:f>
        <x:v>0</x:v>
      </x:c>
      <x:c r="BR586">
        <x:f>MAX(0,MIN(BK586,IF(AND(H586=1,C586="重要关系2",LEFT('幕间与结算'!H493,8)="建立新的重要关系"),'幕间与结算'!E493+E586,BR585+IF(C586="重要关系2",E586,0)+IF(AND(C586="魅力",E586&lt;0),E586,0))))</x:f>
        <x:v>0</x:v>
      </x:c>
      <x:c r="BS586">
        <x:f>MAX(0,MIN(BK586,IF(AND(H586=1,C586="重要关系3",LEFT('幕间与结算'!H493,8)="建立新的重要关系"),'幕间与结算'!E493+E586,BS585+IF(C586="重要关系3",E586,0)+IF(AND(C586="魅力",E586&lt;0),E586,0))))</x:f>
        <x:v>0</x:v>
      </x:c>
      <x:c r="BT586">
        <x:f>MAX(0,MIN(BK586,IF(AND(H586=1,C586="重要关系4",LEFT('幕间与结算'!H493,8)="建立新的重要关系"),'幕间与结算'!E493+E586,BT585+IF(C586="重要关系4",E586,0)+IF(AND(C586="魅力",E586&lt;0),E586,0))))</x:f>
        <x:v>0</x:v>
      </x:c>
      <x:c r="BU586">
        <x:f>MAX(0,MIN(BK586,IF(AND(H586=1,C586="重要关系5",LEFT('幕间与结算'!H493,8)="建立新的重要关系"),'幕间与结算'!E493+E586,BU585+IF(C586="重要关系5",E586,0)+IF(AND(C586="魅力",E586&lt;0),E586,0))))</x:f>
        <x:v>0</x:v>
      </x:c>
      <x:c r="BV586">
        <x:f>MAX(0,MIN(BK586,IF(AND(H586=1,C586="重要关系6",LEFT('幕间与结算'!H493,8)="建立新的重要关系"),'幕间与结算'!E493+E586,BV585+IF(C586="重要关系6",E586,0)+IF(AND(C586="魅力",E586&lt;0),E586,0))))</x:f>
        <x:v>0</x:v>
      </x:c>
      <x:c r="BW586">
        <x:f>MAX(0,MIN(BK586,IF(AND(H586=1,C586="重要关系7",LEFT('幕间与结算'!H493,8)="建立新的重要关系"),'幕间与结算'!E493+E586,BW585+IF(C586="重要关系7",E586,0)+IF(AND(C586="魅力",E586&lt;0),E586,0))))</x:f>
        <x:v>0</x:v>
      </x:c>
    </x:row>
    <x:row r="587">
      <x:c r="A587" t="str">
        <x:f>IFERROR(TEXT(VALUE('幕间与结算'!A494),"00"),"")</x:f>
        <x:v>00</x:v>
      </x:c>
      <x:c r="B587">
        <x:f>'幕间与结算'!B494</x:f>
        <x:v>0</x:v>
      </x:c>
      <x:c r="C587">
        <x:f>'幕间与结算'!D494</x:f>
        <x:v>0</x:v>
      </x:c>
      <x:c r="D587">
        <x:f>'幕间与结算'!F494</x:f>
        <x:v>0</x:v>
      </x:c>
      <x:c r="E587">
        <x:f>IF(H587=1,MAX(-'幕间与结算'!E494,MIN(D587,IF(LEFT(C587,3)="技能：",99,IF(COUNTIF($L$2:$L$7,C587)&gt;0,18,999))-'幕间与结算'!E494)),0)</x:f>
        <x:v>0</x:v>
      </x:c>
      <x:c r="F587" t="str">
        <x:f>IF(C587=0,"",IF(G587=0,"记录不完整",IF(H587=0,"重复未计","已计入")))</x:f>
        <x:v/>
      </x:c>
      <x:c r="G587">
        <x:f>IF(AND(AND('幕间与结算'!A494&lt;&gt;"",'幕间与结算'!B494&lt;&gt;"",'幕间与结算'!I494&lt;&gt;"",OR(LEFT(C587,3)="技能：",COUNTIF($L$2:$L$19,C587)&gt;0),ISNUMBER('幕间与结算'!E494),ISNUMBER('幕间与结算'!F494),ISNUMBER('幕间与结算'!G494),'幕间与结算'!E494&gt;=0,'幕间与结算'!G494='幕间与结算'!E494+'幕间与结算'!F494),OR(B587&lt;&gt;"成长",AND(LEFT(C587,3)="技能：",C587&lt;&gt;"技能：非自然知识",'幕间与结算'!E494&gt;=1,'幕间与结算'!E494&lt;=99,'幕间与结算'!F494&gt;=0,'幕间与结算'!F494&lt;=4,'幕间与结算'!G494&lt;=99))),1,0)</x:f>
        <x:v>0</x:v>
      </x:c>
      <x:c r="H587">
        <x:f>IF(AND(G587=1,COUNTIFS($I$200:I587,I587,$G$200:G587,1)=1),1,0)</x:f>
        <x:v>0</x:v>
      </x:c>
      <x:c r="I587" t="str">
        <x:f>IF(G587=1,IF(B587="成长",A587&amp;"-成长-"&amp;C587,'幕间与结算'!I494),"")</x:f>
        <x:v/>
      </x:c>
      <x:c r="BF587">
        <x:f>MAX(0,MIN(18,BF586+IF(C587="力量",E587,0)))</x:f>
        <x:v>0</x:v>
      </x:c>
      <x:c r="BG587">
        <x:f>MAX(0,MIN(18,BG586+IF(C587="体质",E587,0)))</x:f>
        <x:v>0</x:v>
      </x:c>
      <x:c r="BH587">
        <x:f>MAX(0,MIN(18,BH586+IF(C587="敏捷",E587,0)))</x:f>
        <x:v>0</x:v>
      </x:c>
      <x:c r="BI587">
        <x:f>MAX(0,MIN(18,BI586+IF(C587="智力",E587,0)))</x:f>
        <x:v>0</x:v>
      </x:c>
      <x:c r="BJ587">
        <x:f>MAX(0,MIN(18,BJ586+IF(C587="意志",E587,0)))</x:f>
        <x:v>0</x:v>
      </x:c>
      <x:c r="BK587">
        <x:f>MAX(0,MIN(18,BK586+IF(C587="魅力",E587,0)))</x:f>
        <x:v>0</x:v>
      </x:c>
      <x:c r="BL587">
        <x:f>MAX(0,MIN(99,BL586+IF(C587="技能：非自然知识",E587,0)))</x:f>
        <x:v>0</x:v>
      </x:c>
      <x:c r="BM587">
        <x:f>MAX(0,MIN(CEILING((BF587+BG587)/2,1),BM586+IF(C587="体力",E587,0)))</x:f>
        <x:v>0</x:v>
      </x:c>
      <x:c r="BN587">
        <x:f>MAX(0,MIN(BJ587,BN586+IF(C587="毅力",E587,0)))</x:f>
        <x:v>0</x:v>
      </x:c>
      <x:c r="BO587">
        <x:f>MAX(0,MIN(99-BL587,BO586+IF(C587="理智",E587,0)))</x:f>
        <x:v>0</x:v>
      </x:c>
      <x:c r="BP587">
        <x:f>MAX(0,MIN(99,BP586+IF(C587="崩溃点",E587,0)))</x:f>
        <x:v>0</x:v>
      </x:c>
      <x:c r="BQ587">
        <x:f>MAX(0,MIN(BK587,IF(AND(H587=1,C587="重要关系1",LEFT('幕间与结算'!H494,8)="建立新的重要关系"),'幕间与结算'!E494+E587,BQ586+IF(C587="重要关系1",E587,0)+IF(AND(C587="魅力",E587&lt;0),E587,0))))</x:f>
        <x:v>0</x:v>
      </x:c>
      <x:c r="BR587">
        <x:f>MAX(0,MIN(BK587,IF(AND(H587=1,C587="重要关系2",LEFT('幕间与结算'!H494,8)="建立新的重要关系"),'幕间与结算'!E494+E587,BR586+IF(C587="重要关系2",E587,0)+IF(AND(C587="魅力",E587&lt;0),E587,0))))</x:f>
        <x:v>0</x:v>
      </x:c>
      <x:c r="BS587">
        <x:f>MAX(0,MIN(BK587,IF(AND(H587=1,C587="重要关系3",LEFT('幕间与结算'!H494,8)="建立新的重要关系"),'幕间与结算'!E494+E587,BS586+IF(C587="重要关系3",E587,0)+IF(AND(C587="魅力",E587&lt;0),E587,0))))</x:f>
        <x:v>0</x:v>
      </x:c>
      <x:c r="BT587">
        <x:f>MAX(0,MIN(BK587,IF(AND(H587=1,C587="重要关系4",LEFT('幕间与结算'!H494,8)="建立新的重要关系"),'幕间与结算'!E494+E587,BT586+IF(C587="重要关系4",E587,0)+IF(AND(C587="魅力",E587&lt;0),E587,0))))</x:f>
        <x:v>0</x:v>
      </x:c>
      <x:c r="BU587">
        <x:f>MAX(0,MIN(BK587,IF(AND(H587=1,C587="重要关系5",LEFT('幕间与结算'!H494,8)="建立新的重要关系"),'幕间与结算'!E494+E587,BU586+IF(C587="重要关系5",E587,0)+IF(AND(C587="魅力",E587&lt;0),E587,0))))</x:f>
        <x:v>0</x:v>
      </x:c>
      <x:c r="BV587">
        <x:f>MAX(0,MIN(BK587,IF(AND(H587=1,C587="重要关系6",LEFT('幕间与结算'!H494,8)="建立新的重要关系"),'幕间与结算'!E494+E587,BV586+IF(C587="重要关系6",E587,0)+IF(AND(C587="魅力",E587&lt;0),E587,0))))</x:f>
        <x:v>0</x:v>
      </x:c>
      <x:c r="BW587">
        <x:f>MAX(0,MIN(BK587,IF(AND(H587=1,C587="重要关系7",LEFT('幕间与结算'!H494,8)="建立新的重要关系"),'幕间与结算'!E494+E587,BW586+IF(C587="重要关系7",E587,0)+IF(AND(C587="魅力",E587&lt;0),E587,0))))</x:f>
        <x:v>0</x:v>
      </x:c>
    </x:row>
    <x:row r="588">
      <x:c r="A588" t="str">
        <x:f>IFERROR(TEXT(VALUE('幕间与结算'!A495),"00"),"")</x:f>
        <x:v>00</x:v>
      </x:c>
      <x:c r="B588">
        <x:f>'幕间与结算'!B495</x:f>
        <x:v>0</x:v>
      </x:c>
      <x:c r="C588">
        <x:f>'幕间与结算'!D495</x:f>
        <x:v>0</x:v>
      </x:c>
      <x:c r="D588">
        <x:f>'幕间与结算'!F495</x:f>
        <x:v>0</x:v>
      </x:c>
      <x:c r="E588">
        <x:f>IF(H588=1,MAX(-'幕间与结算'!E495,MIN(D588,IF(LEFT(C588,3)="技能：",99,IF(COUNTIF($L$2:$L$7,C588)&gt;0,18,999))-'幕间与结算'!E495)),0)</x:f>
        <x:v>0</x:v>
      </x:c>
      <x:c r="F588" t="str">
        <x:f>IF(C588=0,"",IF(G588=0,"记录不完整",IF(H588=0,"重复未计","已计入")))</x:f>
        <x:v/>
      </x:c>
      <x:c r="G588">
        <x:f>IF(AND(AND('幕间与结算'!A495&lt;&gt;"",'幕间与结算'!B495&lt;&gt;"",'幕间与结算'!I495&lt;&gt;"",OR(LEFT(C588,3)="技能：",COUNTIF($L$2:$L$19,C588)&gt;0),ISNUMBER('幕间与结算'!E495),ISNUMBER('幕间与结算'!F495),ISNUMBER('幕间与结算'!G495),'幕间与结算'!E495&gt;=0,'幕间与结算'!G495='幕间与结算'!E495+'幕间与结算'!F495),OR(B588&lt;&gt;"成长",AND(LEFT(C588,3)="技能：",C588&lt;&gt;"技能：非自然知识",'幕间与结算'!E495&gt;=1,'幕间与结算'!E495&lt;=99,'幕间与结算'!F495&gt;=0,'幕间与结算'!F495&lt;=4,'幕间与结算'!G495&lt;=99))),1,0)</x:f>
        <x:v>0</x:v>
      </x:c>
      <x:c r="H588">
        <x:f>IF(AND(G588=1,COUNTIFS($I$200:I588,I588,$G$200:G588,1)=1),1,0)</x:f>
        <x:v>0</x:v>
      </x:c>
      <x:c r="I588" t="str">
        <x:f>IF(G588=1,IF(B588="成长",A588&amp;"-成长-"&amp;C588,'幕间与结算'!I495),"")</x:f>
        <x:v/>
      </x:c>
      <x:c r="BF588">
        <x:f>MAX(0,MIN(18,BF587+IF(C588="力量",E588,0)))</x:f>
        <x:v>0</x:v>
      </x:c>
      <x:c r="BG588">
        <x:f>MAX(0,MIN(18,BG587+IF(C588="体质",E588,0)))</x:f>
        <x:v>0</x:v>
      </x:c>
      <x:c r="BH588">
        <x:f>MAX(0,MIN(18,BH587+IF(C588="敏捷",E588,0)))</x:f>
        <x:v>0</x:v>
      </x:c>
      <x:c r="BI588">
        <x:f>MAX(0,MIN(18,BI587+IF(C588="智力",E588,0)))</x:f>
        <x:v>0</x:v>
      </x:c>
      <x:c r="BJ588">
        <x:f>MAX(0,MIN(18,BJ587+IF(C588="意志",E588,0)))</x:f>
        <x:v>0</x:v>
      </x:c>
      <x:c r="BK588">
        <x:f>MAX(0,MIN(18,BK587+IF(C588="魅力",E588,0)))</x:f>
        <x:v>0</x:v>
      </x:c>
      <x:c r="BL588">
        <x:f>MAX(0,MIN(99,BL587+IF(C588="技能：非自然知识",E588,0)))</x:f>
        <x:v>0</x:v>
      </x:c>
      <x:c r="BM588">
        <x:f>MAX(0,MIN(CEILING((BF588+BG588)/2,1),BM587+IF(C588="体力",E588,0)))</x:f>
        <x:v>0</x:v>
      </x:c>
      <x:c r="BN588">
        <x:f>MAX(0,MIN(BJ588,BN587+IF(C588="毅力",E588,0)))</x:f>
        <x:v>0</x:v>
      </x:c>
      <x:c r="BO588">
        <x:f>MAX(0,MIN(99-BL588,BO587+IF(C588="理智",E588,0)))</x:f>
        <x:v>0</x:v>
      </x:c>
      <x:c r="BP588">
        <x:f>MAX(0,MIN(99,BP587+IF(C588="崩溃点",E588,0)))</x:f>
        <x:v>0</x:v>
      </x:c>
      <x:c r="BQ588">
        <x:f>MAX(0,MIN(BK588,IF(AND(H588=1,C588="重要关系1",LEFT('幕间与结算'!H495,8)="建立新的重要关系"),'幕间与结算'!E495+E588,BQ587+IF(C588="重要关系1",E588,0)+IF(AND(C588="魅力",E588&lt;0),E588,0))))</x:f>
        <x:v>0</x:v>
      </x:c>
      <x:c r="BR588">
        <x:f>MAX(0,MIN(BK588,IF(AND(H588=1,C588="重要关系2",LEFT('幕间与结算'!H495,8)="建立新的重要关系"),'幕间与结算'!E495+E588,BR587+IF(C588="重要关系2",E588,0)+IF(AND(C588="魅力",E588&lt;0),E588,0))))</x:f>
        <x:v>0</x:v>
      </x:c>
      <x:c r="BS588">
        <x:f>MAX(0,MIN(BK588,IF(AND(H588=1,C588="重要关系3",LEFT('幕间与结算'!H495,8)="建立新的重要关系"),'幕间与结算'!E495+E588,BS587+IF(C588="重要关系3",E588,0)+IF(AND(C588="魅力",E588&lt;0),E588,0))))</x:f>
        <x:v>0</x:v>
      </x:c>
      <x:c r="BT588">
        <x:f>MAX(0,MIN(BK588,IF(AND(H588=1,C588="重要关系4",LEFT('幕间与结算'!H495,8)="建立新的重要关系"),'幕间与结算'!E495+E588,BT587+IF(C588="重要关系4",E588,0)+IF(AND(C588="魅力",E588&lt;0),E588,0))))</x:f>
        <x:v>0</x:v>
      </x:c>
      <x:c r="BU588">
        <x:f>MAX(0,MIN(BK588,IF(AND(H588=1,C588="重要关系5",LEFT('幕间与结算'!H495,8)="建立新的重要关系"),'幕间与结算'!E495+E588,BU587+IF(C588="重要关系5",E588,0)+IF(AND(C588="魅力",E588&lt;0),E588,0))))</x:f>
        <x:v>0</x:v>
      </x:c>
      <x:c r="BV588">
        <x:f>MAX(0,MIN(BK588,IF(AND(H588=1,C588="重要关系6",LEFT('幕间与结算'!H495,8)="建立新的重要关系"),'幕间与结算'!E495+E588,BV587+IF(C588="重要关系6",E588,0)+IF(AND(C588="魅力",E588&lt;0),E588,0))))</x:f>
        <x:v>0</x:v>
      </x:c>
      <x:c r="BW588">
        <x:f>MAX(0,MIN(BK588,IF(AND(H588=1,C588="重要关系7",LEFT('幕间与结算'!H495,8)="建立新的重要关系"),'幕间与结算'!E495+E588,BW587+IF(C588="重要关系7",E588,0)+IF(AND(C588="魅力",E588&lt;0),E588,0))))</x:f>
        <x:v>0</x:v>
      </x:c>
    </x:row>
    <x:row r="589">
      <x:c r="A589" t="str">
        <x:f>IFERROR(TEXT(VALUE('幕间与结算'!A496),"00"),"")</x:f>
        <x:v>00</x:v>
      </x:c>
      <x:c r="B589">
        <x:f>'幕间与结算'!B496</x:f>
        <x:v>0</x:v>
      </x:c>
      <x:c r="C589">
        <x:f>'幕间与结算'!D496</x:f>
        <x:v>0</x:v>
      </x:c>
      <x:c r="D589">
        <x:f>'幕间与结算'!F496</x:f>
        <x:v>0</x:v>
      </x:c>
      <x:c r="E589">
        <x:f>IF(H589=1,MAX(-'幕间与结算'!E496,MIN(D589,IF(LEFT(C589,3)="技能：",99,IF(COUNTIF($L$2:$L$7,C589)&gt;0,18,999))-'幕间与结算'!E496)),0)</x:f>
        <x:v>0</x:v>
      </x:c>
      <x:c r="F589" t="str">
        <x:f>IF(C589=0,"",IF(G589=0,"记录不完整",IF(H589=0,"重复未计","已计入")))</x:f>
        <x:v/>
      </x:c>
      <x:c r="G589">
        <x:f>IF(AND(AND('幕间与结算'!A496&lt;&gt;"",'幕间与结算'!B496&lt;&gt;"",'幕间与结算'!I496&lt;&gt;"",OR(LEFT(C589,3)="技能：",COUNTIF($L$2:$L$19,C589)&gt;0),ISNUMBER('幕间与结算'!E496),ISNUMBER('幕间与结算'!F496),ISNUMBER('幕间与结算'!G496),'幕间与结算'!E496&gt;=0,'幕间与结算'!G496='幕间与结算'!E496+'幕间与结算'!F496),OR(B589&lt;&gt;"成长",AND(LEFT(C589,3)="技能：",C589&lt;&gt;"技能：非自然知识",'幕间与结算'!E496&gt;=1,'幕间与结算'!E496&lt;=99,'幕间与结算'!F496&gt;=0,'幕间与结算'!F496&lt;=4,'幕间与结算'!G496&lt;=99))),1,0)</x:f>
        <x:v>0</x:v>
      </x:c>
      <x:c r="H589">
        <x:f>IF(AND(G589=1,COUNTIFS($I$200:I589,I589,$G$200:G589,1)=1),1,0)</x:f>
        <x:v>0</x:v>
      </x:c>
      <x:c r="I589" t="str">
        <x:f>IF(G589=1,IF(B589="成长",A589&amp;"-成长-"&amp;C589,'幕间与结算'!I496),"")</x:f>
        <x:v/>
      </x:c>
      <x:c r="BF589">
        <x:f>MAX(0,MIN(18,BF588+IF(C589="力量",E589,0)))</x:f>
        <x:v>0</x:v>
      </x:c>
      <x:c r="BG589">
        <x:f>MAX(0,MIN(18,BG588+IF(C589="体质",E589,0)))</x:f>
        <x:v>0</x:v>
      </x:c>
      <x:c r="BH589">
        <x:f>MAX(0,MIN(18,BH588+IF(C589="敏捷",E589,0)))</x:f>
        <x:v>0</x:v>
      </x:c>
      <x:c r="BI589">
        <x:f>MAX(0,MIN(18,BI588+IF(C589="智力",E589,0)))</x:f>
        <x:v>0</x:v>
      </x:c>
      <x:c r="BJ589">
        <x:f>MAX(0,MIN(18,BJ588+IF(C589="意志",E589,0)))</x:f>
        <x:v>0</x:v>
      </x:c>
      <x:c r="BK589">
        <x:f>MAX(0,MIN(18,BK588+IF(C589="魅力",E589,0)))</x:f>
        <x:v>0</x:v>
      </x:c>
      <x:c r="BL589">
        <x:f>MAX(0,MIN(99,BL588+IF(C589="技能：非自然知识",E589,0)))</x:f>
        <x:v>0</x:v>
      </x:c>
      <x:c r="BM589">
        <x:f>MAX(0,MIN(CEILING((BF589+BG589)/2,1),BM588+IF(C589="体力",E589,0)))</x:f>
        <x:v>0</x:v>
      </x:c>
      <x:c r="BN589">
        <x:f>MAX(0,MIN(BJ589,BN588+IF(C589="毅力",E589,0)))</x:f>
        <x:v>0</x:v>
      </x:c>
      <x:c r="BO589">
        <x:f>MAX(0,MIN(99-BL589,BO588+IF(C589="理智",E589,0)))</x:f>
        <x:v>0</x:v>
      </x:c>
      <x:c r="BP589">
        <x:f>MAX(0,MIN(99,BP588+IF(C589="崩溃点",E589,0)))</x:f>
        <x:v>0</x:v>
      </x:c>
      <x:c r="BQ589">
        <x:f>MAX(0,MIN(BK589,IF(AND(H589=1,C589="重要关系1",LEFT('幕间与结算'!H496,8)="建立新的重要关系"),'幕间与结算'!E496+E589,BQ588+IF(C589="重要关系1",E589,0)+IF(AND(C589="魅力",E589&lt;0),E589,0))))</x:f>
        <x:v>0</x:v>
      </x:c>
      <x:c r="BR589">
        <x:f>MAX(0,MIN(BK589,IF(AND(H589=1,C589="重要关系2",LEFT('幕间与结算'!H496,8)="建立新的重要关系"),'幕间与结算'!E496+E589,BR588+IF(C589="重要关系2",E589,0)+IF(AND(C589="魅力",E589&lt;0),E589,0))))</x:f>
        <x:v>0</x:v>
      </x:c>
      <x:c r="BS589">
        <x:f>MAX(0,MIN(BK589,IF(AND(H589=1,C589="重要关系3",LEFT('幕间与结算'!H496,8)="建立新的重要关系"),'幕间与结算'!E496+E589,BS588+IF(C589="重要关系3",E589,0)+IF(AND(C589="魅力",E589&lt;0),E589,0))))</x:f>
        <x:v>0</x:v>
      </x:c>
      <x:c r="BT589">
        <x:f>MAX(0,MIN(BK589,IF(AND(H589=1,C589="重要关系4",LEFT('幕间与结算'!H496,8)="建立新的重要关系"),'幕间与结算'!E496+E589,BT588+IF(C589="重要关系4",E589,0)+IF(AND(C589="魅力",E589&lt;0),E589,0))))</x:f>
        <x:v>0</x:v>
      </x:c>
      <x:c r="BU589">
        <x:f>MAX(0,MIN(BK589,IF(AND(H589=1,C589="重要关系5",LEFT('幕间与结算'!H496,8)="建立新的重要关系"),'幕间与结算'!E496+E589,BU588+IF(C589="重要关系5",E589,0)+IF(AND(C589="魅力",E589&lt;0),E589,0))))</x:f>
        <x:v>0</x:v>
      </x:c>
      <x:c r="BV589">
        <x:f>MAX(0,MIN(BK589,IF(AND(H589=1,C589="重要关系6",LEFT('幕间与结算'!H496,8)="建立新的重要关系"),'幕间与结算'!E496+E589,BV588+IF(C589="重要关系6",E589,0)+IF(AND(C589="魅力",E589&lt;0),E589,0))))</x:f>
        <x:v>0</x:v>
      </x:c>
      <x:c r="BW589">
        <x:f>MAX(0,MIN(BK589,IF(AND(H589=1,C589="重要关系7",LEFT('幕间与结算'!H496,8)="建立新的重要关系"),'幕间与结算'!E496+E589,BW588+IF(C589="重要关系7",E589,0)+IF(AND(C589="魅力",E589&lt;0),E589,0))))</x:f>
        <x:v>0</x:v>
      </x:c>
    </x:row>
    <x:row r="590">
      <x:c r="A590" t="str">
        <x:f>IFERROR(TEXT(VALUE('幕间与结算'!A497),"00"),"")</x:f>
        <x:v>00</x:v>
      </x:c>
      <x:c r="B590">
        <x:f>'幕间与结算'!B497</x:f>
        <x:v>0</x:v>
      </x:c>
      <x:c r="C590">
        <x:f>'幕间与结算'!D497</x:f>
        <x:v>0</x:v>
      </x:c>
      <x:c r="D590">
        <x:f>'幕间与结算'!F497</x:f>
        <x:v>0</x:v>
      </x:c>
      <x:c r="E590">
        <x:f>IF(H590=1,MAX(-'幕间与结算'!E497,MIN(D590,IF(LEFT(C590,3)="技能：",99,IF(COUNTIF($L$2:$L$7,C590)&gt;0,18,999))-'幕间与结算'!E497)),0)</x:f>
        <x:v>0</x:v>
      </x:c>
      <x:c r="F590" t="str">
        <x:f>IF(C590=0,"",IF(G590=0,"记录不完整",IF(H590=0,"重复未计","已计入")))</x:f>
        <x:v/>
      </x:c>
      <x:c r="G590">
        <x:f>IF(AND(AND('幕间与结算'!A497&lt;&gt;"",'幕间与结算'!B497&lt;&gt;"",'幕间与结算'!I497&lt;&gt;"",OR(LEFT(C590,3)="技能：",COUNTIF($L$2:$L$19,C590)&gt;0),ISNUMBER('幕间与结算'!E497),ISNUMBER('幕间与结算'!F497),ISNUMBER('幕间与结算'!G497),'幕间与结算'!E497&gt;=0,'幕间与结算'!G497='幕间与结算'!E497+'幕间与结算'!F497),OR(B590&lt;&gt;"成长",AND(LEFT(C590,3)="技能：",C590&lt;&gt;"技能：非自然知识",'幕间与结算'!E497&gt;=1,'幕间与结算'!E497&lt;=99,'幕间与结算'!F497&gt;=0,'幕间与结算'!F497&lt;=4,'幕间与结算'!G497&lt;=99))),1,0)</x:f>
        <x:v>0</x:v>
      </x:c>
      <x:c r="H590">
        <x:f>IF(AND(G590=1,COUNTIFS($I$200:I590,I590,$G$200:G590,1)=1),1,0)</x:f>
        <x:v>0</x:v>
      </x:c>
      <x:c r="I590" t="str">
        <x:f>IF(G590=1,IF(B590="成长",A590&amp;"-成长-"&amp;C590,'幕间与结算'!I497),"")</x:f>
        <x:v/>
      </x:c>
      <x:c r="BF590">
        <x:f>MAX(0,MIN(18,BF589+IF(C590="力量",E590,0)))</x:f>
        <x:v>0</x:v>
      </x:c>
      <x:c r="BG590">
        <x:f>MAX(0,MIN(18,BG589+IF(C590="体质",E590,0)))</x:f>
        <x:v>0</x:v>
      </x:c>
      <x:c r="BH590">
        <x:f>MAX(0,MIN(18,BH589+IF(C590="敏捷",E590,0)))</x:f>
        <x:v>0</x:v>
      </x:c>
      <x:c r="BI590">
        <x:f>MAX(0,MIN(18,BI589+IF(C590="智力",E590,0)))</x:f>
        <x:v>0</x:v>
      </x:c>
      <x:c r="BJ590">
        <x:f>MAX(0,MIN(18,BJ589+IF(C590="意志",E590,0)))</x:f>
        <x:v>0</x:v>
      </x:c>
      <x:c r="BK590">
        <x:f>MAX(0,MIN(18,BK589+IF(C590="魅力",E590,0)))</x:f>
        <x:v>0</x:v>
      </x:c>
      <x:c r="BL590">
        <x:f>MAX(0,MIN(99,BL589+IF(C590="技能：非自然知识",E590,0)))</x:f>
        <x:v>0</x:v>
      </x:c>
      <x:c r="BM590">
        <x:f>MAX(0,MIN(CEILING((BF590+BG590)/2,1),BM589+IF(C590="体力",E590,0)))</x:f>
        <x:v>0</x:v>
      </x:c>
      <x:c r="BN590">
        <x:f>MAX(0,MIN(BJ590,BN589+IF(C590="毅力",E590,0)))</x:f>
        <x:v>0</x:v>
      </x:c>
      <x:c r="BO590">
        <x:f>MAX(0,MIN(99-BL590,BO589+IF(C590="理智",E590,0)))</x:f>
        <x:v>0</x:v>
      </x:c>
      <x:c r="BP590">
        <x:f>MAX(0,MIN(99,BP589+IF(C590="崩溃点",E590,0)))</x:f>
        <x:v>0</x:v>
      </x:c>
      <x:c r="BQ590">
        <x:f>MAX(0,MIN(BK590,IF(AND(H590=1,C590="重要关系1",LEFT('幕间与结算'!H497,8)="建立新的重要关系"),'幕间与结算'!E497+E590,BQ589+IF(C590="重要关系1",E590,0)+IF(AND(C590="魅力",E590&lt;0),E590,0))))</x:f>
        <x:v>0</x:v>
      </x:c>
      <x:c r="BR590">
        <x:f>MAX(0,MIN(BK590,IF(AND(H590=1,C590="重要关系2",LEFT('幕间与结算'!H497,8)="建立新的重要关系"),'幕间与结算'!E497+E590,BR589+IF(C590="重要关系2",E590,0)+IF(AND(C590="魅力",E590&lt;0),E590,0))))</x:f>
        <x:v>0</x:v>
      </x:c>
      <x:c r="BS590">
        <x:f>MAX(0,MIN(BK590,IF(AND(H590=1,C590="重要关系3",LEFT('幕间与结算'!H497,8)="建立新的重要关系"),'幕间与结算'!E497+E590,BS589+IF(C590="重要关系3",E590,0)+IF(AND(C590="魅力",E590&lt;0),E590,0))))</x:f>
        <x:v>0</x:v>
      </x:c>
      <x:c r="BT590">
        <x:f>MAX(0,MIN(BK590,IF(AND(H590=1,C590="重要关系4",LEFT('幕间与结算'!H497,8)="建立新的重要关系"),'幕间与结算'!E497+E590,BT589+IF(C590="重要关系4",E590,0)+IF(AND(C590="魅力",E590&lt;0),E590,0))))</x:f>
        <x:v>0</x:v>
      </x:c>
      <x:c r="BU590">
        <x:f>MAX(0,MIN(BK590,IF(AND(H590=1,C590="重要关系5",LEFT('幕间与结算'!H497,8)="建立新的重要关系"),'幕间与结算'!E497+E590,BU589+IF(C590="重要关系5",E590,0)+IF(AND(C590="魅力",E590&lt;0),E590,0))))</x:f>
        <x:v>0</x:v>
      </x:c>
      <x:c r="BV590">
        <x:f>MAX(0,MIN(BK590,IF(AND(H590=1,C590="重要关系6",LEFT('幕间与结算'!H497,8)="建立新的重要关系"),'幕间与结算'!E497+E590,BV589+IF(C590="重要关系6",E590,0)+IF(AND(C590="魅力",E590&lt;0),E590,0))))</x:f>
        <x:v>0</x:v>
      </x:c>
      <x:c r="BW590">
        <x:f>MAX(0,MIN(BK590,IF(AND(H590=1,C590="重要关系7",LEFT('幕间与结算'!H497,8)="建立新的重要关系"),'幕间与结算'!E497+E590,BW589+IF(C590="重要关系7",E590,0)+IF(AND(C590="魅力",E590&lt;0),E590,0))))</x:f>
        <x:v>0</x:v>
      </x:c>
    </x:row>
    <x:row r="591">
      <x:c r="A591" t="str">
        <x:f>IFERROR(TEXT(VALUE('幕间与结算'!A498),"00"),"")</x:f>
        <x:v>00</x:v>
      </x:c>
      <x:c r="B591">
        <x:f>'幕间与结算'!B498</x:f>
        <x:v>0</x:v>
      </x:c>
      <x:c r="C591">
        <x:f>'幕间与结算'!D498</x:f>
        <x:v>0</x:v>
      </x:c>
      <x:c r="D591">
        <x:f>'幕间与结算'!F498</x:f>
        <x:v>0</x:v>
      </x:c>
      <x:c r="E591">
        <x:f>IF(H591=1,MAX(-'幕间与结算'!E498,MIN(D591,IF(LEFT(C591,3)="技能：",99,IF(COUNTIF($L$2:$L$7,C591)&gt;0,18,999))-'幕间与结算'!E498)),0)</x:f>
        <x:v>0</x:v>
      </x:c>
      <x:c r="F591" t="str">
        <x:f>IF(C591=0,"",IF(G591=0,"记录不完整",IF(H591=0,"重复未计","已计入")))</x:f>
        <x:v/>
      </x:c>
      <x:c r="G591">
        <x:f>IF(AND(AND('幕间与结算'!A498&lt;&gt;"",'幕间与结算'!B498&lt;&gt;"",'幕间与结算'!I498&lt;&gt;"",OR(LEFT(C591,3)="技能：",COUNTIF($L$2:$L$19,C591)&gt;0),ISNUMBER('幕间与结算'!E498),ISNUMBER('幕间与结算'!F498),ISNUMBER('幕间与结算'!G498),'幕间与结算'!E498&gt;=0,'幕间与结算'!G498='幕间与结算'!E498+'幕间与结算'!F498),OR(B591&lt;&gt;"成长",AND(LEFT(C591,3)="技能：",C591&lt;&gt;"技能：非自然知识",'幕间与结算'!E498&gt;=1,'幕间与结算'!E498&lt;=99,'幕间与结算'!F498&gt;=0,'幕间与结算'!F498&lt;=4,'幕间与结算'!G498&lt;=99))),1,0)</x:f>
        <x:v>0</x:v>
      </x:c>
      <x:c r="H591">
        <x:f>IF(AND(G591=1,COUNTIFS($I$200:I591,I591,$G$200:G591,1)=1),1,0)</x:f>
        <x:v>0</x:v>
      </x:c>
      <x:c r="I591" t="str">
        <x:f>IF(G591=1,IF(B591="成长",A591&amp;"-成长-"&amp;C591,'幕间与结算'!I498),"")</x:f>
        <x:v/>
      </x:c>
      <x:c r="BF591">
        <x:f>MAX(0,MIN(18,BF590+IF(C591="力量",E591,0)))</x:f>
        <x:v>0</x:v>
      </x:c>
      <x:c r="BG591">
        <x:f>MAX(0,MIN(18,BG590+IF(C591="体质",E591,0)))</x:f>
        <x:v>0</x:v>
      </x:c>
      <x:c r="BH591">
        <x:f>MAX(0,MIN(18,BH590+IF(C591="敏捷",E591,0)))</x:f>
        <x:v>0</x:v>
      </x:c>
      <x:c r="BI591">
        <x:f>MAX(0,MIN(18,BI590+IF(C591="智力",E591,0)))</x:f>
        <x:v>0</x:v>
      </x:c>
      <x:c r="BJ591">
        <x:f>MAX(0,MIN(18,BJ590+IF(C591="意志",E591,0)))</x:f>
        <x:v>0</x:v>
      </x:c>
      <x:c r="BK591">
        <x:f>MAX(0,MIN(18,BK590+IF(C591="魅力",E591,0)))</x:f>
        <x:v>0</x:v>
      </x:c>
      <x:c r="BL591">
        <x:f>MAX(0,MIN(99,BL590+IF(C591="技能：非自然知识",E591,0)))</x:f>
        <x:v>0</x:v>
      </x:c>
      <x:c r="BM591">
        <x:f>MAX(0,MIN(CEILING((BF591+BG591)/2,1),BM590+IF(C591="体力",E591,0)))</x:f>
        <x:v>0</x:v>
      </x:c>
      <x:c r="BN591">
        <x:f>MAX(0,MIN(BJ591,BN590+IF(C591="毅力",E591,0)))</x:f>
        <x:v>0</x:v>
      </x:c>
      <x:c r="BO591">
        <x:f>MAX(0,MIN(99-BL591,BO590+IF(C591="理智",E591,0)))</x:f>
        <x:v>0</x:v>
      </x:c>
      <x:c r="BP591">
        <x:f>MAX(0,MIN(99,BP590+IF(C591="崩溃点",E591,0)))</x:f>
        <x:v>0</x:v>
      </x:c>
      <x:c r="BQ591">
        <x:f>MAX(0,MIN(BK591,IF(AND(H591=1,C591="重要关系1",LEFT('幕间与结算'!H498,8)="建立新的重要关系"),'幕间与结算'!E498+E591,BQ590+IF(C591="重要关系1",E591,0)+IF(AND(C591="魅力",E591&lt;0),E591,0))))</x:f>
        <x:v>0</x:v>
      </x:c>
      <x:c r="BR591">
        <x:f>MAX(0,MIN(BK591,IF(AND(H591=1,C591="重要关系2",LEFT('幕间与结算'!H498,8)="建立新的重要关系"),'幕间与结算'!E498+E591,BR590+IF(C591="重要关系2",E591,0)+IF(AND(C591="魅力",E591&lt;0),E591,0))))</x:f>
        <x:v>0</x:v>
      </x:c>
      <x:c r="BS591">
        <x:f>MAX(0,MIN(BK591,IF(AND(H591=1,C591="重要关系3",LEFT('幕间与结算'!H498,8)="建立新的重要关系"),'幕间与结算'!E498+E591,BS590+IF(C591="重要关系3",E591,0)+IF(AND(C591="魅力",E591&lt;0),E591,0))))</x:f>
        <x:v>0</x:v>
      </x:c>
      <x:c r="BT591">
        <x:f>MAX(0,MIN(BK591,IF(AND(H591=1,C591="重要关系4",LEFT('幕间与结算'!H498,8)="建立新的重要关系"),'幕间与结算'!E498+E591,BT590+IF(C591="重要关系4",E591,0)+IF(AND(C591="魅力",E591&lt;0),E591,0))))</x:f>
        <x:v>0</x:v>
      </x:c>
      <x:c r="BU591">
        <x:f>MAX(0,MIN(BK591,IF(AND(H591=1,C591="重要关系5",LEFT('幕间与结算'!H498,8)="建立新的重要关系"),'幕间与结算'!E498+E591,BU590+IF(C591="重要关系5",E591,0)+IF(AND(C591="魅力",E591&lt;0),E591,0))))</x:f>
        <x:v>0</x:v>
      </x:c>
      <x:c r="BV591">
        <x:f>MAX(0,MIN(BK591,IF(AND(H591=1,C591="重要关系6",LEFT('幕间与结算'!H498,8)="建立新的重要关系"),'幕间与结算'!E498+E591,BV590+IF(C591="重要关系6",E591,0)+IF(AND(C591="魅力",E591&lt;0),E591,0))))</x:f>
        <x:v>0</x:v>
      </x:c>
      <x:c r="BW591">
        <x:f>MAX(0,MIN(BK591,IF(AND(H591=1,C591="重要关系7",LEFT('幕间与结算'!H498,8)="建立新的重要关系"),'幕间与结算'!E498+E591,BW590+IF(C591="重要关系7",E591,0)+IF(AND(C591="魅力",E591&lt;0),E591,0))))</x:f>
        <x:v>0</x:v>
      </x:c>
    </x:row>
    <x:row r="592">
      <x:c r="A592" t="str">
        <x:f>IFERROR(TEXT(VALUE('幕间与结算'!A499),"00"),"")</x:f>
        <x:v>00</x:v>
      </x:c>
      <x:c r="B592">
        <x:f>'幕间与结算'!B499</x:f>
        <x:v>0</x:v>
      </x:c>
      <x:c r="C592">
        <x:f>'幕间与结算'!D499</x:f>
        <x:v>0</x:v>
      </x:c>
      <x:c r="D592">
        <x:f>'幕间与结算'!F499</x:f>
        <x:v>0</x:v>
      </x:c>
      <x:c r="E592">
        <x:f>IF(H592=1,MAX(-'幕间与结算'!E499,MIN(D592,IF(LEFT(C592,3)="技能：",99,IF(COUNTIF($L$2:$L$7,C592)&gt;0,18,999))-'幕间与结算'!E499)),0)</x:f>
        <x:v>0</x:v>
      </x:c>
      <x:c r="F592" t="str">
        <x:f>IF(C592=0,"",IF(G592=0,"记录不完整",IF(H592=0,"重复未计","已计入")))</x:f>
        <x:v/>
      </x:c>
      <x:c r="G592">
        <x:f>IF(AND(AND('幕间与结算'!A499&lt;&gt;"",'幕间与结算'!B499&lt;&gt;"",'幕间与结算'!I499&lt;&gt;"",OR(LEFT(C592,3)="技能：",COUNTIF($L$2:$L$19,C592)&gt;0),ISNUMBER('幕间与结算'!E499),ISNUMBER('幕间与结算'!F499),ISNUMBER('幕间与结算'!G499),'幕间与结算'!E499&gt;=0,'幕间与结算'!G499='幕间与结算'!E499+'幕间与结算'!F499),OR(B592&lt;&gt;"成长",AND(LEFT(C592,3)="技能：",C592&lt;&gt;"技能：非自然知识",'幕间与结算'!E499&gt;=1,'幕间与结算'!E499&lt;=99,'幕间与结算'!F499&gt;=0,'幕间与结算'!F499&lt;=4,'幕间与结算'!G499&lt;=99))),1,0)</x:f>
        <x:v>0</x:v>
      </x:c>
      <x:c r="H592">
        <x:f>IF(AND(G592=1,COUNTIFS($I$200:I592,I592,$G$200:G592,1)=1),1,0)</x:f>
        <x:v>0</x:v>
      </x:c>
      <x:c r="I592" t="str">
        <x:f>IF(G592=1,IF(B592="成长",A592&amp;"-成长-"&amp;C592,'幕间与结算'!I499),"")</x:f>
        <x:v/>
      </x:c>
      <x:c r="BF592">
        <x:f>MAX(0,MIN(18,BF591+IF(C592="力量",E592,0)))</x:f>
        <x:v>0</x:v>
      </x:c>
      <x:c r="BG592">
        <x:f>MAX(0,MIN(18,BG591+IF(C592="体质",E592,0)))</x:f>
        <x:v>0</x:v>
      </x:c>
      <x:c r="BH592">
        <x:f>MAX(0,MIN(18,BH591+IF(C592="敏捷",E592,0)))</x:f>
        <x:v>0</x:v>
      </x:c>
      <x:c r="BI592">
        <x:f>MAX(0,MIN(18,BI591+IF(C592="智力",E592,0)))</x:f>
        <x:v>0</x:v>
      </x:c>
      <x:c r="BJ592">
        <x:f>MAX(0,MIN(18,BJ591+IF(C592="意志",E592,0)))</x:f>
        <x:v>0</x:v>
      </x:c>
      <x:c r="BK592">
        <x:f>MAX(0,MIN(18,BK591+IF(C592="魅力",E592,0)))</x:f>
        <x:v>0</x:v>
      </x:c>
      <x:c r="BL592">
        <x:f>MAX(0,MIN(99,BL591+IF(C592="技能：非自然知识",E592,0)))</x:f>
        <x:v>0</x:v>
      </x:c>
      <x:c r="BM592">
        <x:f>MAX(0,MIN(CEILING((BF592+BG592)/2,1),BM591+IF(C592="体力",E592,0)))</x:f>
        <x:v>0</x:v>
      </x:c>
      <x:c r="BN592">
        <x:f>MAX(0,MIN(BJ592,BN591+IF(C592="毅力",E592,0)))</x:f>
        <x:v>0</x:v>
      </x:c>
      <x:c r="BO592">
        <x:f>MAX(0,MIN(99-BL592,BO591+IF(C592="理智",E592,0)))</x:f>
        <x:v>0</x:v>
      </x:c>
      <x:c r="BP592">
        <x:f>MAX(0,MIN(99,BP591+IF(C592="崩溃点",E592,0)))</x:f>
        <x:v>0</x:v>
      </x:c>
      <x:c r="BQ592">
        <x:f>MAX(0,MIN(BK592,IF(AND(H592=1,C592="重要关系1",LEFT('幕间与结算'!H499,8)="建立新的重要关系"),'幕间与结算'!E499+E592,BQ591+IF(C592="重要关系1",E592,0)+IF(AND(C592="魅力",E592&lt;0),E592,0))))</x:f>
        <x:v>0</x:v>
      </x:c>
      <x:c r="BR592">
        <x:f>MAX(0,MIN(BK592,IF(AND(H592=1,C592="重要关系2",LEFT('幕间与结算'!H499,8)="建立新的重要关系"),'幕间与结算'!E499+E592,BR591+IF(C592="重要关系2",E592,0)+IF(AND(C592="魅力",E592&lt;0),E592,0))))</x:f>
        <x:v>0</x:v>
      </x:c>
      <x:c r="BS592">
        <x:f>MAX(0,MIN(BK592,IF(AND(H592=1,C592="重要关系3",LEFT('幕间与结算'!H499,8)="建立新的重要关系"),'幕间与结算'!E499+E592,BS591+IF(C592="重要关系3",E592,0)+IF(AND(C592="魅力",E592&lt;0),E592,0))))</x:f>
        <x:v>0</x:v>
      </x:c>
      <x:c r="BT592">
        <x:f>MAX(0,MIN(BK592,IF(AND(H592=1,C592="重要关系4",LEFT('幕间与结算'!H499,8)="建立新的重要关系"),'幕间与结算'!E499+E592,BT591+IF(C592="重要关系4",E592,0)+IF(AND(C592="魅力",E592&lt;0),E592,0))))</x:f>
        <x:v>0</x:v>
      </x:c>
      <x:c r="BU592">
        <x:f>MAX(0,MIN(BK592,IF(AND(H592=1,C592="重要关系5",LEFT('幕间与结算'!H499,8)="建立新的重要关系"),'幕间与结算'!E499+E592,BU591+IF(C592="重要关系5",E592,0)+IF(AND(C592="魅力",E592&lt;0),E592,0))))</x:f>
        <x:v>0</x:v>
      </x:c>
      <x:c r="BV592">
        <x:f>MAX(0,MIN(BK592,IF(AND(H592=1,C592="重要关系6",LEFT('幕间与结算'!H499,8)="建立新的重要关系"),'幕间与结算'!E499+E592,BV591+IF(C592="重要关系6",E592,0)+IF(AND(C592="魅力",E592&lt;0),E592,0))))</x:f>
        <x:v>0</x:v>
      </x:c>
      <x:c r="BW592">
        <x:f>MAX(0,MIN(BK592,IF(AND(H592=1,C592="重要关系7",LEFT('幕间与结算'!H499,8)="建立新的重要关系"),'幕间与结算'!E499+E592,BW591+IF(C592="重要关系7",E592,0)+IF(AND(C592="魅力",E592&lt;0),E592,0))))</x:f>
        <x:v>0</x:v>
      </x:c>
    </x:row>
    <x:row r="593">
      <x:c r="A593" t="str">
        <x:f>IFERROR(TEXT(VALUE('幕间与结算'!A500),"00"),"")</x:f>
        <x:v>00</x:v>
      </x:c>
      <x:c r="B593">
        <x:f>'幕间与结算'!B500</x:f>
        <x:v>0</x:v>
      </x:c>
      <x:c r="C593">
        <x:f>'幕间与结算'!D500</x:f>
        <x:v>0</x:v>
      </x:c>
      <x:c r="D593">
        <x:f>'幕间与结算'!F500</x:f>
        <x:v>0</x:v>
      </x:c>
      <x:c r="E593">
        <x:f>IF(H593=1,MAX(-'幕间与结算'!E500,MIN(D593,IF(LEFT(C593,3)="技能：",99,IF(COUNTIF($L$2:$L$7,C593)&gt;0,18,999))-'幕间与结算'!E500)),0)</x:f>
        <x:v>0</x:v>
      </x:c>
      <x:c r="F593" t="str">
        <x:f>IF(C593=0,"",IF(G593=0,"记录不完整",IF(H593=0,"重复未计","已计入")))</x:f>
        <x:v/>
      </x:c>
      <x:c r="G593">
        <x:f>IF(AND(AND('幕间与结算'!A500&lt;&gt;"",'幕间与结算'!B500&lt;&gt;"",'幕间与结算'!I500&lt;&gt;"",OR(LEFT(C593,3)="技能：",COUNTIF($L$2:$L$19,C593)&gt;0),ISNUMBER('幕间与结算'!E500),ISNUMBER('幕间与结算'!F500),ISNUMBER('幕间与结算'!G500),'幕间与结算'!E500&gt;=0,'幕间与结算'!G500='幕间与结算'!E500+'幕间与结算'!F500),OR(B593&lt;&gt;"成长",AND(LEFT(C593,3)="技能：",C593&lt;&gt;"技能：非自然知识",'幕间与结算'!E500&gt;=1,'幕间与结算'!E500&lt;=99,'幕间与结算'!F500&gt;=0,'幕间与结算'!F500&lt;=4,'幕间与结算'!G500&lt;=99))),1,0)</x:f>
        <x:v>0</x:v>
      </x:c>
      <x:c r="H593">
        <x:f>IF(AND(G593=1,COUNTIFS($I$200:I593,I593,$G$200:G593,1)=1),1,0)</x:f>
        <x:v>0</x:v>
      </x:c>
      <x:c r="I593" t="str">
        <x:f>IF(G593=1,IF(B593="成长",A593&amp;"-成长-"&amp;C593,'幕间与结算'!I500),"")</x:f>
        <x:v/>
      </x:c>
      <x:c r="BF593">
        <x:f>MAX(0,MIN(18,BF592+IF(C593="力量",E593,0)))</x:f>
        <x:v>0</x:v>
      </x:c>
      <x:c r="BG593">
        <x:f>MAX(0,MIN(18,BG592+IF(C593="体质",E593,0)))</x:f>
        <x:v>0</x:v>
      </x:c>
      <x:c r="BH593">
        <x:f>MAX(0,MIN(18,BH592+IF(C593="敏捷",E593,0)))</x:f>
        <x:v>0</x:v>
      </x:c>
      <x:c r="BI593">
        <x:f>MAX(0,MIN(18,BI592+IF(C593="智力",E593,0)))</x:f>
        <x:v>0</x:v>
      </x:c>
      <x:c r="BJ593">
        <x:f>MAX(0,MIN(18,BJ592+IF(C593="意志",E593,0)))</x:f>
        <x:v>0</x:v>
      </x:c>
      <x:c r="BK593">
        <x:f>MAX(0,MIN(18,BK592+IF(C593="魅力",E593,0)))</x:f>
        <x:v>0</x:v>
      </x:c>
      <x:c r="BL593">
        <x:f>MAX(0,MIN(99,BL592+IF(C593="技能：非自然知识",E593,0)))</x:f>
        <x:v>0</x:v>
      </x:c>
      <x:c r="BM593">
        <x:f>MAX(0,MIN(CEILING((BF593+BG593)/2,1),BM592+IF(C593="体力",E593,0)))</x:f>
        <x:v>0</x:v>
      </x:c>
      <x:c r="BN593">
        <x:f>MAX(0,MIN(BJ593,BN592+IF(C593="毅力",E593,0)))</x:f>
        <x:v>0</x:v>
      </x:c>
      <x:c r="BO593">
        <x:f>MAX(0,MIN(99-BL593,BO592+IF(C593="理智",E593,0)))</x:f>
        <x:v>0</x:v>
      </x:c>
      <x:c r="BP593">
        <x:f>MAX(0,MIN(99,BP592+IF(C593="崩溃点",E593,0)))</x:f>
        <x:v>0</x:v>
      </x:c>
      <x:c r="BQ593">
        <x:f>MAX(0,MIN(BK593,IF(AND(H593=1,C593="重要关系1",LEFT('幕间与结算'!H500,8)="建立新的重要关系"),'幕间与结算'!E500+E593,BQ592+IF(C593="重要关系1",E593,0)+IF(AND(C593="魅力",E593&lt;0),E593,0))))</x:f>
        <x:v>0</x:v>
      </x:c>
      <x:c r="BR593">
        <x:f>MAX(0,MIN(BK593,IF(AND(H593=1,C593="重要关系2",LEFT('幕间与结算'!H500,8)="建立新的重要关系"),'幕间与结算'!E500+E593,BR592+IF(C593="重要关系2",E593,0)+IF(AND(C593="魅力",E593&lt;0),E593,0))))</x:f>
        <x:v>0</x:v>
      </x:c>
      <x:c r="BS593">
        <x:f>MAX(0,MIN(BK593,IF(AND(H593=1,C593="重要关系3",LEFT('幕间与结算'!H500,8)="建立新的重要关系"),'幕间与结算'!E500+E593,BS592+IF(C593="重要关系3",E593,0)+IF(AND(C593="魅力",E593&lt;0),E593,0))))</x:f>
        <x:v>0</x:v>
      </x:c>
      <x:c r="BT593">
        <x:f>MAX(0,MIN(BK593,IF(AND(H593=1,C593="重要关系4",LEFT('幕间与结算'!H500,8)="建立新的重要关系"),'幕间与结算'!E500+E593,BT592+IF(C593="重要关系4",E593,0)+IF(AND(C593="魅力",E593&lt;0),E593,0))))</x:f>
        <x:v>0</x:v>
      </x:c>
      <x:c r="BU593">
        <x:f>MAX(0,MIN(BK593,IF(AND(H593=1,C593="重要关系5",LEFT('幕间与结算'!H500,8)="建立新的重要关系"),'幕间与结算'!E500+E593,BU592+IF(C593="重要关系5",E593,0)+IF(AND(C593="魅力",E593&lt;0),E593,0))))</x:f>
        <x:v>0</x:v>
      </x:c>
      <x:c r="BV593">
        <x:f>MAX(0,MIN(BK593,IF(AND(H593=1,C593="重要关系6",LEFT('幕间与结算'!H500,8)="建立新的重要关系"),'幕间与结算'!E500+E593,BV592+IF(C593="重要关系6",E593,0)+IF(AND(C593="魅力",E593&lt;0),E593,0))))</x:f>
        <x:v>0</x:v>
      </x:c>
      <x:c r="BW593">
        <x:f>MAX(0,MIN(BK593,IF(AND(H593=1,C593="重要关系7",LEFT('幕间与结算'!H500,8)="建立新的重要关系"),'幕间与结算'!E500+E593,BW592+IF(C593="重要关系7",E593,0)+IF(AND(C593="魅力",E593&lt;0),E593,0))))</x:f>
        <x:v>0</x:v>
      </x:c>
    </x:row>
    <x:row r="594">
      <x:c r="A594" t="str">
        <x:f>IFERROR(TEXT(VALUE('幕间与结算'!A501),"00"),"")</x:f>
        <x:v>00</x:v>
      </x:c>
      <x:c r="B594">
        <x:f>'幕间与结算'!B501</x:f>
        <x:v>0</x:v>
      </x:c>
      <x:c r="C594">
        <x:f>'幕间与结算'!D501</x:f>
        <x:v>0</x:v>
      </x:c>
      <x:c r="D594">
        <x:f>'幕间与结算'!F501</x:f>
        <x:v>0</x:v>
      </x:c>
      <x:c r="E594">
        <x:f>IF(H594=1,MAX(-'幕间与结算'!E501,MIN(D594,IF(LEFT(C594,3)="技能：",99,IF(COUNTIF($L$2:$L$7,C594)&gt;0,18,999))-'幕间与结算'!E501)),0)</x:f>
        <x:v>0</x:v>
      </x:c>
      <x:c r="F594" t="str">
        <x:f>IF(C594=0,"",IF(G594=0,"记录不完整",IF(H594=0,"重复未计","已计入")))</x:f>
        <x:v/>
      </x:c>
      <x:c r="G594">
        <x:f>IF(AND(AND('幕间与结算'!A501&lt;&gt;"",'幕间与结算'!B501&lt;&gt;"",'幕间与结算'!I501&lt;&gt;"",OR(LEFT(C594,3)="技能：",COUNTIF($L$2:$L$19,C594)&gt;0),ISNUMBER('幕间与结算'!E501),ISNUMBER('幕间与结算'!F501),ISNUMBER('幕间与结算'!G501),'幕间与结算'!E501&gt;=0,'幕间与结算'!G501='幕间与结算'!E501+'幕间与结算'!F501),OR(B594&lt;&gt;"成长",AND(LEFT(C594,3)="技能：",C594&lt;&gt;"技能：非自然知识",'幕间与结算'!E501&gt;=1,'幕间与结算'!E501&lt;=99,'幕间与结算'!F501&gt;=0,'幕间与结算'!F501&lt;=4,'幕间与结算'!G501&lt;=99))),1,0)</x:f>
        <x:v>0</x:v>
      </x:c>
      <x:c r="H594">
        <x:f>IF(AND(G594=1,COUNTIFS($I$200:I594,I594,$G$200:G594,1)=1),1,0)</x:f>
        <x:v>0</x:v>
      </x:c>
      <x:c r="I594" t="str">
        <x:f>IF(G594=1,IF(B594="成长",A594&amp;"-成长-"&amp;C594,'幕间与结算'!I501),"")</x:f>
        <x:v/>
      </x:c>
      <x:c r="BF594">
        <x:f>MAX(0,MIN(18,BF593+IF(C594="力量",E594,0)))</x:f>
        <x:v>0</x:v>
      </x:c>
      <x:c r="BG594">
        <x:f>MAX(0,MIN(18,BG593+IF(C594="体质",E594,0)))</x:f>
        <x:v>0</x:v>
      </x:c>
      <x:c r="BH594">
        <x:f>MAX(0,MIN(18,BH593+IF(C594="敏捷",E594,0)))</x:f>
        <x:v>0</x:v>
      </x:c>
      <x:c r="BI594">
        <x:f>MAX(0,MIN(18,BI593+IF(C594="智力",E594,0)))</x:f>
        <x:v>0</x:v>
      </x:c>
      <x:c r="BJ594">
        <x:f>MAX(0,MIN(18,BJ593+IF(C594="意志",E594,0)))</x:f>
        <x:v>0</x:v>
      </x:c>
      <x:c r="BK594">
        <x:f>MAX(0,MIN(18,BK593+IF(C594="魅力",E594,0)))</x:f>
        <x:v>0</x:v>
      </x:c>
      <x:c r="BL594">
        <x:f>MAX(0,MIN(99,BL593+IF(C594="技能：非自然知识",E594,0)))</x:f>
        <x:v>0</x:v>
      </x:c>
      <x:c r="BM594">
        <x:f>MAX(0,MIN(CEILING((BF594+BG594)/2,1),BM593+IF(C594="体力",E594,0)))</x:f>
        <x:v>0</x:v>
      </x:c>
      <x:c r="BN594">
        <x:f>MAX(0,MIN(BJ594,BN593+IF(C594="毅力",E594,0)))</x:f>
        <x:v>0</x:v>
      </x:c>
      <x:c r="BO594">
        <x:f>MAX(0,MIN(99-BL594,BO593+IF(C594="理智",E594,0)))</x:f>
        <x:v>0</x:v>
      </x:c>
      <x:c r="BP594">
        <x:f>MAX(0,MIN(99,BP593+IF(C594="崩溃点",E594,0)))</x:f>
        <x:v>0</x:v>
      </x:c>
      <x:c r="BQ594">
        <x:f>MAX(0,MIN(BK594,IF(AND(H594=1,C594="重要关系1",LEFT('幕间与结算'!H501,8)="建立新的重要关系"),'幕间与结算'!E501+E594,BQ593+IF(C594="重要关系1",E594,0)+IF(AND(C594="魅力",E594&lt;0),E594,0))))</x:f>
        <x:v>0</x:v>
      </x:c>
      <x:c r="BR594">
        <x:f>MAX(0,MIN(BK594,IF(AND(H594=1,C594="重要关系2",LEFT('幕间与结算'!H501,8)="建立新的重要关系"),'幕间与结算'!E501+E594,BR593+IF(C594="重要关系2",E594,0)+IF(AND(C594="魅力",E594&lt;0),E594,0))))</x:f>
        <x:v>0</x:v>
      </x:c>
      <x:c r="BS594">
        <x:f>MAX(0,MIN(BK594,IF(AND(H594=1,C594="重要关系3",LEFT('幕间与结算'!H501,8)="建立新的重要关系"),'幕间与结算'!E501+E594,BS593+IF(C594="重要关系3",E594,0)+IF(AND(C594="魅力",E594&lt;0),E594,0))))</x:f>
        <x:v>0</x:v>
      </x:c>
      <x:c r="BT594">
        <x:f>MAX(0,MIN(BK594,IF(AND(H594=1,C594="重要关系4",LEFT('幕间与结算'!H501,8)="建立新的重要关系"),'幕间与结算'!E501+E594,BT593+IF(C594="重要关系4",E594,0)+IF(AND(C594="魅力",E594&lt;0),E594,0))))</x:f>
        <x:v>0</x:v>
      </x:c>
      <x:c r="BU594">
        <x:f>MAX(0,MIN(BK594,IF(AND(H594=1,C594="重要关系5",LEFT('幕间与结算'!H501,8)="建立新的重要关系"),'幕间与结算'!E501+E594,BU593+IF(C594="重要关系5",E594,0)+IF(AND(C594="魅力",E594&lt;0),E594,0))))</x:f>
        <x:v>0</x:v>
      </x:c>
      <x:c r="BV594">
        <x:f>MAX(0,MIN(BK594,IF(AND(H594=1,C594="重要关系6",LEFT('幕间与结算'!H501,8)="建立新的重要关系"),'幕间与结算'!E501+E594,BV593+IF(C594="重要关系6",E594,0)+IF(AND(C594="魅力",E594&lt;0),E594,0))))</x:f>
        <x:v>0</x:v>
      </x:c>
      <x:c r="BW594">
        <x:f>MAX(0,MIN(BK594,IF(AND(H594=1,C594="重要关系7",LEFT('幕间与结算'!H501,8)="建立新的重要关系"),'幕间与结算'!E501+E594,BW593+IF(C594="重要关系7",E594,0)+IF(AND(C594="魅力",E594&lt;0),E594,0))))</x:f>
        <x:v>0</x:v>
      </x:c>
    </x:row>
    <x:row r="595">
      <x:c r="A595" t="str">
        <x:f>IFERROR(TEXT(VALUE('幕间与结算'!A502),"00"),"")</x:f>
        <x:v>00</x:v>
      </x:c>
      <x:c r="B595">
        <x:f>'幕间与结算'!B502</x:f>
        <x:v>0</x:v>
      </x:c>
      <x:c r="C595">
        <x:f>'幕间与结算'!D502</x:f>
        <x:v>0</x:v>
      </x:c>
      <x:c r="D595">
        <x:f>'幕间与结算'!F502</x:f>
        <x:v>0</x:v>
      </x:c>
      <x:c r="E595">
        <x:f>IF(H595=1,MAX(-'幕间与结算'!E502,MIN(D595,IF(LEFT(C595,3)="技能：",99,IF(COUNTIF($L$2:$L$7,C595)&gt;0,18,999))-'幕间与结算'!E502)),0)</x:f>
        <x:v>0</x:v>
      </x:c>
      <x:c r="F595" t="str">
        <x:f>IF(C595=0,"",IF(G595=0,"记录不完整",IF(H595=0,"重复未计","已计入")))</x:f>
        <x:v/>
      </x:c>
      <x:c r="G595">
        <x:f>IF(AND(AND('幕间与结算'!A502&lt;&gt;"",'幕间与结算'!B502&lt;&gt;"",'幕间与结算'!I502&lt;&gt;"",OR(LEFT(C595,3)="技能：",COUNTIF($L$2:$L$19,C595)&gt;0),ISNUMBER('幕间与结算'!E502),ISNUMBER('幕间与结算'!F502),ISNUMBER('幕间与结算'!G502),'幕间与结算'!E502&gt;=0,'幕间与结算'!G502='幕间与结算'!E502+'幕间与结算'!F502),OR(B595&lt;&gt;"成长",AND(LEFT(C595,3)="技能：",C595&lt;&gt;"技能：非自然知识",'幕间与结算'!E502&gt;=1,'幕间与结算'!E502&lt;=99,'幕间与结算'!F502&gt;=0,'幕间与结算'!F502&lt;=4,'幕间与结算'!G502&lt;=99))),1,0)</x:f>
        <x:v>0</x:v>
      </x:c>
      <x:c r="H595">
        <x:f>IF(AND(G595=1,COUNTIFS($I$200:I595,I595,$G$200:G595,1)=1),1,0)</x:f>
        <x:v>0</x:v>
      </x:c>
      <x:c r="I595" t="str">
        <x:f>IF(G595=1,IF(B595="成长",A595&amp;"-成长-"&amp;C595,'幕间与结算'!I502),"")</x:f>
        <x:v/>
      </x:c>
      <x:c r="BF595">
        <x:f>MAX(0,MIN(18,BF594+IF(C595="力量",E595,0)))</x:f>
        <x:v>0</x:v>
      </x:c>
      <x:c r="BG595">
        <x:f>MAX(0,MIN(18,BG594+IF(C595="体质",E595,0)))</x:f>
        <x:v>0</x:v>
      </x:c>
      <x:c r="BH595">
        <x:f>MAX(0,MIN(18,BH594+IF(C595="敏捷",E595,0)))</x:f>
        <x:v>0</x:v>
      </x:c>
      <x:c r="BI595">
        <x:f>MAX(0,MIN(18,BI594+IF(C595="智力",E595,0)))</x:f>
        <x:v>0</x:v>
      </x:c>
      <x:c r="BJ595">
        <x:f>MAX(0,MIN(18,BJ594+IF(C595="意志",E595,0)))</x:f>
        <x:v>0</x:v>
      </x:c>
      <x:c r="BK595">
        <x:f>MAX(0,MIN(18,BK594+IF(C595="魅力",E595,0)))</x:f>
        <x:v>0</x:v>
      </x:c>
      <x:c r="BL595">
        <x:f>MAX(0,MIN(99,BL594+IF(C595="技能：非自然知识",E595,0)))</x:f>
        <x:v>0</x:v>
      </x:c>
      <x:c r="BM595">
        <x:f>MAX(0,MIN(CEILING((BF595+BG595)/2,1),BM594+IF(C595="体力",E595,0)))</x:f>
        <x:v>0</x:v>
      </x:c>
      <x:c r="BN595">
        <x:f>MAX(0,MIN(BJ595,BN594+IF(C595="毅力",E595,0)))</x:f>
        <x:v>0</x:v>
      </x:c>
      <x:c r="BO595">
        <x:f>MAX(0,MIN(99-BL595,BO594+IF(C595="理智",E595,0)))</x:f>
        <x:v>0</x:v>
      </x:c>
      <x:c r="BP595">
        <x:f>MAX(0,MIN(99,BP594+IF(C595="崩溃点",E595,0)))</x:f>
        <x:v>0</x:v>
      </x:c>
      <x:c r="BQ595">
        <x:f>MAX(0,MIN(BK595,IF(AND(H595=1,C595="重要关系1",LEFT('幕间与结算'!H502,8)="建立新的重要关系"),'幕间与结算'!E502+E595,BQ594+IF(C595="重要关系1",E595,0)+IF(AND(C595="魅力",E595&lt;0),E595,0))))</x:f>
        <x:v>0</x:v>
      </x:c>
      <x:c r="BR595">
        <x:f>MAX(0,MIN(BK595,IF(AND(H595=1,C595="重要关系2",LEFT('幕间与结算'!H502,8)="建立新的重要关系"),'幕间与结算'!E502+E595,BR594+IF(C595="重要关系2",E595,0)+IF(AND(C595="魅力",E595&lt;0),E595,0))))</x:f>
        <x:v>0</x:v>
      </x:c>
      <x:c r="BS595">
        <x:f>MAX(0,MIN(BK595,IF(AND(H595=1,C595="重要关系3",LEFT('幕间与结算'!H502,8)="建立新的重要关系"),'幕间与结算'!E502+E595,BS594+IF(C595="重要关系3",E595,0)+IF(AND(C595="魅力",E595&lt;0),E595,0))))</x:f>
        <x:v>0</x:v>
      </x:c>
      <x:c r="BT595">
        <x:f>MAX(0,MIN(BK595,IF(AND(H595=1,C595="重要关系4",LEFT('幕间与结算'!H502,8)="建立新的重要关系"),'幕间与结算'!E502+E595,BT594+IF(C595="重要关系4",E595,0)+IF(AND(C595="魅力",E595&lt;0),E595,0))))</x:f>
        <x:v>0</x:v>
      </x:c>
      <x:c r="BU595">
        <x:f>MAX(0,MIN(BK595,IF(AND(H595=1,C595="重要关系5",LEFT('幕间与结算'!H502,8)="建立新的重要关系"),'幕间与结算'!E502+E595,BU594+IF(C595="重要关系5",E595,0)+IF(AND(C595="魅力",E595&lt;0),E595,0))))</x:f>
        <x:v>0</x:v>
      </x:c>
      <x:c r="BV595">
        <x:f>MAX(0,MIN(BK595,IF(AND(H595=1,C595="重要关系6",LEFT('幕间与结算'!H502,8)="建立新的重要关系"),'幕间与结算'!E502+E595,BV594+IF(C595="重要关系6",E595,0)+IF(AND(C595="魅力",E595&lt;0),E595,0))))</x:f>
        <x:v>0</x:v>
      </x:c>
      <x:c r="BW595">
        <x:f>MAX(0,MIN(BK595,IF(AND(H595=1,C595="重要关系7",LEFT('幕间与结算'!H502,8)="建立新的重要关系"),'幕间与结算'!E502+E595,BW594+IF(C595="重要关系7",E595,0)+IF(AND(C595="魅力",E595&lt;0),E595,0))))</x:f>
        <x:v>0</x:v>
      </x:c>
    </x:row>
    <x:row r="596">
      <x:c r="A596" t="str">
        <x:f>IFERROR(TEXT(VALUE('幕间与结算'!A503),"00"),"")</x:f>
        <x:v>00</x:v>
      </x:c>
      <x:c r="B596">
        <x:f>'幕间与结算'!B503</x:f>
        <x:v>0</x:v>
      </x:c>
      <x:c r="C596">
        <x:f>'幕间与结算'!D503</x:f>
        <x:v>0</x:v>
      </x:c>
      <x:c r="D596">
        <x:f>'幕间与结算'!F503</x:f>
        <x:v>0</x:v>
      </x:c>
      <x:c r="E596">
        <x:f>IF(H596=1,MAX(-'幕间与结算'!E503,MIN(D596,IF(LEFT(C596,3)="技能：",99,IF(COUNTIF($L$2:$L$7,C596)&gt;0,18,999))-'幕间与结算'!E503)),0)</x:f>
        <x:v>0</x:v>
      </x:c>
      <x:c r="F596" t="str">
        <x:f>IF(C596=0,"",IF(G596=0,"记录不完整",IF(H596=0,"重复未计","已计入")))</x:f>
        <x:v/>
      </x:c>
      <x:c r="G596">
        <x:f>IF(AND(AND('幕间与结算'!A503&lt;&gt;"",'幕间与结算'!B503&lt;&gt;"",'幕间与结算'!I503&lt;&gt;"",OR(LEFT(C596,3)="技能：",COUNTIF($L$2:$L$19,C596)&gt;0),ISNUMBER('幕间与结算'!E503),ISNUMBER('幕间与结算'!F503),ISNUMBER('幕间与结算'!G503),'幕间与结算'!E503&gt;=0,'幕间与结算'!G503='幕间与结算'!E503+'幕间与结算'!F503),OR(B596&lt;&gt;"成长",AND(LEFT(C596,3)="技能：",C596&lt;&gt;"技能：非自然知识",'幕间与结算'!E503&gt;=1,'幕间与结算'!E503&lt;=99,'幕间与结算'!F503&gt;=0,'幕间与结算'!F503&lt;=4,'幕间与结算'!G503&lt;=99))),1,0)</x:f>
        <x:v>0</x:v>
      </x:c>
      <x:c r="H596">
        <x:f>IF(AND(G596=1,COUNTIFS($I$200:I596,I596,$G$200:G596,1)=1),1,0)</x:f>
        <x:v>0</x:v>
      </x:c>
      <x:c r="I596" t="str">
        <x:f>IF(G596=1,IF(B596="成长",A596&amp;"-成长-"&amp;C596,'幕间与结算'!I503),"")</x:f>
        <x:v/>
      </x:c>
      <x:c r="BF596">
        <x:f>MAX(0,MIN(18,BF595+IF(C596="力量",E596,0)))</x:f>
        <x:v>0</x:v>
      </x:c>
      <x:c r="BG596">
        <x:f>MAX(0,MIN(18,BG595+IF(C596="体质",E596,0)))</x:f>
        <x:v>0</x:v>
      </x:c>
      <x:c r="BH596">
        <x:f>MAX(0,MIN(18,BH595+IF(C596="敏捷",E596,0)))</x:f>
        <x:v>0</x:v>
      </x:c>
      <x:c r="BI596">
        <x:f>MAX(0,MIN(18,BI595+IF(C596="智力",E596,0)))</x:f>
        <x:v>0</x:v>
      </x:c>
      <x:c r="BJ596">
        <x:f>MAX(0,MIN(18,BJ595+IF(C596="意志",E596,0)))</x:f>
        <x:v>0</x:v>
      </x:c>
      <x:c r="BK596">
        <x:f>MAX(0,MIN(18,BK595+IF(C596="魅力",E596,0)))</x:f>
        <x:v>0</x:v>
      </x:c>
      <x:c r="BL596">
        <x:f>MAX(0,MIN(99,BL595+IF(C596="技能：非自然知识",E596,0)))</x:f>
        <x:v>0</x:v>
      </x:c>
      <x:c r="BM596">
        <x:f>MAX(0,MIN(CEILING((BF596+BG596)/2,1),BM595+IF(C596="体力",E596,0)))</x:f>
        <x:v>0</x:v>
      </x:c>
      <x:c r="BN596">
        <x:f>MAX(0,MIN(BJ596,BN595+IF(C596="毅力",E596,0)))</x:f>
        <x:v>0</x:v>
      </x:c>
      <x:c r="BO596">
        <x:f>MAX(0,MIN(99-BL596,BO595+IF(C596="理智",E596,0)))</x:f>
        <x:v>0</x:v>
      </x:c>
      <x:c r="BP596">
        <x:f>MAX(0,MIN(99,BP595+IF(C596="崩溃点",E596,0)))</x:f>
        <x:v>0</x:v>
      </x:c>
      <x:c r="BQ596">
        <x:f>MAX(0,MIN(BK596,IF(AND(H596=1,C596="重要关系1",LEFT('幕间与结算'!H503,8)="建立新的重要关系"),'幕间与结算'!E503+E596,BQ595+IF(C596="重要关系1",E596,0)+IF(AND(C596="魅力",E596&lt;0),E596,0))))</x:f>
        <x:v>0</x:v>
      </x:c>
      <x:c r="BR596">
        <x:f>MAX(0,MIN(BK596,IF(AND(H596=1,C596="重要关系2",LEFT('幕间与结算'!H503,8)="建立新的重要关系"),'幕间与结算'!E503+E596,BR595+IF(C596="重要关系2",E596,0)+IF(AND(C596="魅力",E596&lt;0),E596,0))))</x:f>
        <x:v>0</x:v>
      </x:c>
      <x:c r="BS596">
        <x:f>MAX(0,MIN(BK596,IF(AND(H596=1,C596="重要关系3",LEFT('幕间与结算'!H503,8)="建立新的重要关系"),'幕间与结算'!E503+E596,BS595+IF(C596="重要关系3",E596,0)+IF(AND(C596="魅力",E596&lt;0),E596,0))))</x:f>
        <x:v>0</x:v>
      </x:c>
      <x:c r="BT596">
        <x:f>MAX(0,MIN(BK596,IF(AND(H596=1,C596="重要关系4",LEFT('幕间与结算'!H503,8)="建立新的重要关系"),'幕间与结算'!E503+E596,BT595+IF(C596="重要关系4",E596,0)+IF(AND(C596="魅力",E596&lt;0),E596,0))))</x:f>
        <x:v>0</x:v>
      </x:c>
      <x:c r="BU596">
        <x:f>MAX(0,MIN(BK596,IF(AND(H596=1,C596="重要关系5",LEFT('幕间与结算'!H503,8)="建立新的重要关系"),'幕间与结算'!E503+E596,BU595+IF(C596="重要关系5",E596,0)+IF(AND(C596="魅力",E596&lt;0),E596,0))))</x:f>
        <x:v>0</x:v>
      </x:c>
      <x:c r="BV596">
        <x:f>MAX(0,MIN(BK596,IF(AND(H596=1,C596="重要关系6",LEFT('幕间与结算'!H503,8)="建立新的重要关系"),'幕间与结算'!E503+E596,BV595+IF(C596="重要关系6",E596,0)+IF(AND(C596="魅力",E596&lt;0),E596,0))))</x:f>
        <x:v>0</x:v>
      </x:c>
      <x:c r="BW596">
        <x:f>MAX(0,MIN(BK596,IF(AND(H596=1,C596="重要关系7",LEFT('幕间与结算'!H503,8)="建立新的重要关系"),'幕间与结算'!E503+E596,BW595+IF(C596="重要关系7",E596,0)+IF(AND(C596="魅力",E596&lt;0),E596,0))))</x:f>
        <x:v>0</x:v>
      </x:c>
    </x:row>
    <x:row r="597">
      <x:c r="A597" t="str">
        <x:f>IFERROR(TEXT(VALUE('幕间与结算'!A504),"00"),"")</x:f>
        <x:v>00</x:v>
      </x:c>
      <x:c r="B597">
        <x:f>'幕间与结算'!B504</x:f>
        <x:v>0</x:v>
      </x:c>
      <x:c r="C597">
        <x:f>'幕间与结算'!D504</x:f>
        <x:v>0</x:v>
      </x:c>
      <x:c r="D597">
        <x:f>'幕间与结算'!F504</x:f>
        <x:v>0</x:v>
      </x:c>
      <x:c r="E597">
        <x:f>IF(H597=1,MAX(-'幕间与结算'!E504,MIN(D597,IF(LEFT(C597,3)="技能：",99,IF(COUNTIF($L$2:$L$7,C597)&gt;0,18,999))-'幕间与结算'!E504)),0)</x:f>
        <x:v>0</x:v>
      </x:c>
      <x:c r="F597" t="str">
        <x:f>IF(C597=0,"",IF(G597=0,"记录不完整",IF(H597=0,"重复未计","已计入")))</x:f>
        <x:v/>
      </x:c>
      <x:c r="G597">
        <x:f>IF(AND(AND('幕间与结算'!A504&lt;&gt;"",'幕间与结算'!B504&lt;&gt;"",'幕间与结算'!I504&lt;&gt;"",OR(LEFT(C597,3)="技能：",COUNTIF($L$2:$L$19,C597)&gt;0),ISNUMBER('幕间与结算'!E504),ISNUMBER('幕间与结算'!F504),ISNUMBER('幕间与结算'!G504),'幕间与结算'!E504&gt;=0,'幕间与结算'!G504='幕间与结算'!E504+'幕间与结算'!F504),OR(B597&lt;&gt;"成长",AND(LEFT(C597,3)="技能：",C597&lt;&gt;"技能：非自然知识",'幕间与结算'!E504&gt;=1,'幕间与结算'!E504&lt;=99,'幕间与结算'!F504&gt;=0,'幕间与结算'!F504&lt;=4,'幕间与结算'!G504&lt;=99))),1,0)</x:f>
        <x:v>0</x:v>
      </x:c>
      <x:c r="H597">
        <x:f>IF(AND(G597=1,COUNTIFS($I$200:I597,I597,$G$200:G597,1)=1),1,0)</x:f>
        <x:v>0</x:v>
      </x:c>
      <x:c r="I597" t="str">
        <x:f>IF(G597=1,IF(B597="成长",A597&amp;"-成长-"&amp;C597,'幕间与结算'!I504),"")</x:f>
        <x:v/>
      </x:c>
      <x:c r="BF597">
        <x:f>MAX(0,MIN(18,BF596+IF(C597="力量",E597,0)))</x:f>
        <x:v>0</x:v>
      </x:c>
      <x:c r="BG597">
        <x:f>MAX(0,MIN(18,BG596+IF(C597="体质",E597,0)))</x:f>
        <x:v>0</x:v>
      </x:c>
      <x:c r="BH597">
        <x:f>MAX(0,MIN(18,BH596+IF(C597="敏捷",E597,0)))</x:f>
        <x:v>0</x:v>
      </x:c>
      <x:c r="BI597">
        <x:f>MAX(0,MIN(18,BI596+IF(C597="智力",E597,0)))</x:f>
        <x:v>0</x:v>
      </x:c>
      <x:c r="BJ597">
        <x:f>MAX(0,MIN(18,BJ596+IF(C597="意志",E597,0)))</x:f>
        <x:v>0</x:v>
      </x:c>
      <x:c r="BK597">
        <x:f>MAX(0,MIN(18,BK596+IF(C597="魅力",E597,0)))</x:f>
        <x:v>0</x:v>
      </x:c>
      <x:c r="BL597">
        <x:f>MAX(0,MIN(99,BL596+IF(C597="技能：非自然知识",E597,0)))</x:f>
        <x:v>0</x:v>
      </x:c>
      <x:c r="BM597">
        <x:f>MAX(0,MIN(CEILING((BF597+BG597)/2,1),BM596+IF(C597="体力",E597,0)))</x:f>
        <x:v>0</x:v>
      </x:c>
      <x:c r="BN597">
        <x:f>MAX(0,MIN(BJ597,BN596+IF(C597="毅力",E597,0)))</x:f>
        <x:v>0</x:v>
      </x:c>
      <x:c r="BO597">
        <x:f>MAX(0,MIN(99-BL597,BO596+IF(C597="理智",E597,0)))</x:f>
        <x:v>0</x:v>
      </x:c>
      <x:c r="BP597">
        <x:f>MAX(0,MIN(99,BP596+IF(C597="崩溃点",E597,0)))</x:f>
        <x:v>0</x:v>
      </x:c>
      <x:c r="BQ597">
        <x:f>MAX(0,MIN(BK597,IF(AND(H597=1,C597="重要关系1",LEFT('幕间与结算'!H504,8)="建立新的重要关系"),'幕间与结算'!E504+E597,BQ596+IF(C597="重要关系1",E597,0)+IF(AND(C597="魅力",E597&lt;0),E597,0))))</x:f>
        <x:v>0</x:v>
      </x:c>
      <x:c r="BR597">
        <x:f>MAX(0,MIN(BK597,IF(AND(H597=1,C597="重要关系2",LEFT('幕间与结算'!H504,8)="建立新的重要关系"),'幕间与结算'!E504+E597,BR596+IF(C597="重要关系2",E597,0)+IF(AND(C597="魅力",E597&lt;0),E597,0))))</x:f>
        <x:v>0</x:v>
      </x:c>
      <x:c r="BS597">
        <x:f>MAX(0,MIN(BK597,IF(AND(H597=1,C597="重要关系3",LEFT('幕间与结算'!H504,8)="建立新的重要关系"),'幕间与结算'!E504+E597,BS596+IF(C597="重要关系3",E597,0)+IF(AND(C597="魅力",E597&lt;0),E597,0))))</x:f>
        <x:v>0</x:v>
      </x:c>
      <x:c r="BT597">
        <x:f>MAX(0,MIN(BK597,IF(AND(H597=1,C597="重要关系4",LEFT('幕间与结算'!H504,8)="建立新的重要关系"),'幕间与结算'!E504+E597,BT596+IF(C597="重要关系4",E597,0)+IF(AND(C597="魅力",E597&lt;0),E597,0))))</x:f>
        <x:v>0</x:v>
      </x:c>
      <x:c r="BU597">
        <x:f>MAX(0,MIN(BK597,IF(AND(H597=1,C597="重要关系5",LEFT('幕间与结算'!H504,8)="建立新的重要关系"),'幕间与结算'!E504+E597,BU596+IF(C597="重要关系5",E597,0)+IF(AND(C597="魅力",E597&lt;0),E597,0))))</x:f>
        <x:v>0</x:v>
      </x:c>
      <x:c r="BV597">
        <x:f>MAX(0,MIN(BK597,IF(AND(H597=1,C597="重要关系6",LEFT('幕间与结算'!H504,8)="建立新的重要关系"),'幕间与结算'!E504+E597,BV596+IF(C597="重要关系6",E597,0)+IF(AND(C597="魅力",E597&lt;0),E597,0))))</x:f>
        <x:v>0</x:v>
      </x:c>
      <x:c r="BW597">
        <x:f>MAX(0,MIN(BK597,IF(AND(H597=1,C597="重要关系7",LEFT('幕间与结算'!H504,8)="建立新的重要关系"),'幕间与结算'!E504+E597,BW596+IF(C597="重要关系7",E597,0)+IF(AND(C597="魅力",E597&lt;0),E597,0))))</x:f>
        <x:v>0</x:v>
      </x:c>
    </x:row>
    <x:row r="598">
      <x:c r="A598" t="str">
        <x:f>IFERROR(TEXT(VALUE('幕间与结算'!A505),"00"),"")</x:f>
        <x:v>00</x:v>
      </x:c>
      <x:c r="B598">
        <x:f>'幕间与结算'!B505</x:f>
        <x:v>0</x:v>
      </x:c>
      <x:c r="C598">
        <x:f>'幕间与结算'!D505</x:f>
        <x:v>0</x:v>
      </x:c>
      <x:c r="D598">
        <x:f>'幕间与结算'!F505</x:f>
        <x:v>0</x:v>
      </x:c>
      <x:c r="E598">
        <x:f>IF(H598=1,MAX(-'幕间与结算'!E505,MIN(D598,IF(LEFT(C598,3)="技能：",99,IF(COUNTIF($L$2:$L$7,C598)&gt;0,18,999))-'幕间与结算'!E505)),0)</x:f>
        <x:v>0</x:v>
      </x:c>
      <x:c r="F598" t="str">
        <x:f>IF(C598=0,"",IF(G598=0,"记录不完整",IF(H598=0,"重复未计","已计入")))</x:f>
        <x:v/>
      </x:c>
      <x:c r="G598">
        <x:f>IF(AND(AND('幕间与结算'!A505&lt;&gt;"",'幕间与结算'!B505&lt;&gt;"",'幕间与结算'!I505&lt;&gt;"",OR(LEFT(C598,3)="技能：",COUNTIF($L$2:$L$19,C598)&gt;0),ISNUMBER('幕间与结算'!E505),ISNUMBER('幕间与结算'!F505),ISNUMBER('幕间与结算'!G505),'幕间与结算'!E505&gt;=0,'幕间与结算'!G505='幕间与结算'!E505+'幕间与结算'!F505),OR(B598&lt;&gt;"成长",AND(LEFT(C598,3)="技能：",C598&lt;&gt;"技能：非自然知识",'幕间与结算'!E505&gt;=1,'幕间与结算'!E505&lt;=99,'幕间与结算'!F505&gt;=0,'幕间与结算'!F505&lt;=4,'幕间与结算'!G505&lt;=99))),1,0)</x:f>
        <x:v>0</x:v>
      </x:c>
      <x:c r="H598">
        <x:f>IF(AND(G598=1,COUNTIFS($I$200:I598,I598,$G$200:G598,1)=1),1,0)</x:f>
        <x:v>0</x:v>
      </x:c>
      <x:c r="I598" t="str">
        <x:f>IF(G598=1,IF(B598="成长",A598&amp;"-成长-"&amp;C598,'幕间与结算'!I505),"")</x:f>
        <x:v/>
      </x:c>
      <x:c r="BF598">
        <x:f>MAX(0,MIN(18,BF597+IF(C598="力量",E598,0)))</x:f>
        <x:v>0</x:v>
      </x:c>
      <x:c r="BG598">
        <x:f>MAX(0,MIN(18,BG597+IF(C598="体质",E598,0)))</x:f>
        <x:v>0</x:v>
      </x:c>
      <x:c r="BH598">
        <x:f>MAX(0,MIN(18,BH597+IF(C598="敏捷",E598,0)))</x:f>
        <x:v>0</x:v>
      </x:c>
      <x:c r="BI598">
        <x:f>MAX(0,MIN(18,BI597+IF(C598="智力",E598,0)))</x:f>
        <x:v>0</x:v>
      </x:c>
      <x:c r="BJ598">
        <x:f>MAX(0,MIN(18,BJ597+IF(C598="意志",E598,0)))</x:f>
        <x:v>0</x:v>
      </x:c>
      <x:c r="BK598">
        <x:f>MAX(0,MIN(18,BK597+IF(C598="魅力",E598,0)))</x:f>
        <x:v>0</x:v>
      </x:c>
      <x:c r="BL598">
        <x:f>MAX(0,MIN(99,BL597+IF(C598="技能：非自然知识",E598,0)))</x:f>
        <x:v>0</x:v>
      </x:c>
      <x:c r="BM598">
        <x:f>MAX(0,MIN(CEILING((BF598+BG598)/2,1),BM597+IF(C598="体力",E598,0)))</x:f>
        <x:v>0</x:v>
      </x:c>
      <x:c r="BN598">
        <x:f>MAX(0,MIN(BJ598,BN597+IF(C598="毅力",E598,0)))</x:f>
        <x:v>0</x:v>
      </x:c>
      <x:c r="BO598">
        <x:f>MAX(0,MIN(99-BL598,BO597+IF(C598="理智",E598,0)))</x:f>
        <x:v>0</x:v>
      </x:c>
      <x:c r="BP598">
        <x:f>MAX(0,MIN(99,BP597+IF(C598="崩溃点",E598,0)))</x:f>
        <x:v>0</x:v>
      </x:c>
      <x:c r="BQ598">
        <x:f>MAX(0,MIN(BK598,IF(AND(H598=1,C598="重要关系1",LEFT('幕间与结算'!H505,8)="建立新的重要关系"),'幕间与结算'!E505+E598,BQ597+IF(C598="重要关系1",E598,0)+IF(AND(C598="魅力",E598&lt;0),E598,0))))</x:f>
        <x:v>0</x:v>
      </x:c>
      <x:c r="BR598">
        <x:f>MAX(0,MIN(BK598,IF(AND(H598=1,C598="重要关系2",LEFT('幕间与结算'!H505,8)="建立新的重要关系"),'幕间与结算'!E505+E598,BR597+IF(C598="重要关系2",E598,0)+IF(AND(C598="魅力",E598&lt;0),E598,0))))</x:f>
        <x:v>0</x:v>
      </x:c>
      <x:c r="BS598">
        <x:f>MAX(0,MIN(BK598,IF(AND(H598=1,C598="重要关系3",LEFT('幕间与结算'!H505,8)="建立新的重要关系"),'幕间与结算'!E505+E598,BS597+IF(C598="重要关系3",E598,0)+IF(AND(C598="魅力",E598&lt;0),E598,0))))</x:f>
        <x:v>0</x:v>
      </x:c>
      <x:c r="BT598">
        <x:f>MAX(0,MIN(BK598,IF(AND(H598=1,C598="重要关系4",LEFT('幕间与结算'!H505,8)="建立新的重要关系"),'幕间与结算'!E505+E598,BT597+IF(C598="重要关系4",E598,0)+IF(AND(C598="魅力",E598&lt;0),E598,0))))</x:f>
        <x:v>0</x:v>
      </x:c>
      <x:c r="BU598">
        <x:f>MAX(0,MIN(BK598,IF(AND(H598=1,C598="重要关系5",LEFT('幕间与结算'!H505,8)="建立新的重要关系"),'幕间与结算'!E505+E598,BU597+IF(C598="重要关系5",E598,0)+IF(AND(C598="魅力",E598&lt;0),E598,0))))</x:f>
        <x:v>0</x:v>
      </x:c>
      <x:c r="BV598">
        <x:f>MAX(0,MIN(BK598,IF(AND(H598=1,C598="重要关系6",LEFT('幕间与结算'!H505,8)="建立新的重要关系"),'幕间与结算'!E505+E598,BV597+IF(C598="重要关系6",E598,0)+IF(AND(C598="魅力",E598&lt;0),E598,0))))</x:f>
        <x:v>0</x:v>
      </x:c>
      <x:c r="BW598">
        <x:f>MAX(0,MIN(BK598,IF(AND(H598=1,C598="重要关系7",LEFT('幕间与结算'!H505,8)="建立新的重要关系"),'幕间与结算'!E505+E598,BW597+IF(C598="重要关系7",E598,0)+IF(AND(C598="魅力",E598&lt;0),E598,0))))</x:f>
        <x:v>0</x:v>
      </x:c>
    </x:row>
    <x:row r="599">
      <x:c r="A599" t="str">
        <x:f>IFERROR(TEXT(VALUE('幕间与结算'!A506),"00"),"")</x:f>
        <x:v>00</x:v>
      </x:c>
      <x:c r="B599">
        <x:f>'幕间与结算'!B506</x:f>
        <x:v>0</x:v>
      </x:c>
      <x:c r="C599">
        <x:f>'幕间与结算'!D506</x:f>
        <x:v>0</x:v>
      </x:c>
      <x:c r="D599">
        <x:f>'幕间与结算'!F506</x:f>
        <x:v>0</x:v>
      </x:c>
      <x:c r="E599">
        <x:f>IF(H599=1,MAX(-'幕间与结算'!E506,MIN(D599,IF(LEFT(C599,3)="技能：",99,IF(COUNTIF($L$2:$L$7,C599)&gt;0,18,999))-'幕间与结算'!E506)),0)</x:f>
        <x:v>0</x:v>
      </x:c>
      <x:c r="F599" t="str">
        <x:f>IF(C599=0,"",IF(G599=0,"记录不完整",IF(H599=0,"重复未计","已计入")))</x:f>
        <x:v/>
      </x:c>
      <x:c r="G599">
        <x:f>IF(AND(AND('幕间与结算'!A506&lt;&gt;"",'幕间与结算'!B506&lt;&gt;"",'幕间与结算'!I506&lt;&gt;"",OR(LEFT(C599,3)="技能：",COUNTIF($L$2:$L$19,C599)&gt;0),ISNUMBER('幕间与结算'!E506),ISNUMBER('幕间与结算'!F506),ISNUMBER('幕间与结算'!G506),'幕间与结算'!E506&gt;=0,'幕间与结算'!G506='幕间与结算'!E506+'幕间与结算'!F506),OR(B599&lt;&gt;"成长",AND(LEFT(C599,3)="技能：",C599&lt;&gt;"技能：非自然知识",'幕间与结算'!E506&gt;=1,'幕间与结算'!E506&lt;=99,'幕间与结算'!F506&gt;=0,'幕间与结算'!F506&lt;=4,'幕间与结算'!G506&lt;=99))),1,0)</x:f>
        <x:v>0</x:v>
      </x:c>
      <x:c r="H599">
        <x:f>IF(AND(G599=1,COUNTIFS($I$200:I599,I599,$G$200:G599,1)=1),1,0)</x:f>
        <x:v>0</x:v>
      </x:c>
      <x:c r="I599" t="str">
        <x:f>IF(G599=1,IF(B599="成长",A599&amp;"-成长-"&amp;C599,'幕间与结算'!I506),"")</x:f>
        <x:v/>
      </x:c>
      <x:c r="BF599">
        <x:f>MAX(0,MIN(18,BF598+IF(C599="力量",E599,0)))</x:f>
        <x:v>0</x:v>
      </x:c>
      <x:c r="BG599">
        <x:f>MAX(0,MIN(18,BG598+IF(C599="体质",E599,0)))</x:f>
        <x:v>0</x:v>
      </x:c>
      <x:c r="BH599">
        <x:f>MAX(0,MIN(18,BH598+IF(C599="敏捷",E599,0)))</x:f>
        <x:v>0</x:v>
      </x:c>
      <x:c r="BI599">
        <x:f>MAX(0,MIN(18,BI598+IF(C599="智力",E599,0)))</x:f>
        <x:v>0</x:v>
      </x:c>
      <x:c r="BJ599">
        <x:f>MAX(0,MIN(18,BJ598+IF(C599="意志",E599,0)))</x:f>
        <x:v>0</x:v>
      </x:c>
      <x:c r="BK599">
        <x:f>MAX(0,MIN(18,BK598+IF(C599="魅力",E599,0)))</x:f>
        <x:v>0</x:v>
      </x:c>
      <x:c r="BL599">
        <x:f>MAX(0,MIN(99,BL598+IF(C599="技能：非自然知识",E599,0)))</x:f>
        <x:v>0</x:v>
      </x:c>
      <x:c r="BM599">
        <x:f>MAX(0,MIN(CEILING((BF599+BG599)/2,1),BM598+IF(C599="体力",E599,0)))</x:f>
        <x:v>0</x:v>
      </x:c>
      <x:c r="BN599">
        <x:f>MAX(0,MIN(BJ599,BN598+IF(C599="毅力",E599,0)))</x:f>
        <x:v>0</x:v>
      </x:c>
      <x:c r="BO599">
        <x:f>MAX(0,MIN(99-BL599,BO598+IF(C599="理智",E599,0)))</x:f>
        <x:v>0</x:v>
      </x:c>
      <x:c r="BP599">
        <x:f>MAX(0,MIN(99,BP598+IF(C599="崩溃点",E599,0)))</x:f>
        <x:v>0</x:v>
      </x:c>
      <x:c r="BQ599">
        <x:f>MAX(0,MIN(BK599,IF(AND(H599=1,C599="重要关系1",LEFT('幕间与结算'!H506,8)="建立新的重要关系"),'幕间与结算'!E506+E599,BQ598+IF(C599="重要关系1",E599,0)+IF(AND(C599="魅力",E599&lt;0),E599,0))))</x:f>
        <x:v>0</x:v>
      </x:c>
      <x:c r="BR599">
        <x:f>MAX(0,MIN(BK599,IF(AND(H599=1,C599="重要关系2",LEFT('幕间与结算'!H506,8)="建立新的重要关系"),'幕间与结算'!E506+E599,BR598+IF(C599="重要关系2",E599,0)+IF(AND(C599="魅力",E599&lt;0),E599,0))))</x:f>
        <x:v>0</x:v>
      </x:c>
      <x:c r="BS599">
        <x:f>MAX(0,MIN(BK599,IF(AND(H599=1,C599="重要关系3",LEFT('幕间与结算'!H506,8)="建立新的重要关系"),'幕间与结算'!E506+E599,BS598+IF(C599="重要关系3",E599,0)+IF(AND(C599="魅力",E599&lt;0),E599,0))))</x:f>
        <x:v>0</x:v>
      </x:c>
      <x:c r="BT599">
        <x:f>MAX(0,MIN(BK599,IF(AND(H599=1,C599="重要关系4",LEFT('幕间与结算'!H506,8)="建立新的重要关系"),'幕间与结算'!E506+E599,BT598+IF(C599="重要关系4",E599,0)+IF(AND(C599="魅力",E599&lt;0),E599,0))))</x:f>
        <x:v>0</x:v>
      </x:c>
      <x:c r="BU599">
        <x:f>MAX(0,MIN(BK599,IF(AND(H599=1,C599="重要关系5",LEFT('幕间与结算'!H506,8)="建立新的重要关系"),'幕间与结算'!E506+E599,BU598+IF(C599="重要关系5",E599,0)+IF(AND(C599="魅力",E599&lt;0),E599,0))))</x:f>
        <x:v>0</x:v>
      </x:c>
      <x:c r="BV599">
        <x:f>MAX(0,MIN(BK599,IF(AND(H599=1,C599="重要关系6",LEFT('幕间与结算'!H506,8)="建立新的重要关系"),'幕间与结算'!E506+E599,BV598+IF(C599="重要关系6",E599,0)+IF(AND(C599="魅力",E599&lt;0),E599,0))))</x:f>
        <x:v>0</x:v>
      </x:c>
      <x:c r="BW599">
        <x:f>MAX(0,MIN(BK599,IF(AND(H599=1,C599="重要关系7",LEFT('幕间与结算'!H506,8)="建立新的重要关系"),'幕间与结算'!E506+E599,BW598+IF(C599="重要关系7",E599,0)+IF(AND(C599="魅力",E599&lt;0),E599,0))))</x:f>
        <x:v>0</x:v>
      </x:c>
    </x:row>
    <x:row r="600">
      <x:c r="A600" t="str">
        <x:f>IFERROR(TEXT(VALUE('幕间与结算'!A507),"00"),"")</x:f>
        <x:v>00</x:v>
      </x:c>
      <x:c r="B600">
        <x:f>'幕间与结算'!B507</x:f>
        <x:v>0</x:v>
      </x:c>
      <x:c r="C600">
        <x:f>'幕间与结算'!D507</x:f>
        <x:v>0</x:v>
      </x:c>
      <x:c r="D600">
        <x:f>'幕间与结算'!F507</x:f>
        <x:v>0</x:v>
      </x:c>
      <x:c r="E600">
        <x:f>IF(H600=1,MAX(-'幕间与结算'!E507,MIN(D600,IF(LEFT(C600,3)="技能：",99,IF(COUNTIF($L$2:$L$7,C600)&gt;0,18,999))-'幕间与结算'!E507)),0)</x:f>
        <x:v>0</x:v>
      </x:c>
      <x:c r="F600" t="str">
        <x:f>IF(C600=0,"",IF(G600=0,"记录不完整",IF(H600=0,"重复未计","已计入")))</x:f>
        <x:v/>
      </x:c>
      <x:c r="G600">
        <x:f>IF(AND(AND('幕间与结算'!A507&lt;&gt;"",'幕间与结算'!B507&lt;&gt;"",'幕间与结算'!I507&lt;&gt;"",OR(LEFT(C600,3)="技能：",COUNTIF($L$2:$L$19,C600)&gt;0),ISNUMBER('幕间与结算'!E507),ISNUMBER('幕间与结算'!F507),ISNUMBER('幕间与结算'!G507),'幕间与结算'!E507&gt;=0,'幕间与结算'!G507='幕间与结算'!E507+'幕间与结算'!F507),OR(B600&lt;&gt;"成长",AND(LEFT(C600,3)="技能：",C600&lt;&gt;"技能：非自然知识",'幕间与结算'!E507&gt;=1,'幕间与结算'!E507&lt;=99,'幕间与结算'!F507&gt;=0,'幕间与结算'!F507&lt;=4,'幕间与结算'!G507&lt;=99))),1,0)</x:f>
        <x:v>0</x:v>
      </x:c>
      <x:c r="H600">
        <x:f>IF(AND(G600=1,COUNTIFS($I$200:I600,I600,$G$200:G600,1)=1),1,0)</x:f>
        <x:v>0</x:v>
      </x:c>
      <x:c r="I600" t="str">
        <x:f>IF(G600=1,IF(B600="成长",A600&amp;"-成长-"&amp;C600,'幕间与结算'!I507),"")</x:f>
        <x:v/>
      </x:c>
      <x:c r="BF600">
        <x:f>MAX(0,MIN(18,BF599+IF(C600="力量",E600,0)))</x:f>
        <x:v>0</x:v>
      </x:c>
      <x:c r="BG600">
        <x:f>MAX(0,MIN(18,BG599+IF(C600="体质",E600,0)))</x:f>
        <x:v>0</x:v>
      </x:c>
      <x:c r="BH600">
        <x:f>MAX(0,MIN(18,BH599+IF(C600="敏捷",E600,0)))</x:f>
        <x:v>0</x:v>
      </x:c>
      <x:c r="BI600">
        <x:f>MAX(0,MIN(18,BI599+IF(C600="智力",E600,0)))</x:f>
        <x:v>0</x:v>
      </x:c>
      <x:c r="BJ600">
        <x:f>MAX(0,MIN(18,BJ599+IF(C600="意志",E600,0)))</x:f>
        <x:v>0</x:v>
      </x:c>
      <x:c r="BK600">
        <x:f>MAX(0,MIN(18,BK599+IF(C600="魅力",E600,0)))</x:f>
        <x:v>0</x:v>
      </x:c>
      <x:c r="BL600">
        <x:f>MAX(0,MIN(99,BL599+IF(C600="技能：非自然知识",E600,0)))</x:f>
        <x:v>0</x:v>
      </x:c>
      <x:c r="BM600">
        <x:f>MAX(0,MIN(CEILING((BF600+BG600)/2,1),BM599+IF(C600="体力",E600,0)))</x:f>
        <x:v>0</x:v>
      </x:c>
      <x:c r="BN600">
        <x:f>MAX(0,MIN(BJ600,BN599+IF(C600="毅力",E600,0)))</x:f>
        <x:v>0</x:v>
      </x:c>
      <x:c r="BO600">
        <x:f>MAX(0,MIN(99-BL600,BO599+IF(C600="理智",E600,0)))</x:f>
        <x:v>0</x:v>
      </x:c>
      <x:c r="BP600">
        <x:f>MAX(0,MIN(99,BP599+IF(C600="崩溃点",E600,0)))</x:f>
        <x:v>0</x:v>
      </x:c>
      <x:c r="BQ600">
        <x:f>MAX(0,MIN(BK600,IF(AND(H600=1,C600="重要关系1",LEFT('幕间与结算'!H507,8)="建立新的重要关系"),'幕间与结算'!E507+E600,BQ599+IF(C600="重要关系1",E600,0)+IF(AND(C600="魅力",E600&lt;0),E600,0))))</x:f>
        <x:v>0</x:v>
      </x:c>
      <x:c r="BR600">
        <x:f>MAX(0,MIN(BK600,IF(AND(H600=1,C600="重要关系2",LEFT('幕间与结算'!H507,8)="建立新的重要关系"),'幕间与结算'!E507+E600,BR599+IF(C600="重要关系2",E600,0)+IF(AND(C600="魅力",E600&lt;0),E600,0))))</x:f>
        <x:v>0</x:v>
      </x:c>
      <x:c r="BS600">
        <x:f>MAX(0,MIN(BK600,IF(AND(H600=1,C600="重要关系3",LEFT('幕间与结算'!H507,8)="建立新的重要关系"),'幕间与结算'!E507+E600,BS599+IF(C600="重要关系3",E600,0)+IF(AND(C600="魅力",E600&lt;0),E600,0))))</x:f>
        <x:v>0</x:v>
      </x:c>
      <x:c r="BT600">
        <x:f>MAX(0,MIN(BK600,IF(AND(H600=1,C600="重要关系4",LEFT('幕间与结算'!H507,8)="建立新的重要关系"),'幕间与结算'!E507+E600,BT599+IF(C600="重要关系4",E600,0)+IF(AND(C600="魅力",E600&lt;0),E600,0))))</x:f>
        <x:v>0</x:v>
      </x:c>
      <x:c r="BU600">
        <x:f>MAX(0,MIN(BK600,IF(AND(H600=1,C600="重要关系5",LEFT('幕间与结算'!H507,8)="建立新的重要关系"),'幕间与结算'!E507+E600,BU599+IF(C600="重要关系5",E600,0)+IF(AND(C600="魅力",E600&lt;0),E600,0))))</x:f>
        <x:v>0</x:v>
      </x:c>
      <x:c r="BV600">
        <x:f>MAX(0,MIN(BK600,IF(AND(H600=1,C600="重要关系6",LEFT('幕间与结算'!H507,8)="建立新的重要关系"),'幕间与结算'!E507+E600,BV599+IF(C600="重要关系6",E600,0)+IF(AND(C600="魅力",E600&lt;0),E600,0))))</x:f>
        <x:v>0</x:v>
      </x:c>
      <x:c r="BW600">
        <x:f>MAX(0,MIN(BK600,IF(AND(H600=1,C600="重要关系7",LEFT('幕间与结算'!H507,8)="建立新的重要关系"),'幕间与结算'!E507+E600,BW599+IF(C600="重要关系7",E600,0)+IF(AND(C600="魅力",E600&lt;0),E600,0))))</x:f>
        <x:v>0</x:v>
      </x:c>
    </x:row>
    <x:row r="601">
      <x:c r="A601" t="str">
        <x:f>IFERROR(TEXT(VALUE('幕间与结算'!A508),"00"),"")</x:f>
        <x:v>00</x:v>
      </x:c>
      <x:c r="B601">
        <x:f>'幕间与结算'!B508</x:f>
        <x:v>0</x:v>
      </x:c>
      <x:c r="C601">
        <x:f>'幕间与结算'!D508</x:f>
        <x:v>0</x:v>
      </x:c>
      <x:c r="D601">
        <x:f>'幕间与结算'!F508</x:f>
        <x:v>0</x:v>
      </x:c>
      <x:c r="E601">
        <x:f>IF(H601=1,MAX(-'幕间与结算'!E508,MIN(D601,IF(LEFT(C601,3)="技能：",99,IF(COUNTIF($L$2:$L$7,C601)&gt;0,18,999))-'幕间与结算'!E508)),0)</x:f>
        <x:v>0</x:v>
      </x:c>
      <x:c r="F601" t="str">
        <x:f>IF(C601=0,"",IF(G601=0,"记录不完整",IF(H601=0,"重复未计","已计入")))</x:f>
        <x:v/>
      </x:c>
      <x:c r="G601">
        <x:f>IF(AND(AND('幕间与结算'!A508&lt;&gt;"",'幕间与结算'!B508&lt;&gt;"",'幕间与结算'!I508&lt;&gt;"",OR(LEFT(C601,3)="技能：",COUNTIF($L$2:$L$19,C601)&gt;0),ISNUMBER('幕间与结算'!E508),ISNUMBER('幕间与结算'!F508),ISNUMBER('幕间与结算'!G508),'幕间与结算'!E508&gt;=0,'幕间与结算'!G508='幕间与结算'!E508+'幕间与结算'!F508),OR(B601&lt;&gt;"成长",AND(LEFT(C601,3)="技能：",C601&lt;&gt;"技能：非自然知识",'幕间与结算'!E508&gt;=1,'幕间与结算'!E508&lt;=99,'幕间与结算'!F508&gt;=0,'幕间与结算'!F508&lt;=4,'幕间与结算'!G508&lt;=99))),1,0)</x:f>
        <x:v>0</x:v>
      </x:c>
      <x:c r="H601">
        <x:f>IF(AND(G601=1,COUNTIFS($I$200:I601,I601,$G$200:G601,1)=1),1,0)</x:f>
        <x:v>0</x:v>
      </x:c>
      <x:c r="I601" t="str">
        <x:f>IF(G601=1,IF(B601="成长",A601&amp;"-成长-"&amp;C601,'幕间与结算'!I508),"")</x:f>
        <x:v/>
      </x:c>
      <x:c r="BF601">
        <x:f>MAX(0,MIN(18,BF600+IF(C601="力量",E601,0)))</x:f>
        <x:v>0</x:v>
      </x:c>
      <x:c r="BG601">
        <x:f>MAX(0,MIN(18,BG600+IF(C601="体质",E601,0)))</x:f>
        <x:v>0</x:v>
      </x:c>
      <x:c r="BH601">
        <x:f>MAX(0,MIN(18,BH600+IF(C601="敏捷",E601,0)))</x:f>
        <x:v>0</x:v>
      </x:c>
      <x:c r="BI601">
        <x:f>MAX(0,MIN(18,BI600+IF(C601="智力",E601,0)))</x:f>
        <x:v>0</x:v>
      </x:c>
      <x:c r="BJ601">
        <x:f>MAX(0,MIN(18,BJ600+IF(C601="意志",E601,0)))</x:f>
        <x:v>0</x:v>
      </x:c>
      <x:c r="BK601">
        <x:f>MAX(0,MIN(18,BK600+IF(C601="魅力",E601,0)))</x:f>
        <x:v>0</x:v>
      </x:c>
      <x:c r="BL601">
        <x:f>MAX(0,MIN(99,BL600+IF(C601="技能：非自然知识",E601,0)))</x:f>
        <x:v>0</x:v>
      </x:c>
      <x:c r="BM601">
        <x:f>MAX(0,MIN(CEILING((BF601+BG601)/2,1),BM600+IF(C601="体力",E601,0)))</x:f>
        <x:v>0</x:v>
      </x:c>
      <x:c r="BN601">
        <x:f>MAX(0,MIN(BJ601,BN600+IF(C601="毅力",E601,0)))</x:f>
        <x:v>0</x:v>
      </x:c>
      <x:c r="BO601">
        <x:f>MAX(0,MIN(99-BL601,BO600+IF(C601="理智",E601,0)))</x:f>
        <x:v>0</x:v>
      </x:c>
      <x:c r="BP601">
        <x:f>MAX(0,MIN(99,BP600+IF(C601="崩溃点",E601,0)))</x:f>
        <x:v>0</x:v>
      </x:c>
      <x:c r="BQ601">
        <x:f>MAX(0,MIN(BK601,IF(AND(H601=1,C601="重要关系1",LEFT('幕间与结算'!H508,8)="建立新的重要关系"),'幕间与结算'!E508+E601,BQ600+IF(C601="重要关系1",E601,0)+IF(AND(C601="魅力",E601&lt;0),E601,0))))</x:f>
        <x:v>0</x:v>
      </x:c>
      <x:c r="BR601">
        <x:f>MAX(0,MIN(BK601,IF(AND(H601=1,C601="重要关系2",LEFT('幕间与结算'!H508,8)="建立新的重要关系"),'幕间与结算'!E508+E601,BR600+IF(C601="重要关系2",E601,0)+IF(AND(C601="魅力",E601&lt;0),E601,0))))</x:f>
        <x:v>0</x:v>
      </x:c>
      <x:c r="BS601">
        <x:f>MAX(0,MIN(BK601,IF(AND(H601=1,C601="重要关系3",LEFT('幕间与结算'!H508,8)="建立新的重要关系"),'幕间与结算'!E508+E601,BS600+IF(C601="重要关系3",E601,0)+IF(AND(C601="魅力",E601&lt;0),E601,0))))</x:f>
        <x:v>0</x:v>
      </x:c>
      <x:c r="BT601">
        <x:f>MAX(0,MIN(BK601,IF(AND(H601=1,C601="重要关系4",LEFT('幕间与结算'!H508,8)="建立新的重要关系"),'幕间与结算'!E508+E601,BT600+IF(C601="重要关系4",E601,0)+IF(AND(C601="魅力",E601&lt;0),E601,0))))</x:f>
        <x:v>0</x:v>
      </x:c>
      <x:c r="BU601">
        <x:f>MAX(0,MIN(BK601,IF(AND(H601=1,C601="重要关系5",LEFT('幕间与结算'!H508,8)="建立新的重要关系"),'幕间与结算'!E508+E601,BU600+IF(C601="重要关系5",E601,0)+IF(AND(C601="魅力",E601&lt;0),E601,0))))</x:f>
        <x:v>0</x:v>
      </x:c>
      <x:c r="BV601">
        <x:f>MAX(0,MIN(BK601,IF(AND(H601=1,C601="重要关系6",LEFT('幕间与结算'!H508,8)="建立新的重要关系"),'幕间与结算'!E508+E601,BV600+IF(C601="重要关系6",E601,0)+IF(AND(C601="魅力",E601&lt;0),E601,0))))</x:f>
        <x:v>0</x:v>
      </x:c>
      <x:c r="BW601">
        <x:f>MAX(0,MIN(BK601,IF(AND(H601=1,C601="重要关系7",LEFT('幕间与结算'!H508,8)="建立新的重要关系"),'幕间与结算'!E508+E601,BW600+IF(C601="重要关系7",E601,0)+IF(AND(C601="魅力",E601&lt;0),E601,0))))</x:f>
        <x:v>0</x:v>
      </x:c>
    </x:row>
    <x:row r="602">
      <x:c r="A602" t="str">
        <x:f>IFERROR(TEXT(VALUE('幕间与结算'!A509),"00"),"")</x:f>
        <x:v>00</x:v>
      </x:c>
      <x:c r="B602">
        <x:f>'幕间与结算'!B509</x:f>
        <x:v>0</x:v>
      </x:c>
      <x:c r="C602">
        <x:f>'幕间与结算'!D509</x:f>
        <x:v>0</x:v>
      </x:c>
      <x:c r="D602">
        <x:f>'幕间与结算'!F509</x:f>
        <x:v>0</x:v>
      </x:c>
      <x:c r="E602">
        <x:f>IF(H602=1,MAX(-'幕间与结算'!E509,MIN(D602,IF(LEFT(C602,3)="技能：",99,IF(COUNTIF($L$2:$L$7,C602)&gt;0,18,999))-'幕间与结算'!E509)),0)</x:f>
        <x:v>0</x:v>
      </x:c>
      <x:c r="F602" t="str">
        <x:f>IF(C602=0,"",IF(G602=0,"记录不完整",IF(H602=0,"重复未计","已计入")))</x:f>
        <x:v/>
      </x:c>
      <x:c r="G602">
        <x:f>IF(AND(AND('幕间与结算'!A509&lt;&gt;"",'幕间与结算'!B509&lt;&gt;"",'幕间与结算'!I509&lt;&gt;"",OR(LEFT(C602,3)="技能：",COUNTIF($L$2:$L$19,C602)&gt;0),ISNUMBER('幕间与结算'!E509),ISNUMBER('幕间与结算'!F509),ISNUMBER('幕间与结算'!G509),'幕间与结算'!E509&gt;=0,'幕间与结算'!G509='幕间与结算'!E509+'幕间与结算'!F509),OR(B602&lt;&gt;"成长",AND(LEFT(C602,3)="技能：",C602&lt;&gt;"技能：非自然知识",'幕间与结算'!E509&gt;=1,'幕间与结算'!E509&lt;=99,'幕间与结算'!F509&gt;=0,'幕间与结算'!F509&lt;=4,'幕间与结算'!G509&lt;=99))),1,0)</x:f>
        <x:v>0</x:v>
      </x:c>
      <x:c r="H602">
        <x:f>IF(AND(G602=1,COUNTIFS($I$200:I602,I602,$G$200:G602,1)=1),1,0)</x:f>
        <x:v>0</x:v>
      </x:c>
      <x:c r="I602" t="str">
        <x:f>IF(G602=1,IF(B602="成长",A602&amp;"-成长-"&amp;C602,'幕间与结算'!I509),"")</x:f>
        <x:v/>
      </x:c>
      <x:c r="BF602">
        <x:f>MAX(0,MIN(18,BF601+IF(C602="力量",E602,0)))</x:f>
        <x:v>0</x:v>
      </x:c>
      <x:c r="BG602">
        <x:f>MAX(0,MIN(18,BG601+IF(C602="体质",E602,0)))</x:f>
        <x:v>0</x:v>
      </x:c>
      <x:c r="BH602">
        <x:f>MAX(0,MIN(18,BH601+IF(C602="敏捷",E602,0)))</x:f>
        <x:v>0</x:v>
      </x:c>
      <x:c r="BI602">
        <x:f>MAX(0,MIN(18,BI601+IF(C602="智力",E602,0)))</x:f>
        <x:v>0</x:v>
      </x:c>
      <x:c r="BJ602">
        <x:f>MAX(0,MIN(18,BJ601+IF(C602="意志",E602,0)))</x:f>
        <x:v>0</x:v>
      </x:c>
      <x:c r="BK602">
        <x:f>MAX(0,MIN(18,BK601+IF(C602="魅力",E602,0)))</x:f>
        <x:v>0</x:v>
      </x:c>
      <x:c r="BL602">
        <x:f>MAX(0,MIN(99,BL601+IF(C602="技能：非自然知识",E602,0)))</x:f>
        <x:v>0</x:v>
      </x:c>
      <x:c r="BM602">
        <x:f>MAX(0,MIN(CEILING((BF602+BG602)/2,1),BM601+IF(C602="体力",E602,0)))</x:f>
        <x:v>0</x:v>
      </x:c>
      <x:c r="BN602">
        <x:f>MAX(0,MIN(BJ602,BN601+IF(C602="毅力",E602,0)))</x:f>
        <x:v>0</x:v>
      </x:c>
      <x:c r="BO602">
        <x:f>MAX(0,MIN(99-BL602,BO601+IF(C602="理智",E602,0)))</x:f>
        <x:v>0</x:v>
      </x:c>
      <x:c r="BP602">
        <x:f>MAX(0,MIN(99,BP601+IF(C602="崩溃点",E602,0)))</x:f>
        <x:v>0</x:v>
      </x:c>
      <x:c r="BQ602">
        <x:f>MAX(0,MIN(BK602,IF(AND(H602=1,C602="重要关系1",LEFT('幕间与结算'!H509,8)="建立新的重要关系"),'幕间与结算'!E509+E602,BQ601+IF(C602="重要关系1",E602,0)+IF(AND(C602="魅力",E602&lt;0),E602,0))))</x:f>
        <x:v>0</x:v>
      </x:c>
      <x:c r="BR602">
        <x:f>MAX(0,MIN(BK602,IF(AND(H602=1,C602="重要关系2",LEFT('幕间与结算'!H509,8)="建立新的重要关系"),'幕间与结算'!E509+E602,BR601+IF(C602="重要关系2",E602,0)+IF(AND(C602="魅力",E602&lt;0),E602,0))))</x:f>
        <x:v>0</x:v>
      </x:c>
      <x:c r="BS602">
        <x:f>MAX(0,MIN(BK602,IF(AND(H602=1,C602="重要关系3",LEFT('幕间与结算'!H509,8)="建立新的重要关系"),'幕间与结算'!E509+E602,BS601+IF(C602="重要关系3",E602,0)+IF(AND(C602="魅力",E602&lt;0),E602,0))))</x:f>
        <x:v>0</x:v>
      </x:c>
      <x:c r="BT602">
        <x:f>MAX(0,MIN(BK602,IF(AND(H602=1,C602="重要关系4",LEFT('幕间与结算'!H509,8)="建立新的重要关系"),'幕间与结算'!E509+E602,BT601+IF(C602="重要关系4",E602,0)+IF(AND(C602="魅力",E602&lt;0),E602,0))))</x:f>
        <x:v>0</x:v>
      </x:c>
      <x:c r="BU602">
        <x:f>MAX(0,MIN(BK602,IF(AND(H602=1,C602="重要关系5",LEFT('幕间与结算'!H509,8)="建立新的重要关系"),'幕间与结算'!E509+E602,BU601+IF(C602="重要关系5",E602,0)+IF(AND(C602="魅力",E602&lt;0),E602,0))))</x:f>
        <x:v>0</x:v>
      </x:c>
      <x:c r="BV602">
        <x:f>MAX(0,MIN(BK602,IF(AND(H602=1,C602="重要关系6",LEFT('幕间与结算'!H509,8)="建立新的重要关系"),'幕间与结算'!E509+E602,BV601+IF(C602="重要关系6",E602,0)+IF(AND(C602="魅力",E602&lt;0),E602,0))))</x:f>
        <x:v>0</x:v>
      </x:c>
      <x:c r="BW602">
        <x:f>MAX(0,MIN(BK602,IF(AND(H602=1,C602="重要关系7",LEFT('幕间与结算'!H509,8)="建立新的重要关系"),'幕间与结算'!E509+E602,BW601+IF(C602="重要关系7",E602,0)+IF(AND(C602="魅力",E602&lt;0),E602,0))))</x:f>
        <x:v>0</x:v>
      </x:c>
    </x:row>
    <x:row r="603">
      <x:c r="A603" t="str">
        <x:f>IFERROR(TEXT(VALUE('幕间与结算'!A510),"00"),"")</x:f>
        <x:v>00</x:v>
      </x:c>
      <x:c r="B603">
        <x:f>'幕间与结算'!B510</x:f>
        <x:v>0</x:v>
      </x:c>
      <x:c r="C603">
        <x:f>'幕间与结算'!D510</x:f>
        <x:v>0</x:v>
      </x:c>
      <x:c r="D603">
        <x:f>'幕间与结算'!F510</x:f>
        <x:v>0</x:v>
      </x:c>
      <x:c r="E603">
        <x:f>IF(H603=1,MAX(-'幕间与结算'!E510,MIN(D603,IF(LEFT(C603,3)="技能：",99,IF(COUNTIF($L$2:$L$7,C603)&gt;0,18,999))-'幕间与结算'!E510)),0)</x:f>
        <x:v>0</x:v>
      </x:c>
      <x:c r="F603" t="str">
        <x:f>IF(C603=0,"",IF(G603=0,"记录不完整",IF(H603=0,"重复未计","已计入")))</x:f>
        <x:v/>
      </x:c>
      <x:c r="G603">
        <x:f>IF(AND(AND('幕间与结算'!A510&lt;&gt;"",'幕间与结算'!B510&lt;&gt;"",'幕间与结算'!I510&lt;&gt;"",OR(LEFT(C603,3)="技能：",COUNTIF($L$2:$L$19,C603)&gt;0),ISNUMBER('幕间与结算'!E510),ISNUMBER('幕间与结算'!F510),ISNUMBER('幕间与结算'!G510),'幕间与结算'!E510&gt;=0,'幕间与结算'!G510='幕间与结算'!E510+'幕间与结算'!F510),OR(B603&lt;&gt;"成长",AND(LEFT(C603,3)="技能：",C603&lt;&gt;"技能：非自然知识",'幕间与结算'!E510&gt;=1,'幕间与结算'!E510&lt;=99,'幕间与结算'!F510&gt;=0,'幕间与结算'!F510&lt;=4,'幕间与结算'!G510&lt;=99))),1,0)</x:f>
        <x:v>0</x:v>
      </x:c>
      <x:c r="H603">
        <x:f>IF(AND(G603=1,COUNTIFS($I$200:I603,I603,$G$200:G603,1)=1),1,0)</x:f>
        <x:v>0</x:v>
      </x:c>
      <x:c r="I603" t="str">
        <x:f>IF(G603=1,IF(B603="成长",A603&amp;"-成长-"&amp;C603,'幕间与结算'!I510),"")</x:f>
        <x:v/>
      </x:c>
      <x:c r="BF603">
        <x:f>MAX(0,MIN(18,BF602+IF(C603="力量",E603,0)))</x:f>
        <x:v>0</x:v>
      </x:c>
      <x:c r="BG603">
        <x:f>MAX(0,MIN(18,BG602+IF(C603="体质",E603,0)))</x:f>
        <x:v>0</x:v>
      </x:c>
      <x:c r="BH603">
        <x:f>MAX(0,MIN(18,BH602+IF(C603="敏捷",E603,0)))</x:f>
        <x:v>0</x:v>
      </x:c>
      <x:c r="BI603">
        <x:f>MAX(0,MIN(18,BI602+IF(C603="智力",E603,0)))</x:f>
        <x:v>0</x:v>
      </x:c>
      <x:c r="BJ603">
        <x:f>MAX(0,MIN(18,BJ602+IF(C603="意志",E603,0)))</x:f>
        <x:v>0</x:v>
      </x:c>
      <x:c r="BK603">
        <x:f>MAX(0,MIN(18,BK602+IF(C603="魅力",E603,0)))</x:f>
        <x:v>0</x:v>
      </x:c>
      <x:c r="BL603">
        <x:f>MAX(0,MIN(99,BL602+IF(C603="技能：非自然知识",E603,0)))</x:f>
        <x:v>0</x:v>
      </x:c>
      <x:c r="BM603">
        <x:f>MAX(0,MIN(CEILING((BF603+BG603)/2,1),BM602+IF(C603="体力",E603,0)))</x:f>
        <x:v>0</x:v>
      </x:c>
      <x:c r="BN603">
        <x:f>MAX(0,MIN(BJ603,BN602+IF(C603="毅力",E603,0)))</x:f>
        <x:v>0</x:v>
      </x:c>
      <x:c r="BO603">
        <x:f>MAX(0,MIN(99-BL603,BO602+IF(C603="理智",E603,0)))</x:f>
        <x:v>0</x:v>
      </x:c>
      <x:c r="BP603">
        <x:f>MAX(0,MIN(99,BP602+IF(C603="崩溃点",E603,0)))</x:f>
        <x:v>0</x:v>
      </x:c>
      <x:c r="BQ603">
        <x:f>MAX(0,MIN(BK603,IF(AND(H603=1,C603="重要关系1",LEFT('幕间与结算'!H510,8)="建立新的重要关系"),'幕间与结算'!E510+E603,BQ602+IF(C603="重要关系1",E603,0)+IF(AND(C603="魅力",E603&lt;0),E603,0))))</x:f>
        <x:v>0</x:v>
      </x:c>
      <x:c r="BR603">
        <x:f>MAX(0,MIN(BK603,IF(AND(H603=1,C603="重要关系2",LEFT('幕间与结算'!H510,8)="建立新的重要关系"),'幕间与结算'!E510+E603,BR602+IF(C603="重要关系2",E603,0)+IF(AND(C603="魅力",E603&lt;0),E603,0))))</x:f>
        <x:v>0</x:v>
      </x:c>
      <x:c r="BS603">
        <x:f>MAX(0,MIN(BK603,IF(AND(H603=1,C603="重要关系3",LEFT('幕间与结算'!H510,8)="建立新的重要关系"),'幕间与结算'!E510+E603,BS602+IF(C603="重要关系3",E603,0)+IF(AND(C603="魅力",E603&lt;0),E603,0))))</x:f>
        <x:v>0</x:v>
      </x:c>
      <x:c r="BT603">
        <x:f>MAX(0,MIN(BK603,IF(AND(H603=1,C603="重要关系4",LEFT('幕间与结算'!H510,8)="建立新的重要关系"),'幕间与结算'!E510+E603,BT602+IF(C603="重要关系4",E603,0)+IF(AND(C603="魅力",E603&lt;0),E603,0))))</x:f>
        <x:v>0</x:v>
      </x:c>
      <x:c r="BU603">
        <x:f>MAX(0,MIN(BK603,IF(AND(H603=1,C603="重要关系5",LEFT('幕间与结算'!H510,8)="建立新的重要关系"),'幕间与结算'!E510+E603,BU602+IF(C603="重要关系5",E603,0)+IF(AND(C603="魅力",E603&lt;0),E603,0))))</x:f>
        <x:v>0</x:v>
      </x:c>
      <x:c r="BV603">
        <x:f>MAX(0,MIN(BK603,IF(AND(H603=1,C603="重要关系6",LEFT('幕间与结算'!H510,8)="建立新的重要关系"),'幕间与结算'!E510+E603,BV602+IF(C603="重要关系6",E603,0)+IF(AND(C603="魅力",E603&lt;0),E603,0))))</x:f>
        <x:v>0</x:v>
      </x:c>
      <x:c r="BW603">
        <x:f>MAX(0,MIN(BK603,IF(AND(H603=1,C603="重要关系7",LEFT('幕间与结算'!H510,8)="建立新的重要关系"),'幕间与结算'!E510+E603,BW602+IF(C603="重要关系7",E603,0)+IF(AND(C603="魅力",E603&lt;0),E603,0))))</x:f>
        <x:v>0</x:v>
      </x:c>
    </x:row>
    <x:row r="604">
      <x:c r="A604" t="str">
        <x:f>IFERROR(TEXT(VALUE('幕间与结算'!A511),"00"),"")</x:f>
        <x:v>00</x:v>
      </x:c>
      <x:c r="B604">
        <x:f>'幕间与结算'!B511</x:f>
        <x:v>0</x:v>
      </x:c>
      <x:c r="C604">
        <x:f>'幕间与结算'!D511</x:f>
        <x:v>0</x:v>
      </x:c>
      <x:c r="D604">
        <x:f>'幕间与结算'!F511</x:f>
        <x:v>0</x:v>
      </x:c>
      <x:c r="E604">
        <x:f>IF(H604=1,MAX(-'幕间与结算'!E511,MIN(D604,IF(LEFT(C604,3)="技能：",99,IF(COUNTIF($L$2:$L$7,C604)&gt;0,18,999))-'幕间与结算'!E511)),0)</x:f>
        <x:v>0</x:v>
      </x:c>
      <x:c r="F604" t="str">
        <x:f>IF(C604=0,"",IF(G604=0,"记录不完整",IF(H604=0,"重复未计","已计入")))</x:f>
        <x:v/>
      </x:c>
      <x:c r="G604">
        <x:f>IF(AND(AND('幕间与结算'!A511&lt;&gt;"",'幕间与结算'!B511&lt;&gt;"",'幕间与结算'!I511&lt;&gt;"",OR(LEFT(C604,3)="技能：",COUNTIF($L$2:$L$19,C604)&gt;0),ISNUMBER('幕间与结算'!E511),ISNUMBER('幕间与结算'!F511),ISNUMBER('幕间与结算'!G511),'幕间与结算'!E511&gt;=0,'幕间与结算'!G511='幕间与结算'!E511+'幕间与结算'!F511),OR(B604&lt;&gt;"成长",AND(LEFT(C604,3)="技能：",C604&lt;&gt;"技能：非自然知识",'幕间与结算'!E511&gt;=1,'幕间与结算'!E511&lt;=99,'幕间与结算'!F511&gt;=0,'幕间与结算'!F511&lt;=4,'幕间与结算'!G511&lt;=99))),1,0)</x:f>
        <x:v>0</x:v>
      </x:c>
      <x:c r="H604">
        <x:f>IF(AND(G604=1,COUNTIFS($I$200:I604,I604,$G$200:G604,1)=1),1,0)</x:f>
        <x:v>0</x:v>
      </x:c>
      <x:c r="I604" t="str">
        <x:f>IF(G604=1,IF(B604="成长",A604&amp;"-成长-"&amp;C604,'幕间与结算'!I511),"")</x:f>
        <x:v/>
      </x:c>
      <x:c r="BF604">
        <x:f>MAX(0,MIN(18,BF603+IF(C604="力量",E604,0)))</x:f>
        <x:v>0</x:v>
      </x:c>
      <x:c r="BG604">
        <x:f>MAX(0,MIN(18,BG603+IF(C604="体质",E604,0)))</x:f>
        <x:v>0</x:v>
      </x:c>
      <x:c r="BH604">
        <x:f>MAX(0,MIN(18,BH603+IF(C604="敏捷",E604,0)))</x:f>
        <x:v>0</x:v>
      </x:c>
      <x:c r="BI604">
        <x:f>MAX(0,MIN(18,BI603+IF(C604="智力",E604,0)))</x:f>
        <x:v>0</x:v>
      </x:c>
      <x:c r="BJ604">
        <x:f>MAX(0,MIN(18,BJ603+IF(C604="意志",E604,0)))</x:f>
        <x:v>0</x:v>
      </x:c>
      <x:c r="BK604">
        <x:f>MAX(0,MIN(18,BK603+IF(C604="魅力",E604,0)))</x:f>
        <x:v>0</x:v>
      </x:c>
      <x:c r="BL604">
        <x:f>MAX(0,MIN(99,BL603+IF(C604="技能：非自然知识",E604,0)))</x:f>
        <x:v>0</x:v>
      </x:c>
      <x:c r="BM604">
        <x:f>MAX(0,MIN(CEILING((BF604+BG604)/2,1),BM603+IF(C604="体力",E604,0)))</x:f>
        <x:v>0</x:v>
      </x:c>
      <x:c r="BN604">
        <x:f>MAX(0,MIN(BJ604,BN603+IF(C604="毅力",E604,0)))</x:f>
        <x:v>0</x:v>
      </x:c>
      <x:c r="BO604">
        <x:f>MAX(0,MIN(99-BL604,BO603+IF(C604="理智",E604,0)))</x:f>
        <x:v>0</x:v>
      </x:c>
      <x:c r="BP604">
        <x:f>MAX(0,MIN(99,BP603+IF(C604="崩溃点",E604,0)))</x:f>
        <x:v>0</x:v>
      </x:c>
      <x:c r="BQ604">
        <x:f>MAX(0,MIN(BK604,IF(AND(H604=1,C604="重要关系1",LEFT('幕间与结算'!H511,8)="建立新的重要关系"),'幕间与结算'!E511+E604,BQ603+IF(C604="重要关系1",E604,0)+IF(AND(C604="魅力",E604&lt;0),E604,0))))</x:f>
        <x:v>0</x:v>
      </x:c>
      <x:c r="BR604">
        <x:f>MAX(0,MIN(BK604,IF(AND(H604=1,C604="重要关系2",LEFT('幕间与结算'!H511,8)="建立新的重要关系"),'幕间与结算'!E511+E604,BR603+IF(C604="重要关系2",E604,0)+IF(AND(C604="魅力",E604&lt;0),E604,0))))</x:f>
        <x:v>0</x:v>
      </x:c>
      <x:c r="BS604">
        <x:f>MAX(0,MIN(BK604,IF(AND(H604=1,C604="重要关系3",LEFT('幕间与结算'!H511,8)="建立新的重要关系"),'幕间与结算'!E511+E604,BS603+IF(C604="重要关系3",E604,0)+IF(AND(C604="魅力",E604&lt;0),E604,0))))</x:f>
        <x:v>0</x:v>
      </x:c>
      <x:c r="BT604">
        <x:f>MAX(0,MIN(BK604,IF(AND(H604=1,C604="重要关系4",LEFT('幕间与结算'!H511,8)="建立新的重要关系"),'幕间与结算'!E511+E604,BT603+IF(C604="重要关系4",E604,0)+IF(AND(C604="魅力",E604&lt;0),E604,0))))</x:f>
        <x:v>0</x:v>
      </x:c>
      <x:c r="BU604">
        <x:f>MAX(0,MIN(BK604,IF(AND(H604=1,C604="重要关系5",LEFT('幕间与结算'!H511,8)="建立新的重要关系"),'幕间与结算'!E511+E604,BU603+IF(C604="重要关系5",E604,0)+IF(AND(C604="魅力",E604&lt;0),E604,0))))</x:f>
        <x:v>0</x:v>
      </x:c>
      <x:c r="BV604">
        <x:f>MAX(0,MIN(BK604,IF(AND(H604=1,C604="重要关系6",LEFT('幕间与结算'!H511,8)="建立新的重要关系"),'幕间与结算'!E511+E604,BV603+IF(C604="重要关系6",E604,0)+IF(AND(C604="魅力",E604&lt;0),E604,0))))</x:f>
        <x:v>0</x:v>
      </x:c>
      <x:c r="BW604">
        <x:f>MAX(0,MIN(BK604,IF(AND(H604=1,C604="重要关系7",LEFT('幕间与结算'!H511,8)="建立新的重要关系"),'幕间与结算'!E511+E604,BW603+IF(C604="重要关系7",E604,0)+IF(AND(C604="魅力",E604&lt;0),E604,0))))</x:f>
        <x:v>0</x:v>
      </x:c>
    </x:row>
    <x:row r="605">
      <x:c r="A605" t="str">
        <x:f>IFERROR(TEXT(VALUE('幕间与结算'!A512),"00"),"")</x:f>
        <x:v>00</x:v>
      </x:c>
      <x:c r="B605">
        <x:f>'幕间与结算'!B512</x:f>
        <x:v>0</x:v>
      </x:c>
      <x:c r="C605">
        <x:f>'幕间与结算'!D512</x:f>
        <x:v>0</x:v>
      </x:c>
      <x:c r="D605">
        <x:f>'幕间与结算'!F512</x:f>
        <x:v>0</x:v>
      </x:c>
      <x:c r="E605">
        <x:f>IF(H605=1,MAX(-'幕间与结算'!E512,MIN(D605,IF(LEFT(C605,3)="技能：",99,IF(COUNTIF($L$2:$L$7,C605)&gt;0,18,999))-'幕间与结算'!E512)),0)</x:f>
        <x:v>0</x:v>
      </x:c>
      <x:c r="F605" t="str">
        <x:f>IF(C605=0,"",IF(G605=0,"记录不完整",IF(H605=0,"重复未计","已计入")))</x:f>
        <x:v/>
      </x:c>
      <x:c r="G605">
        <x:f>IF(AND(AND('幕间与结算'!A512&lt;&gt;"",'幕间与结算'!B512&lt;&gt;"",'幕间与结算'!I512&lt;&gt;"",OR(LEFT(C605,3)="技能：",COUNTIF($L$2:$L$19,C605)&gt;0),ISNUMBER('幕间与结算'!E512),ISNUMBER('幕间与结算'!F512),ISNUMBER('幕间与结算'!G512),'幕间与结算'!E512&gt;=0,'幕间与结算'!G512='幕间与结算'!E512+'幕间与结算'!F512),OR(B605&lt;&gt;"成长",AND(LEFT(C605,3)="技能：",C605&lt;&gt;"技能：非自然知识",'幕间与结算'!E512&gt;=1,'幕间与结算'!E512&lt;=99,'幕间与结算'!F512&gt;=0,'幕间与结算'!F512&lt;=4,'幕间与结算'!G512&lt;=99))),1,0)</x:f>
        <x:v>0</x:v>
      </x:c>
      <x:c r="H605">
        <x:f>IF(AND(G605=1,COUNTIFS($I$200:I605,I605,$G$200:G605,1)=1),1,0)</x:f>
        <x:v>0</x:v>
      </x:c>
      <x:c r="I605" t="str">
        <x:f>IF(G605=1,IF(B605="成长",A605&amp;"-成长-"&amp;C605,'幕间与结算'!I512),"")</x:f>
        <x:v/>
      </x:c>
      <x:c r="BF605">
        <x:f>MAX(0,MIN(18,BF604+IF(C605="力量",E605,0)))</x:f>
        <x:v>0</x:v>
      </x:c>
      <x:c r="BG605">
        <x:f>MAX(0,MIN(18,BG604+IF(C605="体质",E605,0)))</x:f>
        <x:v>0</x:v>
      </x:c>
      <x:c r="BH605">
        <x:f>MAX(0,MIN(18,BH604+IF(C605="敏捷",E605,0)))</x:f>
        <x:v>0</x:v>
      </x:c>
      <x:c r="BI605">
        <x:f>MAX(0,MIN(18,BI604+IF(C605="智力",E605,0)))</x:f>
        <x:v>0</x:v>
      </x:c>
      <x:c r="BJ605">
        <x:f>MAX(0,MIN(18,BJ604+IF(C605="意志",E605,0)))</x:f>
        <x:v>0</x:v>
      </x:c>
      <x:c r="BK605">
        <x:f>MAX(0,MIN(18,BK604+IF(C605="魅力",E605,0)))</x:f>
        <x:v>0</x:v>
      </x:c>
      <x:c r="BL605">
        <x:f>MAX(0,MIN(99,BL604+IF(C605="技能：非自然知识",E605,0)))</x:f>
        <x:v>0</x:v>
      </x:c>
      <x:c r="BM605">
        <x:f>MAX(0,MIN(CEILING((BF605+BG605)/2,1),BM604+IF(C605="体力",E605,0)))</x:f>
        <x:v>0</x:v>
      </x:c>
      <x:c r="BN605">
        <x:f>MAX(0,MIN(BJ605,BN604+IF(C605="毅力",E605,0)))</x:f>
        <x:v>0</x:v>
      </x:c>
      <x:c r="BO605">
        <x:f>MAX(0,MIN(99-BL605,BO604+IF(C605="理智",E605,0)))</x:f>
        <x:v>0</x:v>
      </x:c>
      <x:c r="BP605">
        <x:f>MAX(0,MIN(99,BP604+IF(C605="崩溃点",E605,0)))</x:f>
        <x:v>0</x:v>
      </x:c>
      <x:c r="BQ605">
        <x:f>MAX(0,MIN(BK605,IF(AND(H605=1,C605="重要关系1",LEFT('幕间与结算'!H512,8)="建立新的重要关系"),'幕间与结算'!E512+E605,BQ604+IF(C605="重要关系1",E605,0)+IF(AND(C605="魅力",E605&lt;0),E605,0))))</x:f>
        <x:v>0</x:v>
      </x:c>
      <x:c r="BR605">
        <x:f>MAX(0,MIN(BK605,IF(AND(H605=1,C605="重要关系2",LEFT('幕间与结算'!H512,8)="建立新的重要关系"),'幕间与结算'!E512+E605,BR604+IF(C605="重要关系2",E605,0)+IF(AND(C605="魅力",E605&lt;0),E605,0))))</x:f>
        <x:v>0</x:v>
      </x:c>
      <x:c r="BS605">
        <x:f>MAX(0,MIN(BK605,IF(AND(H605=1,C605="重要关系3",LEFT('幕间与结算'!H512,8)="建立新的重要关系"),'幕间与结算'!E512+E605,BS604+IF(C605="重要关系3",E605,0)+IF(AND(C605="魅力",E605&lt;0),E605,0))))</x:f>
        <x:v>0</x:v>
      </x:c>
      <x:c r="BT605">
        <x:f>MAX(0,MIN(BK605,IF(AND(H605=1,C605="重要关系4",LEFT('幕间与结算'!H512,8)="建立新的重要关系"),'幕间与结算'!E512+E605,BT604+IF(C605="重要关系4",E605,0)+IF(AND(C605="魅力",E605&lt;0),E605,0))))</x:f>
        <x:v>0</x:v>
      </x:c>
      <x:c r="BU605">
        <x:f>MAX(0,MIN(BK605,IF(AND(H605=1,C605="重要关系5",LEFT('幕间与结算'!H512,8)="建立新的重要关系"),'幕间与结算'!E512+E605,BU604+IF(C605="重要关系5",E605,0)+IF(AND(C605="魅力",E605&lt;0),E605,0))))</x:f>
        <x:v>0</x:v>
      </x:c>
      <x:c r="BV605">
        <x:f>MAX(0,MIN(BK605,IF(AND(H605=1,C605="重要关系6",LEFT('幕间与结算'!H512,8)="建立新的重要关系"),'幕间与结算'!E512+E605,BV604+IF(C605="重要关系6",E605,0)+IF(AND(C605="魅力",E605&lt;0),E605,0))))</x:f>
        <x:v>0</x:v>
      </x:c>
      <x:c r="BW605">
        <x:f>MAX(0,MIN(BK605,IF(AND(H605=1,C605="重要关系7",LEFT('幕间与结算'!H512,8)="建立新的重要关系"),'幕间与结算'!E512+E605,BW604+IF(C605="重要关系7",E605,0)+IF(AND(C605="魅力",E605&lt;0),E605,0))))</x:f>
        <x:v>0</x:v>
      </x:c>
    </x:row>
    <x:row r="606">
      <x:c r="A606" t="str">
        <x:f>IFERROR(TEXT(VALUE('幕间与结算'!A513),"00"),"")</x:f>
        <x:v>00</x:v>
      </x:c>
      <x:c r="B606">
        <x:f>'幕间与结算'!B513</x:f>
        <x:v>0</x:v>
      </x:c>
      <x:c r="C606">
        <x:f>'幕间与结算'!D513</x:f>
        <x:v>0</x:v>
      </x:c>
      <x:c r="D606">
        <x:f>'幕间与结算'!F513</x:f>
        <x:v>0</x:v>
      </x:c>
      <x:c r="E606">
        <x:f>IF(H606=1,MAX(-'幕间与结算'!E513,MIN(D606,IF(LEFT(C606,3)="技能：",99,IF(COUNTIF($L$2:$L$7,C606)&gt;0,18,999))-'幕间与结算'!E513)),0)</x:f>
        <x:v>0</x:v>
      </x:c>
      <x:c r="F606" t="str">
        <x:f>IF(C606=0,"",IF(G606=0,"记录不完整",IF(H606=0,"重复未计","已计入")))</x:f>
        <x:v/>
      </x:c>
      <x:c r="G606">
        <x:f>IF(AND(AND('幕间与结算'!A513&lt;&gt;"",'幕间与结算'!B513&lt;&gt;"",'幕间与结算'!I513&lt;&gt;"",OR(LEFT(C606,3)="技能：",COUNTIF($L$2:$L$19,C606)&gt;0),ISNUMBER('幕间与结算'!E513),ISNUMBER('幕间与结算'!F513),ISNUMBER('幕间与结算'!G513),'幕间与结算'!E513&gt;=0,'幕间与结算'!G513='幕间与结算'!E513+'幕间与结算'!F513),OR(B606&lt;&gt;"成长",AND(LEFT(C606,3)="技能：",C606&lt;&gt;"技能：非自然知识",'幕间与结算'!E513&gt;=1,'幕间与结算'!E513&lt;=99,'幕间与结算'!F513&gt;=0,'幕间与结算'!F513&lt;=4,'幕间与结算'!G513&lt;=99))),1,0)</x:f>
        <x:v>0</x:v>
      </x:c>
      <x:c r="H606">
        <x:f>IF(AND(G606=1,COUNTIFS($I$200:I606,I606,$G$200:G606,1)=1),1,0)</x:f>
        <x:v>0</x:v>
      </x:c>
      <x:c r="I606" t="str">
        <x:f>IF(G606=1,IF(B606="成长",A606&amp;"-成长-"&amp;C606,'幕间与结算'!I513),"")</x:f>
        <x:v/>
      </x:c>
      <x:c r="BF606">
        <x:f>MAX(0,MIN(18,BF605+IF(C606="力量",E606,0)))</x:f>
        <x:v>0</x:v>
      </x:c>
      <x:c r="BG606">
        <x:f>MAX(0,MIN(18,BG605+IF(C606="体质",E606,0)))</x:f>
        <x:v>0</x:v>
      </x:c>
      <x:c r="BH606">
        <x:f>MAX(0,MIN(18,BH605+IF(C606="敏捷",E606,0)))</x:f>
        <x:v>0</x:v>
      </x:c>
      <x:c r="BI606">
        <x:f>MAX(0,MIN(18,BI605+IF(C606="智力",E606,0)))</x:f>
        <x:v>0</x:v>
      </x:c>
      <x:c r="BJ606">
        <x:f>MAX(0,MIN(18,BJ605+IF(C606="意志",E606,0)))</x:f>
        <x:v>0</x:v>
      </x:c>
      <x:c r="BK606">
        <x:f>MAX(0,MIN(18,BK605+IF(C606="魅力",E606,0)))</x:f>
        <x:v>0</x:v>
      </x:c>
      <x:c r="BL606">
        <x:f>MAX(0,MIN(99,BL605+IF(C606="技能：非自然知识",E606,0)))</x:f>
        <x:v>0</x:v>
      </x:c>
      <x:c r="BM606">
        <x:f>MAX(0,MIN(CEILING((BF606+BG606)/2,1),BM605+IF(C606="体力",E606,0)))</x:f>
        <x:v>0</x:v>
      </x:c>
      <x:c r="BN606">
        <x:f>MAX(0,MIN(BJ606,BN605+IF(C606="毅力",E606,0)))</x:f>
        <x:v>0</x:v>
      </x:c>
      <x:c r="BO606">
        <x:f>MAX(0,MIN(99-BL606,BO605+IF(C606="理智",E606,0)))</x:f>
        <x:v>0</x:v>
      </x:c>
      <x:c r="BP606">
        <x:f>MAX(0,MIN(99,BP605+IF(C606="崩溃点",E606,0)))</x:f>
        <x:v>0</x:v>
      </x:c>
      <x:c r="BQ606">
        <x:f>MAX(0,MIN(BK606,IF(AND(H606=1,C606="重要关系1",LEFT('幕间与结算'!H513,8)="建立新的重要关系"),'幕间与结算'!E513+E606,BQ605+IF(C606="重要关系1",E606,0)+IF(AND(C606="魅力",E606&lt;0),E606,0))))</x:f>
        <x:v>0</x:v>
      </x:c>
      <x:c r="BR606">
        <x:f>MAX(0,MIN(BK606,IF(AND(H606=1,C606="重要关系2",LEFT('幕间与结算'!H513,8)="建立新的重要关系"),'幕间与结算'!E513+E606,BR605+IF(C606="重要关系2",E606,0)+IF(AND(C606="魅力",E606&lt;0),E606,0))))</x:f>
        <x:v>0</x:v>
      </x:c>
      <x:c r="BS606">
        <x:f>MAX(0,MIN(BK606,IF(AND(H606=1,C606="重要关系3",LEFT('幕间与结算'!H513,8)="建立新的重要关系"),'幕间与结算'!E513+E606,BS605+IF(C606="重要关系3",E606,0)+IF(AND(C606="魅力",E606&lt;0),E606,0))))</x:f>
        <x:v>0</x:v>
      </x:c>
      <x:c r="BT606">
        <x:f>MAX(0,MIN(BK606,IF(AND(H606=1,C606="重要关系4",LEFT('幕间与结算'!H513,8)="建立新的重要关系"),'幕间与结算'!E513+E606,BT605+IF(C606="重要关系4",E606,0)+IF(AND(C606="魅力",E606&lt;0),E606,0))))</x:f>
        <x:v>0</x:v>
      </x:c>
      <x:c r="BU606">
        <x:f>MAX(0,MIN(BK606,IF(AND(H606=1,C606="重要关系5",LEFT('幕间与结算'!H513,8)="建立新的重要关系"),'幕间与结算'!E513+E606,BU605+IF(C606="重要关系5",E606,0)+IF(AND(C606="魅力",E606&lt;0),E606,0))))</x:f>
        <x:v>0</x:v>
      </x:c>
      <x:c r="BV606">
        <x:f>MAX(0,MIN(BK606,IF(AND(H606=1,C606="重要关系6",LEFT('幕间与结算'!H513,8)="建立新的重要关系"),'幕间与结算'!E513+E606,BV605+IF(C606="重要关系6",E606,0)+IF(AND(C606="魅力",E606&lt;0),E606,0))))</x:f>
        <x:v>0</x:v>
      </x:c>
      <x:c r="BW606">
        <x:f>MAX(0,MIN(BK606,IF(AND(H606=1,C606="重要关系7",LEFT('幕间与结算'!H513,8)="建立新的重要关系"),'幕间与结算'!E513+E606,BW605+IF(C606="重要关系7",E606,0)+IF(AND(C606="魅力",E606&lt;0),E606,0))))</x:f>
        <x:v>0</x:v>
      </x:c>
    </x:row>
    <x:row r="607">
      <x:c r="A607" t="str">
        <x:f>IFERROR(TEXT(VALUE('幕间与结算'!A514),"00"),"")</x:f>
        <x:v>00</x:v>
      </x:c>
      <x:c r="B607">
        <x:f>'幕间与结算'!B514</x:f>
        <x:v>0</x:v>
      </x:c>
      <x:c r="C607">
        <x:f>'幕间与结算'!D514</x:f>
        <x:v>0</x:v>
      </x:c>
      <x:c r="D607">
        <x:f>'幕间与结算'!F514</x:f>
        <x:v>0</x:v>
      </x:c>
      <x:c r="E607">
        <x:f>IF(H607=1,MAX(-'幕间与结算'!E514,MIN(D607,IF(LEFT(C607,3)="技能：",99,IF(COUNTIF($L$2:$L$7,C607)&gt;0,18,999))-'幕间与结算'!E514)),0)</x:f>
        <x:v>0</x:v>
      </x:c>
      <x:c r="F607" t="str">
        <x:f>IF(C607=0,"",IF(G607=0,"记录不完整",IF(H607=0,"重复未计","已计入")))</x:f>
        <x:v/>
      </x:c>
      <x:c r="G607">
        <x:f>IF(AND(AND('幕间与结算'!A514&lt;&gt;"",'幕间与结算'!B514&lt;&gt;"",'幕间与结算'!I514&lt;&gt;"",OR(LEFT(C607,3)="技能：",COUNTIF($L$2:$L$19,C607)&gt;0),ISNUMBER('幕间与结算'!E514),ISNUMBER('幕间与结算'!F514),ISNUMBER('幕间与结算'!G514),'幕间与结算'!E514&gt;=0,'幕间与结算'!G514='幕间与结算'!E514+'幕间与结算'!F514),OR(B607&lt;&gt;"成长",AND(LEFT(C607,3)="技能：",C607&lt;&gt;"技能：非自然知识",'幕间与结算'!E514&gt;=1,'幕间与结算'!E514&lt;=99,'幕间与结算'!F514&gt;=0,'幕间与结算'!F514&lt;=4,'幕间与结算'!G514&lt;=99))),1,0)</x:f>
        <x:v>0</x:v>
      </x:c>
      <x:c r="H607">
        <x:f>IF(AND(G607=1,COUNTIFS($I$200:I607,I607,$G$200:G607,1)=1),1,0)</x:f>
        <x:v>0</x:v>
      </x:c>
      <x:c r="I607" t="str">
        <x:f>IF(G607=1,IF(B607="成长",A607&amp;"-成长-"&amp;C607,'幕间与结算'!I514),"")</x:f>
        <x:v/>
      </x:c>
      <x:c r="BF607">
        <x:f>MAX(0,MIN(18,BF606+IF(C607="力量",E607,0)))</x:f>
        <x:v>0</x:v>
      </x:c>
      <x:c r="BG607">
        <x:f>MAX(0,MIN(18,BG606+IF(C607="体质",E607,0)))</x:f>
        <x:v>0</x:v>
      </x:c>
      <x:c r="BH607">
        <x:f>MAX(0,MIN(18,BH606+IF(C607="敏捷",E607,0)))</x:f>
        <x:v>0</x:v>
      </x:c>
      <x:c r="BI607">
        <x:f>MAX(0,MIN(18,BI606+IF(C607="智力",E607,0)))</x:f>
        <x:v>0</x:v>
      </x:c>
      <x:c r="BJ607">
        <x:f>MAX(0,MIN(18,BJ606+IF(C607="意志",E607,0)))</x:f>
        <x:v>0</x:v>
      </x:c>
      <x:c r="BK607">
        <x:f>MAX(0,MIN(18,BK606+IF(C607="魅力",E607,0)))</x:f>
        <x:v>0</x:v>
      </x:c>
      <x:c r="BL607">
        <x:f>MAX(0,MIN(99,BL606+IF(C607="技能：非自然知识",E607,0)))</x:f>
        <x:v>0</x:v>
      </x:c>
      <x:c r="BM607">
        <x:f>MAX(0,MIN(CEILING((BF607+BG607)/2,1),BM606+IF(C607="体力",E607,0)))</x:f>
        <x:v>0</x:v>
      </x:c>
      <x:c r="BN607">
        <x:f>MAX(0,MIN(BJ607,BN606+IF(C607="毅力",E607,0)))</x:f>
        <x:v>0</x:v>
      </x:c>
      <x:c r="BO607">
        <x:f>MAX(0,MIN(99-BL607,BO606+IF(C607="理智",E607,0)))</x:f>
        <x:v>0</x:v>
      </x:c>
      <x:c r="BP607">
        <x:f>MAX(0,MIN(99,BP606+IF(C607="崩溃点",E607,0)))</x:f>
        <x:v>0</x:v>
      </x:c>
      <x:c r="BQ607">
        <x:f>MAX(0,MIN(BK607,IF(AND(H607=1,C607="重要关系1",LEFT('幕间与结算'!H514,8)="建立新的重要关系"),'幕间与结算'!E514+E607,BQ606+IF(C607="重要关系1",E607,0)+IF(AND(C607="魅力",E607&lt;0),E607,0))))</x:f>
        <x:v>0</x:v>
      </x:c>
      <x:c r="BR607">
        <x:f>MAX(0,MIN(BK607,IF(AND(H607=1,C607="重要关系2",LEFT('幕间与结算'!H514,8)="建立新的重要关系"),'幕间与结算'!E514+E607,BR606+IF(C607="重要关系2",E607,0)+IF(AND(C607="魅力",E607&lt;0),E607,0))))</x:f>
        <x:v>0</x:v>
      </x:c>
      <x:c r="BS607">
        <x:f>MAX(0,MIN(BK607,IF(AND(H607=1,C607="重要关系3",LEFT('幕间与结算'!H514,8)="建立新的重要关系"),'幕间与结算'!E514+E607,BS606+IF(C607="重要关系3",E607,0)+IF(AND(C607="魅力",E607&lt;0),E607,0))))</x:f>
        <x:v>0</x:v>
      </x:c>
      <x:c r="BT607">
        <x:f>MAX(0,MIN(BK607,IF(AND(H607=1,C607="重要关系4",LEFT('幕间与结算'!H514,8)="建立新的重要关系"),'幕间与结算'!E514+E607,BT606+IF(C607="重要关系4",E607,0)+IF(AND(C607="魅力",E607&lt;0),E607,0))))</x:f>
        <x:v>0</x:v>
      </x:c>
      <x:c r="BU607">
        <x:f>MAX(0,MIN(BK607,IF(AND(H607=1,C607="重要关系5",LEFT('幕间与结算'!H514,8)="建立新的重要关系"),'幕间与结算'!E514+E607,BU606+IF(C607="重要关系5",E607,0)+IF(AND(C607="魅力",E607&lt;0),E607,0))))</x:f>
        <x:v>0</x:v>
      </x:c>
      <x:c r="BV607">
        <x:f>MAX(0,MIN(BK607,IF(AND(H607=1,C607="重要关系6",LEFT('幕间与结算'!H514,8)="建立新的重要关系"),'幕间与结算'!E514+E607,BV606+IF(C607="重要关系6",E607,0)+IF(AND(C607="魅力",E607&lt;0),E607,0))))</x:f>
        <x:v>0</x:v>
      </x:c>
      <x:c r="BW607">
        <x:f>MAX(0,MIN(BK607,IF(AND(H607=1,C607="重要关系7",LEFT('幕间与结算'!H514,8)="建立新的重要关系"),'幕间与结算'!E514+E607,BW606+IF(C607="重要关系7",E607,0)+IF(AND(C607="魅力",E607&lt;0),E607,0))))</x:f>
        <x:v>0</x:v>
      </x:c>
    </x:row>
    <x:row r="608">
      <x:c r="A608" t="str">
        <x:f>IFERROR(TEXT(VALUE('幕间与结算'!A515),"00"),"")</x:f>
        <x:v>00</x:v>
      </x:c>
      <x:c r="B608">
        <x:f>'幕间与结算'!B515</x:f>
        <x:v>0</x:v>
      </x:c>
      <x:c r="C608">
        <x:f>'幕间与结算'!D515</x:f>
        <x:v>0</x:v>
      </x:c>
      <x:c r="D608">
        <x:f>'幕间与结算'!F515</x:f>
        <x:v>0</x:v>
      </x:c>
      <x:c r="E608">
        <x:f>IF(H608=1,MAX(-'幕间与结算'!E515,MIN(D608,IF(LEFT(C608,3)="技能：",99,IF(COUNTIF($L$2:$L$7,C608)&gt;0,18,999))-'幕间与结算'!E515)),0)</x:f>
        <x:v>0</x:v>
      </x:c>
      <x:c r="F608" t="str">
        <x:f>IF(C608=0,"",IF(G608=0,"记录不完整",IF(H608=0,"重复未计","已计入")))</x:f>
        <x:v/>
      </x:c>
      <x:c r="G608">
        <x:f>IF(AND(AND('幕间与结算'!A515&lt;&gt;"",'幕间与结算'!B515&lt;&gt;"",'幕间与结算'!I515&lt;&gt;"",OR(LEFT(C608,3)="技能：",COUNTIF($L$2:$L$19,C608)&gt;0),ISNUMBER('幕间与结算'!E515),ISNUMBER('幕间与结算'!F515),ISNUMBER('幕间与结算'!G515),'幕间与结算'!E515&gt;=0,'幕间与结算'!G515='幕间与结算'!E515+'幕间与结算'!F515),OR(B608&lt;&gt;"成长",AND(LEFT(C608,3)="技能：",C608&lt;&gt;"技能：非自然知识",'幕间与结算'!E515&gt;=1,'幕间与结算'!E515&lt;=99,'幕间与结算'!F515&gt;=0,'幕间与结算'!F515&lt;=4,'幕间与结算'!G515&lt;=99))),1,0)</x:f>
        <x:v>0</x:v>
      </x:c>
      <x:c r="H608">
        <x:f>IF(AND(G608=1,COUNTIFS($I$200:I608,I608,$G$200:G608,1)=1),1,0)</x:f>
        <x:v>0</x:v>
      </x:c>
      <x:c r="I608" t="str">
        <x:f>IF(G608=1,IF(B608="成长",A608&amp;"-成长-"&amp;C608,'幕间与结算'!I515),"")</x:f>
        <x:v/>
      </x:c>
      <x:c r="BF608">
        <x:f>MAX(0,MIN(18,BF607+IF(C608="力量",E608,0)))</x:f>
        <x:v>0</x:v>
      </x:c>
      <x:c r="BG608">
        <x:f>MAX(0,MIN(18,BG607+IF(C608="体质",E608,0)))</x:f>
        <x:v>0</x:v>
      </x:c>
      <x:c r="BH608">
        <x:f>MAX(0,MIN(18,BH607+IF(C608="敏捷",E608,0)))</x:f>
        <x:v>0</x:v>
      </x:c>
      <x:c r="BI608">
        <x:f>MAX(0,MIN(18,BI607+IF(C608="智力",E608,0)))</x:f>
        <x:v>0</x:v>
      </x:c>
      <x:c r="BJ608">
        <x:f>MAX(0,MIN(18,BJ607+IF(C608="意志",E608,0)))</x:f>
        <x:v>0</x:v>
      </x:c>
      <x:c r="BK608">
        <x:f>MAX(0,MIN(18,BK607+IF(C608="魅力",E608,0)))</x:f>
        <x:v>0</x:v>
      </x:c>
      <x:c r="BL608">
        <x:f>MAX(0,MIN(99,BL607+IF(C608="技能：非自然知识",E608,0)))</x:f>
        <x:v>0</x:v>
      </x:c>
      <x:c r="BM608">
        <x:f>MAX(0,MIN(CEILING((BF608+BG608)/2,1),BM607+IF(C608="体力",E608,0)))</x:f>
        <x:v>0</x:v>
      </x:c>
      <x:c r="BN608">
        <x:f>MAX(0,MIN(BJ608,BN607+IF(C608="毅力",E608,0)))</x:f>
        <x:v>0</x:v>
      </x:c>
      <x:c r="BO608">
        <x:f>MAX(0,MIN(99-BL608,BO607+IF(C608="理智",E608,0)))</x:f>
        <x:v>0</x:v>
      </x:c>
      <x:c r="BP608">
        <x:f>MAX(0,MIN(99,BP607+IF(C608="崩溃点",E608,0)))</x:f>
        <x:v>0</x:v>
      </x:c>
      <x:c r="BQ608">
        <x:f>MAX(0,MIN(BK608,IF(AND(H608=1,C608="重要关系1",LEFT('幕间与结算'!H515,8)="建立新的重要关系"),'幕间与结算'!E515+E608,BQ607+IF(C608="重要关系1",E608,0)+IF(AND(C608="魅力",E608&lt;0),E608,0))))</x:f>
        <x:v>0</x:v>
      </x:c>
      <x:c r="BR608">
        <x:f>MAX(0,MIN(BK608,IF(AND(H608=1,C608="重要关系2",LEFT('幕间与结算'!H515,8)="建立新的重要关系"),'幕间与结算'!E515+E608,BR607+IF(C608="重要关系2",E608,0)+IF(AND(C608="魅力",E608&lt;0),E608,0))))</x:f>
        <x:v>0</x:v>
      </x:c>
      <x:c r="BS608">
        <x:f>MAX(0,MIN(BK608,IF(AND(H608=1,C608="重要关系3",LEFT('幕间与结算'!H515,8)="建立新的重要关系"),'幕间与结算'!E515+E608,BS607+IF(C608="重要关系3",E608,0)+IF(AND(C608="魅力",E608&lt;0),E608,0))))</x:f>
        <x:v>0</x:v>
      </x:c>
      <x:c r="BT608">
        <x:f>MAX(0,MIN(BK608,IF(AND(H608=1,C608="重要关系4",LEFT('幕间与结算'!H515,8)="建立新的重要关系"),'幕间与结算'!E515+E608,BT607+IF(C608="重要关系4",E608,0)+IF(AND(C608="魅力",E608&lt;0),E608,0))))</x:f>
        <x:v>0</x:v>
      </x:c>
      <x:c r="BU608">
        <x:f>MAX(0,MIN(BK608,IF(AND(H608=1,C608="重要关系5",LEFT('幕间与结算'!H515,8)="建立新的重要关系"),'幕间与结算'!E515+E608,BU607+IF(C608="重要关系5",E608,0)+IF(AND(C608="魅力",E608&lt;0),E608,0))))</x:f>
        <x:v>0</x:v>
      </x:c>
      <x:c r="BV608">
        <x:f>MAX(0,MIN(BK608,IF(AND(H608=1,C608="重要关系6",LEFT('幕间与结算'!H515,8)="建立新的重要关系"),'幕间与结算'!E515+E608,BV607+IF(C608="重要关系6",E608,0)+IF(AND(C608="魅力",E608&lt;0),E608,0))))</x:f>
        <x:v>0</x:v>
      </x:c>
      <x:c r="BW608">
        <x:f>MAX(0,MIN(BK608,IF(AND(H608=1,C608="重要关系7",LEFT('幕间与结算'!H515,8)="建立新的重要关系"),'幕间与结算'!E515+E608,BW607+IF(C608="重要关系7",E608,0)+IF(AND(C608="魅力",E608&lt;0),E608,0))))</x:f>
        <x:v>0</x:v>
      </x:c>
    </x:row>
    <x:row r="609">
      <x:c r="A609" t="str">
        <x:f>IFERROR(TEXT(VALUE('幕间与结算'!A516),"00"),"")</x:f>
        <x:v>00</x:v>
      </x:c>
      <x:c r="B609">
        <x:f>'幕间与结算'!B516</x:f>
        <x:v>0</x:v>
      </x:c>
      <x:c r="C609">
        <x:f>'幕间与结算'!D516</x:f>
        <x:v>0</x:v>
      </x:c>
      <x:c r="D609">
        <x:f>'幕间与结算'!F516</x:f>
        <x:v>0</x:v>
      </x:c>
      <x:c r="E609">
        <x:f>IF(H609=1,MAX(-'幕间与结算'!E516,MIN(D609,IF(LEFT(C609,3)="技能：",99,IF(COUNTIF($L$2:$L$7,C609)&gt;0,18,999))-'幕间与结算'!E516)),0)</x:f>
        <x:v>0</x:v>
      </x:c>
      <x:c r="F609" t="str">
        <x:f>IF(C609=0,"",IF(G609=0,"记录不完整",IF(H609=0,"重复未计","已计入")))</x:f>
        <x:v/>
      </x:c>
      <x:c r="G609">
        <x:f>IF(AND(AND('幕间与结算'!A516&lt;&gt;"",'幕间与结算'!B516&lt;&gt;"",'幕间与结算'!I516&lt;&gt;"",OR(LEFT(C609,3)="技能：",COUNTIF($L$2:$L$19,C609)&gt;0),ISNUMBER('幕间与结算'!E516),ISNUMBER('幕间与结算'!F516),ISNUMBER('幕间与结算'!G516),'幕间与结算'!E516&gt;=0,'幕间与结算'!G516='幕间与结算'!E516+'幕间与结算'!F516),OR(B609&lt;&gt;"成长",AND(LEFT(C609,3)="技能：",C609&lt;&gt;"技能：非自然知识",'幕间与结算'!E516&gt;=1,'幕间与结算'!E516&lt;=99,'幕间与结算'!F516&gt;=0,'幕间与结算'!F516&lt;=4,'幕间与结算'!G516&lt;=99))),1,0)</x:f>
        <x:v>0</x:v>
      </x:c>
      <x:c r="H609">
        <x:f>IF(AND(G609=1,COUNTIFS($I$200:I609,I609,$G$200:G609,1)=1),1,0)</x:f>
        <x:v>0</x:v>
      </x:c>
      <x:c r="I609" t="str">
        <x:f>IF(G609=1,IF(B609="成长",A609&amp;"-成长-"&amp;C609,'幕间与结算'!I516),"")</x:f>
        <x:v/>
      </x:c>
      <x:c r="BF609">
        <x:f>MAX(0,MIN(18,BF608+IF(C609="力量",E609,0)))</x:f>
        <x:v>0</x:v>
      </x:c>
      <x:c r="BG609">
        <x:f>MAX(0,MIN(18,BG608+IF(C609="体质",E609,0)))</x:f>
        <x:v>0</x:v>
      </x:c>
      <x:c r="BH609">
        <x:f>MAX(0,MIN(18,BH608+IF(C609="敏捷",E609,0)))</x:f>
        <x:v>0</x:v>
      </x:c>
      <x:c r="BI609">
        <x:f>MAX(0,MIN(18,BI608+IF(C609="智力",E609,0)))</x:f>
        <x:v>0</x:v>
      </x:c>
      <x:c r="BJ609">
        <x:f>MAX(0,MIN(18,BJ608+IF(C609="意志",E609,0)))</x:f>
        <x:v>0</x:v>
      </x:c>
      <x:c r="BK609">
        <x:f>MAX(0,MIN(18,BK608+IF(C609="魅力",E609,0)))</x:f>
        <x:v>0</x:v>
      </x:c>
      <x:c r="BL609">
        <x:f>MAX(0,MIN(99,BL608+IF(C609="技能：非自然知识",E609,0)))</x:f>
        <x:v>0</x:v>
      </x:c>
      <x:c r="BM609">
        <x:f>MAX(0,MIN(CEILING((BF609+BG609)/2,1),BM608+IF(C609="体力",E609,0)))</x:f>
        <x:v>0</x:v>
      </x:c>
      <x:c r="BN609">
        <x:f>MAX(0,MIN(BJ609,BN608+IF(C609="毅力",E609,0)))</x:f>
        <x:v>0</x:v>
      </x:c>
      <x:c r="BO609">
        <x:f>MAX(0,MIN(99-BL609,BO608+IF(C609="理智",E609,0)))</x:f>
        <x:v>0</x:v>
      </x:c>
      <x:c r="BP609">
        <x:f>MAX(0,MIN(99,BP608+IF(C609="崩溃点",E609,0)))</x:f>
        <x:v>0</x:v>
      </x:c>
      <x:c r="BQ609">
        <x:f>MAX(0,MIN(BK609,IF(AND(H609=1,C609="重要关系1",LEFT('幕间与结算'!H516,8)="建立新的重要关系"),'幕间与结算'!E516+E609,BQ608+IF(C609="重要关系1",E609,0)+IF(AND(C609="魅力",E609&lt;0),E609,0))))</x:f>
        <x:v>0</x:v>
      </x:c>
      <x:c r="BR609">
        <x:f>MAX(0,MIN(BK609,IF(AND(H609=1,C609="重要关系2",LEFT('幕间与结算'!H516,8)="建立新的重要关系"),'幕间与结算'!E516+E609,BR608+IF(C609="重要关系2",E609,0)+IF(AND(C609="魅力",E609&lt;0),E609,0))))</x:f>
        <x:v>0</x:v>
      </x:c>
      <x:c r="BS609">
        <x:f>MAX(0,MIN(BK609,IF(AND(H609=1,C609="重要关系3",LEFT('幕间与结算'!H516,8)="建立新的重要关系"),'幕间与结算'!E516+E609,BS608+IF(C609="重要关系3",E609,0)+IF(AND(C609="魅力",E609&lt;0),E609,0))))</x:f>
        <x:v>0</x:v>
      </x:c>
      <x:c r="BT609">
        <x:f>MAX(0,MIN(BK609,IF(AND(H609=1,C609="重要关系4",LEFT('幕间与结算'!H516,8)="建立新的重要关系"),'幕间与结算'!E516+E609,BT608+IF(C609="重要关系4",E609,0)+IF(AND(C609="魅力",E609&lt;0),E609,0))))</x:f>
        <x:v>0</x:v>
      </x:c>
      <x:c r="BU609">
        <x:f>MAX(0,MIN(BK609,IF(AND(H609=1,C609="重要关系5",LEFT('幕间与结算'!H516,8)="建立新的重要关系"),'幕间与结算'!E516+E609,BU608+IF(C609="重要关系5",E609,0)+IF(AND(C609="魅力",E609&lt;0),E609,0))))</x:f>
        <x:v>0</x:v>
      </x:c>
      <x:c r="BV609">
        <x:f>MAX(0,MIN(BK609,IF(AND(H609=1,C609="重要关系6",LEFT('幕间与结算'!H516,8)="建立新的重要关系"),'幕间与结算'!E516+E609,BV608+IF(C609="重要关系6",E609,0)+IF(AND(C609="魅力",E609&lt;0),E609,0))))</x:f>
        <x:v>0</x:v>
      </x:c>
      <x:c r="BW609">
        <x:f>MAX(0,MIN(BK609,IF(AND(H609=1,C609="重要关系7",LEFT('幕间与结算'!H516,8)="建立新的重要关系"),'幕间与结算'!E516+E609,BW608+IF(C609="重要关系7",E609,0)+IF(AND(C609="魅力",E609&lt;0),E609,0))))</x:f>
        <x:v>0</x:v>
      </x:c>
    </x:row>
    <x:row r="610">
      <x:c r="A610" t="str">
        <x:f>IFERROR(TEXT(VALUE('幕间与结算'!A517),"00"),"")</x:f>
        <x:v>00</x:v>
      </x:c>
      <x:c r="B610">
        <x:f>'幕间与结算'!B517</x:f>
        <x:v>0</x:v>
      </x:c>
      <x:c r="C610">
        <x:f>'幕间与结算'!D517</x:f>
        <x:v>0</x:v>
      </x:c>
      <x:c r="D610">
        <x:f>'幕间与结算'!F517</x:f>
        <x:v>0</x:v>
      </x:c>
      <x:c r="E610">
        <x:f>IF(H610=1,MAX(-'幕间与结算'!E517,MIN(D610,IF(LEFT(C610,3)="技能：",99,IF(COUNTIF($L$2:$L$7,C610)&gt;0,18,999))-'幕间与结算'!E517)),0)</x:f>
        <x:v>0</x:v>
      </x:c>
      <x:c r="F610" t="str">
        <x:f>IF(C610=0,"",IF(G610=0,"记录不完整",IF(H610=0,"重复未计","已计入")))</x:f>
        <x:v/>
      </x:c>
      <x:c r="G610">
        <x:f>IF(AND(AND('幕间与结算'!A517&lt;&gt;"",'幕间与结算'!B517&lt;&gt;"",'幕间与结算'!I517&lt;&gt;"",OR(LEFT(C610,3)="技能：",COUNTIF($L$2:$L$19,C610)&gt;0),ISNUMBER('幕间与结算'!E517),ISNUMBER('幕间与结算'!F517),ISNUMBER('幕间与结算'!G517),'幕间与结算'!E517&gt;=0,'幕间与结算'!G517='幕间与结算'!E517+'幕间与结算'!F517),OR(B610&lt;&gt;"成长",AND(LEFT(C610,3)="技能：",C610&lt;&gt;"技能：非自然知识",'幕间与结算'!E517&gt;=1,'幕间与结算'!E517&lt;=99,'幕间与结算'!F517&gt;=0,'幕间与结算'!F517&lt;=4,'幕间与结算'!G517&lt;=99))),1,0)</x:f>
        <x:v>0</x:v>
      </x:c>
      <x:c r="H610">
        <x:f>IF(AND(G610=1,COUNTIFS($I$200:I610,I610,$G$200:G610,1)=1),1,0)</x:f>
        <x:v>0</x:v>
      </x:c>
      <x:c r="I610" t="str">
        <x:f>IF(G610=1,IF(B610="成长",A610&amp;"-成长-"&amp;C610,'幕间与结算'!I517),"")</x:f>
        <x:v/>
      </x:c>
      <x:c r="BF610">
        <x:f>MAX(0,MIN(18,BF609+IF(C610="力量",E610,0)))</x:f>
        <x:v>0</x:v>
      </x:c>
      <x:c r="BG610">
        <x:f>MAX(0,MIN(18,BG609+IF(C610="体质",E610,0)))</x:f>
        <x:v>0</x:v>
      </x:c>
      <x:c r="BH610">
        <x:f>MAX(0,MIN(18,BH609+IF(C610="敏捷",E610,0)))</x:f>
        <x:v>0</x:v>
      </x:c>
      <x:c r="BI610">
        <x:f>MAX(0,MIN(18,BI609+IF(C610="智力",E610,0)))</x:f>
        <x:v>0</x:v>
      </x:c>
      <x:c r="BJ610">
        <x:f>MAX(0,MIN(18,BJ609+IF(C610="意志",E610,0)))</x:f>
        <x:v>0</x:v>
      </x:c>
      <x:c r="BK610">
        <x:f>MAX(0,MIN(18,BK609+IF(C610="魅力",E610,0)))</x:f>
        <x:v>0</x:v>
      </x:c>
      <x:c r="BL610">
        <x:f>MAX(0,MIN(99,BL609+IF(C610="技能：非自然知识",E610,0)))</x:f>
        <x:v>0</x:v>
      </x:c>
      <x:c r="BM610">
        <x:f>MAX(0,MIN(CEILING((BF610+BG610)/2,1),BM609+IF(C610="体力",E610,0)))</x:f>
        <x:v>0</x:v>
      </x:c>
      <x:c r="BN610">
        <x:f>MAX(0,MIN(BJ610,BN609+IF(C610="毅力",E610,0)))</x:f>
        <x:v>0</x:v>
      </x:c>
      <x:c r="BO610">
        <x:f>MAX(0,MIN(99-BL610,BO609+IF(C610="理智",E610,0)))</x:f>
        <x:v>0</x:v>
      </x:c>
      <x:c r="BP610">
        <x:f>MAX(0,MIN(99,BP609+IF(C610="崩溃点",E610,0)))</x:f>
        <x:v>0</x:v>
      </x:c>
      <x:c r="BQ610">
        <x:f>MAX(0,MIN(BK610,IF(AND(H610=1,C610="重要关系1",LEFT('幕间与结算'!H517,8)="建立新的重要关系"),'幕间与结算'!E517+E610,BQ609+IF(C610="重要关系1",E610,0)+IF(AND(C610="魅力",E610&lt;0),E610,0))))</x:f>
        <x:v>0</x:v>
      </x:c>
      <x:c r="BR610">
        <x:f>MAX(0,MIN(BK610,IF(AND(H610=1,C610="重要关系2",LEFT('幕间与结算'!H517,8)="建立新的重要关系"),'幕间与结算'!E517+E610,BR609+IF(C610="重要关系2",E610,0)+IF(AND(C610="魅力",E610&lt;0),E610,0))))</x:f>
        <x:v>0</x:v>
      </x:c>
      <x:c r="BS610">
        <x:f>MAX(0,MIN(BK610,IF(AND(H610=1,C610="重要关系3",LEFT('幕间与结算'!H517,8)="建立新的重要关系"),'幕间与结算'!E517+E610,BS609+IF(C610="重要关系3",E610,0)+IF(AND(C610="魅力",E610&lt;0),E610,0))))</x:f>
        <x:v>0</x:v>
      </x:c>
      <x:c r="BT610">
        <x:f>MAX(0,MIN(BK610,IF(AND(H610=1,C610="重要关系4",LEFT('幕间与结算'!H517,8)="建立新的重要关系"),'幕间与结算'!E517+E610,BT609+IF(C610="重要关系4",E610,0)+IF(AND(C610="魅力",E610&lt;0),E610,0))))</x:f>
        <x:v>0</x:v>
      </x:c>
      <x:c r="BU610">
        <x:f>MAX(0,MIN(BK610,IF(AND(H610=1,C610="重要关系5",LEFT('幕间与结算'!H517,8)="建立新的重要关系"),'幕间与结算'!E517+E610,BU609+IF(C610="重要关系5",E610,0)+IF(AND(C610="魅力",E610&lt;0),E610,0))))</x:f>
        <x:v>0</x:v>
      </x:c>
      <x:c r="BV610">
        <x:f>MAX(0,MIN(BK610,IF(AND(H610=1,C610="重要关系6",LEFT('幕间与结算'!H517,8)="建立新的重要关系"),'幕间与结算'!E517+E610,BV609+IF(C610="重要关系6",E610,0)+IF(AND(C610="魅力",E610&lt;0),E610,0))))</x:f>
        <x:v>0</x:v>
      </x:c>
      <x:c r="BW610">
        <x:f>MAX(0,MIN(BK610,IF(AND(H610=1,C610="重要关系7",LEFT('幕间与结算'!H517,8)="建立新的重要关系"),'幕间与结算'!E517+E610,BW609+IF(C610="重要关系7",E610,0)+IF(AND(C610="魅力",E610&lt;0),E610,0))))</x:f>
        <x:v>0</x:v>
      </x:c>
    </x:row>
    <x:row r="611">
      <x:c r="A611" t="str">
        <x:f>IFERROR(TEXT(VALUE('幕间与结算'!A518),"00"),"")</x:f>
        <x:v>00</x:v>
      </x:c>
      <x:c r="B611">
        <x:f>'幕间与结算'!B518</x:f>
        <x:v>0</x:v>
      </x:c>
      <x:c r="C611">
        <x:f>'幕间与结算'!D518</x:f>
        <x:v>0</x:v>
      </x:c>
      <x:c r="D611">
        <x:f>'幕间与结算'!F518</x:f>
        <x:v>0</x:v>
      </x:c>
      <x:c r="E611">
        <x:f>IF(H611=1,MAX(-'幕间与结算'!E518,MIN(D611,IF(LEFT(C611,3)="技能：",99,IF(COUNTIF($L$2:$L$7,C611)&gt;0,18,999))-'幕间与结算'!E518)),0)</x:f>
        <x:v>0</x:v>
      </x:c>
      <x:c r="F611" t="str">
        <x:f>IF(C611=0,"",IF(G611=0,"记录不完整",IF(H611=0,"重复未计","已计入")))</x:f>
        <x:v/>
      </x:c>
      <x:c r="G611">
        <x:f>IF(AND(AND('幕间与结算'!A518&lt;&gt;"",'幕间与结算'!B518&lt;&gt;"",'幕间与结算'!I518&lt;&gt;"",OR(LEFT(C611,3)="技能：",COUNTIF($L$2:$L$19,C611)&gt;0),ISNUMBER('幕间与结算'!E518),ISNUMBER('幕间与结算'!F518),ISNUMBER('幕间与结算'!G518),'幕间与结算'!E518&gt;=0,'幕间与结算'!G518='幕间与结算'!E518+'幕间与结算'!F518),OR(B611&lt;&gt;"成长",AND(LEFT(C611,3)="技能：",C611&lt;&gt;"技能：非自然知识",'幕间与结算'!E518&gt;=1,'幕间与结算'!E518&lt;=99,'幕间与结算'!F518&gt;=0,'幕间与结算'!F518&lt;=4,'幕间与结算'!G518&lt;=99))),1,0)</x:f>
        <x:v>0</x:v>
      </x:c>
      <x:c r="H611">
        <x:f>IF(AND(G611=1,COUNTIFS($I$200:I611,I611,$G$200:G611,1)=1),1,0)</x:f>
        <x:v>0</x:v>
      </x:c>
      <x:c r="I611" t="str">
        <x:f>IF(G611=1,IF(B611="成长",A611&amp;"-成长-"&amp;C611,'幕间与结算'!I518),"")</x:f>
        <x:v/>
      </x:c>
      <x:c r="BF611">
        <x:f>MAX(0,MIN(18,BF610+IF(C611="力量",E611,0)))</x:f>
        <x:v>0</x:v>
      </x:c>
      <x:c r="BG611">
        <x:f>MAX(0,MIN(18,BG610+IF(C611="体质",E611,0)))</x:f>
        <x:v>0</x:v>
      </x:c>
      <x:c r="BH611">
        <x:f>MAX(0,MIN(18,BH610+IF(C611="敏捷",E611,0)))</x:f>
        <x:v>0</x:v>
      </x:c>
      <x:c r="BI611">
        <x:f>MAX(0,MIN(18,BI610+IF(C611="智力",E611,0)))</x:f>
        <x:v>0</x:v>
      </x:c>
      <x:c r="BJ611">
        <x:f>MAX(0,MIN(18,BJ610+IF(C611="意志",E611,0)))</x:f>
        <x:v>0</x:v>
      </x:c>
      <x:c r="BK611">
        <x:f>MAX(0,MIN(18,BK610+IF(C611="魅力",E611,0)))</x:f>
        <x:v>0</x:v>
      </x:c>
      <x:c r="BL611">
        <x:f>MAX(0,MIN(99,BL610+IF(C611="技能：非自然知识",E611,0)))</x:f>
        <x:v>0</x:v>
      </x:c>
      <x:c r="BM611">
        <x:f>MAX(0,MIN(CEILING((BF611+BG611)/2,1),BM610+IF(C611="体力",E611,0)))</x:f>
        <x:v>0</x:v>
      </x:c>
      <x:c r="BN611">
        <x:f>MAX(0,MIN(BJ611,BN610+IF(C611="毅力",E611,0)))</x:f>
        <x:v>0</x:v>
      </x:c>
      <x:c r="BO611">
        <x:f>MAX(0,MIN(99-BL611,BO610+IF(C611="理智",E611,0)))</x:f>
        <x:v>0</x:v>
      </x:c>
      <x:c r="BP611">
        <x:f>MAX(0,MIN(99,BP610+IF(C611="崩溃点",E611,0)))</x:f>
        <x:v>0</x:v>
      </x:c>
      <x:c r="BQ611">
        <x:f>MAX(0,MIN(BK611,IF(AND(H611=1,C611="重要关系1",LEFT('幕间与结算'!H518,8)="建立新的重要关系"),'幕间与结算'!E518+E611,BQ610+IF(C611="重要关系1",E611,0)+IF(AND(C611="魅力",E611&lt;0),E611,0))))</x:f>
        <x:v>0</x:v>
      </x:c>
      <x:c r="BR611">
        <x:f>MAX(0,MIN(BK611,IF(AND(H611=1,C611="重要关系2",LEFT('幕间与结算'!H518,8)="建立新的重要关系"),'幕间与结算'!E518+E611,BR610+IF(C611="重要关系2",E611,0)+IF(AND(C611="魅力",E611&lt;0),E611,0))))</x:f>
        <x:v>0</x:v>
      </x:c>
      <x:c r="BS611">
        <x:f>MAX(0,MIN(BK611,IF(AND(H611=1,C611="重要关系3",LEFT('幕间与结算'!H518,8)="建立新的重要关系"),'幕间与结算'!E518+E611,BS610+IF(C611="重要关系3",E611,0)+IF(AND(C611="魅力",E611&lt;0),E611,0))))</x:f>
        <x:v>0</x:v>
      </x:c>
      <x:c r="BT611">
        <x:f>MAX(0,MIN(BK611,IF(AND(H611=1,C611="重要关系4",LEFT('幕间与结算'!H518,8)="建立新的重要关系"),'幕间与结算'!E518+E611,BT610+IF(C611="重要关系4",E611,0)+IF(AND(C611="魅力",E611&lt;0),E611,0))))</x:f>
        <x:v>0</x:v>
      </x:c>
      <x:c r="BU611">
        <x:f>MAX(0,MIN(BK611,IF(AND(H611=1,C611="重要关系5",LEFT('幕间与结算'!H518,8)="建立新的重要关系"),'幕间与结算'!E518+E611,BU610+IF(C611="重要关系5",E611,0)+IF(AND(C611="魅力",E611&lt;0),E611,0))))</x:f>
        <x:v>0</x:v>
      </x:c>
      <x:c r="BV611">
        <x:f>MAX(0,MIN(BK611,IF(AND(H611=1,C611="重要关系6",LEFT('幕间与结算'!H518,8)="建立新的重要关系"),'幕间与结算'!E518+E611,BV610+IF(C611="重要关系6",E611,0)+IF(AND(C611="魅力",E611&lt;0),E611,0))))</x:f>
        <x:v>0</x:v>
      </x:c>
      <x:c r="BW611">
        <x:f>MAX(0,MIN(BK611,IF(AND(H611=1,C611="重要关系7",LEFT('幕间与结算'!H518,8)="建立新的重要关系"),'幕间与结算'!E518+E611,BW610+IF(C611="重要关系7",E611,0)+IF(AND(C611="魅力",E611&lt;0),E611,0))))</x:f>
        <x:v>0</x:v>
      </x:c>
    </x:row>
    <x:row r="612">
      <x:c r="A612" t="str">
        <x:f>IFERROR(TEXT(VALUE('幕间与结算'!A519),"00"),"")</x:f>
        <x:v>00</x:v>
      </x:c>
      <x:c r="B612">
        <x:f>'幕间与结算'!B519</x:f>
        <x:v>0</x:v>
      </x:c>
      <x:c r="C612">
        <x:f>'幕间与结算'!D519</x:f>
        <x:v>0</x:v>
      </x:c>
      <x:c r="D612">
        <x:f>'幕间与结算'!F519</x:f>
        <x:v>0</x:v>
      </x:c>
      <x:c r="E612">
        <x:f>IF(H612=1,MAX(-'幕间与结算'!E519,MIN(D612,IF(LEFT(C612,3)="技能：",99,IF(COUNTIF($L$2:$L$7,C612)&gt;0,18,999))-'幕间与结算'!E519)),0)</x:f>
        <x:v>0</x:v>
      </x:c>
      <x:c r="F612" t="str">
        <x:f>IF(C612=0,"",IF(G612=0,"记录不完整",IF(H612=0,"重复未计","已计入")))</x:f>
        <x:v/>
      </x:c>
      <x:c r="G612">
        <x:f>IF(AND(AND('幕间与结算'!A519&lt;&gt;"",'幕间与结算'!B519&lt;&gt;"",'幕间与结算'!I519&lt;&gt;"",OR(LEFT(C612,3)="技能：",COUNTIF($L$2:$L$19,C612)&gt;0),ISNUMBER('幕间与结算'!E519),ISNUMBER('幕间与结算'!F519),ISNUMBER('幕间与结算'!G519),'幕间与结算'!E519&gt;=0,'幕间与结算'!G519='幕间与结算'!E519+'幕间与结算'!F519),OR(B612&lt;&gt;"成长",AND(LEFT(C612,3)="技能：",C612&lt;&gt;"技能：非自然知识",'幕间与结算'!E519&gt;=1,'幕间与结算'!E519&lt;=99,'幕间与结算'!F519&gt;=0,'幕间与结算'!F519&lt;=4,'幕间与结算'!G519&lt;=99))),1,0)</x:f>
        <x:v>0</x:v>
      </x:c>
      <x:c r="H612">
        <x:f>IF(AND(G612=1,COUNTIFS($I$200:I612,I612,$G$200:G612,1)=1),1,0)</x:f>
        <x:v>0</x:v>
      </x:c>
      <x:c r="I612" t="str">
        <x:f>IF(G612=1,IF(B612="成长",A612&amp;"-成长-"&amp;C612,'幕间与结算'!I519),"")</x:f>
        <x:v/>
      </x:c>
      <x:c r="BF612">
        <x:f>MAX(0,MIN(18,BF611+IF(C612="力量",E612,0)))</x:f>
        <x:v>0</x:v>
      </x:c>
      <x:c r="BG612">
        <x:f>MAX(0,MIN(18,BG611+IF(C612="体质",E612,0)))</x:f>
        <x:v>0</x:v>
      </x:c>
      <x:c r="BH612">
        <x:f>MAX(0,MIN(18,BH611+IF(C612="敏捷",E612,0)))</x:f>
        <x:v>0</x:v>
      </x:c>
      <x:c r="BI612">
        <x:f>MAX(0,MIN(18,BI611+IF(C612="智力",E612,0)))</x:f>
        <x:v>0</x:v>
      </x:c>
      <x:c r="BJ612">
        <x:f>MAX(0,MIN(18,BJ611+IF(C612="意志",E612,0)))</x:f>
        <x:v>0</x:v>
      </x:c>
      <x:c r="BK612">
        <x:f>MAX(0,MIN(18,BK611+IF(C612="魅力",E612,0)))</x:f>
        <x:v>0</x:v>
      </x:c>
      <x:c r="BL612">
        <x:f>MAX(0,MIN(99,BL611+IF(C612="技能：非自然知识",E612,0)))</x:f>
        <x:v>0</x:v>
      </x:c>
      <x:c r="BM612">
        <x:f>MAX(0,MIN(CEILING((BF612+BG612)/2,1),BM611+IF(C612="体力",E612,0)))</x:f>
        <x:v>0</x:v>
      </x:c>
      <x:c r="BN612">
        <x:f>MAX(0,MIN(BJ612,BN611+IF(C612="毅力",E612,0)))</x:f>
        <x:v>0</x:v>
      </x:c>
      <x:c r="BO612">
        <x:f>MAX(0,MIN(99-BL612,BO611+IF(C612="理智",E612,0)))</x:f>
        <x:v>0</x:v>
      </x:c>
      <x:c r="BP612">
        <x:f>MAX(0,MIN(99,BP611+IF(C612="崩溃点",E612,0)))</x:f>
        <x:v>0</x:v>
      </x:c>
      <x:c r="BQ612">
        <x:f>MAX(0,MIN(BK612,IF(AND(H612=1,C612="重要关系1",LEFT('幕间与结算'!H519,8)="建立新的重要关系"),'幕间与结算'!E519+E612,BQ611+IF(C612="重要关系1",E612,0)+IF(AND(C612="魅力",E612&lt;0),E612,0))))</x:f>
        <x:v>0</x:v>
      </x:c>
      <x:c r="BR612">
        <x:f>MAX(0,MIN(BK612,IF(AND(H612=1,C612="重要关系2",LEFT('幕间与结算'!H519,8)="建立新的重要关系"),'幕间与结算'!E519+E612,BR611+IF(C612="重要关系2",E612,0)+IF(AND(C612="魅力",E612&lt;0),E612,0))))</x:f>
        <x:v>0</x:v>
      </x:c>
      <x:c r="BS612">
        <x:f>MAX(0,MIN(BK612,IF(AND(H612=1,C612="重要关系3",LEFT('幕间与结算'!H519,8)="建立新的重要关系"),'幕间与结算'!E519+E612,BS611+IF(C612="重要关系3",E612,0)+IF(AND(C612="魅力",E612&lt;0),E612,0))))</x:f>
        <x:v>0</x:v>
      </x:c>
      <x:c r="BT612">
        <x:f>MAX(0,MIN(BK612,IF(AND(H612=1,C612="重要关系4",LEFT('幕间与结算'!H519,8)="建立新的重要关系"),'幕间与结算'!E519+E612,BT611+IF(C612="重要关系4",E612,0)+IF(AND(C612="魅力",E612&lt;0),E612,0))))</x:f>
        <x:v>0</x:v>
      </x:c>
      <x:c r="BU612">
        <x:f>MAX(0,MIN(BK612,IF(AND(H612=1,C612="重要关系5",LEFT('幕间与结算'!H519,8)="建立新的重要关系"),'幕间与结算'!E519+E612,BU611+IF(C612="重要关系5",E612,0)+IF(AND(C612="魅力",E612&lt;0),E612,0))))</x:f>
        <x:v>0</x:v>
      </x:c>
      <x:c r="BV612">
        <x:f>MAX(0,MIN(BK612,IF(AND(H612=1,C612="重要关系6",LEFT('幕间与结算'!H519,8)="建立新的重要关系"),'幕间与结算'!E519+E612,BV611+IF(C612="重要关系6",E612,0)+IF(AND(C612="魅力",E612&lt;0),E612,0))))</x:f>
        <x:v>0</x:v>
      </x:c>
      <x:c r="BW612">
        <x:f>MAX(0,MIN(BK612,IF(AND(H612=1,C612="重要关系7",LEFT('幕间与结算'!H519,8)="建立新的重要关系"),'幕间与结算'!E519+E612,BW611+IF(C612="重要关系7",E612,0)+IF(AND(C612="魅力",E612&lt;0),E612,0))))</x:f>
        <x:v>0</x:v>
      </x:c>
    </x:row>
    <x:row r="613">
      <x:c r="A613" t="str">
        <x:f>IFERROR(TEXT(VALUE('幕间与结算'!A520),"00"),"")</x:f>
        <x:v>00</x:v>
      </x:c>
      <x:c r="B613">
        <x:f>'幕间与结算'!B520</x:f>
        <x:v>0</x:v>
      </x:c>
      <x:c r="C613">
        <x:f>'幕间与结算'!D520</x:f>
        <x:v>0</x:v>
      </x:c>
      <x:c r="D613">
        <x:f>'幕间与结算'!F520</x:f>
        <x:v>0</x:v>
      </x:c>
      <x:c r="E613">
        <x:f>IF(H613=1,MAX(-'幕间与结算'!E520,MIN(D613,IF(LEFT(C613,3)="技能：",99,IF(COUNTIF($L$2:$L$7,C613)&gt;0,18,999))-'幕间与结算'!E520)),0)</x:f>
        <x:v>0</x:v>
      </x:c>
      <x:c r="F613" t="str">
        <x:f>IF(C613=0,"",IF(G613=0,"记录不完整",IF(H613=0,"重复未计","已计入")))</x:f>
        <x:v/>
      </x:c>
      <x:c r="G613">
        <x:f>IF(AND(AND('幕间与结算'!A520&lt;&gt;"",'幕间与结算'!B520&lt;&gt;"",'幕间与结算'!I520&lt;&gt;"",OR(LEFT(C613,3)="技能：",COUNTIF($L$2:$L$19,C613)&gt;0),ISNUMBER('幕间与结算'!E520),ISNUMBER('幕间与结算'!F520),ISNUMBER('幕间与结算'!G520),'幕间与结算'!E520&gt;=0,'幕间与结算'!G520='幕间与结算'!E520+'幕间与结算'!F520),OR(B613&lt;&gt;"成长",AND(LEFT(C613,3)="技能：",C613&lt;&gt;"技能：非自然知识",'幕间与结算'!E520&gt;=1,'幕间与结算'!E520&lt;=99,'幕间与结算'!F520&gt;=0,'幕间与结算'!F520&lt;=4,'幕间与结算'!G520&lt;=99))),1,0)</x:f>
        <x:v>0</x:v>
      </x:c>
      <x:c r="H613">
        <x:f>IF(AND(G613=1,COUNTIFS($I$200:I613,I613,$G$200:G613,1)=1),1,0)</x:f>
        <x:v>0</x:v>
      </x:c>
      <x:c r="I613" t="str">
        <x:f>IF(G613=1,IF(B613="成长",A613&amp;"-成长-"&amp;C613,'幕间与结算'!I520),"")</x:f>
        <x:v/>
      </x:c>
      <x:c r="BF613">
        <x:f>MAX(0,MIN(18,BF612+IF(C613="力量",E613,0)))</x:f>
        <x:v>0</x:v>
      </x:c>
      <x:c r="BG613">
        <x:f>MAX(0,MIN(18,BG612+IF(C613="体质",E613,0)))</x:f>
        <x:v>0</x:v>
      </x:c>
      <x:c r="BH613">
        <x:f>MAX(0,MIN(18,BH612+IF(C613="敏捷",E613,0)))</x:f>
        <x:v>0</x:v>
      </x:c>
      <x:c r="BI613">
        <x:f>MAX(0,MIN(18,BI612+IF(C613="智力",E613,0)))</x:f>
        <x:v>0</x:v>
      </x:c>
      <x:c r="BJ613">
        <x:f>MAX(0,MIN(18,BJ612+IF(C613="意志",E613,0)))</x:f>
        <x:v>0</x:v>
      </x:c>
      <x:c r="BK613">
        <x:f>MAX(0,MIN(18,BK612+IF(C613="魅力",E613,0)))</x:f>
        <x:v>0</x:v>
      </x:c>
      <x:c r="BL613">
        <x:f>MAX(0,MIN(99,BL612+IF(C613="技能：非自然知识",E613,0)))</x:f>
        <x:v>0</x:v>
      </x:c>
      <x:c r="BM613">
        <x:f>MAX(0,MIN(CEILING((BF613+BG613)/2,1),BM612+IF(C613="体力",E613,0)))</x:f>
        <x:v>0</x:v>
      </x:c>
      <x:c r="BN613">
        <x:f>MAX(0,MIN(BJ613,BN612+IF(C613="毅力",E613,0)))</x:f>
        <x:v>0</x:v>
      </x:c>
      <x:c r="BO613">
        <x:f>MAX(0,MIN(99-BL613,BO612+IF(C613="理智",E613,0)))</x:f>
        <x:v>0</x:v>
      </x:c>
      <x:c r="BP613">
        <x:f>MAX(0,MIN(99,BP612+IF(C613="崩溃点",E613,0)))</x:f>
        <x:v>0</x:v>
      </x:c>
      <x:c r="BQ613">
        <x:f>MAX(0,MIN(BK613,IF(AND(H613=1,C613="重要关系1",LEFT('幕间与结算'!H520,8)="建立新的重要关系"),'幕间与结算'!E520+E613,BQ612+IF(C613="重要关系1",E613,0)+IF(AND(C613="魅力",E613&lt;0),E613,0))))</x:f>
        <x:v>0</x:v>
      </x:c>
      <x:c r="BR613">
        <x:f>MAX(0,MIN(BK613,IF(AND(H613=1,C613="重要关系2",LEFT('幕间与结算'!H520,8)="建立新的重要关系"),'幕间与结算'!E520+E613,BR612+IF(C613="重要关系2",E613,0)+IF(AND(C613="魅力",E613&lt;0),E613,0))))</x:f>
        <x:v>0</x:v>
      </x:c>
      <x:c r="BS613">
        <x:f>MAX(0,MIN(BK613,IF(AND(H613=1,C613="重要关系3",LEFT('幕间与结算'!H520,8)="建立新的重要关系"),'幕间与结算'!E520+E613,BS612+IF(C613="重要关系3",E613,0)+IF(AND(C613="魅力",E613&lt;0),E613,0))))</x:f>
        <x:v>0</x:v>
      </x:c>
      <x:c r="BT613">
        <x:f>MAX(0,MIN(BK613,IF(AND(H613=1,C613="重要关系4",LEFT('幕间与结算'!H520,8)="建立新的重要关系"),'幕间与结算'!E520+E613,BT612+IF(C613="重要关系4",E613,0)+IF(AND(C613="魅力",E613&lt;0),E613,0))))</x:f>
        <x:v>0</x:v>
      </x:c>
      <x:c r="BU613">
        <x:f>MAX(0,MIN(BK613,IF(AND(H613=1,C613="重要关系5",LEFT('幕间与结算'!H520,8)="建立新的重要关系"),'幕间与结算'!E520+E613,BU612+IF(C613="重要关系5",E613,0)+IF(AND(C613="魅力",E613&lt;0),E613,0))))</x:f>
        <x:v>0</x:v>
      </x:c>
      <x:c r="BV613">
        <x:f>MAX(0,MIN(BK613,IF(AND(H613=1,C613="重要关系6",LEFT('幕间与结算'!H520,8)="建立新的重要关系"),'幕间与结算'!E520+E613,BV612+IF(C613="重要关系6",E613,0)+IF(AND(C613="魅力",E613&lt;0),E613,0))))</x:f>
        <x:v>0</x:v>
      </x:c>
      <x:c r="BW613">
        <x:f>MAX(0,MIN(BK613,IF(AND(H613=1,C613="重要关系7",LEFT('幕间与结算'!H520,8)="建立新的重要关系"),'幕间与结算'!E520+E613,BW612+IF(C613="重要关系7",E613,0)+IF(AND(C613="魅力",E613&lt;0),E613,0))))</x:f>
        <x:v>0</x:v>
      </x:c>
    </x:row>
    <x:row r="614">
      <x:c r="A614" t="str">
        <x:f>IFERROR(TEXT(VALUE('幕间与结算'!A521),"00"),"")</x:f>
        <x:v>00</x:v>
      </x:c>
      <x:c r="B614">
        <x:f>'幕间与结算'!B521</x:f>
        <x:v>0</x:v>
      </x:c>
      <x:c r="C614">
        <x:f>'幕间与结算'!D521</x:f>
        <x:v>0</x:v>
      </x:c>
      <x:c r="D614">
        <x:f>'幕间与结算'!F521</x:f>
        <x:v>0</x:v>
      </x:c>
      <x:c r="E614">
        <x:f>IF(H614=1,MAX(-'幕间与结算'!E521,MIN(D614,IF(LEFT(C614,3)="技能：",99,IF(COUNTIF($L$2:$L$7,C614)&gt;0,18,999))-'幕间与结算'!E521)),0)</x:f>
        <x:v>0</x:v>
      </x:c>
      <x:c r="F614" t="str">
        <x:f>IF(C614=0,"",IF(G614=0,"记录不完整",IF(H614=0,"重复未计","已计入")))</x:f>
        <x:v/>
      </x:c>
      <x:c r="G614">
        <x:f>IF(AND(AND('幕间与结算'!A521&lt;&gt;"",'幕间与结算'!B521&lt;&gt;"",'幕间与结算'!I521&lt;&gt;"",OR(LEFT(C614,3)="技能：",COUNTIF($L$2:$L$19,C614)&gt;0),ISNUMBER('幕间与结算'!E521),ISNUMBER('幕间与结算'!F521),ISNUMBER('幕间与结算'!G521),'幕间与结算'!E521&gt;=0,'幕间与结算'!G521='幕间与结算'!E521+'幕间与结算'!F521),OR(B614&lt;&gt;"成长",AND(LEFT(C614,3)="技能：",C614&lt;&gt;"技能：非自然知识",'幕间与结算'!E521&gt;=1,'幕间与结算'!E521&lt;=99,'幕间与结算'!F521&gt;=0,'幕间与结算'!F521&lt;=4,'幕间与结算'!G521&lt;=99))),1,0)</x:f>
        <x:v>0</x:v>
      </x:c>
      <x:c r="H614">
        <x:f>IF(AND(G614=1,COUNTIFS($I$200:I614,I614,$G$200:G614,1)=1),1,0)</x:f>
        <x:v>0</x:v>
      </x:c>
      <x:c r="I614" t="str">
        <x:f>IF(G614=1,IF(B614="成长",A614&amp;"-成长-"&amp;C614,'幕间与结算'!I521),"")</x:f>
        <x:v/>
      </x:c>
      <x:c r="BF614">
        <x:f>MAX(0,MIN(18,BF613+IF(C614="力量",E614,0)))</x:f>
        <x:v>0</x:v>
      </x:c>
      <x:c r="BG614">
        <x:f>MAX(0,MIN(18,BG613+IF(C614="体质",E614,0)))</x:f>
        <x:v>0</x:v>
      </x:c>
      <x:c r="BH614">
        <x:f>MAX(0,MIN(18,BH613+IF(C614="敏捷",E614,0)))</x:f>
        <x:v>0</x:v>
      </x:c>
      <x:c r="BI614">
        <x:f>MAX(0,MIN(18,BI613+IF(C614="智力",E614,0)))</x:f>
        <x:v>0</x:v>
      </x:c>
      <x:c r="BJ614">
        <x:f>MAX(0,MIN(18,BJ613+IF(C614="意志",E614,0)))</x:f>
        <x:v>0</x:v>
      </x:c>
      <x:c r="BK614">
        <x:f>MAX(0,MIN(18,BK613+IF(C614="魅力",E614,0)))</x:f>
        <x:v>0</x:v>
      </x:c>
      <x:c r="BL614">
        <x:f>MAX(0,MIN(99,BL613+IF(C614="技能：非自然知识",E614,0)))</x:f>
        <x:v>0</x:v>
      </x:c>
      <x:c r="BM614">
        <x:f>MAX(0,MIN(CEILING((BF614+BG614)/2,1),BM613+IF(C614="体力",E614,0)))</x:f>
        <x:v>0</x:v>
      </x:c>
      <x:c r="BN614">
        <x:f>MAX(0,MIN(BJ614,BN613+IF(C614="毅力",E614,0)))</x:f>
        <x:v>0</x:v>
      </x:c>
      <x:c r="BO614">
        <x:f>MAX(0,MIN(99-BL614,BO613+IF(C614="理智",E614,0)))</x:f>
        <x:v>0</x:v>
      </x:c>
      <x:c r="BP614">
        <x:f>MAX(0,MIN(99,BP613+IF(C614="崩溃点",E614,0)))</x:f>
        <x:v>0</x:v>
      </x:c>
      <x:c r="BQ614">
        <x:f>MAX(0,MIN(BK614,IF(AND(H614=1,C614="重要关系1",LEFT('幕间与结算'!H521,8)="建立新的重要关系"),'幕间与结算'!E521+E614,BQ613+IF(C614="重要关系1",E614,0)+IF(AND(C614="魅力",E614&lt;0),E614,0))))</x:f>
        <x:v>0</x:v>
      </x:c>
      <x:c r="BR614">
        <x:f>MAX(0,MIN(BK614,IF(AND(H614=1,C614="重要关系2",LEFT('幕间与结算'!H521,8)="建立新的重要关系"),'幕间与结算'!E521+E614,BR613+IF(C614="重要关系2",E614,0)+IF(AND(C614="魅力",E614&lt;0),E614,0))))</x:f>
        <x:v>0</x:v>
      </x:c>
      <x:c r="BS614">
        <x:f>MAX(0,MIN(BK614,IF(AND(H614=1,C614="重要关系3",LEFT('幕间与结算'!H521,8)="建立新的重要关系"),'幕间与结算'!E521+E614,BS613+IF(C614="重要关系3",E614,0)+IF(AND(C614="魅力",E614&lt;0),E614,0))))</x:f>
        <x:v>0</x:v>
      </x:c>
      <x:c r="BT614">
        <x:f>MAX(0,MIN(BK614,IF(AND(H614=1,C614="重要关系4",LEFT('幕间与结算'!H521,8)="建立新的重要关系"),'幕间与结算'!E521+E614,BT613+IF(C614="重要关系4",E614,0)+IF(AND(C614="魅力",E614&lt;0),E614,0))))</x:f>
        <x:v>0</x:v>
      </x:c>
      <x:c r="BU614">
        <x:f>MAX(0,MIN(BK614,IF(AND(H614=1,C614="重要关系5",LEFT('幕间与结算'!H521,8)="建立新的重要关系"),'幕间与结算'!E521+E614,BU613+IF(C614="重要关系5",E614,0)+IF(AND(C614="魅力",E614&lt;0),E614,0))))</x:f>
        <x:v>0</x:v>
      </x:c>
      <x:c r="BV614">
        <x:f>MAX(0,MIN(BK614,IF(AND(H614=1,C614="重要关系6",LEFT('幕间与结算'!H521,8)="建立新的重要关系"),'幕间与结算'!E521+E614,BV613+IF(C614="重要关系6",E614,0)+IF(AND(C614="魅力",E614&lt;0),E614,0))))</x:f>
        <x:v>0</x:v>
      </x:c>
      <x:c r="BW614">
        <x:f>MAX(0,MIN(BK614,IF(AND(H614=1,C614="重要关系7",LEFT('幕间与结算'!H521,8)="建立新的重要关系"),'幕间与结算'!E521+E614,BW613+IF(C614="重要关系7",E614,0)+IF(AND(C614="魅力",E614&lt;0),E614,0))))</x:f>
        <x:v>0</x:v>
      </x:c>
    </x:row>
    <x:row r="615">
      <x:c r="A615" t="str">
        <x:f>IFERROR(TEXT(VALUE('幕间与结算'!A522),"00"),"")</x:f>
        <x:v>00</x:v>
      </x:c>
      <x:c r="B615">
        <x:f>'幕间与结算'!B522</x:f>
        <x:v>0</x:v>
      </x:c>
      <x:c r="C615">
        <x:f>'幕间与结算'!D522</x:f>
        <x:v>0</x:v>
      </x:c>
      <x:c r="D615">
        <x:f>'幕间与结算'!F522</x:f>
        <x:v>0</x:v>
      </x:c>
      <x:c r="E615">
        <x:f>IF(H615=1,MAX(-'幕间与结算'!E522,MIN(D615,IF(LEFT(C615,3)="技能：",99,IF(COUNTIF($L$2:$L$7,C615)&gt;0,18,999))-'幕间与结算'!E522)),0)</x:f>
        <x:v>0</x:v>
      </x:c>
      <x:c r="F615" t="str">
        <x:f>IF(C615=0,"",IF(G615=0,"记录不完整",IF(H615=0,"重复未计","已计入")))</x:f>
        <x:v/>
      </x:c>
      <x:c r="G615">
        <x:f>IF(AND(AND('幕间与结算'!A522&lt;&gt;"",'幕间与结算'!B522&lt;&gt;"",'幕间与结算'!I522&lt;&gt;"",OR(LEFT(C615,3)="技能：",COUNTIF($L$2:$L$19,C615)&gt;0),ISNUMBER('幕间与结算'!E522),ISNUMBER('幕间与结算'!F522),ISNUMBER('幕间与结算'!G522),'幕间与结算'!E522&gt;=0,'幕间与结算'!G522='幕间与结算'!E522+'幕间与结算'!F522),OR(B615&lt;&gt;"成长",AND(LEFT(C615,3)="技能：",C615&lt;&gt;"技能：非自然知识",'幕间与结算'!E522&gt;=1,'幕间与结算'!E522&lt;=99,'幕间与结算'!F522&gt;=0,'幕间与结算'!F522&lt;=4,'幕间与结算'!G522&lt;=99))),1,0)</x:f>
        <x:v>0</x:v>
      </x:c>
      <x:c r="H615">
        <x:f>IF(AND(G615=1,COUNTIFS($I$200:I615,I615,$G$200:G615,1)=1),1,0)</x:f>
        <x:v>0</x:v>
      </x:c>
      <x:c r="I615" t="str">
        <x:f>IF(G615=1,IF(B615="成长",A615&amp;"-成长-"&amp;C615,'幕间与结算'!I522),"")</x:f>
        <x:v/>
      </x:c>
      <x:c r="BF615">
        <x:f>MAX(0,MIN(18,BF614+IF(C615="力量",E615,0)))</x:f>
        <x:v>0</x:v>
      </x:c>
      <x:c r="BG615">
        <x:f>MAX(0,MIN(18,BG614+IF(C615="体质",E615,0)))</x:f>
        <x:v>0</x:v>
      </x:c>
      <x:c r="BH615">
        <x:f>MAX(0,MIN(18,BH614+IF(C615="敏捷",E615,0)))</x:f>
        <x:v>0</x:v>
      </x:c>
      <x:c r="BI615">
        <x:f>MAX(0,MIN(18,BI614+IF(C615="智力",E615,0)))</x:f>
        <x:v>0</x:v>
      </x:c>
      <x:c r="BJ615">
        <x:f>MAX(0,MIN(18,BJ614+IF(C615="意志",E615,0)))</x:f>
        <x:v>0</x:v>
      </x:c>
      <x:c r="BK615">
        <x:f>MAX(0,MIN(18,BK614+IF(C615="魅力",E615,0)))</x:f>
        <x:v>0</x:v>
      </x:c>
      <x:c r="BL615">
        <x:f>MAX(0,MIN(99,BL614+IF(C615="技能：非自然知识",E615,0)))</x:f>
        <x:v>0</x:v>
      </x:c>
      <x:c r="BM615">
        <x:f>MAX(0,MIN(CEILING((BF615+BG615)/2,1),BM614+IF(C615="体力",E615,0)))</x:f>
        <x:v>0</x:v>
      </x:c>
      <x:c r="BN615">
        <x:f>MAX(0,MIN(BJ615,BN614+IF(C615="毅力",E615,0)))</x:f>
        <x:v>0</x:v>
      </x:c>
      <x:c r="BO615">
        <x:f>MAX(0,MIN(99-BL615,BO614+IF(C615="理智",E615,0)))</x:f>
        <x:v>0</x:v>
      </x:c>
      <x:c r="BP615">
        <x:f>MAX(0,MIN(99,BP614+IF(C615="崩溃点",E615,0)))</x:f>
        <x:v>0</x:v>
      </x:c>
      <x:c r="BQ615">
        <x:f>MAX(0,MIN(BK615,IF(AND(H615=1,C615="重要关系1",LEFT('幕间与结算'!H522,8)="建立新的重要关系"),'幕间与结算'!E522+E615,BQ614+IF(C615="重要关系1",E615,0)+IF(AND(C615="魅力",E615&lt;0),E615,0))))</x:f>
        <x:v>0</x:v>
      </x:c>
      <x:c r="BR615">
        <x:f>MAX(0,MIN(BK615,IF(AND(H615=1,C615="重要关系2",LEFT('幕间与结算'!H522,8)="建立新的重要关系"),'幕间与结算'!E522+E615,BR614+IF(C615="重要关系2",E615,0)+IF(AND(C615="魅力",E615&lt;0),E615,0))))</x:f>
        <x:v>0</x:v>
      </x:c>
      <x:c r="BS615">
        <x:f>MAX(0,MIN(BK615,IF(AND(H615=1,C615="重要关系3",LEFT('幕间与结算'!H522,8)="建立新的重要关系"),'幕间与结算'!E522+E615,BS614+IF(C615="重要关系3",E615,0)+IF(AND(C615="魅力",E615&lt;0),E615,0))))</x:f>
        <x:v>0</x:v>
      </x:c>
      <x:c r="BT615">
        <x:f>MAX(0,MIN(BK615,IF(AND(H615=1,C615="重要关系4",LEFT('幕间与结算'!H522,8)="建立新的重要关系"),'幕间与结算'!E522+E615,BT614+IF(C615="重要关系4",E615,0)+IF(AND(C615="魅力",E615&lt;0),E615,0))))</x:f>
        <x:v>0</x:v>
      </x:c>
      <x:c r="BU615">
        <x:f>MAX(0,MIN(BK615,IF(AND(H615=1,C615="重要关系5",LEFT('幕间与结算'!H522,8)="建立新的重要关系"),'幕间与结算'!E522+E615,BU614+IF(C615="重要关系5",E615,0)+IF(AND(C615="魅力",E615&lt;0),E615,0))))</x:f>
        <x:v>0</x:v>
      </x:c>
      <x:c r="BV615">
        <x:f>MAX(0,MIN(BK615,IF(AND(H615=1,C615="重要关系6",LEFT('幕间与结算'!H522,8)="建立新的重要关系"),'幕间与结算'!E522+E615,BV614+IF(C615="重要关系6",E615,0)+IF(AND(C615="魅力",E615&lt;0),E615,0))))</x:f>
        <x:v>0</x:v>
      </x:c>
      <x:c r="BW615">
        <x:f>MAX(0,MIN(BK615,IF(AND(H615=1,C615="重要关系7",LEFT('幕间与结算'!H522,8)="建立新的重要关系"),'幕间与结算'!E522+E615,BW614+IF(C615="重要关系7",E615,0)+IF(AND(C615="魅力",E615&lt;0),E615,0))))</x:f>
        <x:v>0</x:v>
      </x:c>
    </x:row>
    <x:row r="616">
      <x:c r="A616" t="str">
        <x:f>IFERROR(TEXT(VALUE('幕间与结算'!A523),"00"),"")</x:f>
        <x:v>00</x:v>
      </x:c>
      <x:c r="B616">
        <x:f>'幕间与结算'!B523</x:f>
        <x:v>0</x:v>
      </x:c>
      <x:c r="C616">
        <x:f>'幕间与结算'!D523</x:f>
        <x:v>0</x:v>
      </x:c>
      <x:c r="D616">
        <x:f>'幕间与结算'!F523</x:f>
        <x:v>0</x:v>
      </x:c>
      <x:c r="E616">
        <x:f>IF(H616=1,MAX(-'幕间与结算'!E523,MIN(D616,IF(LEFT(C616,3)="技能：",99,IF(COUNTIF($L$2:$L$7,C616)&gt;0,18,999))-'幕间与结算'!E523)),0)</x:f>
        <x:v>0</x:v>
      </x:c>
      <x:c r="F616" t="str">
        <x:f>IF(C616=0,"",IF(G616=0,"记录不完整",IF(H616=0,"重复未计","已计入")))</x:f>
        <x:v/>
      </x:c>
      <x:c r="G616">
        <x:f>IF(AND(AND('幕间与结算'!A523&lt;&gt;"",'幕间与结算'!B523&lt;&gt;"",'幕间与结算'!I523&lt;&gt;"",OR(LEFT(C616,3)="技能：",COUNTIF($L$2:$L$19,C616)&gt;0),ISNUMBER('幕间与结算'!E523),ISNUMBER('幕间与结算'!F523),ISNUMBER('幕间与结算'!G523),'幕间与结算'!E523&gt;=0,'幕间与结算'!G523='幕间与结算'!E523+'幕间与结算'!F523),OR(B616&lt;&gt;"成长",AND(LEFT(C616,3)="技能：",C616&lt;&gt;"技能：非自然知识",'幕间与结算'!E523&gt;=1,'幕间与结算'!E523&lt;=99,'幕间与结算'!F523&gt;=0,'幕间与结算'!F523&lt;=4,'幕间与结算'!G523&lt;=99))),1,0)</x:f>
        <x:v>0</x:v>
      </x:c>
      <x:c r="H616">
        <x:f>IF(AND(G616=1,COUNTIFS($I$200:I616,I616,$G$200:G616,1)=1),1,0)</x:f>
        <x:v>0</x:v>
      </x:c>
      <x:c r="I616" t="str">
        <x:f>IF(G616=1,IF(B616="成长",A616&amp;"-成长-"&amp;C616,'幕间与结算'!I523),"")</x:f>
        <x:v/>
      </x:c>
      <x:c r="BF616">
        <x:f>MAX(0,MIN(18,BF615+IF(C616="力量",E616,0)))</x:f>
        <x:v>0</x:v>
      </x:c>
      <x:c r="BG616">
        <x:f>MAX(0,MIN(18,BG615+IF(C616="体质",E616,0)))</x:f>
        <x:v>0</x:v>
      </x:c>
      <x:c r="BH616">
        <x:f>MAX(0,MIN(18,BH615+IF(C616="敏捷",E616,0)))</x:f>
        <x:v>0</x:v>
      </x:c>
      <x:c r="BI616">
        <x:f>MAX(0,MIN(18,BI615+IF(C616="智力",E616,0)))</x:f>
        <x:v>0</x:v>
      </x:c>
      <x:c r="BJ616">
        <x:f>MAX(0,MIN(18,BJ615+IF(C616="意志",E616,0)))</x:f>
        <x:v>0</x:v>
      </x:c>
      <x:c r="BK616">
        <x:f>MAX(0,MIN(18,BK615+IF(C616="魅力",E616,0)))</x:f>
        <x:v>0</x:v>
      </x:c>
      <x:c r="BL616">
        <x:f>MAX(0,MIN(99,BL615+IF(C616="技能：非自然知识",E616,0)))</x:f>
        <x:v>0</x:v>
      </x:c>
      <x:c r="BM616">
        <x:f>MAX(0,MIN(CEILING((BF616+BG616)/2,1),BM615+IF(C616="体力",E616,0)))</x:f>
        <x:v>0</x:v>
      </x:c>
      <x:c r="BN616">
        <x:f>MAX(0,MIN(BJ616,BN615+IF(C616="毅力",E616,0)))</x:f>
        <x:v>0</x:v>
      </x:c>
      <x:c r="BO616">
        <x:f>MAX(0,MIN(99-BL616,BO615+IF(C616="理智",E616,0)))</x:f>
        <x:v>0</x:v>
      </x:c>
      <x:c r="BP616">
        <x:f>MAX(0,MIN(99,BP615+IF(C616="崩溃点",E616,0)))</x:f>
        <x:v>0</x:v>
      </x:c>
      <x:c r="BQ616">
        <x:f>MAX(0,MIN(BK616,IF(AND(H616=1,C616="重要关系1",LEFT('幕间与结算'!H523,8)="建立新的重要关系"),'幕间与结算'!E523+E616,BQ615+IF(C616="重要关系1",E616,0)+IF(AND(C616="魅力",E616&lt;0),E616,0))))</x:f>
        <x:v>0</x:v>
      </x:c>
      <x:c r="BR616">
        <x:f>MAX(0,MIN(BK616,IF(AND(H616=1,C616="重要关系2",LEFT('幕间与结算'!H523,8)="建立新的重要关系"),'幕间与结算'!E523+E616,BR615+IF(C616="重要关系2",E616,0)+IF(AND(C616="魅力",E616&lt;0),E616,0))))</x:f>
        <x:v>0</x:v>
      </x:c>
      <x:c r="BS616">
        <x:f>MAX(0,MIN(BK616,IF(AND(H616=1,C616="重要关系3",LEFT('幕间与结算'!H523,8)="建立新的重要关系"),'幕间与结算'!E523+E616,BS615+IF(C616="重要关系3",E616,0)+IF(AND(C616="魅力",E616&lt;0),E616,0))))</x:f>
        <x:v>0</x:v>
      </x:c>
      <x:c r="BT616">
        <x:f>MAX(0,MIN(BK616,IF(AND(H616=1,C616="重要关系4",LEFT('幕间与结算'!H523,8)="建立新的重要关系"),'幕间与结算'!E523+E616,BT615+IF(C616="重要关系4",E616,0)+IF(AND(C616="魅力",E616&lt;0),E616,0))))</x:f>
        <x:v>0</x:v>
      </x:c>
      <x:c r="BU616">
        <x:f>MAX(0,MIN(BK616,IF(AND(H616=1,C616="重要关系5",LEFT('幕间与结算'!H523,8)="建立新的重要关系"),'幕间与结算'!E523+E616,BU615+IF(C616="重要关系5",E616,0)+IF(AND(C616="魅力",E616&lt;0),E616,0))))</x:f>
        <x:v>0</x:v>
      </x:c>
      <x:c r="BV616">
        <x:f>MAX(0,MIN(BK616,IF(AND(H616=1,C616="重要关系6",LEFT('幕间与结算'!H523,8)="建立新的重要关系"),'幕间与结算'!E523+E616,BV615+IF(C616="重要关系6",E616,0)+IF(AND(C616="魅力",E616&lt;0),E616,0))))</x:f>
        <x:v>0</x:v>
      </x:c>
      <x:c r="BW616">
        <x:f>MAX(0,MIN(BK616,IF(AND(H616=1,C616="重要关系7",LEFT('幕间与结算'!H523,8)="建立新的重要关系"),'幕间与结算'!E523+E616,BW615+IF(C616="重要关系7",E616,0)+IF(AND(C616="魅力",E616&lt;0),E616,0))))</x:f>
        <x:v>0</x:v>
      </x:c>
    </x:row>
    <x:row r="617">
      <x:c r="A617" t="str">
        <x:f>IFERROR(TEXT(VALUE('幕间与结算'!A524),"00"),"")</x:f>
        <x:v>00</x:v>
      </x:c>
      <x:c r="B617">
        <x:f>'幕间与结算'!B524</x:f>
        <x:v>0</x:v>
      </x:c>
      <x:c r="C617">
        <x:f>'幕间与结算'!D524</x:f>
        <x:v>0</x:v>
      </x:c>
      <x:c r="D617">
        <x:f>'幕间与结算'!F524</x:f>
        <x:v>0</x:v>
      </x:c>
      <x:c r="E617">
        <x:f>IF(H617=1,MAX(-'幕间与结算'!E524,MIN(D617,IF(LEFT(C617,3)="技能：",99,IF(COUNTIF($L$2:$L$7,C617)&gt;0,18,999))-'幕间与结算'!E524)),0)</x:f>
        <x:v>0</x:v>
      </x:c>
      <x:c r="F617" t="str">
        <x:f>IF(C617=0,"",IF(G617=0,"记录不完整",IF(H617=0,"重复未计","已计入")))</x:f>
        <x:v/>
      </x:c>
      <x:c r="G617">
        <x:f>IF(AND(AND('幕间与结算'!A524&lt;&gt;"",'幕间与结算'!B524&lt;&gt;"",'幕间与结算'!I524&lt;&gt;"",OR(LEFT(C617,3)="技能：",COUNTIF($L$2:$L$19,C617)&gt;0),ISNUMBER('幕间与结算'!E524),ISNUMBER('幕间与结算'!F524),ISNUMBER('幕间与结算'!G524),'幕间与结算'!E524&gt;=0,'幕间与结算'!G524='幕间与结算'!E524+'幕间与结算'!F524),OR(B617&lt;&gt;"成长",AND(LEFT(C617,3)="技能：",C617&lt;&gt;"技能：非自然知识",'幕间与结算'!E524&gt;=1,'幕间与结算'!E524&lt;=99,'幕间与结算'!F524&gt;=0,'幕间与结算'!F524&lt;=4,'幕间与结算'!G524&lt;=99))),1,0)</x:f>
        <x:v>0</x:v>
      </x:c>
      <x:c r="H617">
        <x:f>IF(AND(G617=1,COUNTIFS($I$200:I617,I617,$G$200:G617,1)=1),1,0)</x:f>
        <x:v>0</x:v>
      </x:c>
      <x:c r="I617" t="str">
        <x:f>IF(G617=1,IF(B617="成长",A617&amp;"-成长-"&amp;C617,'幕间与结算'!I524),"")</x:f>
        <x:v/>
      </x:c>
      <x:c r="BF617">
        <x:f>MAX(0,MIN(18,BF616+IF(C617="力量",E617,0)))</x:f>
        <x:v>0</x:v>
      </x:c>
      <x:c r="BG617">
        <x:f>MAX(0,MIN(18,BG616+IF(C617="体质",E617,0)))</x:f>
        <x:v>0</x:v>
      </x:c>
      <x:c r="BH617">
        <x:f>MAX(0,MIN(18,BH616+IF(C617="敏捷",E617,0)))</x:f>
        <x:v>0</x:v>
      </x:c>
      <x:c r="BI617">
        <x:f>MAX(0,MIN(18,BI616+IF(C617="智力",E617,0)))</x:f>
        <x:v>0</x:v>
      </x:c>
      <x:c r="BJ617">
        <x:f>MAX(0,MIN(18,BJ616+IF(C617="意志",E617,0)))</x:f>
        <x:v>0</x:v>
      </x:c>
      <x:c r="BK617">
        <x:f>MAX(0,MIN(18,BK616+IF(C617="魅力",E617,0)))</x:f>
        <x:v>0</x:v>
      </x:c>
      <x:c r="BL617">
        <x:f>MAX(0,MIN(99,BL616+IF(C617="技能：非自然知识",E617,0)))</x:f>
        <x:v>0</x:v>
      </x:c>
      <x:c r="BM617">
        <x:f>MAX(0,MIN(CEILING((BF617+BG617)/2,1),BM616+IF(C617="体力",E617,0)))</x:f>
        <x:v>0</x:v>
      </x:c>
      <x:c r="BN617">
        <x:f>MAX(0,MIN(BJ617,BN616+IF(C617="毅力",E617,0)))</x:f>
        <x:v>0</x:v>
      </x:c>
      <x:c r="BO617">
        <x:f>MAX(0,MIN(99-BL617,BO616+IF(C617="理智",E617,0)))</x:f>
        <x:v>0</x:v>
      </x:c>
      <x:c r="BP617">
        <x:f>MAX(0,MIN(99,BP616+IF(C617="崩溃点",E617,0)))</x:f>
        <x:v>0</x:v>
      </x:c>
      <x:c r="BQ617">
        <x:f>MAX(0,MIN(BK617,IF(AND(H617=1,C617="重要关系1",LEFT('幕间与结算'!H524,8)="建立新的重要关系"),'幕间与结算'!E524+E617,BQ616+IF(C617="重要关系1",E617,0)+IF(AND(C617="魅力",E617&lt;0),E617,0))))</x:f>
        <x:v>0</x:v>
      </x:c>
      <x:c r="BR617">
        <x:f>MAX(0,MIN(BK617,IF(AND(H617=1,C617="重要关系2",LEFT('幕间与结算'!H524,8)="建立新的重要关系"),'幕间与结算'!E524+E617,BR616+IF(C617="重要关系2",E617,0)+IF(AND(C617="魅力",E617&lt;0),E617,0))))</x:f>
        <x:v>0</x:v>
      </x:c>
      <x:c r="BS617">
        <x:f>MAX(0,MIN(BK617,IF(AND(H617=1,C617="重要关系3",LEFT('幕间与结算'!H524,8)="建立新的重要关系"),'幕间与结算'!E524+E617,BS616+IF(C617="重要关系3",E617,0)+IF(AND(C617="魅力",E617&lt;0),E617,0))))</x:f>
        <x:v>0</x:v>
      </x:c>
      <x:c r="BT617">
        <x:f>MAX(0,MIN(BK617,IF(AND(H617=1,C617="重要关系4",LEFT('幕间与结算'!H524,8)="建立新的重要关系"),'幕间与结算'!E524+E617,BT616+IF(C617="重要关系4",E617,0)+IF(AND(C617="魅力",E617&lt;0),E617,0))))</x:f>
        <x:v>0</x:v>
      </x:c>
      <x:c r="BU617">
        <x:f>MAX(0,MIN(BK617,IF(AND(H617=1,C617="重要关系5",LEFT('幕间与结算'!H524,8)="建立新的重要关系"),'幕间与结算'!E524+E617,BU616+IF(C617="重要关系5",E617,0)+IF(AND(C617="魅力",E617&lt;0),E617,0))))</x:f>
        <x:v>0</x:v>
      </x:c>
      <x:c r="BV617">
        <x:f>MAX(0,MIN(BK617,IF(AND(H617=1,C617="重要关系6",LEFT('幕间与结算'!H524,8)="建立新的重要关系"),'幕间与结算'!E524+E617,BV616+IF(C617="重要关系6",E617,0)+IF(AND(C617="魅力",E617&lt;0),E617,0))))</x:f>
        <x:v>0</x:v>
      </x:c>
      <x:c r="BW617">
        <x:f>MAX(0,MIN(BK617,IF(AND(H617=1,C617="重要关系7",LEFT('幕间与结算'!H524,8)="建立新的重要关系"),'幕间与结算'!E524+E617,BW616+IF(C617="重要关系7",E617,0)+IF(AND(C617="魅力",E617&lt;0),E617,0))))</x:f>
        <x:v>0</x:v>
      </x:c>
    </x:row>
    <x:row r="618">
      <x:c r="A618" t="str">
        <x:f>IFERROR(TEXT(VALUE('幕间与结算'!A525),"00"),"")</x:f>
        <x:v>00</x:v>
      </x:c>
      <x:c r="B618">
        <x:f>'幕间与结算'!B525</x:f>
        <x:v>0</x:v>
      </x:c>
      <x:c r="C618">
        <x:f>'幕间与结算'!D525</x:f>
        <x:v>0</x:v>
      </x:c>
      <x:c r="D618">
        <x:f>'幕间与结算'!F525</x:f>
        <x:v>0</x:v>
      </x:c>
      <x:c r="E618">
        <x:f>IF(H618=1,MAX(-'幕间与结算'!E525,MIN(D618,IF(LEFT(C618,3)="技能：",99,IF(COUNTIF($L$2:$L$7,C618)&gt;0,18,999))-'幕间与结算'!E525)),0)</x:f>
        <x:v>0</x:v>
      </x:c>
      <x:c r="F618" t="str">
        <x:f>IF(C618=0,"",IF(G618=0,"记录不完整",IF(H618=0,"重复未计","已计入")))</x:f>
        <x:v/>
      </x:c>
      <x:c r="G618">
        <x:f>IF(AND(AND('幕间与结算'!A525&lt;&gt;"",'幕间与结算'!B525&lt;&gt;"",'幕间与结算'!I525&lt;&gt;"",OR(LEFT(C618,3)="技能：",COUNTIF($L$2:$L$19,C618)&gt;0),ISNUMBER('幕间与结算'!E525),ISNUMBER('幕间与结算'!F525),ISNUMBER('幕间与结算'!G525),'幕间与结算'!E525&gt;=0,'幕间与结算'!G525='幕间与结算'!E525+'幕间与结算'!F525),OR(B618&lt;&gt;"成长",AND(LEFT(C618,3)="技能：",C618&lt;&gt;"技能：非自然知识",'幕间与结算'!E525&gt;=1,'幕间与结算'!E525&lt;=99,'幕间与结算'!F525&gt;=0,'幕间与结算'!F525&lt;=4,'幕间与结算'!G525&lt;=99))),1,0)</x:f>
        <x:v>0</x:v>
      </x:c>
      <x:c r="H618">
        <x:f>IF(AND(G618=1,COUNTIFS($I$200:I618,I618,$G$200:G618,1)=1),1,0)</x:f>
        <x:v>0</x:v>
      </x:c>
      <x:c r="I618" t="str">
        <x:f>IF(G618=1,IF(B618="成长",A618&amp;"-成长-"&amp;C618,'幕间与结算'!I525),"")</x:f>
        <x:v/>
      </x:c>
      <x:c r="BF618">
        <x:f>MAX(0,MIN(18,BF617+IF(C618="力量",E618,0)))</x:f>
        <x:v>0</x:v>
      </x:c>
      <x:c r="BG618">
        <x:f>MAX(0,MIN(18,BG617+IF(C618="体质",E618,0)))</x:f>
        <x:v>0</x:v>
      </x:c>
      <x:c r="BH618">
        <x:f>MAX(0,MIN(18,BH617+IF(C618="敏捷",E618,0)))</x:f>
        <x:v>0</x:v>
      </x:c>
      <x:c r="BI618">
        <x:f>MAX(0,MIN(18,BI617+IF(C618="智力",E618,0)))</x:f>
        <x:v>0</x:v>
      </x:c>
      <x:c r="BJ618">
        <x:f>MAX(0,MIN(18,BJ617+IF(C618="意志",E618,0)))</x:f>
        <x:v>0</x:v>
      </x:c>
      <x:c r="BK618">
        <x:f>MAX(0,MIN(18,BK617+IF(C618="魅力",E618,0)))</x:f>
        <x:v>0</x:v>
      </x:c>
      <x:c r="BL618">
        <x:f>MAX(0,MIN(99,BL617+IF(C618="技能：非自然知识",E618,0)))</x:f>
        <x:v>0</x:v>
      </x:c>
      <x:c r="BM618">
        <x:f>MAX(0,MIN(CEILING((BF618+BG618)/2,1),BM617+IF(C618="体力",E618,0)))</x:f>
        <x:v>0</x:v>
      </x:c>
      <x:c r="BN618">
        <x:f>MAX(0,MIN(BJ618,BN617+IF(C618="毅力",E618,0)))</x:f>
        <x:v>0</x:v>
      </x:c>
      <x:c r="BO618">
        <x:f>MAX(0,MIN(99-BL618,BO617+IF(C618="理智",E618,0)))</x:f>
        <x:v>0</x:v>
      </x:c>
      <x:c r="BP618">
        <x:f>MAX(0,MIN(99,BP617+IF(C618="崩溃点",E618,0)))</x:f>
        <x:v>0</x:v>
      </x:c>
      <x:c r="BQ618">
        <x:f>MAX(0,MIN(BK618,IF(AND(H618=1,C618="重要关系1",LEFT('幕间与结算'!H525,8)="建立新的重要关系"),'幕间与结算'!E525+E618,BQ617+IF(C618="重要关系1",E618,0)+IF(AND(C618="魅力",E618&lt;0),E618,0))))</x:f>
        <x:v>0</x:v>
      </x:c>
      <x:c r="BR618">
        <x:f>MAX(0,MIN(BK618,IF(AND(H618=1,C618="重要关系2",LEFT('幕间与结算'!H525,8)="建立新的重要关系"),'幕间与结算'!E525+E618,BR617+IF(C618="重要关系2",E618,0)+IF(AND(C618="魅力",E618&lt;0),E618,0))))</x:f>
        <x:v>0</x:v>
      </x:c>
      <x:c r="BS618">
        <x:f>MAX(0,MIN(BK618,IF(AND(H618=1,C618="重要关系3",LEFT('幕间与结算'!H525,8)="建立新的重要关系"),'幕间与结算'!E525+E618,BS617+IF(C618="重要关系3",E618,0)+IF(AND(C618="魅力",E618&lt;0),E618,0))))</x:f>
        <x:v>0</x:v>
      </x:c>
      <x:c r="BT618">
        <x:f>MAX(0,MIN(BK618,IF(AND(H618=1,C618="重要关系4",LEFT('幕间与结算'!H525,8)="建立新的重要关系"),'幕间与结算'!E525+E618,BT617+IF(C618="重要关系4",E618,0)+IF(AND(C618="魅力",E618&lt;0),E618,0))))</x:f>
        <x:v>0</x:v>
      </x:c>
      <x:c r="BU618">
        <x:f>MAX(0,MIN(BK618,IF(AND(H618=1,C618="重要关系5",LEFT('幕间与结算'!H525,8)="建立新的重要关系"),'幕间与结算'!E525+E618,BU617+IF(C618="重要关系5",E618,0)+IF(AND(C618="魅力",E618&lt;0),E618,0))))</x:f>
        <x:v>0</x:v>
      </x:c>
      <x:c r="BV618">
        <x:f>MAX(0,MIN(BK618,IF(AND(H618=1,C618="重要关系6",LEFT('幕间与结算'!H525,8)="建立新的重要关系"),'幕间与结算'!E525+E618,BV617+IF(C618="重要关系6",E618,0)+IF(AND(C618="魅力",E618&lt;0),E618,0))))</x:f>
        <x:v>0</x:v>
      </x:c>
      <x:c r="BW618">
        <x:f>MAX(0,MIN(BK618,IF(AND(H618=1,C618="重要关系7",LEFT('幕间与结算'!H525,8)="建立新的重要关系"),'幕间与结算'!E525+E618,BW617+IF(C618="重要关系7",E618,0)+IF(AND(C618="魅力",E618&lt;0),E618,0))))</x:f>
        <x:v>0</x:v>
      </x:c>
    </x:row>
    <x:row r="619">
      <x:c r="A619" t="str">
        <x:f>IFERROR(TEXT(VALUE('幕间与结算'!A526),"00"),"")</x:f>
        <x:v>00</x:v>
      </x:c>
      <x:c r="B619">
        <x:f>'幕间与结算'!B526</x:f>
        <x:v>0</x:v>
      </x:c>
      <x:c r="C619">
        <x:f>'幕间与结算'!D526</x:f>
        <x:v>0</x:v>
      </x:c>
      <x:c r="D619">
        <x:f>'幕间与结算'!F526</x:f>
        <x:v>0</x:v>
      </x:c>
      <x:c r="E619">
        <x:f>IF(H619=1,MAX(-'幕间与结算'!E526,MIN(D619,IF(LEFT(C619,3)="技能：",99,IF(COUNTIF($L$2:$L$7,C619)&gt;0,18,999))-'幕间与结算'!E526)),0)</x:f>
        <x:v>0</x:v>
      </x:c>
      <x:c r="F619" t="str">
        <x:f>IF(C619=0,"",IF(G619=0,"记录不完整",IF(H619=0,"重复未计","已计入")))</x:f>
        <x:v/>
      </x:c>
      <x:c r="G619">
        <x:f>IF(AND(AND('幕间与结算'!A526&lt;&gt;"",'幕间与结算'!B526&lt;&gt;"",'幕间与结算'!I526&lt;&gt;"",OR(LEFT(C619,3)="技能：",COUNTIF($L$2:$L$19,C619)&gt;0),ISNUMBER('幕间与结算'!E526),ISNUMBER('幕间与结算'!F526),ISNUMBER('幕间与结算'!G526),'幕间与结算'!E526&gt;=0,'幕间与结算'!G526='幕间与结算'!E526+'幕间与结算'!F526),OR(B619&lt;&gt;"成长",AND(LEFT(C619,3)="技能：",C619&lt;&gt;"技能：非自然知识",'幕间与结算'!E526&gt;=1,'幕间与结算'!E526&lt;=99,'幕间与结算'!F526&gt;=0,'幕间与结算'!F526&lt;=4,'幕间与结算'!G526&lt;=99))),1,0)</x:f>
        <x:v>0</x:v>
      </x:c>
      <x:c r="H619">
        <x:f>IF(AND(G619=1,COUNTIFS($I$200:I619,I619,$G$200:G619,1)=1),1,0)</x:f>
        <x:v>0</x:v>
      </x:c>
      <x:c r="I619" t="str">
        <x:f>IF(G619=1,IF(B619="成长",A619&amp;"-成长-"&amp;C619,'幕间与结算'!I526),"")</x:f>
        <x:v/>
      </x:c>
      <x:c r="BF619">
        <x:f>MAX(0,MIN(18,BF618+IF(C619="力量",E619,0)))</x:f>
        <x:v>0</x:v>
      </x:c>
      <x:c r="BG619">
        <x:f>MAX(0,MIN(18,BG618+IF(C619="体质",E619,0)))</x:f>
        <x:v>0</x:v>
      </x:c>
      <x:c r="BH619">
        <x:f>MAX(0,MIN(18,BH618+IF(C619="敏捷",E619,0)))</x:f>
        <x:v>0</x:v>
      </x:c>
      <x:c r="BI619">
        <x:f>MAX(0,MIN(18,BI618+IF(C619="智力",E619,0)))</x:f>
        <x:v>0</x:v>
      </x:c>
      <x:c r="BJ619">
        <x:f>MAX(0,MIN(18,BJ618+IF(C619="意志",E619,0)))</x:f>
        <x:v>0</x:v>
      </x:c>
      <x:c r="BK619">
        <x:f>MAX(0,MIN(18,BK618+IF(C619="魅力",E619,0)))</x:f>
        <x:v>0</x:v>
      </x:c>
      <x:c r="BL619">
        <x:f>MAX(0,MIN(99,BL618+IF(C619="技能：非自然知识",E619,0)))</x:f>
        <x:v>0</x:v>
      </x:c>
      <x:c r="BM619">
        <x:f>MAX(0,MIN(CEILING((BF619+BG619)/2,1),BM618+IF(C619="体力",E619,0)))</x:f>
        <x:v>0</x:v>
      </x:c>
      <x:c r="BN619">
        <x:f>MAX(0,MIN(BJ619,BN618+IF(C619="毅力",E619,0)))</x:f>
        <x:v>0</x:v>
      </x:c>
      <x:c r="BO619">
        <x:f>MAX(0,MIN(99-BL619,BO618+IF(C619="理智",E619,0)))</x:f>
        <x:v>0</x:v>
      </x:c>
      <x:c r="BP619">
        <x:f>MAX(0,MIN(99,BP618+IF(C619="崩溃点",E619,0)))</x:f>
        <x:v>0</x:v>
      </x:c>
      <x:c r="BQ619">
        <x:f>MAX(0,MIN(BK619,IF(AND(H619=1,C619="重要关系1",LEFT('幕间与结算'!H526,8)="建立新的重要关系"),'幕间与结算'!E526+E619,BQ618+IF(C619="重要关系1",E619,0)+IF(AND(C619="魅力",E619&lt;0),E619,0))))</x:f>
        <x:v>0</x:v>
      </x:c>
      <x:c r="BR619">
        <x:f>MAX(0,MIN(BK619,IF(AND(H619=1,C619="重要关系2",LEFT('幕间与结算'!H526,8)="建立新的重要关系"),'幕间与结算'!E526+E619,BR618+IF(C619="重要关系2",E619,0)+IF(AND(C619="魅力",E619&lt;0),E619,0))))</x:f>
        <x:v>0</x:v>
      </x:c>
      <x:c r="BS619">
        <x:f>MAX(0,MIN(BK619,IF(AND(H619=1,C619="重要关系3",LEFT('幕间与结算'!H526,8)="建立新的重要关系"),'幕间与结算'!E526+E619,BS618+IF(C619="重要关系3",E619,0)+IF(AND(C619="魅力",E619&lt;0),E619,0))))</x:f>
        <x:v>0</x:v>
      </x:c>
      <x:c r="BT619">
        <x:f>MAX(0,MIN(BK619,IF(AND(H619=1,C619="重要关系4",LEFT('幕间与结算'!H526,8)="建立新的重要关系"),'幕间与结算'!E526+E619,BT618+IF(C619="重要关系4",E619,0)+IF(AND(C619="魅力",E619&lt;0),E619,0))))</x:f>
        <x:v>0</x:v>
      </x:c>
      <x:c r="BU619">
        <x:f>MAX(0,MIN(BK619,IF(AND(H619=1,C619="重要关系5",LEFT('幕间与结算'!H526,8)="建立新的重要关系"),'幕间与结算'!E526+E619,BU618+IF(C619="重要关系5",E619,0)+IF(AND(C619="魅力",E619&lt;0),E619,0))))</x:f>
        <x:v>0</x:v>
      </x:c>
      <x:c r="BV619">
        <x:f>MAX(0,MIN(BK619,IF(AND(H619=1,C619="重要关系6",LEFT('幕间与结算'!H526,8)="建立新的重要关系"),'幕间与结算'!E526+E619,BV618+IF(C619="重要关系6",E619,0)+IF(AND(C619="魅力",E619&lt;0),E619,0))))</x:f>
        <x:v>0</x:v>
      </x:c>
      <x:c r="BW619">
        <x:f>MAX(0,MIN(BK619,IF(AND(H619=1,C619="重要关系7",LEFT('幕间与结算'!H526,8)="建立新的重要关系"),'幕间与结算'!E526+E619,BW618+IF(C619="重要关系7",E619,0)+IF(AND(C619="魅力",E619&lt;0),E619,0))))</x:f>
        <x:v>0</x:v>
      </x:c>
    </x:row>
    <x:row r="620">
      <x:c r="A620" t="str">
        <x:f>IFERROR(TEXT(VALUE('幕间与结算'!A527),"00"),"")</x:f>
        <x:v>00</x:v>
      </x:c>
      <x:c r="B620">
        <x:f>'幕间与结算'!B527</x:f>
        <x:v>0</x:v>
      </x:c>
      <x:c r="C620">
        <x:f>'幕间与结算'!D527</x:f>
        <x:v>0</x:v>
      </x:c>
      <x:c r="D620">
        <x:f>'幕间与结算'!F527</x:f>
        <x:v>0</x:v>
      </x:c>
      <x:c r="E620">
        <x:f>IF(H620=1,MAX(-'幕间与结算'!E527,MIN(D620,IF(LEFT(C620,3)="技能：",99,IF(COUNTIF($L$2:$L$7,C620)&gt;0,18,999))-'幕间与结算'!E527)),0)</x:f>
        <x:v>0</x:v>
      </x:c>
      <x:c r="F620" t="str">
        <x:f>IF(C620=0,"",IF(G620=0,"记录不完整",IF(H620=0,"重复未计","已计入")))</x:f>
        <x:v/>
      </x:c>
      <x:c r="G620">
        <x:f>IF(AND(AND('幕间与结算'!A527&lt;&gt;"",'幕间与结算'!B527&lt;&gt;"",'幕间与结算'!I527&lt;&gt;"",OR(LEFT(C620,3)="技能：",COUNTIF($L$2:$L$19,C620)&gt;0),ISNUMBER('幕间与结算'!E527),ISNUMBER('幕间与结算'!F527),ISNUMBER('幕间与结算'!G527),'幕间与结算'!E527&gt;=0,'幕间与结算'!G527='幕间与结算'!E527+'幕间与结算'!F527),OR(B620&lt;&gt;"成长",AND(LEFT(C620,3)="技能：",C620&lt;&gt;"技能：非自然知识",'幕间与结算'!E527&gt;=1,'幕间与结算'!E527&lt;=99,'幕间与结算'!F527&gt;=0,'幕间与结算'!F527&lt;=4,'幕间与结算'!G527&lt;=99))),1,0)</x:f>
        <x:v>0</x:v>
      </x:c>
      <x:c r="H620">
        <x:f>IF(AND(G620=1,COUNTIFS($I$200:I620,I620,$G$200:G620,1)=1),1,0)</x:f>
        <x:v>0</x:v>
      </x:c>
      <x:c r="I620" t="str">
        <x:f>IF(G620=1,IF(B620="成长",A620&amp;"-成长-"&amp;C620,'幕间与结算'!I527),"")</x:f>
        <x:v/>
      </x:c>
      <x:c r="BF620">
        <x:f>MAX(0,MIN(18,BF619+IF(C620="力量",E620,0)))</x:f>
        <x:v>0</x:v>
      </x:c>
      <x:c r="BG620">
        <x:f>MAX(0,MIN(18,BG619+IF(C620="体质",E620,0)))</x:f>
        <x:v>0</x:v>
      </x:c>
      <x:c r="BH620">
        <x:f>MAX(0,MIN(18,BH619+IF(C620="敏捷",E620,0)))</x:f>
        <x:v>0</x:v>
      </x:c>
      <x:c r="BI620">
        <x:f>MAX(0,MIN(18,BI619+IF(C620="智力",E620,0)))</x:f>
        <x:v>0</x:v>
      </x:c>
      <x:c r="BJ620">
        <x:f>MAX(0,MIN(18,BJ619+IF(C620="意志",E620,0)))</x:f>
        <x:v>0</x:v>
      </x:c>
      <x:c r="BK620">
        <x:f>MAX(0,MIN(18,BK619+IF(C620="魅力",E620,0)))</x:f>
        <x:v>0</x:v>
      </x:c>
      <x:c r="BL620">
        <x:f>MAX(0,MIN(99,BL619+IF(C620="技能：非自然知识",E620,0)))</x:f>
        <x:v>0</x:v>
      </x:c>
      <x:c r="BM620">
        <x:f>MAX(0,MIN(CEILING((BF620+BG620)/2,1),BM619+IF(C620="体力",E620,0)))</x:f>
        <x:v>0</x:v>
      </x:c>
      <x:c r="BN620">
        <x:f>MAX(0,MIN(BJ620,BN619+IF(C620="毅力",E620,0)))</x:f>
        <x:v>0</x:v>
      </x:c>
      <x:c r="BO620">
        <x:f>MAX(0,MIN(99-BL620,BO619+IF(C620="理智",E620,0)))</x:f>
        <x:v>0</x:v>
      </x:c>
      <x:c r="BP620">
        <x:f>MAX(0,MIN(99,BP619+IF(C620="崩溃点",E620,0)))</x:f>
        <x:v>0</x:v>
      </x:c>
      <x:c r="BQ620">
        <x:f>MAX(0,MIN(BK620,IF(AND(H620=1,C620="重要关系1",LEFT('幕间与结算'!H527,8)="建立新的重要关系"),'幕间与结算'!E527+E620,BQ619+IF(C620="重要关系1",E620,0)+IF(AND(C620="魅力",E620&lt;0),E620,0))))</x:f>
        <x:v>0</x:v>
      </x:c>
      <x:c r="BR620">
        <x:f>MAX(0,MIN(BK620,IF(AND(H620=1,C620="重要关系2",LEFT('幕间与结算'!H527,8)="建立新的重要关系"),'幕间与结算'!E527+E620,BR619+IF(C620="重要关系2",E620,0)+IF(AND(C620="魅力",E620&lt;0),E620,0))))</x:f>
        <x:v>0</x:v>
      </x:c>
      <x:c r="BS620">
        <x:f>MAX(0,MIN(BK620,IF(AND(H620=1,C620="重要关系3",LEFT('幕间与结算'!H527,8)="建立新的重要关系"),'幕间与结算'!E527+E620,BS619+IF(C620="重要关系3",E620,0)+IF(AND(C620="魅力",E620&lt;0),E620,0))))</x:f>
        <x:v>0</x:v>
      </x:c>
      <x:c r="BT620">
        <x:f>MAX(0,MIN(BK620,IF(AND(H620=1,C620="重要关系4",LEFT('幕间与结算'!H527,8)="建立新的重要关系"),'幕间与结算'!E527+E620,BT619+IF(C620="重要关系4",E620,0)+IF(AND(C620="魅力",E620&lt;0),E620,0))))</x:f>
        <x:v>0</x:v>
      </x:c>
      <x:c r="BU620">
        <x:f>MAX(0,MIN(BK620,IF(AND(H620=1,C620="重要关系5",LEFT('幕间与结算'!H527,8)="建立新的重要关系"),'幕间与结算'!E527+E620,BU619+IF(C620="重要关系5",E620,0)+IF(AND(C620="魅力",E620&lt;0),E620,0))))</x:f>
        <x:v>0</x:v>
      </x:c>
      <x:c r="BV620">
        <x:f>MAX(0,MIN(BK620,IF(AND(H620=1,C620="重要关系6",LEFT('幕间与结算'!H527,8)="建立新的重要关系"),'幕间与结算'!E527+E620,BV619+IF(C620="重要关系6",E620,0)+IF(AND(C620="魅力",E620&lt;0),E620,0))))</x:f>
        <x:v>0</x:v>
      </x:c>
      <x:c r="BW620">
        <x:f>MAX(0,MIN(BK620,IF(AND(H620=1,C620="重要关系7",LEFT('幕间与结算'!H527,8)="建立新的重要关系"),'幕间与结算'!E527+E620,BW619+IF(C620="重要关系7",E620,0)+IF(AND(C620="魅力",E620&lt;0),E620,0))))</x:f>
        <x:v>0</x:v>
      </x:c>
    </x:row>
    <x:row r="621">
      <x:c r="A621" t="str">
        <x:f>IFERROR(TEXT(VALUE('幕间与结算'!A528),"00"),"")</x:f>
        <x:v>00</x:v>
      </x:c>
      <x:c r="B621">
        <x:f>'幕间与结算'!B528</x:f>
        <x:v>0</x:v>
      </x:c>
      <x:c r="C621">
        <x:f>'幕间与结算'!D528</x:f>
        <x:v>0</x:v>
      </x:c>
      <x:c r="D621">
        <x:f>'幕间与结算'!F528</x:f>
        <x:v>0</x:v>
      </x:c>
      <x:c r="E621">
        <x:f>IF(H621=1,MAX(-'幕间与结算'!E528,MIN(D621,IF(LEFT(C621,3)="技能：",99,IF(COUNTIF($L$2:$L$7,C621)&gt;0,18,999))-'幕间与结算'!E528)),0)</x:f>
        <x:v>0</x:v>
      </x:c>
      <x:c r="F621" t="str">
        <x:f>IF(C621=0,"",IF(G621=0,"记录不完整",IF(H621=0,"重复未计","已计入")))</x:f>
        <x:v/>
      </x:c>
      <x:c r="G621">
        <x:f>IF(AND(AND('幕间与结算'!A528&lt;&gt;"",'幕间与结算'!B528&lt;&gt;"",'幕间与结算'!I528&lt;&gt;"",OR(LEFT(C621,3)="技能：",COUNTIF($L$2:$L$19,C621)&gt;0),ISNUMBER('幕间与结算'!E528),ISNUMBER('幕间与结算'!F528),ISNUMBER('幕间与结算'!G528),'幕间与结算'!E528&gt;=0,'幕间与结算'!G528='幕间与结算'!E528+'幕间与结算'!F528),OR(B621&lt;&gt;"成长",AND(LEFT(C621,3)="技能：",C621&lt;&gt;"技能：非自然知识",'幕间与结算'!E528&gt;=1,'幕间与结算'!E528&lt;=99,'幕间与结算'!F528&gt;=0,'幕间与结算'!F528&lt;=4,'幕间与结算'!G528&lt;=99))),1,0)</x:f>
        <x:v>0</x:v>
      </x:c>
      <x:c r="H621">
        <x:f>IF(AND(G621=1,COUNTIFS($I$200:I621,I621,$G$200:G621,1)=1),1,0)</x:f>
        <x:v>0</x:v>
      </x:c>
      <x:c r="I621" t="str">
        <x:f>IF(G621=1,IF(B621="成长",A621&amp;"-成长-"&amp;C621,'幕间与结算'!I528),"")</x:f>
        <x:v/>
      </x:c>
      <x:c r="BF621">
        <x:f>MAX(0,MIN(18,BF620+IF(C621="力量",E621,0)))</x:f>
        <x:v>0</x:v>
      </x:c>
      <x:c r="BG621">
        <x:f>MAX(0,MIN(18,BG620+IF(C621="体质",E621,0)))</x:f>
        <x:v>0</x:v>
      </x:c>
      <x:c r="BH621">
        <x:f>MAX(0,MIN(18,BH620+IF(C621="敏捷",E621,0)))</x:f>
        <x:v>0</x:v>
      </x:c>
      <x:c r="BI621">
        <x:f>MAX(0,MIN(18,BI620+IF(C621="智力",E621,0)))</x:f>
        <x:v>0</x:v>
      </x:c>
      <x:c r="BJ621">
        <x:f>MAX(0,MIN(18,BJ620+IF(C621="意志",E621,0)))</x:f>
        <x:v>0</x:v>
      </x:c>
      <x:c r="BK621">
        <x:f>MAX(0,MIN(18,BK620+IF(C621="魅力",E621,0)))</x:f>
        <x:v>0</x:v>
      </x:c>
      <x:c r="BL621">
        <x:f>MAX(0,MIN(99,BL620+IF(C621="技能：非自然知识",E621,0)))</x:f>
        <x:v>0</x:v>
      </x:c>
      <x:c r="BM621">
        <x:f>MAX(0,MIN(CEILING((BF621+BG621)/2,1),BM620+IF(C621="体力",E621,0)))</x:f>
        <x:v>0</x:v>
      </x:c>
      <x:c r="BN621">
        <x:f>MAX(0,MIN(BJ621,BN620+IF(C621="毅力",E621,0)))</x:f>
        <x:v>0</x:v>
      </x:c>
      <x:c r="BO621">
        <x:f>MAX(0,MIN(99-BL621,BO620+IF(C621="理智",E621,0)))</x:f>
        <x:v>0</x:v>
      </x:c>
      <x:c r="BP621">
        <x:f>MAX(0,MIN(99,BP620+IF(C621="崩溃点",E621,0)))</x:f>
        <x:v>0</x:v>
      </x:c>
      <x:c r="BQ621">
        <x:f>MAX(0,MIN(BK621,IF(AND(H621=1,C621="重要关系1",LEFT('幕间与结算'!H528,8)="建立新的重要关系"),'幕间与结算'!E528+E621,BQ620+IF(C621="重要关系1",E621,0)+IF(AND(C621="魅力",E621&lt;0),E621,0))))</x:f>
        <x:v>0</x:v>
      </x:c>
      <x:c r="BR621">
        <x:f>MAX(0,MIN(BK621,IF(AND(H621=1,C621="重要关系2",LEFT('幕间与结算'!H528,8)="建立新的重要关系"),'幕间与结算'!E528+E621,BR620+IF(C621="重要关系2",E621,0)+IF(AND(C621="魅力",E621&lt;0),E621,0))))</x:f>
        <x:v>0</x:v>
      </x:c>
      <x:c r="BS621">
        <x:f>MAX(0,MIN(BK621,IF(AND(H621=1,C621="重要关系3",LEFT('幕间与结算'!H528,8)="建立新的重要关系"),'幕间与结算'!E528+E621,BS620+IF(C621="重要关系3",E621,0)+IF(AND(C621="魅力",E621&lt;0),E621,0))))</x:f>
        <x:v>0</x:v>
      </x:c>
      <x:c r="BT621">
        <x:f>MAX(0,MIN(BK621,IF(AND(H621=1,C621="重要关系4",LEFT('幕间与结算'!H528,8)="建立新的重要关系"),'幕间与结算'!E528+E621,BT620+IF(C621="重要关系4",E621,0)+IF(AND(C621="魅力",E621&lt;0),E621,0))))</x:f>
        <x:v>0</x:v>
      </x:c>
      <x:c r="BU621">
        <x:f>MAX(0,MIN(BK621,IF(AND(H621=1,C621="重要关系5",LEFT('幕间与结算'!H528,8)="建立新的重要关系"),'幕间与结算'!E528+E621,BU620+IF(C621="重要关系5",E621,0)+IF(AND(C621="魅力",E621&lt;0),E621,0))))</x:f>
        <x:v>0</x:v>
      </x:c>
      <x:c r="BV621">
        <x:f>MAX(0,MIN(BK621,IF(AND(H621=1,C621="重要关系6",LEFT('幕间与结算'!H528,8)="建立新的重要关系"),'幕间与结算'!E528+E621,BV620+IF(C621="重要关系6",E621,0)+IF(AND(C621="魅力",E621&lt;0),E621,0))))</x:f>
        <x:v>0</x:v>
      </x:c>
      <x:c r="BW621">
        <x:f>MAX(0,MIN(BK621,IF(AND(H621=1,C621="重要关系7",LEFT('幕间与结算'!H528,8)="建立新的重要关系"),'幕间与结算'!E528+E621,BW620+IF(C621="重要关系7",E621,0)+IF(AND(C621="魅力",E621&lt;0),E621,0))))</x:f>
        <x:v>0</x:v>
      </x:c>
    </x:row>
    <x:row r="622">
      <x:c r="A622" t="str">
        <x:f>IFERROR(TEXT(VALUE('幕间与结算'!A529),"00"),"")</x:f>
        <x:v>00</x:v>
      </x:c>
      <x:c r="B622">
        <x:f>'幕间与结算'!B529</x:f>
        <x:v>0</x:v>
      </x:c>
      <x:c r="C622">
        <x:f>'幕间与结算'!D529</x:f>
        <x:v>0</x:v>
      </x:c>
      <x:c r="D622">
        <x:f>'幕间与结算'!F529</x:f>
        <x:v>0</x:v>
      </x:c>
      <x:c r="E622">
        <x:f>IF(H622=1,MAX(-'幕间与结算'!E529,MIN(D622,IF(LEFT(C622,3)="技能：",99,IF(COUNTIF($L$2:$L$7,C622)&gt;0,18,999))-'幕间与结算'!E529)),0)</x:f>
        <x:v>0</x:v>
      </x:c>
      <x:c r="F622" t="str">
        <x:f>IF(C622=0,"",IF(G622=0,"记录不完整",IF(H622=0,"重复未计","已计入")))</x:f>
        <x:v/>
      </x:c>
      <x:c r="G622">
        <x:f>IF(AND(AND('幕间与结算'!A529&lt;&gt;"",'幕间与结算'!B529&lt;&gt;"",'幕间与结算'!I529&lt;&gt;"",OR(LEFT(C622,3)="技能：",COUNTIF($L$2:$L$19,C622)&gt;0),ISNUMBER('幕间与结算'!E529),ISNUMBER('幕间与结算'!F529),ISNUMBER('幕间与结算'!G529),'幕间与结算'!E529&gt;=0,'幕间与结算'!G529='幕间与结算'!E529+'幕间与结算'!F529),OR(B622&lt;&gt;"成长",AND(LEFT(C622,3)="技能：",C622&lt;&gt;"技能：非自然知识",'幕间与结算'!E529&gt;=1,'幕间与结算'!E529&lt;=99,'幕间与结算'!F529&gt;=0,'幕间与结算'!F529&lt;=4,'幕间与结算'!G529&lt;=99))),1,0)</x:f>
        <x:v>0</x:v>
      </x:c>
      <x:c r="H622">
        <x:f>IF(AND(G622=1,COUNTIFS($I$200:I622,I622,$G$200:G622,1)=1),1,0)</x:f>
        <x:v>0</x:v>
      </x:c>
      <x:c r="I622" t="str">
        <x:f>IF(G622=1,IF(B622="成长",A622&amp;"-成长-"&amp;C622,'幕间与结算'!I529),"")</x:f>
        <x:v/>
      </x:c>
      <x:c r="BF622">
        <x:f>MAX(0,MIN(18,BF621+IF(C622="力量",E622,0)))</x:f>
        <x:v>0</x:v>
      </x:c>
      <x:c r="BG622">
        <x:f>MAX(0,MIN(18,BG621+IF(C622="体质",E622,0)))</x:f>
        <x:v>0</x:v>
      </x:c>
      <x:c r="BH622">
        <x:f>MAX(0,MIN(18,BH621+IF(C622="敏捷",E622,0)))</x:f>
        <x:v>0</x:v>
      </x:c>
      <x:c r="BI622">
        <x:f>MAX(0,MIN(18,BI621+IF(C622="智力",E622,0)))</x:f>
        <x:v>0</x:v>
      </x:c>
      <x:c r="BJ622">
        <x:f>MAX(0,MIN(18,BJ621+IF(C622="意志",E622,0)))</x:f>
        <x:v>0</x:v>
      </x:c>
      <x:c r="BK622">
        <x:f>MAX(0,MIN(18,BK621+IF(C622="魅力",E622,0)))</x:f>
        <x:v>0</x:v>
      </x:c>
      <x:c r="BL622">
        <x:f>MAX(0,MIN(99,BL621+IF(C622="技能：非自然知识",E622,0)))</x:f>
        <x:v>0</x:v>
      </x:c>
      <x:c r="BM622">
        <x:f>MAX(0,MIN(CEILING((BF622+BG622)/2,1),BM621+IF(C622="体力",E622,0)))</x:f>
        <x:v>0</x:v>
      </x:c>
      <x:c r="BN622">
        <x:f>MAX(0,MIN(BJ622,BN621+IF(C622="毅力",E622,0)))</x:f>
        <x:v>0</x:v>
      </x:c>
      <x:c r="BO622">
        <x:f>MAX(0,MIN(99-BL622,BO621+IF(C622="理智",E622,0)))</x:f>
        <x:v>0</x:v>
      </x:c>
      <x:c r="BP622">
        <x:f>MAX(0,MIN(99,BP621+IF(C622="崩溃点",E622,0)))</x:f>
        <x:v>0</x:v>
      </x:c>
      <x:c r="BQ622">
        <x:f>MAX(0,MIN(BK622,IF(AND(H622=1,C622="重要关系1",LEFT('幕间与结算'!H529,8)="建立新的重要关系"),'幕间与结算'!E529+E622,BQ621+IF(C622="重要关系1",E622,0)+IF(AND(C622="魅力",E622&lt;0),E622,0))))</x:f>
        <x:v>0</x:v>
      </x:c>
      <x:c r="BR622">
        <x:f>MAX(0,MIN(BK622,IF(AND(H622=1,C622="重要关系2",LEFT('幕间与结算'!H529,8)="建立新的重要关系"),'幕间与结算'!E529+E622,BR621+IF(C622="重要关系2",E622,0)+IF(AND(C622="魅力",E622&lt;0),E622,0))))</x:f>
        <x:v>0</x:v>
      </x:c>
      <x:c r="BS622">
        <x:f>MAX(0,MIN(BK622,IF(AND(H622=1,C622="重要关系3",LEFT('幕间与结算'!H529,8)="建立新的重要关系"),'幕间与结算'!E529+E622,BS621+IF(C622="重要关系3",E622,0)+IF(AND(C622="魅力",E622&lt;0),E622,0))))</x:f>
        <x:v>0</x:v>
      </x:c>
      <x:c r="BT622">
        <x:f>MAX(0,MIN(BK622,IF(AND(H622=1,C622="重要关系4",LEFT('幕间与结算'!H529,8)="建立新的重要关系"),'幕间与结算'!E529+E622,BT621+IF(C622="重要关系4",E622,0)+IF(AND(C622="魅力",E622&lt;0),E622,0))))</x:f>
        <x:v>0</x:v>
      </x:c>
      <x:c r="BU622">
        <x:f>MAX(0,MIN(BK622,IF(AND(H622=1,C622="重要关系5",LEFT('幕间与结算'!H529,8)="建立新的重要关系"),'幕间与结算'!E529+E622,BU621+IF(C622="重要关系5",E622,0)+IF(AND(C622="魅力",E622&lt;0),E622,0))))</x:f>
        <x:v>0</x:v>
      </x:c>
      <x:c r="BV622">
        <x:f>MAX(0,MIN(BK622,IF(AND(H622=1,C622="重要关系6",LEFT('幕间与结算'!H529,8)="建立新的重要关系"),'幕间与结算'!E529+E622,BV621+IF(C622="重要关系6",E622,0)+IF(AND(C622="魅力",E622&lt;0),E622,0))))</x:f>
        <x:v>0</x:v>
      </x:c>
      <x:c r="BW622">
        <x:f>MAX(0,MIN(BK622,IF(AND(H622=1,C622="重要关系7",LEFT('幕间与结算'!H529,8)="建立新的重要关系"),'幕间与结算'!E529+E622,BW621+IF(C622="重要关系7",E622,0)+IF(AND(C622="魅力",E622&lt;0),E622,0))))</x:f>
        <x:v>0</x:v>
      </x:c>
    </x:row>
    <x:row r="623">
      <x:c r="A623" t="str">
        <x:f>IFERROR(TEXT(VALUE('幕间与结算'!A530),"00"),"")</x:f>
        <x:v>00</x:v>
      </x:c>
      <x:c r="B623">
        <x:f>'幕间与结算'!B530</x:f>
        <x:v>0</x:v>
      </x:c>
      <x:c r="C623">
        <x:f>'幕间与结算'!D530</x:f>
        <x:v>0</x:v>
      </x:c>
      <x:c r="D623">
        <x:f>'幕间与结算'!F530</x:f>
        <x:v>0</x:v>
      </x:c>
      <x:c r="E623">
        <x:f>IF(H623=1,MAX(-'幕间与结算'!E530,MIN(D623,IF(LEFT(C623,3)="技能：",99,IF(COUNTIF($L$2:$L$7,C623)&gt;0,18,999))-'幕间与结算'!E530)),0)</x:f>
        <x:v>0</x:v>
      </x:c>
      <x:c r="F623" t="str">
        <x:f>IF(C623=0,"",IF(G623=0,"记录不完整",IF(H623=0,"重复未计","已计入")))</x:f>
        <x:v/>
      </x:c>
      <x:c r="G623">
        <x:f>IF(AND(AND('幕间与结算'!A530&lt;&gt;"",'幕间与结算'!B530&lt;&gt;"",'幕间与结算'!I530&lt;&gt;"",OR(LEFT(C623,3)="技能：",COUNTIF($L$2:$L$19,C623)&gt;0),ISNUMBER('幕间与结算'!E530),ISNUMBER('幕间与结算'!F530),ISNUMBER('幕间与结算'!G530),'幕间与结算'!E530&gt;=0,'幕间与结算'!G530='幕间与结算'!E530+'幕间与结算'!F530),OR(B623&lt;&gt;"成长",AND(LEFT(C623,3)="技能：",C623&lt;&gt;"技能：非自然知识",'幕间与结算'!E530&gt;=1,'幕间与结算'!E530&lt;=99,'幕间与结算'!F530&gt;=0,'幕间与结算'!F530&lt;=4,'幕间与结算'!G530&lt;=99))),1,0)</x:f>
        <x:v>0</x:v>
      </x:c>
      <x:c r="H623">
        <x:f>IF(AND(G623=1,COUNTIFS($I$200:I623,I623,$G$200:G623,1)=1),1,0)</x:f>
        <x:v>0</x:v>
      </x:c>
      <x:c r="I623" t="str">
        <x:f>IF(G623=1,IF(B623="成长",A623&amp;"-成长-"&amp;C623,'幕间与结算'!I530),"")</x:f>
        <x:v/>
      </x:c>
      <x:c r="BF623">
        <x:f>MAX(0,MIN(18,BF622+IF(C623="力量",E623,0)))</x:f>
        <x:v>0</x:v>
      </x:c>
      <x:c r="BG623">
        <x:f>MAX(0,MIN(18,BG622+IF(C623="体质",E623,0)))</x:f>
        <x:v>0</x:v>
      </x:c>
      <x:c r="BH623">
        <x:f>MAX(0,MIN(18,BH622+IF(C623="敏捷",E623,0)))</x:f>
        <x:v>0</x:v>
      </x:c>
      <x:c r="BI623">
        <x:f>MAX(0,MIN(18,BI622+IF(C623="智力",E623,0)))</x:f>
        <x:v>0</x:v>
      </x:c>
      <x:c r="BJ623">
        <x:f>MAX(0,MIN(18,BJ622+IF(C623="意志",E623,0)))</x:f>
        <x:v>0</x:v>
      </x:c>
      <x:c r="BK623">
        <x:f>MAX(0,MIN(18,BK622+IF(C623="魅力",E623,0)))</x:f>
        <x:v>0</x:v>
      </x:c>
      <x:c r="BL623">
        <x:f>MAX(0,MIN(99,BL622+IF(C623="技能：非自然知识",E623,0)))</x:f>
        <x:v>0</x:v>
      </x:c>
      <x:c r="BM623">
        <x:f>MAX(0,MIN(CEILING((BF623+BG623)/2,1),BM622+IF(C623="体力",E623,0)))</x:f>
        <x:v>0</x:v>
      </x:c>
      <x:c r="BN623">
        <x:f>MAX(0,MIN(BJ623,BN622+IF(C623="毅力",E623,0)))</x:f>
        <x:v>0</x:v>
      </x:c>
      <x:c r="BO623">
        <x:f>MAX(0,MIN(99-BL623,BO622+IF(C623="理智",E623,0)))</x:f>
        <x:v>0</x:v>
      </x:c>
      <x:c r="BP623">
        <x:f>MAX(0,MIN(99,BP622+IF(C623="崩溃点",E623,0)))</x:f>
        <x:v>0</x:v>
      </x:c>
      <x:c r="BQ623">
        <x:f>MAX(0,MIN(BK623,IF(AND(H623=1,C623="重要关系1",LEFT('幕间与结算'!H530,8)="建立新的重要关系"),'幕间与结算'!E530+E623,BQ622+IF(C623="重要关系1",E623,0)+IF(AND(C623="魅力",E623&lt;0),E623,0))))</x:f>
        <x:v>0</x:v>
      </x:c>
      <x:c r="BR623">
        <x:f>MAX(0,MIN(BK623,IF(AND(H623=1,C623="重要关系2",LEFT('幕间与结算'!H530,8)="建立新的重要关系"),'幕间与结算'!E530+E623,BR622+IF(C623="重要关系2",E623,0)+IF(AND(C623="魅力",E623&lt;0),E623,0))))</x:f>
        <x:v>0</x:v>
      </x:c>
      <x:c r="BS623">
        <x:f>MAX(0,MIN(BK623,IF(AND(H623=1,C623="重要关系3",LEFT('幕间与结算'!H530,8)="建立新的重要关系"),'幕间与结算'!E530+E623,BS622+IF(C623="重要关系3",E623,0)+IF(AND(C623="魅力",E623&lt;0),E623,0))))</x:f>
        <x:v>0</x:v>
      </x:c>
      <x:c r="BT623">
        <x:f>MAX(0,MIN(BK623,IF(AND(H623=1,C623="重要关系4",LEFT('幕间与结算'!H530,8)="建立新的重要关系"),'幕间与结算'!E530+E623,BT622+IF(C623="重要关系4",E623,0)+IF(AND(C623="魅力",E623&lt;0),E623,0))))</x:f>
        <x:v>0</x:v>
      </x:c>
      <x:c r="BU623">
        <x:f>MAX(0,MIN(BK623,IF(AND(H623=1,C623="重要关系5",LEFT('幕间与结算'!H530,8)="建立新的重要关系"),'幕间与结算'!E530+E623,BU622+IF(C623="重要关系5",E623,0)+IF(AND(C623="魅力",E623&lt;0),E623,0))))</x:f>
        <x:v>0</x:v>
      </x:c>
      <x:c r="BV623">
        <x:f>MAX(0,MIN(BK623,IF(AND(H623=1,C623="重要关系6",LEFT('幕间与结算'!H530,8)="建立新的重要关系"),'幕间与结算'!E530+E623,BV622+IF(C623="重要关系6",E623,0)+IF(AND(C623="魅力",E623&lt;0),E623,0))))</x:f>
        <x:v>0</x:v>
      </x:c>
      <x:c r="BW623">
        <x:f>MAX(0,MIN(BK623,IF(AND(H623=1,C623="重要关系7",LEFT('幕间与结算'!H530,8)="建立新的重要关系"),'幕间与结算'!E530+E623,BW622+IF(C623="重要关系7",E623,0)+IF(AND(C623="魅力",E623&lt;0),E623,0))))</x:f>
        <x:v>0</x:v>
      </x:c>
    </x:row>
    <x:row r="624">
      <x:c r="A624" t="str">
        <x:f>IFERROR(TEXT(VALUE('幕间与结算'!A531),"00"),"")</x:f>
        <x:v>00</x:v>
      </x:c>
      <x:c r="B624">
        <x:f>'幕间与结算'!B531</x:f>
        <x:v>0</x:v>
      </x:c>
      <x:c r="C624">
        <x:f>'幕间与结算'!D531</x:f>
        <x:v>0</x:v>
      </x:c>
      <x:c r="D624">
        <x:f>'幕间与结算'!F531</x:f>
        <x:v>0</x:v>
      </x:c>
      <x:c r="E624">
        <x:f>IF(H624=1,MAX(-'幕间与结算'!E531,MIN(D624,IF(LEFT(C624,3)="技能：",99,IF(COUNTIF($L$2:$L$7,C624)&gt;0,18,999))-'幕间与结算'!E531)),0)</x:f>
        <x:v>0</x:v>
      </x:c>
      <x:c r="F624" t="str">
        <x:f>IF(C624=0,"",IF(G624=0,"记录不完整",IF(H624=0,"重复未计","已计入")))</x:f>
        <x:v/>
      </x:c>
      <x:c r="G624">
        <x:f>IF(AND(AND('幕间与结算'!A531&lt;&gt;"",'幕间与结算'!B531&lt;&gt;"",'幕间与结算'!I531&lt;&gt;"",OR(LEFT(C624,3)="技能：",COUNTIF($L$2:$L$19,C624)&gt;0),ISNUMBER('幕间与结算'!E531),ISNUMBER('幕间与结算'!F531),ISNUMBER('幕间与结算'!G531),'幕间与结算'!E531&gt;=0,'幕间与结算'!G531='幕间与结算'!E531+'幕间与结算'!F531),OR(B624&lt;&gt;"成长",AND(LEFT(C624,3)="技能：",C624&lt;&gt;"技能：非自然知识",'幕间与结算'!E531&gt;=1,'幕间与结算'!E531&lt;=99,'幕间与结算'!F531&gt;=0,'幕间与结算'!F531&lt;=4,'幕间与结算'!G531&lt;=99))),1,0)</x:f>
        <x:v>0</x:v>
      </x:c>
      <x:c r="H624">
        <x:f>IF(AND(G624=1,COUNTIFS($I$200:I624,I624,$G$200:G624,1)=1),1,0)</x:f>
        <x:v>0</x:v>
      </x:c>
      <x:c r="I624" t="str">
        <x:f>IF(G624=1,IF(B624="成长",A624&amp;"-成长-"&amp;C624,'幕间与结算'!I531),"")</x:f>
        <x:v/>
      </x:c>
      <x:c r="BF624">
        <x:f>MAX(0,MIN(18,BF623+IF(C624="力量",E624,0)))</x:f>
        <x:v>0</x:v>
      </x:c>
      <x:c r="BG624">
        <x:f>MAX(0,MIN(18,BG623+IF(C624="体质",E624,0)))</x:f>
        <x:v>0</x:v>
      </x:c>
      <x:c r="BH624">
        <x:f>MAX(0,MIN(18,BH623+IF(C624="敏捷",E624,0)))</x:f>
        <x:v>0</x:v>
      </x:c>
      <x:c r="BI624">
        <x:f>MAX(0,MIN(18,BI623+IF(C624="智力",E624,0)))</x:f>
        <x:v>0</x:v>
      </x:c>
      <x:c r="BJ624">
        <x:f>MAX(0,MIN(18,BJ623+IF(C624="意志",E624,0)))</x:f>
        <x:v>0</x:v>
      </x:c>
      <x:c r="BK624">
        <x:f>MAX(0,MIN(18,BK623+IF(C624="魅力",E624,0)))</x:f>
        <x:v>0</x:v>
      </x:c>
      <x:c r="BL624">
        <x:f>MAX(0,MIN(99,BL623+IF(C624="技能：非自然知识",E624,0)))</x:f>
        <x:v>0</x:v>
      </x:c>
      <x:c r="BM624">
        <x:f>MAX(0,MIN(CEILING((BF624+BG624)/2,1),BM623+IF(C624="体力",E624,0)))</x:f>
        <x:v>0</x:v>
      </x:c>
      <x:c r="BN624">
        <x:f>MAX(0,MIN(BJ624,BN623+IF(C624="毅力",E624,0)))</x:f>
        <x:v>0</x:v>
      </x:c>
      <x:c r="BO624">
        <x:f>MAX(0,MIN(99-BL624,BO623+IF(C624="理智",E624,0)))</x:f>
        <x:v>0</x:v>
      </x:c>
      <x:c r="BP624">
        <x:f>MAX(0,MIN(99,BP623+IF(C624="崩溃点",E624,0)))</x:f>
        <x:v>0</x:v>
      </x:c>
      <x:c r="BQ624">
        <x:f>MAX(0,MIN(BK624,IF(AND(H624=1,C624="重要关系1",LEFT('幕间与结算'!H531,8)="建立新的重要关系"),'幕间与结算'!E531+E624,BQ623+IF(C624="重要关系1",E624,0)+IF(AND(C624="魅力",E624&lt;0),E624,0))))</x:f>
        <x:v>0</x:v>
      </x:c>
      <x:c r="BR624">
        <x:f>MAX(0,MIN(BK624,IF(AND(H624=1,C624="重要关系2",LEFT('幕间与结算'!H531,8)="建立新的重要关系"),'幕间与结算'!E531+E624,BR623+IF(C624="重要关系2",E624,0)+IF(AND(C624="魅力",E624&lt;0),E624,0))))</x:f>
        <x:v>0</x:v>
      </x:c>
      <x:c r="BS624">
        <x:f>MAX(0,MIN(BK624,IF(AND(H624=1,C624="重要关系3",LEFT('幕间与结算'!H531,8)="建立新的重要关系"),'幕间与结算'!E531+E624,BS623+IF(C624="重要关系3",E624,0)+IF(AND(C624="魅力",E624&lt;0),E624,0))))</x:f>
        <x:v>0</x:v>
      </x:c>
      <x:c r="BT624">
        <x:f>MAX(0,MIN(BK624,IF(AND(H624=1,C624="重要关系4",LEFT('幕间与结算'!H531,8)="建立新的重要关系"),'幕间与结算'!E531+E624,BT623+IF(C624="重要关系4",E624,0)+IF(AND(C624="魅力",E624&lt;0),E624,0))))</x:f>
        <x:v>0</x:v>
      </x:c>
      <x:c r="BU624">
        <x:f>MAX(0,MIN(BK624,IF(AND(H624=1,C624="重要关系5",LEFT('幕间与结算'!H531,8)="建立新的重要关系"),'幕间与结算'!E531+E624,BU623+IF(C624="重要关系5",E624,0)+IF(AND(C624="魅力",E624&lt;0),E624,0))))</x:f>
        <x:v>0</x:v>
      </x:c>
      <x:c r="BV624">
        <x:f>MAX(0,MIN(BK624,IF(AND(H624=1,C624="重要关系6",LEFT('幕间与结算'!H531,8)="建立新的重要关系"),'幕间与结算'!E531+E624,BV623+IF(C624="重要关系6",E624,0)+IF(AND(C624="魅力",E624&lt;0),E624,0))))</x:f>
        <x:v>0</x:v>
      </x:c>
      <x:c r="BW624">
        <x:f>MAX(0,MIN(BK624,IF(AND(H624=1,C624="重要关系7",LEFT('幕间与结算'!H531,8)="建立新的重要关系"),'幕间与结算'!E531+E624,BW623+IF(C624="重要关系7",E624,0)+IF(AND(C624="魅力",E624&lt;0),E624,0))))</x:f>
        <x:v>0</x:v>
      </x:c>
    </x:row>
    <x:row r="625">
      <x:c r="A625" t="str">
        <x:f>IFERROR(TEXT(VALUE('幕间与结算'!A532),"00"),"")</x:f>
        <x:v>00</x:v>
      </x:c>
      <x:c r="B625">
        <x:f>'幕间与结算'!B532</x:f>
        <x:v>0</x:v>
      </x:c>
      <x:c r="C625">
        <x:f>'幕间与结算'!D532</x:f>
        <x:v>0</x:v>
      </x:c>
      <x:c r="D625">
        <x:f>'幕间与结算'!F532</x:f>
        <x:v>0</x:v>
      </x:c>
      <x:c r="E625">
        <x:f>IF(H625=1,MAX(-'幕间与结算'!E532,MIN(D625,IF(LEFT(C625,3)="技能：",99,IF(COUNTIF($L$2:$L$7,C625)&gt;0,18,999))-'幕间与结算'!E532)),0)</x:f>
        <x:v>0</x:v>
      </x:c>
      <x:c r="F625" t="str">
        <x:f>IF(C625=0,"",IF(G625=0,"记录不完整",IF(H625=0,"重复未计","已计入")))</x:f>
        <x:v/>
      </x:c>
      <x:c r="G625">
        <x:f>IF(AND(AND('幕间与结算'!A532&lt;&gt;"",'幕间与结算'!B532&lt;&gt;"",'幕间与结算'!I532&lt;&gt;"",OR(LEFT(C625,3)="技能：",COUNTIF($L$2:$L$19,C625)&gt;0),ISNUMBER('幕间与结算'!E532),ISNUMBER('幕间与结算'!F532),ISNUMBER('幕间与结算'!G532),'幕间与结算'!E532&gt;=0,'幕间与结算'!G532='幕间与结算'!E532+'幕间与结算'!F532),OR(B625&lt;&gt;"成长",AND(LEFT(C625,3)="技能：",C625&lt;&gt;"技能：非自然知识",'幕间与结算'!E532&gt;=1,'幕间与结算'!E532&lt;=99,'幕间与结算'!F532&gt;=0,'幕间与结算'!F532&lt;=4,'幕间与结算'!G532&lt;=99))),1,0)</x:f>
        <x:v>0</x:v>
      </x:c>
      <x:c r="H625">
        <x:f>IF(AND(G625=1,COUNTIFS($I$200:I625,I625,$G$200:G625,1)=1),1,0)</x:f>
        <x:v>0</x:v>
      </x:c>
      <x:c r="I625" t="str">
        <x:f>IF(G625=1,IF(B625="成长",A625&amp;"-成长-"&amp;C625,'幕间与结算'!I532),"")</x:f>
        <x:v/>
      </x:c>
      <x:c r="BF625">
        <x:f>MAX(0,MIN(18,BF624+IF(C625="力量",E625,0)))</x:f>
        <x:v>0</x:v>
      </x:c>
      <x:c r="BG625">
        <x:f>MAX(0,MIN(18,BG624+IF(C625="体质",E625,0)))</x:f>
        <x:v>0</x:v>
      </x:c>
      <x:c r="BH625">
        <x:f>MAX(0,MIN(18,BH624+IF(C625="敏捷",E625,0)))</x:f>
        <x:v>0</x:v>
      </x:c>
      <x:c r="BI625">
        <x:f>MAX(0,MIN(18,BI624+IF(C625="智力",E625,0)))</x:f>
        <x:v>0</x:v>
      </x:c>
      <x:c r="BJ625">
        <x:f>MAX(0,MIN(18,BJ624+IF(C625="意志",E625,0)))</x:f>
        <x:v>0</x:v>
      </x:c>
      <x:c r="BK625">
        <x:f>MAX(0,MIN(18,BK624+IF(C625="魅力",E625,0)))</x:f>
        <x:v>0</x:v>
      </x:c>
      <x:c r="BL625">
        <x:f>MAX(0,MIN(99,BL624+IF(C625="技能：非自然知识",E625,0)))</x:f>
        <x:v>0</x:v>
      </x:c>
      <x:c r="BM625">
        <x:f>MAX(0,MIN(CEILING((BF625+BG625)/2,1),BM624+IF(C625="体力",E625,0)))</x:f>
        <x:v>0</x:v>
      </x:c>
      <x:c r="BN625">
        <x:f>MAX(0,MIN(BJ625,BN624+IF(C625="毅力",E625,0)))</x:f>
        <x:v>0</x:v>
      </x:c>
      <x:c r="BO625">
        <x:f>MAX(0,MIN(99-BL625,BO624+IF(C625="理智",E625,0)))</x:f>
        <x:v>0</x:v>
      </x:c>
      <x:c r="BP625">
        <x:f>MAX(0,MIN(99,BP624+IF(C625="崩溃点",E625,0)))</x:f>
        <x:v>0</x:v>
      </x:c>
      <x:c r="BQ625">
        <x:f>MAX(0,MIN(BK625,IF(AND(H625=1,C625="重要关系1",LEFT('幕间与结算'!H532,8)="建立新的重要关系"),'幕间与结算'!E532+E625,BQ624+IF(C625="重要关系1",E625,0)+IF(AND(C625="魅力",E625&lt;0),E625,0))))</x:f>
        <x:v>0</x:v>
      </x:c>
      <x:c r="BR625">
        <x:f>MAX(0,MIN(BK625,IF(AND(H625=1,C625="重要关系2",LEFT('幕间与结算'!H532,8)="建立新的重要关系"),'幕间与结算'!E532+E625,BR624+IF(C625="重要关系2",E625,0)+IF(AND(C625="魅力",E625&lt;0),E625,0))))</x:f>
        <x:v>0</x:v>
      </x:c>
      <x:c r="BS625">
        <x:f>MAX(0,MIN(BK625,IF(AND(H625=1,C625="重要关系3",LEFT('幕间与结算'!H532,8)="建立新的重要关系"),'幕间与结算'!E532+E625,BS624+IF(C625="重要关系3",E625,0)+IF(AND(C625="魅力",E625&lt;0),E625,0))))</x:f>
        <x:v>0</x:v>
      </x:c>
      <x:c r="BT625">
        <x:f>MAX(0,MIN(BK625,IF(AND(H625=1,C625="重要关系4",LEFT('幕间与结算'!H532,8)="建立新的重要关系"),'幕间与结算'!E532+E625,BT624+IF(C625="重要关系4",E625,0)+IF(AND(C625="魅力",E625&lt;0),E625,0))))</x:f>
        <x:v>0</x:v>
      </x:c>
      <x:c r="BU625">
        <x:f>MAX(0,MIN(BK625,IF(AND(H625=1,C625="重要关系5",LEFT('幕间与结算'!H532,8)="建立新的重要关系"),'幕间与结算'!E532+E625,BU624+IF(C625="重要关系5",E625,0)+IF(AND(C625="魅力",E625&lt;0),E625,0))))</x:f>
        <x:v>0</x:v>
      </x:c>
      <x:c r="BV625">
        <x:f>MAX(0,MIN(BK625,IF(AND(H625=1,C625="重要关系6",LEFT('幕间与结算'!H532,8)="建立新的重要关系"),'幕间与结算'!E532+E625,BV624+IF(C625="重要关系6",E625,0)+IF(AND(C625="魅力",E625&lt;0),E625,0))))</x:f>
        <x:v>0</x:v>
      </x:c>
      <x:c r="BW625">
        <x:f>MAX(0,MIN(BK625,IF(AND(H625=1,C625="重要关系7",LEFT('幕间与结算'!H532,8)="建立新的重要关系"),'幕间与结算'!E532+E625,BW624+IF(C625="重要关系7",E625,0)+IF(AND(C625="魅力",E625&lt;0),E625,0))))</x:f>
        <x:v>0</x:v>
      </x:c>
    </x:row>
    <x:row r="626">
      <x:c r="A626" t="str">
        <x:f>IFERROR(TEXT(VALUE('幕间与结算'!A533),"00"),"")</x:f>
        <x:v>00</x:v>
      </x:c>
      <x:c r="B626">
        <x:f>'幕间与结算'!B533</x:f>
        <x:v>0</x:v>
      </x:c>
      <x:c r="C626">
        <x:f>'幕间与结算'!D533</x:f>
        <x:v>0</x:v>
      </x:c>
      <x:c r="D626">
        <x:f>'幕间与结算'!F533</x:f>
        <x:v>0</x:v>
      </x:c>
      <x:c r="E626">
        <x:f>IF(H626=1,MAX(-'幕间与结算'!E533,MIN(D626,IF(LEFT(C626,3)="技能：",99,IF(COUNTIF($L$2:$L$7,C626)&gt;0,18,999))-'幕间与结算'!E533)),0)</x:f>
        <x:v>0</x:v>
      </x:c>
      <x:c r="F626" t="str">
        <x:f>IF(C626=0,"",IF(G626=0,"记录不完整",IF(H626=0,"重复未计","已计入")))</x:f>
        <x:v/>
      </x:c>
      <x:c r="G626">
        <x:f>IF(AND(AND('幕间与结算'!A533&lt;&gt;"",'幕间与结算'!B533&lt;&gt;"",'幕间与结算'!I533&lt;&gt;"",OR(LEFT(C626,3)="技能：",COUNTIF($L$2:$L$19,C626)&gt;0),ISNUMBER('幕间与结算'!E533),ISNUMBER('幕间与结算'!F533),ISNUMBER('幕间与结算'!G533),'幕间与结算'!E533&gt;=0,'幕间与结算'!G533='幕间与结算'!E533+'幕间与结算'!F533),OR(B626&lt;&gt;"成长",AND(LEFT(C626,3)="技能：",C626&lt;&gt;"技能：非自然知识",'幕间与结算'!E533&gt;=1,'幕间与结算'!E533&lt;=99,'幕间与结算'!F533&gt;=0,'幕间与结算'!F533&lt;=4,'幕间与结算'!G533&lt;=99))),1,0)</x:f>
        <x:v>0</x:v>
      </x:c>
      <x:c r="H626">
        <x:f>IF(AND(G626=1,COUNTIFS($I$200:I626,I626,$G$200:G626,1)=1),1,0)</x:f>
        <x:v>0</x:v>
      </x:c>
      <x:c r="I626" t="str">
        <x:f>IF(G626=1,IF(B626="成长",A626&amp;"-成长-"&amp;C626,'幕间与结算'!I533),"")</x:f>
        <x:v/>
      </x:c>
      <x:c r="BF626">
        <x:f>MAX(0,MIN(18,BF625+IF(C626="力量",E626,0)))</x:f>
        <x:v>0</x:v>
      </x:c>
      <x:c r="BG626">
        <x:f>MAX(0,MIN(18,BG625+IF(C626="体质",E626,0)))</x:f>
        <x:v>0</x:v>
      </x:c>
      <x:c r="BH626">
        <x:f>MAX(0,MIN(18,BH625+IF(C626="敏捷",E626,0)))</x:f>
        <x:v>0</x:v>
      </x:c>
      <x:c r="BI626">
        <x:f>MAX(0,MIN(18,BI625+IF(C626="智力",E626,0)))</x:f>
        <x:v>0</x:v>
      </x:c>
      <x:c r="BJ626">
        <x:f>MAX(0,MIN(18,BJ625+IF(C626="意志",E626,0)))</x:f>
        <x:v>0</x:v>
      </x:c>
      <x:c r="BK626">
        <x:f>MAX(0,MIN(18,BK625+IF(C626="魅力",E626,0)))</x:f>
        <x:v>0</x:v>
      </x:c>
      <x:c r="BL626">
        <x:f>MAX(0,MIN(99,BL625+IF(C626="技能：非自然知识",E626,0)))</x:f>
        <x:v>0</x:v>
      </x:c>
      <x:c r="BM626">
        <x:f>MAX(0,MIN(CEILING((BF626+BG626)/2,1),BM625+IF(C626="体力",E626,0)))</x:f>
        <x:v>0</x:v>
      </x:c>
      <x:c r="BN626">
        <x:f>MAX(0,MIN(BJ626,BN625+IF(C626="毅力",E626,0)))</x:f>
        <x:v>0</x:v>
      </x:c>
      <x:c r="BO626">
        <x:f>MAX(0,MIN(99-BL626,BO625+IF(C626="理智",E626,0)))</x:f>
        <x:v>0</x:v>
      </x:c>
      <x:c r="BP626">
        <x:f>MAX(0,MIN(99,BP625+IF(C626="崩溃点",E626,0)))</x:f>
        <x:v>0</x:v>
      </x:c>
      <x:c r="BQ626">
        <x:f>MAX(0,MIN(BK626,IF(AND(H626=1,C626="重要关系1",LEFT('幕间与结算'!H533,8)="建立新的重要关系"),'幕间与结算'!E533+E626,BQ625+IF(C626="重要关系1",E626,0)+IF(AND(C626="魅力",E626&lt;0),E626,0))))</x:f>
        <x:v>0</x:v>
      </x:c>
      <x:c r="BR626">
        <x:f>MAX(0,MIN(BK626,IF(AND(H626=1,C626="重要关系2",LEFT('幕间与结算'!H533,8)="建立新的重要关系"),'幕间与结算'!E533+E626,BR625+IF(C626="重要关系2",E626,0)+IF(AND(C626="魅力",E626&lt;0),E626,0))))</x:f>
        <x:v>0</x:v>
      </x:c>
      <x:c r="BS626">
        <x:f>MAX(0,MIN(BK626,IF(AND(H626=1,C626="重要关系3",LEFT('幕间与结算'!H533,8)="建立新的重要关系"),'幕间与结算'!E533+E626,BS625+IF(C626="重要关系3",E626,0)+IF(AND(C626="魅力",E626&lt;0),E626,0))))</x:f>
        <x:v>0</x:v>
      </x:c>
      <x:c r="BT626">
        <x:f>MAX(0,MIN(BK626,IF(AND(H626=1,C626="重要关系4",LEFT('幕间与结算'!H533,8)="建立新的重要关系"),'幕间与结算'!E533+E626,BT625+IF(C626="重要关系4",E626,0)+IF(AND(C626="魅力",E626&lt;0),E626,0))))</x:f>
        <x:v>0</x:v>
      </x:c>
      <x:c r="BU626">
        <x:f>MAX(0,MIN(BK626,IF(AND(H626=1,C626="重要关系5",LEFT('幕间与结算'!H533,8)="建立新的重要关系"),'幕间与结算'!E533+E626,BU625+IF(C626="重要关系5",E626,0)+IF(AND(C626="魅力",E626&lt;0),E626,0))))</x:f>
        <x:v>0</x:v>
      </x:c>
      <x:c r="BV626">
        <x:f>MAX(0,MIN(BK626,IF(AND(H626=1,C626="重要关系6",LEFT('幕间与结算'!H533,8)="建立新的重要关系"),'幕间与结算'!E533+E626,BV625+IF(C626="重要关系6",E626,0)+IF(AND(C626="魅力",E626&lt;0),E626,0))))</x:f>
        <x:v>0</x:v>
      </x:c>
      <x:c r="BW626">
        <x:f>MAX(0,MIN(BK626,IF(AND(H626=1,C626="重要关系7",LEFT('幕间与结算'!H533,8)="建立新的重要关系"),'幕间与结算'!E533+E626,BW625+IF(C626="重要关系7",E626,0)+IF(AND(C626="魅力",E626&lt;0),E626,0))))</x:f>
        <x:v>0</x:v>
      </x:c>
    </x:row>
    <x:row r="627">
      <x:c r="A627" t="str">
        <x:f>IFERROR(TEXT(VALUE('幕间与结算'!A534),"00"),"")</x:f>
        <x:v>00</x:v>
      </x:c>
      <x:c r="B627">
        <x:f>'幕间与结算'!B534</x:f>
        <x:v>0</x:v>
      </x:c>
      <x:c r="C627">
        <x:f>'幕间与结算'!D534</x:f>
        <x:v>0</x:v>
      </x:c>
      <x:c r="D627">
        <x:f>'幕间与结算'!F534</x:f>
        <x:v>0</x:v>
      </x:c>
      <x:c r="E627">
        <x:f>IF(H627=1,MAX(-'幕间与结算'!E534,MIN(D627,IF(LEFT(C627,3)="技能：",99,IF(COUNTIF($L$2:$L$7,C627)&gt;0,18,999))-'幕间与结算'!E534)),0)</x:f>
        <x:v>0</x:v>
      </x:c>
      <x:c r="F627" t="str">
        <x:f>IF(C627=0,"",IF(G627=0,"记录不完整",IF(H627=0,"重复未计","已计入")))</x:f>
        <x:v/>
      </x:c>
      <x:c r="G627">
        <x:f>IF(AND(AND('幕间与结算'!A534&lt;&gt;"",'幕间与结算'!B534&lt;&gt;"",'幕间与结算'!I534&lt;&gt;"",OR(LEFT(C627,3)="技能：",COUNTIF($L$2:$L$19,C627)&gt;0),ISNUMBER('幕间与结算'!E534),ISNUMBER('幕间与结算'!F534),ISNUMBER('幕间与结算'!G534),'幕间与结算'!E534&gt;=0,'幕间与结算'!G534='幕间与结算'!E534+'幕间与结算'!F534),OR(B627&lt;&gt;"成长",AND(LEFT(C627,3)="技能：",C627&lt;&gt;"技能：非自然知识",'幕间与结算'!E534&gt;=1,'幕间与结算'!E534&lt;=99,'幕间与结算'!F534&gt;=0,'幕间与结算'!F534&lt;=4,'幕间与结算'!G534&lt;=99))),1,0)</x:f>
        <x:v>0</x:v>
      </x:c>
      <x:c r="H627">
        <x:f>IF(AND(G627=1,COUNTIFS($I$200:I627,I627,$G$200:G627,1)=1),1,0)</x:f>
        <x:v>0</x:v>
      </x:c>
      <x:c r="I627" t="str">
        <x:f>IF(G627=1,IF(B627="成长",A627&amp;"-成长-"&amp;C627,'幕间与结算'!I534),"")</x:f>
        <x:v/>
      </x:c>
      <x:c r="BF627">
        <x:f>MAX(0,MIN(18,BF626+IF(C627="力量",E627,0)))</x:f>
        <x:v>0</x:v>
      </x:c>
      <x:c r="BG627">
        <x:f>MAX(0,MIN(18,BG626+IF(C627="体质",E627,0)))</x:f>
        <x:v>0</x:v>
      </x:c>
      <x:c r="BH627">
        <x:f>MAX(0,MIN(18,BH626+IF(C627="敏捷",E627,0)))</x:f>
        <x:v>0</x:v>
      </x:c>
      <x:c r="BI627">
        <x:f>MAX(0,MIN(18,BI626+IF(C627="智力",E627,0)))</x:f>
        <x:v>0</x:v>
      </x:c>
      <x:c r="BJ627">
        <x:f>MAX(0,MIN(18,BJ626+IF(C627="意志",E627,0)))</x:f>
        <x:v>0</x:v>
      </x:c>
      <x:c r="BK627">
        <x:f>MAX(0,MIN(18,BK626+IF(C627="魅力",E627,0)))</x:f>
        <x:v>0</x:v>
      </x:c>
      <x:c r="BL627">
        <x:f>MAX(0,MIN(99,BL626+IF(C627="技能：非自然知识",E627,0)))</x:f>
        <x:v>0</x:v>
      </x:c>
      <x:c r="BM627">
        <x:f>MAX(0,MIN(CEILING((BF627+BG627)/2,1),BM626+IF(C627="体力",E627,0)))</x:f>
        <x:v>0</x:v>
      </x:c>
      <x:c r="BN627">
        <x:f>MAX(0,MIN(BJ627,BN626+IF(C627="毅力",E627,0)))</x:f>
        <x:v>0</x:v>
      </x:c>
      <x:c r="BO627">
        <x:f>MAX(0,MIN(99-BL627,BO626+IF(C627="理智",E627,0)))</x:f>
        <x:v>0</x:v>
      </x:c>
      <x:c r="BP627">
        <x:f>MAX(0,MIN(99,BP626+IF(C627="崩溃点",E627,0)))</x:f>
        <x:v>0</x:v>
      </x:c>
      <x:c r="BQ627">
        <x:f>MAX(0,MIN(BK627,IF(AND(H627=1,C627="重要关系1",LEFT('幕间与结算'!H534,8)="建立新的重要关系"),'幕间与结算'!E534+E627,BQ626+IF(C627="重要关系1",E627,0)+IF(AND(C627="魅力",E627&lt;0),E627,0))))</x:f>
        <x:v>0</x:v>
      </x:c>
      <x:c r="BR627">
        <x:f>MAX(0,MIN(BK627,IF(AND(H627=1,C627="重要关系2",LEFT('幕间与结算'!H534,8)="建立新的重要关系"),'幕间与结算'!E534+E627,BR626+IF(C627="重要关系2",E627,0)+IF(AND(C627="魅力",E627&lt;0),E627,0))))</x:f>
        <x:v>0</x:v>
      </x:c>
      <x:c r="BS627">
        <x:f>MAX(0,MIN(BK627,IF(AND(H627=1,C627="重要关系3",LEFT('幕间与结算'!H534,8)="建立新的重要关系"),'幕间与结算'!E534+E627,BS626+IF(C627="重要关系3",E627,0)+IF(AND(C627="魅力",E627&lt;0),E627,0))))</x:f>
        <x:v>0</x:v>
      </x:c>
      <x:c r="BT627">
        <x:f>MAX(0,MIN(BK627,IF(AND(H627=1,C627="重要关系4",LEFT('幕间与结算'!H534,8)="建立新的重要关系"),'幕间与结算'!E534+E627,BT626+IF(C627="重要关系4",E627,0)+IF(AND(C627="魅力",E627&lt;0),E627,0))))</x:f>
        <x:v>0</x:v>
      </x:c>
      <x:c r="BU627">
        <x:f>MAX(0,MIN(BK627,IF(AND(H627=1,C627="重要关系5",LEFT('幕间与结算'!H534,8)="建立新的重要关系"),'幕间与结算'!E534+E627,BU626+IF(C627="重要关系5",E627,0)+IF(AND(C627="魅力",E627&lt;0),E627,0))))</x:f>
        <x:v>0</x:v>
      </x:c>
      <x:c r="BV627">
        <x:f>MAX(0,MIN(BK627,IF(AND(H627=1,C627="重要关系6",LEFT('幕间与结算'!H534,8)="建立新的重要关系"),'幕间与结算'!E534+E627,BV626+IF(C627="重要关系6",E627,0)+IF(AND(C627="魅力",E627&lt;0),E627,0))))</x:f>
        <x:v>0</x:v>
      </x:c>
      <x:c r="BW627">
        <x:f>MAX(0,MIN(BK627,IF(AND(H627=1,C627="重要关系7",LEFT('幕间与结算'!H534,8)="建立新的重要关系"),'幕间与结算'!E534+E627,BW626+IF(C627="重要关系7",E627,0)+IF(AND(C627="魅力",E627&lt;0),E627,0))))</x:f>
        <x:v>0</x:v>
      </x:c>
    </x:row>
    <x:row r="628">
      <x:c r="A628" t="str">
        <x:f>IFERROR(TEXT(VALUE('幕间与结算'!A535),"00"),"")</x:f>
        <x:v>00</x:v>
      </x:c>
      <x:c r="B628">
        <x:f>'幕间与结算'!B535</x:f>
        <x:v>0</x:v>
      </x:c>
      <x:c r="C628">
        <x:f>'幕间与结算'!D535</x:f>
        <x:v>0</x:v>
      </x:c>
      <x:c r="D628">
        <x:f>'幕间与结算'!F535</x:f>
        <x:v>0</x:v>
      </x:c>
      <x:c r="E628">
        <x:f>IF(H628=1,MAX(-'幕间与结算'!E535,MIN(D628,IF(LEFT(C628,3)="技能：",99,IF(COUNTIF($L$2:$L$7,C628)&gt;0,18,999))-'幕间与结算'!E535)),0)</x:f>
        <x:v>0</x:v>
      </x:c>
      <x:c r="F628" t="str">
        <x:f>IF(C628=0,"",IF(G628=0,"记录不完整",IF(H628=0,"重复未计","已计入")))</x:f>
        <x:v/>
      </x:c>
      <x:c r="G628">
        <x:f>IF(AND(AND('幕间与结算'!A535&lt;&gt;"",'幕间与结算'!B535&lt;&gt;"",'幕间与结算'!I535&lt;&gt;"",OR(LEFT(C628,3)="技能：",COUNTIF($L$2:$L$19,C628)&gt;0),ISNUMBER('幕间与结算'!E535),ISNUMBER('幕间与结算'!F535),ISNUMBER('幕间与结算'!G535),'幕间与结算'!E535&gt;=0,'幕间与结算'!G535='幕间与结算'!E535+'幕间与结算'!F535),OR(B628&lt;&gt;"成长",AND(LEFT(C628,3)="技能：",C628&lt;&gt;"技能：非自然知识",'幕间与结算'!E535&gt;=1,'幕间与结算'!E535&lt;=99,'幕间与结算'!F535&gt;=0,'幕间与结算'!F535&lt;=4,'幕间与结算'!G535&lt;=99))),1,0)</x:f>
        <x:v>0</x:v>
      </x:c>
      <x:c r="H628">
        <x:f>IF(AND(G628=1,COUNTIFS($I$200:I628,I628,$G$200:G628,1)=1),1,0)</x:f>
        <x:v>0</x:v>
      </x:c>
      <x:c r="I628" t="str">
        <x:f>IF(G628=1,IF(B628="成长",A628&amp;"-成长-"&amp;C628,'幕间与结算'!I535),"")</x:f>
        <x:v/>
      </x:c>
      <x:c r="BF628">
        <x:f>MAX(0,MIN(18,BF627+IF(C628="力量",E628,0)))</x:f>
        <x:v>0</x:v>
      </x:c>
      <x:c r="BG628">
        <x:f>MAX(0,MIN(18,BG627+IF(C628="体质",E628,0)))</x:f>
        <x:v>0</x:v>
      </x:c>
      <x:c r="BH628">
        <x:f>MAX(0,MIN(18,BH627+IF(C628="敏捷",E628,0)))</x:f>
        <x:v>0</x:v>
      </x:c>
      <x:c r="BI628">
        <x:f>MAX(0,MIN(18,BI627+IF(C628="智力",E628,0)))</x:f>
        <x:v>0</x:v>
      </x:c>
      <x:c r="BJ628">
        <x:f>MAX(0,MIN(18,BJ627+IF(C628="意志",E628,0)))</x:f>
        <x:v>0</x:v>
      </x:c>
      <x:c r="BK628">
        <x:f>MAX(0,MIN(18,BK627+IF(C628="魅力",E628,0)))</x:f>
        <x:v>0</x:v>
      </x:c>
      <x:c r="BL628">
        <x:f>MAX(0,MIN(99,BL627+IF(C628="技能：非自然知识",E628,0)))</x:f>
        <x:v>0</x:v>
      </x:c>
      <x:c r="BM628">
        <x:f>MAX(0,MIN(CEILING((BF628+BG628)/2,1),BM627+IF(C628="体力",E628,0)))</x:f>
        <x:v>0</x:v>
      </x:c>
      <x:c r="BN628">
        <x:f>MAX(0,MIN(BJ628,BN627+IF(C628="毅力",E628,0)))</x:f>
        <x:v>0</x:v>
      </x:c>
      <x:c r="BO628">
        <x:f>MAX(0,MIN(99-BL628,BO627+IF(C628="理智",E628,0)))</x:f>
        <x:v>0</x:v>
      </x:c>
      <x:c r="BP628">
        <x:f>MAX(0,MIN(99,BP627+IF(C628="崩溃点",E628,0)))</x:f>
        <x:v>0</x:v>
      </x:c>
      <x:c r="BQ628">
        <x:f>MAX(0,MIN(BK628,IF(AND(H628=1,C628="重要关系1",LEFT('幕间与结算'!H535,8)="建立新的重要关系"),'幕间与结算'!E535+E628,BQ627+IF(C628="重要关系1",E628,0)+IF(AND(C628="魅力",E628&lt;0),E628,0))))</x:f>
        <x:v>0</x:v>
      </x:c>
      <x:c r="BR628">
        <x:f>MAX(0,MIN(BK628,IF(AND(H628=1,C628="重要关系2",LEFT('幕间与结算'!H535,8)="建立新的重要关系"),'幕间与结算'!E535+E628,BR627+IF(C628="重要关系2",E628,0)+IF(AND(C628="魅力",E628&lt;0),E628,0))))</x:f>
        <x:v>0</x:v>
      </x:c>
      <x:c r="BS628">
        <x:f>MAX(0,MIN(BK628,IF(AND(H628=1,C628="重要关系3",LEFT('幕间与结算'!H535,8)="建立新的重要关系"),'幕间与结算'!E535+E628,BS627+IF(C628="重要关系3",E628,0)+IF(AND(C628="魅力",E628&lt;0),E628,0))))</x:f>
        <x:v>0</x:v>
      </x:c>
      <x:c r="BT628">
        <x:f>MAX(0,MIN(BK628,IF(AND(H628=1,C628="重要关系4",LEFT('幕间与结算'!H535,8)="建立新的重要关系"),'幕间与结算'!E535+E628,BT627+IF(C628="重要关系4",E628,0)+IF(AND(C628="魅力",E628&lt;0),E628,0))))</x:f>
        <x:v>0</x:v>
      </x:c>
      <x:c r="BU628">
        <x:f>MAX(0,MIN(BK628,IF(AND(H628=1,C628="重要关系5",LEFT('幕间与结算'!H535,8)="建立新的重要关系"),'幕间与结算'!E535+E628,BU627+IF(C628="重要关系5",E628,0)+IF(AND(C628="魅力",E628&lt;0),E628,0))))</x:f>
        <x:v>0</x:v>
      </x:c>
      <x:c r="BV628">
        <x:f>MAX(0,MIN(BK628,IF(AND(H628=1,C628="重要关系6",LEFT('幕间与结算'!H535,8)="建立新的重要关系"),'幕间与结算'!E535+E628,BV627+IF(C628="重要关系6",E628,0)+IF(AND(C628="魅力",E628&lt;0),E628,0))))</x:f>
        <x:v>0</x:v>
      </x:c>
      <x:c r="BW628">
        <x:f>MAX(0,MIN(BK628,IF(AND(H628=1,C628="重要关系7",LEFT('幕间与结算'!H535,8)="建立新的重要关系"),'幕间与结算'!E535+E628,BW627+IF(C628="重要关系7",E628,0)+IF(AND(C628="魅力",E628&lt;0),E628,0))))</x:f>
        <x:v>0</x:v>
      </x:c>
    </x:row>
    <x:row r="629">
      <x:c r="A629" t="str">
        <x:f>IFERROR(TEXT(VALUE('幕间与结算'!A536),"00"),"")</x:f>
        <x:v>00</x:v>
      </x:c>
      <x:c r="B629">
        <x:f>'幕间与结算'!B536</x:f>
        <x:v>0</x:v>
      </x:c>
      <x:c r="C629">
        <x:f>'幕间与结算'!D536</x:f>
        <x:v>0</x:v>
      </x:c>
      <x:c r="D629">
        <x:f>'幕间与结算'!F536</x:f>
        <x:v>0</x:v>
      </x:c>
      <x:c r="E629">
        <x:f>IF(H629=1,MAX(-'幕间与结算'!E536,MIN(D629,IF(LEFT(C629,3)="技能：",99,IF(COUNTIF($L$2:$L$7,C629)&gt;0,18,999))-'幕间与结算'!E536)),0)</x:f>
        <x:v>0</x:v>
      </x:c>
      <x:c r="F629" t="str">
        <x:f>IF(C629=0,"",IF(G629=0,"记录不完整",IF(H629=0,"重复未计","已计入")))</x:f>
        <x:v/>
      </x:c>
      <x:c r="G629">
        <x:f>IF(AND(AND('幕间与结算'!A536&lt;&gt;"",'幕间与结算'!B536&lt;&gt;"",'幕间与结算'!I536&lt;&gt;"",OR(LEFT(C629,3)="技能：",COUNTIF($L$2:$L$19,C629)&gt;0),ISNUMBER('幕间与结算'!E536),ISNUMBER('幕间与结算'!F536),ISNUMBER('幕间与结算'!G536),'幕间与结算'!E536&gt;=0,'幕间与结算'!G536='幕间与结算'!E536+'幕间与结算'!F536),OR(B629&lt;&gt;"成长",AND(LEFT(C629,3)="技能：",C629&lt;&gt;"技能：非自然知识",'幕间与结算'!E536&gt;=1,'幕间与结算'!E536&lt;=99,'幕间与结算'!F536&gt;=0,'幕间与结算'!F536&lt;=4,'幕间与结算'!G536&lt;=99))),1,0)</x:f>
        <x:v>0</x:v>
      </x:c>
      <x:c r="H629">
        <x:f>IF(AND(G629=1,COUNTIFS($I$200:I629,I629,$G$200:G629,1)=1),1,0)</x:f>
        <x:v>0</x:v>
      </x:c>
      <x:c r="I629" t="str">
        <x:f>IF(G629=1,IF(B629="成长",A629&amp;"-成长-"&amp;C629,'幕间与结算'!I536),"")</x:f>
        <x:v/>
      </x:c>
      <x:c r="BF629">
        <x:f>MAX(0,MIN(18,BF628+IF(C629="力量",E629,0)))</x:f>
        <x:v>0</x:v>
      </x:c>
      <x:c r="BG629">
        <x:f>MAX(0,MIN(18,BG628+IF(C629="体质",E629,0)))</x:f>
        <x:v>0</x:v>
      </x:c>
      <x:c r="BH629">
        <x:f>MAX(0,MIN(18,BH628+IF(C629="敏捷",E629,0)))</x:f>
        <x:v>0</x:v>
      </x:c>
      <x:c r="BI629">
        <x:f>MAX(0,MIN(18,BI628+IF(C629="智力",E629,0)))</x:f>
        <x:v>0</x:v>
      </x:c>
      <x:c r="BJ629">
        <x:f>MAX(0,MIN(18,BJ628+IF(C629="意志",E629,0)))</x:f>
        <x:v>0</x:v>
      </x:c>
      <x:c r="BK629">
        <x:f>MAX(0,MIN(18,BK628+IF(C629="魅力",E629,0)))</x:f>
        <x:v>0</x:v>
      </x:c>
      <x:c r="BL629">
        <x:f>MAX(0,MIN(99,BL628+IF(C629="技能：非自然知识",E629,0)))</x:f>
        <x:v>0</x:v>
      </x:c>
      <x:c r="BM629">
        <x:f>MAX(0,MIN(CEILING((BF629+BG629)/2,1),BM628+IF(C629="体力",E629,0)))</x:f>
        <x:v>0</x:v>
      </x:c>
      <x:c r="BN629">
        <x:f>MAX(0,MIN(BJ629,BN628+IF(C629="毅力",E629,0)))</x:f>
        <x:v>0</x:v>
      </x:c>
      <x:c r="BO629">
        <x:f>MAX(0,MIN(99-BL629,BO628+IF(C629="理智",E629,0)))</x:f>
        <x:v>0</x:v>
      </x:c>
      <x:c r="BP629">
        <x:f>MAX(0,MIN(99,BP628+IF(C629="崩溃点",E629,0)))</x:f>
        <x:v>0</x:v>
      </x:c>
      <x:c r="BQ629">
        <x:f>MAX(0,MIN(BK629,IF(AND(H629=1,C629="重要关系1",LEFT('幕间与结算'!H536,8)="建立新的重要关系"),'幕间与结算'!E536+E629,BQ628+IF(C629="重要关系1",E629,0)+IF(AND(C629="魅力",E629&lt;0),E629,0))))</x:f>
        <x:v>0</x:v>
      </x:c>
      <x:c r="BR629">
        <x:f>MAX(0,MIN(BK629,IF(AND(H629=1,C629="重要关系2",LEFT('幕间与结算'!H536,8)="建立新的重要关系"),'幕间与结算'!E536+E629,BR628+IF(C629="重要关系2",E629,0)+IF(AND(C629="魅力",E629&lt;0),E629,0))))</x:f>
        <x:v>0</x:v>
      </x:c>
      <x:c r="BS629">
        <x:f>MAX(0,MIN(BK629,IF(AND(H629=1,C629="重要关系3",LEFT('幕间与结算'!H536,8)="建立新的重要关系"),'幕间与结算'!E536+E629,BS628+IF(C629="重要关系3",E629,0)+IF(AND(C629="魅力",E629&lt;0),E629,0))))</x:f>
        <x:v>0</x:v>
      </x:c>
      <x:c r="BT629">
        <x:f>MAX(0,MIN(BK629,IF(AND(H629=1,C629="重要关系4",LEFT('幕间与结算'!H536,8)="建立新的重要关系"),'幕间与结算'!E536+E629,BT628+IF(C629="重要关系4",E629,0)+IF(AND(C629="魅力",E629&lt;0),E629,0))))</x:f>
        <x:v>0</x:v>
      </x:c>
      <x:c r="BU629">
        <x:f>MAX(0,MIN(BK629,IF(AND(H629=1,C629="重要关系5",LEFT('幕间与结算'!H536,8)="建立新的重要关系"),'幕间与结算'!E536+E629,BU628+IF(C629="重要关系5",E629,0)+IF(AND(C629="魅力",E629&lt;0),E629,0))))</x:f>
        <x:v>0</x:v>
      </x:c>
      <x:c r="BV629">
        <x:f>MAX(0,MIN(BK629,IF(AND(H629=1,C629="重要关系6",LEFT('幕间与结算'!H536,8)="建立新的重要关系"),'幕间与结算'!E536+E629,BV628+IF(C629="重要关系6",E629,0)+IF(AND(C629="魅力",E629&lt;0),E629,0))))</x:f>
        <x:v>0</x:v>
      </x:c>
      <x:c r="BW629">
        <x:f>MAX(0,MIN(BK629,IF(AND(H629=1,C629="重要关系7",LEFT('幕间与结算'!H536,8)="建立新的重要关系"),'幕间与结算'!E536+E629,BW628+IF(C629="重要关系7",E629,0)+IF(AND(C629="魅力",E629&lt;0),E629,0))))</x:f>
        <x:v>0</x:v>
      </x:c>
    </x:row>
    <x:row r="630">
      <x:c r="A630" t="str">
        <x:f>IFERROR(TEXT(VALUE('幕间与结算'!A537),"00"),"")</x:f>
        <x:v>00</x:v>
      </x:c>
      <x:c r="B630">
        <x:f>'幕间与结算'!B537</x:f>
        <x:v>0</x:v>
      </x:c>
      <x:c r="C630">
        <x:f>'幕间与结算'!D537</x:f>
        <x:v>0</x:v>
      </x:c>
      <x:c r="D630">
        <x:f>'幕间与结算'!F537</x:f>
        <x:v>0</x:v>
      </x:c>
      <x:c r="E630">
        <x:f>IF(H630=1,MAX(-'幕间与结算'!E537,MIN(D630,IF(LEFT(C630,3)="技能：",99,IF(COUNTIF($L$2:$L$7,C630)&gt;0,18,999))-'幕间与结算'!E537)),0)</x:f>
        <x:v>0</x:v>
      </x:c>
      <x:c r="F630" t="str">
        <x:f>IF(C630=0,"",IF(G630=0,"记录不完整",IF(H630=0,"重复未计","已计入")))</x:f>
        <x:v/>
      </x:c>
      <x:c r="G630">
        <x:f>IF(AND(AND('幕间与结算'!A537&lt;&gt;"",'幕间与结算'!B537&lt;&gt;"",'幕间与结算'!I537&lt;&gt;"",OR(LEFT(C630,3)="技能：",COUNTIF($L$2:$L$19,C630)&gt;0),ISNUMBER('幕间与结算'!E537),ISNUMBER('幕间与结算'!F537),ISNUMBER('幕间与结算'!G537),'幕间与结算'!E537&gt;=0,'幕间与结算'!G537='幕间与结算'!E537+'幕间与结算'!F537),OR(B630&lt;&gt;"成长",AND(LEFT(C630,3)="技能：",C630&lt;&gt;"技能：非自然知识",'幕间与结算'!E537&gt;=1,'幕间与结算'!E537&lt;=99,'幕间与结算'!F537&gt;=0,'幕间与结算'!F537&lt;=4,'幕间与结算'!G537&lt;=99))),1,0)</x:f>
        <x:v>0</x:v>
      </x:c>
      <x:c r="H630">
        <x:f>IF(AND(G630=1,COUNTIFS($I$200:I630,I630,$G$200:G630,1)=1),1,0)</x:f>
        <x:v>0</x:v>
      </x:c>
      <x:c r="I630" t="str">
        <x:f>IF(G630=1,IF(B630="成长",A630&amp;"-成长-"&amp;C630,'幕间与结算'!I537),"")</x:f>
        <x:v/>
      </x:c>
      <x:c r="BF630">
        <x:f>MAX(0,MIN(18,BF629+IF(C630="力量",E630,0)))</x:f>
        <x:v>0</x:v>
      </x:c>
      <x:c r="BG630">
        <x:f>MAX(0,MIN(18,BG629+IF(C630="体质",E630,0)))</x:f>
        <x:v>0</x:v>
      </x:c>
      <x:c r="BH630">
        <x:f>MAX(0,MIN(18,BH629+IF(C630="敏捷",E630,0)))</x:f>
        <x:v>0</x:v>
      </x:c>
      <x:c r="BI630">
        <x:f>MAX(0,MIN(18,BI629+IF(C630="智力",E630,0)))</x:f>
        <x:v>0</x:v>
      </x:c>
      <x:c r="BJ630">
        <x:f>MAX(0,MIN(18,BJ629+IF(C630="意志",E630,0)))</x:f>
        <x:v>0</x:v>
      </x:c>
      <x:c r="BK630">
        <x:f>MAX(0,MIN(18,BK629+IF(C630="魅力",E630,0)))</x:f>
        <x:v>0</x:v>
      </x:c>
      <x:c r="BL630">
        <x:f>MAX(0,MIN(99,BL629+IF(C630="技能：非自然知识",E630,0)))</x:f>
        <x:v>0</x:v>
      </x:c>
      <x:c r="BM630">
        <x:f>MAX(0,MIN(CEILING((BF630+BG630)/2,1),BM629+IF(C630="体力",E630,0)))</x:f>
        <x:v>0</x:v>
      </x:c>
      <x:c r="BN630">
        <x:f>MAX(0,MIN(BJ630,BN629+IF(C630="毅力",E630,0)))</x:f>
        <x:v>0</x:v>
      </x:c>
      <x:c r="BO630">
        <x:f>MAX(0,MIN(99-BL630,BO629+IF(C630="理智",E630,0)))</x:f>
        <x:v>0</x:v>
      </x:c>
      <x:c r="BP630">
        <x:f>MAX(0,MIN(99,BP629+IF(C630="崩溃点",E630,0)))</x:f>
        <x:v>0</x:v>
      </x:c>
      <x:c r="BQ630">
        <x:f>MAX(0,MIN(BK630,IF(AND(H630=1,C630="重要关系1",LEFT('幕间与结算'!H537,8)="建立新的重要关系"),'幕间与结算'!E537+E630,BQ629+IF(C630="重要关系1",E630,0)+IF(AND(C630="魅力",E630&lt;0),E630,0))))</x:f>
        <x:v>0</x:v>
      </x:c>
      <x:c r="BR630">
        <x:f>MAX(0,MIN(BK630,IF(AND(H630=1,C630="重要关系2",LEFT('幕间与结算'!H537,8)="建立新的重要关系"),'幕间与结算'!E537+E630,BR629+IF(C630="重要关系2",E630,0)+IF(AND(C630="魅力",E630&lt;0),E630,0))))</x:f>
        <x:v>0</x:v>
      </x:c>
      <x:c r="BS630">
        <x:f>MAX(0,MIN(BK630,IF(AND(H630=1,C630="重要关系3",LEFT('幕间与结算'!H537,8)="建立新的重要关系"),'幕间与结算'!E537+E630,BS629+IF(C630="重要关系3",E630,0)+IF(AND(C630="魅力",E630&lt;0),E630,0))))</x:f>
        <x:v>0</x:v>
      </x:c>
      <x:c r="BT630">
        <x:f>MAX(0,MIN(BK630,IF(AND(H630=1,C630="重要关系4",LEFT('幕间与结算'!H537,8)="建立新的重要关系"),'幕间与结算'!E537+E630,BT629+IF(C630="重要关系4",E630,0)+IF(AND(C630="魅力",E630&lt;0),E630,0))))</x:f>
        <x:v>0</x:v>
      </x:c>
      <x:c r="BU630">
        <x:f>MAX(0,MIN(BK630,IF(AND(H630=1,C630="重要关系5",LEFT('幕间与结算'!H537,8)="建立新的重要关系"),'幕间与结算'!E537+E630,BU629+IF(C630="重要关系5",E630,0)+IF(AND(C630="魅力",E630&lt;0),E630,0))))</x:f>
        <x:v>0</x:v>
      </x:c>
      <x:c r="BV630">
        <x:f>MAX(0,MIN(BK630,IF(AND(H630=1,C630="重要关系6",LEFT('幕间与结算'!H537,8)="建立新的重要关系"),'幕间与结算'!E537+E630,BV629+IF(C630="重要关系6",E630,0)+IF(AND(C630="魅力",E630&lt;0),E630,0))))</x:f>
        <x:v>0</x:v>
      </x:c>
      <x:c r="BW630">
        <x:f>MAX(0,MIN(BK630,IF(AND(H630=1,C630="重要关系7",LEFT('幕间与结算'!H537,8)="建立新的重要关系"),'幕间与结算'!E537+E630,BW629+IF(C630="重要关系7",E630,0)+IF(AND(C630="魅力",E630&lt;0),E630,0))))</x:f>
        <x:v>0</x:v>
      </x:c>
    </x:row>
    <x:row r="631">
      <x:c r="A631" t="str">
        <x:f>IFERROR(TEXT(VALUE('幕间与结算'!A538),"00"),"")</x:f>
        <x:v>00</x:v>
      </x:c>
      <x:c r="B631">
        <x:f>'幕间与结算'!B538</x:f>
        <x:v>0</x:v>
      </x:c>
      <x:c r="C631">
        <x:f>'幕间与结算'!D538</x:f>
        <x:v>0</x:v>
      </x:c>
      <x:c r="D631">
        <x:f>'幕间与结算'!F538</x:f>
        <x:v>0</x:v>
      </x:c>
      <x:c r="E631">
        <x:f>IF(H631=1,MAX(-'幕间与结算'!E538,MIN(D631,IF(LEFT(C631,3)="技能：",99,IF(COUNTIF($L$2:$L$7,C631)&gt;0,18,999))-'幕间与结算'!E538)),0)</x:f>
        <x:v>0</x:v>
      </x:c>
      <x:c r="F631" t="str">
        <x:f>IF(C631=0,"",IF(G631=0,"记录不完整",IF(H631=0,"重复未计","已计入")))</x:f>
        <x:v/>
      </x:c>
      <x:c r="G631">
        <x:f>IF(AND(AND('幕间与结算'!A538&lt;&gt;"",'幕间与结算'!B538&lt;&gt;"",'幕间与结算'!I538&lt;&gt;"",OR(LEFT(C631,3)="技能：",COUNTIF($L$2:$L$19,C631)&gt;0),ISNUMBER('幕间与结算'!E538),ISNUMBER('幕间与结算'!F538),ISNUMBER('幕间与结算'!G538),'幕间与结算'!E538&gt;=0,'幕间与结算'!G538='幕间与结算'!E538+'幕间与结算'!F538),OR(B631&lt;&gt;"成长",AND(LEFT(C631,3)="技能：",C631&lt;&gt;"技能：非自然知识",'幕间与结算'!E538&gt;=1,'幕间与结算'!E538&lt;=99,'幕间与结算'!F538&gt;=0,'幕间与结算'!F538&lt;=4,'幕间与结算'!G538&lt;=99))),1,0)</x:f>
        <x:v>0</x:v>
      </x:c>
      <x:c r="H631">
        <x:f>IF(AND(G631=1,COUNTIFS($I$200:I631,I631,$G$200:G631,1)=1),1,0)</x:f>
        <x:v>0</x:v>
      </x:c>
      <x:c r="I631" t="str">
        <x:f>IF(G631=1,IF(B631="成长",A631&amp;"-成长-"&amp;C631,'幕间与结算'!I538),"")</x:f>
        <x:v/>
      </x:c>
      <x:c r="BF631">
        <x:f>MAX(0,MIN(18,BF630+IF(C631="力量",E631,0)))</x:f>
        <x:v>0</x:v>
      </x:c>
      <x:c r="BG631">
        <x:f>MAX(0,MIN(18,BG630+IF(C631="体质",E631,0)))</x:f>
        <x:v>0</x:v>
      </x:c>
      <x:c r="BH631">
        <x:f>MAX(0,MIN(18,BH630+IF(C631="敏捷",E631,0)))</x:f>
        <x:v>0</x:v>
      </x:c>
      <x:c r="BI631">
        <x:f>MAX(0,MIN(18,BI630+IF(C631="智力",E631,0)))</x:f>
        <x:v>0</x:v>
      </x:c>
      <x:c r="BJ631">
        <x:f>MAX(0,MIN(18,BJ630+IF(C631="意志",E631,0)))</x:f>
        <x:v>0</x:v>
      </x:c>
      <x:c r="BK631">
        <x:f>MAX(0,MIN(18,BK630+IF(C631="魅力",E631,0)))</x:f>
        <x:v>0</x:v>
      </x:c>
      <x:c r="BL631">
        <x:f>MAX(0,MIN(99,BL630+IF(C631="技能：非自然知识",E631,0)))</x:f>
        <x:v>0</x:v>
      </x:c>
      <x:c r="BM631">
        <x:f>MAX(0,MIN(CEILING((BF631+BG631)/2,1),BM630+IF(C631="体力",E631,0)))</x:f>
        <x:v>0</x:v>
      </x:c>
      <x:c r="BN631">
        <x:f>MAX(0,MIN(BJ631,BN630+IF(C631="毅力",E631,0)))</x:f>
        <x:v>0</x:v>
      </x:c>
      <x:c r="BO631">
        <x:f>MAX(0,MIN(99-BL631,BO630+IF(C631="理智",E631,0)))</x:f>
        <x:v>0</x:v>
      </x:c>
      <x:c r="BP631">
        <x:f>MAX(0,MIN(99,BP630+IF(C631="崩溃点",E631,0)))</x:f>
        <x:v>0</x:v>
      </x:c>
      <x:c r="BQ631">
        <x:f>MAX(0,MIN(BK631,IF(AND(H631=1,C631="重要关系1",LEFT('幕间与结算'!H538,8)="建立新的重要关系"),'幕间与结算'!E538+E631,BQ630+IF(C631="重要关系1",E631,0)+IF(AND(C631="魅力",E631&lt;0),E631,0))))</x:f>
        <x:v>0</x:v>
      </x:c>
      <x:c r="BR631">
        <x:f>MAX(0,MIN(BK631,IF(AND(H631=1,C631="重要关系2",LEFT('幕间与结算'!H538,8)="建立新的重要关系"),'幕间与结算'!E538+E631,BR630+IF(C631="重要关系2",E631,0)+IF(AND(C631="魅力",E631&lt;0),E631,0))))</x:f>
        <x:v>0</x:v>
      </x:c>
      <x:c r="BS631">
        <x:f>MAX(0,MIN(BK631,IF(AND(H631=1,C631="重要关系3",LEFT('幕间与结算'!H538,8)="建立新的重要关系"),'幕间与结算'!E538+E631,BS630+IF(C631="重要关系3",E631,0)+IF(AND(C631="魅力",E631&lt;0),E631,0))))</x:f>
        <x:v>0</x:v>
      </x:c>
      <x:c r="BT631">
        <x:f>MAX(0,MIN(BK631,IF(AND(H631=1,C631="重要关系4",LEFT('幕间与结算'!H538,8)="建立新的重要关系"),'幕间与结算'!E538+E631,BT630+IF(C631="重要关系4",E631,0)+IF(AND(C631="魅力",E631&lt;0),E631,0))))</x:f>
        <x:v>0</x:v>
      </x:c>
      <x:c r="BU631">
        <x:f>MAX(0,MIN(BK631,IF(AND(H631=1,C631="重要关系5",LEFT('幕间与结算'!H538,8)="建立新的重要关系"),'幕间与结算'!E538+E631,BU630+IF(C631="重要关系5",E631,0)+IF(AND(C631="魅力",E631&lt;0),E631,0))))</x:f>
        <x:v>0</x:v>
      </x:c>
      <x:c r="BV631">
        <x:f>MAX(0,MIN(BK631,IF(AND(H631=1,C631="重要关系6",LEFT('幕间与结算'!H538,8)="建立新的重要关系"),'幕间与结算'!E538+E631,BV630+IF(C631="重要关系6",E631,0)+IF(AND(C631="魅力",E631&lt;0),E631,0))))</x:f>
        <x:v>0</x:v>
      </x:c>
      <x:c r="BW631">
        <x:f>MAX(0,MIN(BK631,IF(AND(H631=1,C631="重要关系7",LEFT('幕间与结算'!H538,8)="建立新的重要关系"),'幕间与结算'!E538+E631,BW630+IF(C631="重要关系7",E631,0)+IF(AND(C631="魅力",E631&lt;0),E631,0))))</x:f>
        <x:v>0</x:v>
      </x:c>
    </x:row>
    <x:row r="632">
      <x:c r="A632" t="str">
        <x:f>IFERROR(TEXT(VALUE('幕间与结算'!A539),"00"),"")</x:f>
        <x:v>00</x:v>
      </x:c>
      <x:c r="B632">
        <x:f>'幕间与结算'!B539</x:f>
        <x:v>0</x:v>
      </x:c>
      <x:c r="C632">
        <x:f>'幕间与结算'!D539</x:f>
        <x:v>0</x:v>
      </x:c>
      <x:c r="D632">
        <x:f>'幕间与结算'!F539</x:f>
        <x:v>0</x:v>
      </x:c>
      <x:c r="E632">
        <x:f>IF(H632=1,MAX(-'幕间与结算'!E539,MIN(D632,IF(LEFT(C632,3)="技能：",99,IF(COUNTIF($L$2:$L$7,C632)&gt;0,18,999))-'幕间与结算'!E539)),0)</x:f>
        <x:v>0</x:v>
      </x:c>
      <x:c r="F632" t="str">
        <x:f>IF(C632=0,"",IF(G632=0,"记录不完整",IF(H632=0,"重复未计","已计入")))</x:f>
        <x:v/>
      </x:c>
      <x:c r="G632">
        <x:f>IF(AND(AND('幕间与结算'!A539&lt;&gt;"",'幕间与结算'!B539&lt;&gt;"",'幕间与结算'!I539&lt;&gt;"",OR(LEFT(C632,3)="技能：",COUNTIF($L$2:$L$19,C632)&gt;0),ISNUMBER('幕间与结算'!E539),ISNUMBER('幕间与结算'!F539),ISNUMBER('幕间与结算'!G539),'幕间与结算'!E539&gt;=0,'幕间与结算'!G539='幕间与结算'!E539+'幕间与结算'!F539),OR(B632&lt;&gt;"成长",AND(LEFT(C632,3)="技能：",C632&lt;&gt;"技能：非自然知识",'幕间与结算'!E539&gt;=1,'幕间与结算'!E539&lt;=99,'幕间与结算'!F539&gt;=0,'幕间与结算'!F539&lt;=4,'幕间与结算'!G539&lt;=99))),1,0)</x:f>
        <x:v>0</x:v>
      </x:c>
      <x:c r="H632">
        <x:f>IF(AND(G632=1,COUNTIFS($I$200:I632,I632,$G$200:G632,1)=1),1,0)</x:f>
        <x:v>0</x:v>
      </x:c>
      <x:c r="I632" t="str">
        <x:f>IF(G632=1,IF(B632="成长",A632&amp;"-成长-"&amp;C632,'幕间与结算'!I539),"")</x:f>
        <x:v/>
      </x:c>
      <x:c r="BF632">
        <x:f>MAX(0,MIN(18,BF631+IF(C632="力量",E632,0)))</x:f>
        <x:v>0</x:v>
      </x:c>
      <x:c r="BG632">
        <x:f>MAX(0,MIN(18,BG631+IF(C632="体质",E632,0)))</x:f>
        <x:v>0</x:v>
      </x:c>
      <x:c r="BH632">
        <x:f>MAX(0,MIN(18,BH631+IF(C632="敏捷",E632,0)))</x:f>
        <x:v>0</x:v>
      </x:c>
      <x:c r="BI632">
        <x:f>MAX(0,MIN(18,BI631+IF(C632="智力",E632,0)))</x:f>
        <x:v>0</x:v>
      </x:c>
      <x:c r="BJ632">
        <x:f>MAX(0,MIN(18,BJ631+IF(C632="意志",E632,0)))</x:f>
        <x:v>0</x:v>
      </x:c>
      <x:c r="BK632">
        <x:f>MAX(0,MIN(18,BK631+IF(C632="魅力",E632,0)))</x:f>
        <x:v>0</x:v>
      </x:c>
      <x:c r="BL632">
        <x:f>MAX(0,MIN(99,BL631+IF(C632="技能：非自然知识",E632,0)))</x:f>
        <x:v>0</x:v>
      </x:c>
      <x:c r="BM632">
        <x:f>MAX(0,MIN(CEILING((BF632+BG632)/2,1),BM631+IF(C632="体力",E632,0)))</x:f>
        <x:v>0</x:v>
      </x:c>
      <x:c r="BN632">
        <x:f>MAX(0,MIN(BJ632,BN631+IF(C632="毅力",E632,0)))</x:f>
        <x:v>0</x:v>
      </x:c>
      <x:c r="BO632">
        <x:f>MAX(0,MIN(99-BL632,BO631+IF(C632="理智",E632,0)))</x:f>
        <x:v>0</x:v>
      </x:c>
      <x:c r="BP632">
        <x:f>MAX(0,MIN(99,BP631+IF(C632="崩溃点",E632,0)))</x:f>
        <x:v>0</x:v>
      </x:c>
      <x:c r="BQ632">
        <x:f>MAX(0,MIN(BK632,IF(AND(H632=1,C632="重要关系1",LEFT('幕间与结算'!H539,8)="建立新的重要关系"),'幕间与结算'!E539+E632,BQ631+IF(C632="重要关系1",E632,0)+IF(AND(C632="魅力",E632&lt;0),E632,0))))</x:f>
        <x:v>0</x:v>
      </x:c>
      <x:c r="BR632">
        <x:f>MAX(0,MIN(BK632,IF(AND(H632=1,C632="重要关系2",LEFT('幕间与结算'!H539,8)="建立新的重要关系"),'幕间与结算'!E539+E632,BR631+IF(C632="重要关系2",E632,0)+IF(AND(C632="魅力",E632&lt;0),E632,0))))</x:f>
        <x:v>0</x:v>
      </x:c>
      <x:c r="BS632">
        <x:f>MAX(0,MIN(BK632,IF(AND(H632=1,C632="重要关系3",LEFT('幕间与结算'!H539,8)="建立新的重要关系"),'幕间与结算'!E539+E632,BS631+IF(C632="重要关系3",E632,0)+IF(AND(C632="魅力",E632&lt;0),E632,0))))</x:f>
        <x:v>0</x:v>
      </x:c>
      <x:c r="BT632">
        <x:f>MAX(0,MIN(BK632,IF(AND(H632=1,C632="重要关系4",LEFT('幕间与结算'!H539,8)="建立新的重要关系"),'幕间与结算'!E539+E632,BT631+IF(C632="重要关系4",E632,0)+IF(AND(C632="魅力",E632&lt;0),E632,0))))</x:f>
        <x:v>0</x:v>
      </x:c>
      <x:c r="BU632">
        <x:f>MAX(0,MIN(BK632,IF(AND(H632=1,C632="重要关系5",LEFT('幕间与结算'!H539,8)="建立新的重要关系"),'幕间与结算'!E539+E632,BU631+IF(C632="重要关系5",E632,0)+IF(AND(C632="魅力",E632&lt;0),E632,0))))</x:f>
        <x:v>0</x:v>
      </x:c>
      <x:c r="BV632">
        <x:f>MAX(0,MIN(BK632,IF(AND(H632=1,C632="重要关系6",LEFT('幕间与结算'!H539,8)="建立新的重要关系"),'幕间与结算'!E539+E632,BV631+IF(C632="重要关系6",E632,0)+IF(AND(C632="魅力",E632&lt;0),E632,0))))</x:f>
        <x:v>0</x:v>
      </x:c>
      <x:c r="BW632">
        <x:f>MAX(0,MIN(BK632,IF(AND(H632=1,C632="重要关系7",LEFT('幕间与结算'!H539,8)="建立新的重要关系"),'幕间与结算'!E539+E632,BW631+IF(C632="重要关系7",E632,0)+IF(AND(C632="魅力",E632&lt;0),E632,0))))</x:f>
        <x:v>0</x:v>
      </x:c>
    </x:row>
    <x:row r="633">
      <x:c r="A633" t="str">
        <x:f>IFERROR(TEXT(VALUE('幕间与结算'!A540),"00"),"")</x:f>
        <x:v>00</x:v>
      </x:c>
      <x:c r="B633">
        <x:f>'幕间与结算'!B540</x:f>
        <x:v>0</x:v>
      </x:c>
      <x:c r="C633">
        <x:f>'幕间与结算'!D540</x:f>
        <x:v>0</x:v>
      </x:c>
      <x:c r="D633">
        <x:f>'幕间与结算'!F540</x:f>
        <x:v>0</x:v>
      </x:c>
      <x:c r="E633">
        <x:f>IF(H633=1,MAX(-'幕间与结算'!E540,MIN(D633,IF(LEFT(C633,3)="技能：",99,IF(COUNTIF($L$2:$L$7,C633)&gt;0,18,999))-'幕间与结算'!E540)),0)</x:f>
        <x:v>0</x:v>
      </x:c>
      <x:c r="F633" t="str">
        <x:f>IF(C633=0,"",IF(G633=0,"记录不完整",IF(H633=0,"重复未计","已计入")))</x:f>
        <x:v/>
      </x:c>
      <x:c r="G633">
        <x:f>IF(AND(AND('幕间与结算'!A540&lt;&gt;"",'幕间与结算'!B540&lt;&gt;"",'幕间与结算'!I540&lt;&gt;"",OR(LEFT(C633,3)="技能：",COUNTIF($L$2:$L$19,C633)&gt;0),ISNUMBER('幕间与结算'!E540),ISNUMBER('幕间与结算'!F540),ISNUMBER('幕间与结算'!G540),'幕间与结算'!E540&gt;=0,'幕间与结算'!G540='幕间与结算'!E540+'幕间与结算'!F540),OR(B633&lt;&gt;"成长",AND(LEFT(C633,3)="技能：",C633&lt;&gt;"技能：非自然知识",'幕间与结算'!E540&gt;=1,'幕间与结算'!E540&lt;=99,'幕间与结算'!F540&gt;=0,'幕间与结算'!F540&lt;=4,'幕间与结算'!G540&lt;=99))),1,0)</x:f>
        <x:v>0</x:v>
      </x:c>
      <x:c r="H633">
        <x:f>IF(AND(G633=1,COUNTIFS($I$200:I633,I633,$G$200:G633,1)=1),1,0)</x:f>
        <x:v>0</x:v>
      </x:c>
      <x:c r="I633" t="str">
        <x:f>IF(G633=1,IF(B633="成长",A633&amp;"-成长-"&amp;C633,'幕间与结算'!I540),"")</x:f>
        <x:v/>
      </x:c>
      <x:c r="BF633">
        <x:f>MAX(0,MIN(18,BF632+IF(C633="力量",E633,0)))</x:f>
        <x:v>0</x:v>
      </x:c>
      <x:c r="BG633">
        <x:f>MAX(0,MIN(18,BG632+IF(C633="体质",E633,0)))</x:f>
        <x:v>0</x:v>
      </x:c>
      <x:c r="BH633">
        <x:f>MAX(0,MIN(18,BH632+IF(C633="敏捷",E633,0)))</x:f>
        <x:v>0</x:v>
      </x:c>
      <x:c r="BI633">
        <x:f>MAX(0,MIN(18,BI632+IF(C633="智力",E633,0)))</x:f>
        <x:v>0</x:v>
      </x:c>
      <x:c r="BJ633">
        <x:f>MAX(0,MIN(18,BJ632+IF(C633="意志",E633,0)))</x:f>
        <x:v>0</x:v>
      </x:c>
      <x:c r="BK633">
        <x:f>MAX(0,MIN(18,BK632+IF(C633="魅力",E633,0)))</x:f>
        <x:v>0</x:v>
      </x:c>
      <x:c r="BL633">
        <x:f>MAX(0,MIN(99,BL632+IF(C633="技能：非自然知识",E633,0)))</x:f>
        <x:v>0</x:v>
      </x:c>
      <x:c r="BM633">
        <x:f>MAX(0,MIN(CEILING((BF633+BG633)/2,1),BM632+IF(C633="体力",E633,0)))</x:f>
        <x:v>0</x:v>
      </x:c>
      <x:c r="BN633">
        <x:f>MAX(0,MIN(BJ633,BN632+IF(C633="毅力",E633,0)))</x:f>
        <x:v>0</x:v>
      </x:c>
      <x:c r="BO633">
        <x:f>MAX(0,MIN(99-BL633,BO632+IF(C633="理智",E633,0)))</x:f>
        <x:v>0</x:v>
      </x:c>
      <x:c r="BP633">
        <x:f>MAX(0,MIN(99,BP632+IF(C633="崩溃点",E633,0)))</x:f>
        <x:v>0</x:v>
      </x:c>
      <x:c r="BQ633">
        <x:f>MAX(0,MIN(BK633,IF(AND(H633=1,C633="重要关系1",LEFT('幕间与结算'!H540,8)="建立新的重要关系"),'幕间与结算'!E540+E633,BQ632+IF(C633="重要关系1",E633,0)+IF(AND(C633="魅力",E633&lt;0),E633,0))))</x:f>
        <x:v>0</x:v>
      </x:c>
      <x:c r="BR633">
        <x:f>MAX(0,MIN(BK633,IF(AND(H633=1,C633="重要关系2",LEFT('幕间与结算'!H540,8)="建立新的重要关系"),'幕间与结算'!E540+E633,BR632+IF(C633="重要关系2",E633,0)+IF(AND(C633="魅力",E633&lt;0),E633,0))))</x:f>
        <x:v>0</x:v>
      </x:c>
      <x:c r="BS633">
        <x:f>MAX(0,MIN(BK633,IF(AND(H633=1,C633="重要关系3",LEFT('幕间与结算'!H540,8)="建立新的重要关系"),'幕间与结算'!E540+E633,BS632+IF(C633="重要关系3",E633,0)+IF(AND(C633="魅力",E633&lt;0),E633,0))))</x:f>
        <x:v>0</x:v>
      </x:c>
      <x:c r="BT633">
        <x:f>MAX(0,MIN(BK633,IF(AND(H633=1,C633="重要关系4",LEFT('幕间与结算'!H540,8)="建立新的重要关系"),'幕间与结算'!E540+E633,BT632+IF(C633="重要关系4",E633,0)+IF(AND(C633="魅力",E633&lt;0),E633,0))))</x:f>
        <x:v>0</x:v>
      </x:c>
      <x:c r="BU633">
        <x:f>MAX(0,MIN(BK633,IF(AND(H633=1,C633="重要关系5",LEFT('幕间与结算'!H540,8)="建立新的重要关系"),'幕间与结算'!E540+E633,BU632+IF(C633="重要关系5",E633,0)+IF(AND(C633="魅力",E633&lt;0),E633,0))))</x:f>
        <x:v>0</x:v>
      </x:c>
      <x:c r="BV633">
        <x:f>MAX(0,MIN(BK633,IF(AND(H633=1,C633="重要关系6",LEFT('幕间与结算'!H540,8)="建立新的重要关系"),'幕间与结算'!E540+E633,BV632+IF(C633="重要关系6",E633,0)+IF(AND(C633="魅力",E633&lt;0),E633,0))))</x:f>
        <x:v>0</x:v>
      </x:c>
      <x:c r="BW633">
        <x:f>MAX(0,MIN(BK633,IF(AND(H633=1,C633="重要关系7",LEFT('幕间与结算'!H540,8)="建立新的重要关系"),'幕间与结算'!E540+E633,BW632+IF(C633="重要关系7",E633,0)+IF(AND(C633="魅力",E633&lt;0),E633,0))))</x:f>
        <x:v>0</x:v>
      </x:c>
    </x:row>
    <x:row r="634">
      <x:c r="A634" t="str">
        <x:f>IFERROR(TEXT(VALUE('幕间与结算'!A541),"00"),"")</x:f>
        <x:v>00</x:v>
      </x:c>
      <x:c r="B634">
        <x:f>'幕间与结算'!B541</x:f>
        <x:v>0</x:v>
      </x:c>
      <x:c r="C634">
        <x:f>'幕间与结算'!D541</x:f>
        <x:v>0</x:v>
      </x:c>
      <x:c r="D634">
        <x:f>'幕间与结算'!F541</x:f>
        <x:v>0</x:v>
      </x:c>
      <x:c r="E634">
        <x:f>IF(H634=1,MAX(-'幕间与结算'!E541,MIN(D634,IF(LEFT(C634,3)="技能：",99,IF(COUNTIF($L$2:$L$7,C634)&gt;0,18,999))-'幕间与结算'!E541)),0)</x:f>
        <x:v>0</x:v>
      </x:c>
      <x:c r="F634" t="str">
        <x:f>IF(C634=0,"",IF(G634=0,"记录不完整",IF(H634=0,"重复未计","已计入")))</x:f>
        <x:v/>
      </x:c>
      <x:c r="G634">
        <x:f>IF(AND(AND('幕间与结算'!A541&lt;&gt;"",'幕间与结算'!B541&lt;&gt;"",'幕间与结算'!I541&lt;&gt;"",OR(LEFT(C634,3)="技能：",COUNTIF($L$2:$L$19,C634)&gt;0),ISNUMBER('幕间与结算'!E541),ISNUMBER('幕间与结算'!F541),ISNUMBER('幕间与结算'!G541),'幕间与结算'!E541&gt;=0,'幕间与结算'!G541='幕间与结算'!E541+'幕间与结算'!F541),OR(B634&lt;&gt;"成长",AND(LEFT(C634,3)="技能：",C634&lt;&gt;"技能：非自然知识",'幕间与结算'!E541&gt;=1,'幕间与结算'!E541&lt;=99,'幕间与结算'!F541&gt;=0,'幕间与结算'!F541&lt;=4,'幕间与结算'!G541&lt;=99))),1,0)</x:f>
        <x:v>0</x:v>
      </x:c>
      <x:c r="H634">
        <x:f>IF(AND(G634=1,COUNTIFS($I$200:I634,I634,$G$200:G634,1)=1),1,0)</x:f>
        <x:v>0</x:v>
      </x:c>
      <x:c r="I634" t="str">
        <x:f>IF(G634=1,IF(B634="成长",A634&amp;"-成长-"&amp;C634,'幕间与结算'!I541),"")</x:f>
        <x:v/>
      </x:c>
      <x:c r="BF634">
        <x:f>MAX(0,MIN(18,BF633+IF(C634="力量",E634,0)))</x:f>
        <x:v>0</x:v>
      </x:c>
      <x:c r="BG634">
        <x:f>MAX(0,MIN(18,BG633+IF(C634="体质",E634,0)))</x:f>
        <x:v>0</x:v>
      </x:c>
      <x:c r="BH634">
        <x:f>MAX(0,MIN(18,BH633+IF(C634="敏捷",E634,0)))</x:f>
        <x:v>0</x:v>
      </x:c>
      <x:c r="BI634">
        <x:f>MAX(0,MIN(18,BI633+IF(C634="智力",E634,0)))</x:f>
        <x:v>0</x:v>
      </x:c>
      <x:c r="BJ634">
        <x:f>MAX(0,MIN(18,BJ633+IF(C634="意志",E634,0)))</x:f>
        <x:v>0</x:v>
      </x:c>
      <x:c r="BK634">
        <x:f>MAX(0,MIN(18,BK633+IF(C634="魅力",E634,0)))</x:f>
        <x:v>0</x:v>
      </x:c>
      <x:c r="BL634">
        <x:f>MAX(0,MIN(99,BL633+IF(C634="技能：非自然知识",E634,0)))</x:f>
        <x:v>0</x:v>
      </x:c>
      <x:c r="BM634">
        <x:f>MAX(0,MIN(CEILING((BF634+BG634)/2,1),BM633+IF(C634="体力",E634,0)))</x:f>
        <x:v>0</x:v>
      </x:c>
      <x:c r="BN634">
        <x:f>MAX(0,MIN(BJ634,BN633+IF(C634="毅力",E634,0)))</x:f>
        <x:v>0</x:v>
      </x:c>
      <x:c r="BO634">
        <x:f>MAX(0,MIN(99-BL634,BO633+IF(C634="理智",E634,0)))</x:f>
        <x:v>0</x:v>
      </x:c>
      <x:c r="BP634">
        <x:f>MAX(0,MIN(99,BP633+IF(C634="崩溃点",E634,0)))</x:f>
        <x:v>0</x:v>
      </x:c>
      <x:c r="BQ634">
        <x:f>MAX(0,MIN(BK634,IF(AND(H634=1,C634="重要关系1",LEFT('幕间与结算'!H541,8)="建立新的重要关系"),'幕间与结算'!E541+E634,BQ633+IF(C634="重要关系1",E634,0)+IF(AND(C634="魅力",E634&lt;0),E634,0))))</x:f>
        <x:v>0</x:v>
      </x:c>
      <x:c r="BR634">
        <x:f>MAX(0,MIN(BK634,IF(AND(H634=1,C634="重要关系2",LEFT('幕间与结算'!H541,8)="建立新的重要关系"),'幕间与结算'!E541+E634,BR633+IF(C634="重要关系2",E634,0)+IF(AND(C634="魅力",E634&lt;0),E634,0))))</x:f>
        <x:v>0</x:v>
      </x:c>
      <x:c r="BS634">
        <x:f>MAX(0,MIN(BK634,IF(AND(H634=1,C634="重要关系3",LEFT('幕间与结算'!H541,8)="建立新的重要关系"),'幕间与结算'!E541+E634,BS633+IF(C634="重要关系3",E634,0)+IF(AND(C634="魅力",E634&lt;0),E634,0))))</x:f>
        <x:v>0</x:v>
      </x:c>
      <x:c r="BT634">
        <x:f>MAX(0,MIN(BK634,IF(AND(H634=1,C634="重要关系4",LEFT('幕间与结算'!H541,8)="建立新的重要关系"),'幕间与结算'!E541+E634,BT633+IF(C634="重要关系4",E634,0)+IF(AND(C634="魅力",E634&lt;0),E634,0))))</x:f>
        <x:v>0</x:v>
      </x:c>
      <x:c r="BU634">
        <x:f>MAX(0,MIN(BK634,IF(AND(H634=1,C634="重要关系5",LEFT('幕间与结算'!H541,8)="建立新的重要关系"),'幕间与结算'!E541+E634,BU633+IF(C634="重要关系5",E634,0)+IF(AND(C634="魅力",E634&lt;0),E634,0))))</x:f>
        <x:v>0</x:v>
      </x:c>
      <x:c r="BV634">
        <x:f>MAX(0,MIN(BK634,IF(AND(H634=1,C634="重要关系6",LEFT('幕间与结算'!H541,8)="建立新的重要关系"),'幕间与结算'!E541+E634,BV633+IF(C634="重要关系6",E634,0)+IF(AND(C634="魅力",E634&lt;0),E634,0))))</x:f>
        <x:v>0</x:v>
      </x:c>
      <x:c r="BW634">
        <x:f>MAX(0,MIN(BK634,IF(AND(H634=1,C634="重要关系7",LEFT('幕间与结算'!H541,8)="建立新的重要关系"),'幕间与结算'!E541+E634,BW633+IF(C634="重要关系7",E634,0)+IF(AND(C634="魅力",E634&lt;0),E634,0))))</x:f>
        <x:v>0</x:v>
      </x:c>
    </x:row>
    <x:row r="635">
      <x:c r="A635" t="str">
        <x:f>IFERROR(TEXT(VALUE('幕间与结算'!A542),"00"),"")</x:f>
        <x:v>00</x:v>
      </x:c>
      <x:c r="B635">
        <x:f>'幕间与结算'!B542</x:f>
        <x:v>0</x:v>
      </x:c>
      <x:c r="C635">
        <x:f>'幕间与结算'!D542</x:f>
        <x:v>0</x:v>
      </x:c>
      <x:c r="D635">
        <x:f>'幕间与结算'!F542</x:f>
        <x:v>0</x:v>
      </x:c>
      <x:c r="E635">
        <x:f>IF(H635=1,MAX(-'幕间与结算'!E542,MIN(D635,IF(LEFT(C635,3)="技能：",99,IF(COUNTIF($L$2:$L$7,C635)&gt;0,18,999))-'幕间与结算'!E542)),0)</x:f>
        <x:v>0</x:v>
      </x:c>
      <x:c r="F635" t="str">
        <x:f>IF(C635=0,"",IF(G635=0,"记录不完整",IF(H635=0,"重复未计","已计入")))</x:f>
        <x:v/>
      </x:c>
      <x:c r="G635">
        <x:f>IF(AND(AND('幕间与结算'!A542&lt;&gt;"",'幕间与结算'!B542&lt;&gt;"",'幕间与结算'!I542&lt;&gt;"",OR(LEFT(C635,3)="技能：",COUNTIF($L$2:$L$19,C635)&gt;0),ISNUMBER('幕间与结算'!E542),ISNUMBER('幕间与结算'!F542),ISNUMBER('幕间与结算'!G542),'幕间与结算'!E542&gt;=0,'幕间与结算'!G542='幕间与结算'!E542+'幕间与结算'!F542),OR(B635&lt;&gt;"成长",AND(LEFT(C635,3)="技能：",C635&lt;&gt;"技能：非自然知识",'幕间与结算'!E542&gt;=1,'幕间与结算'!E542&lt;=99,'幕间与结算'!F542&gt;=0,'幕间与结算'!F542&lt;=4,'幕间与结算'!G542&lt;=99))),1,0)</x:f>
        <x:v>0</x:v>
      </x:c>
      <x:c r="H635">
        <x:f>IF(AND(G635=1,COUNTIFS($I$200:I635,I635,$G$200:G635,1)=1),1,0)</x:f>
        <x:v>0</x:v>
      </x:c>
      <x:c r="I635" t="str">
        <x:f>IF(G635=1,IF(B635="成长",A635&amp;"-成长-"&amp;C635,'幕间与结算'!I542),"")</x:f>
        <x:v/>
      </x:c>
      <x:c r="BF635">
        <x:f>MAX(0,MIN(18,BF634+IF(C635="力量",E635,0)))</x:f>
        <x:v>0</x:v>
      </x:c>
      <x:c r="BG635">
        <x:f>MAX(0,MIN(18,BG634+IF(C635="体质",E635,0)))</x:f>
        <x:v>0</x:v>
      </x:c>
      <x:c r="BH635">
        <x:f>MAX(0,MIN(18,BH634+IF(C635="敏捷",E635,0)))</x:f>
        <x:v>0</x:v>
      </x:c>
      <x:c r="BI635">
        <x:f>MAX(0,MIN(18,BI634+IF(C635="智力",E635,0)))</x:f>
        <x:v>0</x:v>
      </x:c>
      <x:c r="BJ635">
        <x:f>MAX(0,MIN(18,BJ634+IF(C635="意志",E635,0)))</x:f>
        <x:v>0</x:v>
      </x:c>
      <x:c r="BK635">
        <x:f>MAX(0,MIN(18,BK634+IF(C635="魅力",E635,0)))</x:f>
        <x:v>0</x:v>
      </x:c>
      <x:c r="BL635">
        <x:f>MAX(0,MIN(99,BL634+IF(C635="技能：非自然知识",E635,0)))</x:f>
        <x:v>0</x:v>
      </x:c>
      <x:c r="BM635">
        <x:f>MAX(0,MIN(CEILING((BF635+BG635)/2,1),BM634+IF(C635="体力",E635,0)))</x:f>
        <x:v>0</x:v>
      </x:c>
      <x:c r="BN635">
        <x:f>MAX(0,MIN(BJ635,BN634+IF(C635="毅力",E635,0)))</x:f>
        <x:v>0</x:v>
      </x:c>
      <x:c r="BO635">
        <x:f>MAX(0,MIN(99-BL635,BO634+IF(C635="理智",E635,0)))</x:f>
        <x:v>0</x:v>
      </x:c>
      <x:c r="BP635">
        <x:f>MAX(0,MIN(99,BP634+IF(C635="崩溃点",E635,0)))</x:f>
        <x:v>0</x:v>
      </x:c>
      <x:c r="BQ635">
        <x:f>MAX(0,MIN(BK635,IF(AND(H635=1,C635="重要关系1",LEFT('幕间与结算'!H542,8)="建立新的重要关系"),'幕间与结算'!E542+E635,BQ634+IF(C635="重要关系1",E635,0)+IF(AND(C635="魅力",E635&lt;0),E635,0))))</x:f>
        <x:v>0</x:v>
      </x:c>
      <x:c r="BR635">
        <x:f>MAX(0,MIN(BK635,IF(AND(H635=1,C635="重要关系2",LEFT('幕间与结算'!H542,8)="建立新的重要关系"),'幕间与结算'!E542+E635,BR634+IF(C635="重要关系2",E635,0)+IF(AND(C635="魅力",E635&lt;0),E635,0))))</x:f>
        <x:v>0</x:v>
      </x:c>
      <x:c r="BS635">
        <x:f>MAX(0,MIN(BK635,IF(AND(H635=1,C635="重要关系3",LEFT('幕间与结算'!H542,8)="建立新的重要关系"),'幕间与结算'!E542+E635,BS634+IF(C635="重要关系3",E635,0)+IF(AND(C635="魅力",E635&lt;0),E635,0))))</x:f>
        <x:v>0</x:v>
      </x:c>
      <x:c r="BT635">
        <x:f>MAX(0,MIN(BK635,IF(AND(H635=1,C635="重要关系4",LEFT('幕间与结算'!H542,8)="建立新的重要关系"),'幕间与结算'!E542+E635,BT634+IF(C635="重要关系4",E635,0)+IF(AND(C635="魅力",E635&lt;0),E635,0))))</x:f>
        <x:v>0</x:v>
      </x:c>
      <x:c r="BU635">
        <x:f>MAX(0,MIN(BK635,IF(AND(H635=1,C635="重要关系5",LEFT('幕间与结算'!H542,8)="建立新的重要关系"),'幕间与结算'!E542+E635,BU634+IF(C635="重要关系5",E635,0)+IF(AND(C635="魅力",E635&lt;0),E635,0))))</x:f>
        <x:v>0</x:v>
      </x:c>
      <x:c r="BV635">
        <x:f>MAX(0,MIN(BK635,IF(AND(H635=1,C635="重要关系6",LEFT('幕间与结算'!H542,8)="建立新的重要关系"),'幕间与结算'!E542+E635,BV634+IF(C635="重要关系6",E635,0)+IF(AND(C635="魅力",E635&lt;0),E635,0))))</x:f>
        <x:v>0</x:v>
      </x:c>
      <x:c r="BW635">
        <x:f>MAX(0,MIN(BK635,IF(AND(H635=1,C635="重要关系7",LEFT('幕间与结算'!H542,8)="建立新的重要关系"),'幕间与结算'!E542+E635,BW634+IF(C635="重要关系7",E635,0)+IF(AND(C635="魅力",E635&lt;0),E635,0))))</x:f>
        <x:v>0</x:v>
      </x:c>
    </x:row>
    <x:row r="636">
      <x:c r="A636" t="str">
        <x:f>IFERROR(TEXT(VALUE('幕间与结算'!A543),"00"),"")</x:f>
        <x:v>00</x:v>
      </x:c>
      <x:c r="B636">
        <x:f>'幕间与结算'!B543</x:f>
        <x:v>0</x:v>
      </x:c>
      <x:c r="C636">
        <x:f>'幕间与结算'!D543</x:f>
        <x:v>0</x:v>
      </x:c>
      <x:c r="D636">
        <x:f>'幕间与结算'!F543</x:f>
        <x:v>0</x:v>
      </x:c>
      <x:c r="E636">
        <x:f>IF(H636=1,MAX(-'幕间与结算'!E543,MIN(D636,IF(LEFT(C636,3)="技能：",99,IF(COUNTIF($L$2:$L$7,C636)&gt;0,18,999))-'幕间与结算'!E543)),0)</x:f>
        <x:v>0</x:v>
      </x:c>
      <x:c r="F636" t="str">
        <x:f>IF(C636=0,"",IF(G636=0,"记录不完整",IF(H636=0,"重复未计","已计入")))</x:f>
        <x:v/>
      </x:c>
      <x:c r="G636">
        <x:f>IF(AND(AND('幕间与结算'!A543&lt;&gt;"",'幕间与结算'!B543&lt;&gt;"",'幕间与结算'!I543&lt;&gt;"",OR(LEFT(C636,3)="技能：",COUNTIF($L$2:$L$19,C636)&gt;0),ISNUMBER('幕间与结算'!E543),ISNUMBER('幕间与结算'!F543),ISNUMBER('幕间与结算'!G543),'幕间与结算'!E543&gt;=0,'幕间与结算'!G543='幕间与结算'!E543+'幕间与结算'!F543),OR(B636&lt;&gt;"成长",AND(LEFT(C636,3)="技能：",C636&lt;&gt;"技能：非自然知识",'幕间与结算'!E543&gt;=1,'幕间与结算'!E543&lt;=99,'幕间与结算'!F543&gt;=0,'幕间与结算'!F543&lt;=4,'幕间与结算'!G543&lt;=99))),1,0)</x:f>
        <x:v>0</x:v>
      </x:c>
      <x:c r="H636">
        <x:f>IF(AND(G636=1,COUNTIFS($I$200:I636,I636,$G$200:G636,1)=1),1,0)</x:f>
        <x:v>0</x:v>
      </x:c>
      <x:c r="I636" t="str">
        <x:f>IF(G636=1,IF(B636="成长",A636&amp;"-成长-"&amp;C636,'幕间与结算'!I543),"")</x:f>
        <x:v/>
      </x:c>
      <x:c r="BF636">
        <x:f>MAX(0,MIN(18,BF635+IF(C636="力量",E636,0)))</x:f>
        <x:v>0</x:v>
      </x:c>
      <x:c r="BG636">
        <x:f>MAX(0,MIN(18,BG635+IF(C636="体质",E636,0)))</x:f>
        <x:v>0</x:v>
      </x:c>
      <x:c r="BH636">
        <x:f>MAX(0,MIN(18,BH635+IF(C636="敏捷",E636,0)))</x:f>
        <x:v>0</x:v>
      </x:c>
      <x:c r="BI636">
        <x:f>MAX(0,MIN(18,BI635+IF(C636="智力",E636,0)))</x:f>
        <x:v>0</x:v>
      </x:c>
      <x:c r="BJ636">
        <x:f>MAX(0,MIN(18,BJ635+IF(C636="意志",E636,0)))</x:f>
        <x:v>0</x:v>
      </x:c>
      <x:c r="BK636">
        <x:f>MAX(0,MIN(18,BK635+IF(C636="魅力",E636,0)))</x:f>
        <x:v>0</x:v>
      </x:c>
      <x:c r="BL636">
        <x:f>MAX(0,MIN(99,BL635+IF(C636="技能：非自然知识",E636,0)))</x:f>
        <x:v>0</x:v>
      </x:c>
      <x:c r="BM636">
        <x:f>MAX(0,MIN(CEILING((BF636+BG636)/2,1),BM635+IF(C636="体力",E636,0)))</x:f>
        <x:v>0</x:v>
      </x:c>
      <x:c r="BN636">
        <x:f>MAX(0,MIN(BJ636,BN635+IF(C636="毅力",E636,0)))</x:f>
        <x:v>0</x:v>
      </x:c>
      <x:c r="BO636">
        <x:f>MAX(0,MIN(99-BL636,BO635+IF(C636="理智",E636,0)))</x:f>
        <x:v>0</x:v>
      </x:c>
      <x:c r="BP636">
        <x:f>MAX(0,MIN(99,BP635+IF(C636="崩溃点",E636,0)))</x:f>
        <x:v>0</x:v>
      </x:c>
      <x:c r="BQ636">
        <x:f>MAX(0,MIN(BK636,IF(AND(H636=1,C636="重要关系1",LEFT('幕间与结算'!H543,8)="建立新的重要关系"),'幕间与结算'!E543+E636,BQ635+IF(C636="重要关系1",E636,0)+IF(AND(C636="魅力",E636&lt;0),E636,0))))</x:f>
        <x:v>0</x:v>
      </x:c>
      <x:c r="BR636">
        <x:f>MAX(0,MIN(BK636,IF(AND(H636=1,C636="重要关系2",LEFT('幕间与结算'!H543,8)="建立新的重要关系"),'幕间与结算'!E543+E636,BR635+IF(C636="重要关系2",E636,0)+IF(AND(C636="魅力",E636&lt;0),E636,0))))</x:f>
        <x:v>0</x:v>
      </x:c>
      <x:c r="BS636">
        <x:f>MAX(0,MIN(BK636,IF(AND(H636=1,C636="重要关系3",LEFT('幕间与结算'!H543,8)="建立新的重要关系"),'幕间与结算'!E543+E636,BS635+IF(C636="重要关系3",E636,0)+IF(AND(C636="魅力",E636&lt;0),E636,0))))</x:f>
        <x:v>0</x:v>
      </x:c>
      <x:c r="BT636">
        <x:f>MAX(0,MIN(BK636,IF(AND(H636=1,C636="重要关系4",LEFT('幕间与结算'!H543,8)="建立新的重要关系"),'幕间与结算'!E543+E636,BT635+IF(C636="重要关系4",E636,0)+IF(AND(C636="魅力",E636&lt;0),E636,0))))</x:f>
        <x:v>0</x:v>
      </x:c>
      <x:c r="BU636">
        <x:f>MAX(0,MIN(BK636,IF(AND(H636=1,C636="重要关系5",LEFT('幕间与结算'!H543,8)="建立新的重要关系"),'幕间与结算'!E543+E636,BU635+IF(C636="重要关系5",E636,0)+IF(AND(C636="魅力",E636&lt;0),E636,0))))</x:f>
        <x:v>0</x:v>
      </x:c>
      <x:c r="BV636">
        <x:f>MAX(0,MIN(BK636,IF(AND(H636=1,C636="重要关系6",LEFT('幕间与结算'!H543,8)="建立新的重要关系"),'幕间与结算'!E543+E636,BV635+IF(C636="重要关系6",E636,0)+IF(AND(C636="魅力",E636&lt;0),E636,0))))</x:f>
        <x:v>0</x:v>
      </x:c>
      <x:c r="BW636">
        <x:f>MAX(0,MIN(BK636,IF(AND(H636=1,C636="重要关系7",LEFT('幕间与结算'!H543,8)="建立新的重要关系"),'幕间与结算'!E543+E636,BW635+IF(C636="重要关系7",E636,0)+IF(AND(C636="魅力",E636&lt;0),E636,0))))</x:f>
        <x:v>0</x:v>
      </x:c>
    </x:row>
    <x:row r="637">
      <x:c r="A637" t="str">
        <x:f>IFERROR(TEXT(VALUE('幕间与结算'!A544),"00"),"")</x:f>
        <x:v>00</x:v>
      </x:c>
      <x:c r="B637">
        <x:f>'幕间与结算'!B544</x:f>
        <x:v>0</x:v>
      </x:c>
      <x:c r="C637">
        <x:f>'幕间与结算'!D544</x:f>
        <x:v>0</x:v>
      </x:c>
      <x:c r="D637">
        <x:f>'幕间与结算'!F544</x:f>
        <x:v>0</x:v>
      </x:c>
      <x:c r="E637">
        <x:f>IF(H637=1,MAX(-'幕间与结算'!E544,MIN(D637,IF(LEFT(C637,3)="技能：",99,IF(COUNTIF($L$2:$L$7,C637)&gt;0,18,999))-'幕间与结算'!E544)),0)</x:f>
        <x:v>0</x:v>
      </x:c>
      <x:c r="F637" t="str">
        <x:f>IF(C637=0,"",IF(G637=0,"记录不完整",IF(H637=0,"重复未计","已计入")))</x:f>
        <x:v/>
      </x:c>
      <x:c r="G637">
        <x:f>IF(AND(AND('幕间与结算'!A544&lt;&gt;"",'幕间与结算'!B544&lt;&gt;"",'幕间与结算'!I544&lt;&gt;"",OR(LEFT(C637,3)="技能：",COUNTIF($L$2:$L$19,C637)&gt;0),ISNUMBER('幕间与结算'!E544),ISNUMBER('幕间与结算'!F544),ISNUMBER('幕间与结算'!G544),'幕间与结算'!E544&gt;=0,'幕间与结算'!G544='幕间与结算'!E544+'幕间与结算'!F544),OR(B637&lt;&gt;"成长",AND(LEFT(C637,3)="技能：",C637&lt;&gt;"技能：非自然知识",'幕间与结算'!E544&gt;=1,'幕间与结算'!E544&lt;=99,'幕间与结算'!F544&gt;=0,'幕间与结算'!F544&lt;=4,'幕间与结算'!G544&lt;=99))),1,0)</x:f>
        <x:v>0</x:v>
      </x:c>
      <x:c r="H637">
        <x:f>IF(AND(G637=1,COUNTIFS($I$200:I637,I637,$G$200:G637,1)=1),1,0)</x:f>
        <x:v>0</x:v>
      </x:c>
      <x:c r="I637" t="str">
        <x:f>IF(G637=1,IF(B637="成长",A637&amp;"-成长-"&amp;C637,'幕间与结算'!I544),"")</x:f>
        <x:v/>
      </x:c>
      <x:c r="BF637">
        <x:f>MAX(0,MIN(18,BF636+IF(C637="力量",E637,0)))</x:f>
        <x:v>0</x:v>
      </x:c>
      <x:c r="BG637">
        <x:f>MAX(0,MIN(18,BG636+IF(C637="体质",E637,0)))</x:f>
        <x:v>0</x:v>
      </x:c>
      <x:c r="BH637">
        <x:f>MAX(0,MIN(18,BH636+IF(C637="敏捷",E637,0)))</x:f>
        <x:v>0</x:v>
      </x:c>
      <x:c r="BI637">
        <x:f>MAX(0,MIN(18,BI636+IF(C637="智力",E637,0)))</x:f>
        <x:v>0</x:v>
      </x:c>
      <x:c r="BJ637">
        <x:f>MAX(0,MIN(18,BJ636+IF(C637="意志",E637,0)))</x:f>
        <x:v>0</x:v>
      </x:c>
      <x:c r="BK637">
        <x:f>MAX(0,MIN(18,BK636+IF(C637="魅力",E637,0)))</x:f>
        <x:v>0</x:v>
      </x:c>
      <x:c r="BL637">
        <x:f>MAX(0,MIN(99,BL636+IF(C637="技能：非自然知识",E637,0)))</x:f>
        <x:v>0</x:v>
      </x:c>
      <x:c r="BM637">
        <x:f>MAX(0,MIN(CEILING((BF637+BG637)/2,1),BM636+IF(C637="体力",E637,0)))</x:f>
        <x:v>0</x:v>
      </x:c>
      <x:c r="BN637">
        <x:f>MAX(0,MIN(BJ637,BN636+IF(C637="毅力",E637,0)))</x:f>
        <x:v>0</x:v>
      </x:c>
      <x:c r="BO637">
        <x:f>MAX(0,MIN(99-BL637,BO636+IF(C637="理智",E637,0)))</x:f>
        <x:v>0</x:v>
      </x:c>
      <x:c r="BP637">
        <x:f>MAX(0,MIN(99,BP636+IF(C637="崩溃点",E637,0)))</x:f>
        <x:v>0</x:v>
      </x:c>
      <x:c r="BQ637">
        <x:f>MAX(0,MIN(BK637,IF(AND(H637=1,C637="重要关系1",LEFT('幕间与结算'!H544,8)="建立新的重要关系"),'幕间与结算'!E544+E637,BQ636+IF(C637="重要关系1",E637,0)+IF(AND(C637="魅力",E637&lt;0),E637,0))))</x:f>
        <x:v>0</x:v>
      </x:c>
      <x:c r="BR637">
        <x:f>MAX(0,MIN(BK637,IF(AND(H637=1,C637="重要关系2",LEFT('幕间与结算'!H544,8)="建立新的重要关系"),'幕间与结算'!E544+E637,BR636+IF(C637="重要关系2",E637,0)+IF(AND(C637="魅力",E637&lt;0),E637,0))))</x:f>
        <x:v>0</x:v>
      </x:c>
      <x:c r="BS637">
        <x:f>MAX(0,MIN(BK637,IF(AND(H637=1,C637="重要关系3",LEFT('幕间与结算'!H544,8)="建立新的重要关系"),'幕间与结算'!E544+E637,BS636+IF(C637="重要关系3",E637,0)+IF(AND(C637="魅力",E637&lt;0),E637,0))))</x:f>
        <x:v>0</x:v>
      </x:c>
      <x:c r="BT637">
        <x:f>MAX(0,MIN(BK637,IF(AND(H637=1,C637="重要关系4",LEFT('幕间与结算'!H544,8)="建立新的重要关系"),'幕间与结算'!E544+E637,BT636+IF(C637="重要关系4",E637,0)+IF(AND(C637="魅力",E637&lt;0),E637,0))))</x:f>
        <x:v>0</x:v>
      </x:c>
      <x:c r="BU637">
        <x:f>MAX(0,MIN(BK637,IF(AND(H637=1,C637="重要关系5",LEFT('幕间与结算'!H544,8)="建立新的重要关系"),'幕间与结算'!E544+E637,BU636+IF(C637="重要关系5",E637,0)+IF(AND(C637="魅力",E637&lt;0),E637,0))))</x:f>
        <x:v>0</x:v>
      </x:c>
      <x:c r="BV637">
        <x:f>MAX(0,MIN(BK637,IF(AND(H637=1,C637="重要关系6",LEFT('幕间与结算'!H544,8)="建立新的重要关系"),'幕间与结算'!E544+E637,BV636+IF(C637="重要关系6",E637,0)+IF(AND(C637="魅力",E637&lt;0),E637,0))))</x:f>
        <x:v>0</x:v>
      </x:c>
      <x:c r="BW637">
        <x:f>MAX(0,MIN(BK637,IF(AND(H637=1,C637="重要关系7",LEFT('幕间与结算'!H544,8)="建立新的重要关系"),'幕间与结算'!E544+E637,BW636+IF(C637="重要关系7",E637,0)+IF(AND(C637="魅力",E637&lt;0),E637,0))))</x:f>
        <x:v>0</x:v>
      </x:c>
    </x:row>
    <x:row r="638">
      <x:c r="A638" t="str">
        <x:f>IFERROR(TEXT(VALUE('幕间与结算'!A545),"00"),"")</x:f>
        <x:v>00</x:v>
      </x:c>
      <x:c r="B638">
        <x:f>'幕间与结算'!B545</x:f>
        <x:v>0</x:v>
      </x:c>
      <x:c r="C638">
        <x:f>'幕间与结算'!D545</x:f>
        <x:v>0</x:v>
      </x:c>
      <x:c r="D638">
        <x:f>'幕间与结算'!F545</x:f>
        <x:v>0</x:v>
      </x:c>
      <x:c r="E638">
        <x:f>IF(H638=1,MAX(-'幕间与结算'!E545,MIN(D638,IF(LEFT(C638,3)="技能：",99,IF(COUNTIF($L$2:$L$7,C638)&gt;0,18,999))-'幕间与结算'!E545)),0)</x:f>
        <x:v>0</x:v>
      </x:c>
      <x:c r="F638" t="str">
        <x:f>IF(C638=0,"",IF(G638=0,"记录不完整",IF(H638=0,"重复未计","已计入")))</x:f>
        <x:v/>
      </x:c>
      <x:c r="G638">
        <x:f>IF(AND(AND('幕间与结算'!A545&lt;&gt;"",'幕间与结算'!B545&lt;&gt;"",'幕间与结算'!I545&lt;&gt;"",OR(LEFT(C638,3)="技能：",COUNTIF($L$2:$L$19,C638)&gt;0),ISNUMBER('幕间与结算'!E545),ISNUMBER('幕间与结算'!F545),ISNUMBER('幕间与结算'!G545),'幕间与结算'!E545&gt;=0,'幕间与结算'!G545='幕间与结算'!E545+'幕间与结算'!F545),OR(B638&lt;&gt;"成长",AND(LEFT(C638,3)="技能：",C638&lt;&gt;"技能：非自然知识",'幕间与结算'!E545&gt;=1,'幕间与结算'!E545&lt;=99,'幕间与结算'!F545&gt;=0,'幕间与结算'!F545&lt;=4,'幕间与结算'!G545&lt;=99))),1,0)</x:f>
        <x:v>0</x:v>
      </x:c>
      <x:c r="H638">
        <x:f>IF(AND(G638=1,COUNTIFS($I$200:I638,I638,$G$200:G638,1)=1),1,0)</x:f>
        <x:v>0</x:v>
      </x:c>
      <x:c r="I638" t="str">
        <x:f>IF(G638=1,IF(B638="成长",A638&amp;"-成长-"&amp;C638,'幕间与结算'!I545),"")</x:f>
        <x:v/>
      </x:c>
      <x:c r="BF638">
        <x:f>MAX(0,MIN(18,BF637+IF(C638="力量",E638,0)))</x:f>
        <x:v>0</x:v>
      </x:c>
      <x:c r="BG638">
        <x:f>MAX(0,MIN(18,BG637+IF(C638="体质",E638,0)))</x:f>
        <x:v>0</x:v>
      </x:c>
      <x:c r="BH638">
        <x:f>MAX(0,MIN(18,BH637+IF(C638="敏捷",E638,0)))</x:f>
        <x:v>0</x:v>
      </x:c>
      <x:c r="BI638">
        <x:f>MAX(0,MIN(18,BI637+IF(C638="智力",E638,0)))</x:f>
        <x:v>0</x:v>
      </x:c>
      <x:c r="BJ638">
        <x:f>MAX(0,MIN(18,BJ637+IF(C638="意志",E638,0)))</x:f>
        <x:v>0</x:v>
      </x:c>
      <x:c r="BK638">
        <x:f>MAX(0,MIN(18,BK637+IF(C638="魅力",E638,0)))</x:f>
        <x:v>0</x:v>
      </x:c>
      <x:c r="BL638">
        <x:f>MAX(0,MIN(99,BL637+IF(C638="技能：非自然知识",E638,0)))</x:f>
        <x:v>0</x:v>
      </x:c>
      <x:c r="BM638">
        <x:f>MAX(0,MIN(CEILING((BF638+BG638)/2,1),BM637+IF(C638="体力",E638,0)))</x:f>
        <x:v>0</x:v>
      </x:c>
      <x:c r="BN638">
        <x:f>MAX(0,MIN(BJ638,BN637+IF(C638="毅力",E638,0)))</x:f>
        <x:v>0</x:v>
      </x:c>
      <x:c r="BO638">
        <x:f>MAX(0,MIN(99-BL638,BO637+IF(C638="理智",E638,0)))</x:f>
        <x:v>0</x:v>
      </x:c>
      <x:c r="BP638">
        <x:f>MAX(0,MIN(99,BP637+IF(C638="崩溃点",E638,0)))</x:f>
        <x:v>0</x:v>
      </x:c>
      <x:c r="BQ638">
        <x:f>MAX(0,MIN(BK638,IF(AND(H638=1,C638="重要关系1",LEFT('幕间与结算'!H545,8)="建立新的重要关系"),'幕间与结算'!E545+E638,BQ637+IF(C638="重要关系1",E638,0)+IF(AND(C638="魅力",E638&lt;0),E638,0))))</x:f>
        <x:v>0</x:v>
      </x:c>
      <x:c r="BR638">
        <x:f>MAX(0,MIN(BK638,IF(AND(H638=1,C638="重要关系2",LEFT('幕间与结算'!H545,8)="建立新的重要关系"),'幕间与结算'!E545+E638,BR637+IF(C638="重要关系2",E638,0)+IF(AND(C638="魅力",E638&lt;0),E638,0))))</x:f>
        <x:v>0</x:v>
      </x:c>
      <x:c r="BS638">
        <x:f>MAX(0,MIN(BK638,IF(AND(H638=1,C638="重要关系3",LEFT('幕间与结算'!H545,8)="建立新的重要关系"),'幕间与结算'!E545+E638,BS637+IF(C638="重要关系3",E638,0)+IF(AND(C638="魅力",E638&lt;0),E638,0))))</x:f>
        <x:v>0</x:v>
      </x:c>
      <x:c r="BT638">
        <x:f>MAX(0,MIN(BK638,IF(AND(H638=1,C638="重要关系4",LEFT('幕间与结算'!H545,8)="建立新的重要关系"),'幕间与结算'!E545+E638,BT637+IF(C638="重要关系4",E638,0)+IF(AND(C638="魅力",E638&lt;0),E638,0))))</x:f>
        <x:v>0</x:v>
      </x:c>
      <x:c r="BU638">
        <x:f>MAX(0,MIN(BK638,IF(AND(H638=1,C638="重要关系5",LEFT('幕间与结算'!H545,8)="建立新的重要关系"),'幕间与结算'!E545+E638,BU637+IF(C638="重要关系5",E638,0)+IF(AND(C638="魅力",E638&lt;0),E638,0))))</x:f>
        <x:v>0</x:v>
      </x:c>
      <x:c r="BV638">
        <x:f>MAX(0,MIN(BK638,IF(AND(H638=1,C638="重要关系6",LEFT('幕间与结算'!H545,8)="建立新的重要关系"),'幕间与结算'!E545+E638,BV637+IF(C638="重要关系6",E638,0)+IF(AND(C638="魅力",E638&lt;0),E638,0))))</x:f>
        <x:v>0</x:v>
      </x:c>
      <x:c r="BW638">
        <x:f>MAX(0,MIN(BK638,IF(AND(H638=1,C638="重要关系7",LEFT('幕间与结算'!H545,8)="建立新的重要关系"),'幕间与结算'!E545+E638,BW637+IF(C638="重要关系7",E638,0)+IF(AND(C638="魅力",E638&lt;0),E638,0))))</x:f>
        <x:v>0</x:v>
      </x:c>
    </x:row>
    <x:row r="639">
      <x:c r="A639" t="str">
        <x:f>IFERROR(TEXT(VALUE('幕间与结算'!A546),"00"),"")</x:f>
        <x:v>00</x:v>
      </x:c>
      <x:c r="B639">
        <x:f>'幕间与结算'!B546</x:f>
        <x:v>0</x:v>
      </x:c>
      <x:c r="C639">
        <x:f>'幕间与结算'!D546</x:f>
        <x:v>0</x:v>
      </x:c>
      <x:c r="D639">
        <x:f>'幕间与结算'!F546</x:f>
        <x:v>0</x:v>
      </x:c>
      <x:c r="E639">
        <x:f>IF(H639=1,MAX(-'幕间与结算'!E546,MIN(D639,IF(LEFT(C639,3)="技能：",99,IF(COUNTIF($L$2:$L$7,C639)&gt;0,18,999))-'幕间与结算'!E546)),0)</x:f>
        <x:v>0</x:v>
      </x:c>
      <x:c r="F639" t="str">
        <x:f>IF(C639=0,"",IF(G639=0,"记录不完整",IF(H639=0,"重复未计","已计入")))</x:f>
        <x:v/>
      </x:c>
      <x:c r="G639">
        <x:f>IF(AND(AND('幕间与结算'!A546&lt;&gt;"",'幕间与结算'!B546&lt;&gt;"",'幕间与结算'!I546&lt;&gt;"",OR(LEFT(C639,3)="技能：",COUNTIF($L$2:$L$19,C639)&gt;0),ISNUMBER('幕间与结算'!E546),ISNUMBER('幕间与结算'!F546),ISNUMBER('幕间与结算'!G546),'幕间与结算'!E546&gt;=0,'幕间与结算'!G546='幕间与结算'!E546+'幕间与结算'!F546),OR(B639&lt;&gt;"成长",AND(LEFT(C639,3)="技能：",C639&lt;&gt;"技能：非自然知识",'幕间与结算'!E546&gt;=1,'幕间与结算'!E546&lt;=99,'幕间与结算'!F546&gt;=0,'幕间与结算'!F546&lt;=4,'幕间与结算'!G546&lt;=99))),1,0)</x:f>
        <x:v>0</x:v>
      </x:c>
      <x:c r="H639">
        <x:f>IF(AND(G639=1,COUNTIFS($I$200:I639,I639,$G$200:G639,1)=1),1,0)</x:f>
        <x:v>0</x:v>
      </x:c>
      <x:c r="I639" t="str">
        <x:f>IF(G639=1,IF(B639="成长",A639&amp;"-成长-"&amp;C639,'幕间与结算'!I546),"")</x:f>
        <x:v/>
      </x:c>
      <x:c r="BF639">
        <x:f>MAX(0,MIN(18,BF638+IF(C639="力量",E639,0)))</x:f>
        <x:v>0</x:v>
      </x:c>
      <x:c r="BG639">
        <x:f>MAX(0,MIN(18,BG638+IF(C639="体质",E639,0)))</x:f>
        <x:v>0</x:v>
      </x:c>
      <x:c r="BH639">
        <x:f>MAX(0,MIN(18,BH638+IF(C639="敏捷",E639,0)))</x:f>
        <x:v>0</x:v>
      </x:c>
      <x:c r="BI639">
        <x:f>MAX(0,MIN(18,BI638+IF(C639="智力",E639,0)))</x:f>
        <x:v>0</x:v>
      </x:c>
      <x:c r="BJ639">
        <x:f>MAX(0,MIN(18,BJ638+IF(C639="意志",E639,0)))</x:f>
        <x:v>0</x:v>
      </x:c>
      <x:c r="BK639">
        <x:f>MAX(0,MIN(18,BK638+IF(C639="魅力",E639,0)))</x:f>
        <x:v>0</x:v>
      </x:c>
      <x:c r="BL639">
        <x:f>MAX(0,MIN(99,BL638+IF(C639="技能：非自然知识",E639,0)))</x:f>
        <x:v>0</x:v>
      </x:c>
      <x:c r="BM639">
        <x:f>MAX(0,MIN(CEILING((BF639+BG639)/2,1),BM638+IF(C639="体力",E639,0)))</x:f>
        <x:v>0</x:v>
      </x:c>
      <x:c r="BN639">
        <x:f>MAX(0,MIN(BJ639,BN638+IF(C639="毅力",E639,0)))</x:f>
        <x:v>0</x:v>
      </x:c>
      <x:c r="BO639">
        <x:f>MAX(0,MIN(99-BL639,BO638+IF(C639="理智",E639,0)))</x:f>
        <x:v>0</x:v>
      </x:c>
      <x:c r="BP639">
        <x:f>MAX(0,MIN(99,BP638+IF(C639="崩溃点",E639,0)))</x:f>
        <x:v>0</x:v>
      </x:c>
      <x:c r="BQ639">
        <x:f>MAX(0,MIN(BK639,IF(AND(H639=1,C639="重要关系1",LEFT('幕间与结算'!H546,8)="建立新的重要关系"),'幕间与结算'!E546+E639,BQ638+IF(C639="重要关系1",E639,0)+IF(AND(C639="魅力",E639&lt;0),E639,0))))</x:f>
        <x:v>0</x:v>
      </x:c>
      <x:c r="BR639">
        <x:f>MAX(0,MIN(BK639,IF(AND(H639=1,C639="重要关系2",LEFT('幕间与结算'!H546,8)="建立新的重要关系"),'幕间与结算'!E546+E639,BR638+IF(C639="重要关系2",E639,0)+IF(AND(C639="魅力",E639&lt;0),E639,0))))</x:f>
        <x:v>0</x:v>
      </x:c>
      <x:c r="BS639">
        <x:f>MAX(0,MIN(BK639,IF(AND(H639=1,C639="重要关系3",LEFT('幕间与结算'!H546,8)="建立新的重要关系"),'幕间与结算'!E546+E639,BS638+IF(C639="重要关系3",E639,0)+IF(AND(C639="魅力",E639&lt;0),E639,0))))</x:f>
        <x:v>0</x:v>
      </x:c>
      <x:c r="BT639">
        <x:f>MAX(0,MIN(BK639,IF(AND(H639=1,C639="重要关系4",LEFT('幕间与结算'!H546,8)="建立新的重要关系"),'幕间与结算'!E546+E639,BT638+IF(C639="重要关系4",E639,0)+IF(AND(C639="魅力",E639&lt;0),E639,0))))</x:f>
        <x:v>0</x:v>
      </x:c>
      <x:c r="BU639">
        <x:f>MAX(0,MIN(BK639,IF(AND(H639=1,C639="重要关系5",LEFT('幕间与结算'!H546,8)="建立新的重要关系"),'幕间与结算'!E546+E639,BU638+IF(C639="重要关系5",E639,0)+IF(AND(C639="魅力",E639&lt;0),E639,0))))</x:f>
        <x:v>0</x:v>
      </x:c>
      <x:c r="BV639">
        <x:f>MAX(0,MIN(BK639,IF(AND(H639=1,C639="重要关系6",LEFT('幕间与结算'!H546,8)="建立新的重要关系"),'幕间与结算'!E546+E639,BV638+IF(C639="重要关系6",E639,0)+IF(AND(C639="魅力",E639&lt;0),E639,0))))</x:f>
        <x:v>0</x:v>
      </x:c>
      <x:c r="BW639">
        <x:f>MAX(0,MIN(BK639,IF(AND(H639=1,C639="重要关系7",LEFT('幕间与结算'!H546,8)="建立新的重要关系"),'幕间与结算'!E546+E639,BW638+IF(C639="重要关系7",E639,0)+IF(AND(C639="魅力",E639&lt;0),E639,0))))</x:f>
        <x:v>0</x:v>
      </x:c>
    </x:row>
    <x:row r="640">
      <x:c r="A640" t="str">
        <x:f>IFERROR(TEXT(VALUE('幕间与结算'!A547),"00"),"")</x:f>
        <x:v>00</x:v>
      </x:c>
      <x:c r="B640">
        <x:f>'幕间与结算'!B547</x:f>
        <x:v>0</x:v>
      </x:c>
      <x:c r="C640">
        <x:f>'幕间与结算'!D547</x:f>
        <x:v>0</x:v>
      </x:c>
      <x:c r="D640">
        <x:f>'幕间与结算'!F547</x:f>
        <x:v>0</x:v>
      </x:c>
      <x:c r="E640">
        <x:f>IF(H640=1,MAX(-'幕间与结算'!E547,MIN(D640,IF(LEFT(C640,3)="技能：",99,IF(COUNTIF($L$2:$L$7,C640)&gt;0,18,999))-'幕间与结算'!E547)),0)</x:f>
        <x:v>0</x:v>
      </x:c>
      <x:c r="F640" t="str">
        <x:f>IF(C640=0,"",IF(G640=0,"记录不完整",IF(H640=0,"重复未计","已计入")))</x:f>
        <x:v/>
      </x:c>
      <x:c r="G640">
        <x:f>IF(AND(AND('幕间与结算'!A547&lt;&gt;"",'幕间与结算'!B547&lt;&gt;"",'幕间与结算'!I547&lt;&gt;"",OR(LEFT(C640,3)="技能：",COUNTIF($L$2:$L$19,C640)&gt;0),ISNUMBER('幕间与结算'!E547),ISNUMBER('幕间与结算'!F547),ISNUMBER('幕间与结算'!G547),'幕间与结算'!E547&gt;=0,'幕间与结算'!G547='幕间与结算'!E547+'幕间与结算'!F547),OR(B640&lt;&gt;"成长",AND(LEFT(C640,3)="技能：",C640&lt;&gt;"技能：非自然知识",'幕间与结算'!E547&gt;=1,'幕间与结算'!E547&lt;=99,'幕间与结算'!F547&gt;=0,'幕间与结算'!F547&lt;=4,'幕间与结算'!G547&lt;=99))),1,0)</x:f>
        <x:v>0</x:v>
      </x:c>
      <x:c r="H640">
        <x:f>IF(AND(G640=1,COUNTIFS($I$200:I640,I640,$G$200:G640,1)=1),1,0)</x:f>
        <x:v>0</x:v>
      </x:c>
      <x:c r="I640" t="str">
        <x:f>IF(G640=1,IF(B640="成长",A640&amp;"-成长-"&amp;C640,'幕间与结算'!I547),"")</x:f>
        <x:v/>
      </x:c>
      <x:c r="BF640">
        <x:f>MAX(0,MIN(18,BF639+IF(C640="力量",E640,0)))</x:f>
        <x:v>0</x:v>
      </x:c>
      <x:c r="BG640">
        <x:f>MAX(0,MIN(18,BG639+IF(C640="体质",E640,0)))</x:f>
        <x:v>0</x:v>
      </x:c>
      <x:c r="BH640">
        <x:f>MAX(0,MIN(18,BH639+IF(C640="敏捷",E640,0)))</x:f>
        <x:v>0</x:v>
      </x:c>
      <x:c r="BI640">
        <x:f>MAX(0,MIN(18,BI639+IF(C640="智力",E640,0)))</x:f>
        <x:v>0</x:v>
      </x:c>
      <x:c r="BJ640">
        <x:f>MAX(0,MIN(18,BJ639+IF(C640="意志",E640,0)))</x:f>
        <x:v>0</x:v>
      </x:c>
      <x:c r="BK640">
        <x:f>MAX(0,MIN(18,BK639+IF(C640="魅力",E640,0)))</x:f>
        <x:v>0</x:v>
      </x:c>
      <x:c r="BL640">
        <x:f>MAX(0,MIN(99,BL639+IF(C640="技能：非自然知识",E640,0)))</x:f>
        <x:v>0</x:v>
      </x:c>
      <x:c r="BM640">
        <x:f>MAX(0,MIN(CEILING((BF640+BG640)/2,1),BM639+IF(C640="体力",E640,0)))</x:f>
        <x:v>0</x:v>
      </x:c>
      <x:c r="BN640">
        <x:f>MAX(0,MIN(BJ640,BN639+IF(C640="毅力",E640,0)))</x:f>
        <x:v>0</x:v>
      </x:c>
      <x:c r="BO640">
        <x:f>MAX(0,MIN(99-BL640,BO639+IF(C640="理智",E640,0)))</x:f>
        <x:v>0</x:v>
      </x:c>
      <x:c r="BP640">
        <x:f>MAX(0,MIN(99,BP639+IF(C640="崩溃点",E640,0)))</x:f>
        <x:v>0</x:v>
      </x:c>
      <x:c r="BQ640">
        <x:f>MAX(0,MIN(BK640,IF(AND(H640=1,C640="重要关系1",LEFT('幕间与结算'!H547,8)="建立新的重要关系"),'幕间与结算'!E547+E640,BQ639+IF(C640="重要关系1",E640,0)+IF(AND(C640="魅力",E640&lt;0),E640,0))))</x:f>
        <x:v>0</x:v>
      </x:c>
      <x:c r="BR640">
        <x:f>MAX(0,MIN(BK640,IF(AND(H640=1,C640="重要关系2",LEFT('幕间与结算'!H547,8)="建立新的重要关系"),'幕间与结算'!E547+E640,BR639+IF(C640="重要关系2",E640,0)+IF(AND(C640="魅力",E640&lt;0),E640,0))))</x:f>
        <x:v>0</x:v>
      </x:c>
      <x:c r="BS640">
        <x:f>MAX(0,MIN(BK640,IF(AND(H640=1,C640="重要关系3",LEFT('幕间与结算'!H547,8)="建立新的重要关系"),'幕间与结算'!E547+E640,BS639+IF(C640="重要关系3",E640,0)+IF(AND(C640="魅力",E640&lt;0),E640,0))))</x:f>
        <x:v>0</x:v>
      </x:c>
      <x:c r="BT640">
        <x:f>MAX(0,MIN(BK640,IF(AND(H640=1,C640="重要关系4",LEFT('幕间与结算'!H547,8)="建立新的重要关系"),'幕间与结算'!E547+E640,BT639+IF(C640="重要关系4",E640,0)+IF(AND(C640="魅力",E640&lt;0),E640,0))))</x:f>
        <x:v>0</x:v>
      </x:c>
      <x:c r="BU640">
        <x:f>MAX(0,MIN(BK640,IF(AND(H640=1,C640="重要关系5",LEFT('幕间与结算'!H547,8)="建立新的重要关系"),'幕间与结算'!E547+E640,BU639+IF(C640="重要关系5",E640,0)+IF(AND(C640="魅力",E640&lt;0),E640,0))))</x:f>
        <x:v>0</x:v>
      </x:c>
      <x:c r="BV640">
        <x:f>MAX(0,MIN(BK640,IF(AND(H640=1,C640="重要关系6",LEFT('幕间与结算'!H547,8)="建立新的重要关系"),'幕间与结算'!E547+E640,BV639+IF(C640="重要关系6",E640,0)+IF(AND(C640="魅力",E640&lt;0),E640,0))))</x:f>
        <x:v>0</x:v>
      </x:c>
      <x:c r="BW640">
        <x:f>MAX(0,MIN(BK640,IF(AND(H640=1,C640="重要关系7",LEFT('幕间与结算'!H547,8)="建立新的重要关系"),'幕间与结算'!E547+E640,BW639+IF(C640="重要关系7",E640,0)+IF(AND(C640="魅力",E640&lt;0),E640,0))))</x:f>
        <x:v>0</x:v>
      </x:c>
    </x:row>
    <x:row r="641">
      <x:c r="A641" t="str">
        <x:f>IFERROR(TEXT(VALUE('幕间与结算'!A548),"00"),"")</x:f>
        <x:v>00</x:v>
      </x:c>
      <x:c r="B641">
        <x:f>'幕间与结算'!B548</x:f>
        <x:v>0</x:v>
      </x:c>
      <x:c r="C641">
        <x:f>'幕间与结算'!D548</x:f>
        <x:v>0</x:v>
      </x:c>
      <x:c r="D641">
        <x:f>'幕间与结算'!F548</x:f>
        <x:v>0</x:v>
      </x:c>
      <x:c r="E641">
        <x:f>IF(H641=1,MAX(-'幕间与结算'!E548,MIN(D641,IF(LEFT(C641,3)="技能：",99,IF(COUNTIF($L$2:$L$7,C641)&gt;0,18,999))-'幕间与结算'!E548)),0)</x:f>
        <x:v>0</x:v>
      </x:c>
      <x:c r="F641" t="str">
        <x:f>IF(C641=0,"",IF(G641=0,"记录不完整",IF(H641=0,"重复未计","已计入")))</x:f>
        <x:v/>
      </x:c>
      <x:c r="G641">
        <x:f>IF(AND(AND('幕间与结算'!A548&lt;&gt;"",'幕间与结算'!B548&lt;&gt;"",'幕间与结算'!I548&lt;&gt;"",OR(LEFT(C641,3)="技能：",COUNTIF($L$2:$L$19,C641)&gt;0),ISNUMBER('幕间与结算'!E548),ISNUMBER('幕间与结算'!F548),ISNUMBER('幕间与结算'!G548),'幕间与结算'!E548&gt;=0,'幕间与结算'!G548='幕间与结算'!E548+'幕间与结算'!F548),OR(B641&lt;&gt;"成长",AND(LEFT(C641,3)="技能：",C641&lt;&gt;"技能：非自然知识",'幕间与结算'!E548&gt;=1,'幕间与结算'!E548&lt;=99,'幕间与结算'!F548&gt;=0,'幕间与结算'!F548&lt;=4,'幕间与结算'!G548&lt;=99))),1,0)</x:f>
        <x:v>0</x:v>
      </x:c>
      <x:c r="H641">
        <x:f>IF(AND(G641=1,COUNTIFS($I$200:I641,I641,$G$200:G641,1)=1),1,0)</x:f>
        <x:v>0</x:v>
      </x:c>
      <x:c r="I641" t="str">
        <x:f>IF(G641=1,IF(B641="成长",A641&amp;"-成长-"&amp;C641,'幕间与结算'!I548),"")</x:f>
        <x:v/>
      </x:c>
      <x:c r="BF641">
        <x:f>MAX(0,MIN(18,BF640+IF(C641="力量",E641,0)))</x:f>
        <x:v>0</x:v>
      </x:c>
      <x:c r="BG641">
        <x:f>MAX(0,MIN(18,BG640+IF(C641="体质",E641,0)))</x:f>
        <x:v>0</x:v>
      </x:c>
      <x:c r="BH641">
        <x:f>MAX(0,MIN(18,BH640+IF(C641="敏捷",E641,0)))</x:f>
        <x:v>0</x:v>
      </x:c>
      <x:c r="BI641">
        <x:f>MAX(0,MIN(18,BI640+IF(C641="智力",E641,0)))</x:f>
        <x:v>0</x:v>
      </x:c>
      <x:c r="BJ641">
        <x:f>MAX(0,MIN(18,BJ640+IF(C641="意志",E641,0)))</x:f>
        <x:v>0</x:v>
      </x:c>
      <x:c r="BK641">
        <x:f>MAX(0,MIN(18,BK640+IF(C641="魅力",E641,0)))</x:f>
        <x:v>0</x:v>
      </x:c>
      <x:c r="BL641">
        <x:f>MAX(0,MIN(99,BL640+IF(C641="技能：非自然知识",E641,0)))</x:f>
        <x:v>0</x:v>
      </x:c>
      <x:c r="BM641">
        <x:f>MAX(0,MIN(CEILING((BF641+BG641)/2,1),BM640+IF(C641="体力",E641,0)))</x:f>
        <x:v>0</x:v>
      </x:c>
      <x:c r="BN641">
        <x:f>MAX(0,MIN(BJ641,BN640+IF(C641="毅力",E641,0)))</x:f>
        <x:v>0</x:v>
      </x:c>
      <x:c r="BO641">
        <x:f>MAX(0,MIN(99-BL641,BO640+IF(C641="理智",E641,0)))</x:f>
        <x:v>0</x:v>
      </x:c>
      <x:c r="BP641">
        <x:f>MAX(0,MIN(99,BP640+IF(C641="崩溃点",E641,0)))</x:f>
        <x:v>0</x:v>
      </x:c>
      <x:c r="BQ641">
        <x:f>MAX(0,MIN(BK641,IF(AND(H641=1,C641="重要关系1",LEFT('幕间与结算'!H548,8)="建立新的重要关系"),'幕间与结算'!E548+E641,BQ640+IF(C641="重要关系1",E641,0)+IF(AND(C641="魅力",E641&lt;0),E641,0))))</x:f>
        <x:v>0</x:v>
      </x:c>
      <x:c r="BR641">
        <x:f>MAX(0,MIN(BK641,IF(AND(H641=1,C641="重要关系2",LEFT('幕间与结算'!H548,8)="建立新的重要关系"),'幕间与结算'!E548+E641,BR640+IF(C641="重要关系2",E641,0)+IF(AND(C641="魅力",E641&lt;0),E641,0))))</x:f>
        <x:v>0</x:v>
      </x:c>
      <x:c r="BS641">
        <x:f>MAX(0,MIN(BK641,IF(AND(H641=1,C641="重要关系3",LEFT('幕间与结算'!H548,8)="建立新的重要关系"),'幕间与结算'!E548+E641,BS640+IF(C641="重要关系3",E641,0)+IF(AND(C641="魅力",E641&lt;0),E641,0))))</x:f>
        <x:v>0</x:v>
      </x:c>
      <x:c r="BT641">
        <x:f>MAX(0,MIN(BK641,IF(AND(H641=1,C641="重要关系4",LEFT('幕间与结算'!H548,8)="建立新的重要关系"),'幕间与结算'!E548+E641,BT640+IF(C641="重要关系4",E641,0)+IF(AND(C641="魅力",E641&lt;0),E641,0))))</x:f>
        <x:v>0</x:v>
      </x:c>
      <x:c r="BU641">
        <x:f>MAX(0,MIN(BK641,IF(AND(H641=1,C641="重要关系5",LEFT('幕间与结算'!H548,8)="建立新的重要关系"),'幕间与结算'!E548+E641,BU640+IF(C641="重要关系5",E641,0)+IF(AND(C641="魅力",E641&lt;0),E641,0))))</x:f>
        <x:v>0</x:v>
      </x:c>
      <x:c r="BV641">
        <x:f>MAX(0,MIN(BK641,IF(AND(H641=1,C641="重要关系6",LEFT('幕间与结算'!H548,8)="建立新的重要关系"),'幕间与结算'!E548+E641,BV640+IF(C641="重要关系6",E641,0)+IF(AND(C641="魅力",E641&lt;0),E641,0))))</x:f>
        <x:v>0</x:v>
      </x:c>
      <x:c r="BW641">
        <x:f>MAX(0,MIN(BK641,IF(AND(H641=1,C641="重要关系7",LEFT('幕间与结算'!H548,8)="建立新的重要关系"),'幕间与结算'!E548+E641,BW640+IF(C641="重要关系7",E641,0)+IF(AND(C641="魅力",E641&lt;0),E641,0))))</x:f>
        <x:v>0</x:v>
      </x:c>
    </x:row>
    <x:row r="642">
      <x:c r="A642" t="str">
        <x:f>IFERROR(TEXT(VALUE('幕间与结算'!A549),"00"),"")</x:f>
        <x:v>00</x:v>
      </x:c>
      <x:c r="B642">
        <x:f>'幕间与结算'!B549</x:f>
        <x:v>0</x:v>
      </x:c>
      <x:c r="C642">
        <x:f>'幕间与结算'!D549</x:f>
        <x:v>0</x:v>
      </x:c>
      <x:c r="D642">
        <x:f>'幕间与结算'!F549</x:f>
        <x:v>0</x:v>
      </x:c>
      <x:c r="E642">
        <x:f>IF(H642=1,MAX(-'幕间与结算'!E549,MIN(D642,IF(LEFT(C642,3)="技能：",99,IF(COUNTIF($L$2:$L$7,C642)&gt;0,18,999))-'幕间与结算'!E549)),0)</x:f>
        <x:v>0</x:v>
      </x:c>
      <x:c r="F642" t="str">
        <x:f>IF(C642=0,"",IF(G642=0,"记录不完整",IF(H642=0,"重复未计","已计入")))</x:f>
        <x:v/>
      </x:c>
      <x:c r="G642">
        <x:f>IF(AND(AND('幕间与结算'!A549&lt;&gt;"",'幕间与结算'!B549&lt;&gt;"",'幕间与结算'!I549&lt;&gt;"",OR(LEFT(C642,3)="技能：",COUNTIF($L$2:$L$19,C642)&gt;0),ISNUMBER('幕间与结算'!E549),ISNUMBER('幕间与结算'!F549),ISNUMBER('幕间与结算'!G549),'幕间与结算'!E549&gt;=0,'幕间与结算'!G549='幕间与结算'!E549+'幕间与结算'!F549),OR(B642&lt;&gt;"成长",AND(LEFT(C642,3)="技能：",C642&lt;&gt;"技能：非自然知识",'幕间与结算'!E549&gt;=1,'幕间与结算'!E549&lt;=99,'幕间与结算'!F549&gt;=0,'幕间与结算'!F549&lt;=4,'幕间与结算'!G549&lt;=99))),1,0)</x:f>
        <x:v>0</x:v>
      </x:c>
      <x:c r="H642">
        <x:f>IF(AND(G642=1,COUNTIFS($I$200:I642,I642,$G$200:G642,1)=1),1,0)</x:f>
        <x:v>0</x:v>
      </x:c>
      <x:c r="I642" t="str">
        <x:f>IF(G642=1,IF(B642="成长",A642&amp;"-成长-"&amp;C642,'幕间与结算'!I549),"")</x:f>
        <x:v/>
      </x:c>
      <x:c r="BF642">
        <x:f>MAX(0,MIN(18,BF641+IF(C642="力量",E642,0)))</x:f>
        <x:v>0</x:v>
      </x:c>
      <x:c r="BG642">
        <x:f>MAX(0,MIN(18,BG641+IF(C642="体质",E642,0)))</x:f>
        <x:v>0</x:v>
      </x:c>
      <x:c r="BH642">
        <x:f>MAX(0,MIN(18,BH641+IF(C642="敏捷",E642,0)))</x:f>
        <x:v>0</x:v>
      </x:c>
      <x:c r="BI642">
        <x:f>MAX(0,MIN(18,BI641+IF(C642="智力",E642,0)))</x:f>
        <x:v>0</x:v>
      </x:c>
      <x:c r="BJ642">
        <x:f>MAX(0,MIN(18,BJ641+IF(C642="意志",E642,0)))</x:f>
        <x:v>0</x:v>
      </x:c>
      <x:c r="BK642">
        <x:f>MAX(0,MIN(18,BK641+IF(C642="魅力",E642,0)))</x:f>
        <x:v>0</x:v>
      </x:c>
      <x:c r="BL642">
        <x:f>MAX(0,MIN(99,BL641+IF(C642="技能：非自然知识",E642,0)))</x:f>
        <x:v>0</x:v>
      </x:c>
      <x:c r="BM642">
        <x:f>MAX(0,MIN(CEILING((BF642+BG642)/2,1),BM641+IF(C642="体力",E642,0)))</x:f>
        <x:v>0</x:v>
      </x:c>
      <x:c r="BN642">
        <x:f>MAX(0,MIN(BJ642,BN641+IF(C642="毅力",E642,0)))</x:f>
        <x:v>0</x:v>
      </x:c>
      <x:c r="BO642">
        <x:f>MAX(0,MIN(99-BL642,BO641+IF(C642="理智",E642,0)))</x:f>
        <x:v>0</x:v>
      </x:c>
      <x:c r="BP642">
        <x:f>MAX(0,MIN(99,BP641+IF(C642="崩溃点",E642,0)))</x:f>
        <x:v>0</x:v>
      </x:c>
      <x:c r="BQ642">
        <x:f>MAX(0,MIN(BK642,IF(AND(H642=1,C642="重要关系1",LEFT('幕间与结算'!H549,8)="建立新的重要关系"),'幕间与结算'!E549+E642,BQ641+IF(C642="重要关系1",E642,0)+IF(AND(C642="魅力",E642&lt;0),E642,0))))</x:f>
        <x:v>0</x:v>
      </x:c>
      <x:c r="BR642">
        <x:f>MAX(0,MIN(BK642,IF(AND(H642=1,C642="重要关系2",LEFT('幕间与结算'!H549,8)="建立新的重要关系"),'幕间与结算'!E549+E642,BR641+IF(C642="重要关系2",E642,0)+IF(AND(C642="魅力",E642&lt;0),E642,0))))</x:f>
        <x:v>0</x:v>
      </x:c>
      <x:c r="BS642">
        <x:f>MAX(0,MIN(BK642,IF(AND(H642=1,C642="重要关系3",LEFT('幕间与结算'!H549,8)="建立新的重要关系"),'幕间与结算'!E549+E642,BS641+IF(C642="重要关系3",E642,0)+IF(AND(C642="魅力",E642&lt;0),E642,0))))</x:f>
        <x:v>0</x:v>
      </x:c>
      <x:c r="BT642">
        <x:f>MAX(0,MIN(BK642,IF(AND(H642=1,C642="重要关系4",LEFT('幕间与结算'!H549,8)="建立新的重要关系"),'幕间与结算'!E549+E642,BT641+IF(C642="重要关系4",E642,0)+IF(AND(C642="魅力",E642&lt;0),E642,0))))</x:f>
        <x:v>0</x:v>
      </x:c>
      <x:c r="BU642">
        <x:f>MAX(0,MIN(BK642,IF(AND(H642=1,C642="重要关系5",LEFT('幕间与结算'!H549,8)="建立新的重要关系"),'幕间与结算'!E549+E642,BU641+IF(C642="重要关系5",E642,0)+IF(AND(C642="魅力",E642&lt;0),E642,0))))</x:f>
        <x:v>0</x:v>
      </x:c>
      <x:c r="BV642">
        <x:f>MAX(0,MIN(BK642,IF(AND(H642=1,C642="重要关系6",LEFT('幕间与结算'!H549,8)="建立新的重要关系"),'幕间与结算'!E549+E642,BV641+IF(C642="重要关系6",E642,0)+IF(AND(C642="魅力",E642&lt;0),E642,0))))</x:f>
        <x:v>0</x:v>
      </x:c>
      <x:c r="BW642">
        <x:f>MAX(0,MIN(BK642,IF(AND(H642=1,C642="重要关系7",LEFT('幕间与结算'!H549,8)="建立新的重要关系"),'幕间与结算'!E549+E642,BW641+IF(C642="重要关系7",E642,0)+IF(AND(C642="魅力",E642&lt;0),E642,0))))</x:f>
        <x:v>0</x:v>
      </x:c>
    </x:row>
    <x:row r="643">
      <x:c r="A643" t="str">
        <x:f>IFERROR(TEXT(VALUE('幕间与结算'!A550),"00"),"")</x:f>
        <x:v>00</x:v>
      </x:c>
      <x:c r="B643">
        <x:f>'幕间与结算'!B550</x:f>
        <x:v>0</x:v>
      </x:c>
      <x:c r="C643">
        <x:f>'幕间与结算'!D550</x:f>
        <x:v>0</x:v>
      </x:c>
      <x:c r="D643">
        <x:f>'幕间与结算'!F550</x:f>
        <x:v>0</x:v>
      </x:c>
      <x:c r="E643">
        <x:f>IF(H643=1,MAX(-'幕间与结算'!E550,MIN(D643,IF(LEFT(C643,3)="技能：",99,IF(COUNTIF($L$2:$L$7,C643)&gt;0,18,999))-'幕间与结算'!E550)),0)</x:f>
        <x:v>0</x:v>
      </x:c>
      <x:c r="F643" t="str">
        <x:f>IF(C643=0,"",IF(G643=0,"记录不完整",IF(H643=0,"重复未计","已计入")))</x:f>
        <x:v/>
      </x:c>
      <x:c r="G643">
        <x:f>IF(AND(AND('幕间与结算'!A550&lt;&gt;"",'幕间与结算'!B550&lt;&gt;"",'幕间与结算'!I550&lt;&gt;"",OR(LEFT(C643,3)="技能：",COUNTIF($L$2:$L$19,C643)&gt;0),ISNUMBER('幕间与结算'!E550),ISNUMBER('幕间与结算'!F550),ISNUMBER('幕间与结算'!G550),'幕间与结算'!E550&gt;=0,'幕间与结算'!G550='幕间与结算'!E550+'幕间与结算'!F550),OR(B643&lt;&gt;"成长",AND(LEFT(C643,3)="技能：",C643&lt;&gt;"技能：非自然知识",'幕间与结算'!E550&gt;=1,'幕间与结算'!E550&lt;=99,'幕间与结算'!F550&gt;=0,'幕间与结算'!F550&lt;=4,'幕间与结算'!G550&lt;=99))),1,0)</x:f>
        <x:v>0</x:v>
      </x:c>
      <x:c r="H643">
        <x:f>IF(AND(G643=1,COUNTIFS($I$200:I643,I643,$G$200:G643,1)=1),1,0)</x:f>
        <x:v>0</x:v>
      </x:c>
      <x:c r="I643" t="str">
        <x:f>IF(G643=1,IF(B643="成长",A643&amp;"-成长-"&amp;C643,'幕间与结算'!I550),"")</x:f>
        <x:v/>
      </x:c>
      <x:c r="BF643">
        <x:f>MAX(0,MIN(18,BF642+IF(C643="力量",E643,0)))</x:f>
        <x:v>0</x:v>
      </x:c>
      <x:c r="BG643">
        <x:f>MAX(0,MIN(18,BG642+IF(C643="体质",E643,0)))</x:f>
        <x:v>0</x:v>
      </x:c>
      <x:c r="BH643">
        <x:f>MAX(0,MIN(18,BH642+IF(C643="敏捷",E643,0)))</x:f>
        <x:v>0</x:v>
      </x:c>
      <x:c r="BI643">
        <x:f>MAX(0,MIN(18,BI642+IF(C643="智力",E643,0)))</x:f>
        <x:v>0</x:v>
      </x:c>
      <x:c r="BJ643">
        <x:f>MAX(0,MIN(18,BJ642+IF(C643="意志",E643,0)))</x:f>
        <x:v>0</x:v>
      </x:c>
      <x:c r="BK643">
        <x:f>MAX(0,MIN(18,BK642+IF(C643="魅力",E643,0)))</x:f>
        <x:v>0</x:v>
      </x:c>
      <x:c r="BL643">
        <x:f>MAX(0,MIN(99,BL642+IF(C643="技能：非自然知识",E643,0)))</x:f>
        <x:v>0</x:v>
      </x:c>
      <x:c r="BM643">
        <x:f>MAX(0,MIN(CEILING((BF643+BG643)/2,1),BM642+IF(C643="体力",E643,0)))</x:f>
        <x:v>0</x:v>
      </x:c>
      <x:c r="BN643">
        <x:f>MAX(0,MIN(BJ643,BN642+IF(C643="毅力",E643,0)))</x:f>
        <x:v>0</x:v>
      </x:c>
      <x:c r="BO643">
        <x:f>MAX(0,MIN(99-BL643,BO642+IF(C643="理智",E643,0)))</x:f>
        <x:v>0</x:v>
      </x:c>
      <x:c r="BP643">
        <x:f>MAX(0,MIN(99,BP642+IF(C643="崩溃点",E643,0)))</x:f>
        <x:v>0</x:v>
      </x:c>
      <x:c r="BQ643">
        <x:f>MAX(0,MIN(BK643,IF(AND(H643=1,C643="重要关系1",LEFT('幕间与结算'!H550,8)="建立新的重要关系"),'幕间与结算'!E550+E643,BQ642+IF(C643="重要关系1",E643,0)+IF(AND(C643="魅力",E643&lt;0),E643,0))))</x:f>
        <x:v>0</x:v>
      </x:c>
      <x:c r="BR643">
        <x:f>MAX(0,MIN(BK643,IF(AND(H643=1,C643="重要关系2",LEFT('幕间与结算'!H550,8)="建立新的重要关系"),'幕间与结算'!E550+E643,BR642+IF(C643="重要关系2",E643,0)+IF(AND(C643="魅力",E643&lt;0),E643,0))))</x:f>
        <x:v>0</x:v>
      </x:c>
      <x:c r="BS643">
        <x:f>MAX(0,MIN(BK643,IF(AND(H643=1,C643="重要关系3",LEFT('幕间与结算'!H550,8)="建立新的重要关系"),'幕间与结算'!E550+E643,BS642+IF(C643="重要关系3",E643,0)+IF(AND(C643="魅力",E643&lt;0),E643,0))))</x:f>
        <x:v>0</x:v>
      </x:c>
      <x:c r="BT643">
        <x:f>MAX(0,MIN(BK643,IF(AND(H643=1,C643="重要关系4",LEFT('幕间与结算'!H550,8)="建立新的重要关系"),'幕间与结算'!E550+E643,BT642+IF(C643="重要关系4",E643,0)+IF(AND(C643="魅力",E643&lt;0),E643,0))))</x:f>
        <x:v>0</x:v>
      </x:c>
      <x:c r="BU643">
        <x:f>MAX(0,MIN(BK643,IF(AND(H643=1,C643="重要关系5",LEFT('幕间与结算'!H550,8)="建立新的重要关系"),'幕间与结算'!E550+E643,BU642+IF(C643="重要关系5",E643,0)+IF(AND(C643="魅力",E643&lt;0),E643,0))))</x:f>
        <x:v>0</x:v>
      </x:c>
      <x:c r="BV643">
        <x:f>MAX(0,MIN(BK643,IF(AND(H643=1,C643="重要关系6",LEFT('幕间与结算'!H550,8)="建立新的重要关系"),'幕间与结算'!E550+E643,BV642+IF(C643="重要关系6",E643,0)+IF(AND(C643="魅力",E643&lt;0),E643,0))))</x:f>
        <x:v>0</x:v>
      </x:c>
      <x:c r="BW643">
        <x:f>MAX(0,MIN(BK643,IF(AND(H643=1,C643="重要关系7",LEFT('幕间与结算'!H550,8)="建立新的重要关系"),'幕间与结算'!E550+E643,BW642+IF(C643="重要关系7",E643,0)+IF(AND(C643="魅力",E643&lt;0),E643,0))))</x:f>
        <x:v>0</x:v>
      </x:c>
    </x:row>
    <x:row r="644">
      <x:c r="A644" t="str">
        <x:f>IFERROR(TEXT(VALUE('幕间与结算'!A551),"00"),"")</x:f>
        <x:v>00</x:v>
      </x:c>
      <x:c r="B644">
        <x:f>'幕间与结算'!B551</x:f>
        <x:v>0</x:v>
      </x:c>
      <x:c r="C644">
        <x:f>'幕间与结算'!D551</x:f>
        <x:v>0</x:v>
      </x:c>
      <x:c r="D644">
        <x:f>'幕间与结算'!F551</x:f>
        <x:v>0</x:v>
      </x:c>
      <x:c r="E644">
        <x:f>IF(H644=1,MAX(-'幕间与结算'!E551,MIN(D644,IF(LEFT(C644,3)="技能：",99,IF(COUNTIF($L$2:$L$7,C644)&gt;0,18,999))-'幕间与结算'!E551)),0)</x:f>
        <x:v>0</x:v>
      </x:c>
      <x:c r="F644" t="str">
        <x:f>IF(C644=0,"",IF(G644=0,"记录不完整",IF(H644=0,"重复未计","已计入")))</x:f>
        <x:v/>
      </x:c>
      <x:c r="G644">
        <x:f>IF(AND(AND('幕间与结算'!A551&lt;&gt;"",'幕间与结算'!B551&lt;&gt;"",'幕间与结算'!I551&lt;&gt;"",OR(LEFT(C644,3)="技能：",COUNTIF($L$2:$L$19,C644)&gt;0),ISNUMBER('幕间与结算'!E551),ISNUMBER('幕间与结算'!F551),ISNUMBER('幕间与结算'!G551),'幕间与结算'!E551&gt;=0,'幕间与结算'!G551='幕间与结算'!E551+'幕间与结算'!F551),OR(B644&lt;&gt;"成长",AND(LEFT(C644,3)="技能：",C644&lt;&gt;"技能：非自然知识",'幕间与结算'!E551&gt;=1,'幕间与结算'!E551&lt;=99,'幕间与结算'!F551&gt;=0,'幕间与结算'!F551&lt;=4,'幕间与结算'!G551&lt;=99))),1,0)</x:f>
        <x:v>0</x:v>
      </x:c>
      <x:c r="H644">
        <x:f>IF(AND(G644=1,COUNTIFS($I$200:I644,I644,$G$200:G644,1)=1),1,0)</x:f>
        <x:v>0</x:v>
      </x:c>
      <x:c r="I644" t="str">
        <x:f>IF(G644=1,IF(B644="成长",A644&amp;"-成长-"&amp;C644,'幕间与结算'!I551),"")</x:f>
        <x:v/>
      </x:c>
      <x:c r="BF644">
        <x:f>MAX(0,MIN(18,BF643+IF(C644="力量",E644,0)))</x:f>
        <x:v>0</x:v>
      </x:c>
      <x:c r="BG644">
        <x:f>MAX(0,MIN(18,BG643+IF(C644="体质",E644,0)))</x:f>
        <x:v>0</x:v>
      </x:c>
      <x:c r="BH644">
        <x:f>MAX(0,MIN(18,BH643+IF(C644="敏捷",E644,0)))</x:f>
        <x:v>0</x:v>
      </x:c>
      <x:c r="BI644">
        <x:f>MAX(0,MIN(18,BI643+IF(C644="智力",E644,0)))</x:f>
        <x:v>0</x:v>
      </x:c>
      <x:c r="BJ644">
        <x:f>MAX(0,MIN(18,BJ643+IF(C644="意志",E644,0)))</x:f>
        <x:v>0</x:v>
      </x:c>
      <x:c r="BK644">
        <x:f>MAX(0,MIN(18,BK643+IF(C644="魅力",E644,0)))</x:f>
        <x:v>0</x:v>
      </x:c>
      <x:c r="BL644">
        <x:f>MAX(0,MIN(99,BL643+IF(C644="技能：非自然知识",E644,0)))</x:f>
        <x:v>0</x:v>
      </x:c>
      <x:c r="BM644">
        <x:f>MAX(0,MIN(CEILING((BF644+BG644)/2,1),BM643+IF(C644="体力",E644,0)))</x:f>
        <x:v>0</x:v>
      </x:c>
      <x:c r="BN644">
        <x:f>MAX(0,MIN(BJ644,BN643+IF(C644="毅力",E644,0)))</x:f>
        <x:v>0</x:v>
      </x:c>
      <x:c r="BO644">
        <x:f>MAX(0,MIN(99-BL644,BO643+IF(C644="理智",E644,0)))</x:f>
        <x:v>0</x:v>
      </x:c>
      <x:c r="BP644">
        <x:f>MAX(0,MIN(99,BP643+IF(C644="崩溃点",E644,0)))</x:f>
        <x:v>0</x:v>
      </x:c>
      <x:c r="BQ644">
        <x:f>MAX(0,MIN(BK644,IF(AND(H644=1,C644="重要关系1",LEFT('幕间与结算'!H551,8)="建立新的重要关系"),'幕间与结算'!E551+E644,BQ643+IF(C644="重要关系1",E644,0)+IF(AND(C644="魅力",E644&lt;0),E644,0))))</x:f>
        <x:v>0</x:v>
      </x:c>
      <x:c r="BR644">
        <x:f>MAX(0,MIN(BK644,IF(AND(H644=1,C644="重要关系2",LEFT('幕间与结算'!H551,8)="建立新的重要关系"),'幕间与结算'!E551+E644,BR643+IF(C644="重要关系2",E644,0)+IF(AND(C644="魅力",E644&lt;0),E644,0))))</x:f>
        <x:v>0</x:v>
      </x:c>
      <x:c r="BS644">
        <x:f>MAX(0,MIN(BK644,IF(AND(H644=1,C644="重要关系3",LEFT('幕间与结算'!H551,8)="建立新的重要关系"),'幕间与结算'!E551+E644,BS643+IF(C644="重要关系3",E644,0)+IF(AND(C644="魅力",E644&lt;0),E644,0))))</x:f>
        <x:v>0</x:v>
      </x:c>
      <x:c r="BT644">
        <x:f>MAX(0,MIN(BK644,IF(AND(H644=1,C644="重要关系4",LEFT('幕间与结算'!H551,8)="建立新的重要关系"),'幕间与结算'!E551+E644,BT643+IF(C644="重要关系4",E644,0)+IF(AND(C644="魅力",E644&lt;0),E644,0))))</x:f>
        <x:v>0</x:v>
      </x:c>
      <x:c r="BU644">
        <x:f>MAX(0,MIN(BK644,IF(AND(H644=1,C644="重要关系5",LEFT('幕间与结算'!H551,8)="建立新的重要关系"),'幕间与结算'!E551+E644,BU643+IF(C644="重要关系5",E644,0)+IF(AND(C644="魅力",E644&lt;0),E644,0))))</x:f>
        <x:v>0</x:v>
      </x:c>
      <x:c r="BV644">
        <x:f>MAX(0,MIN(BK644,IF(AND(H644=1,C644="重要关系6",LEFT('幕间与结算'!H551,8)="建立新的重要关系"),'幕间与结算'!E551+E644,BV643+IF(C644="重要关系6",E644,0)+IF(AND(C644="魅力",E644&lt;0),E644,0))))</x:f>
        <x:v>0</x:v>
      </x:c>
      <x:c r="BW644">
        <x:f>MAX(0,MIN(BK644,IF(AND(H644=1,C644="重要关系7",LEFT('幕间与结算'!H551,8)="建立新的重要关系"),'幕间与结算'!E551+E644,BW643+IF(C644="重要关系7",E644,0)+IF(AND(C644="魅力",E644&lt;0),E644,0))))</x:f>
        <x:v>0</x:v>
      </x:c>
    </x:row>
    <x:row r="645">
      <x:c r="A645" t="str">
        <x:f>IFERROR(TEXT(VALUE('幕间与结算'!A552),"00"),"")</x:f>
        <x:v>00</x:v>
      </x:c>
      <x:c r="B645">
        <x:f>'幕间与结算'!B552</x:f>
        <x:v>0</x:v>
      </x:c>
      <x:c r="C645">
        <x:f>'幕间与结算'!D552</x:f>
        <x:v>0</x:v>
      </x:c>
      <x:c r="D645">
        <x:f>'幕间与结算'!F552</x:f>
        <x:v>0</x:v>
      </x:c>
      <x:c r="E645">
        <x:f>IF(H645=1,MAX(-'幕间与结算'!E552,MIN(D645,IF(LEFT(C645,3)="技能：",99,IF(COUNTIF($L$2:$L$7,C645)&gt;0,18,999))-'幕间与结算'!E552)),0)</x:f>
        <x:v>0</x:v>
      </x:c>
      <x:c r="F645" t="str">
        <x:f>IF(C645=0,"",IF(G645=0,"记录不完整",IF(H645=0,"重复未计","已计入")))</x:f>
        <x:v/>
      </x:c>
      <x:c r="G645">
        <x:f>IF(AND(AND('幕间与结算'!A552&lt;&gt;"",'幕间与结算'!B552&lt;&gt;"",'幕间与结算'!I552&lt;&gt;"",OR(LEFT(C645,3)="技能：",COUNTIF($L$2:$L$19,C645)&gt;0),ISNUMBER('幕间与结算'!E552),ISNUMBER('幕间与结算'!F552),ISNUMBER('幕间与结算'!G552),'幕间与结算'!E552&gt;=0,'幕间与结算'!G552='幕间与结算'!E552+'幕间与结算'!F552),OR(B645&lt;&gt;"成长",AND(LEFT(C645,3)="技能：",C645&lt;&gt;"技能：非自然知识",'幕间与结算'!E552&gt;=1,'幕间与结算'!E552&lt;=99,'幕间与结算'!F552&gt;=0,'幕间与结算'!F552&lt;=4,'幕间与结算'!G552&lt;=99))),1,0)</x:f>
        <x:v>0</x:v>
      </x:c>
      <x:c r="H645">
        <x:f>IF(AND(G645=1,COUNTIFS($I$200:I645,I645,$G$200:G645,1)=1),1,0)</x:f>
        <x:v>0</x:v>
      </x:c>
      <x:c r="I645" t="str">
        <x:f>IF(G645=1,IF(B645="成长",A645&amp;"-成长-"&amp;C645,'幕间与结算'!I552),"")</x:f>
        <x:v/>
      </x:c>
      <x:c r="BF645">
        <x:f>MAX(0,MIN(18,BF644+IF(C645="力量",E645,0)))</x:f>
        <x:v>0</x:v>
      </x:c>
      <x:c r="BG645">
        <x:f>MAX(0,MIN(18,BG644+IF(C645="体质",E645,0)))</x:f>
        <x:v>0</x:v>
      </x:c>
      <x:c r="BH645">
        <x:f>MAX(0,MIN(18,BH644+IF(C645="敏捷",E645,0)))</x:f>
        <x:v>0</x:v>
      </x:c>
      <x:c r="BI645">
        <x:f>MAX(0,MIN(18,BI644+IF(C645="智力",E645,0)))</x:f>
        <x:v>0</x:v>
      </x:c>
      <x:c r="BJ645">
        <x:f>MAX(0,MIN(18,BJ644+IF(C645="意志",E645,0)))</x:f>
        <x:v>0</x:v>
      </x:c>
      <x:c r="BK645">
        <x:f>MAX(0,MIN(18,BK644+IF(C645="魅力",E645,0)))</x:f>
        <x:v>0</x:v>
      </x:c>
      <x:c r="BL645">
        <x:f>MAX(0,MIN(99,BL644+IF(C645="技能：非自然知识",E645,0)))</x:f>
        <x:v>0</x:v>
      </x:c>
      <x:c r="BM645">
        <x:f>MAX(0,MIN(CEILING((BF645+BG645)/2,1),BM644+IF(C645="体力",E645,0)))</x:f>
        <x:v>0</x:v>
      </x:c>
      <x:c r="BN645">
        <x:f>MAX(0,MIN(BJ645,BN644+IF(C645="毅力",E645,0)))</x:f>
        <x:v>0</x:v>
      </x:c>
      <x:c r="BO645">
        <x:f>MAX(0,MIN(99-BL645,BO644+IF(C645="理智",E645,0)))</x:f>
        <x:v>0</x:v>
      </x:c>
      <x:c r="BP645">
        <x:f>MAX(0,MIN(99,BP644+IF(C645="崩溃点",E645,0)))</x:f>
        <x:v>0</x:v>
      </x:c>
      <x:c r="BQ645">
        <x:f>MAX(0,MIN(BK645,IF(AND(H645=1,C645="重要关系1",LEFT('幕间与结算'!H552,8)="建立新的重要关系"),'幕间与结算'!E552+E645,BQ644+IF(C645="重要关系1",E645,0)+IF(AND(C645="魅力",E645&lt;0),E645,0))))</x:f>
        <x:v>0</x:v>
      </x:c>
      <x:c r="BR645">
        <x:f>MAX(0,MIN(BK645,IF(AND(H645=1,C645="重要关系2",LEFT('幕间与结算'!H552,8)="建立新的重要关系"),'幕间与结算'!E552+E645,BR644+IF(C645="重要关系2",E645,0)+IF(AND(C645="魅力",E645&lt;0),E645,0))))</x:f>
        <x:v>0</x:v>
      </x:c>
      <x:c r="BS645">
        <x:f>MAX(0,MIN(BK645,IF(AND(H645=1,C645="重要关系3",LEFT('幕间与结算'!H552,8)="建立新的重要关系"),'幕间与结算'!E552+E645,BS644+IF(C645="重要关系3",E645,0)+IF(AND(C645="魅力",E645&lt;0),E645,0))))</x:f>
        <x:v>0</x:v>
      </x:c>
      <x:c r="BT645">
        <x:f>MAX(0,MIN(BK645,IF(AND(H645=1,C645="重要关系4",LEFT('幕间与结算'!H552,8)="建立新的重要关系"),'幕间与结算'!E552+E645,BT644+IF(C645="重要关系4",E645,0)+IF(AND(C645="魅力",E645&lt;0),E645,0))))</x:f>
        <x:v>0</x:v>
      </x:c>
      <x:c r="BU645">
        <x:f>MAX(0,MIN(BK645,IF(AND(H645=1,C645="重要关系5",LEFT('幕间与结算'!H552,8)="建立新的重要关系"),'幕间与结算'!E552+E645,BU644+IF(C645="重要关系5",E645,0)+IF(AND(C645="魅力",E645&lt;0),E645,0))))</x:f>
        <x:v>0</x:v>
      </x:c>
      <x:c r="BV645">
        <x:f>MAX(0,MIN(BK645,IF(AND(H645=1,C645="重要关系6",LEFT('幕间与结算'!H552,8)="建立新的重要关系"),'幕间与结算'!E552+E645,BV644+IF(C645="重要关系6",E645,0)+IF(AND(C645="魅力",E645&lt;0),E645,0))))</x:f>
        <x:v>0</x:v>
      </x:c>
      <x:c r="BW645">
        <x:f>MAX(0,MIN(BK645,IF(AND(H645=1,C645="重要关系7",LEFT('幕间与结算'!H552,8)="建立新的重要关系"),'幕间与结算'!E552+E645,BW644+IF(C645="重要关系7",E645,0)+IF(AND(C645="魅力",E645&lt;0),E645,0))))</x:f>
        <x:v>0</x:v>
      </x:c>
    </x:row>
    <x:row r="646">
      <x:c r="A646" t="str">
        <x:f>IFERROR(TEXT(VALUE('幕间与结算'!A553),"00"),"")</x:f>
        <x:v>00</x:v>
      </x:c>
      <x:c r="B646">
        <x:f>'幕间与结算'!B553</x:f>
        <x:v>0</x:v>
      </x:c>
      <x:c r="C646">
        <x:f>'幕间与结算'!D553</x:f>
        <x:v>0</x:v>
      </x:c>
      <x:c r="D646">
        <x:f>'幕间与结算'!F553</x:f>
        <x:v>0</x:v>
      </x:c>
      <x:c r="E646">
        <x:f>IF(H646=1,MAX(-'幕间与结算'!E553,MIN(D646,IF(LEFT(C646,3)="技能：",99,IF(COUNTIF($L$2:$L$7,C646)&gt;0,18,999))-'幕间与结算'!E553)),0)</x:f>
        <x:v>0</x:v>
      </x:c>
      <x:c r="F646" t="str">
        <x:f>IF(C646=0,"",IF(G646=0,"记录不完整",IF(H646=0,"重复未计","已计入")))</x:f>
        <x:v/>
      </x:c>
      <x:c r="G646">
        <x:f>IF(AND(AND('幕间与结算'!A553&lt;&gt;"",'幕间与结算'!B553&lt;&gt;"",'幕间与结算'!I553&lt;&gt;"",OR(LEFT(C646,3)="技能：",COUNTIF($L$2:$L$19,C646)&gt;0),ISNUMBER('幕间与结算'!E553),ISNUMBER('幕间与结算'!F553),ISNUMBER('幕间与结算'!G553),'幕间与结算'!E553&gt;=0,'幕间与结算'!G553='幕间与结算'!E553+'幕间与结算'!F553),OR(B646&lt;&gt;"成长",AND(LEFT(C646,3)="技能：",C646&lt;&gt;"技能：非自然知识",'幕间与结算'!E553&gt;=1,'幕间与结算'!E553&lt;=99,'幕间与结算'!F553&gt;=0,'幕间与结算'!F553&lt;=4,'幕间与结算'!G553&lt;=99))),1,0)</x:f>
        <x:v>0</x:v>
      </x:c>
      <x:c r="H646">
        <x:f>IF(AND(G646=1,COUNTIFS($I$200:I646,I646,$G$200:G646,1)=1),1,0)</x:f>
        <x:v>0</x:v>
      </x:c>
      <x:c r="I646" t="str">
        <x:f>IF(G646=1,IF(B646="成长",A646&amp;"-成长-"&amp;C646,'幕间与结算'!I553),"")</x:f>
        <x:v/>
      </x:c>
      <x:c r="BF646">
        <x:f>MAX(0,MIN(18,BF645+IF(C646="力量",E646,0)))</x:f>
        <x:v>0</x:v>
      </x:c>
      <x:c r="BG646">
        <x:f>MAX(0,MIN(18,BG645+IF(C646="体质",E646,0)))</x:f>
        <x:v>0</x:v>
      </x:c>
      <x:c r="BH646">
        <x:f>MAX(0,MIN(18,BH645+IF(C646="敏捷",E646,0)))</x:f>
        <x:v>0</x:v>
      </x:c>
      <x:c r="BI646">
        <x:f>MAX(0,MIN(18,BI645+IF(C646="智力",E646,0)))</x:f>
        <x:v>0</x:v>
      </x:c>
      <x:c r="BJ646">
        <x:f>MAX(0,MIN(18,BJ645+IF(C646="意志",E646,0)))</x:f>
        <x:v>0</x:v>
      </x:c>
      <x:c r="BK646">
        <x:f>MAX(0,MIN(18,BK645+IF(C646="魅力",E646,0)))</x:f>
        <x:v>0</x:v>
      </x:c>
      <x:c r="BL646">
        <x:f>MAX(0,MIN(99,BL645+IF(C646="技能：非自然知识",E646,0)))</x:f>
        <x:v>0</x:v>
      </x:c>
      <x:c r="BM646">
        <x:f>MAX(0,MIN(CEILING((BF646+BG646)/2,1),BM645+IF(C646="体力",E646,0)))</x:f>
        <x:v>0</x:v>
      </x:c>
      <x:c r="BN646">
        <x:f>MAX(0,MIN(BJ646,BN645+IF(C646="毅力",E646,0)))</x:f>
        <x:v>0</x:v>
      </x:c>
      <x:c r="BO646">
        <x:f>MAX(0,MIN(99-BL646,BO645+IF(C646="理智",E646,0)))</x:f>
        <x:v>0</x:v>
      </x:c>
      <x:c r="BP646">
        <x:f>MAX(0,MIN(99,BP645+IF(C646="崩溃点",E646,0)))</x:f>
        <x:v>0</x:v>
      </x:c>
      <x:c r="BQ646">
        <x:f>MAX(0,MIN(BK646,IF(AND(H646=1,C646="重要关系1",LEFT('幕间与结算'!H553,8)="建立新的重要关系"),'幕间与结算'!E553+E646,BQ645+IF(C646="重要关系1",E646,0)+IF(AND(C646="魅力",E646&lt;0),E646,0))))</x:f>
        <x:v>0</x:v>
      </x:c>
      <x:c r="BR646">
        <x:f>MAX(0,MIN(BK646,IF(AND(H646=1,C646="重要关系2",LEFT('幕间与结算'!H553,8)="建立新的重要关系"),'幕间与结算'!E553+E646,BR645+IF(C646="重要关系2",E646,0)+IF(AND(C646="魅力",E646&lt;0),E646,0))))</x:f>
        <x:v>0</x:v>
      </x:c>
      <x:c r="BS646">
        <x:f>MAX(0,MIN(BK646,IF(AND(H646=1,C646="重要关系3",LEFT('幕间与结算'!H553,8)="建立新的重要关系"),'幕间与结算'!E553+E646,BS645+IF(C646="重要关系3",E646,0)+IF(AND(C646="魅力",E646&lt;0),E646,0))))</x:f>
        <x:v>0</x:v>
      </x:c>
      <x:c r="BT646">
        <x:f>MAX(0,MIN(BK646,IF(AND(H646=1,C646="重要关系4",LEFT('幕间与结算'!H553,8)="建立新的重要关系"),'幕间与结算'!E553+E646,BT645+IF(C646="重要关系4",E646,0)+IF(AND(C646="魅力",E646&lt;0),E646,0))))</x:f>
        <x:v>0</x:v>
      </x:c>
      <x:c r="BU646">
        <x:f>MAX(0,MIN(BK646,IF(AND(H646=1,C646="重要关系5",LEFT('幕间与结算'!H553,8)="建立新的重要关系"),'幕间与结算'!E553+E646,BU645+IF(C646="重要关系5",E646,0)+IF(AND(C646="魅力",E646&lt;0),E646,0))))</x:f>
        <x:v>0</x:v>
      </x:c>
      <x:c r="BV646">
        <x:f>MAX(0,MIN(BK646,IF(AND(H646=1,C646="重要关系6",LEFT('幕间与结算'!H553,8)="建立新的重要关系"),'幕间与结算'!E553+E646,BV645+IF(C646="重要关系6",E646,0)+IF(AND(C646="魅力",E646&lt;0),E646,0))))</x:f>
        <x:v>0</x:v>
      </x:c>
      <x:c r="BW646">
        <x:f>MAX(0,MIN(BK646,IF(AND(H646=1,C646="重要关系7",LEFT('幕间与结算'!H553,8)="建立新的重要关系"),'幕间与结算'!E553+E646,BW645+IF(C646="重要关系7",E646,0)+IF(AND(C646="魅力",E646&lt;0),E646,0))))</x:f>
        <x:v>0</x:v>
      </x:c>
    </x:row>
    <x:row r="647">
      <x:c r="A647" t="str">
        <x:f>IFERROR(TEXT(VALUE('幕间与结算'!A554),"00"),"")</x:f>
        <x:v>00</x:v>
      </x:c>
      <x:c r="B647">
        <x:f>'幕间与结算'!B554</x:f>
        <x:v>0</x:v>
      </x:c>
      <x:c r="C647">
        <x:f>'幕间与结算'!D554</x:f>
        <x:v>0</x:v>
      </x:c>
      <x:c r="D647">
        <x:f>'幕间与结算'!F554</x:f>
        <x:v>0</x:v>
      </x:c>
      <x:c r="E647">
        <x:f>IF(H647=1,MAX(-'幕间与结算'!E554,MIN(D647,IF(LEFT(C647,3)="技能：",99,IF(COUNTIF($L$2:$L$7,C647)&gt;0,18,999))-'幕间与结算'!E554)),0)</x:f>
        <x:v>0</x:v>
      </x:c>
      <x:c r="F647" t="str">
        <x:f>IF(C647=0,"",IF(G647=0,"记录不完整",IF(H647=0,"重复未计","已计入")))</x:f>
        <x:v/>
      </x:c>
      <x:c r="G647">
        <x:f>IF(AND(AND('幕间与结算'!A554&lt;&gt;"",'幕间与结算'!B554&lt;&gt;"",'幕间与结算'!I554&lt;&gt;"",OR(LEFT(C647,3)="技能：",COUNTIF($L$2:$L$19,C647)&gt;0),ISNUMBER('幕间与结算'!E554),ISNUMBER('幕间与结算'!F554),ISNUMBER('幕间与结算'!G554),'幕间与结算'!E554&gt;=0,'幕间与结算'!G554='幕间与结算'!E554+'幕间与结算'!F554),OR(B647&lt;&gt;"成长",AND(LEFT(C647,3)="技能：",C647&lt;&gt;"技能：非自然知识",'幕间与结算'!E554&gt;=1,'幕间与结算'!E554&lt;=99,'幕间与结算'!F554&gt;=0,'幕间与结算'!F554&lt;=4,'幕间与结算'!G554&lt;=99))),1,0)</x:f>
        <x:v>0</x:v>
      </x:c>
      <x:c r="H647">
        <x:f>IF(AND(G647=1,COUNTIFS($I$200:I647,I647,$G$200:G647,1)=1),1,0)</x:f>
        <x:v>0</x:v>
      </x:c>
      <x:c r="I647" t="str">
        <x:f>IF(G647=1,IF(B647="成长",A647&amp;"-成长-"&amp;C647,'幕间与结算'!I554),"")</x:f>
        <x:v/>
      </x:c>
      <x:c r="BF647">
        <x:f>MAX(0,MIN(18,BF646+IF(C647="力量",E647,0)))</x:f>
        <x:v>0</x:v>
      </x:c>
      <x:c r="BG647">
        <x:f>MAX(0,MIN(18,BG646+IF(C647="体质",E647,0)))</x:f>
        <x:v>0</x:v>
      </x:c>
      <x:c r="BH647">
        <x:f>MAX(0,MIN(18,BH646+IF(C647="敏捷",E647,0)))</x:f>
        <x:v>0</x:v>
      </x:c>
      <x:c r="BI647">
        <x:f>MAX(0,MIN(18,BI646+IF(C647="智力",E647,0)))</x:f>
        <x:v>0</x:v>
      </x:c>
      <x:c r="BJ647">
        <x:f>MAX(0,MIN(18,BJ646+IF(C647="意志",E647,0)))</x:f>
        <x:v>0</x:v>
      </x:c>
      <x:c r="BK647">
        <x:f>MAX(0,MIN(18,BK646+IF(C647="魅力",E647,0)))</x:f>
        <x:v>0</x:v>
      </x:c>
      <x:c r="BL647">
        <x:f>MAX(0,MIN(99,BL646+IF(C647="技能：非自然知识",E647,0)))</x:f>
        <x:v>0</x:v>
      </x:c>
      <x:c r="BM647">
        <x:f>MAX(0,MIN(CEILING((BF647+BG647)/2,1),BM646+IF(C647="体力",E647,0)))</x:f>
        <x:v>0</x:v>
      </x:c>
      <x:c r="BN647">
        <x:f>MAX(0,MIN(BJ647,BN646+IF(C647="毅力",E647,0)))</x:f>
        <x:v>0</x:v>
      </x:c>
      <x:c r="BO647">
        <x:f>MAX(0,MIN(99-BL647,BO646+IF(C647="理智",E647,0)))</x:f>
        <x:v>0</x:v>
      </x:c>
      <x:c r="BP647">
        <x:f>MAX(0,MIN(99,BP646+IF(C647="崩溃点",E647,0)))</x:f>
        <x:v>0</x:v>
      </x:c>
      <x:c r="BQ647">
        <x:f>MAX(0,MIN(BK647,IF(AND(H647=1,C647="重要关系1",LEFT('幕间与结算'!H554,8)="建立新的重要关系"),'幕间与结算'!E554+E647,BQ646+IF(C647="重要关系1",E647,0)+IF(AND(C647="魅力",E647&lt;0),E647,0))))</x:f>
        <x:v>0</x:v>
      </x:c>
      <x:c r="BR647">
        <x:f>MAX(0,MIN(BK647,IF(AND(H647=1,C647="重要关系2",LEFT('幕间与结算'!H554,8)="建立新的重要关系"),'幕间与结算'!E554+E647,BR646+IF(C647="重要关系2",E647,0)+IF(AND(C647="魅力",E647&lt;0),E647,0))))</x:f>
        <x:v>0</x:v>
      </x:c>
      <x:c r="BS647">
        <x:f>MAX(0,MIN(BK647,IF(AND(H647=1,C647="重要关系3",LEFT('幕间与结算'!H554,8)="建立新的重要关系"),'幕间与结算'!E554+E647,BS646+IF(C647="重要关系3",E647,0)+IF(AND(C647="魅力",E647&lt;0),E647,0))))</x:f>
        <x:v>0</x:v>
      </x:c>
      <x:c r="BT647">
        <x:f>MAX(0,MIN(BK647,IF(AND(H647=1,C647="重要关系4",LEFT('幕间与结算'!H554,8)="建立新的重要关系"),'幕间与结算'!E554+E647,BT646+IF(C647="重要关系4",E647,0)+IF(AND(C647="魅力",E647&lt;0),E647,0))))</x:f>
        <x:v>0</x:v>
      </x:c>
      <x:c r="BU647">
        <x:f>MAX(0,MIN(BK647,IF(AND(H647=1,C647="重要关系5",LEFT('幕间与结算'!H554,8)="建立新的重要关系"),'幕间与结算'!E554+E647,BU646+IF(C647="重要关系5",E647,0)+IF(AND(C647="魅力",E647&lt;0),E647,0))))</x:f>
        <x:v>0</x:v>
      </x:c>
      <x:c r="BV647">
        <x:f>MAX(0,MIN(BK647,IF(AND(H647=1,C647="重要关系6",LEFT('幕间与结算'!H554,8)="建立新的重要关系"),'幕间与结算'!E554+E647,BV646+IF(C647="重要关系6",E647,0)+IF(AND(C647="魅力",E647&lt;0),E647,0))))</x:f>
        <x:v>0</x:v>
      </x:c>
      <x:c r="BW647">
        <x:f>MAX(0,MIN(BK647,IF(AND(H647=1,C647="重要关系7",LEFT('幕间与结算'!H554,8)="建立新的重要关系"),'幕间与结算'!E554+E647,BW646+IF(C647="重要关系7",E647,0)+IF(AND(C647="魅力",E647&lt;0),E647,0))))</x:f>
        <x:v>0</x:v>
      </x:c>
    </x:row>
    <x:row r="648">
      <x:c r="A648" t="str">
        <x:f>IFERROR(TEXT(VALUE('幕间与结算'!A555),"00"),"")</x:f>
        <x:v>00</x:v>
      </x:c>
      <x:c r="B648">
        <x:f>'幕间与结算'!B555</x:f>
        <x:v>0</x:v>
      </x:c>
      <x:c r="C648">
        <x:f>'幕间与结算'!D555</x:f>
        <x:v>0</x:v>
      </x:c>
      <x:c r="D648">
        <x:f>'幕间与结算'!F555</x:f>
        <x:v>0</x:v>
      </x:c>
      <x:c r="E648">
        <x:f>IF(H648=1,MAX(-'幕间与结算'!E555,MIN(D648,IF(LEFT(C648,3)="技能：",99,IF(COUNTIF($L$2:$L$7,C648)&gt;0,18,999))-'幕间与结算'!E555)),0)</x:f>
        <x:v>0</x:v>
      </x:c>
      <x:c r="F648" t="str">
        <x:f>IF(C648=0,"",IF(G648=0,"记录不完整",IF(H648=0,"重复未计","已计入")))</x:f>
        <x:v/>
      </x:c>
      <x:c r="G648">
        <x:f>IF(AND(AND('幕间与结算'!A555&lt;&gt;"",'幕间与结算'!B555&lt;&gt;"",'幕间与结算'!I555&lt;&gt;"",OR(LEFT(C648,3)="技能：",COUNTIF($L$2:$L$19,C648)&gt;0),ISNUMBER('幕间与结算'!E555),ISNUMBER('幕间与结算'!F555),ISNUMBER('幕间与结算'!G555),'幕间与结算'!E555&gt;=0,'幕间与结算'!G555='幕间与结算'!E555+'幕间与结算'!F555),OR(B648&lt;&gt;"成长",AND(LEFT(C648,3)="技能：",C648&lt;&gt;"技能：非自然知识",'幕间与结算'!E555&gt;=1,'幕间与结算'!E555&lt;=99,'幕间与结算'!F555&gt;=0,'幕间与结算'!F555&lt;=4,'幕间与结算'!G555&lt;=99))),1,0)</x:f>
        <x:v>0</x:v>
      </x:c>
      <x:c r="H648">
        <x:f>IF(AND(G648=1,COUNTIFS($I$200:I648,I648,$G$200:G648,1)=1),1,0)</x:f>
        <x:v>0</x:v>
      </x:c>
      <x:c r="I648" t="str">
        <x:f>IF(G648=1,IF(B648="成长",A648&amp;"-成长-"&amp;C648,'幕间与结算'!I555),"")</x:f>
        <x:v/>
      </x:c>
      <x:c r="BF648">
        <x:f>MAX(0,MIN(18,BF647+IF(C648="力量",E648,0)))</x:f>
        <x:v>0</x:v>
      </x:c>
      <x:c r="BG648">
        <x:f>MAX(0,MIN(18,BG647+IF(C648="体质",E648,0)))</x:f>
        <x:v>0</x:v>
      </x:c>
      <x:c r="BH648">
        <x:f>MAX(0,MIN(18,BH647+IF(C648="敏捷",E648,0)))</x:f>
        <x:v>0</x:v>
      </x:c>
      <x:c r="BI648">
        <x:f>MAX(0,MIN(18,BI647+IF(C648="智力",E648,0)))</x:f>
        <x:v>0</x:v>
      </x:c>
      <x:c r="BJ648">
        <x:f>MAX(0,MIN(18,BJ647+IF(C648="意志",E648,0)))</x:f>
        <x:v>0</x:v>
      </x:c>
      <x:c r="BK648">
        <x:f>MAX(0,MIN(18,BK647+IF(C648="魅力",E648,0)))</x:f>
        <x:v>0</x:v>
      </x:c>
      <x:c r="BL648">
        <x:f>MAX(0,MIN(99,BL647+IF(C648="技能：非自然知识",E648,0)))</x:f>
        <x:v>0</x:v>
      </x:c>
      <x:c r="BM648">
        <x:f>MAX(0,MIN(CEILING((BF648+BG648)/2,1),BM647+IF(C648="体力",E648,0)))</x:f>
        <x:v>0</x:v>
      </x:c>
      <x:c r="BN648">
        <x:f>MAX(0,MIN(BJ648,BN647+IF(C648="毅力",E648,0)))</x:f>
        <x:v>0</x:v>
      </x:c>
      <x:c r="BO648">
        <x:f>MAX(0,MIN(99-BL648,BO647+IF(C648="理智",E648,0)))</x:f>
        <x:v>0</x:v>
      </x:c>
      <x:c r="BP648">
        <x:f>MAX(0,MIN(99,BP647+IF(C648="崩溃点",E648,0)))</x:f>
        <x:v>0</x:v>
      </x:c>
      <x:c r="BQ648">
        <x:f>MAX(0,MIN(BK648,IF(AND(H648=1,C648="重要关系1",LEFT('幕间与结算'!H555,8)="建立新的重要关系"),'幕间与结算'!E555+E648,BQ647+IF(C648="重要关系1",E648,0)+IF(AND(C648="魅力",E648&lt;0),E648,0))))</x:f>
        <x:v>0</x:v>
      </x:c>
      <x:c r="BR648">
        <x:f>MAX(0,MIN(BK648,IF(AND(H648=1,C648="重要关系2",LEFT('幕间与结算'!H555,8)="建立新的重要关系"),'幕间与结算'!E555+E648,BR647+IF(C648="重要关系2",E648,0)+IF(AND(C648="魅力",E648&lt;0),E648,0))))</x:f>
        <x:v>0</x:v>
      </x:c>
      <x:c r="BS648">
        <x:f>MAX(0,MIN(BK648,IF(AND(H648=1,C648="重要关系3",LEFT('幕间与结算'!H555,8)="建立新的重要关系"),'幕间与结算'!E555+E648,BS647+IF(C648="重要关系3",E648,0)+IF(AND(C648="魅力",E648&lt;0),E648,0))))</x:f>
        <x:v>0</x:v>
      </x:c>
      <x:c r="BT648">
        <x:f>MAX(0,MIN(BK648,IF(AND(H648=1,C648="重要关系4",LEFT('幕间与结算'!H555,8)="建立新的重要关系"),'幕间与结算'!E555+E648,BT647+IF(C648="重要关系4",E648,0)+IF(AND(C648="魅力",E648&lt;0),E648,0))))</x:f>
        <x:v>0</x:v>
      </x:c>
      <x:c r="BU648">
        <x:f>MAX(0,MIN(BK648,IF(AND(H648=1,C648="重要关系5",LEFT('幕间与结算'!H555,8)="建立新的重要关系"),'幕间与结算'!E555+E648,BU647+IF(C648="重要关系5",E648,0)+IF(AND(C648="魅力",E648&lt;0),E648,0))))</x:f>
        <x:v>0</x:v>
      </x:c>
      <x:c r="BV648">
        <x:f>MAX(0,MIN(BK648,IF(AND(H648=1,C648="重要关系6",LEFT('幕间与结算'!H555,8)="建立新的重要关系"),'幕间与结算'!E555+E648,BV647+IF(C648="重要关系6",E648,0)+IF(AND(C648="魅力",E648&lt;0),E648,0))))</x:f>
        <x:v>0</x:v>
      </x:c>
      <x:c r="BW648">
        <x:f>MAX(0,MIN(BK648,IF(AND(H648=1,C648="重要关系7",LEFT('幕间与结算'!H555,8)="建立新的重要关系"),'幕间与结算'!E555+E648,BW647+IF(C648="重要关系7",E648,0)+IF(AND(C648="魅力",E648&lt;0),E648,0))))</x:f>
        <x:v>0</x:v>
      </x:c>
    </x:row>
    <x:row r="649">
      <x:c r="A649" t="str">
        <x:f>IFERROR(TEXT(VALUE('幕间与结算'!A556),"00"),"")</x:f>
        <x:v>00</x:v>
      </x:c>
      <x:c r="B649">
        <x:f>'幕间与结算'!B556</x:f>
        <x:v>0</x:v>
      </x:c>
      <x:c r="C649">
        <x:f>'幕间与结算'!D556</x:f>
        <x:v>0</x:v>
      </x:c>
      <x:c r="D649">
        <x:f>'幕间与结算'!F556</x:f>
        <x:v>0</x:v>
      </x:c>
      <x:c r="E649">
        <x:f>IF(H649=1,MAX(-'幕间与结算'!E556,MIN(D649,IF(LEFT(C649,3)="技能：",99,IF(COUNTIF($L$2:$L$7,C649)&gt;0,18,999))-'幕间与结算'!E556)),0)</x:f>
        <x:v>0</x:v>
      </x:c>
      <x:c r="F649" t="str">
        <x:f>IF(C649=0,"",IF(G649=0,"记录不完整",IF(H649=0,"重复未计","已计入")))</x:f>
        <x:v/>
      </x:c>
      <x:c r="G649">
        <x:f>IF(AND(AND('幕间与结算'!A556&lt;&gt;"",'幕间与结算'!B556&lt;&gt;"",'幕间与结算'!I556&lt;&gt;"",OR(LEFT(C649,3)="技能：",COUNTIF($L$2:$L$19,C649)&gt;0),ISNUMBER('幕间与结算'!E556),ISNUMBER('幕间与结算'!F556),ISNUMBER('幕间与结算'!G556),'幕间与结算'!E556&gt;=0,'幕间与结算'!G556='幕间与结算'!E556+'幕间与结算'!F556),OR(B649&lt;&gt;"成长",AND(LEFT(C649,3)="技能：",C649&lt;&gt;"技能：非自然知识",'幕间与结算'!E556&gt;=1,'幕间与结算'!E556&lt;=99,'幕间与结算'!F556&gt;=0,'幕间与结算'!F556&lt;=4,'幕间与结算'!G556&lt;=99))),1,0)</x:f>
        <x:v>0</x:v>
      </x:c>
      <x:c r="H649">
        <x:f>IF(AND(G649=1,COUNTIFS($I$200:I649,I649,$G$200:G649,1)=1),1,0)</x:f>
        <x:v>0</x:v>
      </x:c>
      <x:c r="I649" t="str">
        <x:f>IF(G649=1,IF(B649="成长",A649&amp;"-成长-"&amp;C649,'幕间与结算'!I556),"")</x:f>
        <x:v/>
      </x:c>
      <x:c r="BF649">
        <x:f>MAX(0,MIN(18,BF648+IF(C649="力量",E649,0)))</x:f>
        <x:v>0</x:v>
      </x:c>
      <x:c r="BG649">
        <x:f>MAX(0,MIN(18,BG648+IF(C649="体质",E649,0)))</x:f>
        <x:v>0</x:v>
      </x:c>
      <x:c r="BH649">
        <x:f>MAX(0,MIN(18,BH648+IF(C649="敏捷",E649,0)))</x:f>
        <x:v>0</x:v>
      </x:c>
      <x:c r="BI649">
        <x:f>MAX(0,MIN(18,BI648+IF(C649="智力",E649,0)))</x:f>
        <x:v>0</x:v>
      </x:c>
      <x:c r="BJ649">
        <x:f>MAX(0,MIN(18,BJ648+IF(C649="意志",E649,0)))</x:f>
        <x:v>0</x:v>
      </x:c>
      <x:c r="BK649">
        <x:f>MAX(0,MIN(18,BK648+IF(C649="魅力",E649,0)))</x:f>
        <x:v>0</x:v>
      </x:c>
      <x:c r="BL649">
        <x:f>MAX(0,MIN(99,BL648+IF(C649="技能：非自然知识",E649,0)))</x:f>
        <x:v>0</x:v>
      </x:c>
      <x:c r="BM649">
        <x:f>MAX(0,MIN(CEILING((BF649+BG649)/2,1),BM648+IF(C649="体力",E649,0)))</x:f>
        <x:v>0</x:v>
      </x:c>
      <x:c r="BN649">
        <x:f>MAX(0,MIN(BJ649,BN648+IF(C649="毅力",E649,0)))</x:f>
        <x:v>0</x:v>
      </x:c>
      <x:c r="BO649">
        <x:f>MAX(0,MIN(99-BL649,BO648+IF(C649="理智",E649,0)))</x:f>
        <x:v>0</x:v>
      </x:c>
      <x:c r="BP649">
        <x:f>MAX(0,MIN(99,BP648+IF(C649="崩溃点",E649,0)))</x:f>
        <x:v>0</x:v>
      </x:c>
      <x:c r="BQ649">
        <x:f>MAX(0,MIN(BK649,IF(AND(H649=1,C649="重要关系1",LEFT('幕间与结算'!H556,8)="建立新的重要关系"),'幕间与结算'!E556+E649,BQ648+IF(C649="重要关系1",E649,0)+IF(AND(C649="魅力",E649&lt;0),E649,0))))</x:f>
        <x:v>0</x:v>
      </x:c>
      <x:c r="BR649">
        <x:f>MAX(0,MIN(BK649,IF(AND(H649=1,C649="重要关系2",LEFT('幕间与结算'!H556,8)="建立新的重要关系"),'幕间与结算'!E556+E649,BR648+IF(C649="重要关系2",E649,0)+IF(AND(C649="魅力",E649&lt;0),E649,0))))</x:f>
        <x:v>0</x:v>
      </x:c>
      <x:c r="BS649">
        <x:f>MAX(0,MIN(BK649,IF(AND(H649=1,C649="重要关系3",LEFT('幕间与结算'!H556,8)="建立新的重要关系"),'幕间与结算'!E556+E649,BS648+IF(C649="重要关系3",E649,0)+IF(AND(C649="魅力",E649&lt;0),E649,0))))</x:f>
        <x:v>0</x:v>
      </x:c>
      <x:c r="BT649">
        <x:f>MAX(0,MIN(BK649,IF(AND(H649=1,C649="重要关系4",LEFT('幕间与结算'!H556,8)="建立新的重要关系"),'幕间与结算'!E556+E649,BT648+IF(C649="重要关系4",E649,0)+IF(AND(C649="魅力",E649&lt;0),E649,0))))</x:f>
        <x:v>0</x:v>
      </x:c>
      <x:c r="BU649">
        <x:f>MAX(0,MIN(BK649,IF(AND(H649=1,C649="重要关系5",LEFT('幕间与结算'!H556,8)="建立新的重要关系"),'幕间与结算'!E556+E649,BU648+IF(C649="重要关系5",E649,0)+IF(AND(C649="魅力",E649&lt;0),E649,0))))</x:f>
        <x:v>0</x:v>
      </x:c>
      <x:c r="BV649">
        <x:f>MAX(0,MIN(BK649,IF(AND(H649=1,C649="重要关系6",LEFT('幕间与结算'!H556,8)="建立新的重要关系"),'幕间与结算'!E556+E649,BV648+IF(C649="重要关系6",E649,0)+IF(AND(C649="魅力",E649&lt;0),E649,0))))</x:f>
        <x:v>0</x:v>
      </x:c>
      <x:c r="BW649">
        <x:f>MAX(0,MIN(BK649,IF(AND(H649=1,C649="重要关系7",LEFT('幕间与结算'!H556,8)="建立新的重要关系"),'幕间与结算'!E556+E649,BW648+IF(C649="重要关系7",E649,0)+IF(AND(C649="魅力",E649&lt;0),E649,0))))</x:f>
        <x:v>0</x:v>
      </x:c>
    </x:row>
    <x:row r="650">
      <x:c r="A650" t="str">
        <x:f>IFERROR(TEXT(VALUE('幕间与结算'!A557),"00"),"")</x:f>
        <x:v>00</x:v>
      </x:c>
      <x:c r="B650">
        <x:f>'幕间与结算'!B557</x:f>
        <x:v>0</x:v>
      </x:c>
      <x:c r="C650">
        <x:f>'幕间与结算'!D557</x:f>
        <x:v>0</x:v>
      </x:c>
      <x:c r="D650">
        <x:f>'幕间与结算'!F557</x:f>
        <x:v>0</x:v>
      </x:c>
      <x:c r="E650">
        <x:f>IF(H650=1,MAX(-'幕间与结算'!E557,MIN(D650,IF(LEFT(C650,3)="技能：",99,IF(COUNTIF($L$2:$L$7,C650)&gt;0,18,999))-'幕间与结算'!E557)),0)</x:f>
        <x:v>0</x:v>
      </x:c>
      <x:c r="F650" t="str">
        <x:f>IF(C650=0,"",IF(G650=0,"记录不完整",IF(H650=0,"重复未计","已计入")))</x:f>
        <x:v/>
      </x:c>
      <x:c r="G650">
        <x:f>IF(AND(AND('幕间与结算'!A557&lt;&gt;"",'幕间与结算'!B557&lt;&gt;"",'幕间与结算'!I557&lt;&gt;"",OR(LEFT(C650,3)="技能：",COUNTIF($L$2:$L$19,C650)&gt;0),ISNUMBER('幕间与结算'!E557),ISNUMBER('幕间与结算'!F557),ISNUMBER('幕间与结算'!G557),'幕间与结算'!E557&gt;=0,'幕间与结算'!G557='幕间与结算'!E557+'幕间与结算'!F557),OR(B650&lt;&gt;"成长",AND(LEFT(C650,3)="技能：",C650&lt;&gt;"技能：非自然知识",'幕间与结算'!E557&gt;=1,'幕间与结算'!E557&lt;=99,'幕间与结算'!F557&gt;=0,'幕间与结算'!F557&lt;=4,'幕间与结算'!G557&lt;=99))),1,0)</x:f>
        <x:v>0</x:v>
      </x:c>
      <x:c r="H650">
        <x:f>IF(AND(G650=1,COUNTIFS($I$200:I650,I650,$G$200:G650,1)=1),1,0)</x:f>
        <x:v>0</x:v>
      </x:c>
      <x:c r="I650" t="str">
        <x:f>IF(G650=1,IF(B650="成长",A650&amp;"-成长-"&amp;C650,'幕间与结算'!I557),"")</x:f>
        <x:v/>
      </x:c>
      <x:c r="BF650">
        <x:f>MAX(0,MIN(18,BF649+IF(C650="力量",E650,0)))</x:f>
        <x:v>0</x:v>
      </x:c>
      <x:c r="BG650">
        <x:f>MAX(0,MIN(18,BG649+IF(C650="体质",E650,0)))</x:f>
        <x:v>0</x:v>
      </x:c>
      <x:c r="BH650">
        <x:f>MAX(0,MIN(18,BH649+IF(C650="敏捷",E650,0)))</x:f>
        <x:v>0</x:v>
      </x:c>
      <x:c r="BI650">
        <x:f>MAX(0,MIN(18,BI649+IF(C650="智力",E650,0)))</x:f>
        <x:v>0</x:v>
      </x:c>
      <x:c r="BJ650">
        <x:f>MAX(0,MIN(18,BJ649+IF(C650="意志",E650,0)))</x:f>
        <x:v>0</x:v>
      </x:c>
      <x:c r="BK650">
        <x:f>MAX(0,MIN(18,BK649+IF(C650="魅力",E650,0)))</x:f>
        <x:v>0</x:v>
      </x:c>
      <x:c r="BL650">
        <x:f>MAX(0,MIN(99,BL649+IF(C650="技能：非自然知识",E650,0)))</x:f>
        <x:v>0</x:v>
      </x:c>
      <x:c r="BM650">
        <x:f>MAX(0,MIN(CEILING((BF650+BG650)/2,1),BM649+IF(C650="体力",E650,0)))</x:f>
        <x:v>0</x:v>
      </x:c>
      <x:c r="BN650">
        <x:f>MAX(0,MIN(BJ650,BN649+IF(C650="毅力",E650,0)))</x:f>
        <x:v>0</x:v>
      </x:c>
      <x:c r="BO650">
        <x:f>MAX(0,MIN(99-BL650,BO649+IF(C650="理智",E650,0)))</x:f>
        <x:v>0</x:v>
      </x:c>
      <x:c r="BP650">
        <x:f>MAX(0,MIN(99,BP649+IF(C650="崩溃点",E650,0)))</x:f>
        <x:v>0</x:v>
      </x:c>
      <x:c r="BQ650">
        <x:f>MAX(0,MIN(BK650,IF(AND(H650=1,C650="重要关系1",LEFT('幕间与结算'!H557,8)="建立新的重要关系"),'幕间与结算'!E557+E650,BQ649+IF(C650="重要关系1",E650,0)+IF(AND(C650="魅力",E650&lt;0),E650,0))))</x:f>
        <x:v>0</x:v>
      </x:c>
      <x:c r="BR650">
        <x:f>MAX(0,MIN(BK650,IF(AND(H650=1,C650="重要关系2",LEFT('幕间与结算'!H557,8)="建立新的重要关系"),'幕间与结算'!E557+E650,BR649+IF(C650="重要关系2",E650,0)+IF(AND(C650="魅力",E650&lt;0),E650,0))))</x:f>
        <x:v>0</x:v>
      </x:c>
      <x:c r="BS650">
        <x:f>MAX(0,MIN(BK650,IF(AND(H650=1,C650="重要关系3",LEFT('幕间与结算'!H557,8)="建立新的重要关系"),'幕间与结算'!E557+E650,BS649+IF(C650="重要关系3",E650,0)+IF(AND(C650="魅力",E650&lt;0),E650,0))))</x:f>
        <x:v>0</x:v>
      </x:c>
      <x:c r="BT650">
        <x:f>MAX(0,MIN(BK650,IF(AND(H650=1,C650="重要关系4",LEFT('幕间与结算'!H557,8)="建立新的重要关系"),'幕间与结算'!E557+E650,BT649+IF(C650="重要关系4",E650,0)+IF(AND(C650="魅力",E650&lt;0),E650,0))))</x:f>
        <x:v>0</x:v>
      </x:c>
      <x:c r="BU650">
        <x:f>MAX(0,MIN(BK650,IF(AND(H650=1,C650="重要关系5",LEFT('幕间与结算'!H557,8)="建立新的重要关系"),'幕间与结算'!E557+E650,BU649+IF(C650="重要关系5",E650,0)+IF(AND(C650="魅力",E650&lt;0),E650,0))))</x:f>
        <x:v>0</x:v>
      </x:c>
      <x:c r="BV650">
        <x:f>MAX(0,MIN(BK650,IF(AND(H650=1,C650="重要关系6",LEFT('幕间与结算'!H557,8)="建立新的重要关系"),'幕间与结算'!E557+E650,BV649+IF(C650="重要关系6",E650,0)+IF(AND(C650="魅力",E650&lt;0),E650,0))))</x:f>
        <x:v>0</x:v>
      </x:c>
      <x:c r="BW650">
        <x:f>MAX(0,MIN(BK650,IF(AND(H650=1,C650="重要关系7",LEFT('幕间与结算'!H557,8)="建立新的重要关系"),'幕间与结算'!E557+E650,BW649+IF(C650="重要关系7",E650,0)+IF(AND(C650="魅力",E650&lt;0),E650,0))))</x:f>
        <x:v>0</x:v>
      </x:c>
    </x:row>
    <x:row r="651">
      <x:c r="A651" t="str">
        <x:f>IFERROR(TEXT(VALUE('幕间与结算'!A558),"00"),"")</x:f>
        <x:v>00</x:v>
      </x:c>
      <x:c r="B651">
        <x:f>'幕间与结算'!B558</x:f>
        <x:v>0</x:v>
      </x:c>
      <x:c r="C651">
        <x:f>'幕间与结算'!D558</x:f>
        <x:v>0</x:v>
      </x:c>
      <x:c r="D651">
        <x:f>'幕间与结算'!F558</x:f>
        <x:v>0</x:v>
      </x:c>
      <x:c r="E651">
        <x:f>IF(H651=1,MAX(-'幕间与结算'!E558,MIN(D651,IF(LEFT(C651,3)="技能：",99,IF(COUNTIF($L$2:$L$7,C651)&gt;0,18,999))-'幕间与结算'!E558)),0)</x:f>
        <x:v>0</x:v>
      </x:c>
      <x:c r="F651" t="str">
        <x:f>IF(C651=0,"",IF(G651=0,"记录不完整",IF(H651=0,"重复未计","已计入")))</x:f>
        <x:v/>
      </x:c>
      <x:c r="G651">
        <x:f>IF(AND(AND('幕间与结算'!A558&lt;&gt;"",'幕间与结算'!B558&lt;&gt;"",'幕间与结算'!I558&lt;&gt;"",OR(LEFT(C651,3)="技能：",COUNTIF($L$2:$L$19,C651)&gt;0),ISNUMBER('幕间与结算'!E558),ISNUMBER('幕间与结算'!F558),ISNUMBER('幕间与结算'!G558),'幕间与结算'!E558&gt;=0,'幕间与结算'!G558='幕间与结算'!E558+'幕间与结算'!F558),OR(B651&lt;&gt;"成长",AND(LEFT(C651,3)="技能：",C651&lt;&gt;"技能：非自然知识",'幕间与结算'!E558&gt;=1,'幕间与结算'!E558&lt;=99,'幕间与结算'!F558&gt;=0,'幕间与结算'!F558&lt;=4,'幕间与结算'!G558&lt;=99))),1,0)</x:f>
        <x:v>0</x:v>
      </x:c>
      <x:c r="H651">
        <x:f>IF(AND(G651=1,COUNTIFS($I$200:I651,I651,$G$200:G651,1)=1),1,0)</x:f>
        <x:v>0</x:v>
      </x:c>
      <x:c r="I651" t="str">
        <x:f>IF(G651=1,IF(B651="成长",A651&amp;"-成长-"&amp;C651,'幕间与结算'!I558),"")</x:f>
        <x:v/>
      </x:c>
      <x:c r="BF651">
        <x:f>MAX(0,MIN(18,BF650+IF(C651="力量",E651,0)))</x:f>
        <x:v>0</x:v>
      </x:c>
      <x:c r="BG651">
        <x:f>MAX(0,MIN(18,BG650+IF(C651="体质",E651,0)))</x:f>
        <x:v>0</x:v>
      </x:c>
      <x:c r="BH651">
        <x:f>MAX(0,MIN(18,BH650+IF(C651="敏捷",E651,0)))</x:f>
        <x:v>0</x:v>
      </x:c>
      <x:c r="BI651">
        <x:f>MAX(0,MIN(18,BI650+IF(C651="智力",E651,0)))</x:f>
        <x:v>0</x:v>
      </x:c>
      <x:c r="BJ651">
        <x:f>MAX(0,MIN(18,BJ650+IF(C651="意志",E651,0)))</x:f>
        <x:v>0</x:v>
      </x:c>
      <x:c r="BK651">
        <x:f>MAX(0,MIN(18,BK650+IF(C651="魅力",E651,0)))</x:f>
        <x:v>0</x:v>
      </x:c>
      <x:c r="BL651">
        <x:f>MAX(0,MIN(99,BL650+IF(C651="技能：非自然知识",E651,0)))</x:f>
        <x:v>0</x:v>
      </x:c>
      <x:c r="BM651">
        <x:f>MAX(0,MIN(CEILING((BF651+BG651)/2,1),BM650+IF(C651="体力",E651,0)))</x:f>
        <x:v>0</x:v>
      </x:c>
      <x:c r="BN651">
        <x:f>MAX(0,MIN(BJ651,BN650+IF(C651="毅力",E651,0)))</x:f>
        <x:v>0</x:v>
      </x:c>
      <x:c r="BO651">
        <x:f>MAX(0,MIN(99-BL651,BO650+IF(C651="理智",E651,0)))</x:f>
        <x:v>0</x:v>
      </x:c>
      <x:c r="BP651">
        <x:f>MAX(0,MIN(99,BP650+IF(C651="崩溃点",E651,0)))</x:f>
        <x:v>0</x:v>
      </x:c>
      <x:c r="BQ651">
        <x:f>MAX(0,MIN(BK651,IF(AND(H651=1,C651="重要关系1",LEFT('幕间与结算'!H558,8)="建立新的重要关系"),'幕间与结算'!E558+E651,BQ650+IF(C651="重要关系1",E651,0)+IF(AND(C651="魅力",E651&lt;0),E651,0))))</x:f>
        <x:v>0</x:v>
      </x:c>
      <x:c r="BR651">
        <x:f>MAX(0,MIN(BK651,IF(AND(H651=1,C651="重要关系2",LEFT('幕间与结算'!H558,8)="建立新的重要关系"),'幕间与结算'!E558+E651,BR650+IF(C651="重要关系2",E651,0)+IF(AND(C651="魅力",E651&lt;0),E651,0))))</x:f>
        <x:v>0</x:v>
      </x:c>
      <x:c r="BS651">
        <x:f>MAX(0,MIN(BK651,IF(AND(H651=1,C651="重要关系3",LEFT('幕间与结算'!H558,8)="建立新的重要关系"),'幕间与结算'!E558+E651,BS650+IF(C651="重要关系3",E651,0)+IF(AND(C651="魅力",E651&lt;0),E651,0))))</x:f>
        <x:v>0</x:v>
      </x:c>
      <x:c r="BT651">
        <x:f>MAX(0,MIN(BK651,IF(AND(H651=1,C651="重要关系4",LEFT('幕间与结算'!H558,8)="建立新的重要关系"),'幕间与结算'!E558+E651,BT650+IF(C651="重要关系4",E651,0)+IF(AND(C651="魅力",E651&lt;0),E651,0))))</x:f>
        <x:v>0</x:v>
      </x:c>
      <x:c r="BU651">
        <x:f>MAX(0,MIN(BK651,IF(AND(H651=1,C651="重要关系5",LEFT('幕间与结算'!H558,8)="建立新的重要关系"),'幕间与结算'!E558+E651,BU650+IF(C651="重要关系5",E651,0)+IF(AND(C651="魅力",E651&lt;0),E651,0))))</x:f>
        <x:v>0</x:v>
      </x:c>
      <x:c r="BV651">
        <x:f>MAX(0,MIN(BK651,IF(AND(H651=1,C651="重要关系6",LEFT('幕间与结算'!H558,8)="建立新的重要关系"),'幕间与结算'!E558+E651,BV650+IF(C651="重要关系6",E651,0)+IF(AND(C651="魅力",E651&lt;0),E651,0))))</x:f>
        <x:v>0</x:v>
      </x:c>
      <x:c r="BW651">
        <x:f>MAX(0,MIN(BK651,IF(AND(H651=1,C651="重要关系7",LEFT('幕间与结算'!H558,8)="建立新的重要关系"),'幕间与结算'!E558+E651,BW650+IF(C651="重要关系7",E651,0)+IF(AND(C651="魅力",E651&lt;0),E651,0))))</x:f>
        <x:v>0</x:v>
      </x:c>
    </x:row>
    <x:row r="652">
      <x:c r="A652" t="str">
        <x:f>IFERROR(TEXT(VALUE('幕间与结算'!A559),"00"),"")</x:f>
        <x:v>00</x:v>
      </x:c>
      <x:c r="B652">
        <x:f>'幕间与结算'!B559</x:f>
        <x:v>0</x:v>
      </x:c>
      <x:c r="C652">
        <x:f>'幕间与结算'!D559</x:f>
        <x:v>0</x:v>
      </x:c>
      <x:c r="D652">
        <x:f>'幕间与结算'!F559</x:f>
        <x:v>0</x:v>
      </x:c>
      <x:c r="E652">
        <x:f>IF(H652=1,MAX(-'幕间与结算'!E559,MIN(D652,IF(LEFT(C652,3)="技能：",99,IF(COUNTIF($L$2:$L$7,C652)&gt;0,18,999))-'幕间与结算'!E559)),0)</x:f>
        <x:v>0</x:v>
      </x:c>
      <x:c r="F652" t="str">
        <x:f>IF(C652=0,"",IF(G652=0,"记录不完整",IF(H652=0,"重复未计","已计入")))</x:f>
        <x:v/>
      </x:c>
      <x:c r="G652">
        <x:f>IF(AND(AND('幕间与结算'!A559&lt;&gt;"",'幕间与结算'!B559&lt;&gt;"",'幕间与结算'!I559&lt;&gt;"",OR(LEFT(C652,3)="技能：",COUNTIF($L$2:$L$19,C652)&gt;0),ISNUMBER('幕间与结算'!E559),ISNUMBER('幕间与结算'!F559),ISNUMBER('幕间与结算'!G559),'幕间与结算'!E559&gt;=0,'幕间与结算'!G559='幕间与结算'!E559+'幕间与结算'!F559),OR(B652&lt;&gt;"成长",AND(LEFT(C652,3)="技能：",C652&lt;&gt;"技能：非自然知识",'幕间与结算'!E559&gt;=1,'幕间与结算'!E559&lt;=99,'幕间与结算'!F559&gt;=0,'幕间与结算'!F559&lt;=4,'幕间与结算'!G559&lt;=99))),1,0)</x:f>
        <x:v>0</x:v>
      </x:c>
      <x:c r="H652">
        <x:f>IF(AND(G652=1,COUNTIFS($I$200:I652,I652,$G$200:G652,1)=1),1,0)</x:f>
        <x:v>0</x:v>
      </x:c>
      <x:c r="I652" t="str">
        <x:f>IF(G652=1,IF(B652="成长",A652&amp;"-成长-"&amp;C652,'幕间与结算'!I559),"")</x:f>
        <x:v/>
      </x:c>
      <x:c r="BF652">
        <x:f>MAX(0,MIN(18,BF651+IF(C652="力量",E652,0)))</x:f>
        <x:v>0</x:v>
      </x:c>
      <x:c r="BG652">
        <x:f>MAX(0,MIN(18,BG651+IF(C652="体质",E652,0)))</x:f>
        <x:v>0</x:v>
      </x:c>
      <x:c r="BH652">
        <x:f>MAX(0,MIN(18,BH651+IF(C652="敏捷",E652,0)))</x:f>
        <x:v>0</x:v>
      </x:c>
      <x:c r="BI652">
        <x:f>MAX(0,MIN(18,BI651+IF(C652="智力",E652,0)))</x:f>
        <x:v>0</x:v>
      </x:c>
      <x:c r="BJ652">
        <x:f>MAX(0,MIN(18,BJ651+IF(C652="意志",E652,0)))</x:f>
        <x:v>0</x:v>
      </x:c>
      <x:c r="BK652">
        <x:f>MAX(0,MIN(18,BK651+IF(C652="魅力",E652,0)))</x:f>
        <x:v>0</x:v>
      </x:c>
      <x:c r="BL652">
        <x:f>MAX(0,MIN(99,BL651+IF(C652="技能：非自然知识",E652,0)))</x:f>
        <x:v>0</x:v>
      </x:c>
      <x:c r="BM652">
        <x:f>MAX(0,MIN(CEILING((BF652+BG652)/2,1),BM651+IF(C652="体力",E652,0)))</x:f>
        <x:v>0</x:v>
      </x:c>
      <x:c r="BN652">
        <x:f>MAX(0,MIN(BJ652,BN651+IF(C652="毅力",E652,0)))</x:f>
        <x:v>0</x:v>
      </x:c>
      <x:c r="BO652">
        <x:f>MAX(0,MIN(99-BL652,BO651+IF(C652="理智",E652,0)))</x:f>
        <x:v>0</x:v>
      </x:c>
      <x:c r="BP652">
        <x:f>MAX(0,MIN(99,BP651+IF(C652="崩溃点",E652,0)))</x:f>
        <x:v>0</x:v>
      </x:c>
      <x:c r="BQ652">
        <x:f>MAX(0,MIN(BK652,IF(AND(H652=1,C652="重要关系1",LEFT('幕间与结算'!H559,8)="建立新的重要关系"),'幕间与结算'!E559+E652,BQ651+IF(C652="重要关系1",E652,0)+IF(AND(C652="魅力",E652&lt;0),E652,0))))</x:f>
        <x:v>0</x:v>
      </x:c>
      <x:c r="BR652">
        <x:f>MAX(0,MIN(BK652,IF(AND(H652=1,C652="重要关系2",LEFT('幕间与结算'!H559,8)="建立新的重要关系"),'幕间与结算'!E559+E652,BR651+IF(C652="重要关系2",E652,0)+IF(AND(C652="魅力",E652&lt;0),E652,0))))</x:f>
        <x:v>0</x:v>
      </x:c>
      <x:c r="BS652">
        <x:f>MAX(0,MIN(BK652,IF(AND(H652=1,C652="重要关系3",LEFT('幕间与结算'!H559,8)="建立新的重要关系"),'幕间与结算'!E559+E652,BS651+IF(C652="重要关系3",E652,0)+IF(AND(C652="魅力",E652&lt;0),E652,0))))</x:f>
        <x:v>0</x:v>
      </x:c>
      <x:c r="BT652">
        <x:f>MAX(0,MIN(BK652,IF(AND(H652=1,C652="重要关系4",LEFT('幕间与结算'!H559,8)="建立新的重要关系"),'幕间与结算'!E559+E652,BT651+IF(C652="重要关系4",E652,0)+IF(AND(C652="魅力",E652&lt;0),E652,0))))</x:f>
        <x:v>0</x:v>
      </x:c>
      <x:c r="BU652">
        <x:f>MAX(0,MIN(BK652,IF(AND(H652=1,C652="重要关系5",LEFT('幕间与结算'!H559,8)="建立新的重要关系"),'幕间与结算'!E559+E652,BU651+IF(C652="重要关系5",E652,0)+IF(AND(C652="魅力",E652&lt;0),E652,0))))</x:f>
        <x:v>0</x:v>
      </x:c>
      <x:c r="BV652">
        <x:f>MAX(0,MIN(BK652,IF(AND(H652=1,C652="重要关系6",LEFT('幕间与结算'!H559,8)="建立新的重要关系"),'幕间与结算'!E559+E652,BV651+IF(C652="重要关系6",E652,0)+IF(AND(C652="魅力",E652&lt;0),E652,0))))</x:f>
        <x:v>0</x:v>
      </x:c>
      <x:c r="BW652">
        <x:f>MAX(0,MIN(BK652,IF(AND(H652=1,C652="重要关系7",LEFT('幕间与结算'!H559,8)="建立新的重要关系"),'幕间与结算'!E559+E652,BW651+IF(C652="重要关系7",E652,0)+IF(AND(C652="魅力",E652&lt;0),E652,0))))</x:f>
        <x:v>0</x:v>
      </x:c>
    </x:row>
    <x:row r="653">
      <x:c r="A653" t="str">
        <x:f>IFERROR(TEXT(VALUE('幕间与结算'!A560),"00"),"")</x:f>
        <x:v>00</x:v>
      </x:c>
      <x:c r="B653">
        <x:f>'幕间与结算'!B560</x:f>
        <x:v>0</x:v>
      </x:c>
      <x:c r="C653">
        <x:f>'幕间与结算'!D560</x:f>
        <x:v>0</x:v>
      </x:c>
      <x:c r="D653">
        <x:f>'幕间与结算'!F560</x:f>
        <x:v>0</x:v>
      </x:c>
      <x:c r="E653">
        <x:f>IF(H653=1,MAX(-'幕间与结算'!E560,MIN(D653,IF(LEFT(C653,3)="技能：",99,IF(COUNTIF($L$2:$L$7,C653)&gt;0,18,999))-'幕间与结算'!E560)),0)</x:f>
        <x:v>0</x:v>
      </x:c>
      <x:c r="F653" t="str">
        <x:f>IF(C653=0,"",IF(G653=0,"记录不完整",IF(H653=0,"重复未计","已计入")))</x:f>
        <x:v/>
      </x:c>
      <x:c r="G653">
        <x:f>IF(AND(AND('幕间与结算'!A560&lt;&gt;"",'幕间与结算'!B560&lt;&gt;"",'幕间与结算'!I560&lt;&gt;"",OR(LEFT(C653,3)="技能：",COUNTIF($L$2:$L$19,C653)&gt;0),ISNUMBER('幕间与结算'!E560),ISNUMBER('幕间与结算'!F560),ISNUMBER('幕间与结算'!G560),'幕间与结算'!E560&gt;=0,'幕间与结算'!G560='幕间与结算'!E560+'幕间与结算'!F560),OR(B653&lt;&gt;"成长",AND(LEFT(C653,3)="技能：",C653&lt;&gt;"技能：非自然知识",'幕间与结算'!E560&gt;=1,'幕间与结算'!E560&lt;=99,'幕间与结算'!F560&gt;=0,'幕间与结算'!F560&lt;=4,'幕间与结算'!G560&lt;=99))),1,0)</x:f>
        <x:v>0</x:v>
      </x:c>
      <x:c r="H653">
        <x:f>IF(AND(G653=1,COUNTIFS($I$200:I653,I653,$G$200:G653,1)=1),1,0)</x:f>
        <x:v>0</x:v>
      </x:c>
      <x:c r="I653" t="str">
        <x:f>IF(G653=1,IF(B653="成长",A653&amp;"-成长-"&amp;C653,'幕间与结算'!I560),"")</x:f>
        <x:v/>
      </x:c>
      <x:c r="BF653">
        <x:f>MAX(0,MIN(18,BF652+IF(C653="力量",E653,0)))</x:f>
        <x:v>0</x:v>
      </x:c>
      <x:c r="BG653">
        <x:f>MAX(0,MIN(18,BG652+IF(C653="体质",E653,0)))</x:f>
        <x:v>0</x:v>
      </x:c>
      <x:c r="BH653">
        <x:f>MAX(0,MIN(18,BH652+IF(C653="敏捷",E653,0)))</x:f>
        <x:v>0</x:v>
      </x:c>
      <x:c r="BI653">
        <x:f>MAX(0,MIN(18,BI652+IF(C653="智力",E653,0)))</x:f>
        <x:v>0</x:v>
      </x:c>
      <x:c r="BJ653">
        <x:f>MAX(0,MIN(18,BJ652+IF(C653="意志",E653,0)))</x:f>
        <x:v>0</x:v>
      </x:c>
      <x:c r="BK653">
        <x:f>MAX(0,MIN(18,BK652+IF(C653="魅力",E653,0)))</x:f>
        <x:v>0</x:v>
      </x:c>
      <x:c r="BL653">
        <x:f>MAX(0,MIN(99,BL652+IF(C653="技能：非自然知识",E653,0)))</x:f>
        <x:v>0</x:v>
      </x:c>
      <x:c r="BM653">
        <x:f>MAX(0,MIN(CEILING((BF653+BG653)/2,1),BM652+IF(C653="体力",E653,0)))</x:f>
        <x:v>0</x:v>
      </x:c>
      <x:c r="BN653">
        <x:f>MAX(0,MIN(BJ653,BN652+IF(C653="毅力",E653,0)))</x:f>
        <x:v>0</x:v>
      </x:c>
      <x:c r="BO653">
        <x:f>MAX(0,MIN(99-BL653,BO652+IF(C653="理智",E653,0)))</x:f>
        <x:v>0</x:v>
      </x:c>
      <x:c r="BP653">
        <x:f>MAX(0,MIN(99,BP652+IF(C653="崩溃点",E653,0)))</x:f>
        <x:v>0</x:v>
      </x:c>
      <x:c r="BQ653">
        <x:f>MAX(0,MIN(BK653,IF(AND(H653=1,C653="重要关系1",LEFT('幕间与结算'!H560,8)="建立新的重要关系"),'幕间与结算'!E560+E653,BQ652+IF(C653="重要关系1",E653,0)+IF(AND(C653="魅力",E653&lt;0),E653,0))))</x:f>
        <x:v>0</x:v>
      </x:c>
      <x:c r="BR653">
        <x:f>MAX(0,MIN(BK653,IF(AND(H653=1,C653="重要关系2",LEFT('幕间与结算'!H560,8)="建立新的重要关系"),'幕间与结算'!E560+E653,BR652+IF(C653="重要关系2",E653,0)+IF(AND(C653="魅力",E653&lt;0),E653,0))))</x:f>
        <x:v>0</x:v>
      </x:c>
      <x:c r="BS653">
        <x:f>MAX(0,MIN(BK653,IF(AND(H653=1,C653="重要关系3",LEFT('幕间与结算'!H560,8)="建立新的重要关系"),'幕间与结算'!E560+E653,BS652+IF(C653="重要关系3",E653,0)+IF(AND(C653="魅力",E653&lt;0),E653,0))))</x:f>
        <x:v>0</x:v>
      </x:c>
      <x:c r="BT653">
        <x:f>MAX(0,MIN(BK653,IF(AND(H653=1,C653="重要关系4",LEFT('幕间与结算'!H560,8)="建立新的重要关系"),'幕间与结算'!E560+E653,BT652+IF(C653="重要关系4",E653,0)+IF(AND(C653="魅力",E653&lt;0),E653,0))))</x:f>
        <x:v>0</x:v>
      </x:c>
      <x:c r="BU653">
        <x:f>MAX(0,MIN(BK653,IF(AND(H653=1,C653="重要关系5",LEFT('幕间与结算'!H560,8)="建立新的重要关系"),'幕间与结算'!E560+E653,BU652+IF(C653="重要关系5",E653,0)+IF(AND(C653="魅力",E653&lt;0),E653,0))))</x:f>
        <x:v>0</x:v>
      </x:c>
      <x:c r="BV653">
        <x:f>MAX(0,MIN(BK653,IF(AND(H653=1,C653="重要关系6",LEFT('幕间与结算'!H560,8)="建立新的重要关系"),'幕间与结算'!E560+E653,BV652+IF(C653="重要关系6",E653,0)+IF(AND(C653="魅力",E653&lt;0),E653,0))))</x:f>
        <x:v>0</x:v>
      </x:c>
      <x:c r="BW653">
        <x:f>MAX(0,MIN(BK653,IF(AND(H653=1,C653="重要关系7",LEFT('幕间与结算'!H560,8)="建立新的重要关系"),'幕间与结算'!E560+E653,BW652+IF(C653="重要关系7",E653,0)+IF(AND(C653="魅力",E653&lt;0),E653,0))))</x:f>
        <x:v>0</x:v>
      </x:c>
    </x:row>
    <x:row r="654">
      <x:c r="A654" t="str">
        <x:f>IFERROR(TEXT(VALUE('幕间与结算'!A561),"00"),"")</x:f>
        <x:v>00</x:v>
      </x:c>
      <x:c r="B654">
        <x:f>'幕间与结算'!B561</x:f>
        <x:v>0</x:v>
      </x:c>
      <x:c r="C654">
        <x:f>'幕间与结算'!D561</x:f>
        <x:v>0</x:v>
      </x:c>
      <x:c r="D654">
        <x:f>'幕间与结算'!F561</x:f>
        <x:v>0</x:v>
      </x:c>
      <x:c r="E654">
        <x:f>IF(H654=1,MAX(-'幕间与结算'!E561,MIN(D654,IF(LEFT(C654,3)="技能：",99,IF(COUNTIF($L$2:$L$7,C654)&gt;0,18,999))-'幕间与结算'!E561)),0)</x:f>
        <x:v>0</x:v>
      </x:c>
      <x:c r="F654" t="str">
        <x:f>IF(C654=0,"",IF(G654=0,"记录不完整",IF(H654=0,"重复未计","已计入")))</x:f>
        <x:v/>
      </x:c>
      <x:c r="G654">
        <x:f>IF(AND(AND('幕间与结算'!A561&lt;&gt;"",'幕间与结算'!B561&lt;&gt;"",'幕间与结算'!I561&lt;&gt;"",OR(LEFT(C654,3)="技能：",COUNTIF($L$2:$L$19,C654)&gt;0),ISNUMBER('幕间与结算'!E561),ISNUMBER('幕间与结算'!F561),ISNUMBER('幕间与结算'!G561),'幕间与结算'!E561&gt;=0,'幕间与结算'!G561='幕间与结算'!E561+'幕间与结算'!F561),OR(B654&lt;&gt;"成长",AND(LEFT(C654,3)="技能：",C654&lt;&gt;"技能：非自然知识",'幕间与结算'!E561&gt;=1,'幕间与结算'!E561&lt;=99,'幕间与结算'!F561&gt;=0,'幕间与结算'!F561&lt;=4,'幕间与结算'!G561&lt;=99))),1,0)</x:f>
        <x:v>0</x:v>
      </x:c>
      <x:c r="H654">
        <x:f>IF(AND(G654=1,COUNTIFS($I$200:I654,I654,$G$200:G654,1)=1),1,0)</x:f>
        <x:v>0</x:v>
      </x:c>
      <x:c r="I654" t="str">
        <x:f>IF(G654=1,IF(B654="成长",A654&amp;"-成长-"&amp;C654,'幕间与结算'!I561),"")</x:f>
        <x:v/>
      </x:c>
      <x:c r="BF654">
        <x:f>MAX(0,MIN(18,BF653+IF(C654="力量",E654,0)))</x:f>
        <x:v>0</x:v>
      </x:c>
      <x:c r="BG654">
        <x:f>MAX(0,MIN(18,BG653+IF(C654="体质",E654,0)))</x:f>
        <x:v>0</x:v>
      </x:c>
      <x:c r="BH654">
        <x:f>MAX(0,MIN(18,BH653+IF(C654="敏捷",E654,0)))</x:f>
        <x:v>0</x:v>
      </x:c>
      <x:c r="BI654">
        <x:f>MAX(0,MIN(18,BI653+IF(C654="智力",E654,0)))</x:f>
        <x:v>0</x:v>
      </x:c>
      <x:c r="BJ654">
        <x:f>MAX(0,MIN(18,BJ653+IF(C654="意志",E654,0)))</x:f>
        <x:v>0</x:v>
      </x:c>
      <x:c r="BK654">
        <x:f>MAX(0,MIN(18,BK653+IF(C654="魅力",E654,0)))</x:f>
        <x:v>0</x:v>
      </x:c>
      <x:c r="BL654">
        <x:f>MAX(0,MIN(99,BL653+IF(C654="技能：非自然知识",E654,0)))</x:f>
        <x:v>0</x:v>
      </x:c>
      <x:c r="BM654">
        <x:f>MAX(0,MIN(CEILING((BF654+BG654)/2,1),BM653+IF(C654="体力",E654,0)))</x:f>
        <x:v>0</x:v>
      </x:c>
      <x:c r="BN654">
        <x:f>MAX(0,MIN(BJ654,BN653+IF(C654="毅力",E654,0)))</x:f>
        <x:v>0</x:v>
      </x:c>
      <x:c r="BO654">
        <x:f>MAX(0,MIN(99-BL654,BO653+IF(C654="理智",E654,0)))</x:f>
        <x:v>0</x:v>
      </x:c>
      <x:c r="BP654">
        <x:f>MAX(0,MIN(99,BP653+IF(C654="崩溃点",E654,0)))</x:f>
        <x:v>0</x:v>
      </x:c>
      <x:c r="BQ654">
        <x:f>MAX(0,MIN(BK654,IF(AND(H654=1,C654="重要关系1",LEFT('幕间与结算'!H561,8)="建立新的重要关系"),'幕间与结算'!E561+E654,BQ653+IF(C654="重要关系1",E654,0)+IF(AND(C654="魅力",E654&lt;0),E654,0))))</x:f>
        <x:v>0</x:v>
      </x:c>
      <x:c r="BR654">
        <x:f>MAX(0,MIN(BK654,IF(AND(H654=1,C654="重要关系2",LEFT('幕间与结算'!H561,8)="建立新的重要关系"),'幕间与结算'!E561+E654,BR653+IF(C654="重要关系2",E654,0)+IF(AND(C654="魅力",E654&lt;0),E654,0))))</x:f>
        <x:v>0</x:v>
      </x:c>
      <x:c r="BS654">
        <x:f>MAX(0,MIN(BK654,IF(AND(H654=1,C654="重要关系3",LEFT('幕间与结算'!H561,8)="建立新的重要关系"),'幕间与结算'!E561+E654,BS653+IF(C654="重要关系3",E654,0)+IF(AND(C654="魅力",E654&lt;0),E654,0))))</x:f>
        <x:v>0</x:v>
      </x:c>
      <x:c r="BT654">
        <x:f>MAX(0,MIN(BK654,IF(AND(H654=1,C654="重要关系4",LEFT('幕间与结算'!H561,8)="建立新的重要关系"),'幕间与结算'!E561+E654,BT653+IF(C654="重要关系4",E654,0)+IF(AND(C654="魅力",E654&lt;0),E654,0))))</x:f>
        <x:v>0</x:v>
      </x:c>
      <x:c r="BU654">
        <x:f>MAX(0,MIN(BK654,IF(AND(H654=1,C654="重要关系5",LEFT('幕间与结算'!H561,8)="建立新的重要关系"),'幕间与结算'!E561+E654,BU653+IF(C654="重要关系5",E654,0)+IF(AND(C654="魅力",E654&lt;0),E654,0))))</x:f>
        <x:v>0</x:v>
      </x:c>
      <x:c r="BV654">
        <x:f>MAX(0,MIN(BK654,IF(AND(H654=1,C654="重要关系6",LEFT('幕间与结算'!H561,8)="建立新的重要关系"),'幕间与结算'!E561+E654,BV653+IF(C654="重要关系6",E654,0)+IF(AND(C654="魅力",E654&lt;0),E654,0))))</x:f>
        <x:v>0</x:v>
      </x:c>
      <x:c r="BW654">
        <x:f>MAX(0,MIN(BK654,IF(AND(H654=1,C654="重要关系7",LEFT('幕间与结算'!H561,8)="建立新的重要关系"),'幕间与结算'!E561+E654,BW653+IF(C654="重要关系7",E654,0)+IF(AND(C654="魅力",E654&lt;0),E654,0))))</x:f>
        <x:v>0</x:v>
      </x:c>
    </x:row>
    <x:row r="655">
      <x:c r="A655" t="str">
        <x:f>IFERROR(TEXT(VALUE('幕间与结算'!A562),"00"),"")</x:f>
        <x:v>00</x:v>
      </x:c>
      <x:c r="B655">
        <x:f>'幕间与结算'!B562</x:f>
        <x:v>0</x:v>
      </x:c>
      <x:c r="C655">
        <x:f>'幕间与结算'!D562</x:f>
        <x:v>0</x:v>
      </x:c>
      <x:c r="D655">
        <x:f>'幕间与结算'!F562</x:f>
        <x:v>0</x:v>
      </x:c>
      <x:c r="E655">
        <x:f>IF(H655=1,MAX(-'幕间与结算'!E562,MIN(D655,IF(LEFT(C655,3)="技能：",99,IF(COUNTIF($L$2:$L$7,C655)&gt;0,18,999))-'幕间与结算'!E562)),0)</x:f>
        <x:v>0</x:v>
      </x:c>
      <x:c r="F655" t="str">
        <x:f>IF(C655=0,"",IF(G655=0,"记录不完整",IF(H655=0,"重复未计","已计入")))</x:f>
        <x:v/>
      </x:c>
      <x:c r="G655">
        <x:f>IF(AND(AND('幕间与结算'!A562&lt;&gt;"",'幕间与结算'!B562&lt;&gt;"",'幕间与结算'!I562&lt;&gt;"",OR(LEFT(C655,3)="技能：",COUNTIF($L$2:$L$19,C655)&gt;0),ISNUMBER('幕间与结算'!E562),ISNUMBER('幕间与结算'!F562),ISNUMBER('幕间与结算'!G562),'幕间与结算'!E562&gt;=0,'幕间与结算'!G562='幕间与结算'!E562+'幕间与结算'!F562),OR(B655&lt;&gt;"成长",AND(LEFT(C655,3)="技能：",C655&lt;&gt;"技能：非自然知识",'幕间与结算'!E562&gt;=1,'幕间与结算'!E562&lt;=99,'幕间与结算'!F562&gt;=0,'幕间与结算'!F562&lt;=4,'幕间与结算'!G562&lt;=99))),1,0)</x:f>
        <x:v>0</x:v>
      </x:c>
      <x:c r="H655">
        <x:f>IF(AND(G655=1,COUNTIFS($I$200:I655,I655,$G$200:G655,1)=1),1,0)</x:f>
        <x:v>0</x:v>
      </x:c>
      <x:c r="I655" t="str">
        <x:f>IF(G655=1,IF(B655="成长",A655&amp;"-成长-"&amp;C655,'幕间与结算'!I562),"")</x:f>
        <x:v/>
      </x:c>
      <x:c r="BF655">
        <x:f>MAX(0,MIN(18,BF654+IF(C655="力量",E655,0)))</x:f>
        <x:v>0</x:v>
      </x:c>
      <x:c r="BG655">
        <x:f>MAX(0,MIN(18,BG654+IF(C655="体质",E655,0)))</x:f>
        <x:v>0</x:v>
      </x:c>
      <x:c r="BH655">
        <x:f>MAX(0,MIN(18,BH654+IF(C655="敏捷",E655,0)))</x:f>
        <x:v>0</x:v>
      </x:c>
      <x:c r="BI655">
        <x:f>MAX(0,MIN(18,BI654+IF(C655="智力",E655,0)))</x:f>
        <x:v>0</x:v>
      </x:c>
      <x:c r="BJ655">
        <x:f>MAX(0,MIN(18,BJ654+IF(C655="意志",E655,0)))</x:f>
        <x:v>0</x:v>
      </x:c>
      <x:c r="BK655">
        <x:f>MAX(0,MIN(18,BK654+IF(C655="魅力",E655,0)))</x:f>
        <x:v>0</x:v>
      </x:c>
      <x:c r="BL655">
        <x:f>MAX(0,MIN(99,BL654+IF(C655="技能：非自然知识",E655,0)))</x:f>
        <x:v>0</x:v>
      </x:c>
      <x:c r="BM655">
        <x:f>MAX(0,MIN(CEILING((BF655+BG655)/2,1),BM654+IF(C655="体力",E655,0)))</x:f>
        <x:v>0</x:v>
      </x:c>
      <x:c r="BN655">
        <x:f>MAX(0,MIN(BJ655,BN654+IF(C655="毅力",E655,0)))</x:f>
        <x:v>0</x:v>
      </x:c>
      <x:c r="BO655">
        <x:f>MAX(0,MIN(99-BL655,BO654+IF(C655="理智",E655,0)))</x:f>
        <x:v>0</x:v>
      </x:c>
      <x:c r="BP655">
        <x:f>MAX(0,MIN(99,BP654+IF(C655="崩溃点",E655,0)))</x:f>
        <x:v>0</x:v>
      </x:c>
      <x:c r="BQ655">
        <x:f>MAX(0,MIN(BK655,IF(AND(H655=1,C655="重要关系1",LEFT('幕间与结算'!H562,8)="建立新的重要关系"),'幕间与结算'!E562+E655,BQ654+IF(C655="重要关系1",E655,0)+IF(AND(C655="魅力",E655&lt;0),E655,0))))</x:f>
        <x:v>0</x:v>
      </x:c>
      <x:c r="BR655">
        <x:f>MAX(0,MIN(BK655,IF(AND(H655=1,C655="重要关系2",LEFT('幕间与结算'!H562,8)="建立新的重要关系"),'幕间与结算'!E562+E655,BR654+IF(C655="重要关系2",E655,0)+IF(AND(C655="魅力",E655&lt;0),E655,0))))</x:f>
        <x:v>0</x:v>
      </x:c>
      <x:c r="BS655">
        <x:f>MAX(0,MIN(BK655,IF(AND(H655=1,C655="重要关系3",LEFT('幕间与结算'!H562,8)="建立新的重要关系"),'幕间与结算'!E562+E655,BS654+IF(C655="重要关系3",E655,0)+IF(AND(C655="魅力",E655&lt;0),E655,0))))</x:f>
        <x:v>0</x:v>
      </x:c>
      <x:c r="BT655">
        <x:f>MAX(0,MIN(BK655,IF(AND(H655=1,C655="重要关系4",LEFT('幕间与结算'!H562,8)="建立新的重要关系"),'幕间与结算'!E562+E655,BT654+IF(C655="重要关系4",E655,0)+IF(AND(C655="魅力",E655&lt;0),E655,0))))</x:f>
        <x:v>0</x:v>
      </x:c>
      <x:c r="BU655">
        <x:f>MAX(0,MIN(BK655,IF(AND(H655=1,C655="重要关系5",LEFT('幕间与结算'!H562,8)="建立新的重要关系"),'幕间与结算'!E562+E655,BU654+IF(C655="重要关系5",E655,0)+IF(AND(C655="魅力",E655&lt;0),E655,0))))</x:f>
        <x:v>0</x:v>
      </x:c>
      <x:c r="BV655">
        <x:f>MAX(0,MIN(BK655,IF(AND(H655=1,C655="重要关系6",LEFT('幕间与结算'!H562,8)="建立新的重要关系"),'幕间与结算'!E562+E655,BV654+IF(C655="重要关系6",E655,0)+IF(AND(C655="魅力",E655&lt;0),E655,0))))</x:f>
        <x:v>0</x:v>
      </x:c>
      <x:c r="BW655">
        <x:f>MAX(0,MIN(BK655,IF(AND(H655=1,C655="重要关系7",LEFT('幕间与结算'!H562,8)="建立新的重要关系"),'幕间与结算'!E562+E655,BW654+IF(C655="重要关系7",E655,0)+IF(AND(C655="魅力",E655&lt;0),E655,0))))</x:f>
        <x:v>0</x:v>
      </x:c>
    </x:row>
    <x:row r="656">
      <x:c r="A656" t="str">
        <x:f>IFERROR(TEXT(VALUE('幕间与结算'!A563),"00"),"")</x:f>
        <x:v>00</x:v>
      </x:c>
      <x:c r="B656">
        <x:f>'幕间与结算'!B563</x:f>
        <x:v>0</x:v>
      </x:c>
      <x:c r="C656">
        <x:f>'幕间与结算'!D563</x:f>
        <x:v>0</x:v>
      </x:c>
      <x:c r="D656">
        <x:f>'幕间与结算'!F563</x:f>
        <x:v>0</x:v>
      </x:c>
      <x:c r="E656">
        <x:f>IF(H656=1,MAX(-'幕间与结算'!E563,MIN(D656,IF(LEFT(C656,3)="技能：",99,IF(COUNTIF($L$2:$L$7,C656)&gt;0,18,999))-'幕间与结算'!E563)),0)</x:f>
        <x:v>0</x:v>
      </x:c>
      <x:c r="F656" t="str">
        <x:f>IF(C656=0,"",IF(G656=0,"记录不完整",IF(H656=0,"重复未计","已计入")))</x:f>
        <x:v/>
      </x:c>
      <x:c r="G656">
        <x:f>IF(AND(AND('幕间与结算'!A563&lt;&gt;"",'幕间与结算'!B563&lt;&gt;"",'幕间与结算'!I563&lt;&gt;"",OR(LEFT(C656,3)="技能：",COUNTIF($L$2:$L$19,C656)&gt;0),ISNUMBER('幕间与结算'!E563),ISNUMBER('幕间与结算'!F563),ISNUMBER('幕间与结算'!G563),'幕间与结算'!E563&gt;=0,'幕间与结算'!G563='幕间与结算'!E563+'幕间与结算'!F563),OR(B656&lt;&gt;"成长",AND(LEFT(C656,3)="技能：",C656&lt;&gt;"技能：非自然知识",'幕间与结算'!E563&gt;=1,'幕间与结算'!E563&lt;=99,'幕间与结算'!F563&gt;=0,'幕间与结算'!F563&lt;=4,'幕间与结算'!G563&lt;=99))),1,0)</x:f>
        <x:v>0</x:v>
      </x:c>
      <x:c r="H656">
        <x:f>IF(AND(G656=1,COUNTIFS($I$200:I656,I656,$G$200:G656,1)=1),1,0)</x:f>
        <x:v>0</x:v>
      </x:c>
      <x:c r="I656" t="str">
        <x:f>IF(G656=1,IF(B656="成长",A656&amp;"-成长-"&amp;C656,'幕间与结算'!I563),"")</x:f>
        <x:v/>
      </x:c>
      <x:c r="BF656">
        <x:f>MAX(0,MIN(18,BF655+IF(C656="力量",E656,0)))</x:f>
        <x:v>0</x:v>
      </x:c>
      <x:c r="BG656">
        <x:f>MAX(0,MIN(18,BG655+IF(C656="体质",E656,0)))</x:f>
        <x:v>0</x:v>
      </x:c>
      <x:c r="BH656">
        <x:f>MAX(0,MIN(18,BH655+IF(C656="敏捷",E656,0)))</x:f>
        <x:v>0</x:v>
      </x:c>
      <x:c r="BI656">
        <x:f>MAX(0,MIN(18,BI655+IF(C656="智力",E656,0)))</x:f>
        <x:v>0</x:v>
      </x:c>
      <x:c r="BJ656">
        <x:f>MAX(0,MIN(18,BJ655+IF(C656="意志",E656,0)))</x:f>
        <x:v>0</x:v>
      </x:c>
      <x:c r="BK656">
        <x:f>MAX(0,MIN(18,BK655+IF(C656="魅力",E656,0)))</x:f>
        <x:v>0</x:v>
      </x:c>
      <x:c r="BL656">
        <x:f>MAX(0,MIN(99,BL655+IF(C656="技能：非自然知识",E656,0)))</x:f>
        <x:v>0</x:v>
      </x:c>
      <x:c r="BM656">
        <x:f>MAX(0,MIN(CEILING((BF656+BG656)/2,1),BM655+IF(C656="体力",E656,0)))</x:f>
        <x:v>0</x:v>
      </x:c>
      <x:c r="BN656">
        <x:f>MAX(0,MIN(BJ656,BN655+IF(C656="毅力",E656,0)))</x:f>
        <x:v>0</x:v>
      </x:c>
      <x:c r="BO656">
        <x:f>MAX(0,MIN(99-BL656,BO655+IF(C656="理智",E656,0)))</x:f>
        <x:v>0</x:v>
      </x:c>
      <x:c r="BP656">
        <x:f>MAX(0,MIN(99,BP655+IF(C656="崩溃点",E656,0)))</x:f>
        <x:v>0</x:v>
      </x:c>
      <x:c r="BQ656">
        <x:f>MAX(0,MIN(BK656,IF(AND(H656=1,C656="重要关系1",LEFT('幕间与结算'!H563,8)="建立新的重要关系"),'幕间与结算'!E563+E656,BQ655+IF(C656="重要关系1",E656,0)+IF(AND(C656="魅力",E656&lt;0),E656,0))))</x:f>
        <x:v>0</x:v>
      </x:c>
      <x:c r="BR656">
        <x:f>MAX(0,MIN(BK656,IF(AND(H656=1,C656="重要关系2",LEFT('幕间与结算'!H563,8)="建立新的重要关系"),'幕间与结算'!E563+E656,BR655+IF(C656="重要关系2",E656,0)+IF(AND(C656="魅力",E656&lt;0),E656,0))))</x:f>
        <x:v>0</x:v>
      </x:c>
      <x:c r="BS656">
        <x:f>MAX(0,MIN(BK656,IF(AND(H656=1,C656="重要关系3",LEFT('幕间与结算'!H563,8)="建立新的重要关系"),'幕间与结算'!E563+E656,BS655+IF(C656="重要关系3",E656,0)+IF(AND(C656="魅力",E656&lt;0),E656,0))))</x:f>
        <x:v>0</x:v>
      </x:c>
      <x:c r="BT656">
        <x:f>MAX(0,MIN(BK656,IF(AND(H656=1,C656="重要关系4",LEFT('幕间与结算'!H563,8)="建立新的重要关系"),'幕间与结算'!E563+E656,BT655+IF(C656="重要关系4",E656,0)+IF(AND(C656="魅力",E656&lt;0),E656,0))))</x:f>
        <x:v>0</x:v>
      </x:c>
      <x:c r="BU656">
        <x:f>MAX(0,MIN(BK656,IF(AND(H656=1,C656="重要关系5",LEFT('幕间与结算'!H563,8)="建立新的重要关系"),'幕间与结算'!E563+E656,BU655+IF(C656="重要关系5",E656,0)+IF(AND(C656="魅力",E656&lt;0),E656,0))))</x:f>
        <x:v>0</x:v>
      </x:c>
      <x:c r="BV656">
        <x:f>MAX(0,MIN(BK656,IF(AND(H656=1,C656="重要关系6",LEFT('幕间与结算'!H563,8)="建立新的重要关系"),'幕间与结算'!E563+E656,BV655+IF(C656="重要关系6",E656,0)+IF(AND(C656="魅力",E656&lt;0),E656,0))))</x:f>
        <x:v>0</x:v>
      </x:c>
      <x:c r="BW656">
        <x:f>MAX(0,MIN(BK656,IF(AND(H656=1,C656="重要关系7",LEFT('幕间与结算'!H563,8)="建立新的重要关系"),'幕间与结算'!E563+E656,BW655+IF(C656="重要关系7",E656,0)+IF(AND(C656="魅力",E656&lt;0),E656,0))))</x:f>
        <x:v>0</x:v>
      </x:c>
    </x:row>
    <x:row r="657">
      <x:c r="A657" t="str">
        <x:f>IFERROR(TEXT(VALUE('幕间与结算'!A564),"00"),"")</x:f>
        <x:v>00</x:v>
      </x:c>
      <x:c r="B657">
        <x:f>'幕间与结算'!B564</x:f>
        <x:v>0</x:v>
      </x:c>
      <x:c r="C657">
        <x:f>'幕间与结算'!D564</x:f>
        <x:v>0</x:v>
      </x:c>
      <x:c r="D657">
        <x:f>'幕间与结算'!F564</x:f>
        <x:v>0</x:v>
      </x:c>
      <x:c r="E657">
        <x:f>IF(H657=1,MAX(-'幕间与结算'!E564,MIN(D657,IF(LEFT(C657,3)="技能：",99,IF(COUNTIF($L$2:$L$7,C657)&gt;0,18,999))-'幕间与结算'!E564)),0)</x:f>
        <x:v>0</x:v>
      </x:c>
      <x:c r="F657" t="str">
        <x:f>IF(C657=0,"",IF(G657=0,"记录不完整",IF(H657=0,"重复未计","已计入")))</x:f>
        <x:v/>
      </x:c>
      <x:c r="G657">
        <x:f>IF(AND(AND('幕间与结算'!A564&lt;&gt;"",'幕间与结算'!B564&lt;&gt;"",'幕间与结算'!I564&lt;&gt;"",OR(LEFT(C657,3)="技能：",COUNTIF($L$2:$L$19,C657)&gt;0),ISNUMBER('幕间与结算'!E564),ISNUMBER('幕间与结算'!F564),ISNUMBER('幕间与结算'!G564),'幕间与结算'!E564&gt;=0,'幕间与结算'!G564='幕间与结算'!E564+'幕间与结算'!F564),OR(B657&lt;&gt;"成长",AND(LEFT(C657,3)="技能：",C657&lt;&gt;"技能：非自然知识",'幕间与结算'!E564&gt;=1,'幕间与结算'!E564&lt;=99,'幕间与结算'!F564&gt;=0,'幕间与结算'!F564&lt;=4,'幕间与结算'!G564&lt;=99))),1,0)</x:f>
        <x:v>0</x:v>
      </x:c>
      <x:c r="H657">
        <x:f>IF(AND(G657=1,COUNTIFS($I$200:I657,I657,$G$200:G657,1)=1),1,0)</x:f>
        <x:v>0</x:v>
      </x:c>
      <x:c r="I657" t="str">
        <x:f>IF(G657=1,IF(B657="成长",A657&amp;"-成长-"&amp;C657,'幕间与结算'!I564),"")</x:f>
        <x:v/>
      </x:c>
      <x:c r="BF657">
        <x:f>MAX(0,MIN(18,BF656+IF(C657="力量",E657,0)))</x:f>
        <x:v>0</x:v>
      </x:c>
      <x:c r="BG657">
        <x:f>MAX(0,MIN(18,BG656+IF(C657="体质",E657,0)))</x:f>
        <x:v>0</x:v>
      </x:c>
      <x:c r="BH657">
        <x:f>MAX(0,MIN(18,BH656+IF(C657="敏捷",E657,0)))</x:f>
        <x:v>0</x:v>
      </x:c>
      <x:c r="BI657">
        <x:f>MAX(0,MIN(18,BI656+IF(C657="智力",E657,0)))</x:f>
        <x:v>0</x:v>
      </x:c>
      <x:c r="BJ657">
        <x:f>MAX(0,MIN(18,BJ656+IF(C657="意志",E657,0)))</x:f>
        <x:v>0</x:v>
      </x:c>
      <x:c r="BK657">
        <x:f>MAX(0,MIN(18,BK656+IF(C657="魅力",E657,0)))</x:f>
        <x:v>0</x:v>
      </x:c>
      <x:c r="BL657">
        <x:f>MAX(0,MIN(99,BL656+IF(C657="技能：非自然知识",E657,0)))</x:f>
        <x:v>0</x:v>
      </x:c>
      <x:c r="BM657">
        <x:f>MAX(0,MIN(CEILING((BF657+BG657)/2,1),BM656+IF(C657="体力",E657,0)))</x:f>
        <x:v>0</x:v>
      </x:c>
      <x:c r="BN657">
        <x:f>MAX(0,MIN(BJ657,BN656+IF(C657="毅力",E657,0)))</x:f>
        <x:v>0</x:v>
      </x:c>
      <x:c r="BO657">
        <x:f>MAX(0,MIN(99-BL657,BO656+IF(C657="理智",E657,0)))</x:f>
        <x:v>0</x:v>
      </x:c>
      <x:c r="BP657">
        <x:f>MAX(0,MIN(99,BP656+IF(C657="崩溃点",E657,0)))</x:f>
        <x:v>0</x:v>
      </x:c>
      <x:c r="BQ657">
        <x:f>MAX(0,MIN(BK657,IF(AND(H657=1,C657="重要关系1",LEFT('幕间与结算'!H564,8)="建立新的重要关系"),'幕间与结算'!E564+E657,BQ656+IF(C657="重要关系1",E657,0)+IF(AND(C657="魅力",E657&lt;0),E657,0))))</x:f>
        <x:v>0</x:v>
      </x:c>
      <x:c r="BR657">
        <x:f>MAX(0,MIN(BK657,IF(AND(H657=1,C657="重要关系2",LEFT('幕间与结算'!H564,8)="建立新的重要关系"),'幕间与结算'!E564+E657,BR656+IF(C657="重要关系2",E657,0)+IF(AND(C657="魅力",E657&lt;0),E657,0))))</x:f>
        <x:v>0</x:v>
      </x:c>
      <x:c r="BS657">
        <x:f>MAX(0,MIN(BK657,IF(AND(H657=1,C657="重要关系3",LEFT('幕间与结算'!H564,8)="建立新的重要关系"),'幕间与结算'!E564+E657,BS656+IF(C657="重要关系3",E657,0)+IF(AND(C657="魅力",E657&lt;0),E657,0))))</x:f>
        <x:v>0</x:v>
      </x:c>
      <x:c r="BT657">
        <x:f>MAX(0,MIN(BK657,IF(AND(H657=1,C657="重要关系4",LEFT('幕间与结算'!H564,8)="建立新的重要关系"),'幕间与结算'!E564+E657,BT656+IF(C657="重要关系4",E657,0)+IF(AND(C657="魅力",E657&lt;0),E657,0))))</x:f>
        <x:v>0</x:v>
      </x:c>
      <x:c r="BU657">
        <x:f>MAX(0,MIN(BK657,IF(AND(H657=1,C657="重要关系5",LEFT('幕间与结算'!H564,8)="建立新的重要关系"),'幕间与结算'!E564+E657,BU656+IF(C657="重要关系5",E657,0)+IF(AND(C657="魅力",E657&lt;0),E657,0))))</x:f>
        <x:v>0</x:v>
      </x:c>
      <x:c r="BV657">
        <x:f>MAX(0,MIN(BK657,IF(AND(H657=1,C657="重要关系6",LEFT('幕间与结算'!H564,8)="建立新的重要关系"),'幕间与结算'!E564+E657,BV656+IF(C657="重要关系6",E657,0)+IF(AND(C657="魅力",E657&lt;0),E657,0))))</x:f>
        <x:v>0</x:v>
      </x:c>
      <x:c r="BW657">
        <x:f>MAX(0,MIN(BK657,IF(AND(H657=1,C657="重要关系7",LEFT('幕间与结算'!H564,8)="建立新的重要关系"),'幕间与结算'!E564+E657,BW656+IF(C657="重要关系7",E657,0)+IF(AND(C657="魅力",E657&lt;0),E657,0))))</x:f>
        <x:v>0</x:v>
      </x:c>
    </x:row>
    <x:row r="658">
      <x:c r="A658" t="str">
        <x:f>IFERROR(TEXT(VALUE('幕间与结算'!A565),"00"),"")</x:f>
        <x:v>00</x:v>
      </x:c>
      <x:c r="B658">
        <x:f>'幕间与结算'!B565</x:f>
        <x:v>0</x:v>
      </x:c>
      <x:c r="C658">
        <x:f>'幕间与结算'!D565</x:f>
        <x:v>0</x:v>
      </x:c>
      <x:c r="D658">
        <x:f>'幕间与结算'!F565</x:f>
        <x:v>0</x:v>
      </x:c>
      <x:c r="E658">
        <x:f>IF(H658=1,MAX(-'幕间与结算'!E565,MIN(D658,IF(LEFT(C658,3)="技能：",99,IF(COUNTIF($L$2:$L$7,C658)&gt;0,18,999))-'幕间与结算'!E565)),0)</x:f>
        <x:v>0</x:v>
      </x:c>
      <x:c r="F658" t="str">
        <x:f>IF(C658=0,"",IF(G658=0,"记录不完整",IF(H658=0,"重复未计","已计入")))</x:f>
        <x:v/>
      </x:c>
      <x:c r="G658">
        <x:f>IF(AND(AND('幕间与结算'!A565&lt;&gt;"",'幕间与结算'!B565&lt;&gt;"",'幕间与结算'!I565&lt;&gt;"",OR(LEFT(C658,3)="技能：",COUNTIF($L$2:$L$19,C658)&gt;0),ISNUMBER('幕间与结算'!E565),ISNUMBER('幕间与结算'!F565),ISNUMBER('幕间与结算'!G565),'幕间与结算'!E565&gt;=0,'幕间与结算'!G565='幕间与结算'!E565+'幕间与结算'!F565),OR(B658&lt;&gt;"成长",AND(LEFT(C658,3)="技能：",C658&lt;&gt;"技能：非自然知识",'幕间与结算'!E565&gt;=1,'幕间与结算'!E565&lt;=99,'幕间与结算'!F565&gt;=0,'幕间与结算'!F565&lt;=4,'幕间与结算'!G565&lt;=99))),1,0)</x:f>
        <x:v>0</x:v>
      </x:c>
      <x:c r="H658">
        <x:f>IF(AND(G658=1,COUNTIFS($I$200:I658,I658,$G$200:G658,1)=1),1,0)</x:f>
        <x:v>0</x:v>
      </x:c>
      <x:c r="I658" t="str">
        <x:f>IF(G658=1,IF(B658="成长",A658&amp;"-成长-"&amp;C658,'幕间与结算'!I565),"")</x:f>
        <x:v/>
      </x:c>
      <x:c r="BF658">
        <x:f>MAX(0,MIN(18,BF657+IF(C658="力量",E658,0)))</x:f>
        <x:v>0</x:v>
      </x:c>
      <x:c r="BG658">
        <x:f>MAX(0,MIN(18,BG657+IF(C658="体质",E658,0)))</x:f>
        <x:v>0</x:v>
      </x:c>
      <x:c r="BH658">
        <x:f>MAX(0,MIN(18,BH657+IF(C658="敏捷",E658,0)))</x:f>
        <x:v>0</x:v>
      </x:c>
      <x:c r="BI658">
        <x:f>MAX(0,MIN(18,BI657+IF(C658="智力",E658,0)))</x:f>
        <x:v>0</x:v>
      </x:c>
      <x:c r="BJ658">
        <x:f>MAX(0,MIN(18,BJ657+IF(C658="意志",E658,0)))</x:f>
        <x:v>0</x:v>
      </x:c>
      <x:c r="BK658">
        <x:f>MAX(0,MIN(18,BK657+IF(C658="魅力",E658,0)))</x:f>
        <x:v>0</x:v>
      </x:c>
      <x:c r="BL658">
        <x:f>MAX(0,MIN(99,BL657+IF(C658="技能：非自然知识",E658,0)))</x:f>
        <x:v>0</x:v>
      </x:c>
      <x:c r="BM658">
        <x:f>MAX(0,MIN(CEILING((BF658+BG658)/2,1),BM657+IF(C658="体力",E658,0)))</x:f>
        <x:v>0</x:v>
      </x:c>
      <x:c r="BN658">
        <x:f>MAX(0,MIN(BJ658,BN657+IF(C658="毅力",E658,0)))</x:f>
        <x:v>0</x:v>
      </x:c>
      <x:c r="BO658">
        <x:f>MAX(0,MIN(99-BL658,BO657+IF(C658="理智",E658,0)))</x:f>
        <x:v>0</x:v>
      </x:c>
      <x:c r="BP658">
        <x:f>MAX(0,MIN(99,BP657+IF(C658="崩溃点",E658,0)))</x:f>
        <x:v>0</x:v>
      </x:c>
      <x:c r="BQ658">
        <x:f>MAX(0,MIN(BK658,IF(AND(H658=1,C658="重要关系1",LEFT('幕间与结算'!H565,8)="建立新的重要关系"),'幕间与结算'!E565+E658,BQ657+IF(C658="重要关系1",E658,0)+IF(AND(C658="魅力",E658&lt;0),E658,0))))</x:f>
        <x:v>0</x:v>
      </x:c>
      <x:c r="BR658">
        <x:f>MAX(0,MIN(BK658,IF(AND(H658=1,C658="重要关系2",LEFT('幕间与结算'!H565,8)="建立新的重要关系"),'幕间与结算'!E565+E658,BR657+IF(C658="重要关系2",E658,0)+IF(AND(C658="魅力",E658&lt;0),E658,0))))</x:f>
        <x:v>0</x:v>
      </x:c>
      <x:c r="BS658">
        <x:f>MAX(0,MIN(BK658,IF(AND(H658=1,C658="重要关系3",LEFT('幕间与结算'!H565,8)="建立新的重要关系"),'幕间与结算'!E565+E658,BS657+IF(C658="重要关系3",E658,0)+IF(AND(C658="魅力",E658&lt;0),E658,0))))</x:f>
        <x:v>0</x:v>
      </x:c>
      <x:c r="BT658">
        <x:f>MAX(0,MIN(BK658,IF(AND(H658=1,C658="重要关系4",LEFT('幕间与结算'!H565,8)="建立新的重要关系"),'幕间与结算'!E565+E658,BT657+IF(C658="重要关系4",E658,0)+IF(AND(C658="魅力",E658&lt;0),E658,0))))</x:f>
        <x:v>0</x:v>
      </x:c>
      <x:c r="BU658">
        <x:f>MAX(0,MIN(BK658,IF(AND(H658=1,C658="重要关系5",LEFT('幕间与结算'!H565,8)="建立新的重要关系"),'幕间与结算'!E565+E658,BU657+IF(C658="重要关系5",E658,0)+IF(AND(C658="魅力",E658&lt;0),E658,0))))</x:f>
        <x:v>0</x:v>
      </x:c>
      <x:c r="BV658">
        <x:f>MAX(0,MIN(BK658,IF(AND(H658=1,C658="重要关系6",LEFT('幕间与结算'!H565,8)="建立新的重要关系"),'幕间与结算'!E565+E658,BV657+IF(C658="重要关系6",E658,0)+IF(AND(C658="魅力",E658&lt;0),E658,0))))</x:f>
        <x:v>0</x:v>
      </x:c>
      <x:c r="BW658">
        <x:f>MAX(0,MIN(BK658,IF(AND(H658=1,C658="重要关系7",LEFT('幕间与结算'!H565,8)="建立新的重要关系"),'幕间与结算'!E565+E658,BW657+IF(C658="重要关系7",E658,0)+IF(AND(C658="魅力",E658&lt;0),E658,0))))</x:f>
        <x:v>0</x:v>
      </x:c>
    </x:row>
    <x:row r="659">
      <x:c r="A659" t="str">
        <x:f>IFERROR(TEXT(VALUE('幕间与结算'!A566),"00"),"")</x:f>
        <x:v>00</x:v>
      </x:c>
      <x:c r="B659">
        <x:f>'幕间与结算'!B566</x:f>
        <x:v>0</x:v>
      </x:c>
      <x:c r="C659">
        <x:f>'幕间与结算'!D566</x:f>
        <x:v>0</x:v>
      </x:c>
      <x:c r="D659">
        <x:f>'幕间与结算'!F566</x:f>
        <x:v>0</x:v>
      </x:c>
      <x:c r="E659">
        <x:f>IF(H659=1,MAX(-'幕间与结算'!E566,MIN(D659,IF(LEFT(C659,3)="技能：",99,IF(COUNTIF($L$2:$L$7,C659)&gt;0,18,999))-'幕间与结算'!E566)),0)</x:f>
        <x:v>0</x:v>
      </x:c>
      <x:c r="F659" t="str">
        <x:f>IF(C659=0,"",IF(G659=0,"记录不完整",IF(H659=0,"重复未计","已计入")))</x:f>
        <x:v/>
      </x:c>
      <x:c r="G659">
        <x:f>IF(AND(AND('幕间与结算'!A566&lt;&gt;"",'幕间与结算'!B566&lt;&gt;"",'幕间与结算'!I566&lt;&gt;"",OR(LEFT(C659,3)="技能：",COUNTIF($L$2:$L$19,C659)&gt;0),ISNUMBER('幕间与结算'!E566),ISNUMBER('幕间与结算'!F566),ISNUMBER('幕间与结算'!G566),'幕间与结算'!E566&gt;=0,'幕间与结算'!G566='幕间与结算'!E566+'幕间与结算'!F566),OR(B659&lt;&gt;"成长",AND(LEFT(C659,3)="技能：",C659&lt;&gt;"技能：非自然知识",'幕间与结算'!E566&gt;=1,'幕间与结算'!E566&lt;=99,'幕间与结算'!F566&gt;=0,'幕间与结算'!F566&lt;=4,'幕间与结算'!G566&lt;=99))),1,0)</x:f>
        <x:v>0</x:v>
      </x:c>
      <x:c r="H659">
        <x:f>IF(AND(G659=1,COUNTIFS($I$200:I659,I659,$G$200:G659,1)=1),1,0)</x:f>
        <x:v>0</x:v>
      </x:c>
      <x:c r="I659" t="str">
        <x:f>IF(G659=1,IF(B659="成长",A659&amp;"-成长-"&amp;C659,'幕间与结算'!I566),"")</x:f>
        <x:v/>
      </x:c>
      <x:c r="BF659">
        <x:f>MAX(0,MIN(18,BF658+IF(C659="力量",E659,0)))</x:f>
        <x:v>0</x:v>
      </x:c>
      <x:c r="BG659">
        <x:f>MAX(0,MIN(18,BG658+IF(C659="体质",E659,0)))</x:f>
        <x:v>0</x:v>
      </x:c>
      <x:c r="BH659">
        <x:f>MAX(0,MIN(18,BH658+IF(C659="敏捷",E659,0)))</x:f>
        <x:v>0</x:v>
      </x:c>
      <x:c r="BI659">
        <x:f>MAX(0,MIN(18,BI658+IF(C659="智力",E659,0)))</x:f>
        <x:v>0</x:v>
      </x:c>
      <x:c r="BJ659">
        <x:f>MAX(0,MIN(18,BJ658+IF(C659="意志",E659,0)))</x:f>
        <x:v>0</x:v>
      </x:c>
      <x:c r="BK659">
        <x:f>MAX(0,MIN(18,BK658+IF(C659="魅力",E659,0)))</x:f>
        <x:v>0</x:v>
      </x:c>
      <x:c r="BL659">
        <x:f>MAX(0,MIN(99,BL658+IF(C659="技能：非自然知识",E659,0)))</x:f>
        <x:v>0</x:v>
      </x:c>
      <x:c r="BM659">
        <x:f>MAX(0,MIN(CEILING((BF659+BG659)/2,1),BM658+IF(C659="体力",E659,0)))</x:f>
        <x:v>0</x:v>
      </x:c>
      <x:c r="BN659">
        <x:f>MAX(0,MIN(BJ659,BN658+IF(C659="毅力",E659,0)))</x:f>
        <x:v>0</x:v>
      </x:c>
      <x:c r="BO659">
        <x:f>MAX(0,MIN(99-BL659,BO658+IF(C659="理智",E659,0)))</x:f>
        <x:v>0</x:v>
      </x:c>
      <x:c r="BP659">
        <x:f>MAX(0,MIN(99,BP658+IF(C659="崩溃点",E659,0)))</x:f>
        <x:v>0</x:v>
      </x:c>
      <x:c r="BQ659">
        <x:f>MAX(0,MIN(BK659,IF(AND(H659=1,C659="重要关系1",LEFT('幕间与结算'!H566,8)="建立新的重要关系"),'幕间与结算'!E566+E659,BQ658+IF(C659="重要关系1",E659,0)+IF(AND(C659="魅力",E659&lt;0),E659,0))))</x:f>
        <x:v>0</x:v>
      </x:c>
      <x:c r="BR659">
        <x:f>MAX(0,MIN(BK659,IF(AND(H659=1,C659="重要关系2",LEFT('幕间与结算'!H566,8)="建立新的重要关系"),'幕间与结算'!E566+E659,BR658+IF(C659="重要关系2",E659,0)+IF(AND(C659="魅力",E659&lt;0),E659,0))))</x:f>
        <x:v>0</x:v>
      </x:c>
      <x:c r="BS659">
        <x:f>MAX(0,MIN(BK659,IF(AND(H659=1,C659="重要关系3",LEFT('幕间与结算'!H566,8)="建立新的重要关系"),'幕间与结算'!E566+E659,BS658+IF(C659="重要关系3",E659,0)+IF(AND(C659="魅力",E659&lt;0),E659,0))))</x:f>
        <x:v>0</x:v>
      </x:c>
      <x:c r="BT659">
        <x:f>MAX(0,MIN(BK659,IF(AND(H659=1,C659="重要关系4",LEFT('幕间与结算'!H566,8)="建立新的重要关系"),'幕间与结算'!E566+E659,BT658+IF(C659="重要关系4",E659,0)+IF(AND(C659="魅力",E659&lt;0),E659,0))))</x:f>
        <x:v>0</x:v>
      </x:c>
      <x:c r="BU659">
        <x:f>MAX(0,MIN(BK659,IF(AND(H659=1,C659="重要关系5",LEFT('幕间与结算'!H566,8)="建立新的重要关系"),'幕间与结算'!E566+E659,BU658+IF(C659="重要关系5",E659,0)+IF(AND(C659="魅力",E659&lt;0),E659,0))))</x:f>
        <x:v>0</x:v>
      </x:c>
      <x:c r="BV659">
        <x:f>MAX(0,MIN(BK659,IF(AND(H659=1,C659="重要关系6",LEFT('幕间与结算'!H566,8)="建立新的重要关系"),'幕间与结算'!E566+E659,BV658+IF(C659="重要关系6",E659,0)+IF(AND(C659="魅力",E659&lt;0),E659,0))))</x:f>
        <x:v>0</x:v>
      </x:c>
      <x:c r="BW659">
        <x:f>MAX(0,MIN(BK659,IF(AND(H659=1,C659="重要关系7",LEFT('幕间与结算'!H566,8)="建立新的重要关系"),'幕间与结算'!E566+E659,BW658+IF(C659="重要关系7",E659,0)+IF(AND(C659="魅力",E659&lt;0),E659,0))))</x:f>
        <x:v>0</x:v>
      </x:c>
    </x:row>
    <x:row r="660">
      <x:c r="A660" t="str">
        <x:f>IFERROR(TEXT(VALUE('幕间与结算'!A567),"00"),"")</x:f>
        <x:v>00</x:v>
      </x:c>
      <x:c r="B660">
        <x:f>'幕间与结算'!B567</x:f>
        <x:v>0</x:v>
      </x:c>
      <x:c r="C660">
        <x:f>'幕间与结算'!D567</x:f>
        <x:v>0</x:v>
      </x:c>
      <x:c r="D660">
        <x:f>'幕间与结算'!F567</x:f>
        <x:v>0</x:v>
      </x:c>
      <x:c r="E660">
        <x:f>IF(H660=1,MAX(-'幕间与结算'!E567,MIN(D660,IF(LEFT(C660,3)="技能：",99,IF(COUNTIF($L$2:$L$7,C660)&gt;0,18,999))-'幕间与结算'!E567)),0)</x:f>
        <x:v>0</x:v>
      </x:c>
      <x:c r="F660" t="str">
        <x:f>IF(C660=0,"",IF(G660=0,"记录不完整",IF(H660=0,"重复未计","已计入")))</x:f>
        <x:v/>
      </x:c>
      <x:c r="G660">
        <x:f>IF(AND(AND('幕间与结算'!A567&lt;&gt;"",'幕间与结算'!B567&lt;&gt;"",'幕间与结算'!I567&lt;&gt;"",OR(LEFT(C660,3)="技能：",COUNTIF($L$2:$L$19,C660)&gt;0),ISNUMBER('幕间与结算'!E567),ISNUMBER('幕间与结算'!F567),ISNUMBER('幕间与结算'!G567),'幕间与结算'!E567&gt;=0,'幕间与结算'!G567='幕间与结算'!E567+'幕间与结算'!F567),OR(B660&lt;&gt;"成长",AND(LEFT(C660,3)="技能：",C660&lt;&gt;"技能：非自然知识",'幕间与结算'!E567&gt;=1,'幕间与结算'!E567&lt;=99,'幕间与结算'!F567&gt;=0,'幕间与结算'!F567&lt;=4,'幕间与结算'!G567&lt;=99))),1,0)</x:f>
        <x:v>0</x:v>
      </x:c>
      <x:c r="H660">
        <x:f>IF(AND(G660=1,COUNTIFS($I$200:I660,I660,$G$200:G660,1)=1),1,0)</x:f>
        <x:v>0</x:v>
      </x:c>
      <x:c r="I660" t="str">
        <x:f>IF(G660=1,IF(B660="成长",A660&amp;"-成长-"&amp;C660,'幕间与结算'!I567),"")</x:f>
        <x:v/>
      </x:c>
      <x:c r="BF660">
        <x:f>MAX(0,MIN(18,BF659+IF(C660="力量",E660,0)))</x:f>
        <x:v>0</x:v>
      </x:c>
      <x:c r="BG660">
        <x:f>MAX(0,MIN(18,BG659+IF(C660="体质",E660,0)))</x:f>
        <x:v>0</x:v>
      </x:c>
      <x:c r="BH660">
        <x:f>MAX(0,MIN(18,BH659+IF(C660="敏捷",E660,0)))</x:f>
        <x:v>0</x:v>
      </x:c>
      <x:c r="BI660">
        <x:f>MAX(0,MIN(18,BI659+IF(C660="智力",E660,0)))</x:f>
        <x:v>0</x:v>
      </x:c>
      <x:c r="BJ660">
        <x:f>MAX(0,MIN(18,BJ659+IF(C660="意志",E660,0)))</x:f>
        <x:v>0</x:v>
      </x:c>
      <x:c r="BK660">
        <x:f>MAX(0,MIN(18,BK659+IF(C660="魅力",E660,0)))</x:f>
        <x:v>0</x:v>
      </x:c>
      <x:c r="BL660">
        <x:f>MAX(0,MIN(99,BL659+IF(C660="技能：非自然知识",E660,0)))</x:f>
        <x:v>0</x:v>
      </x:c>
      <x:c r="BM660">
        <x:f>MAX(0,MIN(CEILING((BF660+BG660)/2,1),BM659+IF(C660="体力",E660,0)))</x:f>
        <x:v>0</x:v>
      </x:c>
      <x:c r="BN660">
        <x:f>MAX(0,MIN(BJ660,BN659+IF(C660="毅力",E660,0)))</x:f>
        <x:v>0</x:v>
      </x:c>
      <x:c r="BO660">
        <x:f>MAX(0,MIN(99-BL660,BO659+IF(C660="理智",E660,0)))</x:f>
        <x:v>0</x:v>
      </x:c>
      <x:c r="BP660">
        <x:f>MAX(0,MIN(99,BP659+IF(C660="崩溃点",E660,0)))</x:f>
        <x:v>0</x:v>
      </x:c>
      <x:c r="BQ660">
        <x:f>MAX(0,MIN(BK660,IF(AND(H660=1,C660="重要关系1",LEFT('幕间与结算'!H567,8)="建立新的重要关系"),'幕间与结算'!E567+E660,BQ659+IF(C660="重要关系1",E660,0)+IF(AND(C660="魅力",E660&lt;0),E660,0))))</x:f>
        <x:v>0</x:v>
      </x:c>
      <x:c r="BR660">
        <x:f>MAX(0,MIN(BK660,IF(AND(H660=1,C660="重要关系2",LEFT('幕间与结算'!H567,8)="建立新的重要关系"),'幕间与结算'!E567+E660,BR659+IF(C660="重要关系2",E660,0)+IF(AND(C660="魅力",E660&lt;0),E660,0))))</x:f>
        <x:v>0</x:v>
      </x:c>
      <x:c r="BS660">
        <x:f>MAX(0,MIN(BK660,IF(AND(H660=1,C660="重要关系3",LEFT('幕间与结算'!H567,8)="建立新的重要关系"),'幕间与结算'!E567+E660,BS659+IF(C660="重要关系3",E660,0)+IF(AND(C660="魅力",E660&lt;0),E660,0))))</x:f>
        <x:v>0</x:v>
      </x:c>
      <x:c r="BT660">
        <x:f>MAX(0,MIN(BK660,IF(AND(H660=1,C660="重要关系4",LEFT('幕间与结算'!H567,8)="建立新的重要关系"),'幕间与结算'!E567+E660,BT659+IF(C660="重要关系4",E660,0)+IF(AND(C660="魅力",E660&lt;0),E660,0))))</x:f>
        <x:v>0</x:v>
      </x:c>
      <x:c r="BU660">
        <x:f>MAX(0,MIN(BK660,IF(AND(H660=1,C660="重要关系5",LEFT('幕间与结算'!H567,8)="建立新的重要关系"),'幕间与结算'!E567+E660,BU659+IF(C660="重要关系5",E660,0)+IF(AND(C660="魅力",E660&lt;0),E660,0))))</x:f>
        <x:v>0</x:v>
      </x:c>
      <x:c r="BV660">
        <x:f>MAX(0,MIN(BK660,IF(AND(H660=1,C660="重要关系6",LEFT('幕间与结算'!H567,8)="建立新的重要关系"),'幕间与结算'!E567+E660,BV659+IF(C660="重要关系6",E660,0)+IF(AND(C660="魅力",E660&lt;0),E660,0))))</x:f>
        <x:v>0</x:v>
      </x:c>
      <x:c r="BW660">
        <x:f>MAX(0,MIN(BK660,IF(AND(H660=1,C660="重要关系7",LEFT('幕间与结算'!H567,8)="建立新的重要关系"),'幕间与结算'!E567+E660,BW659+IF(C660="重要关系7",E660,0)+IF(AND(C660="魅力",E660&lt;0),E660,0))))</x:f>
        <x:v>0</x:v>
      </x:c>
    </x:row>
    <x:row r="661">
      <x:c r="A661" t="str">
        <x:f>IFERROR(TEXT(VALUE('幕间与结算'!A568),"00"),"")</x:f>
        <x:v>00</x:v>
      </x:c>
      <x:c r="B661">
        <x:f>'幕间与结算'!B568</x:f>
        <x:v>0</x:v>
      </x:c>
      <x:c r="C661">
        <x:f>'幕间与结算'!D568</x:f>
        <x:v>0</x:v>
      </x:c>
      <x:c r="D661">
        <x:f>'幕间与结算'!F568</x:f>
        <x:v>0</x:v>
      </x:c>
      <x:c r="E661">
        <x:f>IF(H661=1,MAX(-'幕间与结算'!E568,MIN(D661,IF(LEFT(C661,3)="技能：",99,IF(COUNTIF($L$2:$L$7,C661)&gt;0,18,999))-'幕间与结算'!E568)),0)</x:f>
        <x:v>0</x:v>
      </x:c>
      <x:c r="F661" t="str">
        <x:f>IF(C661=0,"",IF(G661=0,"记录不完整",IF(H661=0,"重复未计","已计入")))</x:f>
        <x:v/>
      </x:c>
      <x:c r="G661">
        <x:f>IF(AND(AND('幕间与结算'!A568&lt;&gt;"",'幕间与结算'!B568&lt;&gt;"",'幕间与结算'!I568&lt;&gt;"",OR(LEFT(C661,3)="技能：",COUNTIF($L$2:$L$19,C661)&gt;0),ISNUMBER('幕间与结算'!E568),ISNUMBER('幕间与结算'!F568),ISNUMBER('幕间与结算'!G568),'幕间与结算'!E568&gt;=0,'幕间与结算'!G568='幕间与结算'!E568+'幕间与结算'!F568),OR(B661&lt;&gt;"成长",AND(LEFT(C661,3)="技能：",C661&lt;&gt;"技能：非自然知识",'幕间与结算'!E568&gt;=1,'幕间与结算'!E568&lt;=99,'幕间与结算'!F568&gt;=0,'幕间与结算'!F568&lt;=4,'幕间与结算'!G568&lt;=99))),1,0)</x:f>
        <x:v>0</x:v>
      </x:c>
      <x:c r="H661">
        <x:f>IF(AND(G661=1,COUNTIFS($I$200:I661,I661,$G$200:G661,1)=1),1,0)</x:f>
        <x:v>0</x:v>
      </x:c>
      <x:c r="I661" t="str">
        <x:f>IF(G661=1,IF(B661="成长",A661&amp;"-成长-"&amp;C661,'幕间与结算'!I568),"")</x:f>
        <x:v/>
      </x:c>
      <x:c r="BF661">
        <x:f>MAX(0,MIN(18,BF660+IF(C661="力量",E661,0)))</x:f>
        <x:v>0</x:v>
      </x:c>
      <x:c r="BG661">
        <x:f>MAX(0,MIN(18,BG660+IF(C661="体质",E661,0)))</x:f>
        <x:v>0</x:v>
      </x:c>
      <x:c r="BH661">
        <x:f>MAX(0,MIN(18,BH660+IF(C661="敏捷",E661,0)))</x:f>
        <x:v>0</x:v>
      </x:c>
      <x:c r="BI661">
        <x:f>MAX(0,MIN(18,BI660+IF(C661="智力",E661,0)))</x:f>
        <x:v>0</x:v>
      </x:c>
      <x:c r="BJ661">
        <x:f>MAX(0,MIN(18,BJ660+IF(C661="意志",E661,0)))</x:f>
        <x:v>0</x:v>
      </x:c>
      <x:c r="BK661">
        <x:f>MAX(0,MIN(18,BK660+IF(C661="魅力",E661,0)))</x:f>
        <x:v>0</x:v>
      </x:c>
      <x:c r="BL661">
        <x:f>MAX(0,MIN(99,BL660+IF(C661="技能：非自然知识",E661,0)))</x:f>
        <x:v>0</x:v>
      </x:c>
      <x:c r="BM661">
        <x:f>MAX(0,MIN(CEILING((BF661+BG661)/2,1),BM660+IF(C661="体力",E661,0)))</x:f>
        <x:v>0</x:v>
      </x:c>
      <x:c r="BN661">
        <x:f>MAX(0,MIN(BJ661,BN660+IF(C661="毅力",E661,0)))</x:f>
        <x:v>0</x:v>
      </x:c>
      <x:c r="BO661">
        <x:f>MAX(0,MIN(99-BL661,BO660+IF(C661="理智",E661,0)))</x:f>
        <x:v>0</x:v>
      </x:c>
      <x:c r="BP661">
        <x:f>MAX(0,MIN(99,BP660+IF(C661="崩溃点",E661,0)))</x:f>
        <x:v>0</x:v>
      </x:c>
      <x:c r="BQ661">
        <x:f>MAX(0,MIN(BK661,IF(AND(H661=1,C661="重要关系1",LEFT('幕间与结算'!H568,8)="建立新的重要关系"),'幕间与结算'!E568+E661,BQ660+IF(C661="重要关系1",E661,0)+IF(AND(C661="魅力",E661&lt;0),E661,0))))</x:f>
        <x:v>0</x:v>
      </x:c>
      <x:c r="BR661">
        <x:f>MAX(0,MIN(BK661,IF(AND(H661=1,C661="重要关系2",LEFT('幕间与结算'!H568,8)="建立新的重要关系"),'幕间与结算'!E568+E661,BR660+IF(C661="重要关系2",E661,0)+IF(AND(C661="魅力",E661&lt;0),E661,0))))</x:f>
        <x:v>0</x:v>
      </x:c>
      <x:c r="BS661">
        <x:f>MAX(0,MIN(BK661,IF(AND(H661=1,C661="重要关系3",LEFT('幕间与结算'!H568,8)="建立新的重要关系"),'幕间与结算'!E568+E661,BS660+IF(C661="重要关系3",E661,0)+IF(AND(C661="魅力",E661&lt;0),E661,0))))</x:f>
        <x:v>0</x:v>
      </x:c>
      <x:c r="BT661">
        <x:f>MAX(0,MIN(BK661,IF(AND(H661=1,C661="重要关系4",LEFT('幕间与结算'!H568,8)="建立新的重要关系"),'幕间与结算'!E568+E661,BT660+IF(C661="重要关系4",E661,0)+IF(AND(C661="魅力",E661&lt;0),E661,0))))</x:f>
        <x:v>0</x:v>
      </x:c>
      <x:c r="BU661">
        <x:f>MAX(0,MIN(BK661,IF(AND(H661=1,C661="重要关系5",LEFT('幕间与结算'!H568,8)="建立新的重要关系"),'幕间与结算'!E568+E661,BU660+IF(C661="重要关系5",E661,0)+IF(AND(C661="魅力",E661&lt;0),E661,0))))</x:f>
        <x:v>0</x:v>
      </x:c>
      <x:c r="BV661">
        <x:f>MAX(0,MIN(BK661,IF(AND(H661=1,C661="重要关系6",LEFT('幕间与结算'!H568,8)="建立新的重要关系"),'幕间与结算'!E568+E661,BV660+IF(C661="重要关系6",E661,0)+IF(AND(C661="魅力",E661&lt;0),E661,0))))</x:f>
        <x:v>0</x:v>
      </x:c>
      <x:c r="BW661">
        <x:f>MAX(0,MIN(BK661,IF(AND(H661=1,C661="重要关系7",LEFT('幕间与结算'!H568,8)="建立新的重要关系"),'幕间与结算'!E568+E661,BW660+IF(C661="重要关系7",E661,0)+IF(AND(C661="魅力",E661&lt;0),E661,0))))</x:f>
        <x:v>0</x:v>
      </x:c>
    </x:row>
    <x:row r="662">
      <x:c r="A662" t="str">
        <x:f>IFERROR(TEXT(VALUE('幕间与结算'!A569),"00"),"")</x:f>
        <x:v>00</x:v>
      </x:c>
      <x:c r="B662">
        <x:f>'幕间与结算'!B569</x:f>
        <x:v>0</x:v>
      </x:c>
      <x:c r="C662">
        <x:f>'幕间与结算'!D569</x:f>
        <x:v>0</x:v>
      </x:c>
      <x:c r="D662">
        <x:f>'幕间与结算'!F569</x:f>
        <x:v>0</x:v>
      </x:c>
      <x:c r="E662">
        <x:f>IF(H662=1,MAX(-'幕间与结算'!E569,MIN(D662,IF(LEFT(C662,3)="技能：",99,IF(COUNTIF($L$2:$L$7,C662)&gt;0,18,999))-'幕间与结算'!E569)),0)</x:f>
        <x:v>0</x:v>
      </x:c>
      <x:c r="F662" t="str">
        <x:f>IF(C662=0,"",IF(G662=0,"记录不完整",IF(H662=0,"重复未计","已计入")))</x:f>
        <x:v/>
      </x:c>
      <x:c r="G662">
        <x:f>IF(AND(AND('幕间与结算'!A569&lt;&gt;"",'幕间与结算'!B569&lt;&gt;"",'幕间与结算'!I569&lt;&gt;"",OR(LEFT(C662,3)="技能：",COUNTIF($L$2:$L$19,C662)&gt;0),ISNUMBER('幕间与结算'!E569),ISNUMBER('幕间与结算'!F569),ISNUMBER('幕间与结算'!G569),'幕间与结算'!E569&gt;=0,'幕间与结算'!G569='幕间与结算'!E569+'幕间与结算'!F569),OR(B662&lt;&gt;"成长",AND(LEFT(C662,3)="技能：",C662&lt;&gt;"技能：非自然知识",'幕间与结算'!E569&gt;=1,'幕间与结算'!E569&lt;=99,'幕间与结算'!F569&gt;=0,'幕间与结算'!F569&lt;=4,'幕间与结算'!G569&lt;=99))),1,0)</x:f>
        <x:v>0</x:v>
      </x:c>
      <x:c r="H662">
        <x:f>IF(AND(G662=1,COUNTIFS($I$200:I662,I662,$G$200:G662,1)=1),1,0)</x:f>
        <x:v>0</x:v>
      </x:c>
      <x:c r="I662" t="str">
        <x:f>IF(G662=1,IF(B662="成长",A662&amp;"-成长-"&amp;C662,'幕间与结算'!I569),"")</x:f>
        <x:v/>
      </x:c>
      <x:c r="BF662">
        <x:f>MAX(0,MIN(18,BF661+IF(C662="力量",E662,0)))</x:f>
        <x:v>0</x:v>
      </x:c>
      <x:c r="BG662">
        <x:f>MAX(0,MIN(18,BG661+IF(C662="体质",E662,0)))</x:f>
        <x:v>0</x:v>
      </x:c>
      <x:c r="BH662">
        <x:f>MAX(0,MIN(18,BH661+IF(C662="敏捷",E662,0)))</x:f>
        <x:v>0</x:v>
      </x:c>
      <x:c r="BI662">
        <x:f>MAX(0,MIN(18,BI661+IF(C662="智力",E662,0)))</x:f>
        <x:v>0</x:v>
      </x:c>
      <x:c r="BJ662">
        <x:f>MAX(0,MIN(18,BJ661+IF(C662="意志",E662,0)))</x:f>
        <x:v>0</x:v>
      </x:c>
      <x:c r="BK662">
        <x:f>MAX(0,MIN(18,BK661+IF(C662="魅力",E662,0)))</x:f>
        <x:v>0</x:v>
      </x:c>
      <x:c r="BL662">
        <x:f>MAX(0,MIN(99,BL661+IF(C662="技能：非自然知识",E662,0)))</x:f>
        <x:v>0</x:v>
      </x:c>
      <x:c r="BM662">
        <x:f>MAX(0,MIN(CEILING((BF662+BG662)/2,1),BM661+IF(C662="体力",E662,0)))</x:f>
        <x:v>0</x:v>
      </x:c>
      <x:c r="BN662">
        <x:f>MAX(0,MIN(BJ662,BN661+IF(C662="毅力",E662,0)))</x:f>
        <x:v>0</x:v>
      </x:c>
      <x:c r="BO662">
        <x:f>MAX(0,MIN(99-BL662,BO661+IF(C662="理智",E662,0)))</x:f>
        <x:v>0</x:v>
      </x:c>
      <x:c r="BP662">
        <x:f>MAX(0,MIN(99,BP661+IF(C662="崩溃点",E662,0)))</x:f>
        <x:v>0</x:v>
      </x:c>
      <x:c r="BQ662">
        <x:f>MAX(0,MIN(BK662,IF(AND(H662=1,C662="重要关系1",LEFT('幕间与结算'!H569,8)="建立新的重要关系"),'幕间与结算'!E569+E662,BQ661+IF(C662="重要关系1",E662,0)+IF(AND(C662="魅力",E662&lt;0),E662,0))))</x:f>
        <x:v>0</x:v>
      </x:c>
      <x:c r="BR662">
        <x:f>MAX(0,MIN(BK662,IF(AND(H662=1,C662="重要关系2",LEFT('幕间与结算'!H569,8)="建立新的重要关系"),'幕间与结算'!E569+E662,BR661+IF(C662="重要关系2",E662,0)+IF(AND(C662="魅力",E662&lt;0),E662,0))))</x:f>
        <x:v>0</x:v>
      </x:c>
      <x:c r="BS662">
        <x:f>MAX(0,MIN(BK662,IF(AND(H662=1,C662="重要关系3",LEFT('幕间与结算'!H569,8)="建立新的重要关系"),'幕间与结算'!E569+E662,BS661+IF(C662="重要关系3",E662,0)+IF(AND(C662="魅力",E662&lt;0),E662,0))))</x:f>
        <x:v>0</x:v>
      </x:c>
      <x:c r="BT662">
        <x:f>MAX(0,MIN(BK662,IF(AND(H662=1,C662="重要关系4",LEFT('幕间与结算'!H569,8)="建立新的重要关系"),'幕间与结算'!E569+E662,BT661+IF(C662="重要关系4",E662,0)+IF(AND(C662="魅力",E662&lt;0),E662,0))))</x:f>
        <x:v>0</x:v>
      </x:c>
      <x:c r="BU662">
        <x:f>MAX(0,MIN(BK662,IF(AND(H662=1,C662="重要关系5",LEFT('幕间与结算'!H569,8)="建立新的重要关系"),'幕间与结算'!E569+E662,BU661+IF(C662="重要关系5",E662,0)+IF(AND(C662="魅力",E662&lt;0),E662,0))))</x:f>
        <x:v>0</x:v>
      </x:c>
      <x:c r="BV662">
        <x:f>MAX(0,MIN(BK662,IF(AND(H662=1,C662="重要关系6",LEFT('幕间与结算'!H569,8)="建立新的重要关系"),'幕间与结算'!E569+E662,BV661+IF(C662="重要关系6",E662,0)+IF(AND(C662="魅力",E662&lt;0),E662,0))))</x:f>
        <x:v>0</x:v>
      </x:c>
      <x:c r="BW662">
        <x:f>MAX(0,MIN(BK662,IF(AND(H662=1,C662="重要关系7",LEFT('幕间与结算'!H569,8)="建立新的重要关系"),'幕间与结算'!E569+E662,BW661+IF(C662="重要关系7",E662,0)+IF(AND(C662="魅力",E662&lt;0),E662,0))))</x:f>
        <x:v>0</x:v>
      </x:c>
    </x:row>
    <x:row r="663">
      <x:c r="A663" t="str">
        <x:f>IFERROR(TEXT(VALUE('幕间与结算'!A570),"00"),"")</x:f>
        <x:v>00</x:v>
      </x:c>
      <x:c r="B663">
        <x:f>'幕间与结算'!B570</x:f>
        <x:v>0</x:v>
      </x:c>
      <x:c r="C663">
        <x:f>'幕间与结算'!D570</x:f>
        <x:v>0</x:v>
      </x:c>
      <x:c r="D663">
        <x:f>'幕间与结算'!F570</x:f>
        <x:v>0</x:v>
      </x:c>
      <x:c r="E663">
        <x:f>IF(H663=1,MAX(-'幕间与结算'!E570,MIN(D663,IF(LEFT(C663,3)="技能：",99,IF(COUNTIF($L$2:$L$7,C663)&gt;0,18,999))-'幕间与结算'!E570)),0)</x:f>
        <x:v>0</x:v>
      </x:c>
      <x:c r="F663" t="str">
        <x:f>IF(C663=0,"",IF(G663=0,"记录不完整",IF(H663=0,"重复未计","已计入")))</x:f>
        <x:v/>
      </x:c>
      <x:c r="G663">
        <x:f>IF(AND(AND('幕间与结算'!A570&lt;&gt;"",'幕间与结算'!B570&lt;&gt;"",'幕间与结算'!I570&lt;&gt;"",OR(LEFT(C663,3)="技能：",COUNTIF($L$2:$L$19,C663)&gt;0),ISNUMBER('幕间与结算'!E570),ISNUMBER('幕间与结算'!F570),ISNUMBER('幕间与结算'!G570),'幕间与结算'!E570&gt;=0,'幕间与结算'!G570='幕间与结算'!E570+'幕间与结算'!F570),OR(B663&lt;&gt;"成长",AND(LEFT(C663,3)="技能：",C663&lt;&gt;"技能：非自然知识",'幕间与结算'!E570&gt;=1,'幕间与结算'!E570&lt;=99,'幕间与结算'!F570&gt;=0,'幕间与结算'!F570&lt;=4,'幕间与结算'!G570&lt;=99))),1,0)</x:f>
        <x:v>0</x:v>
      </x:c>
      <x:c r="H663">
        <x:f>IF(AND(G663=1,COUNTIFS($I$200:I663,I663,$G$200:G663,1)=1),1,0)</x:f>
        <x:v>0</x:v>
      </x:c>
      <x:c r="I663" t="str">
        <x:f>IF(G663=1,IF(B663="成长",A663&amp;"-成长-"&amp;C663,'幕间与结算'!I570),"")</x:f>
        <x:v/>
      </x:c>
      <x:c r="BF663">
        <x:f>MAX(0,MIN(18,BF662+IF(C663="力量",E663,0)))</x:f>
        <x:v>0</x:v>
      </x:c>
      <x:c r="BG663">
        <x:f>MAX(0,MIN(18,BG662+IF(C663="体质",E663,0)))</x:f>
        <x:v>0</x:v>
      </x:c>
      <x:c r="BH663">
        <x:f>MAX(0,MIN(18,BH662+IF(C663="敏捷",E663,0)))</x:f>
        <x:v>0</x:v>
      </x:c>
      <x:c r="BI663">
        <x:f>MAX(0,MIN(18,BI662+IF(C663="智力",E663,0)))</x:f>
        <x:v>0</x:v>
      </x:c>
      <x:c r="BJ663">
        <x:f>MAX(0,MIN(18,BJ662+IF(C663="意志",E663,0)))</x:f>
        <x:v>0</x:v>
      </x:c>
      <x:c r="BK663">
        <x:f>MAX(0,MIN(18,BK662+IF(C663="魅力",E663,0)))</x:f>
        <x:v>0</x:v>
      </x:c>
      <x:c r="BL663">
        <x:f>MAX(0,MIN(99,BL662+IF(C663="技能：非自然知识",E663,0)))</x:f>
        <x:v>0</x:v>
      </x:c>
      <x:c r="BM663">
        <x:f>MAX(0,MIN(CEILING((BF663+BG663)/2,1),BM662+IF(C663="体力",E663,0)))</x:f>
        <x:v>0</x:v>
      </x:c>
      <x:c r="BN663">
        <x:f>MAX(0,MIN(BJ663,BN662+IF(C663="毅力",E663,0)))</x:f>
        <x:v>0</x:v>
      </x:c>
      <x:c r="BO663">
        <x:f>MAX(0,MIN(99-BL663,BO662+IF(C663="理智",E663,0)))</x:f>
        <x:v>0</x:v>
      </x:c>
      <x:c r="BP663">
        <x:f>MAX(0,MIN(99,BP662+IF(C663="崩溃点",E663,0)))</x:f>
        <x:v>0</x:v>
      </x:c>
      <x:c r="BQ663">
        <x:f>MAX(0,MIN(BK663,IF(AND(H663=1,C663="重要关系1",LEFT('幕间与结算'!H570,8)="建立新的重要关系"),'幕间与结算'!E570+E663,BQ662+IF(C663="重要关系1",E663,0)+IF(AND(C663="魅力",E663&lt;0),E663,0))))</x:f>
        <x:v>0</x:v>
      </x:c>
      <x:c r="BR663">
        <x:f>MAX(0,MIN(BK663,IF(AND(H663=1,C663="重要关系2",LEFT('幕间与结算'!H570,8)="建立新的重要关系"),'幕间与结算'!E570+E663,BR662+IF(C663="重要关系2",E663,0)+IF(AND(C663="魅力",E663&lt;0),E663,0))))</x:f>
        <x:v>0</x:v>
      </x:c>
      <x:c r="BS663">
        <x:f>MAX(0,MIN(BK663,IF(AND(H663=1,C663="重要关系3",LEFT('幕间与结算'!H570,8)="建立新的重要关系"),'幕间与结算'!E570+E663,BS662+IF(C663="重要关系3",E663,0)+IF(AND(C663="魅力",E663&lt;0),E663,0))))</x:f>
        <x:v>0</x:v>
      </x:c>
      <x:c r="BT663">
        <x:f>MAX(0,MIN(BK663,IF(AND(H663=1,C663="重要关系4",LEFT('幕间与结算'!H570,8)="建立新的重要关系"),'幕间与结算'!E570+E663,BT662+IF(C663="重要关系4",E663,0)+IF(AND(C663="魅力",E663&lt;0),E663,0))))</x:f>
        <x:v>0</x:v>
      </x:c>
      <x:c r="BU663">
        <x:f>MAX(0,MIN(BK663,IF(AND(H663=1,C663="重要关系5",LEFT('幕间与结算'!H570,8)="建立新的重要关系"),'幕间与结算'!E570+E663,BU662+IF(C663="重要关系5",E663,0)+IF(AND(C663="魅力",E663&lt;0),E663,0))))</x:f>
        <x:v>0</x:v>
      </x:c>
      <x:c r="BV663">
        <x:f>MAX(0,MIN(BK663,IF(AND(H663=1,C663="重要关系6",LEFT('幕间与结算'!H570,8)="建立新的重要关系"),'幕间与结算'!E570+E663,BV662+IF(C663="重要关系6",E663,0)+IF(AND(C663="魅力",E663&lt;0),E663,0))))</x:f>
        <x:v>0</x:v>
      </x:c>
      <x:c r="BW663">
        <x:f>MAX(0,MIN(BK663,IF(AND(H663=1,C663="重要关系7",LEFT('幕间与结算'!H570,8)="建立新的重要关系"),'幕间与结算'!E570+E663,BW662+IF(C663="重要关系7",E663,0)+IF(AND(C663="魅力",E663&lt;0),E663,0))))</x:f>
        <x:v>0</x:v>
      </x:c>
    </x:row>
    <x:row r="664">
      <x:c r="A664" t="str">
        <x:f>IFERROR(TEXT(VALUE('幕间与结算'!A571),"00"),"")</x:f>
        <x:v>00</x:v>
      </x:c>
      <x:c r="B664">
        <x:f>'幕间与结算'!B571</x:f>
        <x:v>0</x:v>
      </x:c>
      <x:c r="C664">
        <x:f>'幕间与结算'!D571</x:f>
        <x:v>0</x:v>
      </x:c>
      <x:c r="D664">
        <x:f>'幕间与结算'!F571</x:f>
        <x:v>0</x:v>
      </x:c>
      <x:c r="E664">
        <x:f>IF(H664=1,MAX(-'幕间与结算'!E571,MIN(D664,IF(LEFT(C664,3)="技能：",99,IF(COUNTIF($L$2:$L$7,C664)&gt;0,18,999))-'幕间与结算'!E571)),0)</x:f>
        <x:v>0</x:v>
      </x:c>
      <x:c r="F664" t="str">
        <x:f>IF(C664=0,"",IF(G664=0,"记录不完整",IF(H664=0,"重复未计","已计入")))</x:f>
        <x:v/>
      </x:c>
      <x:c r="G664">
        <x:f>IF(AND(AND('幕间与结算'!A571&lt;&gt;"",'幕间与结算'!B571&lt;&gt;"",'幕间与结算'!I571&lt;&gt;"",OR(LEFT(C664,3)="技能：",COUNTIF($L$2:$L$19,C664)&gt;0),ISNUMBER('幕间与结算'!E571),ISNUMBER('幕间与结算'!F571),ISNUMBER('幕间与结算'!G571),'幕间与结算'!E571&gt;=0,'幕间与结算'!G571='幕间与结算'!E571+'幕间与结算'!F571),OR(B664&lt;&gt;"成长",AND(LEFT(C664,3)="技能：",C664&lt;&gt;"技能：非自然知识",'幕间与结算'!E571&gt;=1,'幕间与结算'!E571&lt;=99,'幕间与结算'!F571&gt;=0,'幕间与结算'!F571&lt;=4,'幕间与结算'!G571&lt;=99))),1,0)</x:f>
        <x:v>0</x:v>
      </x:c>
      <x:c r="H664">
        <x:f>IF(AND(G664=1,COUNTIFS($I$200:I664,I664,$G$200:G664,1)=1),1,0)</x:f>
        <x:v>0</x:v>
      </x:c>
      <x:c r="I664" t="str">
        <x:f>IF(G664=1,IF(B664="成长",A664&amp;"-成长-"&amp;C664,'幕间与结算'!I571),"")</x:f>
        <x:v/>
      </x:c>
      <x:c r="BF664">
        <x:f>MAX(0,MIN(18,BF663+IF(C664="力量",E664,0)))</x:f>
        <x:v>0</x:v>
      </x:c>
      <x:c r="BG664">
        <x:f>MAX(0,MIN(18,BG663+IF(C664="体质",E664,0)))</x:f>
        <x:v>0</x:v>
      </x:c>
      <x:c r="BH664">
        <x:f>MAX(0,MIN(18,BH663+IF(C664="敏捷",E664,0)))</x:f>
        <x:v>0</x:v>
      </x:c>
      <x:c r="BI664">
        <x:f>MAX(0,MIN(18,BI663+IF(C664="智力",E664,0)))</x:f>
        <x:v>0</x:v>
      </x:c>
      <x:c r="BJ664">
        <x:f>MAX(0,MIN(18,BJ663+IF(C664="意志",E664,0)))</x:f>
        <x:v>0</x:v>
      </x:c>
      <x:c r="BK664">
        <x:f>MAX(0,MIN(18,BK663+IF(C664="魅力",E664,0)))</x:f>
        <x:v>0</x:v>
      </x:c>
      <x:c r="BL664">
        <x:f>MAX(0,MIN(99,BL663+IF(C664="技能：非自然知识",E664,0)))</x:f>
        <x:v>0</x:v>
      </x:c>
      <x:c r="BM664">
        <x:f>MAX(0,MIN(CEILING((BF664+BG664)/2,1),BM663+IF(C664="体力",E664,0)))</x:f>
        <x:v>0</x:v>
      </x:c>
      <x:c r="BN664">
        <x:f>MAX(0,MIN(BJ664,BN663+IF(C664="毅力",E664,0)))</x:f>
        <x:v>0</x:v>
      </x:c>
      <x:c r="BO664">
        <x:f>MAX(0,MIN(99-BL664,BO663+IF(C664="理智",E664,0)))</x:f>
        <x:v>0</x:v>
      </x:c>
      <x:c r="BP664">
        <x:f>MAX(0,MIN(99,BP663+IF(C664="崩溃点",E664,0)))</x:f>
        <x:v>0</x:v>
      </x:c>
      <x:c r="BQ664">
        <x:f>MAX(0,MIN(BK664,IF(AND(H664=1,C664="重要关系1",LEFT('幕间与结算'!H571,8)="建立新的重要关系"),'幕间与结算'!E571+E664,BQ663+IF(C664="重要关系1",E664,0)+IF(AND(C664="魅力",E664&lt;0),E664,0))))</x:f>
        <x:v>0</x:v>
      </x:c>
      <x:c r="BR664">
        <x:f>MAX(0,MIN(BK664,IF(AND(H664=1,C664="重要关系2",LEFT('幕间与结算'!H571,8)="建立新的重要关系"),'幕间与结算'!E571+E664,BR663+IF(C664="重要关系2",E664,0)+IF(AND(C664="魅力",E664&lt;0),E664,0))))</x:f>
        <x:v>0</x:v>
      </x:c>
      <x:c r="BS664">
        <x:f>MAX(0,MIN(BK664,IF(AND(H664=1,C664="重要关系3",LEFT('幕间与结算'!H571,8)="建立新的重要关系"),'幕间与结算'!E571+E664,BS663+IF(C664="重要关系3",E664,0)+IF(AND(C664="魅力",E664&lt;0),E664,0))))</x:f>
        <x:v>0</x:v>
      </x:c>
      <x:c r="BT664">
        <x:f>MAX(0,MIN(BK664,IF(AND(H664=1,C664="重要关系4",LEFT('幕间与结算'!H571,8)="建立新的重要关系"),'幕间与结算'!E571+E664,BT663+IF(C664="重要关系4",E664,0)+IF(AND(C664="魅力",E664&lt;0),E664,0))))</x:f>
        <x:v>0</x:v>
      </x:c>
      <x:c r="BU664">
        <x:f>MAX(0,MIN(BK664,IF(AND(H664=1,C664="重要关系5",LEFT('幕间与结算'!H571,8)="建立新的重要关系"),'幕间与结算'!E571+E664,BU663+IF(C664="重要关系5",E664,0)+IF(AND(C664="魅力",E664&lt;0),E664,0))))</x:f>
        <x:v>0</x:v>
      </x:c>
      <x:c r="BV664">
        <x:f>MAX(0,MIN(BK664,IF(AND(H664=1,C664="重要关系6",LEFT('幕间与结算'!H571,8)="建立新的重要关系"),'幕间与结算'!E571+E664,BV663+IF(C664="重要关系6",E664,0)+IF(AND(C664="魅力",E664&lt;0),E664,0))))</x:f>
        <x:v>0</x:v>
      </x:c>
      <x:c r="BW664">
        <x:f>MAX(0,MIN(BK664,IF(AND(H664=1,C664="重要关系7",LEFT('幕间与结算'!H571,8)="建立新的重要关系"),'幕间与结算'!E571+E664,BW663+IF(C664="重要关系7",E664,0)+IF(AND(C664="魅力",E664&lt;0),E664,0))))</x:f>
        <x:v>0</x:v>
      </x:c>
    </x:row>
    <x:row r="665">
      <x:c r="A665" t="str">
        <x:f>IFERROR(TEXT(VALUE('幕间与结算'!A572),"00"),"")</x:f>
        <x:v>00</x:v>
      </x:c>
      <x:c r="B665">
        <x:f>'幕间与结算'!B572</x:f>
        <x:v>0</x:v>
      </x:c>
      <x:c r="C665">
        <x:f>'幕间与结算'!D572</x:f>
        <x:v>0</x:v>
      </x:c>
      <x:c r="D665">
        <x:f>'幕间与结算'!F572</x:f>
        <x:v>0</x:v>
      </x:c>
      <x:c r="E665">
        <x:f>IF(H665=1,MAX(-'幕间与结算'!E572,MIN(D665,IF(LEFT(C665,3)="技能：",99,IF(COUNTIF($L$2:$L$7,C665)&gt;0,18,999))-'幕间与结算'!E572)),0)</x:f>
        <x:v>0</x:v>
      </x:c>
      <x:c r="F665" t="str">
        <x:f>IF(C665=0,"",IF(G665=0,"记录不完整",IF(H665=0,"重复未计","已计入")))</x:f>
        <x:v/>
      </x:c>
      <x:c r="G665">
        <x:f>IF(AND(AND('幕间与结算'!A572&lt;&gt;"",'幕间与结算'!B572&lt;&gt;"",'幕间与结算'!I572&lt;&gt;"",OR(LEFT(C665,3)="技能：",COUNTIF($L$2:$L$19,C665)&gt;0),ISNUMBER('幕间与结算'!E572),ISNUMBER('幕间与结算'!F572),ISNUMBER('幕间与结算'!G572),'幕间与结算'!E572&gt;=0,'幕间与结算'!G572='幕间与结算'!E572+'幕间与结算'!F572),OR(B665&lt;&gt;"成长",AND(LEFT(C665,3)="技能：",C665&lt;&gt;"技能：非自然知识",'幕间与结算'!E572&gt;=1,'幕间与结算'!E572&lt;=99,'幕间与结算'!F572&gt;=0,'幕间与结算'!F572&lt;=4,'幕间与结算'!G572&lt;=99))),1,0)</x:f>
        <x:v>0</x:v>
      </x:c>
      <x:c r="H665">
        <x:f>IF(AND(G665=1,COUNTIFS($I$200:I665,I665,$G$200:G665,1)=1),1,0)</x:f>
        <x:v>0</x:v>
      </x:c>
      <x:c r="I665" t="str">
        <x:f>IF(G665=1,IF(B665="成长",A665&amp;"-成长-"&amp;C665,'幕间与结算'!I572),"")</x:f>
        <x:v/>
      </x:c>
      <x:c r="BF665">
        <x:f>MAX(0,MIN(18,BF664+IF(C665="力量",E665,0)))</x:f>
        <x:v>0</x:v>
      </x:c>
      <x:c r="BG665">
        <x:f>MAX(0,MIN(18,BG664+IF(C665="体质",E665,0)))</x:f>
        <x:v>0</x:v>
      </x:c>
      <x:c r="BH665">
        <x:f>MAX(0,MIN(18,BH664+IF(C665="敏捷",E665,0)))</x:f>
        <x:v>0</x:v>
      </x:c>
      <x:c r="BI665">
        <x:f>MAX(0,MIN(18,BI664+IF(C665="智力",E665,0)))</x:f>
        <x:v>0</x:v>
      </x:c>
      <x:c r="BJ665">
        <x:f>MAX(0,MIN(18,BJ664+IF(C665="意志",E665,0)))</x:f>
        <x:v>0</x:v>
      </x:c>
      <x:c r="BK665">
        <x:f>MAX(0,MIN(18,BK664+IF(C665="魅力",E665,0)))</x:f>
        <x:v>0</x:v>
      </x:c>
      <x:c r="BL665">
        <x:f>MAX(0,MIN(99,BL664+IF(C665="技能：非自然知识",E665,0)))</x:f>
        <x:v>0</x:v>
      </x:c>
      <x:c r="BM665">
        <x:f>MAX(0,MIN(CEILING((BF665+BG665)/2,1),BM664+IF(C665="体力",E665,0)))</x:f>
        <x:v>0</x:v>
      </x:c>
      <x:c r="BN665">
        <x:f>MAX(0,MIN(BJ665,BN664+IF(C665="毅力",E665,0)))</x:f>
        <x:v>0</x:v>
      </x:c>
      <x:c r="BO665">
        <x:f>MAX(0,MIN(99-BL665,BO664+IF(C665="理智",E665,0)))</x:f>
        <x:v>0</x:v>
      </x:c>
      <x:c r="BP665">
        <x:f>MAX(0,MIN(99,BP664+IF(C665="崩溃点",E665,0)))</x:f>
        <x:v>0</x:v>
      </x:c>
      <x:c r="BQ665">
        <x:f>MAX(0,MIN(BK665,IF(AND(H665=1,C665="重要关系1",LEFT('幕间与结算'!H572,8)="建立新的重要关系"),'幕间与结算'!E572+E665,BQ664+IF(C665="重要关系1",E665,0)+IF(AND(C665="魅力",E665&lt;0),E665,0))))</x:f>
        <x:v>0</x:v>
      </x:c>
      <x:c r="BR665">
        <x:f>MAX(0,MIN(BK665,IF(AND(H665=1,C665="重要关系2",LEFT('幕间与结算'!H572,8)="建立新的重要关系"),'幕间与结算'!E572+E665,BR664+IF(C665="重要关系2",E665,0)+IF(AND(C665="魅力",E665&lt;0),E665,0))))</x:f>
        <x:v>0</x:v>
      </x:c>
      <x:c r="BS665">
        <x:f>MAX(0,MIN(BK665,IF(AND(H665=1,C665="重要关系3",LEFT('幕间与结算'!H572,8)="建立新的重要关系"),'幕间与结算'!E572+E665,BS664+IF(C665="重要关系3",E665,0)+IF(AND(C665="魅力",E665&lt;0),E665,0))))</x:f>
        <x:v>0</x:v>
      </x:c>
      <x:c r="BT665">
        <x:f>MAX(0,MIN(BK665,IF(AND(H665=1,C665="重要关系4",LEFT('幕间与结算'!H572,8)="建立新的重要关系"),'幕间与结算'!E572+E665,BT664+IF(C665="重要关系4",E665,0)+IF(AND(C665="魅力",E665&lt;0),E665,0))))</x:f>
        <x:v>0</x:v>
      </x:c>
      <x:c r="BU665">
        <x:f>MAX(0,MIN(BK665,IF(AND(H665=1,C665="重要关系5",LEFT('幕间与结算'!H572,8)="建立新的重要关系"),'幕间与结算'!E572+E665,BU664+IF(C665="重要关系5",E665,0)+IF(AND(C665="魅力",E665&lt;0),E665,0))))</x:f>
        <x:v>0</x:v>
      </x:c>
      <x:c r="BV665">
        <x:f>MAX(0,MIN(BK665,IF(AND(H665=1,C665="重要关系6",LEFT('幕间与结算'!H572,8)="建立新的重要关系"),'幕间与结算'!E572+E665,BV664+IF(C665="重要关系6",E665,0)+IF(AND(C665="魅力",E665&lt;0),E665,0))))</x:f>
        <x:v>0</x:v>
      </x:c>
      <x:c r="BW665">
        <x:f>MAX(0,MIN(BK665,IF(AND(H665=1,C665="重要关系7",LEFT('幕间与结算'!H572,8)="建立新的重要关系"),'幕间与结算'!E572+E665,BW664+IF(C665="重要关系7",E665,0)+IF(AND(C665="魅力",E665&lt;0),E665,0))))</x:f>
        <x:v>0</x:v>
      </x:c>
    </x:row>
    <x:row r="666">
      <x:c r="A666" t="str">
        <x:f>IFERROR(TEXT(VALUE('幕间与结算'!A573),"00"),"")</x:f>
        <x:v>00</x:v>
      </x:c>
      <x:c r="B666">
        <x:f>'幕间与结算'!B573</x:f>
        <x:v>0</x:v>
      </x:c>
      <x:c r="C666">
        <x:f>'幕间与结算'!D573</x:f>
        <x:v>0</x:v>
      </x:c>
      <x:c r="D666">
        <x:f>'幕间与结算'!F573</x:f>
        <x:v>0</x:v>
      </x:c>
      <x:c r="E666">
        <x:f>IF(H666=1,MAX(-'幕间与结算'!E573,MIN(D666,IF(LEFT(C666,3)="技能：",99,IF(COUNTIF($L$2:$L$7,C666)&gt;0,18,999))-'幕间与结算'!E573)),0)</x:f>
        <x:v>0</x:v>
      </x:c>
      <x:c r="F666" t="str">
        <x:f>IF(C666=0,"",IF(G666=0,"记录不完整",IF(H666=0,"重复未计","已计入")))</x:f>
        <x:v/>
      </x:c>
      <x:c r="G666">
        <x:f>IF(AND(AND('幕间与结算'!A573&lt;&gt;"",'幕间与结算'!B573&lt;&gt;"",'幕间与结算'!I573&lt;&gt;"",OR(LEFT(C666,3)="技能：",COUNTIF($L$2:$L$19,C666)&gt;0),ISNUMBER('幕间与结算'!E573),ISNUMBER('幕间与结算'!F573),ISNUMBER('幕间与结算'!G573),'幕间与结算'!E573&gt;=0,'幕间与结算'!G573='幕间与结算'!E573+'幕间与结算'!F573),OR(B666&lt;&gt;"成长",AND(LEFT(C666,3)="技能：",C666&lt;&gt;"技能：非自然知识",'幕间与结算'!E573&gt;=1,'幕间与结算'!E573&lt;=99,'幕间与结算'!F573&gt;=0,'幕间与结算'!F573&lt;=4,'幕间与结算'!G573&lt;=99))),1,0)</x:f>
        <x:v>0</x:v>
      </x:c>
      <x:c r="H666">
        <x:f>IF(AND(G666=1,COUNTIFS($I$200:I666,I666,$G$200:G666,1)=1),1,0)</x:f>
        <x:v>0</x:v>
      </x:c>
      <x:c r="I666" t="str">
        <x:f>IF(G666=1,IF(B666="成长",A666&amp;"-成长-"&amp;C666,'幕间与结算'!I573),"")</x:f>
        <x:v/>
      </x:c>
      <x:c r="BF666">
        <x:f>MAX(0,MIN(18,BF665+IF(C666="力量",E666,0)))</x:f>
        <x:v>0</x:v>
      </x:c>
      <x:c r="BG666">
        <x:f>MAX(0,MIN(18,BG665+IF(C666="体质",E666,0)))</x:f>
        <x:v>0</x:v>
      </x:c>
      <x:c r="BH666">
        <x:f>MAX(0,MIN(18,BH665+IF(C666="敏捷",E666,0)))</x:f>
        <x:v>0</x:v>
      </x:c>
      <x:c r="BI666">
        <x:f>MAX(0,MIN(18,BI665+IF(C666="智力",E666,0)))</x:f>
        <x:v>0</x:v>
      </x:c>
      <x:c r="BJ666">
        <x:f>MAX(0,MIN(18,BJ665+IF(C666="意志",E666,0)))</x:f>
        <x:v>0</x:v>
      </x:c>
      <x:c r="BK666">
        <x:f>MAX(0,MIN(18,BK665+IF(C666="魅力",E666,0)))</x:f>
        <x:v>0</x:v>
      </x:c>
      <x:c r="BL666">
        <x:f>MAX(0,MIN(99,BL665+IF(C666="技能：非自然知识",E666,0)))</x:f>
        <x:v>0</x:v>
      </x:c>
      <x:c r="BM666">
        <x:f>MAX(0,MIN(CEILING((BF666+BG666)/2,1),BM665+IF(C666="体力",E666,0)))</x:f>
        <x:v>0</x:v>
      </x:c>
      <x:c r="BN666">
        <x:f>MAX(0,MIN(BJ666,BN665+IF(C666="毅力",E666,0)))</x:f>
        <x:v>0</x:v>
      </x:c>
      <x:c r="BO666">
        <x:f>MAX(0,MIN(99-BL666,BO665+IF(C666="理智",E666,0)))</x:f>
        <x:v>0</x:v>
      </x:c>
      <x:c r="BP666">
        <x:f>MAX(0,MIN(99,BP665+IF(C666="崩溃点",E666,0)))</x:f>
        <x:v>0</x:v>
      </x:c>
      <x:c r="BQ666">
        <x:f>MAX(0,MIN(BK666,IF(AND(H666=1,C666="重要关系1",LEFT('幕间与结算'!H573,8)="建立新的重要关系"),'幕间与结算'!E573+E666,BQ665+IF(C666="重要关系1",E666,0)+IF(AND(C666="魅力",E666&lt;0),E666,0))))</x:f>
        <x:v>0</x:v>
      </x:c>
      <x:c r="BR666">
        <x:f>MAX(0,MIN(BK666,IF(AND(H666=1,C666="重要关系2",LEFT('幕间与结算'!H573,8)="建立新的重要关系"),'幕间与结算'!E573+E666,BR665+IF(C666="重要关系2",E666,0)+IF(AND(C666="魅力",E666&lt;0),E666,0))))</x:f>
        <x:v>0</x:v>
      </x:c>
      <x:c r="BS666">
        <x:f>MAX(0,MIN(BK666,IF(AND(H666=1,C666="重要关系3",LEFT('幕间与结算'!H573,8)="建立新的重要关系"),'幕间与结算'!E573+E666,BS665+IF(C666="重要关系3",E666,0)+IF(AND(C666="魅力",E666&lt;0),E666,0))))</x:f>
        <x:v>0</x:v>
      </x:c>
      <x:c r="BT666">
        <x:f>MAX(0,MIN(BK666,IF(AND(H666=1,C666="重要关系4",LEFT('幕间与结算'!H573,8)="建立新的重要关系"),'幕间与结算'!E573+E666,BT665+IF(C666="重要关系4",E666,0)+IF(AND(C666="魅力",E666&lt;0),E666,0))))</x:f>
        <x:v>0</x:v>
      </x:c>
      <x:c r="BU666">
        <x:f>MAX(0,MIN(BK666,IF(AND(H666=1,C666="重要关系5",LEFT('幕间与结算'!H573,8)="建立新的重要关系"),'幕间与结算'!E573+E666,BU665+IF(C666="重要关系5",E666,0)+IF(AND(C666="魅力",E666&lt;0),E666,0))))</x:f>
        <x:v>0</x:v>
      </x:c>
      <x:c r="BV666">
        <x:f>MAX(0,MIN(BK666,IF(AND(H666=1,C666="重要关系6",LEFT('幕间与结算'!H573,8)="建立新的重要关系"),'幕间与结算'!E573+E666,BV665+IF(C666="重要关系6",E666,0)+IF(AND(C666="魅力",E666&lt;0),E666,0))))</x:f>
        <x:v>0</x:v>
      </x:c>
      <x:c r="BW666">
        <x:f>MAX(0,MIN(BK666,IF(AND(H666=1,C666="重要关系7",LEFT('幕间与结算'!H573,8)="建立新的重要关系"),'幕间与结算'!E573+E666,BW665+IF(C666="重要关系7",E666,0)+IF(AND(C666="魅力",E666&lt;0),E666,0))))</x:f>
        <x:v>0</x:v>
      </x:c>
    </x:row>
    <x:row r="667">
      <x:c r="A667" t="str">
        <x:f>IFERROR(TEXT(VALUE('幕间与结算'!A574),"00"),"")</x:f>
        <x:v>00</x:v>
      </x:c>
      <x:c r="B667">
        <x:f>'幕间与结算'!B574</x:f>
        <x:v>0</x:v>
      </x:c>
      <x:c r="C667">
        <x:f>'幕间与结算'!D574</x:f>
        <x:v>0</x:v>
      </x:c>
      <x:c r="D667">
        <x:f>'幕间与结算'!F574</x:f>
        <x:v>0</x:v>
      </x:c>
      <x:c r="E667">
        <x:f>IF(H667=1,MAX(-'幕间与结算'!E574,MIN(D667,IF(LEFT(C667,3)="技能：",99,IF(COUNTIF($L$2:$L$7,C667)&gt;0,18,999))-'幕间与结算'!E574)),0)</x:f>
        <x:v>0</x:v>
      </x:c>
      <x:c r="F667" t="str">
        <x:f>IF(C667=0,"",IF(G667=0,"记录不完整",IF(H667=0,"重复未计","已计入")))</x:f>
        <x:v/>
      </x:c>
      <x:c r="G667">
        <x:f>IF(AND(AND('幕间与结算'!A574&lt;&gt;"",'幕间与结算'!B574&lt;&gt;"",'幕间与结算'!I574&lt;&gt;"",OR(LEFT(C667,3)="技能：",COUNTIF($L$2:$L$19,C667)&gt;0),ISNUMBER('幕间与结算'!E574),ISNUMBER('幕间与结算'!F574),ISNUMBER('幕间与结算'!G574),'幕间与结算'!E574&gt;=0,'幕间与结算'!G574='幕间与结算'!E574+'幕间与结算'!F574),OR(B667&lt;&gt;"成长",AND(LEFT(C667,3)="技能：",C667&lt;&gt;"技能：非自然知识",'幕间与结算'!E574&gt;=1,'幕间与结算'!E574&lt;=99,'幕间与结算'!F574&gt;=0,'幕间与结算'!F574&lt;=4,'幕间与结算'!G574&lt;=99))),1,0)</x:f>
        <x:v>0</x:v>
      </x:c>
      <x:c r="H667">
        <x:f>IF(AND(G667=1,COUNTIFS($I$200:I667,I667,$G$200:G667,1)=1),1,0)</x:f>
        <x:v>0</x:v>
      </x:c>
      <x:c r="I667" t="str">
        <x:f>IF(G667=1,IF(B667="成长",A667&amp;"-成长-"&amp;C667,'幕间与结算'!I574),"")</x:f>
        <x:v/>
      </x:c>
      <x:c r="BF667">
        <x:f>MAX(0,MIN(18,BF666+IF(C667="力量",E667,0)))</x:f>
        <x:v>0</x:v>
      </x:c>
      <x:c r="BG667">
        <x:f>MAX(0,MIN(18,BG666+IF(C667="体质",E667,0)))</x:f>
        <x:v>0</x:v>
      </x:c>
      <x:c r="BH667">
        <x:f>MAX(0,MIN(18,BH666+IF(C667="敏捷",E667,0)))</x:f>
        <x:v>0</x:v>
      </x:c>
      <x:c r="BI667">
        <x:f>MAX(0,MIN(18,BI666+IF(C667="智力",E667,0)))</x:f>
        <x:v>0</x:v>
      </x:c>
      <x:c r="BJ667">
        <x:f>MAX(0,MIN(18,BJ666+IF(C667="意志",E667,0)))</x:f>
        <x:v>0</x:v>
      </x:c>
      <x:c r="BK667">
        <x:f>MAX(0,MIN(18,BK666+IF(C667="魅力",E667,0)))</x:f>
        <x:v>0</x:v>
      </x:c>
      <x:c r="BL667">
        <x:f>MAX(0,MIN(99,BL666+IF(C667="技能：非自然知识",E667,0)))</x:f>
        <x:v>0</x:v>
      </x:c>
      <x:c r="BM667">
        <x:f>MAX(0,MIN(CEILING((BF667+BG667)/2,1),BM666+IF(C667="体力",E667,0)))</x:f>
        <x:v>0</x:v>
      </x:c>
      <x:c r="BN667">
        <x:f>MAX(0,MIN(BJ667,BN666+IF(C667="毅力",E667,0)))</x:f>
        <x:v>0</x:v>
      </x:c>
      <x:c r="BO667">
        <x:f>MAX(0,MIN(99-BL667,BO666+IF(C667="理智",E667,0)))</x:f>
        <x:v>0</x:v>
      </x:c>
      <x:c r="BP667">
        <x:f>MAX(0,MIN(99,BP666+IF(C667="崩溃点",E667,0)))</x:f>
        <x:v>0</x:v>
      </x:c>
      <x:c r="BQ667">
        <x:f>MAX(0,MIN(BK667,IF(AND(H667=1,C667="重要关系1",LEFT('幕间与结算'!H574,8)="建立新的重要关系"),'幕间与结算'!E574+E667,BQ666+IF(C667="重要关系1",E667,0)+IF(AND(C667="魅力",E667&lt;0),E667,0))))</x:f>
        <x:v>0</x:v>
      </x:c>
      <x:c r="BR667">
        <x:f>MAX(0,MIN(BK667,IF(AND(H667=1,C667="重要关系2",LEFT('幕间与结算'!H574,8)="建立新的重要关系"),'幕间与结算'!E574+E667,BR666+IF(C667="重要关系2",E667,0)+IF(AND(C667="魅力",E667&lt;0),E667,0))))</x:f>
        <x:v>0</x:v>
      </x:c>
      <x:c r="BS667">
        <x:f>MAX(0,MIN(BK667,IF(AND(H667=1,C667="重要关系3",LEFT('幕间与结算'!H574,8)="建立新的重要关系"),'幕间与结算'!E574+E667,BS666+IF(C667="重要关系3",E667,0)+IF(AND(C667="魅力",E667&lt;0),E667,0))))</x:f>
        <x:v>0</x:v>
      </x:c>
      <x:c r="BT667">
        <x:f>MAX(0,MIN(BK667,IF(AND(H667=1,C667="重要关系4",LEFT('幕间与结算'!H574,8)="建立新的重要关系"),'幕间与结算'!E574+E667,BT666+IF(C667="重要关系4",E667,0)+IF(AND(C667="魅力",E667&lt;0),E667,0))))</x:f>
        <x:v>0</x:v>
      </x:c>
      <x:c r="BU667">
        <x:f>MAX(0,MIN(BK667,IF(AND(H667=1,C667="重要关系5",LEFT('幕间与结算'!H574,8)="建立新的重要关系"),'幕间与结算'!E574+E667,BU666+IF(C667="重要关系5",E667,0)+IF(AND(C667="魅力",E667&lt;0),E667,0))))</x:f>
        <x:v>0</x:v>
      </x:c>
      <x:c r="BV667">
        <x:f>MAX(0,MIN(BK667,IF(AND(H667=1,C667="重要关系6",LEFT('幕间与结算'!H574,8)="建立新的重要关系"),'幕间与结算'!E574+E667,BV666+IF(C667="重要关系6",E667,0)+IF(AND(C667="魅力",E667&lt;0),E667,0))))</x:f>
        <x:v>0</x:v>
      </x:c>
      <x:c r="BW667">
        <x:f>MAX(0,MIN(BK667,IF(AND(H667=1,C667="重要关系7",LEFT('幕间与结算'!H574,8)="建立新的重要关系"),'幕间与结算'!E574+E667,BW666+IF(C667="重要关系7",E667,0)+IF(AND(C667="魅力",E667&lt;0),E667,0))))</x:f>
        <x:v>0</x:v>
      </x:c>
    </x:row>
    <x:row r="668">
      <x:c r="A668" t="str">
        <x:f>IFERROR(TEXT(VALUE('幕间与结算'!A575),"00"),"")</x:f>
        <x:v>00</x:v>
      </x:c>
      <x:c r="B668">
        <x:f>'幕间与结算'!B575</x:f>
        <x:v>0</x:v>
      </x:c>
      <x:c r="C668">
        <x:f>'幕间与结算'!D575</x:f>
        <x:v>0</x:v>
      </x:c>
      <x:c r="D668">
        <x:f>'幕间与结算'!F575</x:f>
        <x:v>0</x:v>
      </x:c>
      <x:c r="E668">
        <x:f>IF(H668=1,MAX(-'幕间与结算'!E575,MIN(D668,IF(LEFT(C668,3)="技能：",99,IF(COUNTIF($L$2:$L$7,C668)&gt;0,18,999))-'幕间与结算'!E575)),0)</x:f>
        <x:v>0</x:v>
      </x:c>
      <x:c r="F668" t="str">
        <x:f>IF(C668=0,"",IF(G668=0,"记录不完整",IF(H668=0,"重复未计","已计入")))</x:f>
        <x:v/>
      </x:c>
      <x:c r="G668">
        <x:f>IF(AND(AND('幕间与结算'!A575&lt;&gt;"",'幕间与结算'!B575&lt;&gt;"",'幕间与结算'!I575&lt;&gt;"",OR(LEFT(C668,3)="技能：",COUNTIF($L$2:$L$19,C668)&gt;0),ISNUMBER('幕间与结算'!E575),ISNUMBER('幕间与结算'!F575),ISNUMBER('幕间与结算'!G575),'幕间与结算'!E575&gt;=0,'幕间与结算'!G575='幕间与结算'!E575+'幕间与结算'!F575),OR(B668&lt;&gt;"成长",AND(LEFT(C668,3)="技能：",C668&lt;&gt;"技能：非自然知识",'幕间与结算'!E575&gt;=1,'幕间与结算'!E575&lt;=99,'幕间与结算'!F575&gt;=0,'幕间与结算'!F575&lt;=4,'幕间与结算'!G575&lt;=99))),1,0)</x:f>
        <x:v>0</x:v>
      </x:c>
      <x:c r="H668">
        <x:f>IF(AND(G668=1,COUNTIFS($I$200:I668,I668,$G$200:G668,1)=1),1,0)</x:f>
        <x:v>0</x:v>
      </x:c>
      <x:c r="I668" t="str">
        <x:f>IF(G668=1,IF(B668="成长",A668&amp;"-成长-"&amp;C668,'幕间与结算'!I575),"")</x:f>
        <x:v/>
      </x:c>
      <x:c r="BF668">
        <x:f>MAX(0,MIN(18,BF667+IF(C668="力量",E668,0)))</x:f>
        <x:v>0</x:v>
      </x:c>
      <x:c r="BG668">
        <x:f>MAX(0,MIN(18,BG667+IF(C668="体质",E668,0)))</x:f>
        <x:v>0</x:v>
      </x:c>
      <x:c r="BH668">
        <x:f>MAX(0,MIN(18,BH667+IF(C668="敏捷",E668,0)))</x:f>
        <x:v>0</x:v>
      </x:c>
      <x:c r="BI668">
        <x:f>MAX(0,MIN(18,BI667+IF(C668="智力",E668,0)))</x:f>
        <x:v>0</x:v>
      </x:c>
      <x:c r="BJ668">
        <x:f>MAX(0,MIN(18,BJ667+IF(C668="意志",E668,0)))</x:f>
        <x:v>0</x:v>
      </x:c>
      <x:c r="BK668">
        <x:f>MAX(0,MIN(18,BK667+IF(C668="魅力",E668,0)))</x:f>
        <x:v>0</x:v>
      </x:c>
      <x:c r="BL668">
        <x:f>MAX(0,MIN(99,BL667+IF(C668="技能：非自然知识",E668,0)))</x:f>
        <x:v>0</x:v>
      </x:c>
      <x:c r="BM668">
        <x:f>MAX(0,MIN(CEILING((BF668+BG668)/2,1),BM667+IF(C668="体力",E668,0)))</x:f>
        <x:v>0</x:v>
      </x:c>
      <x:c r="BN668">
        <x:f>MAX(0,MIN(BJ668,BN667+IF(C668="毅力",E668,0)))</x:f>
        <x:v>0</x:v>
      </x:c>
      <x:c r="BO668">
        <x:f>MAX(0,MIN(99-BL668,BO667+IF(C668="理智",E668,0)))</x:f>
        <x:v>0</x:v>
      </x:c>
      <x:c r="BP668">
        <x:f>MAX(0,MIN(99,BP667+IF(C668="崩溃点",E668,0)))</x:f>
        <x:v>0</x:v>
      </x:c>
      <x:c r="BQ668">
        <x:f>MAX(0,MIN(BK668,IF(AND(H668=1,C668="重要关系1",LEFT('幕间与结算'!H575,8)="建立新的重要关系"),'幕间与结算'!E575+E668,BQ667+IF(C668="重要关系1",E668,0)+IF(AND(C668="魅力",E668&lt;0),E668,0))))</x:f>
        <x:v>0</x:v>
      </x:c>
      <x:c r="BR668">
        <x:f>MAX(0,MIN(BK668,IF(AND(H668=1,C668="重要关系2",LEFT('幕间与结算'!H575,8)="建立新的重要关系"),'幕间与结算'!E575+E668,BR667+IF(C668="重要关系2",E668,0)+IF(AND(C668="魅力",E668&lt;0),E668,0))))</x:f>
        <x:v>0</x:v>
      </x:c>
      <x:c r="BS668">
        <x:f>MAX(0,MIN(BK668,IF(AND(H668=1,C668="重要关系3",LEFT('幕间与结算'!H575,8)="建立新的重要关系"),'幕间与结算'!E575+E668,BS667+IF(C668="重要关系3",E668,0)+IF(AND(C668="魅力",E668&lt;0),E668,0))))</x:f>
        <x:v>0</x:v>
      </x:c>
      <x:c r="BT668">
        <x:f>MAX(0,MIN(BK668,IF(AND(H668=1,C668="重要关系4",LEFT('幕间与结算'!H575,8)="建立新的重要关系"),'幕间与结算'!E575+E668,BT667+IF(C668="重要关系4",E668,0)+IF(AND(C668="魅力",E668&lt;0),E668,0))))</x:f>
        <x:v>0</x:v>
      </x:c>
      <x:c r="BU668">
        <x:f>MAX(0,MIN(BK668,IF(AND(H668=1,C668="重要关系5",LEFT('幕间与结算'!H575,8)="建立新的重要关系"),'幕间与结算'!E575+E668,BU667+IF(C668="重要关系5",E668,0)+IF(AND(C668="魅力",E668&lt;0),E668,0))))</x:f>
        <x:v>0</x:v>
      </x:c>
      <x:c r="BV668">
        <x:f>MAX(0,MIN(BK668,IF(AND(H668=1,C668="重要关系6",LEFT('幕间与结算'!H575,8)="建立新的重要关系"),'幕间与结算'!E575+E668,BV667+IF(C668="重要关系6",E668,0)+IF(AND(C668="魅力",E668&lt;0),E668,0))))</x:f>
        <x:v>0</x:v>
      </x:c>
      <x:c r="BW668">
        <x:f>MAX(0,MIN(BK668,IF(AND(H668=1,C668="重要关系7",LEFT('幕间与结算'!H575,8)="建立新的重要关系"),'幕间与结算'!E575+E668,BW667+IF(C668="重要关系7",E668,0)+IF(AND(C668="魅力",E668&lt;0),E668,0))))</x:f>
        <x:v>0</x:v>
      </x:c>
    </x:row>
    <x:row r="669">
      <x:c r="A669" t="str">
        <x:f>IFERROR(TEXT(VALUE('幕间与结算'!A576),"00"),"")</x:f>
        <x:v>00</x:v>
      </x:c>
      <x:c r="B669">
        <x:f>'幕间与结算'!B576</x:f>
        <x:v>0</x:v>
      </x:c>
      <x:c r="C669">
        <x:f>'幕间与结算'!D576</x:f>
        <x:v>0</x:v>
      </x:c>
      <x:c r="D669">
        <x:f>'幕间与结算'!F576</x:f>
        <x:v>0</x:v>
      </x:c>
      <x:c r="E669">
        <x:f>IF(H669=1,MAX(-'幕间与结算'!E576,MIN(D669,IF(LEFT(C669,3)="技能：",99,IF(COUNTIF($L$2:$L$7,C669)&gt;0,18,999))-'幕间与结算'!E576)),0)</x:f>
        <x:v>0</x:v>
      </x:c>
      <x:c r="F669" t="str">
        <x:f>IF(C669=0,"",IF(G669=0,"记录不完整",IF(H669=0,"重复未计","已计入")))</x:f>
        <x:v/>
      </x:c>
      <x:c r="G669">
        <x:f>IF(AND(AND('幕间与结算'!A576&lt;&gt;"",'幕间与结算'!B576&lt;&gt;"",'幕间与结算'!I576&lt;&gt;"",OR(LEFT(C669,3)="技能：",COUNTIF($L$2:$L$19,C669)&gt;0),ISNUMBER('幕间与结算'!E576),ISNUMBER('幕间与结算'!F576),ISNUMBER('幕间与结算'!G576),'幕间与结算'!E576&gt;=0,'幕间与结算'!G576='幕间与结算'!E576+'幕间与结算'!F576),OR(B669&lt;&gt;"成长",AND(LEFT(C669,3)="技能：",C669&lt;&gt;"技能：非自然知识",'幕间与结算'!E576&gt;=1,'幕间与结算'!E576&lt;=99,'幕间与结算'!F576&gt;=0,'幕间与结算'!F576&lt;=4,'幕间与结算'!G576&lt;=99))),1,0)</x:f>
        <x:v>0</x:v>
      </x:c>
      <x:c r="H669">
        <x:f>IF(AND(G669=1,COUNTIFS($I$200:I669,I669,$G$200:G669,1)=1),1,0)</x:f>
        <x:v>0</x:v>
      </x:c>
      <x:c r="I669" t="str">
        <x:f>IF(G669=1,IF(B669="成长",A669&amp;"-成长-"&amp;C669,'幕间与结算'!I576),"")</x:f>
        <x:v/>
      </x:c>
      <x:c r="BF669">
        <x:f>MAX(0,MIN(18,BF668+IF(C669="力量",E669,0)))</x:f>
        <x:v>0</x:v>
      </x:c>
      <x:c r="BG669">
        <x:f>MAX(0,MIN(18,BG668+IF(C669="体质",E669,0)))</x:f>
        <x:v>0</x:v>
      </x:c>
      <x:c r="BH669">
        <x:f>MAX(0,MIN(18,BH668+IF(C669="敏捷",E669,0)))</x:f>
        <x:v>0</x:v>
      </x:c>
      <x:c r="BI669">
        <x:f>MAX(0,MIN(18,BI668+IF(C669="智力",E669,0)))</x:f>
        <x:v>0</x:v>
      </x:c>
      <x:c r="BJ669">
        <x:f>MAX(0,MIN(18,BJ668+IF(C669="意志",E669,0)))</x:f>
        <x:v>0</x:v>
      </x:c>
      <x:c r="BK669">
        <x:f>MAX(0,MIN(18,BK668+IF(C669="魅力",E669,0)))</x:f>
        <x:v>0</x:v>
      </x:c>
      <x:c r="BL669">
        <x:f>MAX(0,MIN(99,BL668+IF(C669="技能：非自然知识",E669,0)))</x:f>
        <x:v>0</x:v>
      </x:c>
      <x:c r="BM669">
        <x:f>MAX(0,MIN(CEILING((BF669+BG669)/2,1),BM668+IF(C669="体力",E669,0)))</x:f>
        <x:v>0</x:v>
      </x:c>
      <x:c r="BN669">
        <x:f>MAX(0,MIN(BJ669,BN668+IF(C669="毅力",E669,0)))</x:f>
        <x:v>0</x:v>
      </x:c>
      <x:c r="BO669">
        <x:f>MAX(0,MIN(99-BL669,BO668+IF(C669="理智",E669,0)))</x:f>
        <x:v>0</x:v>
      </x:c>
      <x:c r="BP669">
        <x:f>MAX(0,MIN(99,BP668+IF(C669="崩溃点",E669,0)))</x:f>
        <x:v>0</x:v>
      </x:c>
      <x:c r="BQ669">
        <x:f>MAX(0,MIN(BK669,IF(AND(H669=1,C669="重要关系1",LEFT('幕间与结算'!H576,8)="建立新的重要关系"),'幕间与结算'!E576+E669,BQ668+IF(C669="重要关系1",E669,0)+IF(AND(C669="魅力",E669&lt;0),E669,0))))</x:f>
        <x:v>0</x:v>
      </x:c>
      <x:c r="BR669">
        <x:f>MAX(0,MIN(BK669,IF(AND(H669=1,C669="重要关系2",LEFT('幕间与结算'!H576,8)="建立新的重要关系"),'幕间与结算'!E576+E669,BR668+IF(C669="重要关系2",E669,0)+IF(AND(C669="魅力",E669&lt;0),E669,0))))</x:f>
        <x:v>0</x:v>
      </x:c>
      <x:c r="BS669">
        <x:f>MAX(0,MIN(BK669,IF(AND(H669=1,C669="重要关系3",LEFT('幕间与结算'!H576,8)="建立新的重要关系"),'幕间与结算'!E576+E669,BS668+IF(C669="重要关系3",E669,0)+IF(AND(C669="魅力",E669&lt;0),E669,0))))</x:f>
        <x:v>0</x:v>
      </x:c>
      <x:c r="BT669">
        <x:f>MAX(0,MIN(BK669,IF(AND(H669=1,C669="重要关系4",LEFT('幕间与结算'!H576,8)="建立新的重要关系"),'幕间与结算'!E576+E669,BT668+IF(C669="重要关系4",E669,0)+IF(AND(C669="魅力",E669&lt;0),E669,0))))</x:f>
        <x:v>0</x:v>
      </x:c>
      <x:c r="BU669">
        <x:f>MAX(0,MIN(BK669,IF(AND(H669=1,C669="重要关系5",LEFT('幕间与结算'!H576,8)="建立新的重要关系"),'幕间与结算'!E576+E669,BU668+IF(C669="重要关系5",E669,0)+IF(AND(C669="魅力",E669&lt;0),E669,0))))</x:f>
        <x:v>0</x:v>
      </x:c>
      <x:c r="BV669">
        <x:f>MAX(0,MIN(BK669,IF(AND(H669=1,C669="重要关系6",LEFT('幕间与结算'!H576,8)="建立新的重要关系"),'幕间与结算'!E576+E669,BV668+IF(C669="重要关系6",E669,0)+IF(AND(C669="魅力",E669&lt;0),E669,0))))</x:f>
        <x:v>0</x:v>
      </x:c>
      <x:c r="BW669">
        <x:f>MAX(0,MIN(BK669,IF(AND(H669=1,C669="重要关系7",LEFT('幕间与结算'!H576,8)="建立新的重要关系"),'幕间与结算'!E576+E669,BW668+IF(C669="重要关系7",E669,0)+IF(AND(C669="魅力",E669&lt;0),E669,0))))</x:f>
        <x:v>0</x:v>
      </x:c>
    </x:row>
    <x:row r="670">
      <x:c r="A670" t="str">
        <x:f>IFERROR(TEXT(VALUE('幕间与结算'!A577),"00"),"")</x:f>
        <x:v>00</x:v>
      </x:c>
      <x:c r="B670">
        <x:f>'幕间与结算'!B577</x:f>
        <x:v>0</x:v>
      </x:c>
      <x:c r="C670">
        <x:f>'幕间与结算'!D577</x:f>
        <x:v>0</x:v>
      </x:c>
      <x:c r="D670">
        <x:f>'幕间与结算'!F577</x:f>
        <x:v>0</x:v>
      </x:c>
      <x:c r="E670">
        <x:f>IF(H670=1,MAX(-'幕间与结算'!E577,MIN(D670,IF(LEFT(C670,3)="技能：",99,IF(COUNTIF($L$2:$L$7,C670)&gt;0,18,999))-'幕间与结算'!E577)),0)</x:f>
        <x:v>0</x:v>
      </x:c>
      <x:c r="F670" t="str">
        <x:f>IF(C670=0,"",IF(G670=0,"记录不完整",IF(H670=0,"重复未计","已计入")))</x:f>
        <x:v/>
      </x:c>
      <x:c r="G670">
        <x:f>IF(AND(AND('幕间与结算'!A577&lt;&gt;"",'幕间与结算'!B577&lt;&gt;"",'幕间与结算'!I577&lt;&gt;"",OR(LEFT(C670,3)="技能：",COUNTIF($L$2:$L$19,C670)&gt;0),ISNUMBER('幕间与结算'!E577),ISNUMBER('幕间与结算'!F577),ISNUMBER('幕间与结算'!G577),'幕间与结算'!E577&gt;=0,'幕间与结算'!G577='幕间与结算'!E577+'幕间与结算'!F577),OR(B670&lt;&gt;"成长",AND(LEFT(C670,3)="技能：",C670&lt;&gt;"技能：非自然知识",'幕间与结算'!E577&gt;=1,'幕间与结算'!E577&lt;=99,'幕间与结算'!F577&gt;=0,'幕间与结算'!F577&lt;=4,'幕间与结算'!G577&lt;=99))),1,0)</x:f>
        <x:v>0</x:v>
      </x:c>
      <x:c r="H670">
        <x:f>IF(AND(G670=1,COUNTIFS($I$200:I670,I670,$G$200:G670,1)=1),1,0)</x:f>
        <x:v>0</x:v>
      </x:c>
      <x:c r="I670" t="str">
        <x:f>IF(G670=1,IF(B670="成长",A670&amp;"-成长-"&amp;C670,'幕间与结算'!I577),"")</x:f>
        <x:v/>
      </x:c>
      <x:c r="BF670">
        <x:f>MAX(0,MIN(18,BF669+IF(C670="力量",E670,0)))</x:f>
        <x:v>0</x:v>
      </x:c>
      <x:c r="BG670">
        <x:f>MAX(0,MIN(18,BG669+IF(C670="体质",E670,0)))</x:f>
        <x:v>0</x:v>
      </x:c>
      <x:c r="BH670">
        <x:f>MAX(0,MIN(18,BH669+IF(C670="敏捷",E670,0)))</x:f>
        <x:v>0</x:v>
      </x:c>
      <x:c r="BI670">
        <x:f>MAX(0,MIN(18,BI669+IF(C670="智力",E670,0)))</x:f>
        <x:v>0</x:v>
      </x:c>
      <x:c r="BJ670">
        <x:f>MAX(0,MIN(18,BJ669+IF(C670="意志",E670,0)))</x:f>
        <x:v>0</x:v>
      </x:c>
      <x:c r="BK670">
        <x:f>MAX(0,MIN(18,BK669+IF(C670="魅力",E670,0)))</x:f>
        <x:v>0</x:v>
      </x:c>
      <x:c r="BL670">
        <x:f>MAX(0,MIN(99,BL669+IF(C670="技能：非自然知识",E670,0)))</x:f>
        <x:v>0</x:v>
      </x:c>
      <x:c r="BM670">
        <x:f>MAX(0,MIN(CEILING((BF670+BG670)/2,1),BM669+IF(C670="体力",E670,0)))</x:f>
        <x:v>0</x:v>
      </x:c>
      <x:c r="BN670">
        <x:f>MAX(0,MIN(BJ670,BN669+IF(C670="毅力",E670,0)))</x:f>
        <x:v>0</x:v>
      </x:c>
      <x:c r="BO670">
        <x:f>MAX(0,MIN(99-BL670,BO669+IF(C670="理智",E670,0)))</x:f>
        <x:v>0</x:v>
      </x:c>
      <x:c r="BP670">
        <x:f>MAX(0,MIN(99,BP669+IF(C670="崩溃点",E670,0)))</x:f>
        <x:v>0</x:v>
      </x:c>
      <x:c r="BQ670">
        <x:f>MAX(0,MIN(BK670,IF(AND(H670=1,C670="重要关系1",LEFT('幕间与结算'!H577,8)="建立新的重要关系"),'幕间与结算'!E577+E670,BQ669+IF(C670="重要关系1",E670,0)+IF(AND(C670="魅力",E670&lt;0),E670,0))))</x:f>
        <x:v>0</x:v>
      </x:c>
      <x:c r="BR670">
        <x:f>MAX(0,MIN(BK670,IF(AND(H670=1,C670="重要关系2",LEFT('幕间与结算'!H577,8)="建立新的重要关系"),'幕间与结算'!E577+E670,BR669+IF(C670="重要关系2",E670,0)+IF(AND(C670="魅力",E670&lt;0),E670,0))))</x:f>
        <x:v>0</x:v>
      </x:c>
      <x:c r="BS670">
        <x:f>MAX(0,MIN(BK670,IF(AND(H670=1,C670="重要关系3",LEFT('幕间与结算'!H577,8)="建立新的重要关系"),'幕间与结算'!E577+E670,BS669+IF(C670="重要关系3",E670,0)+IF(AND(C670="魅力",E670&lt;0),E670,0))))</x:f>
        <x:v>0</x:v>
      </x:c>
      <x:c r="BT670">
        <x:f>MAX(0,MIN(BK670,IF(AND(H670=1,C670="重要关系4",LEFT('幕间与结算'!H577,8)="建立新的重要关系"),'幕间与结算'!E577+E670,BT669+IF(C670="重要关系4",E670,0)+IF(AND(C670="魅力",E670&lt;0),E670,0))))</x:f>
        <x:v>0</x:v>
      </x:c>
      <x:c r="BU670">
        <x:f>MAX(0,MIN(BK670,IF(AND(H670=1,C670="重要关系5",LEFT('幕间与结算'!H577,8)="建立新的重要关系"),'幕间与结算'!E577+E670,BU669+IF(C670="重要关系5",E670,0)+IF(AND(C670="魅力",E670&lt;0),E670,0))))</x:f>
        <x:v>0</x:v>
      </x:c>
      <x:c r="BV670">
        <x:f>MAX(0,MIN(BK670,IF(AND(H670=1,C670="重要关系6",LEFT('幕间与结算'!H577,8)="建立新的重要关系"),'幕间与结算'!E577+E670,BV669+IF(C670="重要关系6",E670,0)+IF(AND(C670="魅力",E670&lt;0),E670,0))))</x:f>
        <x:v>0</x:v>
      </x:c>
      <x:c r="BW670">
        <x:f>MAX(0,MIN(BK670,IF(AND(H670=1,C670="重要关系7",LEFT('幕间与结算'!H577,8)="建立新的重要关系"),'幕间与结算'!E577+E670,BW669+IF(C670="重要关系7",E670,0)+IF(AND(C670="魅力",E670&lt;0),E670,0))))</x:f>
        <x:v>0</x:v>
      </x:c>
    </x:row>
    <x:row r="671">
      <x:c r="A671" t="str">
        <x:f>IFERROR(TEXT(VALUE('幕间与结算'!A578),"00"),"")</x:f>
        <x:v>00</x:v>
      </x:c>
      <x:c r="B671">
        <x:f>'幕间与结算'!B578</x:f>
        <x:v>0</x:v>
      </x:c>
      <x:c r="C671">
        <x:f>'幕间与结算'!D578</x:f>
        <x:v>0</x:v>
      </x:c>
      <x:c r="D671">
        <x:f>'幕间与结算'!F578</x:f>
        <x:v>0</x:v>
      </x:c>
      <x:c r="E671">
        <x:f>IF(H671=1,MAX(-'幕间与结算'!E578,MIN(D671,IF(LEFT(C671,3)="技能：",99,IF(COUNTIF($L$2:$L$7,C671)&gt;0,18,999))-'幕间与结算'!E578)),0)</x:f>
        <x:v>0</x:v>
      </x:c>
      <x:c r="F671" t="str">
        <x:f>IF(C671=0,"",IF(G671=0,"记录不完整",IF(H671=0,"重复未计","已计入")))</x:f>
        <x:v/>
      </x:c>
      <x:c r="G671">
        <x:f>IF(AND(AND('幕间与结算'!A578&lt;&gt;"",'幕间与结算'!B578&lt;&gt;"",'幕间与结算'!I578&lt;&gt;"",OR(LEFT(C671,3)="技能：",COUNTIF($L$2:$L$19,C671)&gt;0),ISNUMBER('幕间与结算'!E578),ISNUMBER('幕间与结算'!F578),ISNUMBER('幕间与结算'!G578),'幕间与结算'!E578&gt;=0,'幕间与结算'!G578='幕间与结算'!E578+'幕间与结算'!F578),OR(B671&lt;&gt;"成长",AND(LEFT(C671,3)="技能：",C671&lt;&gt;"技能：非自然知识",'幕间与结算'!E578&gt;=1,'幕间与结算'!E578&lt;=99,'幕间与结算'!F578&gt;=0,'幕间与结算'!F578&lt;=4,'幕间与结算'!G578&lt;=99))),1,0)</x:f>
        <x:v>0</x:v>
      </x:c>
      <x:c r="H671">
        <x:f>IF(AND(G671=1,COUNTIFS($I$200:I671,I671,$G$200:G671,1)=1),1,0)</x:f>
        <x:v>0</x:v>
      </x:c>
      <x:c r="I671" t="str">
        <x:f>IF(G671=1,IF(B671="成长",A671&amp;"-成长-"&amp;C671,'幕间与结算'!I578),"")</x:f>
        <x:v/>
      </x:c>
      <x:c r="BF671">
        <x:f>MAX(0,MIN(18,BF670+IF(C671="力量",E671,0)))</x:f>
        <x:v>0</x:v>
      </x:c>
      <x:c r="BG671">
        <x:f>MAX(0,MIN(18,BG670+IF(C671="体质",E671,0)))</x:f>
        <x:v>0</x:v>
      </x:c>
      <x:c r="BH671">
        <x:f>MAX(0,MIN(18,BH670+IF(C671="敏捷",E671,0)))</x:f>
        <x:v>0</x:v>
      </x:c>
      <x:c r="BI671">
        <x:f>MAX(0,MIN(18,BI670+IF(C671="智力",E671,0)))</x:f>
        <x:v>0</x:v>
      </x:c>
      <x:c r="BJ671">
        <x:f>MAX(0,MIN(18,BJ670+IF(C671="意志",E671,0)))</x:f>
        <x:v>0</x:v>
      </x:c>
      <x:c r="BK671">
        <x:f>MAX(0,MIN(18,BK670+IF(C671="魅力",E671,0)))</x:f>
        <x:v>0</x:v>
      </x:c>
      <x:c r="BL671">
        <x:f>MAX(0,MIN(99,BL670+IF(C671="技能：非自然知识",E671,0)))</x:f>
        <x:v>0</x:v>
      </x:c>
      <x:c r="BM671">
        <x:f>MAX(0,MIN(CEILING((BF671+BG671)/2,1),BM670+IF(C671="体力",E671,0)))</x:f>
        <x:v>0</x:v>
      </x:c>
      <x:c r="BN671">
        <x:f>MAX(0,MIN(BJ671,BN670+IF(C671="毅力",E671,0)))</x:f>
        <x:v>0</x:v>
      </x:c>
      <x:c r="BO671">
        <x:f>MAX(0,MIN(99-BL671,BO670+IF(C671="理智",E671,0)))</x:f>
        <x:v>0</x:v>
      </x:c>
      <x:c r="BP671">
        <x:f>MAX(0,MIN(99,BP670+IF(C671="崩溃点",E671,0)))</x:f>
        <x:v>0</x:v>
      </x:c>
      <x:c r="BQ671">
        <x:f>MAX(0,MIN(BK671,IF(AND(H671=1,C671="重要关系1",LEFT('幕间与结算'!H578,8)="建立新的重要关系"),'幕间与结算'!E578+E671,BQ670+IF(C671="重要关系1",E671,0)+IF(AND(C671="魅力",E671&lt;0),E671,0))))</x:f>
        <x:v>0</x:v>
      </x:c>
      <x:c r="BR671">
        <x:f>MAX(0,MIN(BK671,IF(AND(H671=1,C671="重要关系2",LEFT('幕间与结算'!H578,8)="建立新的重要关系"),'幕间与结算'!E578+E671,BR670+IF(C671="重要关系2",E671,0)+IF(AND(C671="魅力",E671&lt;0),E671,0))))</x:f>
        <x:v>0</x:v>
      </x:c>
      <x:c r="BS671">
        <x:f>MAX(0,MIN(BK671,IF(AND(H671=1,C671="重要关系3",LEFT('幕间与结算'!H578,8)="建立新的重要关系"),'幕间与结算'!E578+E671,BS670+IF(C671="重要关系3",E671,0)+IF(AND(C671="魅力",E671&lt;0),E671,0))))</x:f>
        <x:v>0</x:v>
      </x:c>
      <x:c r="BT671">
        <x:f>MAX(0,MIN(BK671,IF(AND(H671=1,C671="重要关系4",LEFT('幕间与结算'!H578,8)="建立新的重要关系"),'幕间与结算'!E578+E671,BT670+IF(C671="重要关系4",E671,0)+IF(AND(C671="魅力",E671&lt;0),E671,0))))</x:f>
        <x:v>0</x:v>
      </x:c>
      <x:c r="BU671">
        <x:f>MAX(0,MIN(BK671,IF(AND(H671=1,C671="重要关系5",LEFT('幕间与结算'!H578,8)="建立新的重要关系"),'幕间与结算'!E578+E671,BU670+IF(C671="重要关系5",E671,0)+IF(AND(C671="魅力",E671&lt;0),E671,0))))</x:f>
        <x:v>0</x:v>
      </x:c>
      <x:c r="BV671">
        <x:f>MAX(0,MIN(BK671,IF(AND(H671=1,C671="重要关系6",LEFT('幕间与结算'!H578,8)="建立新的重要关系"),'幕间与结算'!E578+E671,BV670+IF(C671="重要关系6",E671,0)+IF(AND(C671="魅力",E671&lt;0),E671,0))))</x:f>
        <x:v>0</x:v>
      </x:c>
      <x:c r="BW671">
        <x:f>MAX(0,MIN(BK671,IF(AND(H671=1,C671="重要关系7",LEFT('幕间与结算'!H578,8)="建立新的重要关系"),'幕间与结算'!E578+E671,BW670+IF(C671="重要关系7",E671,0)+IF(AND(C671="魅力",E671&lt;0),E671,0))))</x:f>
        <x:v>0</x:v>
      </x:c>
    </x:row>
    <x:row r="672">
      <x:c r="A672" t="str">
        <x:f>IFERROR(TEXT(VALUE('幕间与结算'!A579),"00"),"")</x:f>
        <x:v>00</x:v>
      </x:c>
      <x:c r="B672">
        <x:f>'幕间与结算'!B579</x:f>
        <x:v>0</x:v>
      </x:c>
      <x:c r="C672">
        <x:f>'幕间与结算'!D579</x:f>
        <x:v>0</x:v>
      </x:c>
      <x:c r="D672">
        <x:f>'幕间与结算'!F579</x:f>
        <x:v>0</x:v>
      </x:c>
      <x:c r="E672">
        <x:f>IF(H672=1,MAX(-'幕间与结算'!E579,MIN(D672,IF(LEFT(C672,3)="技能：",99,IF(COUNTIF($L$2:$L$7,C672)&gt;0,18,999))-'幕间与结算'!E579)),0)</x:f>
        <x:v>0</x:v>
      </x:c>
      <x:c r="F672" t="str">
        <x:f>IF(C672=0,"",IF(G672=0,"记录不完整",IF(H672=0,"重复未计","已计入")))</x:f>
        <x:v/>
      </x:c>
      <x:c r="G672">
        <x:f>IF(AND(AND('幕间与结算'!A579&lt;&gt;"",'幕间与结算'!B579&lt;&gt;"",'幕间与结算'!I579&lt;&gt;"",OR(LEFT(C672,3)="技能：",COUNTIF($L$2:$L$19,C672)&gt;0),ISNUMBER('幕间与结算'!E579),ISNUMBER('幕间与结算'!F579),ISNUMBER('幕间与结算'!G579),'幕间与结算'!E579&gt;=0,'幕间与结算'!G579='幕间与结算'!E579+'幕间与结算'!F579),OR(B672&lt;&gt;"成长",AND(LEFT(C672,3)="技能：",C672&lt;&gt;"技能：非自然知识",'幕间与结算'!E579&gt;=1,'幕间与结算'!E579&lt;=99,'幕间与结算'!F579&gt;=0,'幕间与结算'!F579&lt;=4,'幕间与结算'!G579&lt;=99))),1,0)</x:f>
        <x:v>0</x:v>
      </x:c>
      <x:c r="H672">
        <x:f>IF(AND(G672=1,COUNTIFS($I$200:I672,I672,$G$200:G672,1)=1),1,0)</x:f>
        <x:v>0</x:v>
      </x:c>
      <x:c r="I672" t="str">
        <x:f>IF(G672=1,IF(B672="成长",A672&amp;"-成长-"&amp;C672,'幕间与结算'!I579),"")</x:f>
        <x:v/>
      </x:c>
      <x:c r="BF672">
        <x:f>MAX(0,MIN(18,BF671+IF(C672="力量",E672,0)))</x:f>
        <x:v>0</x:v>
      </x:c>
      <x:c r="BG672">
        <x:f>MAX(0,MIN(18,BG671+IF(C672="体质",E672,0)))</x:f>
        <x:v>0</x:v>
      </x:c>
      <x:c r="BH672">
        <x:f>MAX(0,MIN(18,BH671+IF(C672="敏捷",E672,0)))</x:f>
        <x:v>0</x:v>
      </x:c>
      <x:c r="BI672">
        <x:f>MAX(0,MIN(18,BI671+IF(C672="智力",E672,0)))</x:f>
        <x:v>0</x:v>
      </x:c>
      <x:c r="BJ672">
        <x:f>MAX(0,MIN(18,BJ671+IF(C672="意志",E672,0)))</x:f>
        <x:v>0</x:v>
      </x:c>
      <x:c r="BK672">
        <x:f>MAX(0,MIN(18,BK671+IF(C672="魅力",E672,0)))</x:f>
        <x:v>0</x:v>
      </x:c>
      <x:c r="BL672">
        <x:f>MAX(0,MIN(99,BL671+IF(C672="技能：非自然知识",E672,0)))</x:f>
        <x:v>0</x:v>
      </x:c>
      <x:c r="BM672">
        <x:f>MAX(0,MIN(CEILING((BF672+BG672)/2,1),BM671+IF(C672="体力",E672,0)))</x:f>
        <x:v>0</x:v>
      </x:c>
      <x:c r="BN672">
        <x:f>MAX(0,MIN(BJ672,BN671+IF(C672="毅力",E672,0)))</x:f>
        <x:v>0</x:v>
      </x:c>
      <x:c r="BO672">
        <x:f>MAX(0,MIN(99-BL672,BO671+IF(C672="理智",E672,0)))</x:f>
        <x:v>0</x:v>
      </x:c>
      <x:c r="BP672">
        <x:f>MAX(0,MIN(99,BP671+IF(C672="崩溃点",E672,0)))</x:f>
        <x:v>0</x:v>
      </x:c>
      <x:c r="BQ672">
        <x:f>MAX(0,MIN(BK672,IF(AND(H672=1,C672="重要关系1",LEFT('幕间与结算'!H579,8)="建立新的重要关系"),'幕间与结算'!E579+E672,BQ671+IF(C672="重要关系1",E672,0)+IF(AND(C672="魅力",E672&lt;0),E672,0))))</x:f>
        <x:v>0</x:v>
      </x:c>
      <x:c r="BR672">
        <x:f>MAX(0,MIN(BK672,IF(AND(H672=1,C672="重要关系2",LEFT('幕间与结算'!H579,8)="建立新的重要关系"),'幕间与结算'!E579+E672,BR671+IF(C672="重要关系2",E672,0)+IF(AND(C672="魅力",E672&lt;0),E672,0))))</x:f>
        <x:v>0</x:v>
      </x:c>
      <x:c r="BS672">
        <x:f>MAX(0,MIN(BK672,IF(AND(H672=1,C672="重要关系3",LEFT('幕间与结算'!H579,8)="建立新的重要关系"),'幕间与结算'!E579+E672,BS671+IF(C672="重要关系3",E672,0)+IF(AND(C672="魅力",E672&lt;0),E672,0))))</x:f>
        <x:v>0</x:v>
      </x:c>
      <x:c r="BT672">
        <x:f>MAX(0,MIN(BK672,IF(AND(H672=1,C672="重要关系4",LEFT('幕间与结算'!H579,8)="建立新的重要关系"),'幕间与结算'!E579+E672,BT671+IF(C672="重要关系4",E672,0)+IF(AND(C672="魅力",E672&lt;0),E672,0))))</x:f>
        <x:v>0</x:v>
      </x:c>
      <x:c r="BU672">
        <x:f>MAX(0,MIN(BK672,IF(AND(H672=1,C672="重要关系5",LEFT('幕间与结算'!H579,8)="建立新的重要关系"),'幕间与结算'!E579+E672,BU671+IF(C672="重要关系5",E672,0)+IF(AND(C672="魅力",E672&lt;0),E672,0))))</x:f>
        <x:v>0</x:v>
      </x:c>
      <x:c r="BV672">
        <x:f>MAX(0,MIN(BK672,IF(AND(H672=1,C672="重要关系6",LEFT('幕间与结算'!H579,8)="建立新的重要关系"),'幕间与结算'!E579+E672,BV671+IF(C672="重要关系6",E672,0)+IF(AND(C672="魅力",E672&lt;0),E672,0))))</x:f>
        <x:v>0</x:v>
      </x:c>
      <x:c r="BW672">
        <x:f>MAX(0,MIN(BK672,IF(AND(H672=1,C672="重要关系7",LEFT('幕间与结算'!H579,8)="建立新的重要关系"),'幕间与结算'!E579+E672,BW671+IF(C672="重要关系7",E672,0)+IF(AND(C672="魅力",E672&lt;0),E672,0))))</x:f>
        <x:v>0</x:v>
      </x:c>
    </x:row>
    <x:row r="673">
      <x:c r="A673" t="str">
        <x:f>IFERROR(TEXT(VALUE('幕间与结算'!A580),"00"),"")</x:f>
        <x:v>00</x:v>
      </x:c>
      <x:c r="B673">
        <x:f>'幕间与结算'!B580</x:f>
        <x:v>0</x:v>
      </x:c>
      <x:c r="C673">
        <x:f>'幕间与结算'!D580</x:f>
        <x:v>0</x:v>
      </x:c>
      <x:c r="D673">
        <x:f>'幕间与结算'!F580</x:f>
        <x:v>0</x:v>
      </x:c>
      <x:c r="E673">
        <x:f>IF(H673=1,MAX(-'幕间与结算'!E580,MIN(D673,IF(LEFT(C673,3)="技能：",99,IF(COUNTIF($L$2:$L$7,C673)&gt;0,18,999))-'幕间与结算'!E580)),0)</x:f>
        <x:v>0</x:v>
      </x:c>
      <x:c r="F673" t="str">
        <x:f>IF(C673=0,"",IF(G673=0,"记录不完整",IF(H673=0,"重复未计","已计入")))</x:f>
        <x:v/>
      </x:c>
      <x:c r="G673">
        <x:f>IF(AND(AND('幕间与结算'!A580&lt;&gt;"",'幕间与结算'!B580&lt;&gt;"",'幕间与结算'!I580&lt;&gt;"",OR(LEFT(C673,3)="技能：",COUNTIF($L$2:$L$19,C673)&gt;0),ISNUMBER('幕间与结算'!E580),ISNUMBER('幕间与结算'!F580),ISNUMBER('幕间与结算'!G580),'幕间与结算'!E580&gt;=0,'幕间与结算'!G580='幕间与结算'!E580+'幕间与结算'!F580),OR(B673&lt;&gt;"成长",AND(LEFT(C673,3)="技能：",C673&lt;&gt;"技能：非自然知识",'幕间与结算'!E580&gt;=1,'幕间与结算'!E580&lt;=99,'幕间与结算'!F580&gt;=0,'幕间与结算'!F580&lt;=4,'幕间与结算'!G580&lt;=99))),1,0)</x:f>
        <x:v>0</x:v>
      </x:c>
      <x:c r="H673">
        <x:f>IF(AND(G673=1,COUNTIFS($I$200:I673,I673,$G$200:G673,1)=1),1,0)</x:f>
        <x:v>0</x:v>
      </x:c>
      <x:c r="I673" t="str">
        <x:f>IF(G673=1,IF(B673="成长",A673&amp;"-成长-"&amp;C673,'幕间与结算'!I580),"")</x:f>
        <x:v/>
      </x:c>
      <x:c r="BF673">
        <x:f>MAX(0,MIN(18,BF672+IF(C673="力量",E673,0)))</x:f>
        <x:v>0</x:v>
      </x:c>
      <x:c r="BG673">
        <x:f>MAX(0,MIN(18,BG672+IF(C673="体质",E673,0)))</x:f>
        <x:v>0</x:v>
      </x:c>
      <x:c r="BH673">
        <x:f>MAX(0,MIN(18,BH672+IF(C673="敏捷",E673,0)))</x:f>
        <x:v>0</x:v>
      </x:c>
      <x:c r="BI673">
        <x:f>MAX(0,MIN(18,BI672+IF(C673="智力",E673,0)))</x:f>
        <x:v>0</x:v>
      </x:c>
      <x:c r="BJ673">
        <x:f>MAX(0,MIN(18,BJ672+IF(C673="意志",E673,0)))</x:f>
        <x:v>0</x:v>
      </x:c>
      <x:c r="BK673">
        <x:f>MAX(0,MIN(18,BK672+IF(C673="魅力",E673,0)))</x:f>
        <x:v>0</x:v>
      </x:c>
      <x:c r="BL673">
        <x:f>MAX(0,MIN(99,BL672+IF(C673="技能：非自然知识",E673,0)))</x:f>
        <x:v>0</x:v>
      </x:c>
      <x:c r="BM673">
        <x:f>MAX(0,MIN(CEILING((BF673+BG673)/2,1),BM672+IF(C673="体力",E673,0)))</x:f>
        <x:v>0</x:v>
      </x:c>
      <x:c r="BN673">
        <x:f>MAX(0,MIN(BJ673,BN672+IF(C673="毅力",E673,0)))</x:f>
        <x:v>0</x:v>
      </x:c>
      <x:c r="BO673">
        <x:f>MAX(0,MIN(99-BL673,BO672+IF(C673="理智",E673,0)))</x:f>
        <x:v>0</x:v>
      </x:c>
      <x:c r="BP673">
        <x:f>MAX(0,MIN(99,BP672+IF(C673="崩溃点",E673,0)))</x:f>
        <x:v>0</x:v>
      </x:c>
      <x:c r="BQ673">
        <x:f>MAX(0,MIN(BK673,IF(AND(H673=1,C673="重要关系1",LEFT('幕间与结算'!H580,8)="建立新的重要关系"),'幕间与结算'!E580+E673,BQ672+IF(C673="重要关系1",E673,0)+IF(AND(C673="魅力",E673&lt;0),E673,0))))</x:f>
        <x:v>0</x:v>
      </x:c>
      <x:c r="BR673">
        <x:f>MAX(0,MIN(BK673,IF(AND(H673=1,C673="重要关系2",LEFT('幕间与结算'!H580,8)="建立新的重要关系"),'幕间与结算'!E580+E673,BR672+IF(C673="重要关系2",E673,0)+IF(AND(C673="魅力",E673&lt;0),E673,0))))</x:f>
        <x:v>0</x:v>
      </x:c>
      <x:c r="BS673">
        <x:f>MAX(0,MIN(BK673,IF(AND(H673=1,C673="重要关系3",LEFT('幕间与结算'!H580,8)="建立新的重要关系"),'幕间与结算'!E580+E673,BS672+IF(C673="重要关系3",E673,0)+IF(AND(C673="魅力",E673&lt;0),E673,0))))</x:f>
        <x:v>0</x:v>
      </x:c>
      <x:c r="BT673">
        <x:f>MAX(0,MIN(BK673,IF(AND(H673=1,C673="重要关系4",LEFT('幕间与结算'!H580,8)="建立新的重要关系"),'幕间与结算'!E580+E673,BT672+IF(C673="重要关系4",E673,0)+IF(AND(C673="魅力",E673&lt;0),E673,0))))</x:f>
        <x:v>0</x:v>
      </x:c>
      <x:c r="BU673">
        <x:f>MAX(0,MIN(BK673,IF(AND(H673=1,C673="重要关系5",LEFT('幕间与结算'!H580,8)="建立新的重要关系"),'幕间与结算'!E580+E673,BU672+IF(C673="重要关系5",E673,0)+IF(AND(C673="魅力",E673&lt;0),E673,0))))</x:f>
        <x:v>0</x:v>
      </x:c>
      <x:c r="BV673">
        <x:f>MAX(0,MIN(BK673,IF(AND(H673=1,C673="重要关系6",LEFT('幕间与结算'!H580,8)="建立新的重要关系"),'幕间与结算'!E580+E673,BV672+IF(C673="重要关系6",E673,0)+IF(AND(C673="魅力",E673&lt;0),E673,0))))</x:f>
        <x:v>0</x:v>
      </x:c>
      <x:c r="BW673">
        <x:f>MAX(0,MIN(BK673,IF(AND(H673=1,C673="重要关系7",LEFT('幕间与结算'!H580,8)="建立新的重要关系"),'幕间与结算'!E580+E673,BW672+IF(C673="重要关系7",E673,0)+IF(AND(C673="魅力",E673&lt;0),E673,0))))</x:f>
        <x:v>0</x:v>
      </x:c>
    </x:row>
    <x:row r="674">
      <x:c r="A674" t="str">
        <x:f>IFERROR(TEXT(VALUE('幕间与结算'!A581),"00"),"")</x:f>
        <x:v>00</x:v>
      </x:c>
      <x:c r="B674">
        <x:f>'幕间与结算'!B581</x:f>
        <x:v>0</x:v>
      </x:c>
      <x:c r="C674">
        <x:f>'幕间与结算'!D581</x:f>
        <x:v>0</x:v>
      </x:c>
      <x:c r="D674">
        <x:f>'幕间与结算'!F581</x:f>
        <x:v>0</x:v>
      </x:c>
      <x:c r="E674">
        <x:f>IF(H674=1,MAX(-'幕间与结算'!E581,MIN(D674,IF(LEFT(C674,3)="技能：",99,IF(COUNTIF($L$2:$L$7,C674)&gt;0,18,999))-'幕间与结算'!E581)),0)</x:f>
        <x:v>0</x:v>
      </x:c>
      <x:c r="F674" t="str">
        <x:f>IF(C674=0,"",IF(G674=0,"记录不完整",IF(H674=0,"重复未计","已计入")))</x:f>
        <x:v/>
      </x:c>
      <x:c r="G674">
        <x:f>IF(AND(AND('幕间与结算'!A581&lt;&gt;"",'幕间与结算'!B581&lt;&gt;"",'幕间与结算'!I581&lt;&gt;"",OR(LEFT(C674,3)="技能：",COUNTIF($L$2:$L$19,C674)&gt;0),ISNUMBER('幕间与结算'!E581),ISNUMBER('幕间与结算'!F581),ISNUMBER('幕间与结算'!G581),'幕间与结算'!E581&gt;=0,'幕间与结算'!G581='幕间与结算'!E581+'幕间与结算'!F581),OR(B674&lt;&gt;"成长",AND(LEFT(C674,3)="技能：",C674&lt;&gt;"技能：非自然知识",'幕间与结算'!E581&gt;=1,'幕间与结算'!E581&lt;=99,'幕间与结算'!F581&gt;=0,'幕间与结算'!F581&lt;=4,'幕间与结算'!G581&lt;=99))),1,0)</x:f>
        <x:v>0</x:v>
      </x:c>
      <x:c r="H674">
        <x:f>IF(AND(G674=1,COUNTIFS($I$200:I674,I674,$G$200:G674,1)=1),1,0)</x:f>
        <x:v>0</x:v>
      </x:c>
      <x:c r="I674" t="str">
        <x:f>IF(G674=1,IF(B674="成长",A674&amp;"-成长-"&amp;C674,'幕间与结算'!I581),"")</x:f>
        <x:v/>
      </x:c>
      <x:c r="BF674">
        <x:f>MAX(0,MIN(18,BF673+IF(C674="力量",E674,0)))</x:f>
        <x:v>0</x:v>
      </x:c>
      <x:c r="BG674">
        <x:f>MAX(0,MIN(18,BG673+IF(C674="体质",E674,0)))</x:f>
        <x:v>0</x:v>
      </x:c>
      <x:c r="BH674">
        <x:f>MAX(0,MIN(18,BH673+IF(C674="敏捷",E674,0)))</x:f>
        <x:v>0</x:v>
      </x:c>
      <x:c r="BI674">
        <x:f>MAX(0,MIN(18,BI673+IF(C674="智力",E674,0)))</x:f>
        <x:v>0</x:v>
      </x:c>
      <x:c r="BJ674">
        <x:f>MAX(0,MIN(18,BJ673+IF(C674="意志",E674,0)))</x:f>
        <x:v>0</x:v>
      </x:c>
      <x:c r="BK674">
        <x:f>MAX(0,MIN(18,BK673+IF(C674="魅力",E674,0)))</x:f>
        <x:v>0</x:v>
      </x:c>
      <x:c r="BL674">
        <x:f>MAX(0,MIN(99,BL673+IF(C674="技能：非自然知识",E674,0)))</x:f>
        <x:v>0</x:v>
      </x:c>
      <x:c r="BM674">
        <x:f>MAX(0,MIN(CEILING((BF674+BG674)/2,1),BM673+IF(C674="体力",E674,0)))</x:f>
        <x:v>0</x:v>
      </x:c>
      <x:c r="BN674">
        <x:f>MAX(0,MIN(BJ674,BN673+IF(C674="毅力",E674,0)))</x:f>
        <x:v>0</x:v>
      </x:c>
      <x:c r="BO674">
        <x:f>MAX(0,MIN(99-BL674,BO673+IF(C674="理智",E674,0)))</x:f>
        <x:v>0</x:v>
      </x:c>
      <x:c r="BP674">
        <x:f>MAX(0,MIN(99,BP673+IF(C674="崩溃点",E674,0)))</x:f>
        <x:v>0</x:v>
      </x:c>
      <x:c r="BQ674">
        <x:f>MAX(0,MIN(BK674,IF(AND(H674=1,C674="重要关系1",LEFT('幕间与结算'!H581,8)="建立新的重要关系"),'幕间与结算'!E581+E674,BQ673+IF(C674="重要关系1",E674,0)+IF(AND(C674="魅力",E674&lt;0),E674,0))))</x:f>
        <x:v>0</x:v>
      </x:c>
      <x:c r="BR674">
        <x:f>MAX(0,MIN(BK674,IF(AND(H674=1,C674="重要关系2",LEFT('幕间与结算'!H581,8)="建立新的重要关系"),'幕间与结算'!E581+E674,BR673+IF(C674="重要关系2",E674,0)+IF(AND(C674="魅力",E674&lt;0),E674,0))))</x:f>
        <x:v>0</x:v>
      </x:c>
      <x:c r="BS674">
        <x:f>MAX(0,MIN(BK674,IF(AND(H674=1,C674="重要关系3",LEFT('幕间与结算'!H581,8)="建立新的重要关系"),'幕间与结算'!E581+E674,BS673+IF(C674="重要关系3",E674,0)+IF(AND(C674="魅力",E674&lt;0),E674,0))))</x:f>
        <x:v>0</x:v>
      </x:c>
      <x:c r="BT674">
        <x:f>MAX(0,MIN(BK674,IF(AND(H674=1,C674="重要关系4",LEFT('幕间与结算'!H581,8)="建立新的重要关系"),'幕间与结算'!E581+E674,BT673+IF(C674="重要关系4",E674,0)+IF(AND(C674="魅力",E674&lt;0),E674,0))))</x:f>
        <x:v>0</x:v>
      </x:c>
      <x:c r="BU674">
        <x:f>MAX(0,MIN(BK674,IF(AND(H674=1,C674="重要关系5",LEFT('幕间与结算'!H581,8)="建立新的重要关系"),'幕间与结算'!E581+E674,BU673+IF(C674="重要关系5",E674,0)+IF(AND(C674="魅力",E674&lt;0),E674,0))))</x:f>
        <x:v>0</x:v>
      </x:c>
      <x:c r="BV674">
        <x:f>MAX(0,MIN(BK674,IF(AND(H674=1,C674="重要关系6",LEFT('幕间与结算'!H581,8)="建立新的重要关系"),'幕间与结算'!E581+E674,BV673+IF(C674="重要关系6",E674,0)+IF(AND(C674="魅力",E674&lt;0),E674,0))))</x:f>
        <x:v>0</x:v>
      </x:c>
      <x:c r="BW674">
        <x:f>MAX(0,MIN(BK674,IF(AND(H674=1,C674="重要关系7",LEFT('幕间与结算'!H581,8)="建立新的重要关系"),'幕间与结算'!E581+E674,BW673+IF(C674="重要关系7",E674,0)+IF(AND(C674="魅力",E674&lt;0),E674,0))))</x:f>
        <x:v>0</x:v>
      </x:c>
    </x:row>
    <x:row r="675">
      <x:c r="A675" t="str">
        <x:f>IFERROR(TEXT(VALUE('幕间与结算'!A582),"00"),"")</x:f>
        <x:v>00</x:v>
      </x:c>
      <x:c r="B675">
        <x:f>'幕间与结算'!B582</x:f>
        <x:v>0</x:v>
      </x:c>
      <x:c r="C675">
        <x:f>'幕间与结算'!D582</x:f>
        <x:v>0</x:v>
      </x:c>
      <x:c r="D675">
        <x:f>'幕间与结算'!F582</x:f>
        <x:v>0</x:v>
      </x:c>
      <x:c r="E675">
        <x:f>IF(H675=1,MAX(-'幕间与结算'!E582,MIN(D675,IF(LEFT(C675,3)="技能：",99,IF(COUNTIF($L$2:$L$7,C675)&gt;0,18,999))-'幕间与结算'!E582)),0)</x:f>
        <x:v>0</x:v>
      </x:c>
      <x:c r="F675" t="str">
        <x:f>IF(C675=0,"",IF(G675=0,"记录不完整",IF(H675=0,"重复未计","已计入")))</x:f>
        <x:v/>
      </x:c>
      <x:c r="G675">
        <x:f>IF(AND(AND('幕间与结算'!A582&lt;&gt;"",'幕间与结算'!B582&lt;&gt;"",'幕间与结算'!I582&lt;&gt;"",OR(LEFT(C675,3)="技能：",COUNTIF($L$2:$L$19,C675)&gt;0),ISNUMBER('幕间与结算'!E582),ISNUMBER('幕间与结算'!F582),ISNUMBER('幕间与结算'!G582),'幕间与结算'!E582&gt;=0,'幕间与结算'!G582='幕间与结算'!E582+'幕间与结算'!F582),OR(B675&lt;&gt;"成长",AND(LEFT(C675,3)="技能：",C675&lt;&gt;"技能：非自然知识",'幕间与结算'!E582&gt;=1,'幕间与结算'!E582&lt;=99,'幕间与结算'!F582&gt;=0,'幕间与结算'!F582&lt;=4,'幕间与结算'!G582&lt;=99))),1,0)</x:f>
        <x:v>0</x:v>
      </x:c>
      <x:c r="H675">
        <x:f>IF(AND(G675=1,COUNTIFS($I$200:I675,I675,$G$200:G675,1)=1),1,0)</x:f>
        <x:v>0</x:v>
      </x:c>
      <x:c r="I675" t="str">
        <x:f>IF(G675=1,IF(B675="成长",A675&amp;"-成长-"&amp;C675,'幕间与结算'!I582),"")</x:f>
        <x:v/>
      </x:c>
      <x:c r="BF675">
        <x:f>MAX(0,MIN(18,BF674+IF(C675="力量",E675,0)))</x:f>
        <x:v>0</x:v>
      </x:c>
      <x:c r="BG675">
        <x:f>MAX(0,MIN(18,BG674+IF(C675="体质",E675,0)))</x:f>
        <x:v>0</x:v>
      </x:c>
      <x:c r="BH675">
        <x:f>MAX(0,MIN(18,BH674+IF(C675="敏捷",E675,0)))</x:f>
        <x:v>0</x:v>
      </x:c>
      <x:c r="BI675">
        <x:f>MAX(0,MIN(18,BI674+IF(C675="智力",E675,0)))</x:f>
        <x:v>0</x:v>
      </x:c>
      <x:c r="BJ675">
        <x:f>MAX(0,MIN(18,BJ674+IF(C675="意志",E675,0)))</x:f>
        <x:v>0</x:v>
      </x:c>
      <x:c r="BK675">
        <x:f>MAX(0,MIN(18,BK674+IF(C675="魅力",E675,0)))</x:f>
        <x:v>0</x:v>
      </x:c>
      <x:c r="BL675">
        <x:f>MAX(0,MIN(99,BL674+IF(C675="技能：非自然知识",E675,0)))</x:f>
        <x:v>0</x:v>
      </x:c>
      <x:c r="BM675">
        <x:f>MAX(0,MIN(CEILING((BF675+BG675)/2,1),BM674+IF(C675="体力",E675,0)))</x:f>
        <x:v>0</x:v>
      </x:c>
      <x:c r="BN675">
        <x:f>MAX(0,MIN(BJ675,BN674+IF(C675="毅力",E675,0)))</x:f>
        <x:v>0</x:v>
      </x:c>
      <x:c r="BO675">
        <x:f>MAX(0,MIN(99-BL675,BO674+IF(C675="理智",E675,0)))</x:f>
        <x:v>0</x:v>
      </x:c>
      <x:c r="BP675">
        <x:f>MAX(0,MIN(99,BP674+IF(C675="崩溃点",E675,0)))</x:f>
        <x:v>0</x:v>
      </x:c>
      <x:c r="BQ675">
        <x:f>MAX(0,MIN(BK675,IF(AND(H675=1,C675="重要关系1",LEFT('幕间与结算'!H582,8)="建立新的重要关系"),'幕间与结算'!E582+E675,BQ674+IF(C675="重要关系1",E675,0)+IF(AND(C675="魅力",E675&lt;0),E675,0))))</x:f>
        <x:v>0</x:v>
      </x:c>
      <x:c r="BR675">
        <x:f>MAX(0,MIN(BK675,IF(AND(H675=1,C675="重要关系2",LEFT('幕间与结算'!H582,8)="建立新的重要关系"),'幕间与结算'!E582+E675,BR674+IF(C675="重要关系2",E675,0)+IF(AND(C675="魅力",E675&lt;0),E675,0))))</x:f>
        <x:v>0</x:v>
      </x:c>
      <x:c r="BS675">
        <x:f>MAX(0,MIN(BK675,IF(AND(H675=1,C675="重要关系3",LEFT('幕间与结算'!H582,8)="建立新的重要关系"),'幕间与结算'!E582+E675,BS674+IF(C675="重要关系3",E675,0)+IF(AND(C675="魅力",E675&lt;0),E675,0))))</x:f>
        <x:v>0</x:v>
      </x:c>
      <x:c r="BT675">
        <x:f>MAX(0,MIN(BK675,IF(AND(H675=1,C675="重要关系4",LEFT('幕间与结算'!H582,8)="建立新的重要关系"),'幕间与结算'!E582+E675,BT674+IF(C675="重要关系4",E675,0)+IF(AND(C675="魅力",E675&lt;0),E675,0))))</x:f>
        <x:v>0</x:v>
      </x:c>
      <x:c r="BU675">
        <x:f>MAX(0,MIN(BK675,IF(AND(H675=1,C675="重要关系5",LEFT('幕间与结算'!H582,8)="建立新的重要关系"),'幕间与结算'!E582+E675,BU674+IF(C675="重要关系5",E675,0)+IF(AND(C675="魅力",E675&lt;0),E675,0))))</x:f>
        <x:v>0</x:v>
      </x:c>
      <x:c r="BV675">
        <x:f>MAX(0,MIN(BK675,IF(AND(H675=1,C675="重要关系6",LEFT('幕间与结算'!H582,8)="建立新的重要关系"),'幕间与结算'!E582+E675,BV674+IF(C675="重要关系6",E675,0)+IF(AND(C675="魅力",E675&lt;0),E675,0))))</x:f>
        <x:v>0</x:v>
      </x:c>
      <x:c r="BW675">
        <x:f>MAX(0,MIN(BK675,IF(AND(H675=1,C675="重要关系7",LEFT('幕间与结算'!H582,8)="建立新的重要关系"),'幕间与结算'!E582+E675,BW674+IF(C675="重要关系7",E675,0)+IF(AND(C675="魅力",E675&lt;0),E675,0))))</x:f>
        <x:v>0</x:v>
      </x:c>
    </x:row>
    <x:row r="676">
      <x:c r="A676" t="str">
        <x:f>IFERROR(TEXT(VALUE('幕间与结算'!A583),"00"),"")</x:f>
        <x:v>00</x:v>
      </x:c>
      <x:c r="B676">
        <x:f>'幕间与结算'!B583</x:f>
        <x:v>0</x:v>
      </x:c>
      <x:c r="C676">
        <x:f>'幕间与结算'!D583</x:f>
        <x:v>0</x:v>
      </x:c>
      <x:c r="D676">
        <x:f>'幕间与结算'!F583</x:f>
        <x:v>0</x:v>
      </x:c>
      <x:c r="E676">
        <x:f>IF(H676=1,MAX(-'幕间与结算'!E583,MIN(D676,IF(LEFT(C676,3)="技能：",99,IF(COUNTIF($L$2:$L$7,C676)&gt;0,18,999))-'幕间与结算'!E583)),0)</x:f>
        <x:v>0</x:v>
      </x:c>
      <x:c r="F676" t="str">
        <x:f>IF(C676=0,"",IF(G676=0,"记录不完整",IF(H676=0,"重复未计","已计入")))</x:f>
        <x:v/>
      </x:c>
      <x:c r="G676">
        <x:f>IF(AND(AND('幕间与结算'!A583&lt;&gt;"",'幕间与结算'!B583&lt;&gt;"",'幕间与结算'!I583&lt;&gt;"",OR(LEFT(C676,3)="技能：",COUNTIF($L$2:$L$19,C676)&gt;0),ISNUMBER('幕间与结算'!E583),ISNUMBER('幕间与结算'!F583),ISNUMBER('幕间与结算'!G583),'幕间与结算'!E583&gt;=0,'幕间与结算'!G583='幕间与结算'!E583+'幕间与结算'!F583),OR(B676&lt;&gt;"成长",AND(LEFT(C676,3)="技能：",C676&lt;&gt;"技能：非自然知识",'幕间与结算'!E583&gt;=1,'幕间与结算'!E583&lt;=99,'幕间与结算'!F583&gt;=0,'幕间与结算'!F583&lt;=4,'幕间与结算'!G583&lt;=99))),1,0)</x:f>
        <x:v>0</x:v>
      </x:c>
      <x:c r="H676">
        <x:f>IF(AND(G676=1,COUNTIFS($I$200:I676,I676,$G$200:G676,1)=1),1,0)</x:f>
        <x:v>0</x:v>
      </x:c>
      <x:c r="I676" t="str">
        <x:f>IF(G676=1,IF(B676="成长",A676&amp;"-成长-"&amp;C676,'幕间与结算'!I583),"")</x:f>
        <x:v/>
      </x:c>
      <x:c r="BF676">
        <x:f>MAX(0,MIN(18,BF675+IF(C676="力量",E676,0)))</x:f>
        <x:v>0</x:v>
      </x:c>
      <x:c r="BG676">
        <x:f>MAX(0,MIN(18,BG675+IF(C676="体质",E676,0)))</x:f>
        <x:v>0</x:v>
      </x:c>
      <x:c r="BH676">
        <x:f>MAX(0,MIN(18,BH675+IF(C676="敏捷",E676,0)))</x:f>
        <x:v>0</x:v>
      </x:c>
      <x:c r="BI676">
        <x:f>MAX(0,MIN(18,BI675+IF(C676="智力",E676,0)))</x:f>
        <x:v>0</x:v>
      </x:c>
      <x:c r="BJ676">
        <x:f>MAX(0,MIN(18,BJ675+IF(C676="意志",E676,0)))</x:f>
        <x:v>0</x:v>
      </x:c>
      <x:c r="BK676">
        <x:f>MAX(0,MIN(18,BK675+IF(C676="魅力",E676,0)))</x:f>
        <x:v>0</x:v>
      </x:c>
      <x:c r="BL676">
        <x:f>MAX(0,MIN(99,BL675+IF(C676="技能：非自然知识",E676,0)))</x:f>
        <x:v>0</x:v>
      </x:c>
      <x:c r="BM676">
        <x:f>MAX(0,MIN(CEILING((BF676+BG676)/2,1),BM675+IF(C676="体力",E676,0)))</x:f>
        <x:v>0</x:v>
      </x:c>
      <x:c r="BN676">
        <x:f>MAX(0,MIN(BJ676,BN675+IF(C676="毅力",E676,0)))</x:f>
        <x:v>0</x:v>
      </x:c>
      <x:c r="BO676">
        <x:f>MAX(0,MIN(99-BL676,BO675+IF(C676="理智",E676,0)))</x:f>
        <x:v>0</x:v>
      </x:c>
      <x:c r="BP676">
        <x:f>MAX(0,MIN(99,BP675+IF(C676="崩溃点",E676,0)))</x:f>
        <x:v>0</x:v>
      </x:c>
      <x:c r="BQ676">
        <x:f>MAX(0,MIN(BK676,IF(AND(H676=1,C676="重要关系1",LEFT('幕间与结算'!H583,8)="建立新的重要关系"),'幕间与结算'!E583+E676,BQ675+IF(C676="重要关系1",E676,0)+IF(AND(C676="魅力",E676&lt;0),E676,0))))</x:f>
        <x:v>0</x:v>
      </x:c>
      <x:c r="BR676">
        <x:f>MAX(0,MIN(BK676,IF(AND(H676=1,C676="重要关系2",LEFT('幕间与结算'!H583,8)="建立新的重要关系"),'幕间与结算'!E583+E676,BR675+IF(C676="重要关系2",E676,0)+IF(AND(C676="魅力",E676&lt;0),E676,0))))</x:f>
        <x:v>0</x:v>
      </x:c>
      <x:c r="BS676">
        <x:f>MAX(0,MIN(BK676,IF(AND(H676=1,C676="重要关系3",LEFT('幕间与结算'!H583,8)="建立新的重要关系"),'幕间与结算'!E583+E676,BS675+IF(C676="重要关系3",E676,0)+IF(AND(C676="魅力",E676&lt;0),E676,0))))</x:f>
        <x:v>0</x:v>
      </x:c>
      <x:c r="BT676">
        <x:f>MAX(0,MIN(BK676,IF(AND(H676=1,C676="重要关系4",LEFT('幕间与结算'!H583,8)="建立新的重要关系"),'幕间与结算'!E583+E676,BT675+IF(C676="重要关系4",E676,0)+IF(AND(C676="魅力",E676&lt;0),E676,0))))</x:f>
        <x:v>0</x:v>
      </x:c>
      <x:c r="BU676">
        <x:f>MAX(0,MIN(BK676,IF(AND(H676=1,C676="重要关系5",LEFT('幕间与结算'!H583,8)="建立新的重要关系"),'幕间与结算'!E583+E676,BU675+IF(C676="重要关系5",E676,0)+IF(AND(C676="魅力",E676&lt;0),E676,0))))</x:f>
        <x:v>0</x:v>
      </x:c>
      <x:c r="BV676">
        <x:f>MAX(0,MIN(BK676,IF(AND(H676=1,C676="重要关系6",LEFT('幕间与结算'!H583,8)="建立新的重要关系"),'幕间与结算'!E583+E676,BV675+IF(C676="重要关系6",E676,0)+IF(AND(C676="魅力",E676&lt;0),E676,0))))</x:f>
        <x:v>0</x:v>
      </x:c>
      <x:c r="BW676">
        <x:f>MAX(0,MIN(BK676,IF(AND(H676=1,C676="重要关系7",LEFT('幕间与结算'!H583,8)="建立新的重要关系"),'幕间与结算'!E583+E676,BW675+IF(C676="重要关系7",E676,0)+IF(AND(C676="魅力",E676&lt;0),E676,0))))</x:f>
        <x:v>0</x:v>
      </x:c>
    </x:row>
    <x:row r="677">
      <x:c r="A677" t="str">
        <x:f>IFERROR(TEXT(VALUE('幕间与结算'!A584),"00"),"")</x:f>
        <x:v>00</x:v>
      </x:c>
      <x:c r="B677">
        <x:f>'幕间与结算'!B584</x:f>
        <x:v>0</x:v>
      </x:c>
      <x:c r="C677">
        <x:f>'幕间与结算'!D584</x:f>
        <x:v>0</x:v>
      </x:c>
      <x:c r="D677">
        <x:f>'幕间与结算'!F584</x:f>
        <x:v>0</x:v>
      </x:c>
      <x:c r="E677">
        <x:f>IF(H677=1,MAX(-'幕间与结算'!E584,MIN(D677,IF(LEFT(C677,3)="技能：",99,IF(COUNTIF($L$2:$L$7,C677)&gt;0,18,999))-'幕间与结算'!E584)),0)</x:f>
        <x:v>0</x:v>
      </x:c>
      <x:c r="F677" t="str">
        <x:f>IF(C677=0,"",IF(G677=0,"记录不完整",IF(H677=0,"重复未计","已计入")))</x:f>
        <x:v/>
      </x:c>
      <x:c r="G677">
        <x:f>IF(AND(AND('幕间与结算'!A584&lt;&gt;"",'幕间与结算'!B584&lt;&gt;"",'幕间与结算'!I584&lt;&gt;"",OR(LEFT(C677,3)="技能：",COUNTIF($L$2:$L$19,C677)&gt;0),ISNUMBER('幕间与结算'!E584),ISNUMBER('幕间与结算'!F584),ISNUMBER('幕间与结算'!G584),'幕间与结算'!E584&gt;=0,'幕间与结算'!G584='幕间与结算'!E584+'幕间与结算'!F584),OR(B677&lt;&gt;"成长",AND(LEFT(C677,3)="技能：",C677&lt;&gt;"技能：非自然知识",'幕间与结算'!E584&gt;=1,'幕间与结算'!E584&lt;=99,'幕间与结算'!F584&gt;=0,'幕间与结算'!F584&lt;=4,'幕间与结算'!G584&lt;=99))),1,0)</x:f>
        <x:v>0</x:v>
      </x:c>
      <x:c r="H677">
        <x:f>IF(AND(G677=1,COUNTIFS($I$200:I677,I677,$G$200:G677,1)=1),1,0)</x:f>
        <x:v>0</x:v>
      </x:c>
      <x:c r="I677" t="str">
        <x:f>IF(G677=1,IF(B677="成长",A677&amp;"-成长-"&amp;C677,'幕间与结算'!I584),"")</x:f>
        <x:v/>
      </x:c>
      <x:c r="BF677">
        <x:f>MAX(0,MIN(18,BF676+IF(C677="力量",E677,0)))</x:f>
        <x:v>0</x:v>
      </x:c>
      <x:c r="BG677">
        <x:f>MAX(0,MIN(18,BG676+IF(C677="体质",E677,0)))</x:f>
        <x:v>0</x:v>
      </x:c>
      <x:c r="BH677">
        <x:f>MAX(0,MIN(18,BH676+IF(C677="敏捷",E677,0)))</x:f>
        <x:v>0</x:v>
      </x:c>
      <x:c r="BI677">
        <x:f>MAX(0,MIN(18,BI676+IF(C677="智力",E677,0)))</x:f>
        <x:v>0</x:v>
      </x:c>
      <x:c r="BJ677">
        <x:f>MAX(0,MIN(18,BJ676+IF(C677="意志",E677,0)))</x:f>
        <x:v>0</x:v>
      </x:c>
      <x:c r="BK677">
        <x:f>MAX(0,MIN(18,BK676+IF(C677="魅力",E677,0)))</x:f>
        <x:v>0</x:v>
      </x:c>
      <x:c r="BL677">
        <x:f>MAX(0,MIN(99,BL676+IF(C677="技能：非自然知识",E677,0)))</x:f>
        <x:v>0</x:v>
      </x:c>
      <x:c r="BM677">
        <x:f>MAX(0,MIN(CEILING((BF677+BG677)/2,1),BM676+IF(C677="体力",E677,0)))</x:f>
        <x:v>0</x:v>
      </x:c>
      <x:c r="BN677">
        <x:f>MAX(0,MIN(BJ677,BN676+IF(C677="毅力",E677,0)))</x:f>
        <x:v>0</x:v>
      </x:c>
      <x:c r="BO677">
        <x:f>MAX(0,MIN(99-BL677,BO676+IF(C677="理智",E677,0)))</x:f>
        <x:v>0</x:v>
      </x:c>
      <x:c r="BP677">
        <x:f>MAX(0,MIN(99,BP676+IF(C677="崩溃点",E677,0)))</x:f>
        <x:v>0</x:v>
      </x:c>
      <x:c r="BQ677">
        <x:f>MAX(0,MIN(BK677,IF(AND(H677=1,C677="重要关系1",LEFT('幕间与结算'!H584,8)="建立新的重要关系"),'幕间与结算'!E584+E677,BQ676+IF(C677="重要关系1",E677,0)+IF(AND(C677="魅力",E677&lt;0),E677,0))))</x:f>
        <x:v>0</x:v>
      </x:c>
      <x:c r="BR677">
        <x:f>MAX(0,MIN(BK677,IF(AND(H677=1,C677="重要关系2",LEFT('幕间与结算'!H584,8)="建立新的重要关系"),'幕间与结算'!E584+E677,BR676+IF(C677="重要关系2",E677,0)+IF(AND(C677="魅力",E677&lt;0),E677,0))))</x:f>
        <x:v>0</x:v>
      </x:c>
      <x:c r="BS677">
        <x:f>MAX(0,MIN(BK677,IF(AND(H677=1,C677="重要关系3",LEFT('幕间与结算'!H584,8)="建立新的重要关系"),'幕间与结算'!E584+E677,BS676+IF(C677="重要关系3",E677,0)+IF(AND(C677="魅力",E677&lt;0),E677,0))))</x:f>
        <x:v>0</x:v>
      </x:c>
      <x:c r="BT677">
        <x:f>MAX(0,MIN(BK677,IF(AND(H677=1,C677="重要关系4",LEFT('幕间与结算'!H584,8)="建立新的重要关系"),'幕间与结算'!E584+E677,BT676+IF(C677="重要关系4",E677,0)+IF(AND(C677="魅力",E677&lt;0),E677,0))))</x:f>
        <x:v>0</x:v>
      </x:c>
      <x:c r="BU677">
        <x:f>MAX(0,MIN(BK677,IF(AND(H677=1,C677="重要关系5",LEFT('幕间与结算'!H584,8)="建立新的重要关系"),'幕间与结算'!E584+E677,BU676+IF(C677="重要关系5",E677,0)+IF(AND(C677="魅力",E677&lt;0),E677,0))))</x:f>
        <x:v>0</x:v>
      </x:c>
      <x:c r="BV677">
        <x:f>MAX(0,MIN(BK677,IF(AND(H677=1,C677="重要关系6",LEFT('幕间与结算'!H584,8)="建立新的重要关系"),'幕间与结算'!E584+E677,BV676+IF(C677="重要关系6",E677,0)+IF(AND(C677="魅力",E677&lt;0),E677,0))))</x:f>
        <x:v>0</x:v>
      </x:c>
      <x:c r="BW677">
        <x:f>MAX(0,MIN(BK677,IF(AND(H677=1,C677="重要关系7",LEFT('幕间与结算'!H584,8)="建立新的重要关系"),'幕间与结算'!E584+E677,BW676+IF(C677="重要关系7",E677,0)+IF(AND(C677="魅力",E677&lt;0),E677,0))))</x:f>
        <x:v>0</x:v>
      </x:c>
    </x:row>
    <x:row r="678">
      <x:c r="A678" t="str">
        <x:f>IFERROR(TEXT(VALUE('幕间与结算'!A585),"00"),"")</x:f>
        <x:v>00</x:v>
      </x:c>
      <x:c r="B678">
        <x:f>'幕间与结算'!B585</x:f>
        <x:v>0</x:v>
      </x:c>
      <x:c r="C678">
        <x:f>'幕间与结算'!D585</x:f>
        <x:v>0</x:v>
      </x:c>
      <x:c r="D678">
        <x:f>'幕间与结算'!F585</x:f>
        <x:v>0</x:v>
      </x:c>
      <x:c r="E678">
        <x:f>IF(H678=1,MAX(-'幕间与结算'!E585,MIN(D678,IF(LEFT(C678,3)="技能：",99,IF(COUNTIF($L$2:$L$7,C678)&gt;0,18,999))-'幕间与结算'!E585)),0)</x:f>
        <x:v>0</x:v>
      </x:c>
      <x:c r="F678" t="str">
        <x:f>IF(C678=0,"",IF(G678=0,"记录不完整",IF(H678=0,"重复未计","已计入")))</x:f>
        <x:v/>
      </x:c>
      <x:c r="G678">
        <x:f>IF(AND(AND('幕间与结算'!A585&lt;&gt;"",'幕间与结算'!B585&lt;&gt;"",'幕间与结算'!I585&lt;&gt;"",OR(LEFT(C678,3)="技能：",COUNTIF($L$2:$L$19,C678)&gt;0),ISNUMBER('幕间与结算'!E585),ISNUMBER('幕间与结算'!F585),ISNUMBER('幕间与结算'!G585),'幕间与结算'!E585&gt;=0,'幕间与结算'!G585='幕间与结算'!E585+'幕间与结算'!F585),OR(B678&lt;&gt;"成长",AND(LEFT(C678,3)="技能：",C678&lt;&gt;"技能：非自然知识",'幕间与结算'!E585&gt;=1,'幕间与结算'!E585&lt;=99,'幕间与结算'!F585&gt;=0,'幕间与结算'!F585&lt;=4,'幕间与结算'!G585&lt;=99))),1,0)</x:f>
        <x:v>0</x:v>
      </x:c>
      <x:c r="H678">
        <x:f>IF(AND(G678=1,COUNTIFS($I$200:I678,I678,$G$200:G678,1)=1),1,0)</x:f>
        <x:v>0</x:v>
      </x:c>
      <x:c r="I678" t="str">
        <x:f>IF(G678=1,IF(B678="成长",A678&amp;"-成长-"&amp;C678,'幕间与结算'!I585),"")</x:f>
        <x:v/>
      </x:c>
      <x:c r="BF678">
        <x:f>MAX(0,MIN(18,BF677+IF(C678="力量",E678,0)))</x:f>
        <x:v>0</x:v>
      </x:c>
      <x:c r="BG678">
        <x:f>MAX(0,MIN(18,BG677+IF(C678="体质",E678,0)))</x:f>
        <x:v>0</x:v>
      </x:c>
      <x:c r="BH678">
        <x:f>MAX(0,MIN(18,BH677+IF(C678="敏捷",E678,0)))</x:f>
        <x:v>0</x:v>
      </x:c>
      <x:c r="BI678">
        <x:f>MAX(0,MIN(18,BI677+IF(C678="智力",E678,0)))</x:f>
        <x:v>0</x:v>
      </x:c>
      <x:c r="BJ678">
        <x:f>MAX(0,MIN(18,BJ677+IF(C678="意志",E678,0)))</x:f>
        <x:v>0</x:v>
      </x:c>
      <x:c r="BK678">
        <x:f>MAX(0,MIN(18,BK677+IF(C678="魅力",E678,0)))</x:f>
        <x:v>0</x:v>
      </x:c>
      <x:c r="BL678">
        <x:f>MAX(0,MIN(99,BL677+IF(C678="技能：非自然知识",E678,0)))</x:f>
        <x:v>0</x:v>
      </x:c>
      <x:c r="BM678">
        <x:f>MAX(0,MIN(CEILING((BF678+BG678)/2,1),BM677+IF(C678="体力",E678,0)))</x:f>
        <x:v>0</x:v>
      </x:c>
      <x:c r="BN678">
        <x:f>MAX(0,MIN(BJ678,BN677+IF(C678="毅力",E678,0)))</x:f>
        <x:v>0</x:v>
      </x:c>
      <x:c r="BO678">
        <x:f>MAX(0,MIN(99-BL678,BO677+IF(C678="理智",E678,0)))</x:f>
        <x:v>0</x:v>
      </x:c>
      <x:c r="BP678">
        <x:f>MAX(0,MIN(99,BP677+IF(C678="崩溃点",E678,0)))</x:f>
        <x:v>0</x:v>
      </x:c>
      <x:c r="BQ678">
        <x:f>MAX(0,MIN(BK678,IF(AND(H678=1,C678="重要关系1",LEFT('幕间与结算'!H585,8)="建立新的重要关系"),'幕间与结算'!E585+E678,BQ677+IF(C678="重要关系1",E678,0)+IF(AND(C678="魅力",E678&lt;0),E678,0))))</x:f>
        <x:v>0</x:v>
      </x:c>
      <x:c r="BR678">
        <x:f>MAX(0,MIN(BK678,IF(AND(H678=1,C678="重要关系2",LEFT('幕间与结算'!H585,8)="建立新的重要关系"),'幕间与结算'!E585+E678,BR677+IF(C678="重要关系2",E678,0)+IF(AND(C678="魅力",E678&lt;0),E678,0))))</x:f>
        <x:v>0</x:v>
      </x:c>
      <x:c r="BS678">
        <x:f>MAX(0,MIN(BK678,IF(AND(H678=1,C678="重要关系3",LEFT('幕间与结算'!H585,8)="建立新的重要关系"),'幕间与结算'!E585+E678,BS677+IF(C678="重要关系3",E678,0)+IF(AND(C678="魅力",E678&lt;0),E678,0))))</x:f>
        <x:v>0</x:v>
      </x:c>
      <x:c r="BT678">
        <x:f>MAX(0,MIN(BK678,IF(AND(H678=1,C678="重要关系4",LEFT('幕间与结算'!H585,8)="建立新的重要关系"),'幕间与结算'!E585+E678,BT677+IF(C678="重要关系4",E678,0)+IF(AND(C678="魅力",E678&lt;0),E678,0))))</x:f>
        <x:v>0</x:v>
      </x:c>
      <x:c r="BU678">
        <x:f>MAX(0,MIN(BK678,IF(AND(H678=1,C678="重要关系5",LEFT('幕间与结算'!H585,8)="建立新的重要关系"),'幕间与结算'!E585+E678,BU677+IF(C678="重要关系5",E678,0)+IF(AND(C678="魅力",E678&lt;0),E678,0))))</x:f>
        <x:v>0</x:v>
      </x:c>
      <x:c r="BV678">
        <x:f>MAX(0,MIN(BK678,IF(AND(H678=1,C678="重要关系6",LEFT('幕间与结算'!H585,8)="建立新的重要关系"),'幕间与结算'!E585+E678,BV677+IF(C678="重要关系6",E678,0)+IF(AND(C678="魅力",E678&lt;0),E678,0))))</x:f>
        <x:v>0</x:v>
      </x:c>
      <x:c r="BW678">
        <x:f>MAX(0,MIN(BK678,IF(AND(H678=1,C678="重要关系7",LEFT('幕间与结算'!H585,8)="建立新的重要关系"),'幕间与结算'!E585+E678,BW677+IF(C678="重要关系7",E678,0)+IF(AND(C678="魅力",E678&lt;0),E678,0))))</x:f>
        <x:v>0</x:v>
      </x:c>
    </x:row>
    <x:row r="679">
      <x:c r="A679" t="str">
        <x:f>IFERROR(TEXT(VALUE('幕间与结算'!A586),"00"),"")</x:f>
        <x:v>00</x:v>
      </x:c>
      <x:c r="B679">
        <x:f>'幕间与结算'!B586</x:f>
        <x:v>0</x:v>
      </x:c>
      <x:c r="C679">
        <x:f>'幕间与结算'!D586</x:f>
        <x:v>0</x:v>
      </x:c>
      <x:c r="D679">
        <x:f>'幕间与结算'!F586</x:f>
        <x:v>0</x:v>
      </x:c>
      <x:c r="E679">
        <x:f>IF(H679=1,MAX(-'幕间与结算'!E586,MIN(D679,IF(LEFT(C679,3)="技能：",99,IF(COUNTIF($L$2:$L$7,C679)&gt;0,18,999))-'幕间与结算'!E586)),0)</x:f>
        <x:v>0</x:v>
      </x:c>
      <x:c r="F679" t="str">
        <x:f>IF(C679=0,"",IF(G679=0,"记录不完整",IF(H679=0,"重复未计","已计入")))</x:f>
        <x:v/>
      </x:c>
      <x:c r="G679">
        <x:f>IF(AND(AND('幕间与结算'!A586&lt;&gt;"",'幕间与结算'!B586&lt;&gt;"",'幕间与结算'!I586&lt;&gt;"",OR(LEFT(C679,3)="技能：",COUNTIF($L$2:$L$19,C679)&gt;0),ISNUMBER('幕间与结算'!E586),ISNUMBER('幕间与结算'!F586),ISNUMBER('幕间与结算'!G586),'幕间与结算'!E586&gt;=0,'幕间与结算'!G586='幕间与结算'!E586+'幕间与结算'!F586),OR(B679&lt;&gt;"成长",AND(LEFT(C679,3)="技能：",C679&lt;&gt;"技能：非自然知识",'幕间与结算'!E586&gt;=1,'幕间与结算'!E586&lt;=99,'幕间与结算'!F586&gt;=0,'幕间与结算'!F586&lt;=4,'幕间与结算'!G586&lt;=99))),1,0)</x:f>
        <x:v>0</x:v>
      </x:c>
      <x:c r="H679">
        <x:f>IF(AND(G679=1,COUNTIFS($I$200:I679,I679,$G$200:G679,1)=1),1,0)</x:f>
        <x:v>0</x:v>
      </x:c>
      <x:c r="I679" t="str">
        <x:f>IF(G679=1,IF(B679="成长",A679&amp;"-成长-"&amp;C679,'幕间与结算'!I586),"")</x:f>
        <x:v/>
      </x:c>
      <x:c r="BF679">
        <x:f>MAX(0,MIN(18,BF678+IF(C679="力量",E679,0)))</x:f>
        <x:v>0</x:v>
      </x:c>
      <x:c r="BG679">
        <x:f>MAX(0,MIN(18,BG678+IF(C679="体质",E679,0)))</x:f>
        <x:v>0</x:v>
      </x:c>
      <x:c r="BH679">
        <x:f>MAX(0,MIN(18,BH678+IF(C679="敏捷",E679,0)))</x:f>
        <x:v>0</x:v>
      </x:c>
      <x:c r="BI679">
        <x:f>MAX(0,MIN(18,BI678+IF(C679="智力",E679,0)))</x:f>
        <x:v>0</x:v>
      </x:c>
      <x:c r="BJ679">
        <x:f>MAX(0,MIN(18,BJ678+IF(C679="意志",E679,0)))</x:f>
        <x:v>0</x:v>
      </x:c>
      <x:c r="BK679">
        <x:f>MAX(0,MIN(18,BK678+IF(C679="魅力",E679,0)))</x:f>
        <x:v>0</x:v>
      </x:c>
      <x:c r="BL679">
        <x:f>MAX(0,MIN(99,BL678+IF(C679="技能：非自然知识",E679,0)))</x:f>
        <x:v>0</x:v>
      </x:c>
      <x:c r="BM679">
        <x:f>MAX(0,MIN(CEILING((BF679+BG679)/2,1),BM678+IF(C679="体力",E679,0)))</x:f>
        <x:v>0</x:v>
      </x:c>
      <x:c r="BN679">
        <x:f>MAX(0,MIN(BJ679,BN678+IF(C679="毅力",E679,0)))</x:f>
        <x:v>0</x:v>
      </x:c>
      <x:c r="BO679">
        <x:f>MAX(0,MIN(99-BL679,BO678+IF(C679="理智",E679,0)))</x:f>
        <x:v>0</x:v>
      </x:c>
      <x:c r="BP679">
        <x:f>MAX(0,MIN(99,BP678+IF(C679="崩溃点",E679,0)))</x:f>
        <x:v>0</x:v>
      </x:c>
      <x:c r="BQ679">
        <x:f>MAX(0,MIN(BK679,IF(AND(H679=1,C679="重要关系1",LEFT('幕间与结算'!H586,8)="建立新的重要关系"),'幕间与结算'!E586+E679,BQ678+IF(C679="重要关系1",E679,0)+IF(AND(C679="魅力",E679&lt;0),E679,0))))</x:f>
        <x:v>0</x:v>
      </x:c>
      <x:c r="BR679">
        <x:f>MAX(0,MIN(BK679,IF(AND(H679=1,C679="重要关系2",LEFT('幕间与结算'!H586,8)="建立新的重要关系"),'幕间与结算'!E586+E679,BR678+IF(C679="重要关系2",E679,0)+IF(AND(C679="魅力",E679&lt;0),E679,0))))</x:f>
        <x:v>0</x:v>
      </x:c>
      <x:c r="BS679">
        <x:f>MAX(0,MIN(BK679,IF(AND(H679=1,C679="重要关系3",LEFT('幕间与结算'!H586,8)="建立新的重要关系"),'幕间与结算'!E586+E679,BS678+IF(C679="重要关系3",E679,0)+IF(AND(C679="魅力",E679&lt;0),E679,0))))</x:f>
        <x:v>0</x:v>
      </x:c>
      <x:c r="BT679">
        <x:f>MAX(0,MIN(BK679,IF(AND(H679=1,C679="重要关系4",LEFT('幕间与结算'!H586,8)="建立新的重要关系"),'幕间与结算'!E586+E679,BT678+IF(C679="重要关系4",E679,0)+IF(AND(C679="魅力",E679&lt;0),E679,0))))</x:f>
        <x:v>0</x:v>
      </x:c>
      <x:c r="BU679">
        <x:f>MAX(0,MIN(BK679,IF(AND(H679=1,C679="重要关系5",LEFT('幕间与结算'!H586,8)="建立新的重要关系"),'幕间与结算'!E586+E679,BU678+IF(C679="重要关系5",E679,0)+IF(AND(C679="魅力",E679&lt;0),E679,0))))</x:f>
        <x:v>0</x:v>
      </x:c>
      <x:c r="BV679">
        <x:f>MAX(0,MIN(BK679,IF(AND(H679=1,C679="重要关系6",LEFT('幕间与结算'!H586,8)="建立新的重要关系"),'幕间与结算'!E586+E679,BV678+IF(C679="重要关系6",E679,0)+IF(AND(C679="魅力",E679&lt;0),E679,0))))</x:f>
        <x:v>0</x:v>
      </x:c>
      <x:c r="BW679">
        <x:f>MAX(0,MIN(BK679,IF(AND(H679=1,C679="重要关系7",LEFT('幕间与结算'!H586,8)="建立新的重要关系"),'幕间与结算'!E586+E679,BW678+IF(C679="重要关系7",E679,0)+IF(AND(C679="魅力",E679&lt;0),E679,0))))</x:f>
        <x:v>0</x:v>
      </x:c>
    </x:row>
    <x:row r="680">
      <x:c r="A680" t="str">
        <x:f>IFERROR(TEXT(VALUE('幕间与结算'!A587),"00"),"")</x:f>
        <x:v>00</x:v>
      </x:c>
      <x:c r="B680">
        <x:f>'幕间与结算'!B587</x:f>
        <x:v>0</x:v>
      </x:c>
      <x:c r="C680">
        <x:f>'幕间与结算'!D587</x:f>
        <x:v>0</x:v>
      </x:c>
      <x:c r="D680">
        <x:f>'幕间与结算'!F587</x:f>
        <x:v>0</x:v>
      </x:c>
      <x:c r="E680">
        <x:f>IF(H680=1,MAX(-'幕间与结算'!E587,MIN(D680,IF(LEFT(C680,3)="技能：",99,IF(COUNTIF($L$2:$L$7,C680)&gt;0,18,999))-'幕间与结算'!E587)),0)</x:f>
        <x:v>0</x:v>
      </x:c>
      <x:c r="F680" t="str">
        <x:f>IF(C680=0,"",IF(G680=0,"记录不完整",IF(H680=0,"重复未计","已计入")))</x:f>
        <x:v/>
      </x:c>
      <x:c r="G680">
        <x:f>IF(AND(AND('幕间与结算'!A587&lt;&gt;"",'幕间与结算'!B587&lt;&gt;"",'幕间与结算'!I587&lt;&gt;"",OR(LEFT(C680,3)="技能：",COUNTIF($L$2:$L$19,C680)&gt;0),ISNUMBER('幕间与结算'!E587),ISNUMBER('幕间与结算'!F587),ISNUMBER('幕间与结算'!G587),'幕间与结算'!E587&gt;=0,'幕间与结算'!G587='幕间与结算'!E587+'幕间与结算'!F587),OR(B680&lt;&gt;"成长",AND(LEFT(C680,3)="技能：",C680&lt;&gt;"技能：非自然知识",'幕间与结算'!E587&gt;=1,'幕间与结算'!E587&lt;=99,'幕间与结算'!F587&gt;=0,'幕间与结算'!F587&lt;=4,'幕间与结算'!G587&lt;=99))),1,0)</x:f>
        <x:v>0</x:v>
      </x:c>
      <x:c r="H680">
        <x:f>IF(AND(G680=1,COUNTIFS($I$200:I680,I680,$G$200:G680,1)=1),1,0)</x:f>
        <x:v>0</x:v>
      </x:c>
      <x:c r="I680" t="str">
        <x:f>IF(G680=1,IF(B680="成长",A680&amp;"-成长-"&amp;C680,'幕间与结算'!I587),"")</x:f>
        <x:v/>
      </x:c>
      <x:c r="BF680">
        <x:f>MAX(0,MIN(18,BF679+IF(C680="力量",E680,0)))</x:f>
        <x:v>0</x:v>
      </x:c>
      <x:c r="BG680">
        <x:f>MAX(0,MIN(18,BG679+IF(C680="体质",E680,0)))</x:f>
        <x:v>0</x:v>
      </x:c>
      <x:c r="BH680">
        <x:f>MAX(0,MIN(18,BH679+IF(C680="敏捷",E680,0)))</x:f>
        <x:v>0</x:v>
      </x:c>
      <x:c r="BI680">
        <x:f>MAX(0,MIN(18,BI679+IF(C680="智力",E680,0)))</x:f>
        <x:v>0</x:v>
      </x:c>
      <x:c r="BJ680">
        <x:f>MAX(0,MIN(18,BJ679+IF(C680="意志",E680,0)))</x:f>
        <x:v>0</x:v>
      </x:c>
      <x:c r="BK680">
        <x:f>MAX(0,MIN(18,BK679+IF(C680="魅力",E680,0)))</x:f>
        <x:v>0</x:v>
      </x:c>
      <x:c r="BL680">
        <x:f>MAX(0,MIN(99,BL679+IF(C680="技能：非自然知识",E680,0)))</x:f>
        <x:v>0</x:v>
      </x:c>
      <x:c r="BM680">
        <x:f>MAX(0,MIN(CEILING((BF680+BG680)/2,1),BM679+IF(C680="体力",E680,0)))</x:f>
        <x:v>0</x:v>
      </x:c>
      <x:c r="BN680">
        <x:f>MAX(0,MIN(BJ680,BN679+IF(C680="毅力",E680,0)))</x:f>
        <x:v>0</x:v>
      </x:c>
      <x:c r="BO680">
        <x:f>MAX(0,MIN(99-BL680,BO679+IF(C680="理智",E680,0)))</x:f>
        <x:v>0</x:v>
      </x:c>
      <x:c r="BP680">
        <x:f>MAX(0,MIN(99,BP679+IF(C680="崩溃点",E680,0)))</x:f>
        <x:v>0</x:v>
      </x:c>
      <x:c r="BQ680">
        <x:f>MAX(0,MIN(BK680,IF(AND(H680=1,C680="重要关系1",LEFT('幕间与结算'!H587,8)="建立新的重要关系"),'幕间与结算'!E587+E680,BQ679+IF(C680="重要关系1",E680,0)+IF(AND(C680="魅力",E680&lt;0),E680,0))))</x:f>
        <x:v>0</x:v>
      </x:c>
      <x:c r="BR680">
        <x:f>MAX(0,MIN(BK680,IF(AND(H680=1,C680="重要关系2",LEFT('幕间与结算'!H587,8)="建立新的重要关系"),'幕间与结算'!E587+E680,BR679+IF(C680="重要关系2",E680,0)+IF(AND(C680="魅力",E680&lt;0),E680,0))))</x:f>
        <x:v>0</x:v>
      </x:c>
      <x:c r="BS680">
        <x:f>MAX(0,MIN(BK680,IF(AND(H680=1,C680="重要关系3",LEFT('幕间与结算'!H587,8)="建立新的重要关系"),'幕间与结算'!E587+E680,BS679+IF(C680="重要关系3",E680,0)+IF(AND(C680="魅力",E680&lt;0),E680,0))))</x:f>
        <x:v>0</x:v>
      </x:c>
      <x:c r="BT680">
        <x:f>MAX(0,MIN(BK680,IF(AND(H680=1,C680="重要关系4",LEFT('幕间与结算'!H587,8)="建立新的重要关系"),'幕间与结算'!E587+E680,BT679+IF(C680="重要关系4",E680,0)+IF(AND(C680="魅力",E680&lt;0),E680,0))))</x:f>
        <x:v>0</x:v>
      </x:c>
      <x:c r="BU680">
        <x:f>MAX(0,MIN(BK680,IF(AND(H680=1,C680="重要关系5",LEFT('幕间与结算'!H587,8)="建立新的重要关系"),'幕间与结算'!E587+E680,BU679+IF(C680="重要关系5",E680,0)+IF(AND(C680="魅力",E680&lt;0),E680,0))))</x:f>
        <x:v>0</x:v>
      </x:c>
      <x:c r="BV680">
        <x:f>MAX(0,MIN(BK680,IF(AND(H680=1,C680="重要关系6",LEFT('幕间与结算'!H587,8)="建立新的重要关系"),'幕间与结算'!E587+E680,BV679+IF(C680="重要关系6",E680,0)+IF(AND(C680="魅力",E680&lt;0),E680,0))))</x:f>
        <x:v>0</x:v>
      </x:c>
      <x:c r="BW680">
        <x:f>MAX(0,MIN(BK680,IF(AND(H680=1,C680="重要关系7",LEFT('幕间与结算'!H587,8)="建立新的重要关系"),'幕间与结算'!E587+E680,BW679+IF(C680="重要关系7",E680,0)+IF(AND(C680="魅力",E680&lt;0),E680,0))))</x:f>
        <x:v>0</x:v>
      </x:c>
    </x:row>
    <x:row r="681">
      <x:c r="A681" t="str">
        <x:f>IFERROR(TEXT(VALUE('幕间与结算'!A588),"00"),"")</x:f>
        <x:v>00</x:v>
      </x:c>
      <x:c r="B681">
        <x:f>'幕间与结算'!B588</x:f>
        <x:v>0</x:v>
      </x:c>
      <x:c r="C681">
        <x:f>'幕间与结算'!D588</x:f>
        <x:v>0</x:v>
      </x:c>
      <x:c r="D681">
        <x:f>'幕间与结算'!F588</x:f>
        <x:v>0</x:v>
      </x:c>
      <x:c r="E681">
        <x:f>IF(H681=1,MAX(-'幕间与结算'!E588,MIN(D681,IF(LEFT(C681,3)="技能：",99,IF(COUNTIF($L$2:$L$7,C681)&gt;0,18,999))-'幕间与结算'!E588)),0)</x:f>
        <x:v>0</x:v>
      </x:c>
      <x:c r="F681" t="str">
        <x:f>IF(C681=0,"",IF(G681=0,"记录不完整",IF(H681=0,"重复未计","已计入")))</x:f>
        <x:v/>
      </x:c>
      <x:c r="G681">
        <x:f>IF(AND(AND('幕间与结算'!A588&lt;&gt;"",'幕间与结算'!B588&lt;&gt;"",'幕间与结算'!I588&lt;&gt;"",OR(LEFT(C681,3)="技能：",COUNTIF($L$2:$L$19,C681)&gt;0),ISNUMBER('幕间与结算'!E588),ISNUMBER('幕间与结算'!F588),ISNUMBER('幕间与结算'!G588),'幕间与结算'!E588&gt;=0,'幕间与结算'!G588='幕间与结算'!E588+'幕间与结算'!F588),OR(B681&lt;&gt;"成长",AND(LEFT(C681,3)="技能：",C681&lt;&gt;"技能：非自然知识",'幕间与结算'!E588&gt;=1,'幕间与结算'!E588&lt;=99,'幕间与结算'!F588&gt;=0,'幕间与结算'!F588&lt;=4,'幕间与结算'!G588&lt;=99))),1,0)</x:f>
        <x:v>0</x:v>
      </x:c>
      <x:c r="H681">
        <x:f>IF(AND(G681=1,COUNTIFS($I$200:I681,I681,$G$200:G681,1)=1),1,0)</x:f>
        <x:v>0</x:v>
      </x:c>
      <x:c r="I681" t="str">
        <x:f>IF(G681=1,IF(B681="成长",A681&amp;"-成长-"&amp;C681,'幕间与结算'!I588),"")</x:f>
        <x:v/>
      </x:c>
      <x:c r="BF681">
        <x:f>MAX(0,MIN(18,BF680+IF(C681="力量",E681,0)))</x:f>
        <x:v>0</x:v>
      </x:c>
      <x:c r="BG681">
        <x:f>MAX(0,MIN(18,BG680+IF(C681="体质",E681,0)))</x:f>
        <x:v>0</x:v>
      </x:c>
      <x:c r="BH681">
        <x:f>MAX(0,MIN(18,BH680+IF(C681="敏捷",E681,0)))</x:f>
        <x:v>0</x:v>
      </x:c>
      <x:c r="BI681">
        <x:f>MAX(0,MIN(18,BI680+IF(C681="智力",E681,0)))</x:f>
        <x:v>0</x:v>
      </x:c>
      <x:c r="BJ681">
        <x:f>MAX(0,MIN(18,BJ680+IF(C681="意志",E681,0)))</x:f>
        <x:v>0</x:v>
      </x:c>
      <x:c r="BK681">
        <x:f>MAX(0,MIN(18,BK680+IF(C681="魅力",E681,0)))</x:f>
        <x:v>0</x:v>
      </x:c>
      <x:c r="BL681">
        <x:f>MAX(0,MIN(99,BL680+IF(C681="技能：非自然知识",E681,0)))</x:f>
        <x:v>0</x:v>
      </x:c>
      <x:c r="BM681">
        <x:f>MAX(0,MIN(CEILING((BF681+BG681)/2,1),BM680+IF(C681="体力",E681,0)))</x:f>
        <x:v>0</x:v>
      </x:c>
      <x:c r="BN681">
        <x:f>MAX(0,MIN(BJ681,BN680+IF(C681="毅力",E681,0)))</x:f>
        <x:v>0</x:v>
      </x:c>
      <x:c r="BO681">
        <x:f>MAX(0,MIN(99-BL681,BO680+IF(C681="理智",E681,0)))</x:f>
        <x:v>0</x:v>
      </x:c>
      <x:c r="BP681">
        <x:f>MAX(0,MIN(99,BP680+IF(C681="崩溃点",E681,0)))</x:f>
        <x:v>0</x:v>
      </x:c>
      <x:c r="BQ681">
        <x:f>MAX(0,MIN(BK681,IF(AND(H681=1,C681="重要关系1",LEFT('幕间与结算'!H588,8)="建立新的重要关系"),'幕间与结算'!E588+E681,BQ680+IF(C681="重要关系1",E681,0)+IF(AND(C681="魅力",E681&lt;0),E681,0))))</x:f>
        <x:v>0</x:v>
      </x:c>
      <x:c r="BR681">
        <x:f>MAX(0,MIN(BK681,IF(AND(H681=1,C681="重要关系2",LEFT('幕间与结算'!H588,8)="建立新的重要关系"),'幕间与结算'!E588+E681,BR680+IF(C681="重要关系2",E681,0)+IF(AND(C681="魅力",E681&lt;0),E681,0))))</x:f>
        <x:v>0</x:v>
      </x:c>
      <x:c r="BS681">
        <x:f>MAX(0,MIN(BK681,IF(AND(H681=1,C681="重要关系3",LEFT('幕间与结算'!H588,8)="建立新的重要关系"),'幕间与结算'!E588+E681,BS680+IF(C681="重要关系3",E681,0)+IF(AND(C681="魅力",E681&lt;0),E681,0))))</x:f>
        <x:v>0</x:v>
      </x:c>
      <x:c r="BT681">
        <x:f>MAX(0,MIN(BK681,IF(AND(H681=1,C681="重要关系4",LEFT('幕间与结算'!H588,8)="建立新的重要关系"),'幕间与结算'!E588+E681,BT680+IF(C681="重要关系4",E681,0)+IF(AND(C681="魅力",E681&lt;0),E681,0))))</x:f>
        <x:v>0</x:v>
      </x:c>
      <x:c r="BU681">
        <x:f>MAX(0,MIN(BK681,IF(AND(H681=1,C681="重要关系5",LEFT('幕间与结算'!H588,8)="建立新的重要关系"),'幕间与结算'!E588+E681,BU680+IF(C681="重要关系5",E681,0)+IF(AND(C681="魅力",E681&lt;0),E681,0))))</x:f>
        <x:v>0</x:v>
      </x:c>
      <x:c r="BV681">
        <x:f>MAX(0,MIN(BK681,IF(AND(H681=1,C681="重要关系6",LEFT('幕间与结算'!H588,8)="建立新的重要关系"),'幕间与结算'!E588+E681,BV680+IF(C681="重要关系6",E681,0)+IF(AND(C681="魅力",E681&lt;0),E681,0))))</x:f>
        <x:v>0</x:v>
      </x:c>
      <x:c r="BW681">
        <x:f>MAX(0,MIN(BK681,IF(AND(H681=1,C681="重要关系7",LEFT('幕间与结算'!H588,8)="建立新的重要关系"),'幕间与结算'!E588+E681,BW680+IF(C681="重要关系7",E681,0)+IF(AND(C681="魅力",E681&lt;0),E681,0))))</x:f>
        <x:v>0</x:v>
      </x:c>
    </x:row>
    <x:row r="682">
      <x:c r="A682" t="str">
        <x:f>IFERROR(TEXT(VALUE('幕间与结算'!A589),"00"),"")</x:f>
        <x:v>00</x:v>
      </x:c>
      <x:c r="B682">
        <x:f>'幕间与结算'!B589</x:f>
        <x:v>0</x:v>
      </x:c>
      <x:c r="C682">
        <x:f>'幕间与结算'!D589</x:f>
        <x:v>0</x:v>
      </x:c>
      <x:c r="D682">
        <x:f>'幕间与结算'!F589</x:f>
        <x:v>0</x:v>
      </x:c>
      <x:c r="E682">
        <x:f>IF(H682=1,MAX(-'幕间与结算'!E589,MIN(D682,IF(LEFT(C682,3)="技能：",99,IF(COUNTIF($L$2:$L$7,C682)&gt;0,18,999))-'幕间与结算'!E589)),0)</x:f>
        <x:v>0</x:v>
      </x:c>
      <x:c r="F682" t="str">
        <x:f>IF(C682=0,"",IF(G682=0,"记录不完整",IF(H682=0,"重复未计","已计入")))</x:f>
        <x:v/>
      </x:c>
      <x:c r="G682">
        <x:f>IF(AND(AND('幕间与结算'!A589&lt;&gt;"",'幕间与结算'!B589&lt;&gt;"",'幕间与结算'!I589&lt;&gt;"",OR(LEFT(C682,3)="技能：",COUNTIF($L$2:$L$19,C682)&gt;0),ISNUMBER('幕间与结算'!E589),ISNUMBER('幕间与结算'!F589),ISNUMBER('幕间与结算'!G589),'幕间与结算'!E589&gt;=0,'幕间与结算'!G589='幕间与结算'!E589+'幕间与结算'!F589),OR(B682&lt;&gt;"成长",AND(LEFT(C682,3)="技能：",C682&lt;&gt;"技能：非自然知识",'幕间与结算'!E589&gt;=1,'幕间与结算'!E589&lt;=99,'幕间与结算'!F589&gt;=0,'幕间与结算'!F589&lt;=4,'幕间与结算'!G589&lt;=99))),1,0)</x:f>
        <x:v>0</x:v>
      </x:c>
      <x:c r="H682">
        <x:f>IF(AND(G682=1,COUNTIFS($I$200:I682,I682,$G$200:G682,1)=1),1,0)</x:f>
        <x:v>0</x:v>
      </x:c>
      <x:c r="I682" t="str">
        <x:f>IF(G682=1,IF(B682="成长",A682&amp;"-成长-"&amp;C682,'幕间与结算'!I589),"")</x:f>
        <x:v/>
      </x:c>
      <x:c r="BF682">
        <x:f>MAX(0,MIN(18,BF681+IF(C682="力量",E682,0)))</x:f>
        <x:v>0</x:v>
      </x:c>
      <x:c r="BG682">
        <x:f>MAX(0,MIN(18,BG681+IF(C682="体质",E682,0)))</x:f>
        <x:v>0</x:v>
      </x:c>
      <x:c r="BH682">
        <x:f>MAX(0,MIN(18,BH681+IF(C682="敏捷",E682,0)))</x:f>
        <x:v>0</x:v>
      </x:c>
      <x:c r="BI682">
        <x:f>MAX(0,MIN(18,BI681+IF(C682="智力",E682,0)))</x:f>
        <x:v>0</x:v>
      </x:c>
      <x:c r="BJ682">
        <x:f>MAX(0,MIN(18,BJ681+IF(C682="意志",E682,0)))</x:f>
        <x:v>0</x:v>
      </x:c>
      <x:c r="BK682">
        <x:f>MAX(0,MIN(18,BK681+IF(C682="魅力",E682,0)))</x:f>
        <x:v>0</x:v>
      </x:c>
      <x:c r="BL682">
        <x:f>MAX(0,MIN(99,BL681+IF(C682="技能：非自然知识",E682,0)))</x:f>
        <x:v>0</x:v>
      </x:c>
      <x:c r="BM682">
        <x:f>MAX(0,MIN(CEILING((BF682+BG682)/2,1),BM681+IF(C682="体力",E682,0)))</x:f>
        <x:v>0</x:v>
      </x:c>
      <x:c r="BN682">
        <x:f>MAX(0,MIN(BJ682,BN681+IF(C682="毅力",E682,0)))</x:f>
        <x:v>0</x:v>
      </x:c>
      <x:c r="BO682">
        <x:f>MAX(0,MIN(99-BL682,BO681+IF(C682="理智",E682,0)))</x:f>
        <x:v>0</x:v>
      </x:c>
      <x:c r="BP682">
        <x:f>MAX(0,MIN(99,BP681+IF(C682="崩溃点",E682,0)))</x:f>
        <x:v>0</x:v>
      </x:c>
      <x:c r="BQ682">
        <x:f>MAX(0,MIN(BK682,IF(AND(H682=1,C682="重要关系1",LEFT('幕间与结算'!H589,8)="建立新的重要关系"),'幕间与结算'!E589+E682,BQ681+IF(C682="重要关系1",E682,0)+IF(AND(C682="魅力",E682&lt;0),E682,0))))</x:f>
        <x:v>0</x:v>
      </x:c>
      <x:c r="BR682">
        <x:f>MAX(0,MIN(BK682,IF(AND(H682=1,C682="重要关系2",LEFT('幕间与结算'!H589,8)="建立新的重要关系"),'幕间与结算'!E589+E682,BR681+IF(C682="重要关系2",E682,0)+IF(AND(C682="魅力",E682&lt;0),E682,0))))</x:f>
        <x:v>0</x:v>
      </x:c>
      <x:c r="BS682">
        <x:f>MAX(0,MIN(BK682,IF(AND(H682=1,C682="重要关系3",LEFT('幕间与结算'!H589,8)="建立新的重要关系"),'幕间与结算'!E589+E682,BS681+IF(C682="重要关系3",E682,0)+IF(AND(C682="魅力",E682&lt;0),E682,0))))</x:f>
        <x:v>0</x:v>
      </x:c>
      <x:c r="BT682">
        <x:f>MAX(0,MIN(BK682,IF(AND(H682=1,C682="重要关系4",LEFT('幕间与结算'!H589,8)="建立新的重要关系"),'幕间与结算'!E589+E682,BT681+IF(C682="重要关系4",E682,0)+IF(AND(C682="魅力",E682&lt;0),E682,0))))</x:f>
        <x:v>0</x:v>
      </x:c>
      <x:c r="BU682">
        <x:f>MAX(0,MIN(BK682,IF(AND(H682=1,C682="重要关系5",LEFT('幕间与结算'!H589,8)="建立新的重要关系"),'幕间与结算'!E589+E682,BU681+IF(C682="重要关系5",E682,0)+IF(AND(C682="魅力",E682&lt;0),E682,0))))</x:f>
        <x:v>0</x:v>
      </x:c>
      <x:c r="BV682">
        <x:f>MAX(0,MIN(BK682,IF(AND(H682=1,C682="重要关系6",LEFT('幕间与结算'!H589,8)="建立新的重要关系"),'幕间与结算'!E589+E682,BV681+IF(C682="重要关系6",E682,0)+IF(AND(C682="魅力",E682&lt;0),E682,0))))</x:f>
        <x:v>0</x:v>
      </x:c>
      <x:c r="BW682">
        <x:f>MAX(0,MIN(BK682,IF(AND(H682=1,C682="重要关系7",LEFT('幕间与结算'!H589,8)="建立新的重要关系"),'幕间与结算'!E589+E682,BW681+IF(C682="重要关系7",E682,0)+IF(AND(C682="魅力",E682&lt;0),E682,0))))</x:f>
        <x:v>0</x:v>
      </x:c>
    </x:row>
    <x:row r="683">
      <x:c r="A683" t="str">
        <x:f>IFERROR(TEXT(VALUE('幕间与结算'!A590),"00"),"")</x:f>
        <x:v>00</x:v>
      </x:c>
      <x:c r="B683">
        <x:f>'幕间与结算'!B590</x:f>
        <x:v>0</x:v>
      </x:c>
      <x:c r="C683">
        <x:f>'幕间与结算'!D590</x:f>
        <x:v>0</x:v>
      </x:c>
      <x:c r="D683">
        <x:f>'幕间与结算'!F590</x:f>
        <x:v>0</x:v>
      </x:c>
      <x:c r="E683">
        <x:f>IF(H683=1,MAX(-'幕间与结算'!E590,MIN(D683,IF(LEFT(C683,3)="技能：",99,IF(COUNTIF($L$2:$L$7,C683)&gt;0,18,999))-'幕间与结算'!E590)),0)</x:f>
        <x:v>0</x:v>
      </x:c>
      <x:c r="F683" t="str">
        <x:f>IF(C683=0,"",IF(G683=0,"记录不完整",IF(H683=0,"重复未计","已计入")))</x:f>
        <x:v/>
      </x:c>
      <x:c r="G683">
        <x:f>IF(AND(AND('幕间与结算'!A590&lt;&gt;"",'幕间与结算'!B590&lt;&gt;"",'幕间与结算'!I590&lt;&gt;"",OR(LEFT(C683,3)="技能：",COUNTIF($L$2:$L$19,C683)&gt;0),ISNUMBER('幕间与结算'!E590),ISNUMBER('幕间与结算'!F590),ISNUMBER('幕间与结算'!G590),'幕间与结算'!E590&gt;=0,'幕间与结算'!G590='幕间与结算'!E590+'幕间与结算'!F590),OR(B683&lt;&gt;"成长",AND(LEFT(C683,3)="技能：",C683&lt;&gt;"技能：非自然知识",'幕间与结算'!E590&gt;=1,'幕间与结算'!E590&lt;=99,'幕间与结算'!F590&gt;=0,'幕间与结算'!F590&lt;=4,'幕间与结算'!G590&lt;=99))),1,0)</x:f>
        <x:v>0</x:v>
      </x:c>
      <x:c r="H683">
        <x:f>IF(AND(G683=1,COUNTIFS($I$200:I683,I683,$G$200:G683,1)=1),1,0)</x:f>
        <x:v>0</x:v>
      </x:c>
      <x:c r="I683" t="str">
        <x:f>IF(G683=1,IF(B683="成长",A683&amp;"-成长-"&amp;C683,'幕间与结算'!I590),"")</x:f>
        <x:v/>
      </x:c>
      <x:c r="BF683">
        <x:f>MAX(0,MIN(18,BF682+IF(C683="力量",E683,0)))</x:f>
        <x:v>0</x:v>
      </x:c>
      <x:c r="BG683">
        <x:f>MAX(0,MIN(18,BG682+IF(C683="体质",E683,0)))</x:f>
        <x:v>0</x:v>
      </x:c>
      <x:c r="BH683">
        <x:f>MAX(0,MIN(18,BH682+IF(C683="敏捷",E683,0)))</x:f>
        <x:v>0</x:v>
      </x:c>
      <x:c r="BI683">
        <x:f>MAX(0,MIN(18,BI682+IF(C683="智力",E683,0)))</x:f>
        <x:v>0</x:v>
      </x:c>
      <x:c r="BJ683">
        <x:f>MAX(0,MIN(18,BJ682+IF(C683="意志",E683,0)))</x:f>
        <x:v>0</x:v>
      </x:c>
      <x:c r="BK683">
        <x:f>MAX(0,MIN(18,BK682+IF(C683="魅力",E683,0)))</x:f>
        <x:v>0</x:v>
      </x:c>
      <x:c r="BL683">
        <x:f>MAX(0,MIN(99,BL682+IF(C683="技能：非自然知识",E683,0)))</x:f>
        <x:v>0</x:v>
      </x:c>
      <x:c r="BM683">
        <x:f>MAX(0,MIN(CEILING((BF683+BG683)/2,1),BM682+IF(C683="体力",E683,0)))</x:f>
        <x:v>0</x:v>
      </x:c>
      <x:c r="BN683">
        <x:f>MAX(0,MIN(BJ683,BN682+IF(C683="毅力",E683,0)))</x:f>
        <x:v>0</x:v>
      </x:c>
      <x:c r="BO683">
        <x:f>MAX(0,MIN(99-BL683,BO682+IF(C683="理智",E683,0)))</x:f>
        <x:v>0</x:v>
      </x:c>
      <x:c r="BP683">
        <x:f>MAX(0,MIN(99,BP682+IF(C683="崩溃点",E683,0)))</x:f>
        <x:v>0</x:v>
      </x:c>
      <x:c r="BQ683">
        <x:f>MAX(0,MIN(BK683,IF(AND(H683=1,C683="重要关系1",LEFT('幕间与结算'!H590,8)="建立新的重要关系"),'幕间与结算'!E590+E683,BQ682+IF(C683="重要关系1",E683,0)+IF(AND(C683="魅力",E683&lt;0),E683,0))))</x:f>
        <x:v>0</x:v>
      </x:c>
      <x:c r="BR683">
        <x:f>MAX(0,MIN(BK683,IF(AND(H683=1,C683="重要关系2",LEFT('幕间与结算'!H590,8)="建立新的重要关系"),'幕间与结算'!E590+E683,BR682+IF(C683="重要关系2",E683,0)+IF(AND(C683="魅力",E683&lt;0),E683,0))))</x:f>
        <x:v>0</x:v>
      </x:c>
      <x:c r="BS683">
        <x:f>MAX(0,MIN(BK683,IF(AND(H683=1,C683="重要关系3",LEFT('幕间与结算'!H590,8)="建立新的重要关系"),'幕间与结算'!E590+E683,BS682+IF(C683="重要关系3",E683,0)+IF(AND(C683="魅力",E683&lt;0),E683,0))))</x:f>
        <x:v>0</x:v>
      </x:c>
      <x:c r="BT683">
        <x:f>MAX(0,MIN(BK683,IF(AND(H683=1,C683="重要关系4",LEFT('幕间与结算'!H590,8)="建立新的重要关系"),'幕间与结算'!E590+E683,BT682+IF(C683="重要关系4",E683,0)+IF(AND(C683="魅力",E683&lt;0),E683,0))))</x:f>
        <x:v>0</x:v>
      </x:c>
      <x:c r="BU683">
        <x:f>MAX(0,MIN(BK683,IF(AND(H683=1,C683="重要关系5",LEFT('幕间与结算'!H590,8)="建立新的重要关系"),'幕间与结算'!E590+E683,BU682+IF(C683="重要关系5",E683,0)+IF(AND(C683="魅力",E683&lt;0),E683,0))))</x:f>
        <x:v>0</x:v>
      </x:c>
      <x:c r="BV683">
        <x:f>MAX(0,MIN(BK683,IF(AND(H683=1,C683="重要关系6",LEFT('幕间与结算'!H590,8)="建立新的重要关系"),'幕间与结算'!E590+E683,BV682+IF(C683="重要关系6",E683,0)+IF(AND(C683="魅力",E683&lt;0),E683,0))))</x:f>
        <x:v>0</x:v>
      </x:c>
      <x:c r="BW683">
        <x:f>MAX(0,MIN(BK683,IF(AND(H683=1,C683="重要关系7",LEFT('幕间与结算'!H590,8)="建立新的重要关系"),'幕间与结算'!E590+E683,BW682+IF(C683="重要关系7",E683,0)+IF(AND(C683="魅力",E683&lt;0),E683,0))))</x:f>
        <x:v>0</x:v>
      </x:c>
    </x:row>
    <x:row r="684">
      <x:c r="A684" t="str">
        <x:f>IFERROR(TEXT(VALUE('幕间与结算'!A591),"00"),"")</x:f>
        <x:v>00</x:v>
      </x:c>
      <x:c r="B684">
        <x:f>'幕间与结算'!B591</x:f>
        <x:v>0</x:v>
      </x:c>
      <x:c r="C684">
        <x:f>'幕间与结算'!D591</x:f>
        <x:v>0</x:v>
      </x:c>
      <x:c r="D684">
        <x:f>'幕间与结算'!F591</x:f>
        <x:v>0</x:v>
      </x:c>
      <x:c r="E684">
        <x:f>IF(H684=1,MAX(-'幕间与结算'!E591,MIN(D684,IF(LEFT(C684,3)="技能：",99,IF(COUNTIF($L$2:$L$7,C684)&gt;0,18,999))-'幕间与结算'!E591)),0)</x:f>
        <x:v>0</x:v>
      </x:c>
      <x:c r="F684" t="str">
        <x:f>IF(C684=0,"",IF(G684=0,"记录不完整",IF(H684=0,"重复未计","已计入")))</x:f>
        <x:v/>
      </x:c>
      <x:c r="G684">
        <x:f>IF(AND(AND('幕间与结算'!A591&lt;&gt;"",'幕间与结算'!B591&lt;&gt;"",'幕间与结算'!I591&lt;&gt;"",OR(LEFT(C684,3)="技能：",COUNTIF($L$2:$L$19,C684)&gt;0),ISNUMBER('幕间与结算'!E591),ISNUMBER('幕间与结算'!F591),ISNUMBER('幕间与结算'!G591),'幕间与结算'!E591&gt;=0,'幕间与结算'!G591='幕间与结算'!E591+'幕间与结算'!F591),OR(B684&lt;&gt;"成长",AND(LEFT(C684,3)="技能：",C684&lt;&gt;"技能：非自然知识",'幕间与结算'!E591&gt;=1,'幕间与结算'!E591&lt;=99,'幕间与结算'!F591&gt;=0,'幕间与结算'!F591&lt;=4,'幕间与结算'!G591&lt;=99))),1,0)</x:f>
        <x:v>0</x:v>
      </x:c>
      <x:c r="H684">
        <x:f>IF(AND(G684=1,COUNTIFS($I$200:I684,I684,$G$200:G684,1)=1),1,0)</x:f>
        <x:v>0</x:v>
      </x:c>
      <x:c r="I684" t="str">
        <x:f>IF(G684=1,IF(B684="成长",A684&amp;"-成长-"&amp;C684,'幕间与结算'!I591),"")</x:f>
        <x:v/>
      </x:c>
      <x:c r="BF684">
        <x:f>MAX(0,MIN(18,BF683+IF(C684="力量",E684,0)))</x:f>
        <x:v>0</x:v>
      </x:c>
      <x:c r="BG684">
        <x:f>MAX(0,MIN(18,BG683+IF(C684="体质",E684,0)))</x:f>
        <x:v>0</x:v>
      </x:c>
      <x:c r="BH684">
        <x:f>MAX(0,MIN(18,BH683+IF(C684="敏捷",E684,0)))</x:f>
        <x:v>0</x:v>
      </x:c>
      <x:c r="BI684">
        <x:f>MAX(0,MIN(18,BI683+IF(C684="智力",E684,0)))</x:f>
        <x:v>0</x:v>
      </x:c>
      <x:c r="BJ684">
        <x:f>MAX(0,MIN(18,BJ683+IF(C684="意志",E684,0)))</x:f>
        <x:v>0</x:v>
      </x:c>
      <x:c r="BK684">
        <x:f>MAX(0,MIN(18,BK683+IF(C684="魅力",E684,0)))</x:f>
        <x:v>0</x:v>
      </x:c>
      <x:c r="BL684">
        <x:f>MAX(0,MIN(99,BL683+IF(C684="技能：非自然知识",E684,0)))</x:f>
        <x:v>0</x:v>
      </x:c>
      <x:c r="BM684">
        <x:f>MAX(0,MIN(CEILING((BF684+BG684)/2,1),BM683+IF(C684="体力",E684,0)))</x:f>
        <x:v>0</x:v>
      </x:c>
      <x:c r="BN684">
        <x:f>MAX(0,MIN(BJ684,BN683+IF(C684="毅力",E684,0)))</x:f>
        <x:v>0</x:v>
      </x:c>
      <x:c r="BO684">
        <x:f>MAX(0,MIN(99-BL684,BO683+IF(C684="理智",E684,0)))</x:f>
        <x:v>0</x:v>
      </x:c>
      <x:c r="BP684">
        <x:f>MAX(0,MIN(99,BP683+IF(C684="崩溃点",E684,0)))</x:f>
        <x:v>0</x:v>
      </x:c>
      <x:c r="BQ684">
        <x:f>MAX(0,MIN(BK684,IF(AND(H684=1,C684="重要关系1",LEFT('幕间与结算'!H591,8)="建立新的重要关系"),'幕间与结算'!E591+E684,BQ683+IF(C684="重要关系1",E684,0)+IF(AND(C684="魅力",E684&lt;0),E684,0))))</x:f>
        <x:v>0</x:v>
      </x:c>
      <x:c r="BR684">
        <x:f>MAX(0,MIN(BK684,IF(AND(H684=1,C684="重要关系2",LEFT('幕间与结算'!H591,8)="建立新的重要关系"),'幕间与结算'!E591+E684,BR683+IF(C684="重要关系2",E684,0)+IF(AND(C684="魅力",E684&lt;0),E684,0))))</x:f>
        <x:v>0</x:v>
      </x:c>
      <x:c r="BS684">
        <x:f>MAX(0,MIN(BK684,IF(AND(H684=1,C684="重要关系3",LEFT('幕间与结算'!H591,8)="建立新的重要关系"),'幕间与结算'!E591+E684,BS683+IF(C684="重要关系3",E684,0)+IF(AND(C684="魅力",E684&lt;0),E684,0))))</x:f>
        <x:v>0</x:v>
      </x:c>
      <x:c r="BT684">
        <x:f>MAX(0,MIN(BK684,IF(AND(H684=1,C684="重要关系4",LEFT('幕间与结算'!H591,8)="建立新的重要关系"),'幕间与结算'!E591+E684,BT683+IF(C684="重要关系4",E684,0)+IF(AND(C684="魅力",E684&lt;0),E684,0))))</x:f>
        <x:v>0</x:v>
      </x:c>
      <x:c r="BU684">
        <x:f>MAX(0,MIN(BK684,IF(AND(H684=1,C684="重要关系5",LEFT('幕间与结算'!H591,8)="建立新的重要关系"),'幕间与结算'!E591+E684,BU683+IF(C684="重要关系5",E684,0)+IF(AND(C684="魅力",E684&lt;0),E684,0))))</x:f>
        <x:v>0</x:v>
      </x:c>
      <x:c r="BV684">
        <x:f>MAX(0,MIN(BK684,IF(AND(H684=1,C684="重要关系6",LEFT('幕间与结算'!H591,8)="建立新的重要关系"),'幕间与结算'!E591+E684,BV683+IF(C684="重要关系6",E684,0)+IF(AND(C684="魅力",E684&lt;0),E684,0))))</x:f>
        <x:v>0</x:v>
      </x:c>
      <x:c r="BW684">
        <x:f>MAX(0,MIN(BK684,IF(AND(H684=1,C684="重要关系7",LEFT('幕间与结算'!H591,8)="建立新的重要关系"),'幕间与结算'!E591+E684,BW683+IF(C684="重要关系7",E684,0)+IF(AND(C684="魅力",E684&lt;0),E684,0))))</x:f>
        <x:v>0</x:v>
      </x:c>
    </x:row>
    <x:row r="685">
      <x:c r="A685" t="str">
        <x:f>IFERROR(TEXT(VALUE('幕间与结算'!A592),"00"),"")</x:f>
        <x:v>00</x:v>
      </x:c>
      <x:c r="B685">
        <x:f>'幕间与结算'!B592</x:f>
        <x:v>0</x:v>
      </x:c>
      <x:c r="C685">
        <x:f>'幕间与结算'!D592</x:f>
        <x:v>0</x:v>
      </x:c>
      <x:c r="D685">
        <x:f>'幕间与结算'!F592</x:f>
        <x:v>0</x:v>
      </x:c>
      <x:c r="E685">
        <x:f>IF(H685=1,MAX(-'幕间与结算'!E592,MIN(D685,IF(LEFT(C685,3)="技能：",99,IF(COUNTIF($L$2:$L$7,C685)&gt;0,18,999))-'幕间与结算'!E592)),0)</x:f>
        <x:v>0</x:v>
      </x:c>
      <x:c r="F685" t="str">
        <x:f>IF(C685=0,"",IF(G685=0,"记录不完整",IF(H685=0,"重复未计","已计入")))</x:f>
        <x:v/>
      </x:c>
      <x:c r="G685">
        <x:f>IF(AND(AND('幕间与结算'!A592&lt;&gt;"",'幕间与结算'!B592&lt;&gt;"",'幕间与结算'!I592&lt;&gt;"",OR(LEFT(C685,3)="技能：",COUNTIF($L$2:$L$19,C685)&gt;0),ISNUMBER('幕间与结算'!E592),ISNUMBER('幕间与结算'!F592),ISNUMBER('幕间与结算'!G592),'幕间与结算'!E592&gt;=0,'幕间与结算'!G592='幕间与结算'!E592+'幕间与结算'!F592),OR(B685&lt;&gt;"成长",AND(LEFT(C685,3)="技能：",C685&lt;&gt;"技能：非自然知识",'幕间与结算'!E592&gt;=1,'幕间与结算'!E592&lt;=99,'幕间与结算'!F592&gt;=0,'幕间与结算'!F592&lt;=4,'幕间与结算'!G592&lt;=99))),1,0)</x:f>
        <x:v>0</x:v>
      </x:c>
      <x:c r="H685">
        <x:f>IF(AND(G685=1,COUNTIFS($I$200:I685,I685,$G$200:G685,1)=1),1,0)</x:f>
        <x:v>0</x:v>
      </x:c>
      <x:c r="I685" t="str">
        <x:f>IF(G685=1,IF(B685="成长",A685&amp;"-成长-"&amp;C685,'幕间与结算'!I592),"")</x:f>
        <x:v/>
      </x:c>
      <x:c r="BF685">
        <x:f>MAX(0,MIN(18,BF684+IF(C685="力量",E685,0)))</x:f>
        <x:v>0</x:v>
      </x:c>
      <x:c r="BG685">
        <x:f>MAX(0,MIN(18,BG684+IF(C685="体质",E685,0)))</x:f>
        <x:v>0</x:v>
      </x:c>
      <x:c r="BH685">
        <x:f>MAX(0,MIN(18,BH684+IF(C685="敏捷",E685,0)))</x:f>
        <x:v>0</x:v>
      </x:c>
      <x:c r="BI685">
        <x:f>MAX(0,MIN(18,BI684+IF(C685="智力",E685,0)))</x:f>
        <x:v>0</x:v>
      </x:c>
      <x:c r="BJ685">
        <x:f>MAX(0,MIN(18,BJ684+IF(C685="意志",E685,0)))</x:f>
        <x:v>0</x:v>
      </x:c>
      <x:c r="BK685">
        <x:f>MAX(0,MIN(18,BK684+IF(C685="魅力",E685,0)))</x:f>
        <x:v>0</x:v>
      </x:c>
      <x:c r="BL685">
        <x:f>MAX(0,MIN(99,BL684+IF(C685="技能：非自然知识",E685,0)))</x:f>
        <x:v>0</x:v>
      </x:c>
      <x:c r="BM685">
        <x:f>MAX(0,MIN(CEILING((BF685+BG685)/2,1),BM684+IF(C685="体力",E685,0)))</x:f>
        <x:v>0</x:v>
      </x:c>
      <x:c r="BN685">
        <x:f>MAX(0,MIN(BJ685,BN684+IF(C685="毅力",E685,0)))</x:f>
        <x:v>0</x:v>
      </x:c>
      <x:c r="BO685">
        <x:f>MAX(0,MIN(99-BL685,BO684+IF(C685="理智",E685,0)))</x:f>
        <x:v>0</x:v>
      </x:c>
      <x:c r="BP685">
        <x:f>MAX(0,MIN(99,BP684+IF(C685="崩溃点",E685,0)))</x:f>
        <x:v>0</x:v>
      </x:c>
      <x:c r="BQ685">
        <x:f>MAX(0,MIN(BK685,IF(AND(H685=1,C685="重要关系1",LEFT('幕间与结算'!H592,8)="建立新的重要关系"),'幕间与结算'!E592+E685,BQ684+IF(C685="重要关系1",E685,0)+IF(AND(C685="魅力",E685&lt;0),E685,0))))</x:f>
        <x:v>0</x:v>
      </x:c>
      <x:c r="BR685">
        <x:f>MAX(0,MIN(BK685,IF(AND(H685=1,C685="重要关系2",LEFT('幕间与结算'!H592,8)="建立新的重要关系"),'幕间与结算'!E592+E685,BR684+IF(C685="重要关系2",E685,0)+IF(AND(C685="魅力",E685&lt;0),E685,0))))</x:f>
        <x:v>0</x:v>
      </x:c>
      <x:c r="BS685">
        <x:f>MAX(0,MIN(BK685,IF(AND(H685=1,C685="重要关系3",LEFT('幕间与结算'!H592,8)="建立新的重要关系"),'幕间与结算'!E592+E685,BS684+IF(C685="重要关系3",E685,0)+IF(AND(C685="魅力",E685&lt;0),E685,0))))</x:f>
        <x:v>0</x:v>
      </x:c>
      <x:c r="BT685">
        <x:f>MAX(0,MIN(BK685,IF(AND(H685=1,C685="重要关系4",LEFT('幕间与结算'!H592,8)="建立新的重要关系"),'幕间与结算'!E592+E685,BT684+IF(C685="重要关系4",E685,0)+IF(AND(C685="魅力",E685&lt;0),E685,0))))</x:f>
        <x:v>0</x:v>
      </x:c>
      <x:c r="BU685">
        <x:f>MAX(0,MIN(BK685,IF(AND(H685=1,C685="重要关系5",LEFT('幕间与结算'!H592,8)="建立新的重要关系"),'幕间与结算'!E592+E685,BU684+IF(C685="重要关系5",E685,0)+IF(AND(C685="魅力",E685&lt;0),E685,0))))</x:f>
        <x:v>0</x:v>
      </x:c>
      <x:c r="BV685">
        <x:f>MAX(0,MIN(BK685,IF(AND(H685=1,C685="重要关系6",LEFT('幕间与结算'!H592,8)="建立新的重要关系"),'幕间与结算'!E592+E685,BV684+IF(C685="重要关系6",E685,0)+IF(AND(C685="魅力",E685&lt;0),E685,0))))</x:f>
        <x:v>0</x:v>
      </x:c>
      <x:c r="BW685">
        <x:f>MAX(0,MIN(BK685,IF(AND(H685=1,C685="重要关系7",LEFT('幕间与结算'!H592,8)="建立新的重要关系"),'幕间与结算'!E592+E685,BW684+IF(C685="重要关系7",E685,0)+IF(AND(C685="魅力",E685&lt;0),E685,0))))</x:f>
        <x:v>0</x:v>
      </x:c>
    </x:row>
    <x:row r="686">
      <x:c r="A686" t="str">
        <x:f>IFERROR(TEXT(VALUE('幕间与结算'!A593),"00"),"")</x:f>
        <x:v>00</x:v>
      </x:c>
      <x:c r="B686">
        <x:f>'幕间与结算'!B593</x:f>
        <x:v>0</x:v>
      </x:c>
      <x:c r="C686">
        <x:f>'幕间与结算'!D593</x:f>
        <x:v>0</x:v>
      </x:c>
      <x:c r="D686">
        <x:f>'幕间与结算'!F593</x:f>
        <x:v>0</x:v>
      </x:c>
      <x:c r="E686">
        <x:f>IF(H686=1,MAX(-'幕间与结算'!E593,MIN(D686,IF(LEFT(C686,3)="技能：",99,IF(COUNTIF($L$2:$L$7,C686)&gt;0,18,999))-'幕间与结算'!E593)),0)</x:f>
        <x:v>0</x:v>
      </x:c>
      <x:c r="F686" t="str">
        <x:f>IF(C686=0,"",IF(G686=0,"记录不完整",IF(H686=0,"重复未计","已计入")))</x:f>
        <x:v/>
      </x:c>
      <x:c r="G686">
        <x:f>IF(AND(AND('幕间与结算'!A593&lt;&gt;"",'幕间与结算'!B593&lt;&gt;"",'幕间与结算'!I593&lt;&gt;"",OR(LEFT(C686,3)="技能：",COUNTIF($L$2:$L$19,C686)&gt;0),ISNUMBER('幕间与结算'!E593),ISNUMBER('幕间与结算'!F593),ISNUMBER('幕间与结算'!G593),'幕间与结算'!E593&gt;=0,'幕间与结算'!G593='幕间与结算'!E593+'幕间与结算'!F593),OR(B686&lt;&gt;"成长",AND(LEFT(C686,3)="技能：",C686&lt;&gt;"技能：非自然知识",'幕间与结算'!E593&gt;=1,'幕间与结算'!E593&lt;=99,'幕间与结算'!F593&gt;=0,'幕间与结算'!F593&lt;=4,'幕间与结算'!G593&lt;=99))),1,0)</x:f>
        <x:v>0</x:v>
      </x:c>
      <x:c r="H686">
        <x:f>IF(AND(G686=1,COUNTIFS($I$200:I686,I686,$G$200:G686,1)=1),1,0)</x:f>
        <x:v>0</x:v>
      </x:c>
      <x:c r="I686" t="str">
        <x:f>IF(G686=1,IF(B686="成长",A686&amp;"-成长-"&amp;C686,'幕间与结算'!I593),"")</x:f>
        <x:v/>
      </x:c>
      <x:c r="BF686">
        <x:f>MAX(0,MIN(18,BF685+IF(C686="力量",E686,0)))</x:f>
        <x:v>0</x:v>
      </x:c>
      <x:c r="BG686">
        <x:f>MAX(0,MIN(18,BG685+IF(C686="体质",E686,0)))</x:f>
        <x:v>0</x:v>
      </x:c>
      <x:c r="BH686">
        <x:f>MAX(0,MIN(18,BH685+IF(C686="敏捷",E686,0)))</x:f>
        <x:v>0</x:v>
      </x:c>
      <x:c r="BI686">
        <x:f>MAX(0,MIN(18,BI685+IF(C686="智力",E686,0)))</x:f>
        <x:v>0</x:v>
      </x:c>
      <x:c r="BJ686">
        <x:f>MAX(0,MIN(18,BJ685+IF(C686="意志",E686,0)))</x:f>
        <x:v>0</x:v>
      </x:c>
      <x:c r="BK686">
        <x:f>MAX(0,MIN(18,BK685+IF(C686="魅力",E686,0)))</x:f>
        <x:v>0</x:v>
      </x:c>
      <x:c r="BL686">
        <x:f>MAX(0,MIN(99,BL685+IF(C686="技能：非自然知识",E686,0)))</x:f>
        <x:v>0</x:v>
      </x:c>
      <x:c r="BM686">
        <x:f>MAX(0,MIN(CEILING((BF686+BG686)/2,1),BM685+IF(C686="体力",E686,0)))</x:f>
        <x:v>0</x:v>
      </x:c>
      <x:c r="BN686">
        <x:f>MAX(0,MIN(BJ686,BN685+IF(C686="毅力",E686,0)))</x:f>
        <x:v>0</x:v>
      </x:c>
      <x:c r="BO686">
        <x:f>MAX(0,MIN(99-BL686,BO685+IF(C686="理智",E686,0)))</x:f>
        <x:v>0</x:v>
      </x:c>
      <x:c r="BP686">
        <x:f>MAX(0,MIN(99,BP685+IF(C686="崩溃点",E686,0)))</x:f>
        <x:v>0</x:v>
      </x:c>
      <x:c r="BQ686">
        <x:f>MAX(0,MIN(BK686,IF(AND(H686=1,C686="重要关系1",LEFT('幕间与结算'!H593,8)="建立新的重要关系"),'幕间与结算'!E593+E686,BQ685+IF(C686="重要关系1",E686,0)+IF(AND(C686="魅力",E686&lt;0),E686,0))))</x:f>
        <x:v>0</x:v>
      </x:c>
      <x:c r="BR686">
        <x:f>MAX(0,MIN(BK686,IF(AND(H686=1,C686="重要关系2",LEFT('幕间与结算'!H593,8)="建立新的重要关系"),'幕间与结算'!E593+E686,BR685+IF(C686="重要关系2",E686,0)+IF(AND(C686="魅力",E686&lt;0),E686,0))))</x:f>
        <x:v>0</x:v>
      </x:c>
      <x:c r="BS686">
        <x:f>MAX(0,MIN(BK686,IF(AND(H686=1,C686="重要关系3",LEFT('幕间与结算'!H593,8)="建立新的重要关系"),'幕间与结算'!E593+E686,BS685+IF(C686="重要关系3",E686,0)+IF(AND(C686="魅力",E686&lt;0),E686,0))))</x:f>
        <x:v>0</x:v>
      </x:c>
      <x:c r="BT686">
        <x:f>MAX(0,MIN(BK686,IF(AND(H686=1,C686="重要关系4",LEFT('幕间与结算'!H593,8)="建立新的重要关系"),'幕间与结算'!E593+E686,BT685+IF(C686="重要关系4",E686,0)+IF(AND(C686="魅力",E686&lt;0),E686,0))))</x:f>
        <x:v>0</x:v>
      </x:c>
      <x:c r="BU686">
        <x:f>MAX(0,MIN(BK686,IF(AND(H686=1,C686="重要关系5",LEFT('幕间与结算'!H593,8)="建立新的重要关系"),'幕间与结算'!E593+E686,BU685+IF(C686="重要关系5",E686,0)+IF(AND(C686="魅力",E686&lt;0),E686,0))))</x:f>
        <x:v>0</x:v>
      </x:c>
      <x:c r="BV686">
        <x:f>MAX(0,MIN(BK686,IF(AND(H686=1,C686="重要关系6",LEFT('幕间与结算'!H593,8)="建立新的重要关系"),'幕间与结算'!E593+E686,BV685+IF(C686="重要关系6",E686,0)+IF(AND(C686="魅力",E686&lt;0),E686,0))))</x:f>
        <x:v>0</x:v>
      </x:c>
      <x:c r="BW686">
        <x:f>MAX(0,MIN(BK686,IF(AND(H686=1,C686="重要关系7",LEFT('幕间与结算'!H593,8)="建立新的重要关系"),'幕间与结算'!E593+E686,BW685+IF(C686="重要关系7",E686,0)+IF(AND(C686="魅力",E686&lt;0),E686,0))))</x:f>
        <x:v>0</x:v>
      </x:c>
    </x:row>
    <x:row r="687">
      <x:c r="A687" t="str">
        <x:f>IFERROR(TEXT(VALUE('幕间与结算'!A594),"00"),"")</x:f>
        <x:v>00</x:v>
      </x:c>
      <x:c r="B687">
        <x:f>'幕间与结算'!B594</x:f>
        <x:v>0</x:v>
      </x:c>
      <x:c r="C687">
        <x:f>'幕间与结算'!D594</x:f>
        <x:v>0</x:v>
      </x:c>
      <x:c r="D687">
        <x:f>'幕间与结算'!F594</x:f>
        <x:v>0</x:v>
      </x:c>
      <x:c r="E687">
        <x:f>IF(H687=1,MAX(-'幕间与结算'!E594,MIN(D687,IF(LEFT(C687,3)="技能：",99,IF(COUNTIF($L$2:$L$7,C687)&gt;0,18,999))-'幕间与结算'!E594)),0)</x:f>
        <x:v>0</x:v>
      </x:c>
      <x:c r="F687" t="str">
        <x:f>IF(C687=0,"",IF(G687=0,"记录不完整",IF(H687=0,"重复未计","已计入")))</x:f>
        <x:v/>
      </x:c>
      <x:c r="G687">
        <x:f>IF(AND(AND('幕间与结算'!A594&lt;&gt;"",'幕间与结算'!B594&lt;&gt;"",'幕间与结算'!I594&lt;&gt;"",OR(LEFT(C687,3)="技能：",COUNTIF($L$2:$L$19,C687)&gt;0),ISNUMBER('幕间与结算'!E594),ISNUMBER('幕间与结算'!F594),ISNUMBER('幕间与结算'!G594),'幕间与结算'!E594&gt;=0,'幕间与结算'!G594='幕间与结算'!E594+'幕间与结算'!F594),OR(B687&lt;&gt;"成长",AND(LEFT(C687,3)="技能：",C687&lt;&gt;"技能：非自然知识",'幕间与结算'!E594&gt;=1,'幕间与结算'!E594&lt;=99,'幕间与结算'!F594&gt;=0,'幕间与结算'!F594&lt;=4,'幕间与结算'!G594&lt;=99))),1,0)</x:f>
        <x:v>0</x:v>
      </x:c>
      <x:c r="H687">
        <x:f>IF(AND(G687=1,COUNTIFS($I$200:I687,I687,$G$200:G687,1)=1),1,0)</x:f>
        <x:v>0</x:v>
      </x:c>
      <x:c r="I687" t="str">
        <x:f>IF(G687=1,IF(B687="成长",A687&amp;"-成长-"&amp;C687,'幕间与结算'!I594),"")</x:f>
        <x:v/>
      </x:c>
      <x:c r="BF687">
        <x:f>MAX(0,MIN(18,BF686+IF(C687="力量",E687,0)))</x:f>
        <x:v>0</x:v>
      </x:c>
      <x:c r="BG687">
        <x:f>MAX(0,MIN(18,BG686+IF(C687="体质",E687,0)))</x:f>
        <x:v>0</x:v>
      </x:c>
      <x:c r="BH687">
        <x:f>MAX(0,MIN(18,BH686+IF(C687="敏捷",E687,0)))</x:f>
        <x:v>0</x:v>
      </x:c>
      <x:c r="BI687">
        <x:f>MAX(0,MIN(18,BI686+IF(C687="智力",E687,0)))</x:f>
        <x:v>0</x:v>
      </x:c>
      <x:c r="BJ687">
        <x:f>MAX(0,MIN(18,BJ686+IF(C687="意志",E687,0)))</x:f>
        <x:v>0</x:v>
      </x:c>
      <x:c r="BK687">
        <x:f>MAX(0,MIN(18,BK686+IF(C687="魅力",E687,0)))</x:f>
        <x:v>0</x:v>
      </x:c>
      <x:c r="BL687">
        <x:f>MAX(0,MIN(99,BL686+IF(C687="技能：非自然知识",E687,0)))</x:f>
        <x:v>0</x:v>
      </x:c>
      <x:c r="BM687">
        <x:f>MAX(0,MIN(CEILING((BF687+BG687)/2,1),BM686+IF(C687="体力",E687,0)))</x:f>
        <x:v>0</x:v>
      </x:c>
      <x:c r="BN687">
        <x:f>MAX(0,MIN(BJ687,BN686+IF(C687="毅力",E687,0)))</x:f>
        <x:v>0</x:v>
      </x:c>
      <x:c r="BO687">
        <x:f>MAX(0,MIN(99-BL687,BO686+IF(C687="理智",E687,0)))</x:f>
        <x:v>0</x:v>
      </x:c>
      <x:c r="BP687">
        <x:f>MAX(0,MIN(99,BP686+IF(C687="崩溃点",E687,0)))</x:f>
        <x:v>0</x:v>
      </x:c>
      <x:c r="BQ687">
        <x:f>MAX(0,MIN(BK687,IF(AND(H687=1,C687="重要关系1",LEFT('幕间与结算'!H594,8)="建立新的重要关系"),'幕间与结算'!E594+E687,BQ686+IF(C687="重要关系1",E687,0)+IF(AND(C687="魅力",E687&lt;0),E687,0))))</x:f>
        <x:v>0</x:v>
      </x:c>
      <x:c r="BR687">
        <x:f>MAX(0,MIN(BK687,IF(AND(H687=1,C687="重要关系2",LEFT('幕间与结算'!H594,8)="建立新的重要关系"),'幕间与结算'!E594+E687,BR686+IF(C687="重要关系2",E687,0)+IF(AND(C687="魅力",E687&lt;0),E687,0))))</x:f>
        <x:v>0</x:v>
      </x:c>
      <x:c r="BS687">
        <x:f>MAX(0,MIN(BK687,IF(AND(H687=1,C687="重要关系3",LEFT('幕间与结算'!H594,8)="建立新的重要关系"),'幕间与结算'!E594+E687,BS686+IF(C687="重要关系3",E687,0)+IF(AND(C687="魅力",E687&lt;0),E687,0))))</x:f>
        <x:v>0</x:v>
      </x:c>
      <x:c r="BT687">
        <x:f>MAX(0,MIN(BK687,IF(AND(H687=1,C687="重要关系4",LEFT('幕间与结算'!H594,8)="建立新的重要关系"),'幕间与结算'!E594+E687,BT686+IF(C687="重要关系4",E687,0)+IF(AND(C687="魅力",E687&lt;0),E687,0))))</x:f>
        <x:v>0</x:v>
      </x:c>
      <x:c r="BU687">
        <x:f>MAX(0,MIN(BK687,IF(AND(H687=1,C687="重要关系5",LEFT('幕间与结算'!H594,8)="建立新的重要关系"),'幕间与结算'!E594+E687,BU686+IF(C687="重要关系5",E687,0)+IF(AND(C687="魅力",E687&lt;0),E687,0))))</x:f>
        <x:v>0</x:v>
      </x:c>
      <x:c r="BV687">
        <x:f>MAX(0,MIN(BK687,IF(AND(H687=1,C687="重要关系6",LEFT('幕间与结算'!H594,8)="建立新的重要关系"),'幕间与结算'!E594+E687,BV686+IF(C687="重要关系6",E687,0)+IF(AND(C687="魅力",E687&lt;0),E687,0))))</x:f>
        <x:v>0</x:v>
      </x:c>
      <x:c r="BW687">
        <x:f>MAX(0,MIN(BK687,IF(AND(H687=1,C687="重要关系7",LEFT('幕间与结算'!H594,8)="建立新的重要关系"),'幕间与结算'!E594+E687,BW686+IF(C687="重要关系7",E687,0)+IF(AND(C687="魅力",E687&lt;0),E687,0))))</x:f>
        <x:v>0</x:v>
      </x:c>
    </x:row>
    <x:row r="688">
      <x:c r="A688" t="str">
        <x:f>IFERROR(TEXT(VALUE('幕间与结算'!A595),"00"),"")</x:f>
        <x:v>00</x:v>
      </x:c>
      <x:c r="B688">
        <x:f>'幕间与结算'!B595</x:f>
        <x:v>0</x:v>
      </x:c>
      <x:c r="C688">
        <x:f>'幕间与结算'!D595</x:f>
        <x:v>0</x:v>
      </x:c>
      <x:c r="D688">
        <x:f>'幕间与结算'!F595</x:f>
        <x:v>0</x:v>
      </x:c>
      <x:c r="E688">
        <x:f>IF(H688=1,MAX(-'幕间与结算'!E595,MIN(D688,IF(LEFT(C688,3)="技能：",99,IF(COUNTIF($L$2:$L$7,C688)&gt;0,18,999))-'幕间与结算'!E595)),0)</x:f>
        <x:v>0</x:v>
      </x:c>
      <x:c r="F688" t="str">
        <x:f>IF(C688=0,"",IF(G688=0,"记录不完整",IF(H688=0,"重复未计","已计入")))</x:f>
        <x:v/>
      </x:c>
      <x:c r="G688">
        <x:f>IF(AND(AND('幕间与结算'!A595&lt;&gt;"",'幕间与结算'!B595&lt;&gt;"",'幕间与结算'!I595&lt;&gt;"",OR(LEFT(C688,3)="技能：",COUNTIF($L$2:$L$19,C688)&gt;0),ISNUMBER('幕间与结算'!E595),ISNUMBER('幕间与结算'!F595),ISNUMBER('幕间与结算'!G595),'幕间与结算'!E595&gt;=0,'幕间与结算'!G595='幕间与结算'!E595+'幕间与结算'!F595),OR(B688&lt;&gt;"成长",AND(LEFT(C688,3)="技能：",C688&lt;&gt;"技能：非自然知识",'幕间与结算'!E595&gt;=1,'幕间与结算'!E595&lt;=99,'幕间与结算'!F595&gt;=0,'幕间与结算'!F595&lt;=4,'幕间与结算'!G595&lt;=99))),1,0)</x:f>
        <x:v>0</x:v>
      </x:c>
      <x:c r="H688">
        <x:f>IF(AND(G688=1,COUNTIFS($I$200:I688,I688,$G$200:G688,1)=1),1,0)</x:f>
        <x:v>0</x:v>
      </x:c>
      <x:c r="I688" t="str">
        <x:f>IF(G688=1,IF(B688="成长",A688&amp;"-成长-"&amp;C688,'幕间与结算'!I595),"")</x:f>
        <x:v/>
      </x:c>
      <x:c r="BF688">
        <x:f>MAX(0,MIN(18,BF687+IF(C688="力量",E688,0)))</x:f>
        <x:v>0</x:v>
      </x:c>
      <x:c r="BG688">
        <x:f>MAX(0,MIN(18,BG687+IF(C688="体质",E688,0)))</x:f>
        <x:v>0</x:v>
      </x:c>
      <x:c r="BH688">
        <x:f>MAX(0,MIN(18,BH687+IF(C688="敏捷",E688,0)))</x:f>
        <x:v>0</x:v>
      </x:c>
      <x:c r="BI688">
        <x:f>MAX(0,MIN(18,BI687+IF(C688="智力",E688,0)))</x:f>
        <x:v>0</x:v>
      </x:c>
      <x:c r="BJ688">
        <x:f>MAX(0,MIN(18,BJ687+IF(C688="意志",E688,0)))</x:f>
        <x:v>0</x:v>
      </x:c>
      <x:c r="BK688">
        <x:f>MAX(0,MIN(18,BK687+IF(C688="魅力",E688,0)))</x:f>
        <x:v>0</x:v>
      </x:c>
      <x:c r="BL688">
        <x:f>MAX(0,MIN(99,BL687+IF(C688="技能：非自然知识",E688,0)))</x:f>
        <x:v>0</x:v>
      </x:c>
      <x:c r="BM688">
        <x:f>MAX(0,MIN(CEILING((BF688+BG688)/2,1),BM687+IF(C688="体力",E688,0)))</x:f>
        <x:v>0</x:v>
      </x:c>
      <x:c r="BN688">
        <x:f>MAX(0,MIN(BJ688,BN687+IF(C688="毅力",E688,0)))</x:f>
        <x:v>0</x:v>
      </x:c>
      <x:c r="BO688">
        <x:f>MAX(0,MIN(99-BL688,BO687+IF(C688="理智",E688,0)))</x:f>
        <x:v>0</x:v>
      </x:c>
      <x:c r="BP688">
        <x:f>MAX(0,MIN(99,BP687+IF(C688="崩溃点",E688,0)))</x:f>
        <x:v>0</x:v>
      </x:c>
      <x:c r="BQ688">
        <x:f>MAX(0,MIN(BK688,IF(AND(H688=1,C688="重要关系1",LEFT('幕间与结算'!H595,8)="建立新的重要关系"),'幕间与结算'!E595+E688,BQ687+IF(C688="重要关系1",E688,0)+IF(AND(C688="魅力",E688&lt;0),E688,0))))</x:f>
        <x:v>0</x:v>
      </x:c>
      <x:c r="BR688">
        <x:f>MAX(0,MIN(BK688,IF(AND(H688=1,C688="重要关系2",LEFT('幕间与结算'!H595,8)="建立新的重要关系"),'幕间与结算'!E595+E688,BR687+IF(C688="重要关系2",E688,0)+IF(AND(C688="魅力",E688&lt;0),E688,0))))</x:f>
        <x:v>0</x:v>
      </x:c>
      <x:c r="BS688">
        <x:f>MAX(0,MIN(BK688,IF(AND(H688=1,C688="重要关系3",LEFT('幕间与结算'!H595,8)="建立新的重要关系"),'幕间与结算'!E595+E688,BS687+IF(C688="重要关系3",E688,0)+IF(AND(C688="魅力",E688&lt;0),E688,0))))</x:f>
        <x:v>0</x:v>
      </x:c>
      <x:c r="BT688">
        <x:f>MAX(0,MIN(BK688,IF(AND(H688=1,C688="重要关系4",LEFT('幕间与结算'!H595,8)="建立新的重要关系"),'幕间与结算'!E595+E688,BT687+IF(C688="重要关系4",E688,0)+IF(AND(C688="魅力",E688&lt;0),E688,0))))</x:f>
        <x:v>0</x:v>
      </x:c>
      <x:c r="BU688">
        <x:f>MAX(0,MIN(BK688,IF(AND(H688=1,C688="重要关系5",LEFT('幕间与结算'!H595,8)="建立新的重要关系"),'幕间与结算'!E595+E688,BU687+IF(C688="重要关系5",E688,0)+IF(AND(C688="魅力",E688&lt;0),E688,0))))</x:f>
        <x:v>0</x:v>
      </x:c>
      <x:c r="BV688">
        <x:f>MAX(0,MIN(BK688,IF(AND(H688=1,C688="重要关系6",LEFT('幕间与结算'!H595,8)="建立新的重要关系"),'幕间与结算'!E595+E688,BV687+IF(C688="重要关系6",E688,0)+IF(AND(C688="魅力",E688&lt;0),E688,0))))</x:f>
        <x:v>0</x:v>
      </x:c>
      <x:c r="BW688">
        <x:f>MAX(0,MIN(BK688,IF(AND(H688=1,C688="重要关系7",LEFT('幕间与结算'!H595,8)="建立新的重要关系"),'幕间与结算'!E595+E688,BW687+IF(C688="重要关系7",E688,0)+IF(AND(C688="魅力",E688&lt;0),E688,0))))</x:f>
        <x:v>0</x:v>
      </x:c>
    </x:row>
    <x:row r="689">
      <x:c r="A689" t="str">
        <x:f>IFERROR(TEXT(VALUE('幕间与结算'!A596),"00"),"")</x:f>
        <x:v>00</x:v>
      </x:c>
      <x:c r="B689">
        <x:f>'幕间与结算'!B596</x:f>
        <x:v>0</x:v>
      </x:c>
      <x:c r="C689">
        <x:f>'幕间与结算'!D596</x:f>
        <x:v>0</x:v>
      </x:c>
      <x:c r="D689">
        <x:f>'幕间与结算'!F596</x:f>
        <x:v>0</x:v>
      </x:c>
      <x:c r="E689">
        <x:f>IF(H689=1,MAX(-'幕间与结算'!E596,MIN(D689,IF(LEFT(C689,3)="技能：",99,IF(COUNTIF($L$2:$L$7,C689)&gt;0,18,999))-'幕间与结算'!E596)),0)</x:f>
        <x:v>0</x:v>
      </x:c>
      <x:c r="F689" t="str">
        <x:f>IF(C689=0,"",IF(G689=0,"记录不完整",IF(H689=0,"重复未计","已计入")))</x:f>
        <x:v/>
      </x:c>
      <x:c r="G689">
        <x:f>IF(AND(AND('幕间与结算'!A596&lt;&gt;"",'幕间与结算'!B596&lt;&gt;"",'幕间与结算'!I596&lt;&gt;"",OR(LEFT(C689,3)="技能：",COUNTIF($L$2:$L$19,C689)&gt;0),ISNUMBER('幕间与结算'!E596),ISNUMBER('幕间与结算'!F596),ISNUMBER('幕间与结算'!G596),'幕间与结算'!E596&gt;=0,'幕间与结算'!G596='幕间与结算'!E596+'幕间与结算'!F596),OR(B689&lt;&gt;"成长",AND(LEFT(C689,3)="技能：",C689&lt;&gt;"技能：非自然知识",'幕间与结算'!E596&gt;=1,'幕间与结算'!E596&lt;=99,'幕间与结算'!F596&gt;=0,'幕间与结算'!F596&lt;=4,'幕间与结算'!G596&lt;=99))),1,0)</x:f>
        <x:v>0</x:v>
      </x:c>
      <x:c r="H689">
        <x:f>IF(AND(G689=1,COUNTIFS($I$200:I689,I689,$G$200:G689,1)=1),1,0)</x:f>
        <x:v>0</x:v>
      </x:c>
      <x:c r="I689" t="str">
        <x:f>IF(G689=1,IF(B689="成长",A689&amp;"-成长-"&amp;C689,'幕间与结算'!I596),"")</x:f>
        <x:v/>
      </x:c>
      <x:c r="BF689">
        <x:f>MAX(0,MIN(18,BF688+IF(C689="力量",E689,0)))</x:f>
        <x:v>0</x:v>
      </x:c>
      <x:c r="BG689">
        <x:f>MAX(0,MIN(18,BG688+IF(C689="体质",E689,0)))</x:f>
        <x:v>0</x:v>
      </x:c>
      <x:c r="BH689">
        <x:f>MAX(0,MIN(18,BH688+IF(C689="敏捷",E689,0)))</x:f>
        <x:v>0</x:v>
      </x:c>
      <x:c r="BI689">
        <x:f>MAX(0,MIN(18,BI688+IF(C689="智力",E689,0)))</x:f>
        <x:v>0</x:v>
      </x:c>
      <x:c r="BJ689">
        <x:f>MAX(0,MIN(18,BJ688+IF(C689="意志",E689,0)))</x:f>
        <x:v>0</x:v>
      </x:c>
      <x:c r="BK689">
        <x:f>MAX(0,MIN(18,BK688+IF(C689="魅力",E689,0)))</x:f>
        <x:v>0</x:v>
      </x:c>
      <x:c r="BL689">
        <x:f>MAX(0,MIN(99,BL688+IF(C689="技能：非自然知识",E689,0)))</x:f>
        <x:v>0</x:v>
      </x:c>
      <x:c r="BM689">
        <x:f>MAX(0,MIN(CEILING((BF689+BG689)/2,1),BM688+IF(C689="体力",E689,0)))</x:f>
        <x:v>0</x:v>
      </x:c>
      <x:c r="BN689">
        <x:f>MAX(0,MIN(BJ689,BN688+IF(C689="毅力",E689,0)))</x:f>
        <x:v>0</x:v>
      </x:c>
      <x:c r="BO689">
        <x:f>MAX(0,MIN(99-BL689,BO688+IF(C689="理智",E689,0)))</x:f>
        <x:v>0</x:v>
      </x:c>
      <x:c r="BP689">
        <x:f>MAX(0,MIN(99,BP688+IF(C689="崩溃点",E689,0)))</x:f>
        <x:v>0</x:v>
      </x:c>
      <x:c r="BQ689">
        <x:f>MAX(0,MIN(BK689,IF(AND(H689=1,C689="重要关系1",LEFT('幕间与结算'!H596,8)="建立新的重要关系"),'幕间与结算'!E596+E689,BQ688+IF(C689="重要关系1",E689,0)+IF(AND(C689="魅力",E689&lt;0),E689,0))))</x:f>
        <x:v>0</x:v>
      </x:c>
      <x:c r="BR689">
        <x:f>MAX(0,MIN(BK689,IF(AND(H689=1,C689="重要关系2",LEFT('幕间与结算'!H596,8)="建立新的重要关系"),'幕间与结算'!E596+E689,BR688+IF(C689="重要关系2",E689,0)+IF(AND(C689="魅力",E689&lt;0),E689,0))))</x:f>
        <x:v>0</x:v>
      </x:c>
      <x:c r="BS689">
        <x:f>MAX(0,MIN(BK689,IF(AND(H689=1,C689="重要关系3",LEFT('幕间与结算'!H596,8)="建立新的重要关系"),'幕间与结算'!E596+E689,BS688+IF(C689="重要关系3",E689,0)+IF(AND(C689="魅力",E689&lt;0),E689,0))))</x:f>
        <x:v>0</x:v>
      </x:c>
      <x:c r="BT689">
        <x:f>MAX(0,MIN(BK689,IF(AND(H689=1,C689="重要关系4",LEFT('幕间与结算'!H596,8)="建立新的重要关系"),'幕间与结算'!E596+E689,BT688+IF(C689="重要关系4",E689,0)+IF(AND(C689="魅力",E689&lt;0),E689,0))))</x:f>
        <x:v>0</x:v>
      </x:c>
      <x:c r="BU689">
        <x:f>MAX(0,MIN(BK689,IF(AND(H689=1,C689="重要关系5",LEFT('幕间与结算'!H596,8)="建立新的重要关系"),'幕间与结算'!E596+E689,BU688+IF(C689="重要关系5",E689,0)+IF(AND(C689="魅力",E689&lt;0),E689,0))))</x:f>
        <x:v>0</x:v>
      </x:c>
      <x:c r="BV689">
        <x:f>MAX(0,MIN(BK689,IF(AND(H689=1,C689="重要关系6",LEFT('幕间与结算'!H596,8)="建立新的重要关系"),'幕间与结算'!E596+E689,BV688+IF(C689="重要关系6",E689,0)+IF(AND(C689="魅力",E689&lt;0),E689,0))))</x:f>
        <x:v>0</x:v>
      </x:c>
      <x:c r="BW689">
        <x:f>MAX(0,MIN(BK689,IF(AND(H689=1,C689="重要关系7",LEFT('幕间与结算'!H596,8)="建立新的重要关系"),'幕间与结算'!E596+E689,BW688+IF(C689="重要关系7",E689,0)+IF(AND(C689="魅力",E689&lt;0),E689,0))))</x:f>
        <x:v>0</x:v>
      </x:c>
    </x:row>
    <x:row r="690">
      <x:c r="A690" t="str">
        <x:f>IFERROR(TEXT(VALUE('幕间与结算'!A597),"00"),"")</x:f>
        <x:v>00</x:v>
      </x:c>
      <x:c r="B690">
        <x:f>'幕间与结算'!B597</x:f>
        <x:v>0</x:v>
      </x:c>
      <x:c r="C690">
        <x:f>'幕间与结算'!D597</x:f>
        <x:v>0</x:v>
      </x:c>
      <x:c r="D690">
        <x:f>'幕间与结算'!F597</x:f>
        <x:v>0</x:v>
      </x:c>
      <x:c r="E690">
        <x:f>IF(H690=1,MAX(-'幕间与结算'!E597,MIN(D690,IF(LEFT(C690,3)="技能：",99,IF(COUNTIF($L$2:$L$7,C690)&gt;0,18,999))-'幕间与结算'!E597)),0)</x:f>
        <x:v>0</x:v>
      </x:c>
      <x:c r="F690" t="str">
        <x:f>IF(C690=0,"",IF(G690=0,"记录不完整",IF(H690=0,"重复未计","已计入")))</x:f>
        <x:v/>
      </x:c>
      <x:c r="G690">
        <x:f>IF(AND(AND('幕间与结算'!A597&lt;&gt;"",'幕间与结算'!B597&lt;&gt;"",'幕间与结算'!I597&lt;&gt;"",OR(LEFT(C690,3)="技能：",COUNTIF($L$2:$L$19,C690)&gt;0),ISNUMBER('幕间与结算'!E597),ISNUMBER('幕间与结算'!F597),ISNUMBER('幕间与结算'!G597),'幕间与结算'!E597&gt;=0,'幕间与结算'!G597='幕间与结算'!E597+'幕间与结算'!F597),OR(B690&lt;&gt;"成长",AND(LEFT(C690,3)="技能：",C690&lt;&gt;"技能：非自然知识",'幕间与结算'!E597&gt;=1,'幕间与结算'!E597&lt;=99,'幕间与结算'!F597&gt;=0,'幕间与结算'!F597&lt;=4,'幕间与结算'!G597&lt;=99))),1,0)</x:f>
        <x:v>0</x:v>
      </x:c>
      <x:c r="H690">
        <x:f>IF(AND(G690=1,COUNTIFS($I$200:I690,I690,$G$200:G690,1)=1),1,0)</x:f>
        <x:v>0</x:v>
      </x:c>
      <x:c r="I690" t="str">
        <x:f>IF(G690=1,IF(B690="成长",A690&amp;"-成长-"&amp;C690,'幕间与结算'!I597),"")</x:f>
        <x:v/>
      </x:c>
      <x:c r="BF690">
        <x:f>MAX(0,MIN(18,BF689+IF(C690="力量",E690,0)))</x:f>
        <x:v>0</x:v>
      </x:c>
      <x:c r="BG690">
        <x:f>MAX(0,MIN(18,BG689+IF(C690="体质",E690,0)))</x:f>
        <x:v>0</x:v>
      </x:c>
      <x:c r="BH690">
        <x:f>MAX(0,MIN(18,BH689+IF(C690="敏捷",E690,0)))</x:f>
        <x:v>0</x:v>
      </x:c>
      <x:c r="BI690">
        <x:f>MAX(0,MIN(18,BI689+IF(C690="智力",E690,0)))</x:f>
        <x:v>0</x:v>
      </x:c>
      <x:c r="BJ690">
        <x:f>MAX(0,MIN(18,BJ689+IF(C690="意志",E690,0)))</x:f>
        <x:v>0</x:v>
      </x:c>
      <x:c r="BK690">
        <x:f>MAX(0,MIN(18,BK689+IF(C690="魅力",E690,0)))</x:f>
        <x:v>0</x:v>
      </x:c>
      <x:c r="BL690">
        <x:f>MAX(0,MIN(99,BL689+IF(C690="技能：非自然知识",E690,0)))</x:f>
        <x:v>0</x:v>
      </x:c>
      <x:c r="BM690">
        <x:f>MAX(0,MIN(CEILING((BF690+BG690)/2,1),BM689+IF(C690="体力",E690,0)))</x:f>
        <x:v>0</x:v>
      </x:c>
      <x:c r="BN690">
        <x:f>MAX(0,MIN(BJ690,BN689+IF(C690="毅力",E690,0)))</x:f>
        <x:v>0</x:v>
      </x:c>
      <x:c r="BO690">
        <x:f>MAX(0,MIN(99-BL690,BO689+IF(C690="理智",E690,0)))</x:f>
        <x:v>0</x:v>
      </x:c>
      <x:c r="BP690">
        <x:f>MAX(0,MIN(99,BP689+IF(C690="崩溃点",E690,0)))</x:f>
        <x:v>0</x:v>
      </x:c>
      <x:c r="BQ690">
        <x:f>MAX(0,MIN(BK690,IF(AND(H690=1,C690="重要关系1",LEFT('幕间与结算'!H597,8)="建立新的重要关系"),'幕间与结算'!E597+E690,BQ689+IF(C690="重要关系1",E690,0)+IF(AND(C690="魅力",E690&lt;0),E690,0))))</x:f>
        <x:v>0</x:v>
      </x:c>
      <x:c r="BR690">
        <x:f>MAX(0,MIN(BK690,IF(AND(H690=1,C690="重要关系2",LEFT('幕间与结算'!H597,8)="建立新的重要关系"),'幕间与结算'!E597+E690,BR689+IF(C690="重要关系2",E690,0)+IF(AND(C690="魅力",E690&lt;0),E690,0))))</x:f>
        <x:v>0</x:v>
      </x:c>
      <x:c r="BS690">
        <x:f>MAX(0,MIN(BK690,IF(AND(H690=1,C690="重要关系3",LEFT('幕间与结算'!H597,8)="建立新的重要关系"),'幕间与结算'!E597+E690,BS689+IF(C690="重要关系3",E690,0)+IF(AND(C690="魅力",E690&lt;0),E690,0))))</x:f>
        <x:v>0</x:v>
      </x:c>
      <x:c r="BT690">
        <x:f>MAX(0,MIN(BK690,IF(AND(H690=1,C690="重要关系4",LEFT('幕间与结算'!H597,8)="建立新的重要关系"),'幕间与结算'!E597+E690,BT689+IF(C690="重要关系4",E690,0)+IF(AND(C690="魅力",E690&lt;0),E690,0))))</x:f>
        <x:v>0</x:v>
      </x:c>
      <x:c r="BU690">
        <x:f>MAX(0,MIN(BK690,IF(AND(H690=1,C690="重要关系5",LEFT('幕间与结算'!H597,8)="建立新的重要关系"),'幕间与结算'!E597+E690,BU689+IF(C690="重要关系5",E690,0)+IF(AND(C690="魅力",E690&lt;0),E690,0))))</x:f>
        <x:v>0</x:v>
      </x:c>
      <x:c r="BV690">
        <x:f>MAX(0,MIN(BK690,IF(AND(H690=1,C690="重要关系6",LEFT('幕间与结算'!H597,8)="建立新的重要关系"),'幕间与结算'!E597+E690,BV689+IF(C690="重要关系6",E690,0)+IF(AND(C690="魅力",E690&lt;0),E690,0))))</x:f>
        <x:v>0</x:v>
      </x:c>
      <x:c r="BW690">
        <x:f>MAX(0,MIN(BK690,IF(AND(H690=1,C690="重要关系7",LEFT('幕间与结算'!H597,8)="建立新的重要关系"),'幕间与结算'!E597+E690,BW689+IF(C690="重要关系7",E690,0)+IF(AND(C690="魅力",E690&lt;0),E690,0))))</x:f>
        <x:v>0</x:v>
      </x:c>
    </x:row>
    <x:row r="691">
      <x:c r="A691" t="str">
        <x:f>IFERROR(TEXT(VALUE('幕间与结算'!A598),"00"),"")</x:f>
        <x:v>00</x:v>
      </x:c>
      <x:c r="B691">
        <x:f>'幕间与结算'!B598</x:f>
        <x:v>0</x:v>
      </x:c>
      <x:c r="C691">
        <x:f>'幕间与结算'!D598</x:f>
        <x:v>0</x:v>
      </x:c>
      <x:c r="D691">
        <x:f>'幕间与结算'!F598</x:f>
        <x:v>0</x:v>
      </x:c>
      <x:c r="E691">
        <x:f>IF(H691=1,MAX(-'幕间与结算'!E598,MIN(D691,IF(LEFT(C691,3)="技能：",99,IF(COUNTIF($L$2:$L$7,C691)&gt;0,18,999))-'幕间与结算'!E598)),0)</x:f>
        <x:v>0</x:v>
      </x:c>
      <x:c r="F691" t="str">
        <x:f>IF(C691=0,"",IF(G691=0,"记录不完整",IF(H691=0,"重复未计","已计入")))</x:f>
        <x:v/>
      </x:c>
      <x:c r="G691">
        <x:f>IF(AND(AND('幕间与结算'!A598&lt;&gt;"",'幕间与结算'!B598&lt;&gt;"",'幕间与结算'!I598&lt;&gt;"",OR(LEFT(C691,3)="技能：",COUNTIF($L$2:$L$19,C691)&gt;0),ISNUMBER('幕间与结算'!E598),ISNUMBER('幕间与结算'!F598),ISNUMBER('幕间与结算'!G598),'幕间与结算'!E598&gt;=0,'幕间与结算'!G598='幕间与结算'!E598+'幕间与结算'!F598),OR(B691&lt;&gt;"成长",AND(LEFT(C691,3)="技能：",C691&lt;&gt;"技能：非自然知识",'幕间与结算'!E598&gt;=1,'幕间与结算'!E598&lt;=99,'幕间与结算'!F598&gt;=0,'幕间与结算'!F598&lt;=4,'幕间与结算'!G598&lt;=99))),1,0)</x:f>
        <x:v>0</x:v>
      </x:c>
      <x:c r="H691">
        <x:f>IF(AND(G691=1,COUNTIFS($I$200:I691,I691,$G$200:G691,1)=1),1,0)</x:f>
        <x:v>0</x:v>
      </x:c>
      <x:c r="I691" t="str">
        <x:f>IF(G691=1,IF(B691="成长",A691&amp;"-成长-"&amp;C691,'幕间与结算'!I598),"")</x:f>
        <x:v/>
      </x:c>
      <x:c r="BF691">
        <x:f>MAX(0,MIN(18,BF690+IF(C691="力量",E691,0)))</x:f>
        <x:v>0</x:v>
      </x:c>
      <x:c r="BG691">
        <x:f>MAX(0,MIN(18,BG690+IF(C691="体质",E691,0)))</x:f>
        <x:v>0</x:v>
      </x:c>
      <x:c r="BH691">
        <x:f>MAX(0,MIN(18,BH690+IF(C691="敏捷",E691,0)))</x:f>
        <x:v>0</x:v>
      </x:c>
      <x:c r="BI691">
        <x:f>MAX(0,MIN(18,BI690+IF(C691="智力",E691,0)))</x:f>
        <x:v>0</x:v>
      </x:c>
      <x:c r="BJ691">
        <x:f>MAX(0,MIN(18,BJ690+IF(C691="意志",E691,0)))</x:f>
        <x:v>0</x:v>
      </x:c>
      <x:c r="BK691">
        <x:f>MAX(0,MIN(18,BK690+IF(C691="魅力",E691,0)))</x:f>
        <x:v>0</x:v>
      </x:c>
      <x:c r="BL691">
        <x:f>MAX(0,MIN(99,BL690+IF(C691="技能：非自然知识",E691,0)))</x:f>
        <x:v>0</x:v>
      </x:c>
      <x:c r="BM691">
        <x:f>MAX(0,MIN(CEILING((BF691+BG691)/2,1),BM690+IF(C691="体力",E691,0)))</x:f>
        <x:v>0</x:v>
      </x:c>
      <x:c r="BN691">
        <x:f>MAX(0,MIN(BJ691,BN690+IF(C691="毅力",E691,0)))</x:f>
        <x:v>0</x:v>
      </x:c>
      <x:c r="BO691">
        <x:f>MAX(0,MIN(99-BL691,BO690+IF(C691="理智",E691,0)))</x:f>
        <x:v>0</x:v>
      </x:c>
      <x:c r="BP691">
        <x:f>MAX(0,MIN(99,BP690+IF(C691="崩溃点",E691,0)))</x:f>
        <x:v>0</x:v>
      </x:c>
      <x:c r="BQ691">
        <x:f>MAX(0,MIN(BK691,IF(AND(H691=1,C691="重要关系1",LEFT('幕间与结算'!H598,8)="建立新的重要关系"),'幕间与结算'!E598+E691,BQ690+IF(C691="重要关系1",E691,0)+IF(AND(C691="魅力",E691&lt;0),E691,0))))</x:f>
        <x:v>0</x:v>
      </x:c>
      <x:c r="BR691">
        <x:f>MAX(0,MIN(BK691,IF(AND(H691=1,C691="重要关系2",LEFT('幕间与结算'!H598,8)="建立新的重要关系"),'幕间与结算'!E598+E691,BR690+IF(C691="重要关系2",E691,0)+IF(AND(C691="魅力",E691&lt;0),E691,0))))</x:f>
        <x:v>0</x:v>
      </x:c>
      <x:c r="BS691">
        <x:f>MAX(0,MIN(BK691,IF(AND(H691=1,C691="重要关系3",LEFT('幕间与结算'!H598,8)="建立新的重要关系"),'幕间与结算'!E598+E691,BS690+IF(C691="重要关系3",E691,0)+IF(AND(C691="魅力",E691&lt;0),E691,0))))</x:f>
        <x:v>0</x:v>
      </x:c>
      <x:c r="BT691">
        <x:f>MAX(0,MIN(BK691,IF(AND(H691=1,C691="重要关系4",LEFT('幕间与结算'!H598,8)="建立新的重要关系"),'幕间与结算'!E598+E691,BT690+IF(C691="重要关系4",E691,0)+IF(AND(C691="魅力",E691&lt;0),E691,0))))</x:f>
        <x:v>0</x:v>
      </x:c>
      <x:c r="BU691">
        <x:f>MAX(0,MIN(BK691,IF(AND(H691=1,C691="重要关系5",LEFT('幕间与结算'!H598,8)="建立新的重要关系"),'幕间与结算'!E598+E691,BU690+IF(C691="重要关系5",E691,0)+IF(AND(C691="魅力",E691&lt;0),E691,0))))</x:f>
        <x:v>0</x:v>
      </x:c>
      <x:c r="BV691">
        <x:f>MAX(0,MIN(BK691,IF(AND(H691=1,C691="重要关系6",LEFT('幕间与结算'!H598,8)="建立新的重要关系"),'幕间与结算'!E598+E691,BV690+IF(C691="重要关系6",E691,0)+IF(AND(C691="魅力",E691&lt;0),E691,0))))</x:f>
        <x:v>0</x:v>
      </x:c>
      <x:c r="BW691">
        <x:f>MAX(0,MIN(BK691,IF(AND(H691=1,C691="重要关系7",LEFT('幕间与结算'!H598,8)="建立新的重要关系"),'幕间与结算'!E598+E691,BW690+IF(C691="重要关系7",E691,0)+IF(AND(C691="魅力",E691&lt;0),E691,0))))</x:f>
        <x:v>0</x:v>
      </x:c>
    </x:row>
    <x:row r="692">
      <x:c r="A692" t="str">
        <x:f>IFERROR(TEXT(VALUE('幕间与结算'!A599),"00"),"")</x:f>
        <x:v>00</x:v>
      </x:c>
      <x:c r="B692">
        <x:f>'幕间与结算'!B599</x:f>
        <x:v>0</x:v>
      </x:c>
      <x:c r="C692">
        <x:f>'幕间与结算'!D599</x:f>
        <x:v>0</x:v>
      </x:c>
      <x:c r="D692">
        <x:f>'幕间与结算'!F599</x:f>
        <x:v>0</x:v>
      </x:c>
      <x:c r="E692">
        <x:f>IF(H692=1,MAX(-'幕间与结算'!E599,MIN(D692,IF(LEFT(C692,3)="技能：",99,IF(COUNTIF($L$2:$L$7,C692)&gt;0,18,999))-'幕间与结算'!E599)),0)</x:f>
        <x:v>0</x:v>
      </x:c>
      <x:c r="F692" t="str">
        <x:f>IF(C692=0,"",IF(G692=0,"记录不完整",IF(H692=0,"重复未计","已计入")))</x:f>
        <x:v/>
      </x:c>
      <x:c r="G692">
        <x:f>IF(AND(AND('幕间与结算'!A599&lt;&gt;"",'幕间与结算'!B599&lt;&gt;"",'幕间与结算'!I599&lt;&gt;"",OR(LEFT(C692,3)="技能：",COUNTIF($L$2:$L$19,C692)&gt;0),ISNUMBER('幕间与结算'!E599),ISNUMBER('幕间与结算'!F599),ISNUMBER('幕间与结算'!G599),'幕间与结算'!E599&gt;=0,'幕间与结算'!G599='幕间与结算'!E599+'幕间与结算'!F599),OR(B692&lt;&gt;"成长",AND(LEFT(C692,3)="技能：",C692&lt;&gt;"技能：非自然知识",'幕间与结算'!E599&gt;=1,'幕间与结算'!E599&lt;=99,'幕间与结算'!F599&gt;=0,'幕间与结算'!F599&lt;=4,'幕间与结算'!G599&lt;=99))),1,0)</x:f>
        <x:v>0</x:v>
      </x:c>
      <x:c r="H692">
        <x:f>IF(AND(G692=1,COUNTIFS($I$200:I692,I692,$G$200:G692,1)=1),1,0)</x:f>
        <x:v>0</x:v>
      </x:c>
      <x:c r="I692" t="str">
        <x:f>IF(G692=1,IF(B692="成长",A692&amp;"-成长-"&amp;C692,'幕间与结算'!I599),"")</x:f>
        <x:v/>
      </x:c>
      <x:c r="BF692">
        <x:f>MAX(0,MIN(18,BF691+IF(C692="力量",E692,0)))</x:f>
        <x:v>0</x:v>
      </x:c>
      <x:c r="BG692">
        <x:f>MAX(0,MIN(18,BG691+IF(C692="体质",E692,0)))</x:f>
        <x:v>0</x:v>
      </x:c>
      <x:c r="BH692">
        <x:f>MAX(0,MIN(18,BH691+IF(C692="敏捷",E692,0)))</x:f>
        <x:v>0</x:v>
      </x:c>
      <x:c r="BI692">
        <x:f>MAX(0,MIN(18,BI691+IF(C692="智力",E692,0)))</x:f>
        <x:v>0</x:v>
      </x:c>
      <x:c r="BJ692">
        <x:f>MAX(0,MIN(18,BJ691+IF(C692="意志",E692,0)))</x:f>
        <x:v>0</x:v>
      </x:c>
      <x:c r="BK692">
        <x:f>MAX(0,MIN(18,BK691+IF(C692="魅力",E692,0)))</x:f>
        <x:v>0</x:v>
      </x:c>
      <x:c r="BL692">
        <x:f>MAX(0,MIN(99,BL691+IF(C692="技能：非自然知识",E692,0)))</x:f>
        <x:v>0</x:v>
      </x:c>
      <x:c r="BM692">
        <x:f>MAX(0,MIN(CEILING((BF692+BG692)/2,1),BM691+IF(C692="体力",E692,0)))</x:f>
        <x:v>0</x:v>
      </x:c>
      <x:c r="BN692">
        <x:f>MAX(0,MIN(BJ692,BN691+IF(C692="毅力",E692,0)))</x:f>
        <x:v>0</x:v>
      </x:c>
      <x:c r="BO692">
        <x:f>MAX(0,MIN(99-BL692,BO691+IF(C692="理智",E692,0)))</x:f>
        <x:v>0</x:v>
      </x:c>
      <x:c r="BP692">
        <x:f>MAX(0,MIN(99,BP691+IF(C692="崩溃点",E692,0)))</x:f>
        <x:v>0</x:v>
      </x:c>
      <x:c r="BQ692">
        <x:f>MAX(0,MIN(BK692,IF(AND(H692=1,C692="重要关系1",LEFT('幕间与结算'!H599,8)="建立新的重要关系"),'幕间与结算'!E599+E692,BQ691+IF(C692="重要关系1",E692,0)+IF(AND(C692="魅力",E692&lt;0),E692,0))))</x:f>
        <x:v>0</x:v>
      </x:c>
      <x:c r="BR692">
        <x:f>MAX(0,MIN(BK692,IF(AND(H692=1,C692="重要关系2",LEFT('幕间与结算'!H599,8)="建立新的重要关系"),'幕间与结算'!E599+E692,BR691+IF(C692="重要关系2",E692,0)+IF(AND(C692="魅力",E692&lt;0),E692,0))))</x:f>
        <x:v>0</x:v>
      </x:c>
      <x:c r="BS692">
        <x:f>MAX(0,MIN(BK692,IF(AND(H692=1,C692="重要关系3",LEFT('幕间与结算'!H599,8)="建立新的重要关系"),'幕间与结算'!E599+E692,BS691+IF(C692="重要关系3",E692,0)+IF(AND(C692="魅力",E692&lt;0),E692,0))))</x:f>
        <x:v>0</x:v>
      </x:c>
      <x:c r="BT692">
        <x:f>MAX(0,MIN(BK692,IF(AND(H692=1,C692="重要关系4",LEFT('幕间与结算'!H599,8)="建立新的重要关系"),'幕间与结算'!E599+E692,BT691+IF(C692="重要关系4",E692,0)+IF(AND(C692="魅力",E692&lt;0),E692,0))))</x:f>
        <x:v>0</x:v>
      </x:c>
      <x:c r="BU692">
        <x:f>MAX(0,MIN(BK692,IF(AND(H692=1,C692="重要关系5",LEFT('幕间与结算'!H599,8)="建立新的重要关系"),'幕间与结算'!E599+E692,BU691+IF(C692="重要关系5",E692,0)+IF(AND(C692="魅力",E692&lt;0),E692,0))))</x:f>
        <x:v>0</x:v>
      </x:c>
      <x:c r="BV692">
        <x:f>MAX(0,MIN(BK692,IF(AND(H692=1,C692="重要关系6",LEFT('幕间与结算'!H599,8)="建立新的重要关系"),'幕间与结算'!E599+E692,BV691+IF(C692="重要关系6",E692,0)+IF(AND(C692="魅力",E692&lt;0),E692,0))))</x:f>
        <x:v>0</x:v>
      </x:c>
      <x:c r="BW692">
        <x:f>MAX(0,MIN(BK692,IF(AND(H692=1,C692="重要关系7",LEFT('幕间与结算'!H599,8)="建立新的重要关系"),'幕间与结算'!E599+E692,BW691+IF(C692="重要关系7",E692,0)+IF(AND(C692="魅力",E692&lt;0),E692,0))))</x:f>
        <x:v>0</x:v>
      </x:c>
    </x:row>
    <x:row r="693">
      <x:c r="A693" t="str">
        <x:f>IFERROR(TEXT(VALUE('幕间与结算'!A600),"00"),"")</x:f>
        <x:v>00</x:v>
      </x:c>
      <x:c r="B693">
        <x:f>'幕间与结算'!B600</x:f>
        <x:v>0</x:v>
      </x:c>
      <x:c r="C693">
        <x:f>'幕间与结算'!D600</x:f>
        <x:v>0</x:v>
      </x:c>
      <x:c r="D693">
        <x:f>'幕间与结算'!F600</x:f>
        <x:v>0</x:v>
      </x:c>
      <x:c r="E693">
        <x:f>IF(H693=1,MAX(-'幕间与结算'!E600,MIN(D693,IF(LEFT(C693,3)="技能：",99,IF(COUNTIF($L$2:$L$7,C693)&gt;0,18,999))-'幕间与结算'!E600)),0)</x:f>
        <x:v>0</x:v>
      </x:c>
      <x:c r="F693" t="str">
        <x:f>IF(C693=0,"",IF(G693=0,"记录不完整",IF(H693=0,"重复未计","已计入")))</x:f>
        <x:v/>
      </x:c>
      <x:c r="G693">
        <x:f>IF(AND(AND('幕间与结算'!A600&lt;&gt;"",'幕间与结算'!B600&lt;&gt;"",'幕间与结算'!I600&lt;&gt;"",OR(LEFT(C693,3)="技能：",COUNTIF($L$2:$L$19,C693)&gt;0),ISNUMBER('幕间与结算'!E600),ISNUMBER('幕间与结算'!F600),ISNUMBER('幕间与结算'!G600),'幕间与结算'!E600&gt;=0,'幕间与结算'!G600='幕间与结算'!E600+'幕间与结算'!F600),OR(B693&lt;&gt;"成长",AND(LEFT(C693,3)="技能：",C693&lt;&gt;"技能：非自然知识",'幕间与结算'!E600&gt;=1,'幕间与结算'!E600&lt;=99,'幕间与结算'!F600&gt;=0,'幕间与结算'!F600&lt;=4,'幕间与结算'!G600&lt;=99))),1,0)</x:f>
        <x:v>0</x:v>
      </x:c>
      <x:c r="H693">
        <x:f>IF(AND(G693=1,COUNTIFS($I$200:I693,I693,$G$200:G693,1)=1),1,0)</x:f>
        <x:v>0</x:v>
      </x:c>
      <x:c r="I693" t="str">
        <x:f>IF(G693=1,IF(B693="成长",A693&amp;"-成长-"&amp;C693,'幕间与结算'!I600),"")</x:f>
        <x:v/>
      </x:c>
      <x:c r="BF693">
        <x:f>MAX(0,MIN(18,BF692+IF(C693="力量",E693,0)))</x:f>
        <x:v>0</x:v>
      </x:c>
      <x:c r="BG693">
        <x:f>MAX(0,MIN(18,BG692+IF(C693="体质",E693,0)))</x:f>
        <x:v>0</x:v>
      </x:c>
      <x:c r="BH693">
        <x:f>MAX(0,MIN(18,BH692+IF(C693="敏捷",E693,0)))</x:f>
        <x:v>0</x:v>
      </x:c>
      <x:c r="BI693">
        <x:f>MAX(0,MIN(18,BI692+IF(C693="智力",E693,0)))</x:f>
        <x:v>0</x:v>
      </x:c>
      <x:c r="BJ693">
        <x:f>MAX(0,MIN(18,BJ692+IF(C693="意志",E693,0)))</x:f>
        <x:v>0</x:v>
      </x:c>
      <x:c r="BK693">
        <x:f>MAX(0,MIN(18,BK692+IF(C693="魅力",E693,0)))</x:f>
        <x:v>0</x:v>
      </x:c>
      <x:c r="BL693">
        <x:f>MAX(0,MIN(99,BL692+IF(C693="技能：非自然知识",E693,0)))</x:f>
        <x:v>0</x:v>
      </x:c>
      <x:c r="BM693">
        <x:f>MAX(0,MIN(CEILING((BF693+BG693)/2,1),BM692+IF(C693="体力",E693,0)))</x:f>
        <x:v>0</x:v>
      </x:c>
      <x:c r="BN693">
        <x:f>MAX(0,MIN(BJ693,BN692+IF(C693="毅力",E693,0)))</x:f>
        <x:v>0</x:v>
      </x:c>
      <x:c r="BO693">
        <x:f>MAX(0,MIN(99-BL693,BO692+IF(C693="理智",E693,0)))</x:f>
        <x:v>0</x:v>
      </x:c>
      <x:c r="BP693">
        <x:f>MAX(0,MIN(99,BP692+IF(C693="崩溃点",E693,0)))</x:f>
        <x:v>0</x:v>
      </x:c>
      <x:c r="BQ693">
        <x:f>MAX(0,MIN(BK693,IF(AND(H693=1,C693="重要关系1",LEFT('幕间与结算'!H600,8)="建立新的重要关系"),'幕间与结算'!E600+E693,BQ692+IF(C693="重要关系1",E693,0)+IF(AND(C693="魅力",E693&lt;0),E693,0))))</x:f>
        <x:v>0</x:v>
      </x:c>
      <x:c r="BR693">
        <x:f>MAX(0,MIN(BK693,IF(AND(H693=1,C693="重要关系2",LEFT('幕间与结算'!H600,8)="建立新的重要关系"),'幕间与结算'!E600+E693,BR692+IF(C693="重要关系2",E693,0)+IF(AND(C693="魅力",E693&lt;0),E693,0))))</x:f>
        <x:v>0</x:v>
      </x:c>
      <x:c r="BS693">
        <x:f>MAX(0,MIN(BK693,IF(AND(H693=1,C693="重要关系3",LEFT('幕间与结算'!H600,8)="建立新的重要关系"),'幕间与结算'!E600+E693,BS692+IF(C693="重要关系3",E693,0)+IF(AND(C693="魅力",E693&lt;0),E693,0))))</x:f>
        <x:v>0</x:v>
      </x:c>
      <x:c r="BT693">
        <x:f>MAX(0,MIN(BK693,IF(AND(H693=1,C693="重要关系4",LEFT('幕间与结算'!H600,8)="建立新的重要关系"),'幕间与结算'!E600+E693,BT692+IF(C693="重要关系4",E693,0)+IF(AND(C693="魅力",E693&lt;0),E693,0))))</x:f>
        <x:v>0</x:v>
      </x:c>
      <x:c r="BU693">
        <x:f>MAX(0,MIN(BK693,IF(AND(H693=1,C693="重要关系5",LEFT('幕间与结算'!H600,8)="建立新的重要关系"),'幕间与结算'!E600+E693,BU692+IF(C693="重要关系5",E693,0)+IF(AND(C693="魅力",E693&lt;0),E693,0))))</x:f>
        <x:v>0</x:v>
      </x:c>
      <x:c r="BV693">
        <x:f>MAX(0,MIN(BK693,IF(AND(H693=1,C693="重要关系6",LEFT('幕间与结算'!H600,8)="建立新的重要关系"),'幕间与结算'!E600+E693,BV692+IF(C693="重要关系6",E693,0)+IF(AND(C693="魅力",E693&lt;0),E693,0))))</x:f>
        <x:v>0</x:v>
      </x:c>
      <x:c r="BW693">
        <x:f>MAX(0,MIN(BK693,IF(AND(H693=1,C693="重要关系7",LEFT('幕间与结算'!H600,8)="建立新的重要关系"),'幕间与结算'!E600+E693,BW692+IF(C693="重要关系7",E693,0)+IF(AND(C693="魅力",E693&lt;0),E693,0))))</x:f>
        <x:v>0</x:v>
      </x:c>
    </x:row>
    <x:row r="694">
      <x:c r="A694" t="str">
        <x:f>IFERROR(TEXT(VALUE('幕间与结算'!A601),"00"),"")</x:f>
        <x:v>00</x:v>
      </x:c>
      <x:c r="B694">
        <x:f>'幕间与结算'!B601</x:f>
        <x:v>0</x:v>
      </x:c>
      <x:c r="C694">
        <x:f>'幕间与结算'!D601</x:f>
        <x:v>0</x:v>
      </x:c>
      <x:c r="D694">
        <x:f>'幕间与结算'!F601</x:f>
        <x:v>0</x:v>
      </x:c>
      <x:c r="E694">
        <x:f>IF(H694=1,MAX(-'幕间与结算'!E601,MIN(D694,IF(LEFT(C694,3)="技能：",99,IF(COUNTIF($L$2:$L$7,C694)&gt;0,18,999))-'幕间与结算'!E601)),0)</x:f>
        <x:v>0</x:v>
      </x:c>
      <x:c r="F694" t="str">
        <x:f>IF(C694=0,"",IF(G694=0,"记录不完整",IF(H694=0,"重复未计","已计入")))</x:f>
        <x:v/>
      </x:c>
      <x:c r="G694">
        <x:f>IF(AND(AND('幕间与结算'!A601&lt;&gt;"",'幕间与结算'!B601&lt;&gt;"",'幕间与结算'!I601&lt;&gt;"",OR(LEFT(C694,3)="技能：",COUNTIF($L$2:$L$19,C694)&gt;0),ISNUMBER('幕间与结算'!E601),ISNUMBER('幕间与结算'!F601),ISNUMBER('幕间与结算'!G601),'幕间与结算'!E601&gt;=0,'幕间与结算'!G601='幕间与结算'!E601+'幕间与结算'!F601),OR(B694&lt;&gt;"成长",AND(LEFT(C694,3)="技能：",C694&lt;&gt;"技能：非自然知识",'幕间与结算'!E601&gt;=1,'幕间与结算'!E601&lt;=99,'幕间与结算'!F601&gt;=0,'幕间与结算'!F601&lt;=4,'幕间与结算'!G601&lt;=99))),1,0)</x:f>
        <x:v>0</x:v>
      </x:c>
      <x:c r="H694">
        <x:f>IF(AND(G694=1,COUNTIFS($I$200:I694,I694,$G$200:G694,1)=1),1,0)</x:f>
        <x:v>0</x:v>
      </x:c>
      <x:c r="I694" t="str">
        <x:f>IF(G694=1,IF(B694="成长",A694&amp;"-成长-"&amp;C694,'幕间与结算'!I601),"")</x:f>
        <x:v/>
      </x:c>
      <x:c r="BF694">
        <x:f>MAX(0,MIN(18,BF693+IF(C694="力量",E694,0)))</x:f>
        <x:v>0</x:v>
      </x:c>
      <x:c r="BG694">
        <x:f>MAX(0,MIN(18,BG693+IF(C694="体质",E694,0)))</x:f>
        <x:v>0</x:v>
      </x:c>
      <x:c r="BH694">
        <x:f>MAX(0,MIN(18,BH693+IF(C694="敏捷",E694,0)))</x:f>
        <x:v>0</x:v>
      </x:c>
      <x:c r="BI694">
        <x:f>MAX(0,MIN(18,BI693+IF(C694="智力",E694,0)))</x:f>
        <x:v>0</x:v>
      </x:c>
      <x:c r="BJ694">
        <x:f>MAX(0,MIN(18,BJ693+IF(C694="意志",E694,0)))</x:f>
        <x:v>0</x:v>
      </x:c>
      <x:c r="BK694">
        <x:f>MAX(0,MIN(18,BK693+IF(C694="魅力",E694,0)))</x:f>
        <x:v>0</x:v>
      </x:c>
      <x:c r="BL694">
        <x:f>MAX(0,MIN(99,BL693+IF(C694="技能：非自然知识",E694,0)))</x:f>
        <x:v>0</x:v>
      </x:c>
      <x:c r="BM694">
        <x:f>MAX(0,MIN(CEILING((BF694+BG694)/2,1),BM693+IF(C694="体力",E694,0)))</x:f>
        <x:v>0</x:v>
      </x:c>
      <x:c r="BN694">
        <x:f>MAX(0,MIN(BJ694,BN693+IF(C694="毅力",E694,0)))</x:f>
        <x:v>0</x:v>
      </x:c>
      <x:c r="BO694">
        <x:f>MAX(0,MIN(99-BL694,BO693+IF(C694="理智",E694,0)))</x:f>
        <x:v>0</x:v>
      </x:c>
      <x:c r="BP694">
        <x:f>MAX(0,MIN(99,BP693+IF(C694="崩溃点",E694,0)))</x:f>
        <x:v>0</x:v>
      </x:c>
      <x:c r="BQ694">
        <x:f>MAX(0,MIN(BK694,IF(AND(H694=1,C694="重要关系1",LEFT('幕间与结算'!H601,8)="建立新的重要关系"),'幕间与结算'!E601+E694,BQ693+IF(C694="重要关系1",E694,0)+IF(AND(C694="魅力",E694&lt;0),E694,0))))</x:f>
        <x:v>0</x:v>
      </x:c>
      <x:c r="BR694">
        <x:f>MAX(0,MIN(BK694,IF(AND(H694=1,C694="重要关系2",LEFT('幕间与结算'!H601,8)="建立新的重要关系"),'幕间与结算'!E601+E694,BR693+IF(C694="重要关系2",E694,0)+IF(AND(C694="魅力",E694&lt;0),E694,0))))</x:f>
        <x:v>0</x:v>
      </x:c>
      <x:c r="BS694">
        <x:f>MAX(0,MIN(BK694,IF(AND(H694=1,C694="重要关系3",LEFT('幕间与结算'!H601,8)="建立新的重要关系"),'幕间与结算'!E601+E694,BS693+IF(C694="重要关系3",E694,0)+IF(AND(C694="魅力",E694&lt;0),E694,0))))</x:f>
        <x:v>0</x:v>
      </x:c>
      <x:c r="BT694">
        <x:f>MAX(0,MIN(BK694,IF(AND(H694=1,C694="重要关系4",LEFT('幕间与结算'!H601,8)="建立新的重要关系"),'幕间与结算'!E601+E694,BT693+IF(C694="重要关系4",E694,0)+IF(AND(C694="魅力",E694&lt;0),E694,0))))</x:f>
        <x:v>0</x:v>
      </x:c>
      <x:c r="BU694">
        <x:f>MAX(0,MIN(BK694,IF(AND(H694=1,C694="重要关系5",LEFT('幕间与结算'!H601,8)="建立新的重要关系"),'幕间与结算'!E601+E694,BU693+IF(C694="重要关系5",E694,0)+IF(AND(C694="魅力",E694&lt;0),E694,0))))</x:f>
        <x:v>0</x:v>
      </x:c>
      <x:c r="BV694">
        <x:f>MAX(0,MIN(BK694,IF(AND(H694=1,C694="重要关系6",LEFT('幕间与结算'!H601,8)="建立新的重要关系"),'幕间与结算'!E601+E694,BV693+IF(C694="重要关系6",E694,0)+IF(AND(C694="魅力",E694&lt;0),E694,0))))</x:f>
        <x:v>0</x:v>
      </x:c>
      <x:c r="BW694">
        <x:f>MAX(0,MIN(BK694,IF(AND(H694=1,C694="重要关系7",LEFT('幕间与结算'!H601,8)="建立新的重要关系"),'幕间与结算'!E601+E694,BW693+IF(C694="重要关系7",E694,0)+IF(AND(C694="魅力",E694&lt;0),E694,0))))</x:f>
        <x:v>0</x:v>
      </x:c>
    </x:row>
    <x:row r="695">
      <x:c r="A695" t="str">
        <x:f>IFERROR(TEXT(VALUE('幕间与结算'!A602),"00"),"")</x:f>
        <x:v>00</x:v>
      </x:c>
      <x:c r="B695">
        <x:f>'幕间与结算'!B602</x:f>
        <x:v>0</x:v>
      </x:c>
      <x:c r="C695">
        <x:f>'幕间与结算'!D602</x:f>
        <x:v>0</x:v>
      </x:c>
      <x:c r="D695">
        <x:f>'幕间与结算'!F602</x:f>
        <x:v>0</x:v>
      </x:c>
      <x:c r="E695">
        <x:f>IF(H695=1,MAX(-'幕间与结算'!E602,MIN(D695,IF(LEFT(C695,3)="技能：",99,IF(COUNTIF($L$2:$L$7,C695)&gt;0,18,999))-'幕间与结算'!E602)),0)</x:f>
        <x:v>0</x:v>
      </x:c>
      <x:c r="F695" t="str">
        <x:f>IF(C695=0,"",IF(G695=0,"记录不完整",IF(H695=0,"重复未计","已计入")))</x:f>
        <x:v/>
      </x:c>
      <x:c r="G695">
        <x:f>IF(AND(AND('幕间与结算'!A602&lt;&gt;"",'幕间与结算'!B602&lt;&gt;"",'幕间与结算'!I602&lt;&gt;"",OR(LEFT(C695,3)="技能：",COUNTIF($L$2:$L$19,C695)&gt;0),ISNUMBER('幕间与结算'!E602),ISNUMBER('幕间与结算'!F602),ISNUMBER('幕间与结算'!G602),'幕间与结算'!E602&gt;=0,'幕间与结算'!G602='幕间与结算'!E602+'幕间与结算'!F602),OR(B695&lt;&gt;"成长",AND(LEFT(C695,3)="技能：",C695&lt;&gt;"技能：非自然知识",'幕间与结算'!E602&gt;=1,'幕间与结算'!E602&lt;=99,'幕间与结算'!F602&gt;=0,'幕间与结算'!F602&lt;=4,'幕间与结算'!G602&lt;=99))),1,0)</x:f>
        <x:v>0</x:v>
      </x:c>
      <x:c r="H695">
        <x:f>IF(AND(G695=1,COUNTIFS($I$200:I695,I695,$G$200:G695,1)=1),1,0)</x:f>
        <x:v>0</x:v>
      </x:c>
      <x:c r="I695" t="str">
        <x:f>IF(G695=1,IF(B695="成长",A695&amp;"-成长-"&amp;C695,'幕间与结算'!I602),"")</x:f>
        <x:v/>
      </x:c>
      <x:c r="BF695">
        <x:f>MAX(0,MIN(18,BF694+IF(C695="力量",E695,0)))</x:f>
        <x:v>0</x:v>
      </x:c>
      <x:c r="BG695">
        <x:f>MAX(0,MIN(18,BG694+IF(C695="体质",E695,0)))</x:f>
        <x:v>0</x:v>
      </x:c>
      <x:c r="BH695">
        <x:f>MAX(0,MIN(18,BH694+IF(C695="敏捷",E695,0)))</x:f>
        <x:v>0</x:v>
      </x:c>
      <x:c r="BI695">
        <x:f>MAX(0,MIN(18,BI694+IF(C695="智力",E695,0)))</x:f>
        <x:v>0</x:v>
      </x:c>
      <x:c r="BJ695">
        <x:f>MAX(0,MIN(18,BJ694+IF(C695="意志",E695,0)))</x:f>
        <x:v>0</x:v>
      </x:c>
      <x:c r="BK695">
        <x:f>MAX(0,MIN(18,BK694+IF(C695="魅力",E695,0)))</x:f>
        <x:v>0</x:v>
      </x:c>
      <x:c r="BL695">
        <x:f>MAX(0,MIN(99,BL694+IF(C695="技能：非自然知识",E695,0)))</x:f>
        <x:v>0</x:v>
      </x:c>
      <x:c r="BM695">
        <x:f>MAX(0,MIN(CEILING((BF695+BG695)/2,1),BM694+IF(C695="体力",E695,0)))</x:f>
        <x:v>0</x:v>
      </x:c>
      <x:c r="BN695">
        <x:f>MAX(0,MIN(BJ695,BN694+IF(C695="毅力",E695,0)))</x:f>
        <x:v>0</x:v>
      </x:c>
      <x:c r="BO695">
        <x:f>MAX(0,MIN(99-BL695,BO694+IF(C695="理智",E695,0)))</x:f>
        <x:v>0</x:v>
      </x:c>
      <x:c r="BP695">
        <x:f>MAX(0,MIN(99,BP694+IF(C695="崩溃点",E695,0)))</x:f>
        <x:v>0</x:v>
      </x:c>
      <x:c r="BQ695">
        <x:f>MAX(0,MIN(BK695,IF(AND(H695=1,C695="重要关系1",LEFT('幕间与结算'!H602,8)="建立新的重要关系"),'幕间与结算'!E602+E695,BQ694+IF(C695="重要关系1",E695,0)+IF(AND(C695="魅力",E695&lt;0),E695,0))))</x:f>
        <x:v>0</x:v>
      </x:c>
      <x:c r="BR695">
        <x:f>MAX(0,MIN(BK695,IF(AND(H695=1,C695="重要关系2",LEFT('幕间与结算'!H602,8)="建立新的重要关系"),'幕间与结算'!E602+E695,BR694+IF(C695="重要关系2",E695,0)+IF(AND(C695="魅力",E695&lt;0),E695,0))))</x:f>
        <x:v>0</x:v>
      </x:c>
      <x:c r="BS695">
        <x:f>MAX(0,MIN(BK695,IF(AND(H695=1,C695="重要关系3",LEFT('幕间与结算'!H602,8)="建立新的重要关系"),'幕间与结算'!E602+E695,BS694+IF(C695="重要关系3",E695,0)+IF(AND(C695="魅力",E695&lt;0),E695,0))))</x:f>
        <x:v>0</x:v>
      </x:c>
      <x:c r="BT695">
        <x:f>MAX(0,MIN(BK695,IF(AND(H695=1,C695="重要关系4",LEFT('幕间与结算'!H602,8)="建立新的重要关系"),'幕间与结算'!E602+E695,BT694+IF(C695="重要关系4",E695,0)+IF(AND(C695="魅力",E695&lt;0),E695,0))))</x:f>
        <x:v>0</x:v>
      </x:c>
      <x:c r="BU695">
        <x:f>MAX(0,MIN(BK695,IF(AND(H695=1,C695="重要关系5",LEFT('幕间与结算'!H602,8)="建立新的重要关系"),'幕间与结算'!E602+E695,BU694+IF(C695="重要关系5",E695,0)+IF(AND(C695="魅力",E695&lt;0),E695,0))))</x:f>
        <x:v>0</x:v>
      </x:c>
      <x:c r="BV695">
        <x:f>MAX(0,MIN(BK695,IF(AND(H695=1,C695="重要关系6",LEFT('幕间与结算'!H602,8)="建立新的重要关系"),'幕间与结算'!E602+E695,BV694+IF(C695="重要关系6",E695,0)+IF(AND(C695="魅力",E695&lt;0),E695,0))))</x:f>
        <x:v>0</x:v>
      </x:c>
      <x:c r="BW695">
        <x:f>MAX(0,MIN(BK695,IF(AND(H695=1,C695="重要关系7",LEFT('幕间与结算'!H602,8)="建立新的重要关系"),'幕间与结算'!E602+E695,BW694+IF(C695="重要关系7",E695,0)+IF(AND(C695="魅力",E695&lt;0),E695,0))))</x:f>
        <x:v>0</x:v>
      </x:c>
    </x:row>
    <x:row r="696">
      <x:c r="A696" t="str">
        <x:f>IFERROR(TEXT(VALUE('幕间与结算'!A603),"00"),"")</x:f>
        <x:v>00</x:v>
      </x:c>
      <x:c r="B696">
        <x:f>'幕间与结算'!B603</x:f>
        <x:v>0</x:v>
      </x:c>
      <x:c r="C696">
        <x:f>'幕间与结算'!D603</x:f>
        <x:v>0</x:v>
      </x:c>
      <x:c r="D696">
        <x:f>'幕间与结算'!F603</x:f>
        <x:v>0</x:v>
      </x:c>
      <x:c r="E696">
        <x:f>IF(H696=1,MAX(-'幕间与结算'!E603,MIN(D696,IF(LEFT(C696,3)="技能：",99,IF(COUNTIF($L$2:$L$7,C696)&gt;0,18,999))-'幕间与结算'!E603)),0)</x:f>
        <x:v>0</x:v>
      </x:c>
      <x:c r="F696" t="str">
        <x:f>IF(C696=0,"",IF(G696=0,"记录不完整",IF(H696=0,"重复未计","已计入")))</x:f>
        <x:v/>
      </x:c>
      <x:c r="G696">
        <x:f>IF(AND(AND('幕间与结算'!A603&lt;&gt;"",'幕间与结算'!B603&lt;&gt;"",'幕间与结算'!I603&lt;&gt;"",OR(LEFT(C696,3)="技能：",COUNTIF($L$2:$L$19,C696)&gt;0),ISNUMBER('幕间与结算'!E603),ISNUMBER('幕间与结算'!F603),ISNUMBER('幕间与结算'!G603),'幕间与结算'!E603&gt;=0,'幕间与结算'!G603='幕间与结算'!E603+'幕间与结算'!F603),OR(B696&lt;&gt;"成长",AND(LEFT(C696,3)="技能：",C696&lt;&gt;"技能：非自然知识",'幕间与结算'!E603&gt;=1,'幕间与结算'!E603&lt;=99,'幕间与结算'!F603&gt;=0,'幕间与结算'!F603&lt;=4,'幕间与结算'!G603&lt;=99))),1,0)</x:f>
        <x:v>0</x:v>
      </x:c>
      <x:c r="H696">
        <x:f>IF(AND(G696=1,COUNTIFS($I$200:I696,I696,$G$200:G696,1)=1),1,0)</x:f>
        <x:v>0</x:v>
      </x:c>
      <x:c r="I696" t="str">
        <x:f>IF(G696=1,IF(B696="成长",A696&amp;"-成长-"&amp;C696,'幕间与结算'!I603),"")</x:f>
        <x:v/>
      </x:c>
      <x:c r="BF696">
        <x:f>MAX(0,MIN(18,BF695+IF(C696="力量",E696,0)))</x:f>
        <x:v>0</x:v>
      </x:c>
      <x:c r="BG696">
        <x:f>MAX(0,MIN(18,BG695+IF(C696="体质",E696,0)))</x:f>
        <x:v>0</x:v>
      </x:c>
      <x:c r="BH696">
        <x:f>MAX(0,MIN(18,BH695+IF(C696="敏捷",E696,0)))</x:f>
        <x:v>0</x:v>
      </x:c>
      <x:c r="BI696">
        <x:f>MAX(0,MIN(18,BI695+IF(C696="智力",E696,0)))</x:f>
        <x:v>0</x:v>
      </x:c>
      <x:c r="BJ696">
        <x:f>MAX(0,MIN(18,BJ695+IF(C696="意志",E696,0)))</x:f>
        <x:v>0</x:v>
      </x:c>
      <x:c r="BK696">
        <x:f>MAX(0,MIN(18,BK695+IF(C696="魅力",E696,0)))</x:f>
        <x:v>0</x:v>
      </x:c>
      <x:c r="BL696">
        <x:f>MAX(0,MIN(99,BL695+IF(C696="技能：非自然知识",E696,0)))</x:f>
        <x:v>0</x:v>
      </x:c>
      <x:c r="BM696">
        <x:f>MAX(0,MIN(CEILING((BF696+BG696)/2,1),BM695+IF(C696="体力",E696,0)))</x:f>
        <x:v>0</x:v>
      </x:c>
      <x:c r="BN696">
        <x:f>MAX(0,MIN(BJ696,BN695+IF(C696="毅力",E696,0)))</x:f>
        <x:v>0</x:v>
      </x:c>
      <x:c r="BO696">
        <x:f>MAX(0,MIN(99-BL696,BO695+IF(C696="理智",E696,0)))</x:f>
        <x:v>0</x:v>
      </x:c>
      <x:c r="BP696">
        <x:f>MAX(0,MIN(99,BP695+IF(C696="崩溃点",E696,0)))</x:f>
        <x:v>0</x:v>
      </x:c>
      <x:c r="BQ696">
        <x:f>MAX(0,MIN(BK696,IF(AND(H696=1,C696="重要关系1",LEFT('幕间与结算'!H603,8)="建立新的重要关系"),'幕间与结算'!E603+E696,BQ695+IF(C696="重要关系1",E696,0)+IF(AND(C696="魅力",E696&lt;0),E696,0))))</x:f>
        <x:v>0</x:v>
      </x:c>
      <x:c r="BR696">
        <x:f>MAX(0,MIN(BK696,IF(AND(H696=1,C696="重要关系2",LEFT('幕间与结算'!H603,8)="建立新的重要关系"),'幕间与结算'!E603+E696,BR695+IF(C696="重要关系2",E696,0)+IF(AND(C696="魅力",E696&lt;0),E696,0))))</x:f>
        <x:v>0</x:v>
      </x:c>
      <x:c r="BS696">
        <x:f>MAX(0,MIN(BK696,IF(AND(H696=1,C696="重要关系3",LEFT('幕间与结算'!H603,8)="建立新的重要关系"),'幕间与结算'!E603+E696,BS695+IF(C696="重要关系3",E696,0)+IF(AND(C696="魅力",E696&lt;0),E696,0))))</x:f>
        <x:v>0</x:v>
      </x:c>
      <x:c r="BT696">
        <x:f>MAX(0,MIN(BK696,IF(AND(H696=1,C696="重要关系4",LEFT('幕间与结算'!H603,8)="建立新的重要关系"),'幕间与结算'!E603+E696,BT695+IF(C696="重要关系4",E696,0)+IF(AND(C696="魅力",E696&lt;0),E696,0))))</x:f>
        <x:v>0</x:v>
      </x:c>
      <x:c r="BU696">
        <x:f>MAX(0,MIN(BK696,IF(AND(H696=1,C696="重要关系5",LEFT('幕间与结算'!H603,8)="建立新的重要关系"),'幕间与结算'!E603+E696,BU695+IF(C696="重要关系5",E696,0)+IF(AND(C696="魅力",E696&lt;0),E696,0))))</x:f>
        <x:v>0</x:v>
      </x:c>
      <x:c r="BV696">
        <x:f>MAX(0,MIN(BK696,IF(AND(H696=1,C696="重要关系6",LEFT('幕间与结算'!H603,8)="建立新的重要关系"),'幕间与结算'!E603+E696,BV695+IF(C696="重要关系6",E696,0)+IF(AND(C696="魅力",E696&lt;0),E696,0))))</x:f>
        <x:v>0</x:v>
      </x:c>
      <x:c r="BW696">
        <x:f>MAX(0,MIN(BK696,IF(AND(H696=1,C696="重要关系7",LEFT('幕间与结算'!H603,8)="建立新的重要关系"),'幕间与结算'!E603+E696,BW695+IF(C696="重要关系7",E696,0)+IF(AND(C696="魅力",E696&lt;0),E696,0))))</x:f>
        <x:v>0</x:v>
      </x:c>
    </x:row>
    <x:row r="697">
      <x:c r="A697" t="str">
        <x:f>IFERROR(TEXT(VALUE('幕间与结算'!A604),"00"),"")</x:f>
        <x:v>00</x:v>
      </x:c>
      <x:c r="B697">
        <x:f>'幕间与结算'!B604</x:f>
        <x:v>0</x:v>
      </x:c>
      <x:c r="C697">
        <x:f>'幕间与结算'!D604</x:f>
        <x:v>0</x:v>
      </x:c>
      <x:c r="D697">
        <x:f>'幕间与结算'!F604</x:f>
        <x:v>0</x:v>
      </x:c>
      <x:c r="E697">
        <x:f>IF(H697=1,MAX(-'幕间与结算'!E604,MIN(D697,IF(LEFT(C697,3)="技能：",99,IF(COUNTIF($L$2:$L$7,C697)&gt;0,18,999))-'幕间与结算'!E604)),0)</x:f>
        <x:v>0</x:v>
      </x:c>
      <x:c r="F697" t="str">
        <x:f>IF(C697=0,"",IF(G697=0,"记录不完整",IF(H697=0,"重复未计","已计入")))</x:f>
        <x:v/>
      </x:c>
      <x:c r="G697">
        <x:f>IF(AND(AND('幕间与结算'!A604&lt;&gt;"",'幕间与结算'!B604&lt;&gt;"",'幕间与结算'!I604&lt;&gt;"",OR(LEFT(C697,3)="技能：",COUNTIF($L$2:$L$19,C697)&gt;0),ISNUMBER('幕间与结算'!E604),ISNUMBER('幕间与结算'!F604),ISNUMBER('幕间与结算'!G604),'幕间与结算'!E604&gt;=0,'幕间与结算'!G604='幕间与结算'!E604+'幕间与结算'!F604),OR(B697&lt;&gt;"成长",AND(LEFT(C697,3)="技能：",C697&lt;&gt;"技能：非自然知识",'幕间与结算'!E604&gt;=1,'幕间与结算'!E604&lt;=99,'幕间与结算'!F604&gt;=0,'幕间与结算'!F604&lt;=4,'幕间与结算'!G604&lt;=99))),1,0)</x:f>
        <x:v>0</x:v>
      </x:c>
      <x:c r="H697">
        <x:f>IF(AND(G697=1,COUNTIFS($I$200:I697,I697,$G$200:G697,1)=1),1,0)</x:f>
        <x:v>0</x:v>
      </x:c>
      <x:c r="I697" t="str">
        <x:f>IF(G697=1,IF(B697="成长",A697&amp;"-成长-"&amp;C697,'幕间与结算'!I604),"")</x:f>
        <x:v/>
      </x:c>
      <x:c r="BF697">
        <x:f>MAX(0,MIN(18,BF696+IF(C697="力量",E697,0)))</x:f>
        <x:v>0</x:v>
      </x:c>
      <x:c r="BG697">
        <x:f>MAX(0,MIN(18,BG696+IF(C697="体质",E697,0)))</x:f>
        <x:v>0</x:v>
      </x:c>
      <x:c r="BH697">
        <x:f>MAX(0,MIN(18,BH696+IF(C697="敏捷",E697,0)))</x:f>
        <x:v>0</x:v>
      </x:c>
      <x:c r="BI697">
        <x:f>MAX(0,MIN(18,BI696+IF(C697="智力",E697,0)))</x:f>
        <x:v>0</x:v>
      </x:c>
      <x:c r="BJ697">
        <x:f>MAX(0,MIN(18,BJ696+IF(C697="意志",E697,0)))</x:f>
        <x:v>0</x:v>
      </x:c>
      <x:c r="BK697">
        <x:f>MAX(0,MIN(18,BK696+IF(C697="魅力",E697,0)))</x:f>
        <x:v>0</x:v>
      </x:c>
      <x:c r="BL697">
        <x:f>MAX(0,MIN(99,BL696+IF(C697="技能：非自然知识",E697,0)))</x:f>
        <x:v>0</x:v>
      </x:c>
      <x:c r="BM697">
        <x:f>MAX(0,MIN(CEILING((BF697+BG697)/2,1),BM696+IF(C697="体力",E697,0)))</x:f>
        <x:v>0</x:v>
      </x:c>
      <x:c r="BN697">
        <x:f>MAX(0,MIN(BJ697,BN696+IF(C697="毅力",E697,0)))</x:f>
        <x:v>0</x:v>
      </x:c>
      <x:c r="BO697">
        <x:f>MAX(0,MIN(99-BL697,BO696+IF(C697="理智",E697,0)))</x:f>
        <x:v>0</x:v>
      </x:c>
      <x:c r="BP697">
        <x:f>MAX(0,MIN(99,BP696+IF(C697="崩溃点",E697,0)))</x:f>
        <x:v>0</x:v>
      </x:c>
      <x:c r="BQ697">
        <x:f>MAX(0,MIN(BK697,IF(AND(H697=1,C697="重要关系1",LEFT('幕间与结算'!H604,8)="建立新的重要关系"),'幕间与结算'!E604+E697,BQ696+IF(C697="重要关系1",E697,0)+IF(AND(C697="魅力",E697&lt;0),E697,0))))</x:f>
        <x:v>0</x:v>
      </x:c>
      <x:c r="BR697">
        <x:f>MAX(0,MIN(BK697,IF(AND(H697=1,C697="重要关系2",LEFT('幕间与结算'!H604,8)="建立新的重要关系"),'幕间与结算'!E604+E697,BR696+IF(C697="重要关系2",E697,0)+IF(AND(C697="魅力",E697&lt;0),E697,0))))</x:f>
        <x:v>0</x:v>
      </x:c>
      <x:c r="BS697">
        <x:f>MAX(0,MIN(BK697,IF(AND(H697=1,C697="重要关系3",LEFT('幕间与结算'!H604,8)="建立新的重要关系"),'幕间与结算'!E604+E697,BS696+IF(C697="重要关系3",E697,0)+IF(AND(C697="魅力",E697&lt;0),E697,0))))</x:f>
        <x:v>0</x:v>
      </x:c>
      <x:c r="BT697">
        <x:f>MAX(0,MIN(BK697,IF(AND(H697=1,C697="重要关系4",LEFT('幕间与结算'!H604,8)="建立新的重要关系"),'幕间与结算'!E604+E697,BT696+IF(C697="重要关系4",E697,0)+IF(AND(C697="魅力",E697&lt;0),E697,0))))</x:f>
        <x:v>0</x:v>
      </x:c>
      <x:c r="BU697">
        <x:f>MAX(0,MIN(BK697,IF(AND(H697=1,C697="重要关系5",LEFT('幕间与结算'!H604,8)="建立新的重要关系"),'幕间与结算'!E604+E697,BU696+IF(C697="重要关系5",E697,0)+IF(AND(C697="魅力",E697&lt;0),E697,0))))</x:f>
        <x:v>0</x:v>
      </x:c>
      <x:c r="BV697">
        <x:f>MAX(0,MIN(BK697,IF(AND(H697=1,C697="重要关系6",LEFT('幕间与结算'!H604,8)="建立新的重要关系"),'幕间与结算'!E604+E697,BV696+IF(C697="重要关系6",E697,0)+IF(AND(C697="魅力",E697&lt;0),E697,0))))</x:f>
        <x:v>0</x:v>
      </x:c>
      <x:c r="BW697">
        <x:f>MAX(0,MIN(BK697,IF(AND(H697=1,C697="重要关系7",LEFT('幕间与结算'!H604,8)="建立新的重要关系"),'幕间与结算'!E604+E697,BW696+IF(C697="重要关系7",E697,0)+IF(AND(C697="魅力",E697&lt;0),E697,0))))</x:f>
        <x:v>0</x:v>
      </x:c>
    </x:row>
    <x:row r="698">
      <x:c r="A698" t="str">
        <x:f>IFERROR(TEXT(VALUE('幕间与结算'!A605),"00"),"")</x:f>
        <x:v>00</x:v>
      </x:c>
      <x:c r="B698">
        <x:f>'幕间与结算'!B605</x:f>
        <x:v>0</x:v>
      </x:c>
      <x:c r="C698">
        <x:f>'幕间与结算'!D605</x:f>
        <x:v>0</x:v>
      </x:c>
      <x:c r="D698">
        <x:f>'幕间与结算'!F605</x:f>
        <x:v>0</x:v>
      </x:c>
      <x:c r="E698">
        <x:f>IF(H698=1,MAX(-'幕间与结算'!E605,MIN(D698,IF(LEFT(C698,3)="技能：",99,IF(COUNTIF($L$2:$L$7,C698)&gt;0,18,999))-'幕间与结算'!E605)),0)</x:f>
        <x:v>0</x:v>
      </x:c>
      <x:c r="F698" t="str">
        <x:f>IF(C698=0,"",IF(G698=0,"记录不完整",IF(H698=0,"重复未计","已计入")))</x:f>
        <x:v/>
      </x:c>
      <x:c r="G698">
        <x:f>IF(AND(AND('幕间与结算'!A605&lt;&gt;"",'幕间与结算'!B605&lt;&gt;"",'幕间与结算'!I605&lt;&gt;"",OR(LEFT(C698,3)="技能：",COUNTIF($L$2:$L$19,C698)&gt;0),ISNUMBER('幕间与结算'!E605),ISNUMBER('幕间与结算'!F605),ISNUMBER('幕间与结算'!G605),'幕间与结算'!E605&gt;=0,'幕间与结算'!G605='幕间与结算'!E605+'幕间与结算'!F605),OR(B698&lt;&gt;"成长",AND(LEFT(C698,3)="技能：",C698&lt;&gt;"技能：非自然知识",'幕间与结算'!E605&gt;=1,'幕间与结算'!E605&lt;=99,'幕间与结算'!F605&gt;=0,'幕间与结算'!F605&lt;=4,'幕间与结算'!G605&lt;=99))),1,0)</x:f>
        <x:v>0</x:v>
      </x:c>
      <x:c r="H698">
        <x:f>IF(AND(G698=1,COUNTIFS($I$200:I698,I698,$G$200:G698,1)=1),1,0)</x:f>
        <x:v>0</x:v>
      </x:c>
      <x:c r="I698" t="str">
        <x:f>IF(G698=1,IF(B698="成长",A698&amp;"-成长-"&amp;C698,'幕间与结算'!I605),"")</x:f>
        <x:v/>
      </x:c>
      <x:c r="BF698">
        <x:f>MAX(0,MIN(18,BF697+IF(C698="力量",E698,0)))</x:f>
        <x:v>0</x:v>
      </x:c>
      <x:c r="BG698">
        <x:f>MAX(0,MIN(18,BG697+IF(C698="体质",E698,0)))</x:f>
        <x:v>0</x:v>
      </x:c>
      <x:c r="BH698">
        <x:f>MAX(0,MIN(18,BH697+IF(C698="敏捷",E698,0)))</x:f>
        <x:v>0</x:v>
      </x:c>
      <x:c r="BI698">
        <x:f>MAX(0,MIN(18,BI697+IF(C698="智力",E698,0)))</x:f>
        <x:v>0</x:v>
      </x:c>
      <x:c r="BJ698">
        <x:f>MAX(0,MIN(18,BJ697+IF(C698="意志",E698,0)))</x:f>
        <x:v>0</x:v>
      </x:c>
      <x:c r="BK698">
        <x:f>MAX(0,MIN(18,BK697+IF(C698="魅力",E698,0)))</x:f>
        <x:v>0</x:v>
      </x:c>
      <x:c r="BL698">
        <x:f>MAX(0,MIN(99,BL697+IF(C698="技能：非自然知识",E698,0)))</x:f>
        <x:v>0</x:v>
      </x:c>
      <x:c r="BM698">
        <x:f>MAX(0,MIN(CEILING((BF698+BG698)/2,1),BM697+IF(C698="体力",E698,0)))</x:f>
        <x:v>0</x:v>
      </x:c>
      <x:c r="BN698">
        <x:f>MAX(0,MIN(BJ698,BN697+IF(C698="毅力",E698,0)))</x:f>
        <x:v>0</x:v>
      </x:c>
      <x:c r="BO698">
        <x:f>MAX(0,MIN(99-BL698,BO697+IF(C698="理智",E698,0)))</x:f>
        <x:v>0</x:v>
      </x:c>
      <x:c r="BP698">
        <x:f>MAX(0,MIN(99,BP697+IF(C698="崩溃点",E698,0)))</x:f>
        <x:v>0</x:v>
      </x:c>
      <x:c r="BQ698">
        <x:f>MAX(0,MIN(BK698,IF(AND(H698=1,C698="重要关系1",LEFT('幕间与结算'!H605,8)="建立新的重要关系"),'幕间与结算'!E605+E698,BQ697+IF(C698="重要关系1",E698,0)+IF(AND(C698="魅力",E698&lt;0),E698,0))))</x:f>
        <x:v>0</x:v>
      </x:c>
      <x:c r="BR698">
        <x:f>MAX(0,MIN(BK698,IF(AND(H698=1,C698="重要关系2",LEFT('幕间与结算'!H605,8)="建立新的重要关系"),'幕间与结算'!E605+E698,BR697+IF(C698="重要关系2",E698,0)+IF(AND(C698="魅力",E698&lt;0),E698,0))))</x:f>
        <x:v>0</x:v>
      </x:c>
      <x:c r="BS698">
        <x:f>MAX(0,MIN(BK698,IF(AND(H698=1,C698="重要关系3",LEFT('幕间与结算'!H605,8)="建立新的重要关系"),'幕间与结算'!E605+E698,BS697+IF(C698="重要关系3",E698,0)+IF(AND(C698="魅力",E698&lt;0),E698,0))))</x:f>
        <x:v>0</x:v>
      </x:c>
      <x:c r="BT698">
        <x:f>MAX(0,MIN(BK698,IF(AND(H698=1,C698="重要关系4",LEFT('幕间与结算'!H605,8)="建立新的重要关系"),'幕间与结算'!E605+E698,BT697+IF(C698="重要关系4",E698,0)+IF(AND(C698="魅力",E698&lt;0),E698,0))))</x:f>
        <x:v>0</x:v>
      </x:c>
      <x:c r="BU698">
        <x:f>MAX(0,MIN(BK698,IF(AND(H698=1,C698="重要关系5",LEFT('幕间与结算'!H605,8)="建立新的重要关系"),'幕间与结算'!E605+E698,BU697+IF(C698="重要关系5",E698,0)+IF(AND(C698="魅力",E698&lt;0),E698,0))))</x:f>
        <x:v>0</x:v>
      </x:c>
      <x:c r="BV698">
        <x:f>MAX(0,MIN(BK698,IF(AND(H698=1,C698="重要关系6",LEFT('幕间与结算'!H605,8)="建立新的重要关系"),'幕间与结算'!E605+E698,BV697+IF(C698="重要关系6",E698,0)+IF(AND(C698="魅力",E698&lt;0),E698,0))))</x:f>
        <x:v>0</x:v>
      </x:c>
      <x:c r="BW698">
        <x:f>MAX(0,MIN(BK698,IF(AND(H698=1,C698="重要关系7",LEFT('幕间与结算'!H605,8)="建立新的重要关系"),'幕间与结算'!E605+E698,BW697+IF(C698="重要关系7",E698,0)+IF(AND(C698="魅力",E698&lt;0),E698,0))))</x:f>
        <x:v>0</x:v>
      </x:c>
    </x:row>
    <x:row r="699">
      <x:c r="A699" t="str">
        <x:f>IFERROR(TEXT(VALUE('幕间与结算'!A606),"00"),"")</x:f>
        <x:v>00</x:v>
      </x:c>
      <x:c r="B699">
        <x:f>'幕间与结算'!B606</x:f>
        <x:v>0</x:v>
      </x:c>
      <x:c r="C699">
        <x:f>'幕间与结算'!D606</x:f>
        <x:v>0</x:v>
      </x:c>
      <x:c r="D699">
        <x:f>'幕间与结算'!F606</x:f>
        <x:v>0</x:v>
      </x:c>
      <x:c r="E699">
        <x:f>IF(H699=1,MAX(-'幕间与结算'!E606,MIN(D699,IF(LEFT(C699,3)="技能：",99,IF(COUNTIF($L$2:$L$7,C699)&gt;0,18,999))-'幕间与结算'!E606)),0)</x:f>
        <x:v>0</x:v>
      </x:c>
      <x:c r="F699" t="str">
        <x:f>IF(C699=0,"",IF(G699=0,"记录不完整",IF(H699=0,"重复未计","已计入")))</x:f>
        <x:v/>
      </x:c>
      <x:c r="G699">
        <x:f>IF(AND(AND('幕间与结算'!A606&lt;&gt;"",'幕间与结算'!B606&lt;&gt;"",'幕间与结算'!I606&lt;&gt;"",OR(LEFT(C699,3)="技能：",COUNTIF($L$2:$L$19,C699)&gt;0),ISNUMBER('幕间与结算'!E606),ISNUMBER('幕间与结算'!F606),ISNUMBER('幕间与结算'!G606),'幕间与结算'!E606&gt;=0,'幕间与结算'!G606='幕间与结算'!E606+'幕间与结算'!F606),OR(B699&lt;&gt;"成长",AND(LEFT(C699,3)="技能：",C699&lt;&gt;"技能：非自然知识",'幕间与结算'!E606&gt;=1,'幕间与结算'!E606&lt;=99,'幕间与结算'!F606&gt;=0,'幕间与结算'!F606&lt;=4,'幕间与结算'!G606&lt;=99))),1,0)</x:f>
        <x:v>0</x:v>
      </x:c>
      <x:c r="H699">
        <x:f>IF(AND(G699=1,COUNTIFS($I$200:I699,I699,$G$200:G699,1)=1),1,0)</x:f>
        <x:v>0</x:v>
      </x:c>
      <x:c r="I699" t="str">
        <x:f>IF(G699=1,IF(B699="成长",A699&amp;"-成长-"&amp;C699,'幕间与结算'!I606),"")</x:f>
        <x:v/>
      </x:c>
      <x:c r="BF699">
        <x:f>MAX(0,MIN(18,BF698+IF(C699="力量",E699,0)))</x:f>
        <x:v>0</x:v>
      </x:c>
      <x:c r="BG699">
        <x:f>MAX(0,MIN(18,BG698+IF(C699="体质",E699,0)))</x:f>
        <x:v>0</x:v>
      </x:c>
      <x:c r="BH699">
        <x:f>MAX(0,MIN(18,BH698+IF(C699="敏捷",E699,0)))</x:f>
        <x:v>0</x:v>
      </x:c>
      <x:c r="BI699">
        <x:f>MAX(0,MIN(18,BI698+IF(C699="智力",E699,0)))</x:f>
        <x:v>0</x:v>
      </x:c>
      <x:c r="BJ699">
        <x:f>MAX(0,MIN(18,BJ698+IF(C699="意志",E699,0)))</x:f>
        <x:v>0</x:v>
      </x:c>
      <x:c r="BK699">
        <x:f>MAX(0,MIN(18,BK698+IF(C699="魅力",E699,0)))</x:f>
        <x:v>0</x:v>
      </x:c>
      <x:c r="BL699">
        <x:f>MAX(0,MIN(99,BL698+IF(C699="技能：非自然知识",E699,0)))</x:f>
        <x:v>0</x:v>
      </x:c>
      <x:c r="BM699">
        <x:f>MAX(0,MIN(CEILING((BF699+BG699)/2,1),BM698+IF(C699="体力",E699,0)))</x:f>
        <x:v>0</x:v>
      </x:c>
      <x:c r="BN699">
        <x:f>MAX(0,MIN(BJ699,BN698+IF(C699="毅力",E699,0)))</x:f>
        <x:v>0</x:v>
      </x:c>
      <x:c r="BO699">
        <x:f>MAX(0,MIN(99-BL699,BO698+IF(C699="理智",E699,0)))</x:f>
        <x:v>0</x:v>
      </x:c>
      <x:c r="BP699">
        <x:f>MAX(0,MIN(99,BP698+IF(C699="崩溃点",E699,0)))</x:f>
        <x:v>0</x:v>
      </x:c>
      <x:c r="BQ699">
        <x:f>MAX(0,MIN(BK699,IF(AND(H699=1,C699="重要关系1",LEFT('幕间与结算'!H606,8)="建立新的重要关系"),'幕间与结算'!E606+E699,BQ698+IF(C699="重要关系1",E699,0)+IF(AND(C699="魅力",E699&lt;0),E699,0))))</x:f>
        <x:v>0</x:v>
      </x:c>
      <x:c r="BR699">
        <x:f>MAX(0,MIN(BK699,IF(AND(H699=1,C699="重要关系2",LEFT('幕间与结算'!H606,8)="建立新的重要关系"),'幕间与结算'!E606+E699,BR698+IF(C699="重要关系2",E699,0)+IF(AND(C699="魅力",E699&lt;0),E699,0))))</x:f>
        <x:v>0</x:v>
      </x:c>
      <x:c r="BS699">
        <x:f>MAX(0,MIN(BK699,IF(AND(H699=1,C699="重要关系3",LEFT('幕间与结算'!H606,8)="建立新的重要关系"),'幕间与结算'!E606+E699,BS698+IF(C699="重要关系3",E699,0)+IF(AND(C699="魅力",E699&lt;0),E699,0))))</x:f>
        <x:v>0</x:v>
      </x:c>
      <x:c r="BT699">
        <x:f>MAX(0,MIN(BK699,IF(AND(H699=1,C699="重要关系4",LEFT('幕间与结算'!H606,8)="建立新的重要关系"),'幕间与结算'!E606+E699,BT698+IF(C699="重要关系4",E699,0)+IF(AND(C699="魅力",E699&lt;0),E699,0))))</x:f>
        <x:v>0</x:v>
      </x:c>
      <x:c r="BU699">
        <x:f>MAX(0,MIN(BK699,IF(AND(H699=1,C699="重要关系5",LEFT('幕间与结算'!H606,8)="建立新的重要关系"),'幕间与结算'!E606+E699,BU698+IF(C699="重要关系5",E699,0)+IF(AND(C699="魅力",E699&lt;0),E699,0))))</x:f>
        <x:v>0</x:v>
      </x:c>
      <x:c r="BV699">
        <x:f>MAX(0,MIN(BK699,IF(AND(H699=1,C699="重要关系6",LEFT('幕间与结算'!H606,8)="建立新的重要关系"),'幕间与结算'!E606+E699,BV698+IF(C699="重要关系6",E699,0)+IF(AND(C699="魅力",E699&lt;0),E699,0))))</x:f>
        <x:v>0</x:v>
      </x:c>
      <x:c r="BW699">
        <x:f>MAX(0,MIN(BK699,IF(AND(H699=1,C699="重要关系7",LEFT('幕间与结算'!H606,8)="建立新的重要关系"),'幕间与结算'!E606+E699,BW698+IF(C699="重要关系7",E699,0)+IF(AND(C699="魅力",E699&lt;0),E699,0))))</x:f>
        <x:v>0</x:v>
      </x:c>
    </x:row>
    <x:row r="700">
      <x:c r="A700" t="str">
        <x:f>IFERROR(TEXT(VALUE('幕间与结算'!A607),"00"),"")</x:f>
        <x:v>00</x:v>
      </x:c>
      <x:c r="B700">
        <x:f>'幕间与结算'!B607</x:f>
        <x:v>0</x:v>
      </x:c>
      <x:c r="C700">
        <x:f>'幕间与结算'!D607</x:f>
        <x:v>0</x:v>
      </x:c>
      <x:c r="D700">
        <x:f>'幕间与结算'!F607</x:f>
        <x:v>0</x:v>
      </x:c>
      <x:c r="E700">
        <x:f>IF(H700=1,MAX(-'幕间与结算'!E607,MIN(D700,IF(LEFT(C700,3)="技能：",99,IF(COUNTIF($L$2:$L$7,C700)&gt;0,18,999))-'幕间与结算'!E607)),0)</x:f>
        <x:v>0</x:v>
      </x:c>
      <x:c r="F700" t="str">
        <x:f>IF(C700=0,"",IF(G700=0,"记录不完整",IF(H700=0,"重复未计","已计入")))</x:f>
        <x:v/>
      </x:c>
      <x:c r="G700">
        <x:f>IF(AND(AND('幕间与结算'!A607&lt;&gt;"",'幕间与结算'!B607&lt;&gt;"",'幕间与结算'!I607&lt;&gt;"",OR(LEFT(C700,3)="技能：",COUNTIF($L$2:$L$19,C700)&gt;0),ISNUMBER('幕间与结算'!E607),ISNUMBER('幕间与结算'!F607),ISNUMBER('幕间与结算'!G607),'幕间与结算'!E607&gt;=0,'幕间与结算'!G607='幕间与结算'!E607+'幕间与结算'!F607),OR(B700&lt;&gt;"成长",AND(LEFT(C700,3)="技能：",C700&lt;&gt;"技能：非自然知识",'幕间与结算'!E607&gt;=1,'幕间与结算'!E607&lt;=99,'幕间与结算'!F607&gt;=0,'幕间与结算'!F607&lt;=4,'幕间与结算'!G607&lt;=99))),1,0)</x:f>
        <x:v>0</x:v>
      </x:c>
      <x:c r="H700">
        <x:f>IF(AND(G700=1,COUNTIFS($I$200:I700,I700,$G$200:G700,1)=1),1,0)</x:f>
        <x:v>0</x:v>
      </x:c>
      <x:c r="I700" t="str">
        <x:f>IF(G700=1,IF(B700="成长",A700&amp;"-成长-"&amp;C700,'幕间与结算'!I607),"")</x:f>
        <x:v/>
      </x:c>
      <x:c r="BF700">
        <x:f>MAX(0,MIN(18,BF699+IF(C700="力量",E700,0)))</x:f>
        <x:v>0</x:v>
      </x:c>
      <x:c r="BG700">
        <x:f>MAX(0,MIN(18,BG699+IF(C700="体质",E700,0)))</x:f>
        <x:v>0</x:v>
      </x:c>
      <x:c r="BH700">
        <x:f>MAX(0,MIN(18,BH699+IF(C700="敏捷",E700,0)))</x:f>
        <x:v>0</x:v>
      </x:c>
      <x:c r="BI700">
        <x:f>MAX(0,MIN(18,BI699+IF(C700="智力",E700,0)))</x:f>
        <x:v>0</x:v>
      </x:c>
      <x:c r="BJ700">
        <x:f>MAX(0,MIN(18,BJ699+IF(C700="意志",E700,0)))</x:f>
        <x:v>0</x:v>
      </x:c>
      <x:c r="BK700">
        <x:f>MAX(0,MIN(18,BK699+IF(C700="魅力",E700,0)))</x:f>
        <x:v>0</x:v>
      </x:c>
      <x:c r="BL700">
        <x:f>MAX(0,MIN(99,BL699+IF(C700="技能：非自然知识",E700,0)))</x:f>
        <x:v>0</x:v>
      </x:c>
      <x:c r="BM700">
        <x:f>MAX(0,MIN(CEILING((BF700+BG700)/2,1),BM699+IF(C700="体力",E700,0)))</x:f>
        <x:v>0</x:v>
      </x:c>
      <x:c r="BN700">
        <x:f>MAX(0,MIN(BJ700,BN699+IF(C700="毅力",E700,0)))</x:f>
        <x:v>0</x:v>
      </x:c>
      <x:c r="BO700">
        <x:f>MAX(0,MIN(99-BL700,BO699+IF(C700="理智",E700,0)))</x:f>
        <x:v>0</x:v>
      </x:c>
      <x:c r="BP700">
        <x:f>MAX(0,MIN(99,BP699+IF(C700="崩溃点",E700,0)))</x:f>
        <x:v>0</x:v>
      </x:c>
      <x:c r="BQ700">
        <x:f>MAX(0,MIN(BK700,IF(AND(H700=1,C700="重要关系1",LEFT('幕间与结算'!H607,8)="建立新的重要关系"),'幕间与结算'!E607+E700,BQ699+IF(C700="重要关系1",E700,0)+IF(AND(C700="魅力",E700&lt;0),E700,0))))</x:f>
        <x:v>0</x:v>
      </x:c>
      <x:c r="BR700">
        <x:f>MAX(0,MIN(BK700,IF(AND(H700=1,C700="重要关系2",LEFT('幕间与结算'!H607,8)="建立新的重要关系"),'幕间与结算'!E607+E700,BR699+IF(C700="重要关系2",E700,0)+IF(AND(C700="魅力",E700&lt;0),E700,0))))</x:f>
        <x:v>0</x:v>
      </x:c>
      <x:c r="BS700">
        <x:f>MAX(0,MIN(BK700,IF(AND(H700=1,C700="重要关系3",LEFT('幕间与结算'!H607,8)="建立新的重要关系"),'幕间与结算'!E607+E700,BS699+IF(C700="重要关系3",E700,0)+IF(AND(C700="魅力",E700&lt;0),E700,0))))</x:f>
        <x:v>0</x:v>
      </x:c>
      <x:c r="BT700">
        <x:f>MAX(0,MIN(BK700,IF(AND(H700=1,C700="重要关系4",LEFT('幕间与结算'!H607,8)="建立新的重要关系"),'幕间与结算'!E607+E700,BT699+IF(C700="重要关系4",E700,0)+IF(AND(C700="魅力",E700&lt;0),E700,0))))</x:f>
        <x:v>0</x:v>
      </x:c>
      <x:c r="BU700">
        <x:f>MAX(0,MIN(BK700,IF(AND(H700=1,C700="重要关系5",LEFT('幕间与结算'!H607,8)="建立新的重要关系"),'幕间与结算'!E607+E700,BU699+IF(C700="重要关系5",E700,0)+IF(AND(C700="魅力",E700&lt;0),E700,0))))</x:f>
        <x:v>0</x:v>
      </x:c>
      <x:c r="BV700">
        <x:f>MAX(0,MIN(BK700,IF(AND(H700=1,C700="重要关系6",LEFT('幕间与结算'!H607,8)="建立新的重要关系"),'幕间与结算'!E607+E700,BV699+IF(C700="重要关系6",E700,0)+IF(AND(C700="魅力",E700&lt;0),E700,0))))</x:f>
        <x:v>0</x:v>
      </x:c>
      <x:c r="BW700">
        <x:f>MAX(0,MIN(BK700,IF(AND(H700=1,C700="重要关系7",LEFT('幕间与结算'!H607,8)="建立新的重要关系"),'幕间与结算'!E607+E700,BW699+IF(C700="重要关系7",E700,0)+IF(AND(C700="魅力",E700&lt;0),E700,0))))</x:f>
        <x:v>0</x:v>
      </x:c>
    </x:row>
    <x:row r="701">
      <x:c r="A701" t="str">
        <x:f>IFERROR(TEXT(VALUE('幕间与结算'!A608),"00"),"")</x:f>
        <x:v>00</x:v>
      </x:c>
      <x:c r="B701">
        <x:f>'幕间与结算'!B608</x:f>
        <x:v>0</x:v>
      </x:c>
      <x:c r="C701">
        <x:f>'幕间与结算'!D608</x:f>
        <x:v>0</x:v>
      </x:c>
      <x:c r="D701">
        <x:f>'幕间与结算'!F608</x:f>
        <x:v>0</x:v>
      </x:c>
      <x:c r="E701">
        <x:f>IF(H701=1,MAX(-'幕间与结算'!E608,MIN(D701,IF(LEFT(C701,3)="技能：",99,IF(COUNTIF($L$2:$L$7,C701)&gt;0,18,999))-'幕间与结算'!E608)),0)</x:f>
        <x:v>0</x:v>
      </x:c>
      <x:c r="F701" t="str">
        <x:f>IF(C701=0,"",IF(G701=0,"记录不完整",IF(H701=0,"重复未计","已计入")))</x:f>
        <x:v/>
      </x:c>
      <x:c r="G701">
        <x:f>IF(AND(AND('幕间与结算'!A608&lt;&gt;"",'幕间与结算'!B608&lt;&gt;"",'幕间与结算'!I608&lt;&gt;"",OR(LEFT(C701,3)="技能：",COUNTIF($L$2:$L$19,C701)&gt;0),ISNUMBER('幕间与结算'!E608),ISNUMBER('幕间与结算'!F608),ISNUMBER('幕间与结算'!G608),'幕间与结算'!E608&gt;=0,'幕间与结算'!G608='幕间与结算'!E608+'幕间与结算'!F608),OR(B701&lt;&gt;"成长",AND(LEFT(C701,3)="技能：",C701&lt;&gt;"技能：非自然知识",'幕间与结算'!E608&gt;=1,'幕间与结算'!E608&lt;=99,'幕间与结算'!F608&gt;=0,'幕间与结算'!F608&lt;=4,'幕间与结算'!G608&lt;=99))),1,0)</x:f>
        <x:v>0</x:v>
      </x:c>
      <x:c r="H701">
        <x:f>IF(AND(G701=1,COUNTIFS($I$200:I701,I701,$G$200:G701,1)=1),1,0)</x:f>
        <x:v>0</x:v>
      </x:c>
      <x:c r="I701" t="str">
        <x:f>IF(G701=1,IF(B701="成长",A701&amp;"-成长-"&amp;C701,'幕间与结算'!I608),"")</x:f>
        <x:v/>
      </x:c>
      <x:c r="BF701">
        <x:f>MAX(0,MIN(18,BF700+IF(C701="力量",E701,0)))</x:f>
        <x:v>0</x:v>
      </x:c>
      <x:c r="BG701">
        <x:f>MAX(0,MIN(18,BG700+IF(C701="体质",E701,0)))</x:f>
        <x:v>0</x:v>
      </x:c>
      <x:c r="BH701">
        <x:f>MAX(0,MIN(18,BH700+IF(C701="敏捷",E701,0)))</x:f>
        <x:v>0</x:v>
      </x:c>
      <x:c r="BI701">
        <x:f>MAX(0,MIN(18,BI700+IF(C701="智力",E701,0)))</x:f>
        <x:v>0</x:v>
      </x:c>
      <x:c r="BJ701">
        <x:f>MAX(0,MIN(18,BJ700+IF(C701="意志",E701,0)))</x:f>
        <x:v>0</x:v>
      </x:c>
      <x:c r="BK701">
        <x:f>MAX(0,MIN(18,BK700+IF(C701="魅力",E701,0)))</x:f>
        <x:v>0</x:v>
      </x:c>
      <x:c r="BL701">
        <x:f>MAX(0,MIN(99,BL700+IF(C701="技能：非自然知识",E701,0)))</x:f>
        <x:v>0</x:v>
      </x:c>
      <x:c r="BM701">
        <x:f>MAX(0,MIN(CEILING((BF701+BG701)/2,1),BM700+IF(C701="体力",E701,0)))</x:f>
        <x:v>0</x:v>
      </x:c>
      <x:c r="BN701">
        <x:f>MAX(0,MIN(BJ701,BN700+IF(C701="毅力",E701,0)))</x:f>
        <x:v>0</x:v>
      </x:c>
      <x:c r="BO701">
        <x:f>MAX(0,MIN(99-BL701,BO700+IF(C701="理智",E701,0)))</x:f>
        <x:v>0</x:v>
      </x:c>
      <x:c r="BP701">
        <x:f>MAX(0,MIN(99,BP700+IF(C701="崩溃点",E701,0)))</x:f>
        <x:v>0</x:v>
      </x:c>
      <x:c r="BQ701">
        <x:f>MAX(0,MIN(BK701,IF(AND(H701=1,C701="重要关系1",LEFT('幕间与结算'!H608,8)="建立新的重要关系"),'幕间与结算'!E608+E701,BQ700+IF(C701="重要关系1",E701,0)+IF(AND(C701="魅力",E701&lt;0),E701,0))))</x:f>
        <x:v>0</x:v>
      </x:c>
      <x:c r="BR701">
        <x:f>MAX(0,MIN(BK701,IF(AND(H701=1,C701="重要关系2",LEFT('幕间与结算'!H608,8)="建立新的重要关系"),'幕间与结算'!E608+E701,BR700+IF(C701="重要关系2",E701,0)+IF(AND(C701="魅力",E701&lt;0),E701,0))))</x:f>
        <x:v>0</x:v>
      </x:c>
      <x:c r="BS701">
        <x:f>MAX(0,MIN(BK701,IF(AND(H701=1,C701="重要关系3",LEFT('幕间与结算'!H608,8)="建立新的重要关系"),'幕间与结算'!E608+E701,BS700+IF(C701="重要关系3",E701,0)+IF(AND(C701="魅力",E701&lt;0),E701,0))))</x:f>
        <x:v>0</x:v>
      </x:c>
      <x:c r="BT701">
        <x:f>MAX(0,MIN(BK701,IF(AND(H701=1,C701="重要关系4",LEFT('幕间与结算'!H608,8)="建立新的重要关系"),'幕间与结算'!E608+E701,BT700+IF(C701="重要关系4",E701,0)+IF(AND(C701="魅力",E701&lt;0),E701,0))))</x:f>
        <x:v>0</x:v>
      </x:c>
      <x:c r="BU701">
        <x:f>MAX(0,MIN(BK701,IF(AND(H701=1,C701="重要关系5",LEFT('幕间与结算'!H608,8)="建立新的重要关系"),'幕间与结算'!E608+E701,BU700+IF(C701="重要关系5",E701,0)+IF(AND(C701="魅力",E701&lt;0),E701,0))))</x:f>
        <x:v>0</x:v>
      </x:c>
      <x:c r="BV701">
        <x:f>MAX(0,MIN(BK701,IF(AND(H701=1,C701="重要关系6",LEFT('幕间与结算'!H608,8)="建立新的重要关系"),'幕间与结算'!E608+E701,BV700+IF(C701="重要关系6",E701,0)+IF(AND(C701="魅力",E701&lt;0),E701,0))))</x:f>
        <x:v>0</x:v>
      </x:c>
      <x:c r="BW701">
        <x:f>MAX(0,MIN(BK701,IF(AND(H701=1,C701="重要关系7",LEFT('幕间与结算'!H608,8)="建立新的重要关系"),'幕间与结算'!E608+E701,BW700+IF(C701="重要关系7",E701,0)+IF(AND(C701="魅力",E701&lt;0),E701,0))))</x:f>
        <x:v>0</x:v>
      </x:c>
    </x:row>
    <x:row r="702">
      <x:c r="A702" t="str">
        <x:f>IFERROR(TEXT(VALUE('幕间与结算'!A609),"00"),"")</x:f>
        <x:v>00</x:v>
      </x:c>
      <x:c r="B702">
        <x:f>'幕间与结算'!B609</x:f>
        <x:v>0</x:v>
      </x:c>
      <x:c r="C702">
        <x:f>'幕间与结算'!D609</x:f>
        <x:v>0</x:v>
      </x:c>
      <x:c r="D702">
        <x:f>'幕间与结算'!F609</x:f>
        <x:v>0</x:v>
      </x:c>
      <x:c r="E702">
        <x:f>IF(H702=1,MAX(-'幕间与结算'!E609,MIN(D702,IF(LEFT(C702,3)="技能：",99,IF(COUNTIF($L$2:$L$7,C702)&gt;0,18,999))-'幕间与结算'!E609)),0)</x:f>
        <x:v>0</x:v>
      </x:c>
      <x:c r="F702" t="str">
        <x:f>IF(C702=0,"",IF(G702=0,"记录不完整",IF(H702=0,"重复未计","已计入")))</x:f>
        <x:v/>
      </x:c>
      <x:c r="G702">
        <x:f>IF(AND(AND('幕间与结算'!A609&lt;&gt;"",'幕间与结算'!B609&lt;&gt;"",'幕间与结算'!I609&lt;&gt;"",OR(LEFT(C702,3)="技能：",COUNTIF($L$2:$L$19,C702)&gt;0),ISNUMBER('幕间与结算'!E609),ISNUMBER('幕间与结算'!F609),ISNUMBER('幕间与结算'!G609),'幕间与结算'!E609&gt;=0,'幕间与结算'!G609='幕间与结算'!E609+'幕间与结算'!F609),OR(B702&lt;&gt;"成长",AND(LEFT(C702,3)="技能：",C702&lt;&gt;"技能：非自然知识",'幕间与结算'!E609&gt;=1,'幕间与结算'!E609&lt;=99,'幕间与结算'!F609&gt;=0,'幕间与结算'!F609&lt;=4,'幕间与结算'!G609&lt;=99))),1,0)</x:f>
        <x:v>0</x:v>
      </x:c>
      <x:c r="H702">
        <x:f>IF(AND(G702=1,COUNTIFS($I$200:I702,I702,$G$200:G702,1)=1),1,0)</x:f>
        <x:v>0</x:v>
      </x:c>
      <x:c r="I702" t="str">
        <x:f>IF(G702=1,IF(B702="成长",A702&amp;"-成长-"&amp;C702,'幕间与结算'!I609),"")</x:f>
        <x:v/>
      </x:c>
      <x:c r="BF702">
        <x:f>MAX(0,MIN(18,BF701+IF(C702="力量",E702,0)))</x:f>
        <x:v>0</x:v>
      </x:c>
      <x:c r="BG702">
        <x:f>MAX(0,MIN(18,BG701+IF(C702="体质",E702,0)))</x:f>
        <x:v>0</x:v>
      </x:c>
      <x:c r="BH702">
        <x:f>MAX(0,MIN(18,BH701+IF(C702="敏捷",E702,0)))</x:f>
        <x:v>0</x:v>
      </x:c>
      <x:c r="BI702">
        <x:f>MAX(0,MIN(18,BI701+IF(C702="智力",E702,0)))</x:f>
        <x:v>0</x:v>
      </x:c>
      <x:c r="BJ702">
        <x:f>MAX(0,MIN(18,BJ701+IF(C702="意志",E702,0)))</x:f>
        <x:v>0</x:v>
      </x:c>
      <x:c r="BK702">
        <x:f>MAX(0,MIN(18,BK701+IF(C702="魅力",E702,0)))</x:f>
        <x:v>0</x:v>
      </x:c>
      <x:c r="BL702">
        <x:f>MAX(0,MIN(99,BL701+IF(C702="技能：非自然知识",E702,0)))</x:f>
        <x:v>0</x:v>
      </x:c>
      <x:c r="BM702">
        <x:f>MAX(0,MIN(CEILING((BF702+BG702)/2,1),BM701+IF(C702="体力",E702,0)))</x:f>
        <x:v>0</x:v>
      </x:c>
      <x:c r="BN702">
        <x:f>MAX(0,MIN(BJ702,BN701+IF(C702="毅力",E702,0)))</x:f>
        <x:v>0</x:v>
      </x:c>
      <x:c r="BO702">
        <x:f>MAX(0,MIN(99-BL702,BO701+IF(C702="理智",E702,0)))</x:f>
        <x:v>0</x:v>
      </x:c>
      <x:c r="BP702">
        <x:f>MAX(0,MIN(99,BP701+IF(C702="崩溃点",E702,0)))</x:f>
        <x:v>0</x:v>
      </x:c>
      <x:c r="BQ702">
        <x:f>MAX(0,MIN(BK702,IF(AND(H702=1,C702="重要关系1",LEFT('幕间与结算'!H609,8)="建立新的重要关系"),'幕间与结算'!E609+E702,BQ701+IF(C702="重要关系1",E702,0)+IF(AND(C702="魅力",E702&lt;0),E702,0))))</x:f>
        <x:v>0</x:v>
      </x:c>
      <x:c r="BR702">
        <x:f>MAX(0,MIN(BK702,IF(AND(H702=1,C702="重要关系2",LEFT('幕间与结算'!H609,8)="建立新的重要关系"),'幕间与结算'!E609+E702,BR701+IF(C702="重要关系2",E702,0)+IF(AND(C702="魅力",E702&lt;0),E702,0))))</x:f>
        <x:v>0</x:v>
      </x:c>
      <x:c r="BS702">
        <x:f>MAX(0,MIN(BK702,IF(AND(H702=1,C702="重要关系3",LEFT('幕间与结算'!H609,8)="建立新的重要关系"),'幕间与结算'!E609+E702,BS701+IF(C702="重要关系3",E702,0)+IF(AND(C702="魅力",E702&lt;0),E702,0))))</x:f>
        <x:v>0</x:v>
      </x:c>
      <x:c r="BT702">
        <x:f>MAX(0,MIN(BK702,IF(AND(H702=1,C702="重要关系4",LEFT('幕间与结算'!H609,8)="建立新的重要关系"),'幕间与结算'!E609+E702,BT701+IF(C702="重要关系4",E702,0)+IF(AND(C702="魅力",E702&lt;0),E702,0))))</x:f>
        <x:v>0</x:v>
      </x:c>
      <x:c r="BU702">
        <x:f>MAX(0,MIN(BK702,IF(AND(H702=1,C702="重要关系5",LEFT('幕间与结算'!H609,8)="建立新的重要关系"),'幕间与结算'!E609+E702,BU701+IF(C702="重要关系5",E702,0)+IF(AND(C702="魅力",E702&lt;0),E702,0))))</x:f>
        <x:v>0</x:v>
      </x:c>
      <x:c r="BV702">
        <x:f>MAX(0,MIN(BK702,IF(AND(H702=1,C702="重要关系6",LEFT('幕间与结算'!H609,8)="建立新的重要关系"),'幕间与结算'!E609+E702,BV701+IF(C702="重要关系6",E702,0)+IF(AND(C702="魅力",E702&lt;0),E702,0))))</x:f>
        <x:v>0</x:v>
      </x:c>
      <x:c r="BW702">
        <x:f>MAX(0,MIN(BK702,IF(AND(H702=1,C702="重要关系7",LEFT('幕间与结算'!H609,8)="建立新的重要关系"),'幕间与结算'!E609+E702,BW701+IF(C702="重要关系7",E702,0)+IF(AND(C702="魅力",E702&lt;0),E702,0))))</x:f>
        <x:v>0</x:v>
      </x:c>
    </x:row>
    <x:row r="703">
      <x:c r="A703" t="str">
        <x:f>IFERROR(TEXT(VALUE('幕间与结算'!A610),"00"),"")</x:f>
        <x:v>00</x:v>
      </x:c>
      <x:c r="B703">
        <x:f>'幕间与结算'!B610</x:f>
        <x:v>0</x:v>
      </x:c>
      <x:c r="C703">
        <x:f>'幕间与结算'!D610</x:f>
        <x:v>0</x:v>
      </x:c>
      <x:c r="D703">
        <x:f>'幕间与结算'!F610</x:f>
        <x:v>0</x:v>
      </x:c>
      <x:c r="E703">
        <x:f>IF(H703=1,MAX(-'幕间与结算'!E610,MIN(D703,IF(LEFT(C703,3)="技能：",99,IF(COUNTIF($L$2:$L$7,C703)&gt;0,18,999))-'幕间与结算'!E610)),0)</x:f>
        <x:v>0</x:v>
      </x:c>
      <x:c r="F703" t="str">
        <x:f>IF(C703=0,"",IF(G703=0,"记录不完整",IF(H703=0,"重复未计","已计入")))</x:f>
        <x:v/>
      </x:c>
      <x:c r="G703">
        <x:f>IF(AND(AND('幕间与结算'!A610&lt;&gt;"",'幕间与结算'!B610&lt;&gt;"",'幕间与结算'!I610&lt;&gt;"",OR(LEFT(C703,3)="技能：",COUNTIF($L$2:$L$19,C703)&gt;0),ISNUMBER('幕间与结算'!E610),ISNUMBER('幕间与结算'!F610),ISNUMBER('幕间与结算'!G610),'幕间与结算'!E610&gt;=0,'幕间与结算'!G610='幕间与结算'!E610+'幕间与结算'!F610),OR(B703&lt;&gt;"成长",AND(LEFT(C703,3)="技能：",C703&lt;&gt;"技能：非自然知识",'幕间与结算'!E610&gt;=1,'幕间与结算'!E610&lt;=99,'幕间与结算'!F610&gt;=0,'幕间与结算'!F610&lt;=4,'幕间与结算'!G610&lt;=99))),1,0)</x:f>
        <x:v>0</x:v>
      </x:c>
      <x:c r="H703">
        <x:f>IF(AND(G703=1,COUNTIFS($I$200:I703,I703,$G$200:G703,1)=1),1,0)</x:f>
        <x:v>0</x:v>
      </x:c>
      <x:c r="I703" t="str">
        <x:f>IF(G703=1,IF(B703="成长",A703&amp;"-成长-"&amp;C703,'幕间与结算'!I610),"")</x:f>
        <x:v/>
      </x:c>
      <x:c r="BF703">
        <x:f>MAX(0,MIN(18,BF702+IF(C703="力量",E703,0)))</x:f>
        <x:v>0</x:v>
      </x:c>
      <x:c r="BG703">
        <x:f>MAX(0,MIN(18,BG702+IF(C703="体质",E703,0)))</x:f>
        <x:v>0</x:v>
      </x:c>
      <x:c r="BH703">
        <x:f>MAX(0,MIN(18,BH702+IF(C703="敏捷",E703,0)))</x:f>
        <x:v>0</x:v>
      </x:c>
      <x:c r="BI703">
        <x:f>MAX(0,MIN(18,BI702+IF(C703="智力",E703,0)))</x:f>
        <x:v>0</x:v>
      </x:c>
      <x:c r="BJ703">
        <x:f>MAX(0,MIN(18,BJ702+IF(C703="意志",E703,0)))</x:f>
        <x:v>0</x:v>
      </x:c>
      <x:c r="BK703">
        <x:f>MAX(0,MIN(18,BK702+IF(C703="魅力",E703,0)))</x:f>
        <x:v>0</x:v>
      </x:c>
      <x:c r="BL703">
        <x:f>MAX(0,MIN(99,BL702+IF(C703="技能：非自然知识",E703,0)))</x:f>
        <x:v>0</x:v>
      </x:c>
      <x:c r="BM703">
        <x:f>MAX(0,MIN(CEILING((BF703+BG703)/2,1),BM702+IF(C703="体力",E703,0)))</x:f>
        <x:v>0</x:v>
      </x:c>
      <x:c r="BN703">
        <x:f>MAX(0,MIN(BJ703,BN702+IF(C703="毅力",E703,0)))</x:f>
        <x:v>0</x:v>
      </x:c>
      <x:c r="BO703">
        <x:f>MAX(0,MIN(99-BL703,BO702+IF(C703="理智",E703,0)))</x:f>
        <x:v>0</x:v>
      </x:c>
      <x:c r="BP703">
        <x:f>MAX(0,MIN(99,BP702+IF(C703="崩溃点",E703,0)))</x:f>
        <x:v>0</x:v>
      </x:c>
      <x:c r="BQ703">
        <x:f>MAX(0,MIN(BK703,IF(AND(H703=1,C703="重要关系1",LEFT('幕间与结算'!H610,8)="建立新的重要关系"),'幕间与结算'!E610+E703,BQ702+IF(C703="重要关系1",E703,0)+IF(AND(C703="魅力",E703&lt;0),E703,0))))</x:f>
        <x:v>0</x:v>
      </x:c>
      <x:c r="BR703">
        <x:f>MAX(0,MIN(BK703,IF(AND(H703=1,C703="重要关系2",LEFT('幕间与结算'!H610,8)="建立新的重要关系"),'幕间与结算'!E610+E703,BR702+IF(C703="重要关系2",E703,0)+IF(AND(C703="魅力",E703&lt;0),E703,0))))</x:f>
        <x:v>0</x:v>
      </x:c>
      <x:c r="BS703">
        <x:f>MAX(0,MIN(BK703,IF(AND(H703=1,C703="重要关系3",LEFT('幕间与结算'!H610,8)="建立新的重要关系"),'幕间与结算'!E610+E703,BS702+IF(C703="重要关系3",E703,0)+IF(AND(C703="魅力",E703&lt;0),E703,0))))</x:f>
        <x:v>0</x:v>
      </x:c>
      <x:c r="BT703">
        <x:f>MAX(0,MIN(BK703,IF(AND(H703=1,C703="重要关系4",LEFT('幕间与结算'!H610,8)="建立新的重要关系"),'幕间与结算'!E610+E703,BT702+IF(C703="重要关系4",E703,0)+IF(AND(C703="魅力",E703&lt;0),E703,0))))</x:f>
        <x:v>0</x:v>
      </x:c>
      <x:c r="BU703">
        <x:f>MAX(0,MIN(BK703,IF(AND(H703=1,C703="重要关系5",LEFT('幕间与结算'!H610,8)="建立新的重要关系"),'幕间与结算'!E610+E703,BU702+IF(C703="重要关系5",E703,0)+IF(AND(C703="魅力",E703&lt;0),E703,0))))</x:f>
        <x:v>0</x:v>
      </x:c>
      <x:c r="BV703">
        <x:f>MAX(0,MIN(BK703,IF(AND(H703=1,C703="重要关系6",LEFT('幕间与结算'!H610,8)="建立新的重要关系"),'幕间与结算'!E610+E703,BV702+IF(C703="重要关系6",E703,0)+IF(AND(C703="魅力",E703&lt;0),E703,0))))</x:f>
        <x:v>0</x:v>
      </x:c>
      <x:c r="BW703">
        <x:f>MAX(0,MIN(BK703,IF(AND(H703=1,C703="重要关系7",LEFT('幕间与结算'!H610,8)="建立新的重要关系"),'幕间与结算'!E610+E703,BW702+IF(C703="重要关系7",E703,0)+IF(AND(C703="魅力",E703&lt;0),E703,0))))</x:f>
        <x:v>0</x:v>
      </x:c>
    </x:row>
    <x:row r="704">
      <x:c r="A704" t="str">
        <x:f>IFERROR(TEXT(VALUE('幕间与结算'!A611),"00"),"")</x:f>
        <x:v>00</x:v>
      </x:c>
      <x:c r="B704">
        <x:f>'幕间与结算'!B611</x:f>
        <x:v>0</x:v>
      </x:c>
      <x:c r="C704">
        <x:f>'幕间与结算'!D611</x:f>
        <x:v>0</x:v>
      </x:c>
      <x:c r="D704">
        <x:f>'幕间与结算'!F611</x:f>
        <x:v>0</x:v>
      </x:c>
      <x:c r="E704">
        <x:f>IF(H704=1,MAX(-'幕间与结算'!E611,MIN(D704,IF(LEFT(C704,3)="技能：",99,IF(COUNTIF($L$2:$L$7,C704)&gt;0,18,999))-'幕间与结算'!E611)),0)</x:f>
        <x:v>0</x:v>
      </x:c>
      <x:c r="F704" t="str">
        <x:f>IF(C704=0,"",IF(G704=0,"记录不完整",IF(H704=0,"重复未计","已计入")))</x:f>
        <x:v/>
      </x:c>
      <x:c r="G704">
        <x:f>IF(AND(AND('幕间与结算'!A611&lt;&gt;"",'幕间与结算'!B611&lt;&gt;"",'幕间与结算'!I611&lt;&gt;"",OR(LEFT(C704,3)="技能：",COUNTIF($L$2:$L$19,C704)&gt;0),ISNUMBER('幕间与结算'!E611),ISNUMBER('幕间与结算'!F611),ISNUMBER('幕间与结算'!G611),'幕间与结算'!E611&gt;=0,'幕间与结算'!G611='幕间与结算'!E611+'幕间与结算'!F611),OR(B704&lt;&gt;"成长",AND(LEFT(C704,3)="技能：",C704&lt;&gt;"技能：非自然知识",'幕间与结算'!E611&gt;=1,'幕间与结算'!E611&lt;=99,'幕间与结算'!F611&gt;=0,'幕间与结算'!F611&lt;=4,'幕间与结算'!G611&lt;=99))),1,0)</x:f>
        <x:v>0</x:v>
      </x:c>
      <x:c r="H704">
        <x:f>IF(AND(G704=1,COUNTIFS($I$200:I704,I704,$G$200:G704,1)=1),1,0)</x:f>
        <x:v>0</x:v>
      </x:c>
      <x:c r="I704" t="str">
        <x:f>IF(G704=1,IF(B704="成长",A704&amp;"-成长-"&amp;C704,'幕间与结算'!I611),"")</x:f>
        <x:v/>
      </x:c>
      <x:c r="BF704">
        <x:f>MAX(0,MIN(18,BF703+IF(C704="力量",E704,0)))</x:f>
        <x:v>0</x:v>
      </x:c>
      <x:c r="BG704">
        <x:f>MAX(0,MIN(18,BG703+IF(C704="体质",E704,0)))</x:f>
        <x:v>0</x:v>
      </x:c>
      <x:c r="BH704">
        <x:f>MAX(0,MIN(18,BH703+IF(C704="敏捷",E704,0)))</x:f>
        <x:v>0</x:v>
      </x:c>
      <x:c r="BI704">
        <x:f>MAX(0,MIN(18,BI703+IF(C704="智力",E704,0)))</x:f>
        <x:v>0</x:v>
      </x:c>
      <x:c r="BJ704">
        <x:f>MAX(0,MIN(18,BJ703+IF(C704="意志",E704,0)))</x:f>
        <x:v>0</x:v>
      </x:c>
      <x:c r="BK704">
        <x:f>MAX(0,MIN(18,BK703+IF(C704="魅力",E704,0)))</x:f>
        <x:v>0</x:v>
      </x:c>
      <x:c r="BL704">
        <x:f>MAX(0,MIN(99,BL703+IF(C704="技能：非自然知识",E704,0)))</x:f>
        <x:v>0</x:v>
      </x:c>
      <x:c r="BM704">
        <x:f>MAX(0,MIN(CEILING((BF704+BG704)/2,1),BM703+IF(C704="体力",E704,0)))</x:f>
        <x:v>0</x:v>
      </x:c>
      <x:c r="BN704">
        <x:f>MAX(0,MIN(BJ704,BN703+IF(C704="毅力",E704,0)))</x:f>
        <x:v>0</x:v>
      </x:c>
      <x:c r="BO704">
        <x:f>MAX(0,MIN(99-BL704,BO703+IF(C704="理智",E704,0)))</x:f>
        <x:v>0</x:v>
      </x:c>
      <x:c r="BP704">
        <x:f>MAX(0,MIN(99,BP703+IF(C704="崩溃点",E704,0)))</x:f>
        <x:v>0</x:v>
      </x:c>
      <x:c r="BQ704">
        <x:f>MAX(0,MIN(BK704,IF(AND(H704=1,C704="重要关系1",LEFT('幕间与结算'!H611,8)="建立新的重要关系"),'幕间与结算'!E611+E704,BQ703+IF(C704="重要关系1",E704,0)+IF(AND(C704="魅力",E704&lt;0),E704,0))))</x:f>
        <x:v>0</x:v>
      </x:c>
      <x:c r="BR704">
        <x:f>MAX(0,MIN(BK704,IF(AND(H704=1,C704="重要关系2",LEFT('幕间与结算'!H611,8)="建立新的重要关系"),'幕间与结算'!E611+E704,BR703+IF(C704="重要关系2",E704,0)+IF(AND(C704="魅力",E704&lt;0),E704,0))))</x:f>
        <x:v>0</x:v>
      </x:c>
      <x:c r="BS704">
        <x:f>MAX(0,MIN(BK704,IF(AND(H704=1,C704="重要关系3",LEFT('幕间与结算'!H611,8)="建立新的重要关系"),'幕间与结算'!E611+E704,BS703+IF(C704="重要关系3",E704,0)+IF(AND(C704="魅力",E704&lt;0),E704,0))))</x:f>
        <x:v>0</x:v>
      </x:c>
      <x:c r="BT704">
        <x:f>MAX(0,MIN(BK704,IF(AND(H704=1,C704="重要关系4",LEFT('幕间与结算'!H611,8)="建立新的重要关系"),'幕间与结算'!E611+E704,BT703+IF(C704="重要关系4",E704,0)+IF(AND(C704="魅力",E704&lt;0),E704,0))))</x:f>
        <x:v>0</x:v>
      </x:c>
      <x:c r="BU704">
        <x:f>MAX(0,MIN(BK704,IF(AND(H704=1,C704="重要关系5",LEFT('幕间与结算'!H611,8)="建立新的重要关系"),'幕间与结算'!E611+E704,BU703+IF(C704="重要关系5",E704,0)+IF(AND(C704="魅力",E704&lt;0),E704,0))))</x:f>
        <x:v>0</x:v>
      </x:c>
      <x:c r="BV704">
        <x:f>MAX(0,MIN(BK704,IF(AND(H704=1,C704="重要关系6",LEFT('幕间与结算'!H611,8)="建立新的重要关系"),'幕间与结算'!E611+E704,BV703+IF(C704="重要关系6",E704,0)+IF(AND(C704="魅力",E704&lt;0),E704,0))))</x:f>
        <x:v>0</x:v>
      </x:c>
      <x:c r="BW704">
        <x:f>MAX(0,MIN(BK704,IF(AND(H704=1,C704="重要关系7",LEFT('幕间与结算'!H611,8)="建立新的重要关系"),'幕间与结算'!E611+E704,BW703+IF(C704="重要关系7",E704,0)+IF(AND(C704="魅力",E704&lt;0),E704,0))))</x:f>
        <x:v>0</x:v>
      </x:c>
    </x:row>
    <x:row r="705">
      <x:c r="A705" t="str">
        <x:f>IFERROR(TEXT(VALUE('幕间与结算'!A612),"00"),"")</x:f>
        <x:v>00</x:v>
      </x:c>
      <x:c r="B705">
        <x:f>'幕间与结算'!B612</x:f>
        <x:v>0</x:v>
      </x:c>
      <x:c r="C705">
        <x:f>'幕间与结算'!D612</x:f>
        <x:v>0</x:v>
      </x:c>
      <x:c r="D705">
        <x:f>'幕间与结算'!F612</x:f>
        <x:v>0</x:v>
      </x:c>
      <x:c r="E705">
        <x:f>IF(H705=1,MAX(-'幕间与结算'!E612,MIN(D705,IF(LEFT(C705,3)="技能：",99,IF(COUNTIF($L$2:$L$7,C705)&gt;0,18,999))-'幕间与结算'!E612)),0)</x:f>
        <x:v>0</x:v>
      </x:c>
      <x:c r="F705" t="str">
        <x:f>IF(C705=0,"",IF(G705=0,"记录不完整",IF(H705=0,"重复未计","已计入")))</x:f>
        <x:v/>
      </x:c>
      <x:c r="G705">
        <x:f>IF(AND(AND('幕间与结算'!A612&lt;&gt;"",'幕间与结算'!B612&lt;&gt;"",'幕间与结算'!I612&lt;&gt;"",OR(LEFT(C705,3)="技能：",COUNTIF($L$2:$L$19,C705)&gt;0),ISNUMBER('幕间与结算'!E612),ISNUMBER('幕间与结算'!F612),ISNUMBER('幕间与结算'!G612),'幕间与结算'!E612&gt;=0,'幕间与结算'!G612='幕间与结算'!E612+'幕间与结算'!F612),OR(B705&lt;&gt;"成长",AND(LEFT(C705,3)="技能：",C705&lt;&gt;"技能：非自然知识",'幕间与结算'!E612&gt;=1,'幕间与结算'!E612&lt;=99,'幕间与结算'!F612&gt;=0,'幕间与结算'!F612&lt;=4,'幕间与结算'!G612&lt;=99))),1,0)</x:f>
        <x:v>0</x:v>
      </x:c>
      <x:c r="H705">
        <x:f>IF(AND(G705=1,COUNTIFS($I$200:I705,I705,$G$200:G705,1)=1),1,0)</x:f>
        <x:v>0</x:v>
      </x:c>
      <x:c r="I705" t="str">
        <x:f>IF(G705=1,IF(B705="成长",A705&amp;"-成长-"&amp;C705,'幕间与结算'!I612),"")</x:f>
        <x:v/>
      </x:c>
      <x:c r="BF705">
        <x:f>MAX(0,MIN(18,BF704+IF(C705="力量",E705,0)))</x:f>
        <x:v>0</x:v>
      </x:c>
      <x:c r="BG705">
        <x:f>MAX(0,MIN(18,BG704+IF(C705="体质",E705,0)))</x:f>
        <x:v>0</x:v>
      </x:c>
      <x:c r="BH705">
        <x:f>MAX(0,MIN(18,BH704+IF(C705="敏捷",E705,0)))</x:f>
        <x:v>0</x:v>
      </x:c>
      <x:c r="BI705">
        <x:f>MAX(0,MIN(18,BI704+IF(C705="智力",E705,0)))</x:f>
        <x:v>0</x:v>
      </x:c>
      <x:c r="BJ705">
        <x:f>MAX(0,MIN(18,BJ704+IF(C705="意志",E705,0)))</x:f>
        <x:v>0</x:v>
      </x:c>
      <x:c r="BK705">
        <x:f>MAX(0,MIN(18,BK704+IF(C705="魅力",E705,0)))</x:f>
        <x:v>0</x:v>
      </x:c>
      <x:c r="BL705">
        <x:f>MAX(0,MIN(99,BL704+IF(C705="技能：非自然知识",E705,0)))</x:f>
        <x:v>0</x:v>
      </x:c>
      <x:c r="BM705">
        <x:f>MAX(0,MIN(CEILING((BF705+BG705)/2,1),BM704+IF(C705="体力",E705,0)))</x:f>
        <x:v>0</x:v>
      </x:c>
      <x:c r="BN705">
        <x:f>MAX(0,MIN(BJ705,BN704+IF(C705="毅力",E705,0)))</x:f>
        <x:v>0</x:v>
      </x:c>
      <x:c r="BO705">
        <x:f>MAX(0,MIN(99-BL705,BO704+IF(C705="理智",E705,0)))</x:f>
        <x:v>0</x:v>
      </x:c>
      <x:c r="BP705">
        <x:f>MAX(0,MIN(99,BP704+IF(C705="崩溃点",E705,0)))</x:f>
        <x:v>0</x:v>
      </x:c>
      <x:c r="BQ705">
        <x:f>MAX(0,MIN(BK705,IF(AND(H705=1,C705="重要关系1",LEFT('幕间与结算'!H612,8)="建立新的重要关系"),'幕间与结算'!E612+E705,BQ704+IF(C705="重要关系1",E705,0)+IF(AND(C705="魅力",E705&lt;0),E705,0))))</x:f>
        <x:v>0</x:v>
      </x:c>
      <x:c r="BR705">
        <x:f>MAX(0,MIN(BK705,IF(AND(H705=1,C705="重要关系2",LEFT('幕间与结算'!H612,8)="建立新的重要关系"),'幕间与结算'!E612+E705,BR704+IF(C705="重要关系2",E705,0)+IF(AND(C705="魅力",E705&lt;0),E705,0))))</x:f>
        <x:v>0</x:v>
      </x:c>
      <x:c r="BS705">
        <x:f>MAX(0,MIN(BK705,IF(AND(H705=1,C705="重要关系3",LEFT('幕间与结算'!H612,8)="建立新的重要关系"),'幕间与结算'!E612+E705,BS704+IF(C705="重要关系3",E705,0)+IF(AND(C705="魅力",E705&lt;0),E705,0))))</x:f>
        <x:v>0</x:v>
      </x:c>
      <x:c r="BT705">
        <x:f>MAX(0,MIN(BK705,IF(AND(H705=1,C705="重要关系4",LEFT('幕间与结算'!H612,8)="建立新的重要关系"),'幕间与结算'!E612+E705,BT704+IF(C705="重要关系4",E705,0)+IF(AND(C705="魅力",E705&lt;0),E705,0))))</x:f>
        <x:v>0</x:v>
      </x:c>
      <x:c r="BU705">
        <x:f>MAX(0,MIN(BK705,IF(AND(H705=1,C705="重要关系5",LEFT('幕间与结算'!H612,8)="建立新的重要关系"),'幕间与结算'!E612+E705,BU704+IF(C705="重要关系5",E705,0)+IF(AND(C705="魅力",E705&lt;0),E705,0))))</x:f>
        <x:v>0</x:v>
      </x:c>
      <x:c r="BV705">
        <x:f>MAX(0,MIN(BK705,IF(AND(H705=1,C705="重要关系6",LEFT('幕间与结算'!H612,8)="建立新的重要关系"),'幕间与结算'!E612+E705,BV704+IF(C705="重要关系6",E705,0)+IF(AND(C705="魅力",E705&lt;0),E705,0))))</x:f>
        <x:v>0</x:v>
      </x:c>
      <x:c r="BW705">
        <x:f>MAX(0,MIN(BK705,IF(AND(H705=1,C705="重要关系7",LEFT('幕间与结算'!H612,8)="建立新的重要关系"),'幕间与结算'!E612+E705,BW704+IF(C705="重要关系7",E705,0)+IF(AND(C705="魅力",E705&lt;0),E705,0))))</x:f>
        <x:v>0</x:v>
      </x:c>
    </x:row>
    <x:row r="706">
      <x:c r="A706" t="str">
        <x:f>IFERROR(TEXT(VALUE('幕间与结算'!A613),"00"),"")</x:f>
        <x:v>00</x:v>
      </x:c>
      <x:c r="B706">
        <x:f>'幕间与结算'!B613</x:f>
        <x:v>0</x:v>
      </x:c>
      <x:c r="C706">
        <x:f>'幕间与结算'!D613</x:f>
        <x:v>0</x:v>
      </x:c>
      <x:c r="D706">
        <x:f>'幕间与结算'!F613</x:f>
        <x:v>0</x:v>
      </x:c>
      <x:c r="E706">
        <x:f>IF(H706=1,MAX(-'幕间与结算'!E613,MIN(D706,IF(LEFT(C706,3)="技能：",99,IF(COUNTIF($L$2:$L$7,C706)&gt;0,18,999))-'幕间与结算'!E613)),0)</x:f>
        <x:v>0</x:v>
      </x:c>
      <x:c r="F706" t="str">
        <x:f>IF(C706=0,"",IF(G706=0,"记录不完整",IF(H706=0,"重复未计","已计入")))</x:f>
        <x:v/>
      </x:c>
      <x:c r="G706">
        <x:f>IF(AND(AND('幕间与结算'!A613&lt;&gt;"",'幕间与结算'!B613&lt;&gt;"",'幕间与结算'!I613&lt;&gt;"",OR(LEFT(C706,3)="技能：",COUNTIF($L$2:$L$19,C706)&gt;0),ISNUMBER('幕间与结算'!E613),ISNUMBER('幕间与结算'!F613),ISNUMBER('幕间与结算'!G613),'幕间与结算'!E613&gt;=0,'幕间与结算'!G613='幕间与结算'!E613+'幕间与结算'!F613),OR(B706&lt;&gt;"成长",AND(LEFT(C706,3)="技能：",C706&lt;&gt;"技能：非自然知识",'幕间与结算'!E613&gt;=1,'幕间与结算'!E613&lt;=99,'幕间与结算'!F613&gt;=0,'幕间与结算'!F613&lt;=4,'幕间与结算'!G613&lt;=99))),1,0)</x:f>
        <x:v>0</x:v>
      </x:c>
      <x:c r="H706">
        <x:f>IF(AND(G706=1,COUNTIFS($I$200:I706,I706,$G$200:G706,1)=1),1,0)</x:f>
        <x:v>0</x:v>
      </x:c>
      <x:c r="I706" t="str">
        <x:f>IF(G706=1,IF(B706="成长",A706&amp;"-成长-"&amp;C706,'幕间与结算'!I613),"")</x:f>
        <x:v/>
      </x:c>
      <x:c r="BF706">
        <x:f>MAX(0,MIN(18,BF705+IF(C706="力量",E706,0)))</x:f>
        <x:v>0</x:v>
      </x:c>
      <x:c r="BG706">
        <x:f>MAX(0,MIN(18,BG705+IF(C706="体质",E706,0)))</x:f>
        <x:v>0</x:v>
      </x:c>
      <x:c r="BH706">
        <x:f>MAX(0,MIN(18,BH705+IF(C706="敏捷",E706,0)))</x:f>
        <x:v>0</x:v>
      </x:c>
      <x:c r="BI706">
        <x:f>MAX(0,MIN(18,BI705+IF(C706="智力",E706,0)))</x:f>
        <x:v>0</x:v>
      </x:c>
      <x:c r="BJ706">
        <x:f>MAX(0,MIN(18,BJ705+IF(C706="意志",E706,0)))</x:f>
        <x:v>0</x:v>
      </x:c>
      <x:c r="BK706">
        <x:f>MAX(0,MIN(18,BK705+IF(C706="魅力",E706,0)))</x:f>
        <x:v>0</x:v>
      </x:c>
      <x:c r="BL706">
        <x:f>MAX(0,MIN(99,BL705+IF(C706="技能：非自然知识",E706,0)))</x:f>
        <x:v>0</x:v>
      </x:c>
      <x:c r="BM706">
        <x:f>MAX(0,MIN(CEILING((BF706+BG706)/2,1),BM705+IF(C706="体力",E706,0)))</x:f>
        <x:v>0</x:v>
      </x:c>
      <x:c r="BN706">
        <x:f>MAX(0,MIN(BJ706,BN705+IF(C706="毅力",E706,0)))</x:f>
        <x:v>0</x:v>
      </x:c>
      <x:c r="BO706">
        <x:f>MAX(0,MIN(99-BL706,BO705+IF(C706="理智",E706,0)))</x:f>
        <x:v>0</x:v>
      </x:c>
      <x:c r="BP706">
        <x:f>MAX(0,MIN(99,BP705+IF(C706="崩溃点",E706,0)))</x:f>
        <x:v>0</x:v>
      </x:c>
      <x:c r="BQ706">
        <x:f>MAX(0,MIN(BK706,IF(AND(H706=1,C706="重要关系1",LEFT('幕间与结算'!H613,8)="建立新的重要关系"),'幕间与结算'!E613+E706,BQ705+IF(C706="重要关系1",E706,0)+IF(AND(C706="魅力",E706&lt;0),E706,0))))</x:f>
        <x:v>0</x:v>
      </x:c>
      <x:c r="BR706">
        <x:f>MAX(0,MIN(BK706,IF(AND(H706=1,C706="重要关系2",LEFT('幕间与结算'!H613,8)="建立新的重要关系"),'幕间与结算'!E613+E706,BR705+IF(C706="重要关系2",E706,0)+IF(AND(C706="魅力",E706&lt;0),E706,0))))</x:f>
        <x:v>0</x:v>
      </x:c>
      <x:c r="BS706">
        <x:f>MAX(0,MIN(BK706,IF(AND(H706=1,C706="重要关系3",LEFT('幕间与结算'!H613,8)="建立新的重要关系"),'幕间与结算'!E613+E706,BS705+IF(C706="重要关系3",E706,0)+IF(AND(C706="魅力",E706&lt;0),E706,0))))</x:f>
        <x:v>0</x:v>
      </x:c>
      <x:c r="BT706">
        <x:f>MAX(0,MIN(BK706,IF(AND(H706=1,C706="重要关系4",LEFT('幕间与结算'!H613,8)="建立新的重要关系"),'幕间与结算'!E613+E706,BT705+IF(C706="重要关系4",E706,0)+IF(AND(C706="魅力",E706&lt;0),E706,0))))</x:f>
        <x:v>0</x:v>
      </x:c>
      <x:c r="BU706">
        <x:f>MAX(0,MIN(BK706,IF(AND(H706=1,C706="重要关系5",LEFT('幕间与结算'!H613,8)="建立新的重要关系"),'幕间与结算'!E613+E706,BU705+IF(C706="重要关系5",E706,0)+IF(AND(C706="魅力",E706&lt;0),E706,0))))</x:f>
        <x:v>0</x:v>
      </x:c>
      <x:c r="BV706">
        <x:f>MAX(0,MIN(BK706,IF(AND(H706=1,C706="重要关系6",LEFT('幕间与结算'!H613,8)="建立新的重要关系"),'幕间与结算'!E613+E706,BV705+IF(C706="重要关系6",E706,0)+IF(AND(C706="魅力",E706&lt;0),E706,0))))</x:f>
        <x:v>0</x:v>
      </x:c>
      <x:c r="BW706">
        <x:f>MAX(0,MIN(BK706,IF(AND(H706=1,C706="重要关系7",LEFT('幕间与结算'!H613,8)="建立新的重要关系"),'幕间与结算'!E613+E706,BW705+IF(C706="重要关系7",E706,0)+IF(AND(C706="魅力",E706&lt;0),E706,0))))</x:f>
        <x:v>0</x:v>
      </x:c>
    </x:row>
    <x:row r="707">
      <x:c r="A707" t="str">
        <x:f>IFERROR(TEXT(VALUE('幕间与结算'!A614),"00"),"")</x:f>
        <x:v>00</x:v>
      </x:c>
      <x:c r="B707">
        <x:f>'幕间与结算'!B614</x:f>
        <x:v>0</x:v>
      </x:c>
      <x:c r="C707">
        <x:f>'幕间与结算'!D614</x:f>
        <x:v>0</x:v>
      </x:c>
      <x:c r="D707">
        <x:f>'幕间与结算'!F614</x:f>
        <x:v>0</x:v>
      </x:c>
      <x:c r="E707">
        <x:f>IF(H707=1,MAX(-'幕间与结算'!E614,MIN(D707,IF(LEFT(C707,3)="技能：",99,IF(COUNTIF($L$2:$L$7,C707)&gt;0,18,999))-'幕间与结算'!E614)),0)</x:f>
        <x:v>0</x:v>
      </x:c>
      <x:c r="F707" t="str">
        <x:f>IF(C707=0,"",IF(G707=0,"记录不完整",IF(H707=0,"重复未计","已计入")))</x:f>
        <x:v/>
      </x:c>
      <x:c r="G707">
        <x:f>IF(AND(AND('幕间与结算'!A614&lt;&gt;"",'幕间与结算'!B614&lt;&gt;"",'幕间与结算'!I614&lt;&gt;"",OR(LEFT(C707,3)="技能：",COUNTIF($L$2:$L$19,C707)&gt;0),ISNUMBER('幕间与结算'!E614),ISNUMBER('幕间与结算'!F614),ISNUMBER('幕间与结算'!G614),'幕间与结算'!E614&gt;=0,'幕间与结算'!G614='幕间与结算'!E614+'幕间与结算'!F614),OR(B707&lt;&gt;"成长",AND(LEFT(C707,3)="技能：",C707&lt;&gt;"技能：非自然知识",'幕间与结算'!E614&gt;=1,'幕间与结算'!E614&lt;=99,'幕间与结算'!F614&gt;=0,'幕间与结算'!F614&lt;=4,'幕间与结算'!G614&lt;=99))),1,0)</x:f>
        <x:v>0</x:v>
      </x:c>
      <x:c r="H707">
        <x:f>IF(AND(G707=1,COUNTIFS($I$200:I707,I707,$G$200:G707,1)=1),1,0)</x:f>
        <x:v>0</x:v>
      </x:c>
      <x:c r="I707" t="str">
        <x:f>IF(G707=1,IF(B707="成长",A707&amp;"-成长-"&amp;C707,'幕间与结算'!I614),"")</x:f>
        <x:v/>
      </x:c>
      <x:c r="BF707">
        <x:f>MAX(0,MIN(18,BF706+IF(C707="力量",E707,0)))</x:f>
        <x:v>0</x:v>
      </x:c>
      <x:c r="BG707">
        <x:f>MAX(0,MIN(18,BG706+IF(C707="体质",E707,0)))</x:f>
        <x:v>0</x:v>
      </x:c>
      <x:c r="BH707">
        <x:f>MAX(0,MIN(18,BH706+IF(C707="敏捷",E707,0)))</x:f>
        <x:v>0</x:v>
      </x:c>
      <x:c r="BI707">
        <x:f>MAX(0,MIN(18,BI706+IF(C707="智力",E707,0)))</x:f>
        <x:v>0</x:v>
      </x:c>
      <x:c r="BJ707">
        <x:f>MAX(0,MIN(18,BJ706+IF(C707="意志",E707,0)))</x:f>
        <x:v>0</x:v>
      </x:c>
      <x:c r="BK707">
        <x:f>MAX(0,MIN(18,BK706+IF(C707="魅力",E707,0)))</x:f>
        <x:v>0</x:v>
      </x:c>
      <x:c r="BL707">
        <x:f>MAX(0,MIN(99,BL706+IF(C707="技能：非自然知识",E707,0)))</x:f>
        <x:v>0</x:v>
      </x:c>
      <x:c r="BM707">
        <x:f>MAX(0,MIN(CEILING((BF707+BG707)/2,1),BM706+IF(C707="体力",E707,0)))</x:f>
        <x:v>0</x:v>
      </x:c>
      <x:c r="BN707">
        <x:f>MAX(0,MIN(BJ707,BN706+IF(C707="毅力",E707,0)))</x:f>
        <x:v>0</x:v>
      </x:c>
      <x:c r="BO707">
        <x:f>MAX(0,MIN(99-BL707,BO706+IF(C707="理智",E707,0)))</x:f>
        <x:v>0</x:v>
      </x:c>
      <x:c r="BP707">
        <x:f>MAX(0,MIN(99,BP706+IF(C707="崩溃点",E707,0)))</x:f>
        <x:v>0</x:v>
      </x:c>
      <x:c r="BQ707">
        <x:f>MAX(0,MIN(BK707,IF(AND(H707=1,C707="重要关系1",LEFT('幕间与结算'!H614,8)="建立新的重要关系"),'幕间与结算'!E614+E707,BQ706+IF(C707="重要关系1",E707,0)+IF(AND(C707="魅力",E707&lt;0),E707,0))))</x:f>
        <x:v>0</x:v>
      </x:c>
      <x:c r="BR707">
        <x:f>MAX(0,MIN(BK707,IF(AND(H707=1,C707="重要关系2",LEFT('幕间与结算'!H614,8)="建立新的重要关系"),'幕间与结算'!E614+E707,BR706+IF(C707="重要关系2",E707,0)+IF(AND(C707="魅力",E707&lt;0),E707,0))))</x:f>
        <x:v>0</x:v>
      </x:c>
      <x:c r="BS707">
        <x:f>MAX(0,MIN(BK707,IF(AND(H707=1,C707="重要关系3",LEFT('幕间与结算'!H614,8)="建立新的重要关系"),'幕间与结算'!E614+E707,BS706+IF(C707="重要关系3",E707,0)+IF(AND(C707="魅力",E707&lt;0),E707,0))))</x:f>
        <x:v>0</x:v>
      </x:c>
      <x:c r="BT707">
        <x:f>MAX(0,MIN(BK707,IF(AND(H707=1,C707="重要关系4",LEFT('幕间与结算'!H614,8)="建立新的重要关系"),'幕间与结算'!E614+E707,BT706+IF(C707="重要关系4",E707,0)+IF(AND(C707="魅力",E707&lt;0),E707,0))))</x:f>
        <x:v>0</x:v>
      </x:c>
      <x:c r="BU707">
        <x:f>MAX(0,MIN(BK707,IF(AND(H707=1,C707="重要关系5",LEFT('幕间与结算'!H614,8)="建立新的重要关系"),'幕间与结算'!E614+E707,BU706+IF(C707="重要关系5",E707,0)+IF(AND(C707="魅力",E707&lt;0),E707,0))))</x:f>
        <x:v>0</x:v>
      </x:c>
      <x:c r="BV707">
        <x:f>MAX(0,MIN(BK707,IF(AND(H707=1,C707="重要关系6",LEFT('幕间与结算'!H614,8)="建立新的重要关系"),'幕间与结算'!E614+E707,BV706+IF(C707="重要关系6",E707,0)+IF(AND(C707="魅力",E707&lt;0),E707,0))))</x:f>
        <x:v>0</x:v>
      </x:c>
      <x:c r="BW707">
        <x:f>MAX(0,MIN(BK707,IF(AND(H707=1,C707="重要关系7",LEFT('幕间与结算'!H614,8)="建立新的重要关系"),'幕间与结算'!E614+E707,BW706+IF(C707="重要关系7",E707,0)+IF(AND(C707="魅力",E707&lt;0),E707,0))))</x:f>
        <x:v>0</x:v>
      </x:c>
    </x:row>
    <x:row r="708">
      <x:c r="A708" t="str">
        <x:f>IFERROR(TEXT(VALUE('幕间与结算'!A615),"00"),"")</x:f>
        <x:v>00</x:v>
      </x:c>
      <x:c r="B708">
        <x:f>'幕间与结算'!B615</x:f>
        <x:v>0</x:v>
      </x:c>
      <x:c r="C708">
        <x:f>'幕间与结算'!D615</x:f>
        <x:v>0</x:v>
      </x:c>
      <x:c r="D708">
        <x:f>'幕间与结算'!F615</x:f>
        <x:v>0</x:v>
      </x:c>
      <x:c r="E708">
        <x:f>IF(H708=1,MAX(-'幕间与结算'!E615,MIN(D708,IF(LEFT(C708,3)="技能：",99,IF(COUNTIF($L$2:$L$7,C708)&gt;0,18,999))-'幕间与结算'!E615)),0)</x:f>
        <x:v>0</x:v>
      </x:c>
      <x:c r="F708" t="str">
        <x:f>IF(C708=0,"",IF(G708=0,"记录不完整",IF(H708=0,"重复未计","已计入")))</x:f>
        <x:v/>
      </x:c>
      <x:c r="G708">
        <x:f>IF(AND(AND('幕间与结算'!A615&lt;&gt;"",'幕间与结算'!B615&lt;&gt;"",'幕间与结算'!I615&lt;&gt;"",OR(LEFT(C708,3)="技能：",COUNTIF($L$2:$L$19,C708)&gt;0),ISNUMBER('幕间与结算'!E615),ISNUMBER('幕间与结算'!F615),ISNUMBER('幕间与结算'!G615),'幕间与结算'!E615&gt;=0,'幕间与结算'!G615='幕间与结算'!E615+'幕间与结算'!F615),OR(B708&lt;&gt;"成长",AND(LEFT(C708,3)="技能：",C708&lt;&gt;"技能：非自然知识",'幕间与结算'!E615&gt;=1,'幕间与结算'!E615&lt;=99,'幕间与结算'!F615&gt;=0,'幕间与结算'!F615&lt;=4,'幕间与结算'!G615&lt;=99))),1,0)</x:f>
        <x:v>0</x:v>
      </x:c>
      <x:c r="H708">
        <x:f>IF(AND(G708=1,COUNTIFS($I$200:I708,I708,$G$200:G708,1)=1),1,0)</x:f>
        <x:v>0</x:v>
      </x:c>
      <x:c r="I708" t="str">
        <x:f>IF(G708=1,IF(B708="成长",A708&amp;"-成长-"&amp;C708,'幕间与结算'!I615),"")</x:f>
        <x:v/>
      </x:c>
      <x:c r="BF708">
        <x:f>MAX(0,MIN(18,BF707+IF(C708="力量",E708,0)))</x:f>
        <x:v>0</x:v>
      </x:c>
      <x:c r="BG708">
        <x:f>MAX(0,MIN(18,BG707+IF(C708="体质",E708,0)))</x:f>
        <x:v>0</x:v>
      </x:c>
      <x:c r="BH708">
        <x:f>MAX(0,MIN(18,BH707+IF(C708="敏捷",E708,0)))</x:f>
        <x:v>0</x:v>
      </x:c>
      <x:c r="BI708">
        <x:f>MAX(0,MIN(18,BI707+IF(C708="智力",E708,0)))</x:f>
        <x:v>0</x:v>
      </x:c>
      <x:c r="BJ708">
        <x:f>MAX(0,MIN(18,BJ707+IF(C708="意志",E708,0)))</x:f>
        <x:v>0</x:v>
      </x:c>
      <x:c r="BK708">
        <x:f>MAX(0,MIN(18,BK707+IF(C708="魅力",E708,0)))</x:f>
        <x:v>0</x:v>
      </x:c>
      <x:c r="BL708">
        <x:f>MAX(0,MIN(99,BL707+IF(C708="技能：非自然知识",E708,0)))</x:f>
        <x:v>0</x:v>
      </x:c>
      <x:c r="BM708">
        <x:f>MAX(0,MIN(CEILING((BF708+BG708)/2,1),BM707+IF(C708="体力",E708,0)))</x:f>
        <x:v>0</x:v>
      </x:c>
      <x:c r="BN708">
        <x:f>MAX(0,MIN(BJ708,BN707+IF(C708="毅力",E708,0)))</x:f>
        <x:v>0</x:v>
      </x:c>
      <x:c r="BO708">
        <x:f>MAX(0,MIN(99-BL708,BO707+IF(C708="理智",E708,0)))</x:f>
        <x:v>0</x:v>
      </x:c>
      <x:c r="BP708">
        <x:f>MAX(0,MIN(99,BP707+IF(C708="崩溃点",E708,0)))</x:f>
        <x:v>0</x:v>
      </x:c>
      <x:c r="BQ708">
        <x:f>MAX(0,MIN(BK708,IF(AND(H708=1,C708="重要关系1",LEFT('幕间与结算'!H615,8)="建立新的重要关系"),'幕间与结算'!E615+E708,BQ707+IF(C708="重要关系1",E708,0)+IF(AND(C708="魅力",E708&lt;0),E708,0))))</x:f>
        <x:v>0</x:v>
      </x:c>
      <x:c r="BR708">
        <x:f>MAX(0,MIN(BK708,IF(AND(H708=1,C708="重要关系2",LEFT('幕间与结算'!H615,8)="建立新的重要关系"),'幕间与结算'!E615+E708,BR707+IF(C708="重要关系2",E708,0)+IF(AND(C708="魅力",E708&lt;0),E708,0))))</x:f>
        <x:v>0</x:v>
      </x:c>
      <x:c r="BS708">
        <x:f>MAX(0,MIN(BK708,IF(AND(H708=1,C708="重要关系3",LEFT('幕间与结算'!H615,8)="建立新的重要关系"),'幕间与结算'!E615+E708,BS707+IF(C708="重要关系3",E708,0)+IF(AND(C708="魅力",E708&lt;0),E708,0))))</x:f>
        <x:v>0</x:v>
      </x:c>
      <x:c r="BT708">
        <x:f>MAX(0,MIN(BK708,IF(AND(H708=1,C708="重要关系4",LEFT('幕间与结算'!H615,8)="建立新的重要关系"),'幕间与结算'!E615+E708,BT707+IF(C708="重要关系4",E708,0)+IF(AND(C708="魅力",E708&lt;0),E708,0))))</x:f>
        <x:v>0</x:v>
      </x:c>
      <x:c r="BU708">
        <x:f>MAX(0,MIN(BK708,IF(AND(H708=1,C708="重要关系5",LEFT('幕间与结算'!H615,8)="建立新的重要关系"),'幕间与结算'!E615+E708,BU707+IF(C708="重要关系5",E708,0)+IF(AND(C708="魅力",E708&lt;0),E708,0))))</x:f>
        <x:v>0</x:v>
      </x:c>
      <x:c r="BV708">
        <x:f>MAX(0,MIN(BK708,IF(AND(H708=1,C708="重要关系6",LEFT('幕间与结算'!H615,8)="建立新的重要关系"),'幕间与结算'!E615+E708,BV707+IF(C708="重要关系6",E708,0)+IF(AND(C708="魅力",E708&lt;0),E708,0))))</x:f>
        <x:v>0</x:v>
      </x:c>
      <x:c r="BW708">
        <x:f>MAX(0,MIN(BK708,IF(AND(H708=1,C708="重要关系7",LEFT('幕间与结算'!H615,8)="建立新的重要关系"),'幕间与结算'!E615+E708,BW707+IF(C708="重要关系7",E708,0)+IF(AND(C708="魅力",E708&lt;0),E708,0))))</x:f>
        <x:v>0</x:v>
      </x:c>
    </x:row>
    <x:row r="709">
      <x:c r="A709" t="str">
        <x:f>IFERROR(TEXT(VALUE('幕间与结算'!A616),"00"),"")</x:f>
        <x:v>00</x:v>
      </x:c>
      <x:c r="B709">
        <x:f>'幕间与结算'!B616</x:f>
        <x:v>0</x:v>
      </x:c>
      <x:c r="C709">
        <x:f>'幕间与结算'!D616</x:f>
        <x:v>0</x:v>
      </x:c>
      <x:c r="D709">
        <x:f>'幕间与结算'!F616</x:f>
        <x:v>0</x:v>
      </x:c>
      <x:c r="E709">
        <x:f>IF(H709=1,MAX(-'幕间与结算'!E616,MIN(D709,IF(LEFT(C709,3)="技能：",99,IF(COUNTIF($L$2:$L$7,C709)&gt;0,18,999))-'幕间与结算'!E616)),0)</x:f>
        <x:v>0</x:v>
      </x:c>
      <x:c r="F709" t="str">
        <x:f>IF(C709=0,"",IF(G709=0,"记录不完整",IF(H709=0,"重复未计","已计入")))</x:f>
        <x:v/>
      </x:c>
      <x:c r="G709">
        <x:f>IF(AND(AND('幕间与结算'!A616&lt;&gt;"",'幕间与结算'!B616&lt;&gt;"",'幕间与结算'!I616&lt;&gt;"",OR(LEFT(C709,3)="技能：",COUNTIF($L$2:$L$19,C709)&gt;0),ISNUMBER('幕间与结算'!E616),ISNUMBER('幕间与结算'!F616),ISNUMBER('幕间与结算'!G616),'幕间与结算'!E616&gt;=0,'幕间与结算'!G616='幕间与结算'!E616+'幕间与结算'!F616),OR(B709&lt;&gt;"成长",AND(LEFT(C709,3)="技能：",C709&lt;&gt;"技能：非自然知识",'幕间与结算'!E616&gt;=1,'幕间与结算'!E616&lt;=99,'幕间与结算'!F616&gt;=0,'幕间与结算'!F616&lt;=4,'幕间与结算'!G616&lt;=99))),1,0)</x:f>
        <x:v>0</x:v>
      </x:c>
      <x:c r="H709">
        <x:f>IF(AND(G709=1,COUNTIFS($I$200:I709,I709,$G$200:G709,1)=1),1,0)</x:f>
        <x:v>0</x:v>
      </x:c>
      <x:c r="I709" t="str">
        <x:f>IF(G709=1,IF(B709="成长",A709&amp;"-成长-"&amp;C709,'幕间与结算'!I616),"")</x:f>
        <x:v/>
      </x:c>
      <x:c r="BF709">
        <x:f>MAX(0,MIN(18,BF708+IF(C709="力量",E709,0)))</x:f>
        <x:v>0</x:v>
      </x:c>
      <x:c r="BG709">
        <x:f>MAX(0,MIN(18,BG708+IF(C709="体质",E709,0)))</x:f>
        <x:v>0</x:v>
      </x:c>
      <x:c r="BH709">
        <x:f>MAX(0,MIN(18,BH708+IF(C709="敏捷",E709,0)))</x:f>
        <x:v>0</x:v>
      </x:c>
      <x:c r="BI709">
        <x:f>MAX(0,MIN(18,BI708+IF(C709="智力",E709,0)))</x:f>
        <x:v>0</x:v>
      </x:c>
      <x:c r="BJ709">
        <x:f>MAX(0,MIN(18,BJ708+IF(C709="意志",E709,0)))</x:f>
        <x:v>0</x:v>
      </x:c>
      <x:c r="BK709">
        <x:f>MAX(0,MIN(18,BK708+IF(C709="魅力",E709,0)))</x:f>
        <x:v>0</x:v>
      </x:c>
      <x:c r="BL709">
        <x:f>MAX(0,MIN(99,BL708+IF(C709="技能：非自然知识",E709,0)))</x:f>
        <x:v>0</x:v>
      </x:c>
      <x:c r="BM709">
        <x:f>MAX(0,MIN(CEILING((BF709+BG709)/2,1),BM708+IF(C709="体力",E709,0)))</x:f>
        <x:v>0</x:v>
      </x:c>
      <x:c r="BN709">
        <x:f>MAX(0,MIN(BJ709,BN708+IF(C709="毅力",E709,0)))</x:f>
        <x:v>0</x:v>
      </x:c>
      <x:c r="BO709">
        <x:f>MAX(0,MIN(99-BL709,BO708+IF(C709="理智",E709,0)))</x:f>
        <x:v>0</x:v>
      </x:c>
      <x:c r="BP709">
        <x:f>MAX(0,MIN(99,BP708+IF(C709="崩溃点",E709,0)))</x:f>
        <x:v>0</x:v>
      </x:c>
      <x:c r="BQ709">
        <x:f>MAX(0,MIN(BK709,IF(AND(H709=1,C709="重要关系1",LEFT('幕间与结算'!H616,8)="建立新的重要关系"),'幕间与结算'!E616+E709,BQ708+IF(C709="重要关系1",E709,0)+IF(AND(C709="魅力",E709&lt;0),E709,0))))</x:f>
        <x:v>0</x:v>
      </x:c>
      <x:c r="BR709">
        <x:f>MAX(0,MIN(BK709,IF(AND(H709=1,C709="重要关系2",LEFT('幕间与结算'!H616,8)="建立新的重要关系"),'幕间与结算'!E616+E709,BR708+IF(C709="重要关系2",E709,0)+IF(AND(C709="魅力",E709&lt;0),E709,0))))</x:f>
        <x:v>0</x:v>
      </x:c>
      <x:c r="BS709">
        <x:f>MAX(0,MIN(BK709,IF(AND(H709=1,C709="重要关系3",LEFT('幕间与结算'!H616,8)="建立新的重要关系"),'幕间与结算'!E616+E709,BS708+IF(C709="重要关系3",E709,0)+IF(AND(C709="魅力",E709&lt;0),E709,0))))</x:f>
        <x:v>0</x:v>
      </x:c>
      <x:c r="BT709">
        <x:f>MAX(0,MIN(BK709,IF(AND(H709=1,C709="重要关系4",LEFT('幕间与结算'!H616,8)="建立新的重要关系"),'幕间与结算'!E616+E709,BT708+IF(C709="重要关系4",E709,0)+IF(AND(C709="魅力",E709&lt;0),E709,0))))</x:f>
        <x:v>0</x:v>
      </x:c>
      <x:c r="BU709">
        <x:f>MAX(0,MIN(BK709,IF(AND(H709=1,C709="重要关系5",LEFT('幕间与结算'!H616,8)="建立新的重要关系"),'幕间与结算'!E616+E709,BU708+IF(C709="重要关系5",E709,0)+IF(AND(C709="魅力",E709&lt;0),E709,0))))</x:f>
        <x:v>0</x:v>
      </x:c>
      <x:c r="BV709">
        <x:f>MAX(0,MIN(BK709,IF(AND(H709=1,C709="重要关系6",LEFT('幕间与结算'!H616,8)="建立新的重要关系"),'幕间与结算'!E616+E709,BV708+IF(C709="重要关系6",E709,0)+IF(AND(C709="魅力",E709&lt;0),E709,0))))</x:f>
        <x:v>0</x:v>
      </x:c>
      <x:c r="BW709">
        <x:f>MAX(0,MIN(BK709,IF(AND(H709=1,C709="重要关系7",LEFT('幕间与结算'!H616,8)="建立新的重要关系"),'幕间与结算'!E616+E709,BW708+IF(C709="重要关系7",E709,0)+IF(AND(C709="魅力",E709&lt;0),E709,0))))</x:f>
        <x:v>0</x:v>
      </x:c>
    </x:row>
    <x:row r="710">
      <x:c r="A710" t="str">
        <x:f>IFERROR(TEXT(VALUE('幕间与结算'!A617),"00"),"")</x:f>
        <x:v>00</x:v>
      </x:c>
      <x:c r="B710">
        <x:f>'幕间与结算'!B617</x:f>
        <x:v>0</x:v>
      </x:c>
      <x:c r="C710">
        <x:f>'幕间与结算'!D617</x:f>
        <x:v>0</x:v>
      </x:c>
      <x:c r="D710">
        <x:f>'幕间与结算'!F617</x:f>
        <x:v>0</x:v>
      </x:c>
      <x:c r="E710">
        <x:f>IF(H710=1,MAX(-'幕间与结算'!E617,MIN(D710,IF(LEFT(C710,3)="技能：",99,IF(COUNTIF($L$2:$L$7,C710)&gt;0,18,999))-'幕间与结算'!E617)),0)</x:f>
        <x:v>0</x:v>
      </x:c>
      <x:c r="F710" t="str">
        <x:f>IF(C710=0,"",IF(G710=0,"记录不完整",IF(H710=0,"重复未计","已计入")))</x:f>
        <x:v/>
      </x:c>
      <x:c r="G710">
        <x:f>IF(AND(AND('幕间与结算'!A617&lt;&gt;"",'幕间与结算'!B617&lt;&gt;"",'幕间与结算'!I617&lt;&gt;"",OR(LEFT(C710,3)="技能：",COUNTIF($L$2:$L$19,C710)&gt;0),ISNUMBER('幕间与结算'!E617),ISNUMBER('幕间与结算'!F617),ISNUMBER('幕间与结算'!G617),'幕间与结算'!E617&gt;=0,'幕间与结算'!G617='幕间与结算'!E617+'幕间与结算'!F617),OR(B710&lt;&gt;"成长",AND(LEFT(C710,3)="技能：",C710&lt;&gt;"技能：非自然知识",'幕间与结算'!E617&gt;=1,'幕间与结算'!E617&lt;=99,'幕间与结算'!F617&gt;=0,'幕间与结算'!F617&lt;=4,'幕间与结算'!G617&lt;=99))),1,0)</x:f>
        <x:v>0</x:v>
      </x:c>
      <x:c r="H710">
        <x:f>IF(AND(G710=1,COUNTIFS($I$200:I710,I710,$G$200:G710,1)=1),1,0)</x:f>
        <x:v>0</x:v>
      </x:c>
      <x:c r="I710" t="str">
        <x:f>IF(G710=1,IF(B710="成长",A710&amp;"-成长-"&amp;C710,'幕间与结算'!I617),"")</x:f>
        <x:v/>
      </x:c>
      <x:c r="BF710">
        <x:f>MAX(0,MIN(18,BF709+IF(C710="力量",E710,0)))</x:f>
        <x:v>0</x:v>
      </x:c>
      <x:c r="BG710">
        <x:f>MAX(0,MIN(18,BG709+IF(C710="体质",E710,0)))</x:f>
        <x:v>0</x:v>
      </x:c>
      <x:c r="BH710">
        <x:f>MAX(0,MIN(18,BH709+IF(C710="敏捷",E710,0)))</x:f>
        <x:v>0</x:v>
      </x:c>
      <x:c r="BI710">
        <x:f>MAX(0,MIN(18,BI709+IF(C710="智力",E710,0)))</x:f>
        <x:v>0</x:v>
      </x:c>
      <x:c r="BJ710">
        <x:f>MAX(0,MIN(18,BJ709+IF(C710="意志",E710,0)))</x:f>
        <x:v>0</x:v>
      </x:c>
      <x:c r="BK710">
        <x:f>MAX(0,MIN(18,BK709+IF(C710="魅力",E710,0)))</x:f>
        <x:v>0</x:v>
      </x:c>
      <x:c r="BL710">
        <x:f>MAX(0,MIN(99,BL709+IF(C710="技能：非自然知识",E710,0)))</x:f>
        <x:v>0</x:v>
      </x:c>
      <x:c r="BM710">
        <x:f>MAX(0,MIN(CEILING((BF710+BG710)/2,1),BM709+IF(C710="体力",E710,0)))</x:f>
        <x:v>0</x:v>
      </x:c>
      <x:c r="BN710">
        <x:f>MAX(0,MIN(BJ710,BN709+IF(C710="毅力",E710,0)))</x:f>
        <x:v>0</x:v>
      </x:c>
      <x:c r="BO710">
        <x:f>MAX(0,MIN(99-BL710,BO709+IF(C710="理智",E710,0)))</x:f>
        <x:v>0</x:v>
      </x:c>
      <x:c r="BP710">
        <x:f>MAX(0,MIN(99,BP709+IF(C710="崩溃点",E710,0)))</x:f>
        <x:v>0</x:v>
      </x:c>
      <x:c r="BQ710">
        <x:f>MAX(0,MIN(BK710,IF(AND(H710=1,C710="重要关系1",LEFT('幕间与结算'!H617,8)="建立新的重要关系"),'幕间与结算'!E617+E710,BQ709+IF(C710="重要关系1",E710,0)+IF(AND(C710="魅力",E710&lt;0),E710,0))))</x:f>
        <x:v>0</x:v>
      </x:c>
      <x:c r="BR710">
        <x:f>MAX(0,MIN(BK710,IF(AND(H710=1,C710="重要关系2",LEFT('幕间与结算'!H617,8)="建立新的重要关系"),'幕间与结算'!E617+E710,BR709+IF(C710="重要关系2",E710,0)+IF(AND(C710="魅力",E710&lt;0),E710,0))))</x:f>
        <x:v>0</x:v>
      </x:c>
      <x:c r="BS710">
        <x:f>MAX(0,MIN(BK710,IF(AND(H710=1,C710="重要关系3",LEFT('幕间与结算'!H617,8)="建立新的重要关系"),'幕间与结算'!E617+E710,BS709+IF(C710="重要关系3",E710,0)+IF(AND(C710="魅力",E710&lt;0),E710,0))))</x:f>
        <x:v>0</x:v>
      </x:c>
      <x:c r="BT710">
        <x:f>MAX(0,MIN(BK710,IF(AND(H710=1,C710="重要关系4",LEFT('幕间与结算'!H617,8)="建立新的重要关系"),'幕间与结算'!E617+E710,BT709+IF(C710="重要关系4",E710,0)+IF(AND(C710="魅力",E710&lt;0),E710,0))))</x:f>
        <x:v>0</x:v>
      </x:c>
      <x:c r="BU710">
        <x:f>MAX(0,MIN(BK710,IF(AND(H710=1,C710="重要关系5",LEFT('幕间与结算'!H617,8)="建立新的重要关系"),'幕间与结算'!E617+E710,BU709+IF(C710="重要关系5",E710,0)+IF(AND(C710="魅力",E710&lt;0),E710,0))))</x:f>
        <x:v>0</x:v>
      </x:c>
      <x:c r="BV710">
        <x:f>MAX(0,MIN(BK710,IF(AND(H710=1,C710="重要关系6",LEFT('幕间与结算'!H617,8)="建立新的重要关系"),'幕间与结算'!E617+E710,BV709+IF(C710="重要关系6",E710,0)+IF(AND(C710="魅力",E710&lt;0),E710,0))))</x:f>
        <x:v>0</x:v>
      </x:c>
      <x:c r="BW710">
        <x:f>MAX(0,MIN(BK710,IF(AND(H710=1,C710="重要关系7",LEFT('幕间与结算'!H617,8)="建立新的重要关系"),'幕间与结算'!E617+E710,BW709+IF(C710="重要关系7",E710,0)+IF(AND(C710="魅力",E710&lt;0),E710,0))))</x:f>
        <x:v>0</x:v>
      </x:c>
    </x:row>
    <x:row r="711">
      <x:c r="A711" t="str">
        <x:f>IFERROR(TEXT(VALUE('幕间与结算'!A618),"00"),"")</x:f>
        <x:v>00</x:v>
      </x:c>
      <x:c r="B711">
        <x:f>'幕间与结算'!B618</x:f>
        <x:v>0</x:v>
      </x:c>
      <x:c r="C711">
        <x:f>'幕间与结算'!D618</x:f>
        <x:v>0</x:v>
      </x:c>
      <x:c r="D711">
        <x:f>'幕间与结算'!F618</x:f>
        <x:v>0</x:v>
      </x:c>
      <x:c r="E711">
        <x:f>IF(H711=1,MAX(-'幕间与结算'!E618,MIN(D711,IF(LEFT(C711,3)="技能：",99,IF(COUNTIF($L$2:$L$7,C711)&gt;0,18,999))-'幕间与结算'!E618)),0)</x:f>
        <x:v>0</x:v>
      </x:c>
      <x:c r="F711" t="str">
        <x:f>IF(C711=0,"",IF(G711=0,"记录不完整",IF(H711=0,"重复未计","已计入")))</x:f>
        <x:v/>
      </x:c>
      <x:c r="G711">
        <x:f>IF(AND(AND('幕间与结算'!A618&lt;&gt;"",'幕间与结算'!B618&lt;&gt;"",'幕间与结算'!I618&lt;&gt;"",OR(LEFT(C711,3)="技能：",COUNTIF($L$2:$L$19,C711)&gt;0),ISNUMBER('幕间与结算'!E618),ISNUMBER('幕间与结算'!F618),ISNUMBER('幕间与结算'!G618),'幕间与结算'!E618&gt;=0,'幕间与结算'!G618='幕间与结算'!E618+'幕间与结算'!F618),OR(B711&lt;&gt;"成长",AND(LEFT(C711,3)="技能：",C711&lt;&gt;"技能：非自然知识",'幕间与结算'!E618&gt;=1,'幕间与结算'!E618&lt;=99,'幕间与结算'!F618&gt;=0,'幕间与结算'!F618&lt;=4,'幕间与结算'!G618&lt;=99))),1,0)</x:f>
        <x:v>0</x:v>
      </x:c>
      <x:c r="H711">
        <x:f>IF(AND(G711=1,COUNTIFS($I$200:I711,I711,$G$200:G711,1)=1),1,0)</x:f>
        <x:v>0</x:v>
      </x:c>
      <x:c r="I711" t="str">
        <x:f>IF(G711=1,IF(B711="成长",A711&amp;"-成长-"&amp;C711,'幕间与结算'!I618),"")</x:f>
        <x:v/>
      </x:c>
      <x:c r="BF711">
        <x:f>MAX(0,MIN(18,BF710+IF(C711="力量",E711,0)))</x:f>
        <x:v>0</x:v>
      </x:c>
      <x:c r="BG711">
        <x:f>MAX(0,MIN(18,BG710+IF(C711="体质",E711,0)))</x:f>
        <x:v>0</x:v>
      </x:c>
      <x:c r="BH711">
        <x:f>MAX(0,MIN(18,BH710+IF(C711="敏捷",E711,0)))</x:f>
        <x:v>0</x:v>
      </x:c>
      <x:c r="BI711">
        <x:f>MAX(0,MIN(18,BI710+IF(C711="智力",E711,0)))</x:f>
        <x:v>0</x:v>
      </x:c>
      <x:c r="BJ711">
        <x:f>MAX(0,MIN(18,BJ710+IF(C711="意志",E711,0)))</x:f>
        <x:v>0</x:v>
      </x:c>
      <x:c r="BK711">
        <x:f>MAX(0,MIN(18,BK710+IF(C711="魅力",E711,0)))</x:f>
        <x:v>0</x:v>
      </x:c>
      <x:c r="BL711">
        <x:f>MAX(0,MIN(99,BL710+IF(C711="技能：非自然知识",E711,0)))</x:f>
        <x:v>0</x:v>
      </x:c>
      <x:c r="BM711">
        <x:f>MAX(0,MIN(CEILING((BF711+BG711)/2,1),BM710+IF(C711="体力",E711,0)))</x:f>
        <x:v>0</x:v>
      </x:c>
      <x:c r="BN711">
        <x:f>MAX(0,MIN(BJ711,BN710+IF(C711="毅力",E711,0)))</x:f>
        <x:v>0</x:v>
      </x:c>
      <x:c r="BO711">
        <x:f>MAX(0,MIN(99-BL711,BO710+IF(C711="理智",E711,0)))</x:f>
        <x:v>0</x:v>
      </x:c>
      <x:c r="BP711">
        <x:f>MAX(0,MIN(99,BP710+IF(C711="崩溃点",E711,0)))</x:f>
        <x:v>0</x:v>
      </x:c>
      <x:c r="BQ711">
        <x:f>MAX(0,MIN(BK711,IF(AND(H711=1,C711="重要关系1",LEFT('幕间与结算'!H618,8)="建立新的重要关系"),'幕间与结算'!E618+E711,BQ710+IF(C711="重要关系1",E711,0)+IF(AND(C711="魅力",E711&lt;0),E711,0))))</x:f>
        <x:v>0</x:v>
      </x:c>
      <x:c r="BR711">
        <x:f>MAX(0,MIN(BK711,IF(AND(H711=1,C711="重要关系2",LEFT('幕间与结算'!H618,8)="建立新的重要关系"),'幕间与结算'!E618+E711,BR710+IF(C711="重要关系2",E711,0)+IF(AND(C711="魅力",E711&lt;0),E711,0))))</x:f>
        <x:v>0</x:v>
      </x:c>
      <x:c r="BS711">
        <x:f>MAX(0,MIN(BK711,IF(AND(H711=1,C711="重要关系3",LEFT('幕间与结算'!H618,8)="建立新的重要关系"),'幕间与结算'!E618+E711,BS710+IF(C711="重要关系3",E711,0)+IF(AND(C711="魅力",E711&lt;0),E711,0))))</x:f>
        <x:v>0</x:v>
      </x:c>
      <x:c r="BT711">
        <x:f>MAX(0,MIN(BK711,IF(AND(H711=1,C711="重要关系4",LEFT('幕间与结算'!H618,8)="建立新的重要关系"),'幕间与结算'!E618+E711,BT710+IF(C711="重要关系4",E711,0)+IF(AND(C711="魅力",E711&lt;0),E711,0))))</x:f>
        <x:v>0</x:v>
      </x:c>
      <x:c r="BU711">
        <x:f>MAX(0,MIN(BK711,IF(AND(H711=1,C711="重要关系5",LEFT('幕间与结算'!H618,8)="建立新的重要关系"),'幕间与结算'!E618+E711,BU710+IF(C711="重要关系5",E711,0)+IF(AND(C711="魅力",E711&lt;0),E711,0))))</x:f>
        <x:v>0</x:v>
      </x:c>
      <x:c r="BV711">
        <x:f>MAX(0,MIN(BK711,IF(AND(H711=1,C711="重要关系6",LEFT('幕间与结算'!H618,8)="建立新的重要关系"),'幕间与结算'!E618+E711,BV710+IF(C711="重要关系6",E711,0)+IF(AND(C711="魅力",E711&lt;0),E711,0))))</x:f>
        <x:v>0</x:v>
      </x:c>
      <x:c r="BW711">
        <x:f>MAX(0,MIN(BK711,IF(AND(H711=1,C711="重要关系7",LEFT('幕间与结算'!H618,8)="建立新的重要关系"),'幕间与结算'!E618+E711,BW710+IF(C711="重要关系7",E711,0)+IF(AND(C711="魅力",E711&lt;0),E711,0))))</x:f>
        <x:v>0</x:v>
      </x:c>
    </x:row>
    <x:row r="712">
      <x:c r="A712" t="str">
        <x:f>IFERROR(TEXT(VALUE('幕间与结算'!A619),"00"),"")</x:f>
        <x:v>00</x:v>
      </x:c>
      <x:c r="B712">
        <x:f>'幕间与结算'!B619</x:f>
        <x:v>0</x:v>
      </x:c>
      <x:c r="C712">
        <x:f>'幕间与结算'!D619</x:f>
        <x:v>0</x:v>
      </x:c>
      <x:c r="D712">
        <x:f>'幕间与结算'!F619</x:f>
        <x:v>0</x:v>
      </x:c>
      <x:c r="E712">
        <x:f>IF(H712=1,MAX(-'幕间与结算'!E619,MIN(D712,IF(LEFT(C712,3)="技能：",99,IF(COUNTIF($L$2:$L$7,C712)&gt;0,18,999))-'幕间与结算'!E619)),0)</x:f>
        <x:v>0</x:v>
      </x:c>
      <x:c r="F712" t="str">
        <x:f>IF(C712=0,"",IF(G712=0,"记录不完整",IF(H712=0,"重复未计","已计入")))</x:f>
        <x:v/>
      </x:c>
      <x:c r="G712">
        <x:f>IF(AND(AND('幕间与结算'!A619&lt;&gt;"",'幕间与结算'!B619&lt;&gt;"",'幕间与结算'!I619&lt;&gt;"",OR(LEFT(C712,3)="技能：",COUNTIF($L$2:$L$19,C712)&gt;0),ISNUMBER('幕间与结算'!E619),ISNUMBER('幕间与结算'!F619),ISNUMBER('幕间与结算'!G619),'幕间与结算'!E619&gt;=0,'幕间与结算'!G619='幕间与结算'!E619+'幕间与结算'!F619),OR(B712&lt;&gt;"成长",AND(LEFT(C712,3)="技能：",C712&lt;&gt;"技能：非自然知识",'幕间与结算'!E619&gt;=1,'幕间与结算'!E619&lt;=99,'幕间与结算'!F619&gt;=0,'幕间与结算'!F619&lt;=4,'幕间与结算'!G619&lt;=99))),1,0)</x:f>
        <x:v>0</x:v>
      </x:c>
      <x:c r="H712">
        <x:f>IF(AND(G712=1,COUNTIFS($I$200:I712,I712,$G$200:G712,1)=1),1,0)</x:f>
        <x:v>0</x:v>
      </x:c>
      <x:c r="I712" t="str">
        <x:f>IF(G712=1,IF(B712="成长",A712&amp;"-成长-"&amp;C712,'幕间与结算'!I619),"")</x:f>
        <x:v/>
      </x:c>
      <x:c r="BF712">
        <x:f>MAX(0,MIN(18,BF711+IF(C712="力量",E712,0)))</x:f>
        <x:v>0</x:v>
      </x:c>
      <x:c r="BG712">
        <x:f>MAX(0,MIN(18,BG711+IF(C712="体质",E712,0)))</x:f>
        <x:v>0</x:v>
      </x:c>
      <x:c r="BH712">
        <x:f>MAX(0,MIN(18,BH711+IF(C712="敏捷",E712,0)))</x:f>
        <x:v>0</x:v>
      </x:c>
      <x:c r="BI712">
        <x:f>MAX(0,MIN(18,BI711+IF(C712="智力",E712,0)))</x:f>
        <x:v>0</x:v>
      </x:c>
      <x:c r="BJ712">
        <x:f>MAX(0,MIN(18,BJ711+IF(C712="意志",E712,0)))</x:f>
        <x:v>0</x:v>
      </x:c>
      <x:c r="BK712">
        <x:f>MAX(0,MIN(18,BK711+IF(C712="魅力",E712,0)))</x:f>
        <x:v>0</x:v>
      </x:c>
      <x:c r="BL712">
        <x:f>MAX(0,MIN(99,BL711+IF(C712="技能：非自然知识",E712,0)))</x:f>
        <x:v>0</x:v>
      </x:c>
      <x:c r="BM712">
        <x:f>MAX(0,MIN(CEILING((BF712+BG712)/2,1),BM711+IF(C712="体力",E712,0)))</x:f>
        <x:v>0</x:v>
      </x:c>
      <x:c r="BN712">
        <x:f>MAX(0,MIN(BJ712,BN711+IF(C712="毅力",E712,0)))</x:f>
        <x:v>0</x:v>
      </x:c>
      <x:c r="BO712">
        <x:f>MAX(0,MIN(99-BL712,BO711+IF(C712="理智",E712,0)))</x:f>
        <x:v>0</x:v>
      </x:c>
      <x:c r="BP712">
        <x:f>MAX(0,MIN(99,BP711+IF(C712="崩溃点",E712,0)))</x:f>
        <x:v>0</x:v>
      </x:c>
      <x:c r="BQ712">
        <x:f>MAX(0,MIN(BK712,IF(AND(H712=1,C712="重要关系1",LEFT('幕间与结算'!H619,8)="建立新的重要关系"),'幕间与结算'!E619+E712,BQ711+IF(C712="重要关系1",E712,0)+IF(AND(C712="魅力",E712&lt;0),E712,0))))</x:f>
        <x:v>0</x:v>
      </x:c>
      <x:c r="BR712">
        <x:f>MAX(0,MIN(BK712,IF(AND(H712=1,C712="重要关系2",LEFT('幕间与结算'!H619,8)="建立新的重要关系"),'幕间与结算'!E619+E712,BR711+IF(C712="重要关系2",E712,0)+IF(AND(C712="魅力",E712&lt;0),E712,0))))</x:f>
        <x:v>0</x:v>
      </x:c>
      <x:c r="BS712">
        <x:f>MAX(0,MIN(BK712,IF(AND(H712=1,C712="重要关系3",LEFT('幕间与结算'!H619,8)="建立新的重要关系"),'幕间与结算'!E619+E712,BS711+IF(C712="重要关系3",E712,0)+IF(AND(C712="魅力",E712&lt;0),E712,0))))</x:f>
        <x:v>0</x:v>
      </x:c>
      <x:c r="BT712">
        <x:f>MAX(0,MIN(BK712,IF(AND(H712=1,C712="重要关系4",LEFT('幕间与结算'!H619,8)="建立新的重要关系"),'幕间与结算'!E619+E712,BT711+IF(C712="重要关系4",E712,0)+IF(AND(C712="魅力",E712&lt;0),E712,0))))</x:f>
        <x:v>0</x:v>
      </x:c>
      <x:c r="BU712">
        <x:f>MAX(0,MIN(BK712,IF(AND(H712=1,C712="重要关系5",LEFT('幕间与结算'!H619,8)="建立新的重要关系"),'幕间与结算'!E619+E712,BU711+IF(C712="重要关系5",E712,0)+IF(AND(C712="魅力",E712&lt;0),E712,0))))</x:f>
        <x:v>0</x:v>
      </x:c>
      <x:c r="BV712">
        <x:f>MAX(0,MIN(BK712,IF(AND(H712=1,C712="重要关系6",LEFT('幕间与结算'!H619,8)="建立新的重要关系"),'幕间与结算'!E619+E712,BV711+IF(C712="重要关系6",E712,0)+IF(AND(C712="魅力",E712&lt;0),E712,0))))</x:f>
        <x:v>0</x:v>
      </x:c>
      <x:c r="BW712">
        <x:f>MAX(0,MIN(BK712,IF(AND(H712=1,C712="重要关系7",LEFT('幕间与结算'!H619,8)="建立新的重要关系"),'幕间与结算'!E619+E712,BW711+IF(C712="重要关系7",E712,0)+IF(AND(C712="魅力",E712&lt;0),E712,0))))</x:f>
        <x:v>0</x:v>
      </x:c>
    </x:row>
    <x:row r="713">
      <x:c r="A713" t="str">
        <x:f>IFERROR(TEXT(VALUE('幕间与结算'!A620),"00"),"")</x:f>
        <x:v>00</x:v>
      </x:c>
      <x:c r="B713">
        <x:f>'幕间与结算'!B620</x:f>
        <x:v>0</x:v>
      </x:c>
      <x:c r="C713">
        <x:f>'幕间与结算'!D620</x:f>
        <x:v>0</x:v>
      </x:c>
      <x:c r="D713">
        <x:f>'幕间与结算'!F620</x:f>
        <x:v>0</x:v>
      </x:c>
      <x:c r="E713">
        <x:f>IF(H713=1,MAX(-'幕间与结算'!E620,MIN(D713,IF(LEFT(C713,3)="技能：",99,IF(COUNTIF($L$2:$L$7,C713)&gt;0,18,999))-'幕间与结算'!E620)),0)</x:f>
        <x:v>0</x:v>
      </x:c>
      <x:c r="F713" t="str">
        <x:f>IF(C713=0,"",IF(G713=0,"记录不完整",IF(H713=0,"重复未计","已计入")))</x:f>
        <x:v/>
      </x:c>
      <x:c r="G713">
        <x:f>IF(AND(AND('幕间与结算'!A620&lt;&gt;"",'幕间与结算'!B620&lt;&gt;"",'幕间与结算'!I620&lt;&gt;"",OR(LEFT(C713,3)="技能：",COUNTIF($L$2:$L$19,C713)&gt;0),ISNUMBER('幕间与结算'!E620),ISNUMBER('幕间与结算'!F620),ISNUMBER('幕间与结算'!G620),'幕间与结算'!E620&gt;=0,'幕间与结算'!G620='幕间与结算'!E620+'幕间与结算'!F620),OR(B713&lt;&gt;"成长",AND(LEFT(C713,3)="技能：",C713&lt;&gt;"技能：非自然知识",'幕间与结算'!E620&gt;=1,'幕间与结算'!E620&lt;=99,'幕间与结算'!F620&gt;=0,'幕间与结算'!F620&lt;=4,'幕间与结算'!G620&lt;=99))),1,0)</x:f>
        <x:v>0</x:v>
      </x:c>
      <x:c r="H713">
        <x:f>IF(AND(G713=1,COUNTIFS($I$200:I713,I713,$G$200:G713,1)=1),1,0)</x:f>
        <x:v>0</x:v>
      </x:c>
      <x:c r="I713" t="str">
        <x:f>IF(G713=1,IF(B713="成长",A713&amp;"-成长-"&amp;C713,'幕间与结算'!I620),"")</x:f>
        <x:v/>
      </x:c>
      <x:c r="BF713">
        <x:f>MAX(0,MIN(18,BF712+IF(C713="力量",E713,0)))</x:f>
        <x:v>0</x:v>
      </x:c>
      <x:c r="BG713">
        <x:f>MAX(0,MIN(18,BG712+IF(C713="体质",E713,0)))</x:f>
        <x:v>0</x:v>
      </x:c>
      <x:c r="BH713">
        <x:f>MAX(0,MIN(18,BH712+IF(C713="敏捷",E713,0)))</x:f>
        <x:v>0</x:v>
      </x:c>
      <x:c r="BI713">
        <x:f>MAX(0,MIN(18,BI712+IF(C713="智力",E713,0)))</x:f>
        <x:v>0</x:v>
      </x:c>
      <x:c r="BJ713">
        <x:f>MAX(0,MIN(18,BJ712+IF(C713="意志",E713,0)))</x:f>
        <x:v>0</x:v>
      </x:c>
      <x:c r="BK713">
        <x:f>MAX(0,MIN(18,BK712+IF(C713="魅力",E713,0)))</x:f>
        <x:v>0</x:v>
      </x:c>
      <x:c r="BL713">
        <x:f>MAX(0,MIN(99,BL712+IF(C713="技能：非自然知识",E713,0)))</x:f>
        <x:v>0</x:v>
      </x:c>
      <x:c r="BM713">
        <x:f>MAX(0,MIN(CEILING((BF713+BG713)/2,1),BM712+IF(C713="体力",E713,0)))</x:f>
        <x:v>0</x:v>
      </x:c>
      <x:c r="BN713">
        <x:f>MAX(0,MIN(BJ713,BN712+IF(C713="毅力",E713,0)))</x:f>
        <x:v>0</x:v>
      </x:c>
      <x:c r="BO713">
        <x:f>MAX(0,MIN(99-BL713,BO712+IF(C713="理智",E713,0)))</x:f>
        <x:v>0</x:v>
      </x:c>
      <x:c r="BP713">
        <x:f>MAX(0,MIN(99,BP712+IF(C713="崩溃点",E713,0)))</x:f>
        <x:v>0</x:v>
      </x:c>
      <x:c r="BQ713">
        <x:f>MAX(0,MIN(BK713,IF(AND(H713=1,C713="重要关系1",LEFT('幕间与结算'!H620,8)="建立新的重要关系"),'幕间与结算'!E620+E713,BQ712+IF(C713="重要关系1",E713,0)+IF(AND(C713="魅力",E713&lt;0),E713,0))))</x:f>
        <x:v>0</x:v>
      </x:c>
      <x:c r="BR713">
        <x:f>MAX(0,MIN(BK713,IF(AND(H713=1,C713="重要关系2",LEFT('幕间与结算'!H620,8)="建立新的重要关系"),'幕间与结算'!E620+E713,BR712+IF(C713="重要关系2",E713,0)+IF(AND(C713="魅力",E713&lt;0),E713,0))))</x:f>
        <x:v>0</x:v>
      </x:c>
      <x:c r="BS713">
        <x:f>MAX(0,MIN(BK713,IF(AND(H713=1,C713="重要关系3",LEFT('幕间与结算'!H620,8)="建立新的重要关系"),'幕间与结算'!E620+E713,BS712+IF(C713="重要关系3",E713,0)+IF(AND(C713="魅力",E713&lt;0),E713,0))))</x:f>
        <x:v>0</x:v>
      </x:c>
      <x:c r="BT713">
        <x:f>MAX(0,MIN(BK713,IF(AND(H713=1,C713="重要关系4",LEFT('幕间与结算'!H620,8)="建立新的重要关系"),'幕间与结算'!E620+E713,BT712+IF(C713="重要关系4",E713,0)+IF(AND(C713="魅力",E713&lt;0),E713,0))))</x:f>
        <x:v>0</x:v>
      </x:c>
      <x:c r="BU713">
        <x:f>MAX(0,MIN(BK713,IF(AND(H713=1,C713="重要关系5",LEFT('幕间与结算'!H620,8)="建立新的重要关系"),'幕间与结算'!E620+E713,BU712+IF(C713="重要关系5",E713,0)+IF(AND(C713="魅力",E713&lt;0),E713,0))))</x:f>
        <x:v>0</x:v>
      </x:c>
      <x:c r="BV713">
        <x:f>MAX(0,MIN(BK713,IF(AND(H713=1,C713="重要关系6",LEFT('幕间与结算'!H620,8)="建立新的重要关系"),'幕间与结算'!E620+E713,BV712+IF(C713="重要关系6",E713,0)+IF(AND(C713="魅力",E713&lt;0),E713,0))))</x:f>
        <x:v>0</x:v>
      </x:c>
      <x:c r="BW713">
        <x:f>MAX(0,MIN(BK713,IF(AND(H713=1,C713="重要关系7",LEFT('幕间与结算'!H620,8)="建立新的重要关系"),'幕间与结算'!E620+E713,BW712+IF(C713="重要关系7",E713,0)+IF(AND(C713="魅力",E713&lt;0),E713,0))))</x:f>
        <x:v>0</x:v>
      </x:c>
    </x:row>
    <x:row r="714">
      <x:c r="A714" t="str">
        <x:f>IFERROR(TEXT(VALUE('幕间与结算'!A621),"00"),"")</x:f>
        <x:v>00</x:v>
      </x:c>
      <x:c r="B714">
        <x:f>'幕间与结算'!B621</x:f>
        <x:v>0</x:v>
      </x:c>
      <x:c r="C714">
        <x:f>'幕间与结算'!D621</x:f>
        <x:v>0</x:v>
      </x:c>
      <x:c r="D714">
        <x:f>'幕间与结算'!F621</x:f>
        <x:v>0</x:v>
      </x:c>
      <x:c r="E714">
        <x:f>IF(H714=1,MAX(-'幕间与结算'!E621,MIN(D714,IF(LEFT(C714,3)="技能：",99,IF(COUNTIF($L$2:$L$7,C714)&gt;0,18,999))-'幕间与结算'!E621)),0)</x:f>
        <x:v>0</x:v>
      </x:c>
      <x:c r="F714" t="str">
        <x:f>IF(C714=0,"",IF(G714=0,"记录不完整",IF(H714=0,"重复未计","已计入")))</x:f>
        <x:v/>
      </x:c>
      <x:c r="G714">
        <x:f>IF(AND(AND('幕间与结算'!A621&lt;&gt;"",'幕间与结算'!B621&lt;&gt;"",'幕间与结算'!I621&lt;&gt;"",OR(LEFT(C714,3)="技能：",COUNTIF($L$2:$L$19,C714)&gt;0),ISNUMBER('幕间与结算'!E621),ISNUMBER('幕间与结算'!F621),ISNUMBER('幕间与结算'!G621),'幕间与结算'!E621&gt;=0,'幕间与结算'!G621='幕间与结算'!E621+'幕间与结算'!F621),OR(B714&lt;&gt;"成长",AND(LEFT(C714,3)="技能：",C714&lt;&gt;"技能：非自然知识",'幕间与结算'!E621&gt;=1,'幕间与结算'!E621&lt;=99,'幕间与结算'!F621&gt;=0,'幕间与结算'!F621&lt;=4,'幕间与结算'!G621&lt;=99))),1,0)</x:f>
        <x:v>0</x:v>
      </x:c>
      <x:c r="H714">
        <x:f>IF(AND(G714=1,COUNTIFS($I$200:I714,I714,$G$200:G714,1)=1),1,0)</x:f>
        <x:v>0</x:v>
      </x:c>
      <x:c r="I714" t="str">
        <x:f>IF(G714=1,IF(B714="成长",A714&amp;"-成长-"&amp;C714,'幕间与结算'!I621),"")</x:f>
        <x:v/>
      </x:c>
      <x:c r="BF714">
        <x:f>MAX(0,MIN(18,BF713+IF(C714="力量",E714,0)))</x:f>
        <x:v>0</x:v>
      </x:c>
      <x:c r="BG714">
        <x:f>MAX(0,MIN(18,BG713+IF(C714="体质",E714,0)))</x:f>
        <x:v>0</x:v>
      </x:c>
      <x:c r="BH714">
        <x:f>MAX(0,MIN(18,BH713+IF(C714="敏捷",E714,0)))</x:f>
        <x:v>0</x:v>
      </x:c>
      <x:c r="BI714">
        <x:f>MAX(0,MIN(18,BI713+IF(C714="智力",E714,0)))</x:f>
        <x:v>0</x:v>
      </x:c>
      <x:c r="BJ714">
        <x:f>MAX(0,MIN(18,BJ713+IF(C714="意志",E714,0)))</x:f>
        <x:v>0</x:v>
      </x:c>
      <x:c r="BK714">
        <x:f>MAX(0,MIN(18,BK713+IF(C714="魅力",E714,0)))</x:f>
        <x:v>0</x:v>
      </x:c>
      <x:c r="BL714">
        <x:f>MAX(0,MIN(99,BL713+IF(C714="技能：非自然知识",E714,0)))</x:f>
        <x:v>0</x:v>
      </x:c>
      <x:c r="BM714">
        <x:f>MAX(0,MIN(CEILING((BF714+BG714)/2,1),BM713+IF(C714="体力",E714,0)))</x:f>
        <x:v>0</x:v>
      </x:c>
      <x:c r="BN714">
        <x:f>MAX(0,MIN(BJ714,BN713+IF(C714="毅力",E714,0)))</x:f>
        <x:v>0</x:v>
      </x:c>
      <x:c r="BO714">
        <x:f>MAX(0,MIN(99-BL714,BO713+IF(C714="理智",E714,0)))</x:f>
        <x:v>0</x:v>
      </x:c>
      <x:c r="BP714">
        <x:f>MAX(0,MIN(99,BP713+IF(C714="崩溃点",E714,0)))</x:f>
        <x:v>0</x:v>
      </x:c>
      <x:c r="BQ714">
        <x:f>MAX(0,MIN(BK714,IF(AND(H714=1,C714="重要关系1",LEFT('幕间与结算'!H621,8)="建立新的重要关系"),'幕间与结算'!E621+E714,BQ713+IF(C714="重要关系1",E714,0)+IF(AND(C714="魅力",E714&lt;0),E714,0))))</x:f>
        <x:v>0</x:v>
      </x:c>
      <x:c r="BR714">
        <x:f>MAX(0,MIN(BK714,IF(AND(H714=1,C714="重要关系2",LEFT('幕间与结算'!H621,8)="建立新的重要关系"),'幕间与结算'!E621+E714,BR713+IF(C714="重要关系2",E714,0)+IF(AND(C714="魅力",E714&lt;0),E714,0))))</x:f>
        <x:v>0</x:v>
      </x:c>
      <x:c r="BS714">
        <x:f>MAX(0,MIN(BK714,IF(AND(H714=1,C714="重要关系3",LEFT('幕间与结算'!H621,8)="建立新的重要关系"),'幕间与结算'!E621+E714,BS713+IF(C714="重要关系3",E714,0)+IF(AND(C714="魅力",E714&lt;0),E714,0))))</x:f>
        <x:v>0</x:v>
      </x:c>
      <x:c r="BT714">
        <x:f>MAX(0,MIN(BK714,IF(AND(H714=1,C714="重要关系4",LEFT('幕间与结算'!H621,8)="建立新的重要关系"),'幕间与结算'!E621+E714,BT713+IF(C714="重要关系4",E714,0)+IF(AND(C714="魅力",E714&lt;0),E714,0))))</x:f>
        <x:v>0</x:v>
      </x:c>
      <x:c r="BU714">
        <x:f>MAX(0,MIN(BK714,IF(AND(H714=1,C714="重要关系5",LEFT('幕间与结算'!H621,8)="建立新的重要关系"),'幕间与结算'!E621+E714,BU713+IF(C714="重要关系5",E714,0)+IF(AND(C714="魅力",E714&lt;0),E714,0))))</x:f>
        <x:v>0</x:v>
      </x:c>
      <x:c r="BV714">
        <x:f>MAX(0,MIN(BK714,IF(AND(H714=1,C714="重要关系6",LEFT('幕间与结算'!H621,8)="建立新的重要关系"),'幕间与结算'!E621+E714,BV713+IF(C714="重要关系6",E714,0)+IF(AND(C714="魅力",E714&lt;0),E714,0))))</x:f>
        <x:v>0</x:v>
      </x:c>
      <x:c r="BW714">
        <x:f>MAX(0,MIN(BK714,IF(AND(H714=1,C714="重要关系7",LEFT('幕间与结算'!H621,8)="建立新的重要关系"),'幕间与结算'!E621+E714,BW713+IF(C714="重要关系7",E714,0)+IF(AND(C714="魅力",E714&lt;0),E714,0))))</x:f>
        <x:v>0</x:v>
      </x:c>
    </x:row>
    <x:row r="715">
      <x:c r="A715" t="str">
        <x:f>IFERROR(TEXT(VALUE('幕间与结算'!A622),"00"),"")</x:f>
        <x:v>00</x:v>
      </x:c>
      <x:c r="B715">
        <x:f>'幕间与结算'!B622</x:f>
        <x:v>0</x:v>
      </x:c>
      <x:c r="C715">
        <x:f>'幕间与结算'!D622</x:f>
        <x:v>0</x:v>
      </x:c>
      <x:c r="D715">
        <x:f>'幕间与结算'!F622</x:f>
        <x:v>0</x:v>
      </x:c>
      <x:c r="E715">
        <x:f>IF(H715=1,MAX(-'幕间与结算'!E622,MIN(D715,IF(LEFT(C715,3)="技能：",99,IF(COUNTIF($L$2:$L$7,C715)&gt;0,18,999))-'幕间与结算'!E622)),0)</x:f>
        <x:v>0</x:v>
      </x:c>
      <x:c r="F715" t="str">
        <x:f>IF(C715=0,"",IF(G715=0,"记录不完整",IF(H715=0,"重复未计","已计入")))</x:f>
        <x:v/>
      </x:c>
      <x:c r="G715">
        <x:f>IF(AND(AND('幕间与结算'!A622&lt;&gt;"",'幕间与结算'!B622&lt;&gt;"",'幕间与结算'!I622&lt;&gt;"",OR(LEFT(C715,3)="技能：",COUNTIF($L$2:$L$19,C715)&gt;0),ISNUMBER('幕间与结算'!E622),ISNUMBER('幕间与结算'!F622),ISNUMBER('幕间与结算'!G622),'幕间与结算'!E622&gt;=0,'幕间与结算'!G622='幕间与结算'!E622+'幕间与结算'!F622),OR(B715&lt;&gt;"成长",AND(LEFT(C715,3)="技能：",C715&lt;&gt;"技能：非自然知识",'幕间与结算'!E622&gt;=1,'幕间与结算'!E622&lt;=99,'幕间与结算'!F622&gt;=0,'幕间与结算'!F622&lt;=4,'幕间与结算'!G622&lt;=99))),1,0)</x:f>
        <x:v>0</x:v>
      </x:c>
      <x:c r="H715">
        <x:f>IF(AND(G715=1,COUNTIFS($I$200:I715,I715,$G$200:G715,1)=1),1,0)</x:f>
        <x:v>0</x:v>
      </x:c>
      <x:c r="I715" t="str">
        <x:f>IF(G715=1,IF(B715="成长",A715&amp;"-成长-"&amp;C715,'幕间与结算'!I622),"")</x:f>
        <x:v/>
      </x:c>
      <x:c r="BF715">
        <x:f>MAX(0,MIN(18,BF714+IF(C715="力量",E715,0)))</x:f>
        <x:v>0</x:v>
      </x:c>
      <x:c r="BG715">
        <x:f>MAX(0,MIN(18,BG714+IF(C715="体质",E715,0)))</x:f>
        <x:v>0</x:v>
      </x:c>
      <x:c r="BH715">
        <x:f>MAX(0,MIN(18,BH714+IF(C715="敏捷",E715,0)))</x:f>
        <x:v>0</x:v>
      </x:c>
      <x:c r="BI715">
        <x:f>MAX(0,MIN(18,BI714+IF(C715="智力",E715,0)))</x:f>
        <x:v>0</x:v>
      </x:c>
      <x:c r="BJ715">
        <x:f>MAX(0,MIN(18,BJ714+IF(C715="意志",E715,0)))</x:f>
        <x:v>0</x:v>
      </x:c>
      <x:c r="BK715">
        <x:f>MAX(0,MIN(18,BK714+IF(C715="魅力",E715,0)))</x:f>
        <x:v>0</x:v>
      </x:c>
      <x:c r="BL715">
        <x:f>MAX(0,MIN(99,BL714+IF(C715="技能：非自然知识",E715,0)))</x:f>
        <x:v>0</x:v>
      </x:c>
      <x:c r="BM715">
        <x:f>MAX(0,MIN(CEILING((BF715+BG715)/2,1),BM714+IF(C715="体力",E715,0)))</x:f>
        <x:v>0</x:v>
      </x:c>
      <x:c r="BN715">
        <x:f>MAX(0,MIN(BJ715,BN714+IF(C715="毅力",E715,0)))</x:f>
        <x:v>0</x:v>
      </x:c>
      <x:c r="BO715">
        <x:f>MAX(0,MIN(99-BL715,BO714+IF(C715="理智",E715,0)))</x:f>
        <x:v>0</x:v>
      </x:c>
      <x:c r="BP715">
        <x:f>MAX(0,MIN(99,BP714+IF(C715="崩溃点",E715,0)))</x:f>
        <x:v>0</x:v>
      </x:c>
      <x:c r="BQ715">
        <x:f>MAX(0,MIN(BK715,IF(AND(H715=1,C715="重要关系1",LEFT('幕间与结算'!H622,8)="建立新的重要关系"),'幕间与结算'!E622+E715,BQ714+IF(C715="重要关系1",E715,0)+IF(AND(C715="魅力",E715&lt;0),E715,0))))</x:f>
        <x:v>0</x:v>
      </x:c>
      <x:c r="BR715">
        <x:f>MAX(0,MIN(BK715,IF(AND(H715=1,C715="重要关系2",LEFT('幕间与结算'!H622,8)="建立新的重要关系"),'幕间与结算'!E622+E715,BR714+IF(C715="重要关系2",E715,0)+IF(AND(C715="魅力",E715&lt;0),E715,0))))</x:f>
        <x:v>0</x:v>
      </x:c>
      <x:c r="BS715">
        <x:f>MAX(0,MIN(BK715,IF(AND(H715=1,C715="重要关系3",LEFT('幕间与结算'!H622,8)="建立新的重要关系"),'幕间与结算'!E622+E715,BS714+IF(C715="重要关系3",E715,0)+IF(AND(C715="魅力",E715&lt;0),E715,0))))</x:f>
        <x:v>0</x:v>
      </x:c>
      <x:c r="BT715">
        <x:f>MAX(0,MIN(BK715,IF(AND(H715=1,C715="重要关系4",LEFT('幕间与结算'!H622,8)="建立新的重要关系"),'幕间与结算'!E622+E715,BT714+IF(C715="重要关系4",E715,0)+IF(AND(C715="魅力",E715&lt;0),E715,0))))</x:f>
        <x:v>0</x:v>
      </x:c>
      <x:c r="BU715">
        <x:f>MAX(0,MIN(BK715,IF(AND(H715=1,C715="重要关系5",LEFT('幕间与结算'!H622,8)="建立新的重要关系"),'幕间与结算'!E622+E715,BU714+IF(C715="重要关系5",E715,0)+IF(AND(C715="魅力",E715&lt;0),E715,0))))</x:f>
        <x:v>0</x:v>
      </x:c>
      <x:c r="BV715">
        <x:f>MAX(0,MIN(BK715,IF(AND(H715=1,C715="重要关系6",LEFT('幕间与结算'!H622,8)="建立新的重要关系"),'幕间与结算'!E622+E715,BV714+IF(C715="重要关系6",E715,0)+IF(AND(C715="魅力",E715&lt;0),E715,0))))</x:f>
        <x:v>0</x:v>
      </x:c>
      <x:c r="BW715">
        <x:f>MAX(0,MIN(BK715,IF(AND(H715=1,C715="重要关系7",LEFT('幕间与结算'!H622,8)="建立新的重要关系"),'幕间与结算'!E622+E715,BW714+IF(C715="重要关系7",E715,0)+IF(AND(C715="魅力",E715&lt;0),E715,0))))</x:f>
        <x:v>0</x:v>
      </x:c>
    </x:row>
    <x:row r="716">
      <x:c r="A716" t="str">
        <x:f>IFERROR(TEXT(VALUE('幕间与结算'!A623),"00"),"")</x:f>
        <x:v>00</x:v>
      </x:c>
      <x:c r="B716">
        <x:f>'幕间与结算'!B623</x:f>
        <x:v>0</x:v>
      </x:c>
      <x:c r="C716">
        <x:f>'幕间与结算'!D623</x:f>
        <x:v>0</x:v>
      </x:c>
      <x:c r="D716">
        <x:f>'幕间与结算'!F623</x:f>
        <x:v>0</x:v>
      </x:c>
      <x:c r="E716">
        <x:f>IF(H716=1,MAX(-'幕间与结算'!E623,MIN(D716,IF(LEFT(C716,3)="技能：",99,IF(COUNTIF($L$2:$L$7,C716)&gt;0,18,999))-'幕间与结算'!E623)),0)</x:f>
        <x:v>0</x:v>
      </x:c>
      <x:c r="F716" t="str">
        <x:f>IF(C716=0,"",IF(G716=0,"记录不完整",IF(H716=0,"重复未计","已计入")))</x:f>
        <x:v/>
      </x:c>
      <x:c r="G716">
        <x:f>IF(AND(AND('幕间与结算'!A623&lt;&gt;"",'幕间与结算'!B623&lt;&gt;"",'幕间与结算'!I623&lt;&gt;"",OR(LEFT(C716,3)="技能：",COUNTIF($L$2:$L$19,C716)&gt;0),ISNUMBER('幕间与结算'!E623),ISNUMBER('幕间与结算'!F623),ISNUMBER('幕间与结算'!G623),'幕间与结算'!E623&gt;=0,'幕间与结算'!G623='幕间与结算'!E623+'幕间与结算'!F623),OR(B716&lt;&gt;"成长",AND(LEFT(C716,3)="技能：",C716&lt;&gt;"技能：非自然知识",'幕间与结算'!E623&gt;=1,'幕间与结算'!E623&lt;=99,'幕间与结算'!F623&gt;=0,'幕间与结算'!F623&lt;=4,'幕间与结算'!G623&lt;=99))),1,0)</x:f>
        <x:v>0</x:v>
      </x:c>
      <x:c r="H716">
        <x:f>IF(AND(G716=1,COUNTIFS($I$200:I716,I716,$G$200:G716,1)=1),1,0)</x:f>
        <x:v>0</x:v>
      </x:c>
      <x:c r="I716" t="str">
        <x:f>IF(G716=1,IF(B716="成长",A716&amp;"-成长-"&amp;C716,'幕间与结算'!I623),"")</x:f>
        <x:v/>
      </x:c>
      <x:c r="BF716">
        <x:f>MAX(0,MIN(18,BF715+IF(C716="力量",E716,0)))</x:f>
        <x:v>0</x:v>
      </x:c>
      <x:c r="BG716">
        <x:f>MAX(0,MIN(18,BG715+IF(C716="体质",E716,0)))</x:f>
        <x:v>0</x:v>
      </x:c>
      <x:c r="BH716">
        <x:f>MAX(0,MIN(18,BH715+IF(C716="敏捷",E716,0)))</x:f>
        <x:v>0</x:v>
      </x:c>
      <x:c r="BI716">
        <x:f>MAX(0,MIN(18,BI715+IF(C716="智力",E716,0)))</x:f>
        <x:v>0</x:v>
      </x:c>
      <x:c r="BJ716">
        <x:f>MAX(0,MIN(18,BJ715+IF(C716="意志",E716,0)))</x:f>
        <x:v>0</x:v>
      </x:c>
      <x:c r="BK716">
        <x:f>MAX(0,MIN(18,BK715+IF(C716="魅力",E716,0)))</x:f>
        <x:v>0</x:v>
      </x:c>
      <x:c r="BL716">
        <x:f>MAX(0,MIN(99,BL715+IF(C716="技能：非自然知识",E716,0)))</x:f>
        <x:v>0</x:v>
      </x:c>
      <x:c r="BM716">
        <x:f>MAX(0,MIN(CEILING((BF716+BG716)/2,1),BM715+IF(C716="体力",E716,0)))</x:f>
        <x:v>0</x:v>
      </x:c>
      <x:c r="BN716">
        <x:f>MAX(0,MIN(BJ716,BN715+IF(C716="毅力",E716,0)))</x:f>
        <x:v>0</x:v>
      </x:c>
      <x:c r="BO716">
        <x:f>MAX(0,MIN(99-BL716,BO715+IF(C716="理智",E716,0)))</x:f>
        <x:v>0</x:v>
      </x:c>
      <x:c r="BP716">
        <x:f>MAX(0,MIN(99,BP715+IF(C716="崩溃点",E716,0)))</x:f>
        <x:v>0</x:v>
      </x:c>
      <x:c r="BQ716">
        <x:f>MAX(0,MIN(BK716,IF(AND(H716=1,C716="重要关系1",LEFT('幕间与结算'!H623,8)="建立新的重要关系"),'幕间与结算'!E623+E716,BQ715+IF(C716="重要关系1",E716,0)+IF(AND(C716="魅力",E716&lt;0),E716,0))))</x:f>
        <x:v>0</x:v>
      </x:c>
      <x:c r="BR716">
        <x:f>MAX(0,MIN(BK716,IF(AND(H716=1,C716="重要关系2",LEFT('幕间与结算'!H623,8)="建立新的重要关系"),'幕间与结算'!E623+E716,BR715+IF(C716="重要关系2",E716,0)+IF(AND(C716="魅力",E716&lt;0),E716,0))))</x:f>
        <x:v>0</x:v>
      </x:c>
      <x:c r="BS716">
        <x:f>MAX(0,MIN(BK716,IF(AND(H716=1,C716="重要关系3",LEFT('幕间与结算'!H623,8)="建立新的重要关系"),'幕间与结算'!E623+E716,BS715+IF(C716="重要关系3",E716,0)+IF(AND(C716="魅力",E716&lt;0),E716,0))))</x:f>
        <x:v>0</x:v>
      </x:c>
      <x:c r="BT716">
        <x:f>MAX(0,MIN(BK716,IF(AND(H716=1,C716="重要关系4",LEFT('幕间与结算'!H623,8)="建立新的重要关系"),'幕间与结算'!E623+E716,BT715+IF(C716="重要关系4",E716,0)+IF(AND(C716="魅力",E716&lt;0),E716,0))))</x:f>
        <x:v>0</x:v>
      </x:c>
      <x:c r="BU716">
        <x:f>MAX(0,MIN(BK716,IF(AND(H716=1,C716="重要关系5",LEFT('幕间与结算'!H623,8)="建立新的重要关系"),'幕间与结算'!E623+E716,BU715+IF(C716="重要关系5",E716,0)+IF(AND(C716="魅力",E716&lt;0),E716,0))))</x:f>
        <x:v>0</x:v>
      </x:c>
      <x:c r="BV716">
        <x:f>MAX(0,MIN(BK716,IF(AND(H716=1,C716="重要关系6",LEFT('幕间与结算'!H623,8)="建立新的重要关系"),'幕间与结算'!E623+E716,BV715+IF(C716="重要关系6",E716,0)+IF(AND(C716="魅力",E716&lt;0),E716,0))))</x:f>
        <x:v>0</x:v>
      </x:c>
      <x:c r="BW716">
        <x:f>MAX(0,MIN(BK716,IF(AND(H716=1,C716="重要关系7",LEFT('幕间与结算'!H623,8)="建立新的重要关系"),'幕间与结算'!E623+E716,BW715+IF(C716="重要关系7",E716,0)+IF(AND(C716="魅力",E716&lt;0),E716,0))))</x:f>
        <x:v>0</x:v>
      </x:c>
    </x:row>
    <x:row r="717">
      <x:c r="A717" t="str">
        <x:f>IFERROR(TEXT(VALUE('幕间与结算'!A624),"00"),"")</x:f>
        <x:v>00</x:v>
      </x:c>
      <x:c r="B717">
        <x:f>'幕间与结算'!B624</x:f>
        <x:v>0</x:v>
      </x:c>
      <x:c r="C717">
        <x:f>'幕间与结算'!D624</x:f>
        <x:v>0</x:v>
      </x:c>
      <x:c r="D717">
        <x:f>'幕间与结算'!F624</x:f>
        <x:v>0</x:v>
      </x:c>
      <x:c r="E717">
        <x:f>IF(H717=1,MAX(-'幕间与结算'!E624,MIN(D717,IF(LEFT(C717,3)="技能：",99,IF(COUNTIF($L$2:$L$7,C717)&gt;0,18,999))-'幕间与结算'!E624)),0)</x:f>
        <x:v>0</x:v>
      </x:c>
      <x:c r="F717" t="str">
        <x:f>IF(C717=0,"",IF(G717=0,"记录不完整",IF(H717=0,"重复未计","已计入")))</x:f>
        <x:v/>
      </x:c>
      <x:c r="G717">
        <x:f>IF(AND(AND('幕间与结算'!A624&lt;&gt;"",'幕间与结算'!B624&lt;&gt;"",'幕间与结算'!I624&lt;&gt;"",OR(LEFT(C717,3)="技能：",COUNTIF($L$2:$L$19,C717)&gt;0),ISNUMBER('幕间与结算'!E624),ISNUMBER('幕间与结算'!F624),ISNUMBER('幕间与结算'!G624),'幕间与结算'!E624&gt;=0,'幕间与结算'!G624='幕间与结算'!E624+'幕间与结算'!F624),OR(B717&lt;&gt;"成长",AND(LEFT(C717,3)="技能：",C717&lt;&gt;"技能：非自然知识",'幕间与结算'!E624&gt;=1,'幕间与结算'!E624&lt;=99,'幕间与结算'!F624&gt;=0,'幕间与结算'!F624&lt;=4,'幕间与结算'!G624&lt;=99))),1,0)</x:f>
        <x:v>0</x:v>
      </x:c>
      <x:c r="H717">
        <x:f>IF(AND(G717=1,COUNTIFS($I$200:I717,I717,$G$200:G717,1)=1),1,0)</x:f>
        <x:v>0</x:v>
      </x:c>
      <x:c r="I717" t="str">
        <x:f>IF(G717=1,IF(B717="成长",A717&amp;"-成长-"&amp;C717,'幕间与结算'!I624),"")</x:f>
        <x:v/>
      </x:c>
      <x:c r="BF717">
        <x:f>MAX(0,MIN(18,BF716+IF(C717="力量",E717,0)))</x:f>
        <x:v>0</x:v>
      </x:c>
      <x:c r="BG717">
        <x:f>MAX(0,MIN(18,BG716+IF(C717="体质",E717,0)))</x:f>
        <x:v>0</x:v>
      </x:c>
      <x:c r="BH717">
        <x:f>MAX(0,MIN(18,BH716+IF(C717="敏捷",E717,0)))</x:f>
        <x:v>0</x:v>
      </x:c>
      <x:c r="BI717">
        <x:f>MAX(0,MIN(18,BI716+IF(C717="智力",E717,0)))</x:f>
        <x:v>0</x:v>
      </x:c>
      <x:c r="BJ717">
        <x:f>MAX(0,MIN(18,BJ716+IF(C717="意志",E717,0)))</x:f>
        <x:v>0</x:v>
      </x:c>
      <x:c r="BK717">
        <x:f>MAX(0,MIN(18,BK716+IF(C717="魅力",E717,0)))</x:f>
        <x:v>0</x:v>
      </x:c>
      <x:c r="BL717">
        <x:f>MAX(0,MIN(99,BL716+IF(C717="技能：非自然知识",E717,0)))</x:f>
        <x:v>0</x:v>
      </x:c>
      <x:c r="BM717">
        <x:f>MAX(0,MIN(CEILING((BF717+BG717)/2,1),BM716+IF(C717="体力",E717,0)))</x:f>
        <x:v>0</x:v>
      </x:c>
      <x:c r="BN717">
        <x:f>MAX(0,MIN(BJ717,BN716+IF(C717="毅力",E717,0)))</x:f>
        <x:v>0</x:v>
      </x:c>
      <x:c r="BO717">
        <x:f>MAX(0,MIN(99-BL717,BO716+IF(C717="理智",E717,0)))</x:f>
        <x:v>0</x:v>
      </x:c>
      <x:c r="BP717">
        <x:f>MAX(0,MIN(99,BP716+IF(C717="崩溃点",E717,0)))</x:f>
        <x:v>0</x:v>
      </x:c>
      <x:c r="BQ717">
        <x:f>MAX(0,MIN(BK717,IF(AND(H717=1,C717="重要关系1",LEFT('幕间与结算'!H624,8)="建立新的重要关系"),'幕间与结算'!E624+E717,BQ716+IF(C717="重要关系1",E717,0)+IF(AND(C717="魅力",E717&lt;0),E717,0))))</x:f>
        <x:v>0</x:v>
      </x:c>
      <x:c r="BR717">
        <x:f>MAX(0,MIN(BK717,IF(AND(H717=1,C717="重要关系2",LEFT('幕间与结算'!H624,8)="建立新的重要关系"),'幕间与结算'!E624+E717,BR716+IF(C717="重要关系2",E717,0)+IF(AND(C717="魅力",E717&lt;0),E717,0))))</x:f>
        <x:v>0</x:v>
      </x:c>
      <x:c r="BS717">
        <x:f>MAX(0,MIN(BK717,IF(AND(H717=1,C717="重要关系3",LEFT('幕间与结算'!H624,8)="建立新的重要关系"),'幕间与结算'!E624+E717,BS716+IF(C717="重要关系3",E717,0)+IF(AND(C717="魅力",E717&lt;0),E717,0))))</x:f>
        <x:v>0</x:v>
      </x:c>
      <x:c r="BT717">
        <x:f>MAX(0,MIN(BK717,IF(AND(H717=1,C717="重要关系4",LEFT('幕间与结算'!H624,8)="建立新的重要关系"),'幕间与结算'!E624+E717,BT716+IF(C717="重要关系4",E717,0)+IF(AND(C717="魅力",E717&lt;0),E717,0))))</x:f>
        <x:v>0</x:v>
      </x:c>
      <x:c r="BU717">
        <x:f>MAX(0,MIN(BK717,IF(AND(H717=1,C717="重要关系5",LEFT('幕间与结算'!H624,8)="建立新的重要关系"),'幕间与结算'!E624+E717,BU716+IF(C717="重要关系5",E717,0)+IF(AND(C717="魅力",E717&lt;0),E717,0))))</x:f>
        <x:v>0</x:v>
      </x:c>
      <x:c r="BV717">
        <x:f>MAX(0,MIN(BK717,IF(AND(H717=1,C717="重要关系6",LEFT('幕间与结算'!H624,8)="建立新的重要关系"),'幕间与结算'!E624+E717,BV716+IF(C717="重要关系6",E717,0)+IF(AND(C717="魅力",E717&lt;0),E717,0))))</x:f>
        <x:v>0</x:v>
      </x:c>
      <x:c r="BW717">
        <x:f>MAX(0,MIN(BK717,IF(AND(H717=1,C717="重要关系7",LEFT('幕间与结算'!H624,8)="建立新的重要关系"),'幕间与结算'!E624+E717,BW716+IF(C717="重要关系7",E717,0)+IF(AND(C717="魅力",E717&lt;0),E717,0))))</x:f>
        <x:v>0</x:v>
      </x:c>
    </x:row>
    <x:row r="718">
      <x:c r="A718" t="str">
        <x:f>IFERROR(TEXT(VALUE('幕间与结算'!A625),"00"),"")</x:f>
        <x:v>00</x:v>
      </x:c>
      <x:c r="B718">
        <x:f>'幕间与结算'!B625</x:f>
        <x:v>0</x:v>
      </x:c>
      <x:c r="C718">
        <x:f>'幕间与结算'!D625</x:f>
        <x:v>0</x:v>
      </x:c>
      <x:c r="D718">
        <x:f>'幕间与结算'!F625</x:f>
        <x:v>0</x:v>
      </x:c>
      <x:c r="E718">
        <x:f>IF(H718=1,MAX(-'幕间与结算'!E625,MIN(D718,IF(LEFT(C718,3)="技能：",99,IF(COUNTIF($L$2:$L$7,C718)&gt;0,18,999))-'幕间与结算'!E625)),0)</x:f>
        <x:v>0</x:v>
      </x:c>
      <x:c r="F718" t="str">
        <x:f>IF(C718=0,"",IF(G718=0,"记录不完整",IF(H718=0,"重复未计","已计入")))</x:f>
        <x:v/>
      </x:c>
      <x:c r="G718">
        <x:f>IF(AND(AND('幕间与结算'!A625&lt;&gt;"",'幕间与结算'!B625&lt;&gt;"",'幕间与结算'!I625&lt;&gt;"",OR(LEFT(C718,3)="技能：",COUNTIF($L$2:$L$19,C718)&gt;0),ISNUMBER('幕间与结算'!E625),ISNUMBER('幕间与结算'!F625),ISNUMBER('幕间与结算'!G625),'幕间与结算'!E625&gt;=0,'幕间与结算'!G625='幕间与结算'!E625+'幕间与结算'!F625),OR(B718&lt;&gt;"成长",AND(LEFT(C718,3)="技能：",C718&lt;&gt;"技能：非自然知识",'幕间与结算'!E625&gt;=1,'幕间与结算'!E625&lt;=99,'幕间与结算'!F625&gt;=0,'幕间与结算'!F625&lt;=4,'幕间与结算'!G625&lt;=99))),1,0)</x:f>
        <x:v>0</x:v>
      </x:c>
      <x:c r="H718">
        <x:f>IF(AND(G718=1,COUNTIFS($I$200:I718,I718,$G$200:G718,1)=1),1,0)</x:f>
        <x:v>0</x:v>
      </x:c>
      <x:c r="I718" t="str">
        <x:f>IF(G718=1,IF(B718="成长",A718&amp;"-成长-"&amp;C718,'幕间与结算'!I625),"")</x:f>
        <x:v/>
      </x:c>
      <x:c r="BF718">
        <x:f>MAX(0,MIN(18,BF717+IF(C718="力量",E718,0)))</x:f>
        <x:v>0</x:v>
      </x:c>
      <x:c r="BG718">
        <x:f>MAX(0,MIN(18,BG717+IF(C718="体质",E718,0)))</x:f>
        <x:v>0</x:v>
      </x:c>
      <x:c r="BH718">
        <x:f>MAX(0,MIN(18,BH717+IF(C718="敏捷",E718,0)))</x:f>
        <x:v>0</x:v>
      </x:c>
      <x:c r="BI718">
        <x:f>MAX(0,MIN(18,BI717+IF(C718="智力",E718,0)))</x:f>
        <x:v>0</x:v>
      </x:c>
      <x:c r="BJ718">
        <x:f>MAX(0,MIN(18,BJ717+IF(C718="意志",E718,0)))</x:f>
        <x:v>0</x:v>
      </x:c>
      <x:c r="BK718">
        <x:f>MAX(0,MIN(18,BK717+IF(C718="魅力",E718,0)))</x:f>
        <x:v>0</x:v>
      </x:c>
      <x:c r="BL718">
        <x:f>MAX(0,MIN(99,BL717+IF(C718="技能：非自然知识",E718,0)))</x:f>
        <x:v>0</x:v>
      </x:c>
      <x:c r="BM718">
        <x:f>MAX(0,MIN(CEILING((BF718+BG718)/2,1),BM717+IF(C718="体力",E718,0)))</x:f>
        <x:v>0</x:v>
      </x:c>
      <x:c r="BN718">
        <x:f>MAX(0,MIN(BJ718,BN717+IF(C718="毅力",E718,0)))</x:f>
        <x:v>0</x:v>
      </x:c>
      <x:c r="BO718">
        <x:f>MAX(0,MIN(99-BL718,BO717+IF(C718="理智",E718,0)))</x:f>
        <x:v>0</x:v>
      </x:c>
      <x:c r="BP718">
        <x:f>MAX(0,MIN(99,BP717+IF(C718="崩溃点",E718,0)))</x:f>
        <x:v>0</x:v>
      </x:c>
      <x:c r="BQ718">
        <x:f>MAX(0,MIN(BK718,IF(AND(H718=1,C718="重要关系1",LEFT('幕间与结算'!H625,8)="建立新的重要关系"),'幕间与结算'!E625+E718,BQ717+IF(C718="重要关系1",E718,0)+IF(AND(C718="魅力",E718&lt;0),E718,0))))</x:f>
        <x:v>0</x:v>
      </x:c>
      <x:c r="BR718">
        <x:f>MAX(0,MIN(BK718,IF(AND(H718=1,C718="重要关系2",LEFT('幕间与结算'!H625,8)="建立新的重要关系"),'幕间与结算'!E625+E718,BR717+IF(C718="重要关系2",E718,0)+IF(AND(C718="魅力",E718&lt;0),E718,0))))</x:f>
        <x:v>0</x:v>
      </x:c>
      <x:c r="BS718">
        <x:f>MAX(0,MIN(BK718,IF(AND(H718=1,C718="重要关系3",LEFT('幕间与结算'!H625,8)="建立新的重要关系"),'幕间与结算'!E625+E718,BS717+IF(C718="重要关系3",E718,0)+IF(AND(C718="魅力",E718&lt;0),E718,0))))</x:f>
        <x:v>0</x:v>
      </x:c>
      <x:c r="BT718">
        <x:f>MAX(0,MIN(BK718,IF(AND(H718=1,C718="重要关系4",LEFT('幕间与结算'!H625,8)="建立新的重要关系"),'幕间与结算'!E625+E718,BT717+IF(C718="重要关系4",E718,0)+IF(AND(C718="魅力",E718&lt;0),E718,0))))</x:f>
        <x:v>0</x:v>
      </x:c>
      <x:c r="BU718">
        <x:f>MAX(0,MIN(BK718,IF(AND(H718=1,C718="重要关系5",LEFT('幕间与结算'!H625,8)="建立新的重要关系"),'幕间与结算'!E625+E718,BU717+IF(C718="重要关系5",E718,0)+IF(AND(C718="魅力",E718&lt;0),E718,0))))</x:f>
        <x:v>0</x:v>
      </x:c>
      <x:c r="BV718">
        <x:f>MAX(0,MIN(BK718,IF(AND(H718=1,C718="重要关系6",LEFT('幕间与结算'!H625,8)="建立新的重要关系"),'幕间与结算'!E625+E718,BV717+IF(C718="重要关系6",E718,0)+IF(AND(C718="魅力",E718&lt;0),E718,0))))</x:f>
        <x:v>0</x:v>
      </x:c>
      <x:c r="BW718">
        <x:f>MAX(0,MIN(BK718,IF(AND(H718=1,C718="重要关系7",LEFT('幕间与结算'!H625,8)="建立新的重要关系"),'幕间与结算'!E625+E718,BW717+IF(C718="重要关系7",E718,0)+IF(AND(C718="魅力",E718&lt;0),E718,0))))</x:f>
        <x:v>0</x:v>
      </x:c>
    </x:row>
    <x:row r="719">
      <x:c r="A719" t="str">
        <x:f>IFERROR(TEXT(VALUE('幕间与结算'!A626),"00"),"")</x:f>
        <x:v>00</x:v>
      </x:c>
      <x:c r="B719">
        <x:f>'幕间与结算'!B626</x:f>
        <x:v>0</x:v>
      </x:c>
      <x:c r="C719">
        <x:f>'幕间与结算'!D626</x:f>
        <x:v>0</x:v>
      </x:c>
      <x:c r="D719">
        <x:f>'幕间与结算'!F626</x:f>
        <x:v>0</x:v>
      </x:c>
      <x:c r="E719">
        <x:f>IF(H719=1,MAX(-'幕间与结算'!E626,MIN(D719,IF(LEFT(C719,3)="技能：",99,IF(COUNTIF($L$2:$L$7,C719)&gt;0,18,999))-'幕间与结算'!E626)),0)</x:f>
        <x:v>0</x:v>
      </x:c>
      <x:c r="F719" t="str">
        <x:f>IF(C719=0,"",IF(G719=0,"记录不完整",IF(H719=0,"重复未计","已计入")))</x:f>
        <x:v/>
      </x:c>
      <x:c r="G719">
        <x:f>IF(AND(AND('幕间与结算'!A626&lt;&gt;"",'幕间与结算'!B626&lt;&gt;"",'幕间与结算'!I626&lt;&gt;"",OR(LEFT(C719,3)="技能：",COUNTIF($L$2:$L$19,C719)&gt;0),ISNUMBER('幕间与结算'!E626),ISNUMBER('幕间与结算'!F626),ISNUMBER('幕间与结算'!G626),'幕间与结算'!E626&gt;=0,'幕间与结算'!G626='幕间与结算'!E626+'幕间与结算'!F626),OR(B719&lt;&gt;"成长",AND(LEFT(C719,3)="技能：",C719&lt;&gt;"技能：非自然知识",'幕间与结算'!E626&gt;=1,'幕间与结算'!E626&lt;=99,'幕间与结算'!F626&gt;=0,'幕间与结算'!F626&lt;=4,'幕间与结算'!G626&lt;=99))),1,0)</x:f>
        <x:v>0</x:v>
      </x:c>
      <x:c r="H719">
        <x:f>IF(AND(G719=1,COUNTIFS($I$200:I719,I719,$G$200:G719,1)=1),1,0)</x:f>
        <x:v>0</x:v>
      </x:c>
      <x:c r="I719" t="str">
        <x:f>IF(G719=1,IF(B719="成长",A719&amp;"-成长-"&amp;C719,'幕间与结算'!I626),"")</x:f>
        <x:v/>
      </x:c>
      <x:c r="BF719">
        <x:f>MAX(0,MIN(18,BF718+IF(C719="力量",E719,0)))</x:f>
        <x:v>0</x:v>
      </x:c>
      <x:c r="BG719">
        <x:f>MAX(0,MIN(18,BG718+IF(C719="体质",E719,0)))</x:f>
        <x:v>0</x:v>
      </x:c>
      <x:c r="BH719">
        <x:f>MAX(0,MIN(18,BH718+IF(C719="敏捷",E719,0)))</x:f>
        <x:v>0</x:v>
      </x:c>
      <x:c r="BI719">
        <x:f>MAX(0,MIN(18,BI718+IF(C719="智力",E719,0)))</x:f>
        <x:v>0</x:v>
      </x:c>
      <x:c r="BJ719">
        <x:f>MAX(0,MIN(18,BJ718+IF(C719="意志",E719,0)))</x:f>
        <x:v>0</x:v>
      </x:c>
      <x:c r="BK719">
        <x:f>MAX(0,MIN(18,BK718+IF(C719="魅力",E719,0)))</x:f>
        <x:v>0</x:v>
      </x:c>
      <x:c r="BL719">
        <x:f>MAX(0,MIN(99,BL718+IF(C719="技能：非自然知识",E719,0)))</x:f>
        <x:v>0</x:v>
      </x:c>
      <x:c r="BM719">
        <x:f>MAX(0,MIN(CEILING((BF719+BG719)/2,1),BM718+IF(C719="体力",E719,0)))</x:f>
        <x:v>0</x:v>
      </x:c>
      <x:c r="BN719">
        <x:f>MAX(0,MIN(BJ719,BN718+IF(C719="毅力",E719,0)))</x:f>
        <x:v>0</x:v>
      </x:c>
      <x:c r="BO719">
        <x:f>MAX(0,MIN(99-BL719,BO718+IF(C719="理智",E719,0)))</x:f>
        <x:v>0</x:v>
      </x:c>
      <x:c r="BP719">
        <x:f>MAX(0,MIN(99,BP718+IF(C719="崩溃点",E719,0)))</x:f>
        <x:v>0</x:v>
      </x:c>
      <x:c r="BQ719">
        <x:f>MAX(0,MIN(BK719,IF(AND(H719=1,C719="重要关系1",LEFT('幕间与结算'!H626,8)="建立新的重要关系"),'幕间与结算'!E626+E719,BQ718+IF(C719="重要关系1",E719,0)+IF(AND(C719="魅力",E719&lt;0),E719,0))))</x:f>
        <x:v>0</x:v>
      </x:c>
      <x:c r="BR719">
        <x:f>MAX(0,MIN(BK719,IF(AND(H719=1,C719="重要关系2",LEFT('幕间与结算'!H626,8)="建立新的重要关系"),'幕间与结算'!E626+E719,BR718+IF(C719="重要关系2",E719,0)+IF(AND(C719="魅力",E719&lt;0),E719,0))))</x:f>
        <x:v>0</x:v>
      </x:c>
      <x:c r="BS719">
        <x:f>MAX(0,MIN(BK719,IF(AND(H719=1,C719="重要关系3",LEFT('幕间与结算'!H626,8)="建立新的重要关系"),'幕间与结算'!E626+E719,BS718+IF(C719="重要关系3",E719,0)+IF(AND(C719="魅力",E719&lt;0),E719,0))))</x:f>
        <x:v>0</x:v>
      </x:c>
      <x:c r="BT719">
        <x:f>MAX(0,MIN(BK719,IF(AND(H719=1,C719="重要关系4",LEFT('幕间与结算'!H626,8)="建立新的重要关系"),'幕间与结算'!E626+E719,BT718+IF(C719="重要关系4",E719,0)+IF(AND(C719="魅力",E719&lt;0),E719,0))))</x:f>
        <x:v>0</x:v>
      </x:c>
      <x:c r="BU719">
        <x:f>MAX(0,MIN(BK719,IF(AND(H719=1,C719="重要关系5",LEFT('幕间与结算'!H626,8)="建立新的重要关系"),'幕间与结算'!E626+E719,BU718+IF(C719="重要关系5",E719,0)+IF(AND(C719="魅力",E719&lt;0),E719,0))))</x:f>
        <x:v>0</x:v>
      </x:c>
      <x:c r="BV719">
        <x:f>MAX(0,MIN(BK719,IF(AND(H719=1,C719="重要关系6",LEFT('幕间与结算'!H626,8)="建立新的重要关系"),'幕间与结算'!E626+E719,BV718+IF(C719="重要关系6",E719,0)+IF(AND(C719="魅力",E719&lt;0),E719,0))))</x:f>
        <x:v>0</x:v>
      </x:c>
      <x:c r="BW719">
        <x:f>MAX(0,MIN(BK719,IF(AND(H719=1,C719="重要关系7",LEFT('幕间与结算'!H626,8)="建立新的重要关系"),'幕间与结算'!E626+E719,BW718+IF(C719="重要关系7",E719,0)+IF(AND(C719="魅力",E719&lt;0),E719,0))))</x:f>
        <x:v>0</x:v>
      </x:c>
    </x:row>
    <x:row r="720">
      <x:c r="A720" t="str">
        <x:f>IFERROR(TEXT(VALUE('幕间与结算'!A627),"00"),"")</x:f>
        <x:v>00</x:v>
      </x:c>
      <x:c r="B720">
        <x:f>'幕间与结算'!B627</x:f>
        <x:v>0</x:v>
      </x:c>
      <x:c r="C720">
        <x:f>'幕间与结算'!D627</x:f>
        <x:v>0</x:v>
      </x:c>
      <x:c r="D720">
        <x:f>'幕间与结算'!F627</x:f>
        <x:v>0</x:v>
      </x:c>
      <x:c r="E720">
        <x:f>IF(H720=1,MAX(-'幕间与结算'!E627,MIN(D720,IF(LEFT(C720,3)="技能：",99,IF(COUNTIF($L$2:$L$7,C720)&gt;0,18,999))-'幕间与结算'!E627)),0)</x:f>
        <x:v>0</x:v>
      </x:c>
      <x:c r="F720" t="str">
        <x:f>IF(C720=0,"",IF(G720=0,"记录不完整",IF(H720=0,"重复未计","已计入")))</x:f>
        <x:v/>
      </x:c>
      <x:c r="G720">
        <x:f>IF(AND(AND('幕间与结算'!A627&lt;&gt;"",'幕间与结算'!B627&lt;&gt;"",'幕间与结算'!I627&lt;&gt;"",OR(LEFT(C720,3)="技能：",COUNTIF($L$2:$L$19,C720)&gt;0),ISNUMBER('幕间与结算'!E627),ISNUMBER('幕间与结算'!F627),ISNUMBER('幕间与结算'!G627),'幕间与结算'!E627&gt;=0,'幕间与结算'!G627='幕间与结算'!E627+'幕间与结算'!F627),OR(B720&lt;&gt;"成长",AND(LEFT(C720,3)="技能：",C720&lt;&gt;"技能：非自然知识",'幕间与结算'!E627&gt;=1,'幕间与结算'!E627&lt;=99,'幕间与结算'!F627&gt;=0,'幕间与结算'!F627&lt;=4,'幕间与结算'!G627&lt;=99))),1,0)</x:f>
        <x:v>0</x:v>
      </x:c>
      <x:c r="H720">
        <x:f>IF(AND(G720=1,COUNTIFS($I$200:I720,I720,$G$200:G720,1)=1),1,0)</x:f>
        <x:v>0</x:v>
      </x:c>
      <x:c r="I720" t="str">
        <x:f>IF(G720=1,IF(B720="成长",A720&amp;"-成长-"&amp;C720,'幕间与结算'!I627),"")</x:f>
        <x:v/>
      </x:c>
      <x:c r="BF720">
        <x:f>MAX(0,MIN(18,BF719+IF(C720="力量",E720,0)))</x:f>
        <x:v>0</x:v>
      </x:c>
      <x:c r="BG720">
        <x:f>MAX(0,MIN(18,BG719+IF(C720="体质",E720,0)))</x:f>
        <x:v>0</x:v>
      </x:c>
      <x:c r="BH720">
        <x:f>MAX(0,MIN(18,BH719+IF(C720="敏捷",E720,0)))</x:f>
        <x:v>0</x:v>
      </x:c>
      <x:c r="BI720">
        <x:f>MAX(0,MIN(18,BI719+IF(C720="智力",E720,0)))</x:f>
        <x:v>0</x:v>
      </x:c>
      <x:c r="BJ720">
        <x:f>MAX(0,MIN(18,BJ719+IF(C720="意志",E720,0)))</x:f>
        <x:v>0</x:v>
      </x:c>
      <x:c r="BK720">
        <x:f>MAX(0,MIN(18,BK719+IF(C720="魅力",E720,0)))</x:f>
        <x:v>0</x:v>
      </x:c>
      <x:c r="BL720">
        <x:f>MAX(0,MIN(99,BL719+IF(C720="技能：非自然知识",E720,0)))</x:f>
        <x:v>0</x:v>
      </x:c>
      <x:c r="BM720">
        <x:f>MAX(0,MIN(CEILING((BF720+BG720)/2,1),BM719+IF(C720="体力",E720,0)))</x:f>
        <x:v>0</x:v>
      </x:c>
      <x:c r="BN720">
        <x:f>MAX(0,MIN(BJ720,BN719+IF(C720="毅力",E720,0)))</x:f>
        <x:v>0</x:v>
      </x:c>
      <x:c r="BO720">
        <x:f>MAX(0,MIN(99-BL720,BO719+IF(C720="理智",E720,0)))</x:f>
        <x:v>0</x:v>
      </x:c>
      <x:c r="BP720">
        <x:f>MAX(0,MIN(99,BP719+IF(C720="崩溃点",E720,0)))</x:f>
        <x:v>0</x:v>
      </x:c>
      <x:c r="BQ720">
        <x:f>MAX(0,MIN(BK720,IF(AND(H720=1,C720="重要关系1",LEFT('幕间与结算'!H627,8)="建立新的重要关系"),'幕间与结算'!E627+E720,BQ719+IF(C720="重要关系1",E720,0)+IF(AND(C720="魅力",E720&lt;0),E720,0))))</x:f>
        <x:v>0</x:v>
      </x:c>
      <x:c r="BR720">
        <x:f>MAX(0,MIN(BK720,IF(AND(H720=1,C720="重要关系2",LEFT('幕间与结算'!H627,8)="建立新的重要关系"),'幕间与结算'!E627+E720,BR719+IF(C720="重要关系2",E720,0)+IF(AND(C720="魅力",E720&lt;0),E720,0))))</x:f>
        <x:v>0</x:v>
      </x:c>
      <x:c r="BS720">
        <x:f>MAX(0,MIN(BK720,IF(AND(H720=1,C720="重要关系3",LEFT('幕间与结算'!H627,8)="建立新的重要关系"),'幕间与结算'!E627+E720,BS719+IF(C720="重要关系3",E720,0)+IF(AND(C720="魅力",E720&lt;0),E720,0))))</x:f>
        <x:v>0</x:v>
      </x:c>
      <x:c r="BT720">
        <x:f>MAX(0,MIN(BK720,IF(AND(H720=1,C720="重要关系4",LEFT('幕间与结算'!H627,8)="建立新的重要关系"),'幕间与结算'!E627+E720,BT719+IF(C720="重要关系4",E720,0)+IF(AND(C720="魅力",E720&lt;0),E720,0))))</x:f>
        <x:v>0</x:v>
      </x:c>
      <x:c r="BU720">
        <x:f>MAX(0,MIN(BK720,IF(AND(H720=1,C720="重要关系5",LEFT('幕间与结算'!H627,8)="建立新的重要关系"),'幕间与结算'!E627+E720,BU719+IF(C720="重要关系5",E720,0)+IF(AND(C720="魅力",E720&lt;0),E720,0))))</x:f>
        <x:v>0</x:v>
      </x:c>
      <x:c r="BV720">
        <x:f>MAX(0,MIN(BK720,IF(AND(H720=1,C720="重要关系6",LEFT('幕间与结算'!H627,8)="建立新的重要关系"),'幕间与结算'!E627+E720,BV719+IF(C720="重要关系6",E720,0)+IF(AND(C720="魅力",E720&lt;0),E720,0))))</x:f>
        <x:v>0</x:v>
      </x:c>
      <x:c r="BW720">
        <x:f>MAX(0,MIN(BK720,IF(AND(H720=1,C720="重要关系7",LEFT('幕间与结算'!H627,8)="建立新的重要关系"),'幕间与结算'!E627+E720,BW719+IF(C720="重要关系7",E720,0)+IF(AND(C720="魅力",E720&lt;0),E720,0))))</x:f>
        <x:v>0</x:v>
      </x:c>
    </x:row>
    <x:row r="721">
      <x:c r="A721" t="str">
        <x:f>IFERROR(TEXT(VALUE('幕间与结算'!A628),"00"),"")</x:f>
        <x:v>00</x:v>
      </x:c>
      <x:c r="B721">
        <x:f>'幕间与结算'!B628</x:f>
        <x:v>0</x:v>
      </x:c>
      <x:c r="C721">
        <x:f>'幕间与结算'!D628</x:f>
        <x:v>0</x:v>
      </x:c>
      <x:c r="D721">
        <x:f>'幕间与结算'!F628</x:f>
        <x:v>0</x:v>
      </x:c>
      <x:c r="E721">
        <x:f>IF(H721=1,MAX(-'幕间与结算'!E628,MIN(D721,IF(LEFT(C721,3)="技能：",99,IF(COUNTIF($L$2:$L$7,C721)&gt;0,18,999))-'幕间与结算'!E628)),0)</x:f>
        <x:v>0</x:v>
      </x:c>
      <x:c r="F721" t="str">
        <x:f>IF(C721=0,"",IF(G721=0,"记录不完整",IF(H721=0,"重复未计","已计入")))</x:f>
        <x:v/>
      </x:c>
      <x:c r="G721">
        <x:f>IF(AND(AND('幕间与结算'!A628&lt;&gt;"",'幕间与结算'!B628&lt;&gt;"",'幕间与结算'!I628&lt;&gt;"",OR(LEFT(C721,3)="技能：",COUNTIF($L$2:$L$19,C721)&gt;0),ISNUMBER('幕间与结算'!E628),ISNUMBER('幕间与结算'!F628),ISNUMBER('幕间与结算'!G628),'幕间与结算'!E628&gt;=0,'幕间与结算'!G628='幕间与结算'!E628+'幕间与结算'!F628),OR(B721&lt;&gt;"成长",AND(LEFT(C721,3)="技能：",C721&lt;&gt;"技能：非自然知识",'幕间与结算'!E628&gt;=1,'幕间与结算'!E628&lt;=99,'幕间与结算'!F628&gt;=0,'幕间与结算'!F628&lt;=4,'幕间与结算'!G628&lt;=99))),1,0)</x:f>
        <x:v>0</x:v>
      </x:c>
      <x:c r="H721">
        <x:f>IF(AND(G721=1,COUNTIFS($I$200:I721,I721,$G$200:G721,1)=1),1,0)</x:f>
        <x:v>0</x:v>
      </x:c>
      <x:c r="I721" t="str">
        <x:f>IF(G721=1,IF(B721="成长",A721&amp;"-成长-"&amp;C721,'幕间与结算'!I628),"")</x:f>
        <x:v/>
      </x:c>
      <x:c r="BF721">
        <x:f>MAX(0,MIN(18,BF720+IF(C721="力量",E721,0)))</x:f>
        <x:v>0</x:v>
      </x:c>
      <x:c r="BG721">
        <x:f>MAX(0,MIN(18,BG720+IF(C721="体质",E721,0)))</x:f>
        <x:v>0</x:v>
      </x:c>
      <x:c r="BH721">
        <x:f>MAX(0,MIN(18,BH720+IF(C721="敏捷",E721,0)))</x:f>
        <x:v>0</x:v>
      </x:c>
      <x:c r="BI721">
        <x:f>MAX(0,MIN(18,BI720+IF(C721="智力",E721,0)))</x:f>
        <x:v>0</x:v>
      </x:c>
      <x:c r="BJ721">
        <x:f>MAX(0,MIN(18,BJ720+IF(C721="意志",E721,0)))</x:f>
        <x:v>0</x:v>
      </x:c>
      <x:c r="BK721">
        <x:f>MAX(0,MIN(18,BK720+IF(C721="魅力",E721,0)))</x:f>
        <x:v>0</x:v>
      </x:c>
      <x:c r="BL721">
        <x:f>MAX(0,MIN(99,BL720+IF(C721="技能：非自然知识",E721,0)))</x:f>
        <x:v>0</x:v>
      </x:c>
      <x:c r="BM721">
        <x:f>MAX(0,MIN(CEILING((BF721+BG721)/2,1),BM720+IF(C721="体力",E721,0)))</x:f>
        <x:v>0</x:v>
      </x:c>
      <x:c r="BN721">
        <x:f>MAX(0,MIN(BJ721,BN720+IF(C721="毅力",E721,0)))</x:f>
        <x:v>0</x:v>
      </x:c>
      <x:c r="BO721">
        <x:f>MAX(0,MIN(99-BL721,BO720+IF(C721="理智",E721,0)))</x:f>
        <x:v>0</x:v>
      </x:c>
      <x:c r="BP721">
        <x:f>MAX(0,MIN(99,BP720+IF(C721="崩溃点",E721,0)))</x:f>
        <x:v>0</x:v>
      </x:c>
      <x:c r="BQ721">
        <x:f>MAX(0,MIN(BK721,IF(AND(H721=1,C721="重要关系1",LEFT('幕间与结算'!H628,8)="建立新的重要关系"),'幕间与结算'!E628+E721,BQ720+IF(C721="重要关系1",E721,0)+IF(AND(C721="魅力",E721&lt;0),E721,0))))</x:f>
        <x:v>0</x:v>
      </x:c>
      <x:c r="BR721">
        <x:f>MAX(0,MIN(BK721,IF(AND(H721=1,C721="重要关系2",LEFT('幕间与结算'!H628,8)="建立新的重要关系"),'幕间与结算'!E628+E721,BR720+IF(C721="重要关系2",E721,0)+IF(AND(C721="魅力",E721&lt;0),E721,0))))</x:f>
        <x:v>0</x:v>
      </x:c>
      <x:c r="BS721">
        <x:f>MAX(0,MIN(BK721,IF(AND(H721=1,C721="重要关系3",LEFT('幕间与结算'!H628,8)="建立新的重要关系"),'幕间与结算'!E628+E721,BS720+IF(C721="重要关系3",E721,0)+IF(AND(C721="魅力",E721&lt;0),E721,0))))</x:f>
        <x:v>0</x:v>
      </x:c>
      <x:c r="BT721">
        <x:f>MAX(0,MIN(BK721,IF(AND(H721=1,C721="重要关系4",LEFT('幕间与结算'!H628,8)="建立新的重要关系"),'幕间与结算'!E628+E721,BT720+IF(C721="重要关系4",E721,0)+IF(AND(C721="魅力",E721&lt;0),E721,0))))</x:f>
        <x:v>0</x:v>
      </x:c>
      <x:c r="BU721">
        <x:f>MAX(0,MIN(BK721,IF(AND(H721=1,C721="重要关系5",LEFT('幕间与结算'!H628,8)="建立新的重要关系"),'幕间与结算'!E628+E721,BU720+IF(C721="重要关系5",E721,0)+IF(AND(C721="魅力",E721&lt;0),E721,0))))</x:f>
        <x:v>0</x:v>
      </x:c>
      <x:c r="BV721">
        <x:f>MAX(0,MIN(BK721,IF(AND(H721=1,C721="重要关系6",LEFT('幕间与结算'!H628,8)="建立新的重要关系"),'幕间与结算'!E628+E721,BV720+IF(C721="重要关系6",E721,0)+IF(AND(C721="魅力",E721&lt;0),E721,0))))</x:f>
        <x:v>0</x:v>
      </x:c>
      <x:c r="BW721">
        <x:f>MAX(0,MIN(BK721,IF(AND(H721=1,C721="重要关系7",LEFT('幕间与结算'!H628,8)="建立新的重要关系"),'幕间与结算'!E628+E721,BW720+IF(C721="重要关系7",E721,0)+IF(AND(C721="魅力",E721&lt;0),E721,0))))</x:f>
        <x:v>0</x:v>
      </x:c>
    </x:row>
    <x:row r="722">
      <x:c r="A722" t="str">
        <x:f>IFERROR(TEXT(VALUE('幕间与结算'!A629),"00"),"")</x:f>
        <x:v>00</x:v>
      </x:c>
      <x:c r="B722">
        <x:f>'幕间与结算'!B629</x:f>
        <x:v>0</x:v>
      </x:c>
      <x:c r="C722">
        <x:f>'幕间与结算'!D629</x:f>
        <x:v>0</x:v>
      </x:c>
      <x:c r="D722">
        <x:f>'幕间与结算'!F629</x:f>
        <x:v>0</x:v>
      </x:c>
      <x:c r="E722">
        <x:f>IF(H722=1,MAX(-'幕间与结算'!E629,MIN(D722,IF(LEFT(C722,3)="技能：",99,IF(COUNTIF($L$2:$L$7,C722)&gt;0,18,999))-'幕间与结算'!E629)),0)</x:f>
        <x:v>0</x:v>
      </x:c>
      <x:c r="F722" t="str">
        <x:f>IF(C722=0,"",IF(G722=0,"记录不完整",IF(H722=0,"重复未计","已计入")))</x:f>
        <x:v/>
      </x:c>
      <x:c r="G722">
        <x:f>IF(AND(AND('幕间与结算'!A629&lt;&gt;"",'幕间与结算'!B629&lt;&gt;"",'幕间与结算'!I629&lt;&gt;"",OR(LEFT(C722,3)="技能：",COUNTIF($L$2:$L$19,C722)&gt;0),ISNUMBER('幕间与结算'!E629),ISNUMBER('幕间与结算'!F629),ISNUMBER('幕间与结算'!G629),'幕间与结算'!E629&gt;=0,'幕间与结算'!G629='幕间与结算'!E629+'幕间与结算'!F629),OR(B722&lt;&gt;"成长",AND(LEFT(C722,3)="技能：",C722&lt;&gt;"技能：非自然知识",'幕间与结算'!E629&gt;=1,'幕间与结算'!E629&lt;=99,'幕间与结算'!F629&gt;=0,'幕间与结算'!F629&lt;=4,'幕间与结算'!G629&lt;=99))),1,0)</x:f>
        <x:v>0</x:v>
      </x:c>
      <x:c r="H722">
        <x:f>IF(AND(G722=1,COUNTIFS($I$200:I722,I722,$G$200:G722,1)=1),1,0)</x:f>
        <x:v>0</x:v>
      </x:c>
      <x:c r="I722" t="str">
        <x:f>IF(G722=1,IF(B722="成长",A722&amp;"-成长-"&amp;C722,'幕间与结算'!I629),"")</x:f>
        <x:v/>
      </x:c>
      <x:c r="BF722">
        <x:f>MAX(0,MIN(18,BF721+IF(C722="力量",E722,0)))</x:f>
        <x:v>0</x:v>
      </x:c>
      <x:c r="BG722">
        <x:f>MAX(0,MIN(18,BG721+IF(C722="体质",E722,0)))</x:f>
        <x:v>0</x:v>
      </x:c>
      <x:c r="BH722">
        <x:f>MAX(0,MIN(18,BH721+IF(C722="敏捷",E722,0)))</x:f>
        <x:v>0</x:v>
      </x:c>
      <x:c r="BI722">
        <x:f>MAX(0,MIN(18,BI721+IF(C722="智力",E722,0)))</x:f>
        <x:v>0</x:v>
      </x:c>
      <x:c r="BJ722">
        <x:f>MAX(0,MIN(18,BJ721+IF(C722="意志",E722,0)))</x:f>
        <x:v>0</x:v>
      </x:c>
      <x:c r="BK722">
        <x:f>MAX(0,MIN(18,BK721+IF(C722="魅力",E722,0)))</x:f>
        <x:v>0</x:v>
      </x:c>
      <x:c r="BL722">
        <x:f>MAX(0,MIN(99,BL721+IF(C722="技能：非自然知识",E722,0)))</x:f>
        <x:v>0</x:v>
      </x:c>
      <x:c r="BM722">
        <x:f>MAX(0,MIN(CEILING((BF722+BG722)/2,1),BM721+IF(C722="体力",E722,0)))</x:f>
        <x:v>0</x:v>
      </x:c>
      <x:c r="BN722">
        <x:f>MAX(0,MIN(BJ722,BN721+IF(C722="毅力",E722,0)))</x:f>
        <x:v>0</x:v>
      </x:c>
      <x:c r="BO722">
        <x:f>MAX(0,MIN(99-BL722,BO721+IF(C722="理智",E722,0)))</x:f>
        <x:v>0</x:v>
      </x:c>
      <x:c r="BP722">
        <x:f>MAX(0,MIN(99,BP721+IF(C722="崩溃点",E722,0)))</x:f>
        <x:v>0</x:v>
      </x:c>
      <x:c r="BQ722">
        <x:f>MAX(0,MIN(BK722,IF(AND(H722=1,C722="重要关系1",LEFT('幕间与结算'!H629,8)="建立新的重要关系"),'幕间与结算'!E629+E722,BQ721+IF(C722="重要关系1",E722,0)+IF(AND(C722="魅力",E722&lt;0),E722,0))))</x:f>
        <x:v>0</x:v>
      </x:c>
      <x:c r="BR722">
        <x:f>MAX(0,MIN(BK722,IF(AND(H722=1,C722="重要关系2",LEFT('幕间与结算'!H629,8)="建立新的重要关系"),'幕间与结算'!E629+E722,BR721+IF(C722="重要关系2",E722,0)+IF(AND(C722="魅力",E722&lt;0),E722,0))))</x:f>
        <x:v>0</x:v>
      </x:c>
      <x:c r="BS722">
        <x:f>MAX(0,MIN(BK722,IF(AND(H722=1,C722="重要关系3",LEFT('幕间与结算'!H629,8)="建立新的重要关系"),'幕间与结算'!E629+E722,BS721+IF(C722="重要关系3",E722,0)+IF(AND(C722="魅力",E722&lt;0),E722,0))))</x:f>
        <x:v>0</x:v>
      </x:c>
      <x:c r="BT722">
        <x:f>MAX(0,MIN(BK722,IF(AND(H722=1,C722="重要关系4",LEFT('幕间与结算'!H629,8)="建立新的重要关系"),'幕间与结算'!E629+E722,BT721+IF(C722="重要关系4",E722,0)+IF(AND(C722="魅力",E722&lt;0),E722,0))))</x:f>
        <x:v>0</x:v>
      </x:c>
      <x:c r="BU722">
        <x:f>MAX(0,MIN(BK722,IF(AND(H722=1,C722="重要关系5",LEFT('幕间与结算'!H629,8)="建立新的重要关系"),'幕间与结算'!E629+E722,BU721+IF(C722="重要关系5",E722,0)+IF(AND(C722="魅力",E722&lt;0),E722,0))))</x:f>
        <x:v>0</x:v>
      </x:c>
      <x:c r="BV722">
        <x:f>MAX(0,MIN(BK722,IF(AND(H722=1,C722="重要关系6",LEFT('幕间与结算'!H629,8)="建立新的重要关系"),'幕间与结算'!E629+E722,BV721+IF(C722="重要关系6",E722,0)+IF(AND(C722="魅力",E722&lt;0),E722,0))))</x:f>
        <x:v>0</x:v>
      </x:c>
      <x:c r="BW722">
        <x:f>MAX(0,MIN(BK722,IF(AND(H722=1,C722="重要关系7",LEFT('幕间与结算'!H629,8)="建立新的重要关系"),'幕间与结算'!E629+E722,BW721+IF(C722="重要关系7",E722,0)+IF(AND(C722="魅力",E722&lt;0),E722,0))))</x:f>
        <x:v>0</x:v>
      </x:c>
    </x:row>
    <x:row r="723">
      <x:c r="A723" t="str">
        <x:f>IFERROR(TEXT(VALUE('幕间与结算'!A630),"00"),"")</x:f>
        <x:v>00</x:v>
      </x:c>
      <x:c r="B723">
        <x:f>'幕间与结算'!B630</x:f>
        <x:v>0</x:v>
      </x:c>
      <x:c r="C723">
        <x:f>'幕间与结算'!D630</x:f>
        <x:v>0</x:v>
      </x:c>
      <x:c r="D723">
        <x:f>'幕间与结算'!F630</x:f>
        <x:v>0</x:v>
      </x:c>
      <x:c r="E723">
        <x:f>IF(H723=1,MAX(-'幕间与结算'!E630,MIN(D723,IF(LEFT(C723,3)="技能：",99,IF(COUNTIF($L$2:$L$7,C723)&gt;0,18,999))-'幕间与结算'!E630)),0)</x:f>
        <x:v>0</x:v>
      </x:c>
      <x:c r="F723" t="str">
        <x:f>IF(C723=0,"",IF(G723=0,"记录不完整",IF(H723=0,"重复未计","已计入")))</x:f>
        <x:v/>
      </x:c>
      <x:c r="G723">
        <x:f>IF(AND(AND('幕间与结算'!A630&lt;&gt;"",'幕间与结算'!B630&lt;&gt;"",'幕间与结算'!I630&lt;&gt;"",OR(LEFT(C723,3)="技能：",COUNTIF($L$2:$L$19,C723)&gt;0),ISNUMBER('幕间与结算'!E630),ISNUMBER('幕间与结算'!F630),ISNUMBER('幕间与结算'!G630),'幕间与结算'!E630&gt;=0,'幕间与结算'!G630='幕间与结算'!E630+'幕间与结算'!F630),OR(B723&lt;&gt;"成长",AND(LEFT(C723,3)="技能：",C723&lt;&gt;"技能：非自然知识",'幕间与结算'!E630&gt;=1,'幕间与结算'!E630&lt;=99,'幕间与结算'!F630&gt;=0,'幕间与结算'!F630&lt;=4,'幕间与结算'!G630&lt;=99))),1,0)</x:f>
        <x:v>0</x:v>
      </x:c>
      <x:c r="H723">
        <x:f>IF(AND(G723=1,COUNTIFS($I$200:I723,I723,$G$200:G723,1)=1),1,0)</x:f>
        <x:v>0</x:v>
      </x:c>
      <x:c r="I723" t="str">
        <x:f>IF(G723=1,IF(B723="成长",A723&amp;"-成长-"&amp;C723,'幕间与结算'!I630),"")</x:f>
        <x:v/>
      </x:c>
      <x:c r="BF723">
        <x:f>MAX(0,MIN(18,BF722+IF(C723="力量",E723,0)))</x:f>
        <x:v>0</x:v>
      </x:c>
      <x:c r="BG723">
        <x:f>MAX(0,MIN(18,BG722+IF(C723="体质",E723,0)))</x:f>
        <x:v>0</x:v>
      </x:c>
      <x:c r="BH723">
        <x:f>MAX(0,MIN(18,BH722+IF(C723="敏捷",E723,0)))</x:f>
        <x:v>0</x:v>
      </x:c>
      <x:c r="BI723">
        <x:f>MAX(0,MIN(18,BI722+IF(C723="智力",E723,0)))</x:f>
        <x:v>0</x:v>
      </x:c>
      <x:c r="BJ723">
        <x:f>MAX(0,MIN(18,BJ722+IF(C723="意志",E723,0)))</x:f>
        <x:v>0</x:v>
      </x:c>
      <x:c r="BK723">
        <x:f>MAX(0,MIN(18,BK722+IF(C723="魅力",E723,0)))</x:f>
        <x:v>0</x:v>
      </x:c>
      <x:c r="BL723">
        <x:f>MAX(0,MIN(99,BL722+IF(C723="技能：非自然知识",E723,0)))</x:f>
        <x:v>0</x:v>
      </x:c>
      <x:c r="BM723">
        <x:f>MAX(0,MIN(CEILING((BF723+BG723)/2,1),BM722+IF(C723="体力",E723,0)))</x:f>
        <x:v>0</x:v>
      </x:c>
      <x:c r="BN723">
        <x:f>MAX(0,MIN(BJ723,BN722+IF(C723="毅力",E723,0)))</x:f>
        <x:v>0</x:v>
      </x:c>
      <x:c r="BO723">
        <x:f>MAX(0,MIN(99-BL723,BO722+IF(C723="理智",E723,0)))</x:f>
        <x:v>0</x:v>
      </x:c>
      <x:c r="BP723">
        <x:f>MAX(0,MIN(99,BP722+IF(C723="崩溃点",E723,0)))</x:f>
        <x:v>0</x:v>
      </x:c>
      <x:c r="BQ723">
        <x:f>MAX(0,MIN(BK723,IF(AND(H723=1,C723="重要关系1",LEFT('幕间与结算'!H630,8)="建立新的重要关系"),'幕间与结算'!E630+E723,BQ722+IF(C723="重要关系1",E723,0)+IF(AND(C723="魅力",E723&lt;0),E723,0))))</x:f>
        <x:v>0</x:v>
      </x:c>
      <x:c r="BR723">
        <x:f>MAX(0,MIN(BK723,IF(AND(H723=1,C723="重要关系2",LEFT('幕间与结算'!H630,8)="建立新的重要关系"),'幕间与结算'!E630+E723,BR722+IF(C723="重要关系2",E723,0)+IF(AND(C723="魅力",E723&lt;0),E723,0))))</x:f>
        <x:v>0</x:v>
      </x:c>
      <x:c r="BS723">
        <x:f>MAX(0,MIN(BK723,IF(AND(H723=1,C723="重要关系3",LEFT('幕间与结算'!H630,8)="建立新的重要关系"),'幕间与结算'!E630+E723,BS722+IF(C723="重要关系3",E723,0)+IF(AND(C723="魅力",E723&lt;0),E723,0))))</x:f>
        <x:v>0</x:v>
      </x:c>
      <x:c r="BT723">
        <x:f>MAX(0,MIN(BK723,IF(AND(H723=1,C723="重要关系4",LEFT('幕间与结算'!H630,8)="建立新的重要关系"),'幕间与结算'!E630+E723,BT722+IF(C723="重要关系4",E723,0)+IF(AND(C723="魅力",E723&lt;0),E723,0))))</x:f>
        <x:v>0</x:v>
      </x:c>
      <x:c r="BU723">
        <x:f>MAX(0,MIN(BK723,IF(AND(H723=1,C723="重要关系5",LEFT('幕间与结算'!H630,8)="建立新的重要关系"),'幕间与结算'!E630+E723,BU722+IF(C723="重要关系5",E723,0)+IF(AND(C723="魅力",E723&lt;0),E723,0))))</x:f>
        <x:v>0</x:v>
      </x:c>
      <x:c r="BV723">
        <x:f>MAX(0,MIN(BK723,IF(AND(H723=1,C723="重要关系6",LEFT('幕间与结算'!H630,8)="建立新的重要关系"),'幕间与结算'!E630+E723,BV722+IF(C723="重要关系6",E723,0)+IF(AND(C723="魅力",E723&lt;0),E723,0))))</x:f>
        <x:v>0</x:v>
      </x:c>
      <x:c r="BW723">
        <x:f>MAX(0,MIN(BK723,IF(AND(H723=1,C723="重要关系7",LEFT('幕间与结算'!H630,8)="建立新的重要关系"),'幕间与结算'!E630+E723,BW722+IF(C723="重要关系7",E723,0)+IF(AND(C723="魅力",E723&lt;0),E723,0))))</x:f>
        <x:v>0</x:v>
      </x:c>
    </x:row>
    <x:row r="724">
      <x:c r="A724" t="str">
        <x:f>IFERROR(TEXT(VALUE('幕间与结算'!A631),"00"),"")</x:f>
        <x:v>00</x:v>
      </x:c>
      <x:c r="B724">
        <x:f>'幕间与结算'!B631</x:f>
        <x:v>0</x:v>
      </x:c>
      <x:c r="C724">
        <x:f>'幕间与结算'!D631</x:f>
        <x:v>0</x:v>
      </x:c>
      <x:c r="D724">
        <x:f>'幕间与结算'!F631</x:f>
        <x:v>0</x:v>
      </x:c>
      <x:c r="E724">
        <x:f>IF(H724=1,MAX(-'幕间与结算'!E631,MIN(D724,IF(LEFT(C724,3)="技能：",99,IF(COUNTIF($L$2:$L$7,C724)&gt;0,18,999))-'幕间与结算'!E631)),0)</x:f>
        <x:v>0</x:v>
      </x:c>
      <x:c r="F724" t="str">
        <x:f>IF(C724=0,"",IF(G724=0,"记录不完整",IF(H724=0,"重复未计","已计入")))</x:f>
        <x:v/>
      </x:c>
      <x:c r="G724">
        <x:f>IF(AND(AND('幕间与结算'!A631&lt;&gt;"",'幕间与结算'!B631&lt;&gt;"",'幕间与结算'!I631&lt;&gt;"",OR(LEFT(C724,3)="技能：",COUNTIF($L$2:$L$19,C724)&gt;0),ISNUMBER('幕间与结算'!E631),ISNUMBER('幕间与结算'!F631),ISNUMBER('幕间与结算'!G631),'幕间与结算'!E631&gt;=0,'幕间与结算'!G631='幕间与结算'!E631+'幕间与结算'!F631),OR(B724&lt;&gt;"成长",AND(LEFT(C724,3)="技能：",C724&lt;&gt;"技能：非自然知识",'幕间与结算'!E631&gt;=1,'幕间与结算'!E631&lt;=99,'幕间与结算'!F631&gt;=0,'幕间与结算'!F631&lt;=4,'幕间与结算'!G631&lt;=99))),1,0)</x:f>
        <x:v>0</x:v>
      </x:c>
      <x:c r="H724">
        <x:f>IF(AND(G724=1,COUNTIFS($I$200:I724,I724,$G$200:G724,1)=1),1,0)</x:f>
        <x:v>0</x:v>
      </x:c>
      <x:c r="I724" t="str">
        <x:f>IF(G724=1,IF(B724="成长",A724&amp;"-成长-"&amp;C724,'幕间与结算'!I631),"")</x:f>
        <x:v/>
      </x:c>
      <x:c r="BF724">
        <x:f>MAX(0,MIN(18,BF723+IF(C724="力量",E724,0)))</x:f>
        <x:v>0</x:v>
      </x:c>
      <x:c r="BG724">
        <x:f>MAX(0,MIN(18,BG723+IF(C724="体质",E724,0)))</x:f>
        <x:v>0</x:v>
      </x:c>
      <x:c r="BH724">
        <x:f>MAX(0,MIN(18,BH723+IF(C724="敏捷",E724,0)))</x:f>
        <x:v>0</x:v>
      </x:c>
      <x:c r="BI724">
        <x:f>MAX(0,MIN(18,BI723+IF(C724="智力",E724,0)))</x:f>
        <x:v>0</x:v>
      </x:c>
      <x:c r="BJ724">
        <x:f>MAX(0,MIN(18,BJ723+IF(C724="意志",E724,0)))</x:f>
        <x:v>0</x:v>
      </x:c>
      <x:c r="BK724">
        <x:f>MAX(0,MIN(18,BK723+IF(C724="魅力",E724,0)))</x:f>
        <x:v>0</x:v>
      </x:c>
      <x:c r="BL724">
        <x:f>MAX(0,MIN(99,BL723+IF(C724="技能：非自然知识",E724,0)))</x:f>
        <x:v>0</x:v>
      </x:c>
      <x:c r="BM724">
        <x:f>MAX(0,MIN(CEILING((BF724+BG724)/2,1),BM723+IF(C724="体力",E724,0)))</x:f>
        <x:v>0</x:v>
      </x:c>
      <x:c r="BN724">
        <x:f>MAX(0,MIN(BJ724,BN723+IF(C724="毅力",E724,0)))</x:f>
        <x:v>0</x:v>
      </x:c>
      <x:c r="BO724">
        <x:f>MAX(0,MIN(99-BL724,BO723+IF(C724="理智",E724,0)))</x:f>
        <x:v>0</x:v>
      </x:c>
      <x:c r="BP724">
        <x:f>MAX(0,MIN(99,BP723+IF(C724="崩溃点",E724,0)))</x:f>
        <x:v>0</x:v>
      </x:c>
      <x:c r="BQ724">
        <x:f>MAX(0,MIN(BK724,IF(AND(H724=1,C724="重要关系1",LEFT('幕间与结算'!H631,8)="建立新的重要关系"),'幕间与结算'!E631+E724,BQ723+IF(C724="重要关系1",E724,0)+IF(AND(C724="魅力",E724&lt;0),E724,0))))</x:f>
        <x:v>0</x:v>
      </x:c>
      <x:c r="BR724">
        <x:f>MAX(0,MIN(BK724,IF(AND(H724=1,C724="重要关系2",LEFT('幕间与结算'!H631,8)="建立新的重要关系"),'幕间与结算'!E631+E724,BR723+IF(C724="重要关系2",E724,0)+IF(AND(C724="魅力",E724&lt;0),E724,0))))</x:f>
        <x:v>0</x:v>
      </x:c>
      <x:c r="BS724">
        <x:f>MAX(0,MIN(BK724,IF(AND(H724=1,C724="重要关系3",LEFT('幕间与结算'!H631,8)="建立新的重要关系"),'幕间与结算'!E631+E724,BS723+IF(C724="重要关系3",E724,0)+IF(AND(C724="魅力",E724&lt;0),E724,0))))</x:f>
        <x:v>0</x:v>
      </x:c>
      <x:c r="BT724">
        <x:f>MAX(0,MIN(BK724,IF(AND(H724=1,C724="重要关系4",LEFT('幕间与结算'!H631,8)="建立新的重要关系"),'幕间与结算'!E631+E724,BT723+IF(C724="重要关系4",E724,0)+IF(AND(C724="魅力",E724&lt;0),E724,0))))</x:f>
        <x:v>0</x:v>
      </x:c>
      <x:c r="BU724">
        <x:f>MAX(0,MIN(BK724,IF(AND(H724=1,C724="重要关系5",LEFT('幕间与结算'!H631,8)="建立新的重要关系"),'幕间与结算'!E631+E724,BU723+IF(C724="重要关系5",E724,0)+IF(AND(C724="魅力",E724&lt;0),E724,0))))</x:f>
        <x:v>0</x:v>
      </x:c>
      <x:c r="BV724">
        <x:f>MAX(0,MIN(BK724,IF(AND(H724=1,C724="重要关系6",LEFT('幕间与结算'!H631,8)="建立新的重要关系"),'幕间与结算'!E631+E724,BV723+IF(C724="重要关系6",E724,0)+IF(AND(C724="魅力",E724&lt;0),E724,0))))</x:f>
        <x:v>0</x:v>
      </x:c>
      <x:c r="BW724">
        <x:f>MAX(0,MIN(BK724,IF(AND(H724=1,C724="重要关系7",LEFT('幕间与结算'!H631,8)="建立新的重要关系"),'幕间与结算'!E631+E724,BW723+IF(C724="重要关系7",E724,0)+IF(AND(C724="魅力",E724&lt;0),E724,0))))</x:f>
        <x:v>0</x:v>
      </x:c>
    </x:row>
    <x:row r="725">
      <x:c r="A725" t="str">
        <x:f>IFERROR(TEXT(VALUE('幕间与结算'!A632),"00"),"")</x:f>
        <x:v>00</x:v>
      </x:c>
      <x:c r="B725">
        <x:f>'幕间与结算'!B632</x:f>
        <x:v>0</x:v>
      </x:c>
      <x:c r="C725">
        <x:f>'幕间与结算'!D632</x:f>
        <x:v>0</x:v>
      </x:c>
      <x:c r="D725">
        <x:f>'幕间与结算'!F632</x:f>
        <x:v>0</x:v>
      </x:c>
      <x:c r="E725">
        <x:f>IF(H725=1,MAX(-'幕间与结算'!E632,MIN(D725,IF(LEFT(C725,3)="技能：",99,IF(COUNTIF($L$2:$L$7,C725)&gt;0,18,999))-'幕间与结算'!E632)),0)</x:f>
        <x:v>0</x:v>
      </x:c>
      <x:c r="F725" t="str">
        <x:f>IF(C725=0,"",IF(G725=0,"记录不完整",IF(H725=0,"重复未计","已计入")))</x:f>
        <x:v/>
      </x:c>
      <x:c r="G725">
        <x:f>IF(AND(AND('幕间与结算'!A632&lt;&gt;"",'幕间与结算'!B632&lt;&gt;"",'幕间与结算'!I632&lt;&gt;"",OR(LEFT(C725,3)="技能：",COUNTIF($L$2:$L$19,C725)&gt;0),ISNUMBER('幕间与结算'!E632),ISNUMBER('幕间与结算'!F632),ISNUMBER('幕间与结算'!G632),'幕间与结算'!E632&gt;=0,'幕间与结算'!G632='幕间与结算'!E632+'幕间与结算'!F632),OR(B725&lt;&gt;"成长",AND(LEFT(C725,3)="技能：",C725&lt;&gt;"技能：非自然知识",'幕间与结算'!E632&gt;=1,'幕间与结算'!E632&lt;=99,'幕间与结算'!F632&gt;=0,'幕间与结算'!F632&lt;=4,'幕间与结算'!G632&lt;=99))),1,0)</x:f>
        <x:v>0</x:v>
      </x:c>
      <x:c r="H725">
        <x:f>IF(AND(G725=1,COUNTIFS($I$200:I725,I725,$G$200:G725,1)=1),1,0)</x:f>
        <x:v>0</x:v>
      </x:c>
      <x:c r="I725" t="str">
        <x:f>IF(G725=1,IF(B725="成长",A725&amp;"-成长-"&amp;C725,'幕间与结算'!I632),"")</x:f>
        <x:v/>
      </x:c>
      <x:c r="BF725">
        <x:f>MAX(0,MIN(18,BF724+IF(C725="力量",E725,0)))</x:f>
        <x:v>0</x:v>
      </x:c>
      <x:c r="BG725">
        <x:f>MAX(0,MIN(18,BG724+IF(C725="体质",E725,0)))</x:f>
        <x:v>0</x:v>
      </x:c>
      <x:c r="BH725">
        <x:f>MAX(0,MIN(18,BH724+IF(C725="敏捷",E725,0)))</x:f>
        <x:v>0</x:v>
      </x:c>
      <x:c r="BI725">
        <x:f>MAX(0,MIN(18,BI724+IF(C725="智力",E725,0)))</x:f>
        <x:v>0</x:v>
      </x:c>
      <x:c r="BJ725">
        <x:f>MAX(0,MIN(18,BJ724+IF(C725="意志",E725,0)))</x:f>
        <x:v>0</x:v>
      </x:c>
      <x:c r="BK725">
        <x:f>MAX(0,MIN(18,BK724+IF(C725="魅力",E725,0)))</x:f>
        <x:v>0</x:v>
      </x:c>
      <x:c r="BL725">
        <x:f>MAX(0,MIN(99,BL724+IF(C725="技能：非自然知识",E725,0)))</x:f>
        <x:v>0</x:v>
      </x:c>
      <x:c r="BM725">
        <x:f>MAX(0,MIN(CEILING((BF725+BG725)/2,1),BM724+IF(C725="体力",E725,0)))</x:f>
        <x:v>0</x:v>
      </x:c>
      <x:c r="BN725">
        <x:f>MAX(0,MIN(BJ725,BN724+IF(C725="毅力",E725,0)))</x:f>
        <x:v>0</x:v>
      </x:c>
      <x:c r="BO725">
        <x:f>MAX(0,MIN(99-BL725,BO724+IF(C725="理智",E725,0)))</x:f>
        <x:v>0</x:v>
      </x:c>
      <x:c r="BP725">
        <x:f>MAX(0,MIN(99,BP724+IF(C725="崩溃点",E725,0)))</x:f>
        <x:v>0</x:v>
      </x:c>
      <x:c r="BQ725">
        <x:f>MAX(0,MIN(BK725,IF(AND(H725=1,C725="重要关系1",LEFT('幕间与结算'!H632,8)="建立新的重要关系"),'幕间与结算'!E632+E725,BQ724+IF(C725="重要关系1",E725,0)+IF(AND(C725="魅力",E725&lt;0),E725,0))))</x:f>
        <x:v>0</x:v>
      </x:c>
      <x:c r="BR725">
        <x:f>MAX(0,MIN(BK725,IF(AND(H725=1,C725="重要关系2",LEFT('幕间与结算'!H632,8)="建立新的重要关系"),'幕间与结算'!E632+E725,BR724+IF(C725="重要关系2",E725,0)+IF(AND(C725="魅力",E725&lt;0),E725,0))))</x:f>
        <x:v>0</x:v>
      </x:c>
      <x:c r="BS725">
        <x:f>MAX(0,MIN(BK725,IF(AND(H725=1,C725="重要关系3",LEFT('幕间与结算'!H632,8)="建立新的重要关系"),'幕间与结算'!E632+E725,BS724+IF(C725="重要关系3",E725,0)+IF(AND(C725="魅力",E725&lt;0),E725,0))))</x:f>
        <x:v>0</x:v>
      </x:c>
      <x:c r="BT725">
        <x:f>MAX(0,MIN(BK725,IF(AND(H725=1,C725="重要关系4",LEFT('幕间与结算'!H632,8)="建立新的重要关系"),'幕间与结算'!E632+E725,BT724+IF(C725="重要关系4",E725,0)+IF(AND(C725="魅力",E725&lt;0),E725,0))))</x:f>
        <x:v>0</x:v>
      </x:c>
      <x:c r="BU725">
        <x:f>MAX(0,MIN(BK725,IF(AND(H725=1,C725="重要关系5",LEFT('幕间与结算'!H632,8)="建立新的重要关系"),'幕间与结算'!E632+E725,BU724+IF(C725="重要关系5",E725,0)+IF(AND(C725="魅力",E725&lt;0),E725,0))))</x:f>
        <x:v>0</x:v>
      </x:c>
      <x:c r="BV725">
        <x:f>MAX(0,MIN(BK725,IF(AND(H725=1,C725="重要关系6",LEFT('幕间与结算'!H632,8)="建立新的重要关系"),'幕间与结算'!E632+E725,BV724+IF(C725="重要关系6",E725,0)+IF(AND(C725="魅力",E725&lt;0),E725,0))))</x:f>
        <x:v>0</x:v>
      </x:c>
      <x:c r="BW725">
        <x:f>MAX(0,MIN(BK725,IF(AND(H725=1,C725="重要关系7",LEFT('幕间与结算'!H632,8)="建立新的重要关系"),'幕间与结算'!E632+E725,BW724+IF(C725="重要关系7",E725,0)+IF(AND(C725="魅力",E725&lt;0),E725,0))))</x:f>
        <x:v>0</x:v>
      </x:c>
    </x:row>
    <x:row r="726">
      <x:c r="A726" t="str">
        <x:f>IFERROR(TEXT(VALUE('幕间与结算'!A633),"00"),"")</x:f>
        <x:v>00</x:v>
      </x:c>
      <x:c r="B726">
        <x:f>'幕间与结算'!B633</x:f>
        <x:v>0</x:v>
      </x:c>
      <x:c r="C726">
        <x:f>'幕间与结算'!D633</x:f>
        <x:v>0</x:v>
      </x:c>
      <x:c r="D726">
        <x:f>'幕间与结算'!F633</x:f>
        <x:v>0</x:v>
      </x:c>
      <x:c r="E726">
        <x:f>IF(H726=1,MAX(-'幕间与结算'!E633,MIN(D726,IF(LEFT(C726,3)="技能：",99,IF(COUNTIF($L$2:$L$7,C726)&gt;0,18,999))-'幕间与结算'!E633)),0)</x:f>
        <x:v>0</x:v>
      </x:c>
      <x:c r="F726" t="str">
        <x:f>IF(C726=0,"",IF(G726=0,"记录不完整",IF(H726=0,"重复未计","已计入")))</x:f>
        <x:v/>
      </x:c>
      <x:c r="G726">
        <x:f>IF(AND(AND('幕间与结算'!A633&lt;&gt;"",'幕间与结算'!B633&lt;&gt;"",'幕间与结算'!I633&lt;&gt;"",OR(LEFT(C726,3)="技能：",COUNTIF($L$2:$L$19,C726)&gt;0),ISNUMBER('幕间与结算'!E633),ISNUMBER('幕间与结算'!F633),ISNUMBER('幕间与结算'!G633),'幕间与结算'!E633&gt;=0,'幕间与结算'!G633='幕间与结算'!E633+'幕间与结算'!F633),OR(B726&lt;&gt;"成长",AND(LEFT(C726,3)="技能：",C726&lt;&gt;"技能：非自然知识",'幕间与结算'!E633&gt;=1,'幕间与结算'!E633&lt;=99,'幕间与结算'!F633&gt;=0,'幕间与结算'!F633&lt;=4,'幕间与结算'!G633&lt;=99))),1,0)</x:f>
        <x:v>0</x:v>
      </x:c>
      <x:c r="H726">
        <x:f>IF(AND(G726=1,COUNTIFS($I$200:I726,I726,$G$200:G726,1)=1),1,0)</x:f>
        <x:v>0</x:v>
      </x:c>
      <x:c r="I726" t="str">
        <x:f>IF(G726=1,IF(B726="成长",A726&amp;"-成长-"&amp;C726,'幕间与结算'!I633),"")</x:f>
        <x:v/>
      </x:c>
      <x:c r="BF726">
        <x:f>MAX(0,MIN(18,BF725+IF(C726="力量",E726,0)))</x:f>
        <x:v>0</x:v>
      </x:c>
      <x:c r="BG726">
        <x:f>MAX(0,MIN(18,BG725+IF(C726="体质",E726,0)))</x:f>
        <x:v>0</x:v>
      </x:c>
      <x:c r="BH726">
        <x:f>MAX(0,MIN(18,BH725+IF(C726="敏捷",E726,0)))</x:f>
        <x:v>0</x:v>
      </x:c>
      <x:c r="BI726">
        <x:f>MAX(0,MIN(18,BI725+IF(C726="智力",E726,0)))</x:f>
        <x:v>0</x:v>
      </x:c>
      <x:c r="BJ726">
        <x:f>MAX(0,MIN(18,BJ725+IF(C726="意志",E726,0)))</x:f>
        <x:v>0</x:v>
      </x:c>
      <x:c r="BK726">
        <x:f>MAX(0,MIN(18,BK725+IF(C726="魅力",E726,0)))</x:f>
        <x:v>0</x:v>
      </x:c>
      <x:c r="BL726">
        <x:f>MAX(0,MIN(99,BL725+IF(C726="技能：非自然知识",E726,0)))</x:f>
        <x:v>0</x:v>
      </x:c>
      <x:c r="BM726">
        <x:f>MAX(0,MIN(CEILING((BF726+BG726)/2,1),BM725+IF(C726="体力",E726,0)))</x:f>
        <x:v>0</x:v>
      </x:c>
      <x:c r="BN726">
        <x:f>MAX(0,MIN(BJ726,BN725+IF(C726="毅力",E726,0)))</x:f>
        <x:v>0</x:v>
      </x:c>
      <x:c r="BO726">
        <x:f>MAX(0,MIN(99-BL726,BO725+IF(C726="理智",E726,0)))</x:f>
        <x:v>0</x:v>
      </x:c>
      <x:c r="BP726">
        <x:f>MAX(0,MIN(99,BP725+IF(C726="崩溃点",E726,0)))</x:f>
        <x:v>0</x:v>
      </x:c>
      <x:c r="BQ726">
        <x:f>MAX(0,MIN(BK726,IF(AND(H726=1,C726="重要关系1",LEFT('幕间与结算'!H633,8)="建立新的重要关系"),'幕间与结算'!E633+E726,BQ725+IF(C726="重要关系1",E726,0)+IF(AND(C726="魅力",E726&lt;0),E726,0))))</x:f>
        <x:v>0</x:v>
      </x:c>
      <x:c r="BR726">
        <x:f>MAX(0,MIN(BK726,IF(AND(H726=1,C726="重要关系2",LEFT('幕间与结算'!H633,8)="建立新的重要关系"),'幕间与结算'!E633+E726,BR725+IF(C726="重要关系2",E726,0)+IF(AND(C726="魅力",E726&lt;0),E726,0))))</x:f>
        <x:v>0</x:v>
      </x:c>
      <x:c r="BS726">
        <x:f>MAX(0,MIN(BK726,IF(AND(H726=1,C726="重要关系3",LEFT('幕间与结算'!H633,8)="建立新的重要关系"),'幕间与结算'!E633+E726,BS725+IF(C726="重要关系3",E726,0)+IF(AND(C726="魅力",E726&lt;0),E726,0))))</x:f>
        <x:v>0</x:v>
      </x:c>
      <x:c r="BT726">
        <x:f>MAX(0,MIN(BK726,IF(AND(H726=1,C726="重要关系4",LEFT('幕间与结算'!H633,8)="建立新的重要关系"),'幕间与结算'!E633+E726,BT725+IF(C726="重要关系4",E726,0)+IF(AND(C726="魅力",E726&lt;0),E726,0))))</x:f>
        <x:v>0</x:v>
      </x:c>
      <x:c r="BU726">
        <x:f>MAX(0,MIN(BK726,IF(AND(H726=1,C726="重要关系5",LEFT('幕间与结算'!H633,8)="建立新的重要关系"),'幕间与结算'!E633+E726,BU725+IF(C726="重要关系5",E726,0)+IF(AND(C726="魅力",E726&lt;0),E726,0))))</x:f>
        <x:v>0</x:v>
      </x:c>
      <x:c r="BV726">
        <x:f>MAX(0,MIN(BK726,IF(AND(H726=1,C726="重要关系6",LEFT('幕间与结算'!H633,8)="建立新的重要关系"),'幕间与结算'!E633+E726,BV725+IF(C726="重要关系6",E726,0)+IF(AND(C726="魅力",E726&lt;0),E726,0))))</x:f>
        <x:v>0</x:v>
      </x:c>
      <x:c r="BW726">
        <x:f>MAX(0,MIN(BK726,IF(AND(H726=1,C726="重要关系7",LEFT('幕间与结算'!H633,8)="建立新的重要关系"),'幕间与结算'!E633+E726,BW725+IF(C726="重要关系7",E726,0)+IF(AND(C726="魅力",E726&lt;0),E726,0))))</x:f>
        <x:v>0</x:v>
      </x:c>
    </x:row>
    <x:row r="727">
      <x:c r="A727" t="str">
        <x:f>IFERROR(TEXT(VALUE('幕间与结算'!A634),"00"),"")</x:f>
        <x:v>00</x:v>
      </x:c>
      <x:c r="B727">
        <x:f>'幕间与结算'!B634</x:f>
        <x:v>0</x:v>
      </x:c>
      <x:c r="C727">
        <x:f>'幕间与结算'!D634</x:f>
        <x:v>0</x:v>
      </x:c>
      <x:c r="D727">
        <x:f>'幕间与结算'!F634</x:f>
        <x:v>0</x:v>
      </x:c>
      <x:c r="E727">
        <x:f>IF(H727=1,MAX(-'幕间与结算'!E634,MIN(D727,IF(LEFT(C727,3)="技能：",99,IF(COUNTIF($L$2:$L$7,C727)&gt;0,18,999))-'幕间与结算'!E634)),0)</x:f>
        <x:v>0</x:v>
      </x:c>
      <x:c r="F727" t="str">
        <x:f>IF(C727=0,"",IF(G727=0,"记录不完整",IF(H727=0,"重复未计","已计入")))</x:f>
        <x:v/>
      </x:c>
      <x:c r="G727">
        <x:f>IF(AND(AND('幕间与结算'!A634&lt;&gt;"",'幕间与结算'!B634&lt;&gt;"",'幕间与结算'!I634&lt;&gt;"",OR(LEFT(C727,3)="技能：",COUNTIF($L$2:$L$19,C727)&gt;0),ISNUMBER('幕间与结算'!E634),ISNUMBER('幕间与结算'!F634),ISNUMBER('幕间与结算'!G634),'幕间与结算'!E634&gt;=0,'幕间与结算'!G634='幕间与结算'!E634+'幕间与结算'!F634),OR(B727&lt;&gt;"成长",AND(LEFT(C727,3)="技能：",C727&lt;&gt;"技能：非自然知识",'幕间与结算'!E634&gt;=1,'幕间与结算'!E634&lt;=99,'幕间与结算'!F634&gt;=0,'幕间与结算'!F634&lt;=4,'幕间与结算'!G634&lt;=99))),1,0)</x:f>
        <x:v>0</x:v>
      </x:c>
      <x:c r="H727">
        <x:f>IF(AND(G727=1,COUNTIFS($I$200:I727,I727,$G$200:G727,1)=1),1,0)</x:f>
        <x:v>0</x:v>
      </x:c>
      <x:c r="I727" t="str">
        <x:f>IF(G727=1,IF(B727="成长",A727&amp;"-成长-"&amp;C727,'幕间与结算'!I634),"")</x:f>
        <x:v/>
      </x:c>
      <x:c r="BF727">
        <x:f>MAX(0,MIN(18,BF726+IF(C727="力量",E727,0)))</x:f>
        <x:v>0</x:v>
      </x:c>
      <x:c r="BG727">
        <x:f>MAX(0,MIN(18,BG726+IF(C727="体质",E727,0)))</x:f>
        <x:v>0</x:v>
      </x:c>
      <x:c r="BH727">
        <x:f>MAX(0,MIN(18,BH726+IF(C727="敏捷",E727,0)))</x:f>
        <x:v>0</x:v>
      </x:c>
      <x:c r="BI727">
        <x:f>MAX(0,MIN(18,BI726+IF(C727="智力",E727,0)))</x:f>
        <x:v>0</x:v>
      </x:c>
      <x:c r="BJ727">
        <x:f>MAX(0,MIN(18,BJ726+IF(C727="意志",E727,0)))</x:f>
        <x:v>0</x:v>
      </x:c>
      <x:c r="BK727">
        <x:f>MAX(0,MIN(18,BK726+IF(C727="魅力",E727,0)))</x:f>
        <x:v>0</x:v>
      </x:c>
      <x:c r="BL727">
        <x:f>MAX(0,MIN(99,BL726+IF(C727="技能：非自然知识",E727,0)))</x:f>
        <x:v>0</x:v>
      </x:c>
      <x:c r="BM727">
        <x:f>MAX(0,MIN(CEILING((BF727+BG727)/2,1),BM726+IF(C727="体力",E727,0)))</x:f>
        <x:v>0</x:v>
      </x:c>
      <x:c r="BN727">
        <x:f>MAX(0,MIN(BJ727,BN726+IF(C727="毅力",E727,0)))</x:f>
        <x:v>0</x:v>
      </x:c>
      <x:c r="BO727">
        <x:f>MAX(0,MIN(99-BL727,BO726+IF(C727="理智",E727,0)))</x:f>
        <x:v>0</x:v>
      </x:c>
      <x:c r="BP727">
        <x:f>MAX(0,MIN(99,BP726+IF(C727="崩溃点",E727,0)))</x:f>
        <x:v>0</x:v>
      </x:c>
      <x:c r="BQ727">
        <x:f>MAX(0,MIN(BK727,IF(AND(H727=1,C727="重要关系1",LEFT('幕间与结算'!H634,8)="建立新的重要关系"),'幕间与结算'!E634+E727,BQ726+IF(C727="重要关系1",E727,0)+IF(AND(C727="魅力",E727&lt;0),E727,0))))</x:f>
        <x:v>0</x:v>
      </x:c>
      <x:c r="BR727">
        <x:f>MAX(0,MIN(BK727,IF(AND(H727=1,C727="重要关系2",LEFT('幕间与结算'!H634,8)="建立新的重要关系"),'幕间与结算'!E634+E727,BR726+IF(C727="重要关系2",E727,0)+IF(AND(C727="魅力",E727&lt;0),E727,0))))</x:f>
        <x:v>0</x:v>
      </x:c>
      <x:c r="BS727">
        <x:f>MAX(0,MIN(BK727,IF(AND(H727=1,C727="重要关系3",LEFT('幕间与结算'!H634,8)="建立新的重要关系"),'幕间与结算'!E634+E727,BS726+IF(C727="重要关系3",E727,0)+IF(AND(C727="魅力",E727&lt;0),E727,0))))</x:f>
        <x:v>0</x:v>
      </x:c>
      <x:c r="BT727">
        <x:f>MAX(0,MIN(BK727,IF(AND(H727=1,C727="重要关系4",LEFT('幕间与结算'!H634,8)="建立新的重要关系"),'幕间与结算'!E634+E727,BT726+IF(C727="重要关系4",E727,0)+IF(AND(C727="魅力",E727&lt;0),E727,0))))</x:f>
        <x:v>0</x:v>
      </x:c>
      <x:c r="BU727">
        <x:f>MAX(0,MIN(BK727,IF(AND(H727=1,C727="重要关系5",LEFT('幕间与结算'!H634,8)="建立新的重要关系"),'幕间与结算'!E634+E727,BU726+IF(C727="重要关系5",E727,0)+IF(AND(C727="魅力",E727&lt;0),E727,0))))</x:f>
        <x:v>0</x:v>
      </x:c>
      <x:c r="BV727">
        <x:f>MAX(0,MIN(BK727,IF(AND(H727=1,C727="重要关系6",LEFT('幕间与结算'!H634,8)="建立新的重要关系"),'幕间与结算'!E634+E727,BV726+IF(C727="重要关系6",E727,0)+IF(AND(C727="魅力",E727&lt;0),E727,0))))</x:f>
        <x:v>0</x:v>
      </x:c>
      <x:c r="BW727">
        <x:f>MAX(0,MIN(BK727,IF(AND(H727=1,C727="重要关系7",LEFT('幕间与结算'!H634,8)="建立新的重要关系"),'幕间与结算'!E634+E727,BW726+IF(C727="重要关系7",E727,0)+IF(AND(C727="魅力",E727&lt;0),E727,0))))</x:f>
        <x:v>0</x:v>
      </x:c>
    </x:row>
    <x:row r="728">
      <x:c r="A728" t="str">
        <x:f>IFERROR(TEXT(VALUE('幕间与结算'!A635),"00"),"")</x:f>
        <x:v>00</x:v>
      </x:c>
      <x:c r="B728">
        <x:f>'幕间与结算'!B635</x:f>
        <x:v>0</x:v>
      </x:c>
      <x:c r="C728">
        <x:f>'幕间与结算'!D635</x:f>
        <x:v>0</x:v>
      </x:c>
      <x:c r="D728">
        <x:f>'幕间与结算'!F635</x:f>
        <x:v>0</x:v>
      </x:c>
      <x:c r="E728">
        <x:f>IF(H728=1,MAX(-'幕间与结算'!E635,MIN(D728,IF(LEFT(C728,3)="技能：",99,IF(COUNTIF($L$2:$L$7,C728)&gt;0,18,999))-'幕间与结算'!E635)),0)</x:f>
        <x:v>0</x:v>
      </x:c>
      <x:c r="F728" t="str">
        <x:f>IF(C728=0,"",IF(G728=0,"记录不完整",IF(H728=0,"重复未计","已计入")))</x:f>
        <x:v/>
      </x:c>
      <x:c r="G728">
        <x:f>IF(AND(AND('幕间与结算'!A635&lt;&gt;"",'幕间与结算'!B635&lt;&gt;"",'幕间与结算'!I635&lt;&gt;"",OR(LEFT(C728,3)="技能：",COUNTIF($L$2:$L$19,C728)&gt;0),ISNUMBER('幕间与结算'!E635),ISNUMBER('幕间与结算'!F635),ISNUMBER('幕间与结算'!G635),'幕间与结算'!E635&gt;=0,'幕间与结算'!G635='幕间与结算'!E635+'幕间与结算'!F635),OR(B728&lt;&gt;"成长",AND(LEFT(C728,3)="技能：",C728&lt;&gt;"技能：非自然知识",'幕间与结算'!E635&gt;=1,'幕间与结算'!E635&lt;=99,'幕间与结算'!F635&gt;=0,'幕间与结算'!F635&lt;=4,'幕间与结算'!G635&lt;=99))),1,0)</x:f>
        <x:v>0</x:v>
      </x:c>
      <x:c r="H728">
        <x:f>IF(AND(G728=1,COUNTIFS($I$200:I728,I728,$G$200:G728,1)=1),1,0)</x:f>
        <x:v>0</x:v>
      </x:c>
      <x:c r="I728" t="str">
        <x:f>IF(G728=1,IF(B728="成长",A728&amp;"-成长-"&amp;C728,'幕间与结算'!I635),"")</x:f>
        <x:v/>
      </x:c>
      <x:c r="BF728">
        <x:f>MAX(0,MIN(18,BF727+IF(C728="力量",E728,0)))</x:f>
        <x:v>0</x:v>
      </x:c>
      <x:c r="BG728">
        <x:f>MAX(0,MIN(18,BG727+IF(C728="体质",E728,0)))</x:f>
        <x:v>0</x:v>
      </x:c>
      <x:c r="BH728">
        <x:f>MAX(0,MIN(18,BH727+IF(C728="敏捷",E728,0)))</x:f>
        <x:v>0</x:v>
      </x:c>
      <x:c r="BI728">
        <x:f>MAX(0,MIN(18,BI727+IF(C728="智力",E728,0)))</x:f>
        <x:v>0</x:v>
      </x:c>
      <x:c r="BJ728">
        <x:f>MAX(0,MIN(18,BJ727+IF(C728="意志",E728,0)))</x:f>
        <x:v>0</x:v>
      </x:c>
      <x:c r="BK728">
        <x:f>MAX(0,MIN(18,BK727+IF(C728="魅力",E728,0)))</x:f>
        <x:v>0</x:v>
      </x:c>
      <x:c r="BL728">
        <x:f>MAX(0,MIN(99,BL727+IF(C728="技能：非自然知识",E728,0)))</x:f>
        <x:v>0</x:v>
      </x:c>
      <x:c r="BM728">
        <x:f>MAX(0,MIN(CEILING((BF728+BG728)/2,1),BM727+IF(C728="体力",E728,0)))</x:f>
        <x:v>0</x:v>
      </x:c>
      <x:c r="BN728">
        <x:f>MAX(0,MIN(BJ728,BN727+IF(C728="毅力",E728,0)))</x:f>
        <x:v>0</x:v>
      </x:c>
      <x:c r="BO728">
        <x:f>MAX(0,MIN(99-BL728,BO727+IF(C728="理智",E728,0)))</x:f>
        <x:v>0</x:v>
      </x:c>
      <x:c r="BP728">
        <x:f>MAX(0,MIN(99,BP727+IF(C728="崩溃点",E728,0)))</x:f>
        <x:v>0</x:v>
      </x:c>
      <x:c r="BQ728">
        <x:f>MAX(0,MIN(BK728,IF(AND(H728=1,C728="重要关系1",LEFT('幕间与结算'!H635,8)="建立新的重要关系"),'幕间与结算'!E635+E728,BQ727+IF(C728="重要关系1",E728,0)+IF(AND(C728="魅力",E728&lt;0),E728,0))))</x:f>
        <x:v>0</x:v>
      </x:c>
      <x:c r="BR728">
        <x:f>MAX(0,MIN(BK728,IF(AND(H728=1,C728="重要关系2",LEFT('幕间与结算'!H635,8)="建立新的重要关系"),'幕间与结算'!E635+E728,BR727+IF(C728="重要关系2",E728,0)+IF(AND(C728="魅力",E728&lt;0),E728,0))))</x:f>
        <x:v>0</x:v>
      </x:c>
      <x:c r="BS728">
        <x:f>MAX(0,MIN(BK728,IF(AND(H728=1,C728="重要关系3",LEFT('幕间与结算'!H635,8)="建立新的重要关系"),'幕间与结算'!E635+E728,BS727+IF(C728="重要关系3",E728,0)+IF(AND(C728="魅力",E728&lt;0),E728,0))))</x:f>
        <x:v>0</x:v>
      </x:c>
      <x:c r="BT728">
        <x:f>MAX(0,MIN(BK728,IF(AND(H728=1,C728="重要关系4",LEFT('幕间与结算'!H635,8)="建立新的重要关系"),'幕间与结算'!E635+E728,BT727+IF(C728="重要关系4",E728,0)+IF(AND(C728="魅力",E728&lt;0),E728,0))))</x:f>
        <x:v>0</x:v>
      </x:c>
      <x:c r="BU728">
        <x:f>MAX(0,MIN(BK728,IF(AND(H728=1,C728="重要关系5",LEFT('幕间与结算'!H635,8)="建立新的重要关系"),'幕间与结算'!E635+E728,BU727+IF(C728="重要关系5",E728,0)+IF(AND(C728="魅力",E728&lt;0),E728,0))))</x:f>
        <x:v>0</x:v>
      </x:c>
      <x:c r="BV728">
        <x:f>MAX(0,MIN(BK728,IF(AND(H728=1,C728="重要关系6",LEFT('幕间与结算'!H635,8)="建立新的重要关系"),'幕间与结算'!E635+E728,BV727+IF(C728="重要关系6",E728,0)+IF(AND(C728="魅力",E728&lt;0),E728,0))))</x:f>
        <x:v>0</x:v>
      </x:c>
      <x:c r="BW728">
        <x:f>MAX(0,MIN(BK728,IF(AND(H728=1,C728="重要关系7",LEFT('幕间与结算'!H635,8)="建立新的重要关系"),'幕间与结算'!E635+E728,BW727+IF(C728="重要关系7",E728,0)+IF(AND(C728="魅力",E728&lt;0),E728,0))))</x:f>
        <x:v>0</x:v>
      </x:c>
    </x:row>
    <x:row r="729">
      <x:c r="A729" t="str">
        <x:f>IFERROR(TEXT(VALUE('幕间与结算'!A636),"00"),"")</x:f>
        <x:v>00</x:v>
      </x:c>
      <x:c r="B729">
        <x:f>'幕间与结算'!B636</x:f>
        <x:v>0</x:v>
      </x:c>
      <x:c r="C729">
        <x:f>'幕间与结算'!D636</x:f>
        <x:v>0</x:v>
      </x:c>
      <x:c r="D729">
        <x:f>'幕间与结算'!F636</x:f>
        <x:v>0</x:v>
      </x:c>
      <x:c r="E729">
        <x:f>IF(H729=1,MAX(-'幕间与结算'!E636,MIN(D729,IF(LEFT(C729,3)="技能：",99,IF(COUNTIF($L$2:$L$7,C729)&gt;0,18,999))-'幕间与结算'!E636)),0)</x:f>
        <x:v>0</x:v>
      </x:c>
      <x:c r="F729" t="str">
        <x:f>IF(C729=0,"",IF(G729=0,"记录不完整",IF(H729=0,"重复未计","已计入")))</x:f>
        <x:v/>
      </x:c>
      <x:c r="G729">
        <x:f>IF(AND(AND('幕间与结算'!A636&lt;&gt;"",'幕间与结算'!B636&lt;&gt;"",'幕间与结算'!I636&lt;&gt;"",OR(LEFT(C729,3)="技能：",COUNTIF($L$2:$L$19,C729)&gt;0),ISNUMBER('幕间与结算'!E636),ISNUMBER('幕间与结算'!F636),ISNUMBER('幕间与结算'!G636),'幕间与结算'!E636&gt;=0,'幕间与结算'!G636='幕间与结算'!E636+'幕间与结算'!F636),OR(B729&lt;&gt;"成长",AND(LEFT(C729,3)="技能：",C729&lt;&gt;"技能：非自然知识",'幕间与结算'!E636&gt;=1,'幕间与结算'!E636&lt;=99,'幕间与结算'!F636&gt;=0,'幕间与结算'!F636&lt;=4,'幕间与结算'!G636&lt;=99))),1,0)</x:f>
        <x:v>0</x:v>
      </x:c>
      <x:c r="H729">
        <x:f>IF(AND(G729=1,COUNTIFS($I$200:I729,I729,$G$200:G729,1)=1),1,0)</x:f>
        <x:v>0</x:v>
      </x:c>
      <x:c r="I729" t="str">
        <x:f>IF(G729=1,IF(B729="成长",A729&amp;"-成长-"&amp;C729,'幕间与结算'!I636),"")</x:f>
        <x:v/>
      </x:c>
      <x:c r="BF729">
        <x:f>MAX(0,MIN(18,BF728+IF(C729="力量",E729,0)))</x:f>
        <x:v>0</x:v>
      </x:c>
      <x:c r="BG729">
        <x:f>MAX(0,MIN(18,BG728+IF(C729="体质",E729,0)))</x:f>
        <x:v>0</x:v>
      </x:c>
      <x:c r="BH729">
        <x:f>MAX(0,MIN(18,BH728+IF(C729="敏捷",E729,0)))</x:f>
        <x:v>0</x:v>
      </x:c>
      <x:c r="BI729">
        <x:f>MAX(0,MIN(18,BI728+IF(C729="智力",E729,0)))</x:f>
        <x:v>0</x:v>
      </x:c>
      <x:c r="BJ729">
        <x:f>MAX(0,MIN(18,BJ728+IF(C729="意志",E729,0)))</x:f>
        <x:v>0</x:v>
      </x:c>
      <x:c r="BK729">
        <x:f>MAX(0,MIN(18,BK728+IF(C729="魅力",E729,0)))</x:f>
        <x:v>0</x:v>
      </x:c>
      <x:c r="BL729">
        <x:f>MAX(0,MIN(99,BL728+IF(C729="技能：非自然知识",E729,0)))</x:f>
        <x:v>0</x:v>
      </x:c>
      <x:c r="BM729">
        <x:f>MAX(0,MIN(CEILING((BF729+BG729)/2,1),BM728+IF(C729="体力",E729,0)))</x:f>
        <x:v>0</x:v>
      </x:c>
      <x:c r="BN729">
        <x:f>MAX(0,MIN(BJ729,BN728+IF(C729="毅力",E729,0)))</x:f>
        <x:v>0</x:v>
      </x:c>
      <x:c r="BO729">
        <x:f>MAX(0,MIN(99-BL729,BO728+IF(C729="理智",E729,0)))</x:f>
        <x:v>0</x:v>
      </x:c>
      <x:c r="BP729">
        <x:f>MAX(0,MIN(99,BP728+IF(C729="崩溃点",E729,0)))</x:f>
        <x:v>0</x:v>
      </x:c>
      <x:c r="BQ729">
        <x:f>MAX(0,MIN(BK729,IF(AND(H729=1,C729="重要关系1",LEFT('幕间与结算'!H636,8)="建立新的重要关系"),'幕间与结算'!E636+E729,BQ728+IF(C729="重要关系1",E729,0)+IF(AND(C729="魅力",E729&lt;0),E729,0))))</x:f>
        <x:v>0</x:v>
      </x:c>
      <x:c r="BR729">
        <x:f>MAX(0,MIN(BK729,IF(AND(H729=1,C729="重要关系2",LEFT('幕间与结算'!H636,8)="建立新的重要关系"),'幕间与结算'!E636+E729,BR728+IF(C729="重要关系2",E729,0)+IF(AND(C729="魅力",E729&lt;0),E729,0))))</x:f>
        <x:v>0</x:v>
      </x:c>
      <x:c r="BS729">
        <x:f>MAX(0,MIN(BK729,IF(AND(H729=1,C729="重要关系3",LEFT('幕间与结算'!H636,8)="建立新的重要关系"),'幕间与结算'!E636+E729,BS728+IF(C729="重要关系3",E729,0)+IF(AND(C729="魅力",E729&lt;0),E729,0))))</x:f>
        <x:v>0</x:v>
      </x:c>
      <x:c r="BT729">
        <x:f>MAX(0,MIN(BK729,IF(AND(H729=1,C729="重要关系4",LEFT('幕间与结算'!H636,8)="建立新的重要关系"),'幕间与结算'!E636+E729,BT728+IF(C729="重要关系4",E729,0)+IF(AND(C729="魅力",E729&lt;0),E729,0))))</x:f>
        <x:v>0</x:v>
      </x:c>
      <x:c r="BU729">
        <x:f>MAX(0,MIN(BK729,IF(AND(H729=1,C729="重要关系5",LEFT('幕间与结算'!H636,8)="建立新的重要关系"),'幕间与结算'!E636+E729,BU728+IF(C729="重要关系5",E729,0)+IF(AND(C729="魅力",E729&lt;0),E729,0))))</x:f>
        <x:v>0</x:v>
      </x:c>
      <x:c r="BV729">
        <x:f>MAX(0,MIN(BK729,IF(AND(H729=1,C729="重要关系6",LEFT('幕间与结算'!H636,8)="建立新的重要关系"),'幕间与结算'!E636+E729,BV728+IF(C729="重要关系6",E729,0)+IF(AND(C729="魅力",E729&lt;0),E729,0))))</x:f>
        <x:v>0</x:v>
      </x:c>
      <x:c r="BW729">
        <x:f>MAX(0,MIN(BK729,IF(AND(H729=1,C729="重要关系7",LEFT('幕间与结算'!H636,8)="建立新的重要关系"),'幕间与结算'!E636+E729,BW728+IF(C729="重要关系7",E729,0)+IF(AND(C729="魅力",E729&lt;0),E729,0))))</x:f>
        <x:v>0</x:v>
      </x:c>
    </x:row>
    <x:row r="730">
      <x:c r="A730" t="str">
        <x:f>IFERROR(TEXT(VALUE('幕间与结算'!A637),"00"),"")</x:f>
        <x:v>00</x:v>
      </x:c>
      <x:c r="B730">
        <x:f>'幕间与结算'!B637</x:f>
        <x:v>0</x:v>
      </x:c>
      <x:c r="C730">
        <x:f>'幕间与结算'!D637</x:f>
        <x:v>0</x:v>
      </x:c>
      <x:c r="D730">
        <x:f>'幕间与结算'!F637</x:f>
        <x:v>0</x:v>
      </x:c>
      <x:c r="E730">
        <x:f>IF(H730=1,MAX(-'幕间与结算'!E637,MIN(D730,IF(LEFT(C730,3)="技能：",99,IF(COUNTIF($L$2:$L$7,C730)&gt;0,18,999))-'幕间与结算'!E637)),0)</x:f>
        <x:v>0</x:v>
      </x:c>
      <x:c r="F730" t="str">
        <x:f>IF(C730=0,"",IF(G730=0,"记录不完整",IF(H730=0,"重复未计","已计入")))</x:f>
        <x:v/>
      </x:c>
      <x:c r="G730">
        <x:f>IF(AND(AND('幕间与结算'!A637&lt;&gt;"",'幕间与结算'!B637&lt;&gt;"",'幕间与结算'!I637&lt;&gt;"",OR(LEFT(C730,3)="技能：",COUNTIF($L$2:$L$19,C730)&gt;0),ISNUMBER('幕间与结算'!E637),ISNUMBER('幕间与结算'!F637),ISNUMBER('幕间与结算'!G637),'幕间与结算'!E637&gt;=0,'幕间与结算'!G637='幕间与结算'!E637+'幕间与结算'!F637),OR(B730&lt;&gt;"成长",AND(LEFT(C730,3)="技能：",C730&lt;&gt;"技能：非自然知识",'幕间与结算'!E637&gt;=1,'幕间与结算'!E637&lt;=99,'幕间与结算'!F637&gt;=0,'幕间与结算'!F637&lt;=4,'幕间与结算'!G637&lt;=99))),1,0)</x:f>
        <x:v>0</x:v>
      </x:c>
      <x:c r="H730">
        <x:f>IF(AND(G730=1,COUNTIFS($I$200:I730,I730,$G$200:G730,1)=1),1,0)</x:f>
        <x:v>0</x:v>
      </x:c>
      <x:c r="I730" t="str">
        <x:f>IF(G730=1,IF(B730="成长",A730&amp;"-成长-"&amp;C730,'幕间与结算'!I637),"")</x:f>
        <x:v/>
      </x:c>
      <x:c r="BF730">
        <x:f>MAX(0,MIN(18,BF729+IF(C730="力量",E730,0)))</x:f>
        <x:v>0</x:v>
      </x:c>
      <x:c r="BG730">
        <x:f>MAX(0,MIN(18,BG729+IF(C730="体质",E730,0)))</x:f>
        <x:v>0</x:v>
      </x:c>
      <x:c r="BH730">
        <x:f>MAX(0,MIN(18,BH729+IF(C730="敏捷",E730,0)))</x:f>
        <x:v>0</x:v>
      </x:c>
      <x:c r="BI730">
        <x:f>MAX(0,MIN(18,BI729+IF(C730="智力",E730,0)))</x:f>
        <x:v>0</x:v>
      </x:c>
      <x:c r="BJ730">
        <x:f>MAX(0,MIN(18,BJ729+IF(C730="意志",E730,0)))</x:f>
        <x:v>0</x:v>
      </x:c>
      <x:c r="BK730">
        <x:f>MAX(0,MIN(18,BK729+IF(C730="魅力",E730,0)))</x:f>
        <x:v>0</x:v>
      </x:c>
      <x:c r="BL730">
        <x:f>MAX(0,MIN(99,BL729+IF(C730="技能：非自然知识",E730,0)))</x:f>
        <x:v>0</x:v>
      </x:c>
      <x:c r="BM730">
        <x:f>MAX(0,MIN(CEILING((BF730+BG730)/2,1),BM729+IF(C730="体力",E730,0)))</x:f>
        <x:v>0</x:v>
      </x:c>
      <x:c r="BN730">
        <x:f>MAX(0,MIN(BJ730,BN729+IF(C730="毅力",E730,0)))</x:f>
        <x:v>0</x:v>
      </x:c>
      <x:c r="BO730">
        <x:f>MAX(0,MIN(99-BL730,BO729+IF(C730="理智",E730,0)))</x:f>
        <x:v>0</x:v>
      </x:c>
      <x:c r="BP730">
        <x:f>MAX(0,MIN(99,BP729+IF(C730="崩溃点",E730,0)))</x:f>
        <x:v>0</x:v>
      </x:c>
      <x:c r="BQ730">
        <x:f>MAX(0,MIN(BK730,IF(AND(H730=1,C730="重要关系1",LEFT('幕间与结算'!H637,8)="建立新的重要关系"),'幕间与结算'!E637+E730,BQ729+IF(C730="重要关系1",E730,0)+IF(AND(C730="魅力",E730&lt;0),E730,0))))</x:f>
        <x:v>0</x:v>
      </x:c>
      <x:c r="BR730">
        <x:f>MAX(0,MIN(BK730,IF(AND(H730=1,C730="重要关系2",LEFT('幕间与结算'!H637,8)="建立新的重要关系"),'幕间与结算'!E637+E730,BR729+IF(C730="重要关系2",E730,0)+IF(AND(C730="魅力",E730&lt;0),E730,0))))</x:f>
        <x:v>0</x:v>
      </x:c>
      <x:c r="BS730">
        <x:f>MAX(0,MIN(BK730,IF(AND(H730=1,C730="重要关系3",LEFT('幕间与结算'!H637,8)="建立新的重要关系"),'幕间与结算'!E637+E730,BS729+IF(C730="重要关系3",E730,0)+IF(AND(C730="魅力",E730&lt;0),E730,0))))</x:f>
        <x:v>0</x:v>
      </x:c>
      <x:c r="BT730">
        <x:f>MAX(0,MIN(BK730,IF(AND(H730=1,C730="重要关系4",LEFT('幕间与结算'!H637,8)="建立新的重要关系"),'幕间与结算'!E637+E730,BT729+IF(C730="重要关系4",E730,0)+IF(AND(C730="魅力",E730&lt;0),E730,0))))</x:f>
        <x:v>0</x:v>
      </x:c>
      <x:c r="BU730">
        <x:f>MAX(0,MIN(BK730,IF(AND(H730=1,C730="重要关系5",LEFT('幕间与结算'!H637,8)="建立新的重要关系"),'幕间与结算'!E637+E730,BU729+IF(C730="重要关系5",E730,0)+IF(AND(C730="魅力",E730&lt;0),E730,0))))</x:f>
        <x:v>0</x:v>
      </x:c>
      <x:c r="BV730">
        <x:f>MAX(0,MIN(BK730,IF(AND(H730=1,C730="重要关系6",LEFT('幕间与结算'!H637,8)="建立新的重要关系"),'幕间与结算'!E637+E730,BV729+IF(C730="重要关系6",E730,0)+IF(AND(C730="魅力",E730&lt;0),E730,0))))</x:f>
        <x:v>0</x:v>
      </x:c>
      <x:c r="BW730">
        <x:f>MAX(0,MIN(BK730,IF(AND(H730=1,C730="重要关系7",LEFT('幕间与结算'!H637,8)="建立新的重要关系"),'幕间与结算'!E637+E730,BW729+IF(C730="重要关系7",E730,0)+IF(AND(C730="魅力",E730&lt;0),E730,0))))</x:f>
        <x:v>0</x:v>
      </x:c>
    </x:row>
    <x:row r="731">
      <x:c r="A731" t="str">
        <x:f>IFERROR(TEXT(VALUE('幕间与结算'!A638),"00"),"")</x:f>
        <x:v>00</x:v>
      </x:c>
      <x:c r="B731">
        <x:f>'幕间与结算'!B638</x:f>
        <x:v>0</x:v>
      </x:c>
      <x:c r="C731">
        <x:f>'幕间与结算'!D638</x:f>
        <x:v>0</x:v>
      </x:c>
      <x:c r="D731">
        <x:f>'幕间与结算'!F638</x:f>
        <x:v>0</x:v>
      </x:c>
      <x:c r="E731">
        <x:f>IF(H731=1,MAX(-'幕间与结算'!E638,MIN(D731,IF(LEFT(C731,3)="技能：",99,IF(COUNTIF($L$2:$L$7,C731)&gt;0,18,999))-'幕间与结算'!E638)),0)</x:f>
        <x:v>0</x:v>
      </x:c>
      <x:c r="F731" t="str">
        <x:f>IF(C731=0,"",IF(G731=0,"记录不完整",IF(H731=0,"重复未计","已计入")))</x:f>
        <x:v/>
      </x:c>
      <x:c r="G731">
        <x:f>IF(AND(AND('幕间与结算'!A638&lt;&gt;"",'幕间与结算'!B638&lt;&gt;"",'幕间与结算'!I638&lt;&gt;"",OR(LEFT(C731,3)="技能：",COUNTIF($L$2:$L$19,C731)&gt;0),ISNUMBER('幕间与结算'!E638),ISNUMBER('幕间与结算'!F638),ISNUMBER('幕间与结算'!G638),'幕间与结算'!E638&gt;=0,'幕间与结算'!G638='幕间与结算'!E638+'幕间与结算'!F638),OR(B731&lt;&gt;"成长",AND(LEFT(C731,3)="技能：",C731&lt;&gt;"技能：非自然知识",'幕间与结算'!E638&gt;=1,'幕间与结算'!E638&lt;=99,'幕间与结算'!F638&gt;=0,'幕间与结算'!F638&lt;=4,'幕间与结算'!G638&lt;=99))),1,0)</x:f>
        <x:v>0</x:v>
      </x:c>
      <x:c r="H731">
        <x:f>IF(AND(G731=1,COUNTIFS($I$200:I731,I731,$G$200:G731,1)=1),1,0)</x:f>
        <x:v>0</x:v>
      </x:c>
      <x:c r="I731" t="str">
        <x:f>IF(G731=1,IF(B731="成长",A731&amp;"-成长-"&amp;C731,'幕间与结算'!I638),"")</x:f>
        <x:v/>
      </x:c>
      <x:c r="BF731">
        <x:f>MAX(0,MIN(18,BF730+IF(C731="力量",E731,0)))</x:f>
        <x:v>0</x:v>
      </x:c>
      <x:c r="BG731">
        <x:f>MAX(0,MIN(18,BG730+IF(C731="体质",E731,0)))</x:f>
        <x:v>0</x:v>
      </x:c>
      <x:c r="BH731">
        <x:f>MAX(0,MIN(18,BH730+IF(C731="敏捷",E731,0)))</x:f>
        <x:v>0</x:v>
      </x:c>
      <x:c r="BI731">
        <x:f>MAX(0,MIN(18,BI730+IF(C731="智力",E731,0)))</x:f>
        <x:v>0</x:v>
      </x:c>
      <x:c r="BJ731">
        <x:f>MAX(0,MIN(18,BJ730+IF(C731="意志",E731,0)))</x:f>
        <x:v>0</x:v>
      </x:c>
      <x:c r="BK731">
        <x:f>MAX(0,MIN(18,BK730+IF(C731="魅力",E731,0)))</x:f>
        <x:v>0</x:v>
      </x:c>
      <x:c r="BL731">
        <x:f>MAX(0,MIN(99,BL730+IF(C731="技能：非自然知识",E731,0)))</x:f>
        <x:v>0</x:v>
      </x:c>
      <x:c r="BM731">
        <x:f>MAX(0,MIN(CEILING((BF731+BG731)/2,1),BM730+IF(C731="体力",E731,0)))</x:f>
        <x:v>0</x:v>
      </x:c>
      <x:c r="BN731">
        <x:f>MAX(0,MIN(BJ731,BN730+IF(C731="毅力",E731,0)))</x:f>
        <x:v>0</x:v>
      </x:c>
      <x:c r="BO731">
        <x:f>MAX(0,MIN(99-BL731,BO730+IF(C731="理智",E731,0)))</x:f>
        <x:v>0</x:v>
      </x:c>
      <x:c r="BP731">
        <x:f>MAX(0,MIN(99,BP730+IF(C731="崩溃点",E731,0)))</x:f>
        <x:v>0</x:v>
      </x:c>
      <x:c r="BQ731">
        <x:f>MAX(0,MIN(BK731,IF(AND(H731=1,C731="重要关系1",LEFT('幕间与结算'!H638,8)="建立新的重要关系"),'幕间与结算'!E638+E731,BQ730+IF(C731="重要关系1",E731,0)+IF(AND(C731="魅力",E731&lt;0),E731,0))))</x:f>
        <x:v>0</x:v>
      </x:c>
      <x:c r="BR731">
        <x:f>MAX(0,MIN(BK731,IF(AND(H731=1,C731="重要关系2",LEFT('幕间与结算'!H638,8)="建立新的重要关系"),'幕间与结算'!E638+E731,BR730+IF(C731="重要关系2",E731,0)+IF(AND(C731="魅力",E731&lt;0),E731,0))))</x:f>
        <x:v>0</x:v>
      </x:c>
      <x:c r="BS731">
        <x:f>MAX(0,MIN(BK731,IF(AND(H731=1,C731="重要关系3",LEFT('幕间与结算'!H638,8)="建立新的重要关系"),'幕间与结算'!E638+E731,BS730+IF(C731="重要关系3",E731,0)+IF(AND(C731="魅力",E731&lt;0),E731,0))))</x:f>
        <x:v>0</x:v>
      </x:c>
      <x:c r="BT731">
        <x:f>MAX(0,MIN(BK731,IF(AND(H731=1,C731="重要关系4",LEFT('幕间与结算'!H638,8)="建立新的重要关系"),'幕间与结算'!E638+E731,BT730+IF(C731="重要关系4",E731,0)+IF(AND(C731="魅力",E731&lt;0),E731,0))))</x:f>
        <x:v>0</x:v>
      </x:c>
      <x:c r="BU731">
        <x:f>MAX(0,MIN(BK731,IF(AND(H731=1,C731="重要关系5",LEFT('幕间与结算'!H638,8)="建立新的重要关系"),'幕间与结算'!E638+E731,BU730+IF(C731="重要关系5",E731,0)+IF(AND(C731="魅力",E731&lt;0),E731,0))))</x:f>
        <x:v>0</x:v>
      </x:c>
      <x:c r="BV731">
        <x:f>MAX(0,MIN(BK731,IF(AND(H731=1,C731="重要关系6",LEFT('幕间与结算'!H638,8)="建立新的重要关系"),'幕间与结算'!E638+E731,BV730+IF(C731="重要关系6",E731,0)+IF(AND(C731="魅力",E731&lt;0),E731,0))))</x:f>
        <x:v>0</x:v>
      </x:c>
      <x:c r="BW731">
        <x:f>MAX(0,MIN(BK731,IF(AND(H731=1,C731="重要关系7",LEFT('幕间与结算'!H638,8)="建立新的重要关系"),'幕间与结算'!E638+E731,BW730+IF(C731="重要关系7",E731,0)+IF(AND(C731="魅力",E731&lt;0),E731,0))))</x:f>
        <x:v>0</x:v>
      </x:c>
    </x:row>
    <x:row r="732">
      <x:c r="A732" t="str">
        <x:f>IFERROR(TEXT(VALUE('幕间与结算'!A639),"00"),"")</x:f>
        <x:v>00</x:v>
      </x:c>
      <x:c r="B732">
        <x:f>'幕间与结算'!B639</x:f>
        <x:v>0</x:v>
      </x:c>
      <x:c r="C732">
        <x:f>'幕间与结算'!D639</x:f>
        <x:v>0</x:v>
      </x:c>
      <x:c r="D732">
        <x:f>'幕间与结算'!F639</x:f>
        <x:v>0</x:v>
      </x:c>
      <x:c r="E732">
        <x:f>IF(H732=1,MAX(-'幕间与结算'!E639,MIN(D732,IF(LEFT(C732,3)="技能：",99,IF(COUNTIF($L$2:$L$7,C732)&gt;0,18,999))-'幕间与结算'!E639)),0)</x:f>
        <x:v>0</x:v>
      </x:c>
      <x:c r="F732" t="str">
        <x:f>IF(C732=0,"",IF(G732=0,"记录不完整",IF(H732=0,"重复未计","已计入")))</x:f>
        <x:v/>
      </x:c>
      <x:c r="G732">
        <x:f>IF(AND(AND('幕间与结算'!A639&lt;&gt;"",'幕间与结算'!B639&lt;&gt;"",'幕间与结算'!I639&lt;&gt;"",OR(LEFT(C732,3)="技能：",COUNTIF($L$2:$L$19,C732)&gt;0),ISNUMBER('幕间与结算'!E639),ISNUMBER('幕间与结算'!F639),ISNUMBER('幕间与结算'!G639),'幕间与结算'!E639&gt;=0,'幕间与结算'!G639='幕间与结算'!E639+'幕间与结算'!F639),OR(B732&lt;&gt;"成长",AND(LEFT(C732,3)="技能：",C732&lt;&gt;"技能：非自然知识",'幕间与结算'!E639&gt;=1,'幕间与结算'!E639&lt;=99,'幕间与结算'!F639&gt;=0,'幕间与结算'!F639&lt;=4,'幕间与结算'!G639&lt;=99))),1,0)</x:f>
        <x:v>0</x:v>
      </x:c>
      <x:c r="H732">
        <x:f>IF(AND(G732=1,COUNTIFS($I$200:I732,I732,$G$200:G732,1)=1),1,0)</x:f>
        <x:v>0</x:v>
      </x:c>
      <x:c r="I732" t="str">
        <x:f>IF(G732=1,IF(B732="成长",A732&amp;"-成长-"&amp;C732,'幕间与结算'!I639),"")</x:f>
        <x:v/>
      </x:c>
      <x:c r="BF732">
        <x:f>MAX(0,MIN(18,BF731+IF(C732="力量",E732,0)))</x:f>
        <x:v>0</x:v>
      </x:c>
      <x:c r="BG732">
        <x:f>MAX(0,MIN(18,BG731+IF(C732="体质",E732,0)))</x:f>
        <x:v>0</x:v>
      </x:c>
      <x:c r="BH732">
        <x:f>MAX(0,MIN(18,BH731+IF(C732="敏捷",E732,0)))</x:f>
        <x:v>0</x:v>
      </x:c>
      <x:c r="BI732">
        <x:f>MAX(0,MIN(18,BI731+IF(C732="智力",E732,0)))</x:f>
        <x:v>0</x:v>
      </x:c>
      <x:c r="BJ732">
        <x:f>MAX(0,MIN(18,BJ731+IF(C732="意志",E732,0)))</x:f>
        <x:v>0</x:v>
      </x:c>
      <x:c r="BK732">
        <x:f>MAX(0,MIN(18,BK731+IF(C732="魅力",E732,0)))</x:f>
        <x:v>0</x:v>
      </x:c>
      <x:c r="BL732">
        <x:f>MAX(0,MIN(99,BL731+IF(C732="技能：非自然知识",E732,0)))</x:f>
        <x:v>0</x:v>
      </x:c>
      <x:c r="BM732">
        <x:f>MAX(0,MIN(CEILING((BF732+BG732)/2,1),BM731+IF(C732="体力",E732,0)))</x:f>
        <x:v>0</x:v>
      </x:c>
      <x:c r="BN732">
        <x:f>MAX(0,MIN(BJ732,BN731+IF(C732="毅力",E732,0)))</x:f>
        <x:v>0</x:v>
      </x:c>
      <x:c r="BO732">
        <x:f>MAX(0,MIN(99-BL732,BO731+IF(C732="理智",E732,0)))</x:f>
        <x:v>0</x:v>
      </x:c>
      <x:c r="BP732">
        <x:f>MAX(0,MIN(99,BP731+IF(C732="崩溃点",E732,0)))</x:f>
        <x:v>0</x:v>
      </x:c>
      <x:c r="BQ732">
        <x:f>MAX(0,MIN(BK732,IF(AND(H732=1,C732="重要关系1",LEFT('幕间与结算'!H639,8)="建立新的重要关系"),'幕间与结算'!E639+E732,BQ731+IF(C732="重要关系1",E732,0)+IF(AND(C732="魅力",E732&lt;0),E732,0))))</x:f>
        <x:v>0</x:v>
      </x:c>
      <x:c r="BR732">
        <x:f>MAX(0,MIN(BK732,IF(AND(H732=1,C732="重要关系2",LEFT('幕间与结算'!H639,8)="建立新的重要关系"),'幕间与结算'!E639+E732,BR731+IF(C732="重要关系2",E732,0)+IF(AND(C732="魅力",E732&lt;0),E732,0))))</x:f>
        <x:v>0</x:v>
      </x:c>
      <x:c r="BS732">
        <x:f>MAX(0,MIN(BK732,IF(AND(H732=1,C732="重要关系3",LEFT('幕间与结算'!H639,8)="建立新的重要关系"),'幕间与结算'!E639+E732,BS731+IF(C732="重要关系3",E732,0)+IF(AND(C732="魅力",E732&lt;0),E732,0))))</x:f>
        <x:v>0</x:v>
      </x:c>
      <x:c r="BT732">
        <x:f>MAX(0,MIN(BK732,IF(AND(H732=1,C732="重要关系4",LEFT('幕间与结算'!H639,8)="建立新的重要关系"),'幕间与结算'!E639+E732,BT731+IF(C732="重要关系4",E732,0)+IF(AND(C732="魅力",E732&lt;0),E732,0))))</x:f>
        <x:v>0</x:v>
      </x:c>
      <x:c r="BU732">
        <x:f>MAX(0,MIN(BK732,IF(AND(H732=1,C732="重要关系5",LEFT('幕间与结算'!H639,8)="建立新的重要关系"),'幕间与结算'!E639+E732,BU731+IF(C732="重要关系5",E732,0)+IF(AND(C732="魅力",E732&lt;0),E732,0))))</x:f>
        <x:v>0</x:v>
      </x:c>
      <x:c r="BV732">
        <x:f>MAX(0,MIN(BK732,IF(AND(H732=1,C732="重要关系6",LEFT('幕间与结算'!H639,8)="建立新的重要关系"),'幕间与结算'!E639+E732,BV731+IF(C732="重要关系6",E732,0)+IF(AND(C732="魅力",E732&lt;0),E732,0))))</x:f>
        <x:v>0</x:v>
      </x:c>
      <x:c r="BW732">
        <x:f>MAX(0,MIN(BK732,IF(AND(H732=1,C732="重要关系7",LEFT('幕间与结算'!H639,8)="建立新的重要关系"),'幕间与结算'!E639+E732,BW731+IF(C732="重要关系7",E732,0)+IF(AND(C732="魅力",E732&lt;0),E732,0))))</x:f>
        <x:v>0</x:v>
      </x:c>
    </x:row>
    <x:row r="733">
      <x:c r="A733" t="str">
        <x:f>IFERROR(TEXT(VALUE('幕间与结算'!A640),"00"),"")</x:f>
        <x:v>00</x:v>
      </x:c>
      <x:c r="B733">
        <x:f>'幕间与结算'!B640</x:f>
        <x:v>0</x:v>
      </x:c>
      <x:c r="C733">
        <x:f>'幕间与结算'!D640</x:f>
        <x:v>0</x:v>
      </x:c>
      <x:c r="D733">
        <x:f>'幕间与结算'!F640</x:f>
        <x:v>0</x:v>
      </x:c>
      <x:c r="E733">
        <x:f>IF(H733=1,MAX(-'幕间与结算'!E640,MIN(D733,IF(LEFT(C733,3)="技能：",99,IF(COUNTIF($L$2:$L$7,C733)&gt;0,18,999))-'幕间与结算'!E640)),0)</x:f>
        <x:v>0</x:v>
      </x:c>
      <x:c r="F733" t="str">
        <x:f>IF(C733=0,"",IF(G733=0,"记录不完整",IF(H733=0,"重复未计","已计入")))</x:f>
        <x:v/>
      </x:c>
      <x:c r="G733">
        <x:f>IF(AND(AND('幕间与结算'!A640&lt;&gt;"",'幕间与结算'!B640&lt;&gt;"",'幕间与结算'!I640&lt;&gt;"",OR(LEFT(C733,3)="技能：",COUNTIF($L$2:$L$19,C733)&gt;0),ISNUMBER('幕间与结算'!E640),ISNUMBER('幕间与结算'!F640),ISNUMBER('幕间与结算'!G640),'幕间与结算'!E640&gt;=0,'幕间与结算'!G640='幕间与结算'!E640+'幕间与结算'!F640),OR(B733&lt;&gt;"成长",AND(LEFT(C733,3)="技能：",C733&lt;&gt;"技能：非自然知识",'幕间与结算'!E640&gt;=1,'幕间与结算'!E640&lt;=99,'幕间与结算'!F640&gt;=0,'幕间与结算'!F640&lt;=4,'幕间与结算'!G640&lt;=99))),1,0)</x:f>
        <x:v>0</x:v>
      </x:c>
      <x:c r="H733">
        <x:f>IF(AND(G733=1,COUNTIFS($I$200:I733,I733,$G$200:G733,1)=1),1,0)</x:f>
        <x:v>0</x:v>
      </x:c>
      <x:c r="I733" t="str">
        <x:f>IF(G733=1,IF(B733="成长",A733&amp;"-成长-"&amp;C733,'幕间与结算'!I640),"")</x:f>
        <x:v/>
      </x:c>
      <x:c r="BF733">
        <x:f>MAX(0,MIN(18,BF732+IF(C733="力量",E733,0)))</x:f>
        <x:v>0</x:v>
      </x:c>
      <x:c r="BG733">
        <x:f>MAX(0,MIN(18,BG732+IF(C733="体质",E733,0)))</x:f>
        <x:v>0</x:v>
      </x:c>
      <x:c r="BH733">
        <x:f>MAX(0,MIN(18,BH732+IF(C733="敏捷",E733,0)))</x:f>
        <x:v>0</x:v>
      </x:c>
      <x:c r="BI733">
        <x:f>MAX(0,MIN(18,BI732+IF(C733="智力",E733,0)))</x:f>
        <x:v>0</x:v>
      </x:c>
      <x:c r="BJ733">
        <x:f>MAX(0,MIN(18,BJ732+IF(C733="意志",E733,0)))</x:f>
        <x:v>0</x:v>
      </x:c>
      <x:c r="BK733">
        <x:f>MAX(0,MIN(18,BK732+IF(C733="魅力",E733,0)))</x:f>
        <x:v>0</x:v>
      </x:c>
      <x:c r="BL733">
        <x:f>MAX(0,MIN(99,BL732+IF(C733="技能：非自然知识",E733,0)))</x:f>
        <x:v>0</x:v>
      </x:c>
      <x:c r="BM733">
        <x:f>MAX(0,MIN(CEILING((BF733+BG733)/2,1),BM732+IF(C733="体力",E733,0)))</x:f>
        <x:v>0</x:v>
      </x:c>
      <x:c r="BN733">
        <x:f>MAX(0,MIN(BJ733,BN732+IF(C733="毅力",E733,0)))</x:f>
        <x:v>0</x:v>
      </x:c>
      <x:c r="BO733">
        <x:f>MAX(0,MIN(99-BL733,BO732+IF(C733="理智",E733,0)))</x:f>
        <x:v>0</x:v>
      </x:c>
      <x:c r="BP733">
        <x:f>MAX(0,MIN(99,BP732+IF(C733="崩溃点",E733,0)))</x:f>
        <x:v>0</x:v>
      </x:c>
      <x:c r="BQ733">
        <x:f>MAX(0,MIN(BK733,IF(AND(H733=1,C733="重要关系1",LEFT('幕间与结算'!H640,8)="建立新的重要关系"),'幕间与结算'!E640+E733,BQ732+IF(C733="重要关系1",E733,0)+IF(AND(C733="魅力",E733&lt;0),E733,0))))</x:f>
        <x:v>0</x:v>
      </x:c>
      <x:c r="BR733">
        <x:f>MAX(0,MIN(BK733,IF(AND(H733=1,C733="重要关系2",LEFT('幕间与结算'!H640,8)="建立新的重要关系"),'幕间与结算'!E640+E733,BR732+IF(C733="重要关系2",E733,0)+IF(AND(C733="魅力",E733&lt;0),E733,0))))</x:f>
        <x:v>0</x:v>
      </x:c>
      <x:c r="BS733">
        <x:f>MAX(0,MIN(BK733,IF(AND(H733=1,C733="重要关系3",LEFT('幕间与结算'!H640,8)="建立新的重要关系"),'幕间与结算'!E640+E733,BS732+IF(C733="重要关系3",E733,0)+IF(AND(C733="魅力",E733&lt;0),E733,0))))</x:f>
        <x:v>0</x:v>
      </x:c>
      <x:c r="BT733">
        <x:f>MAX(0,MIN(BK733,IF(AND(H733=1,C733="重要关系4",LEFT('幕间与结算'!H640,8)="建立新的重要关系"),'幕间与结算'!E640+E733,BT732+IF(C733="重要关系4",E733,0)+IF(AND(C733="魅力",E733&lt;0),E733,0))))</x:f>
        <x:v>0</x:v>
      </x:c>
      <x:c r="BU733">
        <x:f>MAX(0,MIN(BK733,IF(AND(H733=1,C733="重要关系5",LEFT('幕间与结算'!H640,8)="建立新的重要关系"),'幕间与结算'!E640+E733,BU732+IF(C733="重要关系5",E733,0)+IF(AND(C733="魅力",E733&lt;0),E733,0))))</x:f>
        <x:v>0</x:v>
      </x:c>
      <x:c r="BV733">
        <x:f>MAX(0,MIN(BK733,IF(AND(H733=1,C733="重要关系6",LEFT('幕间与结算'!H640,8)="建立新的重要关系"),'幕间与结算'!E640+E733,BV732+IF(C733="重要关系6",E733,0)+IF(AND(C733="魅力",E733&lt;0),E733,0))))</x:f>
        <x:v>0</x:v>
      </x:c>
      <x:c r="BW733">
        <x:f>MAX(0,MIN(BK733,IF(AND(H733=1,C733="重要关系7",LEFT('幕间与结算'!H640,8)="建立新的重要关系"),'幕间与结算'!E640+E733,BW732+IF(C733="重要关系7",E733,0)+IF(AND(C733="魅力",E733&lt;0),E733,0))))</x:f>
        <x:v>0</x:v>
      </x:c>
    </x:row>
    <x:row r="734">
      <x:c r="A734" t="str">
        <x:f>IFERROR(TEXT(VALUE('幕间与结算'!A641),"00"),"")</x:f>
        <x:v>00</x:v>
      </x:c>
      <x:c r="B734">
        <x:f>'幕间与结算'!B641</x:f>
        <x:v>0</x:v>
      </x:c>
      <x:c r="C734">
        <x:f>'幕间与结算'!D641</x:f>
        <x:v>0</x:v>
      </x:c>
      <x:c r="D734">
        <x:f>'幕间与结算'!F641</x:f>
        <x:v>0</x:v>
      </x:c>
      <x:c r="E734">
        <x:f>IF(H734=1,MAX(-'幕间与结算'!E641,MIN(D734,IF(LEFT(C734,3)="技能：",99,IF(COUNTIF($L$2:$L$7,C734)&gt;0,18,999))-'幕间与结算'!E641)),0)</x:f>
        <x:v>0</x:v>
      </x:c>
      <x:c r="F734" t="str">
        <x:f>IF(C734=0,"",IF(G734=0,"记录不完整",IF(H734=0,"重复未计","已计入")))</x:f>
        <x:v/>
      </x:c>
      <x:c r="G734">
        <x:f>IF(AND(AND('幕间与结算'!A641&lt;&gt;"",'幕间与结算'!B641&lt;&gt;"",'幕间与结算'!I641&lt;&gt;"",OR(LEFT(C734,3)="技能：",COUNTIF($L$2:$L$19,C734)&gt;0),ISNUMBER('幕间与结算'!E641),ISNUMBER('幕间与结算'!F641),ISNUMBER('幕间与结算'!G641),'幕间与结算'!E641&gt;=0,'幕间与结算'!G641='幕间与结算'!E641+'幕间与结算'!F641),OR(B734&lt;&gt;"成长",AND(LEFT(C734,3)="技能：",C734&lt;&gt;"技能：非自然知识",'幕间与结算'!E641&gt;=1,'幕间与结算'!E641&lt;=99,'幕间与结算'!F641&gt;=0,'幕间与结算'!F641&lt;=4,'幕间与结算'!G641&lt;=99))),1,0)</x:f>
        <x:v>0</x:v>
      </x:c>
      <x:c r="H734">
        <x:f>IF(AND(G734=1,COUNTIFS($I$200:I734,I734,$G$200:G734,1)=1),1,0)</x:f>
        <x:v>0</x:v>
      </x:c>
      <x:c r="I734" t="str">
        <x:f>IF(G734=1,IF(B734="成长",A734&amp;"-成长-"&amp;C734,'幕间与结算'!I641),"")</x:f>
        <x:v/>
      </x:c>
      <x:c r="BF734">
        <x:f>MAX(0,MIN(18,BF733+IF(C734="力量",E734,0)))</x:f>
        <x:v>0</x:v>
      </x:c>
      <x:c r="BG734">
        <x:f>MAX(0,MIN(18,BG733+IF(C734="体质",E734,0)))</x:f>
        <x:v>0</x:v>
      </x:c>
      <x:c r="BH734">
        <x:f>MAX(0,MIN(18,BH733+IF(C734="敏捷",E734,0)))</x:f>
        <x:v>0</x:v>
      </x:c>
      <x:c r="BI734">
        <x:f>MAX(0,MIN(18,BI733+IF(C734="智力",E734,0)))</x:f>
        <x:v>0</x:v>
      </x:c>
      <x:c r="BJ734">
        <x:f>MAX(0,MIN(18,BJ733+IF(C734="意志",E734,0)))</x:f>
        <x:v>0</x:v>
      </x:c>
      <x:c r="BK734">
        <x:f>MAX(0,MIN(18,BK733+IF(C734="魅力",E734,0)))</x:f>
        <x:v>0</x:v>
      </x:c>
      <x:c r="BL734">
        <x:f>MAX(0,MIN(99,BL733+IF(C734="技能：非自然知识",E734,0)))</x:f>
        <x:v>0</x:v>
      </x:c>
      <x:c r="BM734">
        <x:f>MAX(0,MIN(CEILING((BF734+BG734)/2,1),BM733+IF(C734="体力",E734,0)))</x:f>
        <x:v>0</x:v>
      </x:c>
      <x:c r="BN734">
        <x:f>MAX(0,MIN(BJ734,BN733+IF(C734="毅力",E734,0)))</x:f>
        <x:v>0</x:v>
      </x:c>
      <x:c r="BO734">
        <x:f>MAX(0,MIN(99-BL734,BO733+IF(C734="理智",E734,0)))</x:f>
        <x:v>0</x:v>
      </x:c>
      <x:c r="BP734">
        <x:f>MAX(0,MIN(99,BP733+IF(C734="崩溃点",E734,0)))</x:f>
        <x:v>0</x:v>
      </x:c>
      <x:c r="BQ734">
        <x:f>MAX(0,MIN(BK734,IF(AND(H734=1,C734="重要关系1",LEFT('幕间与结算'!H641,8)="建立新的重要关系"),'幕间与结算'!E641+E734,BQ733+IF(C734="重要关系1",E734,0)+IF(AND(C734="魅力",E734&lt;0),E734,0))))</x:f>
        <x:v>0</x:v>
      </x:c>
      <x:c r="BR734">
        <x:f>MAX(0,MIN(BK734,IF(AND(H734=1,C734="重要关系2",LEFT('幕间与结算'!H641,8)="建立新的重要关系"),'幕间与结算'!E641+E734,BR733+IF(C734="重要关系2",E734,0)+IF(AND(C734="魅力",E734&lt;0),E734,0))))</x:f>
        <x:v>0</x:v>
      </x:c>
      <x:c r="BS734">
        <x:f>MAX(0,MIN(BK734,IF(AND(H734=1,C734="重要关系3",LEFT('幕间与结算'!H641,8)="建立新的重要关系"),'幕间与结算'!E641+E734,BS733+IF(C734="重要关系3",E734,0)+IF(AND(C734="魅力",E734&lt;0),E734,0))))</x:f>
        <x:v>0</x:v>
      </x:c>
      <x:c r="BT734">
        <x:f>MAX(0,MIN(BK734,IF(AND(H734=1,C734="重要关系4",LEFT('幕间与结算'!H641,8)="建立新的重要关系"),'幕间与结算'!E641+E734,BT733+IF(C734="重要关系4",E734,0)+IF(AND(C734="魅力",E734&lt;0),E734,0))))</x:f>
        <x:v>0</x:v>
      </x:c>
      <x:c r="BU734">
        <x:f>MAX(0,MIN(BK734,IF(AND(H734=1,C734="重要关系5",LEFT('幕间与结算'!H641,8)="建立新的重要关系"),'幕间与结算'!E641+E734,BU733+IF(C734="重要关系5",E734,0)+IF(AND(C734="魅力",E734&lt;0),E734,0))))</x:f>
        <x:v>0</x:v>
      </x:c>
      <x:c r="BV734">
        <x:f>MAX(0,MIN(BK734,IF(AND(H734=1,C734="重要关系6",LEFT('幕间与结算'!H641,8)="建立新的重要关系"),'幕间与结算'!E641+E734,BV733+IF(C734="重要关系6",E734,0)+IF(AND(C734="魅力",E734&lt;0),E734,0))))</x:f>
        <x:v>0</x:v>
      </x:c>
      <x:c r="BW734">
        <x:f>MAX(0,MIN(BK734,IF(AND(H734=1,C734="重要关系7",LEFT('幕间与结算'!H641,8)="建立新的重要关系"),'幕间与结算'!E641+E734,BW733+IF(C734="重要关系7",E734,0)+IF(AND(C734="魅力",E734&lt;0),E734,0))))</x:f>
        <x:v>0</x:v>
      </x:c>
    </x:row>
    <x:row r="735">
      <x:c r="A735" t="str">
        <x:f>IFERROR(TEXT(VALUE('幕间与结算'!A642),"00"),"")</x:f>
        <x:v>00</x:v>
      </x:c>
      <x:c r="B735">
        <x:f>'幕间与结算'!B642</x:f>
        <x:v>0</x:v>
      </x:c>
      <x:c r="C735">
        <x:f>'幕间与结算'!D642</x:f>
        <x:v>0</x:v>
      </x:c>
      <x:c r="D735">
        <x:f>'幕间与结算'!F642</x:f>
        <x:v>0</x:v>
      </x:c>
      <x:c r="E735">
        <x:f>IF(H735=1,MAX(-'幕间与结算'!E642,MIN(D735,IF(LEFT(C735,3)="技能：",99,IF(COUNTIF($L$2:$L$7,C735)&gt;0,18,999))-'幕间与结算'!E642)),0)</x:f>
        <x:v>0</x:v>
      </x:c>
      <x:c r="F735" t="str">
        <x:f>IF(C735=0,"",IF(G735=0,"记录不完整",IF(H735=0,"重复未计","已计入")))</x:f>
        <x:v/>
      </x:c>
      <x:c r="G735">
        <x:f>IF(AND(AND('幕间与结算'!A642&lt;&gt;"",'幕间与结算'!B642&lt;&gt;"",'幕间与结算'!I642&lt;&gt;"",OR(LEFT(C735,3)="技能：",COUNTIF($L$2:$L$19,C735)&gt;0),ISNUMBER('幕间与结算'!E642),ISNUMBER('幕间与结算'!F642),ISNUMBER('幕间与结算'!G642),'幕间与结算'!E642&gt;=0,'幕间与结算'!G642='幕间与结算'!E642+'幕间与结算'!F642),OR(B735&lt;&gt;"成长",AND(LEFT(C735,3)="技能：",C735&lt;&gt;"技能：非自然知识",'幕间与结算'!E642&gt;=1,'幕间与结算'!E642&lt;=99,'幕间与结算'!F642&gt;=0,'幕间与结算'!F642&lt;=4,'幕间与结算'!G642&lt;=99))),1,0)</x:f>
        <x:v>0</x:v>
      </x:c>
      <x:c r="H735">
        <x:f>IF(AND(G735=1,COUNTIFS($I$200:I735,I735,$G$200:G735,1)=1),1,0)</x:f>
        <x:v>0</x:v>
      </x:c>
      <x:c r="I735" t="str">
        <x:f>IF(G735=1,IF(B735="成长",A735&amp;"-成长-"&amp;C735,'幕间与结算'!I642),"")</x:f>
        <x:v/>
      </x:c>
      <x:c r="BF735">
        <x:f>MAX(0,MIN(18,BF734+IF(C735="力量",E735,0)))</x:f>
        <x:v>0</x:v>
      </x:c>
      <x:c r="BG735">
        <x:f>MAX(0,MIN(18,BG734+IF(C735="体质",E735,0)))</x:f>
        <x:v>0</x:v>
      </x:c>
      <x:c r="BH735">
        <x:f>MAX(0,MIN(18,BH734+IF(C735="敏捷",E735,0)))</x:f>
        <x:v>0</x:v>
      </x:c>
      <x:c r="BI735">
        <x:f>MAX(0,MIN(18,BI734+IF(C735="智力",E735,0)))</x:f>
        <x:v>0</x:v>
      </x:c>
      <x:c r="BJ735">
        <x:f>MAX(0,MIN(18,BJ734+IF(C735="意志",E735,0)))</x:f>
        <x:v>0</x:v>
      </x:c>
      <x:c r="BK735">
        <x:f>MAX(0,MIN(18,BK734+IF(C735="魅力",E735,0)))</x:f>
        <x:v>0</x:v>
      </x:c>
      <x:c r="BL735">
        <x:f>MAX(0,MIN(99,BL734+IF(C735="技能：非自然知识",E735,0)))</x:f>
        <x:v>0</x:v>
      </x:c>
      <x:c r="BM735">
        <x:f>MAX(0,MIN(CEILING((BF735+BG735)/2,1),BM734+IF(C735="体力",E735,0)))</x:f>
        <x:v>0</x:v>
      </x:c>
      <x:c r="BN735">
        <x:f>MAX(0,MIN(BJ735,BN734+IF(C735="毅力",E735,0)))</x:f>
        <x:v>0</x:v>
      </x:c>
      <x:c r="BO735">
        <x:f>MAX(0,MIN(99-BL735,BO734+IF(C735="理智",E735,0)))</x:f>
        <x:v>0</x:v>
      </x:c>
      <x:c r="BP735">
        <x:f>MAX(0,MIN(99,BP734+IF(C735="崩溃点",E735,0)))</x:f>
        <x:v>0</x:v>
      </x:c>
      <x:c r="BQ735">
        <x:f>MAX(0,MIN(BK735,IF(AND(H735=1,C735="重要关系1",LEFT('幕间与结算'!H642,8)="建立新的重要关系"),'幕间与结算'!E642+E735,BQ734+IF(C735="重要关系1",E735,0)+IF(AND(C735="魅力",E735&lt;0),E735,0))))</x:f>
        <x:v>0</x:v>
      </x:c>
      <x:c r="BR735">
        <x:f>MAX(0,MIN(BK735,IF(AND(H735=1,C735="重要关系2",LEFT('幕间与结算'!H642,8)="建立新的重要关系"),'幕间与结算'!E642+E735,BR734+IF(C735="重要关系2",E735,0)+IF(AND(C735="魅力",E735&lt;0),E735,0))))</x:f>
        <x:v>0</x:v>
      </x:c>
      <x:c r="BS735">
        <x:f>MAX(0,MIN(BK735,IF(AND(H735=1,C735="重要关系3",LEFT('幕间与结算'!H642,8)="建立新的重要关系"),'幕间与结算'!E642+E735,BS734+IF(C735="重要关系3",E735,0)+IF(AND(C735="魅力",E735&lt;0),E735,0))))</x:f>
        <x:v>0</x:v>
      </x:c>
      <x:c r="BT735">
        <x:f>MAX(0,MIN(BK735,IF(AND(H735=1,C735="重要关系4",LEFT('幕间与结算'!H642,8)="建立新的重要关系"),'幕间与结算'!E642+E735,BT734+IF(C735="重要关系4",E735,0)+IF(AND(C735="魅力",E735&lt;0),E735,0))))</x:f>
        <x:v>0</x:v>
      </x:c>
      <x:c r="BU735">
        <x:f>MAX(0,MIN(BK735,IF(AND(H735=1,C735="重要关系5",LEFT('幕间与结算'!H642,8)="建立新的重要关系"),'幕间与结算'!E642+E735,BU734+IF(C735="重要关系5",E735,0)+IF(AND(C735="魅力",E735&lt;0),E735,0))))</x:f>
        <x:v>0</x:v>
      </x:c>
      <x:c r="BV735">
        <x:f>MAX(0,MIN(BK735,IF(AND(H735=1,C735="重要关系6",LEFT('幕间与结算'!H642,8)="建立新的重要关系"),'幕间与结算'!E642+E735,BV734+IF(C735="重要关系6",E735,0)+IF(AND(C735="魅力",E735&lt;0),E735,0))))</x:f>
        <x:v>0</x:v>
      </x:c>
      <x:c r="BW735">
        <x:f>MAX(0,MIN(BK735,IF(AND(H735=1,C735="重要关系7",LEFT('幕间与结算'!H642,8)="建立新的重要关系"),'幕间与结算'!E642+E735,BW734+IF(C735="重要关系7",E735,0)+IF(AND(C735="魅力",E735&lt;0),E735,0))))</x:f>
        <x:v>0</x:v>
      </x:c>
    </x:row>
    <x:row r="736">
      <x:c r="A736" t="str">
        <x:f>IFERROR(TEXT(VALUE('幕间与结算'!A643),"00"),"")</x:f>
        <x:v>00</x:v>
      </x:c>
      <x:c r="B736">
        <x:f>'幕间与结算'!B643</x:f>
        <x:v>0</x:v>
      </x:c>
      <x:c r="C736">
        <x:f>'幕间与结算'!D643</x:f>
        <x:v>0</x:v>
      </x:c>
      <x:c r="D736">
        <x:f>'幕间与结算'!F643</x:f>
        <x:v>0</x:v>
      </x:c>
      <x:c r="E736">
        <x:f>IF(H736=1,MAX(-'幕间与结算'!E643,MIN(D736,IF(LEFT(C736,3)="技能：",99,IF(COUNTIF($L$2:$L$7,C736)&gt;0,18,999))-'幕间与结算'!E643)),0)</x:f>
        <x:v>0</x:v>
      </x:c>
      <x:c r="F736" t="str">
        <x:f>IF(C736=0,"",IF(G736=0,"记录不完整",IF(H736=0,"重复未计","已计入")))</x:f>
        <x:v/>
      </x:c>
      <x:c r="G736">
        <x:f>IF(AND(AND('幕间与结算'!A643&lt;&gt;"",'幕间与结算'!B643&lt;&gt;"",'幕间与结算'!I643&lt;&gt;"",OR(LEFT(C736,3)="技能：",COUNTIF($L$2:$L$19,C736)&gt;0),ISNUMBER('幕间与结算'!E643),ISNUMBER('幕间与结算'!F643),ISNUMBER('幕间与结算'!G643),'幕间与结算'!E643&gt;=0,'幕间与结算'!G643='幕间与结算'!E643+'幕间与结算'!F643),OR(B736&lt;&gt;"成长",AND(LEFT(C736,3)="技能：",C736&lt;&gt;"技能：非自然知识",'幕间与结算'!E643&gt;=1,'幕间与结算'!E643&lt;=99,'幕间与结算'!F643&gt;=0,'幕间与结算'!F643&lt;=4,'幕间与结算'!G643&lt;=99))),1,0)</x:f>
        <x:v>0</x:v>
      </x:c>
      <x:c r="H736">
        <x:f>IF(AND(G736=1,COUNTIFS($I$200:I736,I736,$G$200:G736,1)=1),1,0)</x:f>
        <x:v>0</x:v>
      </x:c>
      <x:c r="I736" t="str">
        <x:f>IF(G736=1,IF(B736="成长",A736&amp;"-成长-"&amp;C736,'幕间与结算'!I643),"")</x:f>
        <x:v/>
      </x:c>
      <x:c r="BF736">
        <x:f>MAX(0,MIN(18,BF735+IF(C736="力量",E736,0)))</x:f>
        <x:v>0</x:v>
      </x:c>
      <x:c r="BG736">
        <x:f>MAX(0,MIN(18,BG735+IF(C736="体质",E736,0)))</x:f>
        <x:v>0</x:v>
      </x:c>
      <x:c r="BH736">
        <x:f>MAX(0,MIN(18,BH735+IF(C736="敏捷",E736,0)))</x:f>
        <x:v>0</x:v>
      </x:c>
      <x:c r="BI736">
        <x:f>MAX(0,MIN(18,BI735+IF(C736="智力",E736,0)))</x:f>
        <x:v>0</x:v>
      </x:c>
      <x:c r="BJ736">
        <x:f>MAX(0,MIN(18,BJ735+IF(C736="意志",E736,0)))</x:f>
        <x:v>0</x:v>
      </x:c>
      <x:c r="BK736">
        <x:f>MAX(0,MIN(18,BK735+IF(C736="魅力",E736,0)))</x:f>
        <x:v>0</x:v>
      </x:c>
      <x:c r="BL736">
        <x:f>MAX(0,MIN(99,BL735+IF(C736="技能：非自然知识",E736,0)))</x:f>
        <x:v>0</x:v>
      </x:c>
      <x:c r="BM736">
        <x:f>MAX(0,MIN(CEILING((BF736+BG736)/2,1),BM735+IF(C736="体力",E736,0)))</x:f>
        <x:v>0</x:v>
      </x:c>
      <x:c r="BN736">
        <x:f>MAX(0,MIN(BJ736,BN735+IF(C736="毅力",E736,0)))</x:f>
        <x:v>0</x:v>
      </x:c>
      <x:c r="BO736">
        <x:f>MAX(0,MIN(99-BL736,BO735+IF(C736="理智",E736,0)))</x:f>
        <x:v>0</x:v>
      </x:c>
      <x:c r="BP736">
        <x:f>MAX(0,MIN(99,BP735+IF(C736="崩溃点",E736,0)))</x:f>
        <x:v>0</x:v>
      </x:c>
      <x:c r="BQ736">
        <x:f>MAX(0,MIN(BK736,IF(AND(H736=1,C736="重要关系1",LEFT('幕间与结算'!H643,8)="建立新的重要关系"),'幕间与结算'!E643+E736,BQ735+IF(C736="重要关系1",E736,0)+IF(AND(C736="魅力",E736&lt;0),E736,0))))</x:f>
        <x:v>0</x:v>
      </x:c>
      <x:c r="BR736">
        <x:f>MAX(0,MIN(BK736,IF(AND(H736=1,C736="重要关系2",LEFT('幕间与结算'!H643,8)="建立新的重要关系"),'幕间与结算'!E643+E736,BR735+IF(C736="重要关系2",E736,0)+IF(AND(C736="魅力",E736&lt;0),E736,0))))</x:f>
        <x:v>0</x:v>
      </x:c>
      <x:c r="BS736">
        <x:f>MAX(0,MIN(BK736,IF(AND(H736=1,C736="重要关系3",LEFT('幕间与结算'!H643,8)="建立新的重要关系"),'幕间与结算'!E643+E736,BS735+IF(C736="重要关系3",E736,0)+IF(AND(C736="魅力",E736&lt;0),E736,0))))</x:f>
        <x:v>0</x:v>
      </x:c>
      <x:c r="BT736">
        <x:f>MAX(0,MIN(BK736,IF(AND(H736=1,C736="重要关系4",LEFT('幕间与结算'!H643,8)="建立新的重要关系"),'幕间与结算'!E643+E736,BT735+IF(C736="重要关系4",E736,0)+IF(AND(C736="魅力",E736&lt;0),E736,0))))</x:f>
        <x:v>0</x:v>
      </x:c>
      <x:c r="BU736">
        <x:f>MAX(0,MIN(BK736,IF(AND(H736=1,C736="重要关系5",LEFT('幕间与结算'!H643,8)="建立新的重要关系"),'幕间与结算'!E643+E736,BU735+IF(C736="重要关系5",E736,0)+IF(AND(C736="魅力",E736&lt;0),E736,0))))</x:f>
        <x:v>0</x:v>
      </x:c>
      <x:c r="BV736">
        <x:f>MAX(0,MIN(BK736,IF(AND(H736=1,C736="重要关系6",LEFT('幕间与结算'!H643,8)="建立新的重要关系"),'幕间与结算'!E643+E736,BV735+IF(C736="重要关系6",E736,0)+IF(AND(C736="魅力",E736&lt;0),E736,0))))</x:f>
        <x:v>0</x:v>
      </x:c>
      <x:c r="BW736">
        <x:f>MAX(0,MIN(BK736,IF(AND(H736=1,C736="重要关系7",LEFT('幕间与结算'!H643,8)="建立新的重要关系"),'幕间与结算'!E643+E736,BW735+IF(C736="重要关系7",E736,0)+IF(AND(C736="魅力",E736&lt;0),E736,0))))</x:f>
        <x:v>0</x:v>
      </x:c>
    </x:row>
    <x:row r="737">
      <x:c r="A737" t="str">
        <x:f>IFERROR(TEXT(VALUE('幕间与结算'!A644),"00"),"")</x:f>
        <x:v>00</x:v>
      </x:c>
      <x:c r="B737">
        <x:f>'幕间与结算'!B644</x:f>
        <x:v>0</x:v>
      </x:c>
      <x:c r="C737">
        <x:f>'幕间与结算'!D644</x:f>
        <x:v>0</x:v>
      </x:c>
      <x:c r="D737">
        <x:f>'幕间与结算'!F644</x:f>
        <x:v>0</x:v>
      </x:c>
      <x:c r="E737">
        <x:f>IF(H737=1,MAX(-'幕间与结算'!E644,MIN(D737,IF(LEFT(C737,3)="技能：",99,IF(COUNTIF($L$2:$L$7,C737)&gt;0,18,999))-'幕间与结算'!E644)),0)</x:f>
        <x:v>0</x:v>
      </x:c>
      <x:c r="F737" t="str">
        <x:f>IF(C737=0,"",IF(G737=0,"记录不完整",IF(H737=0,"重复未计","已计入")))</x:f>
        <x:v/>
      </x:c>
      <x:c r="G737">
        <x:f>IF(AND(AND('幕间与结算'!A644&lt;&gt;"",'幕间与结算'!B644&lt;&gt;"",'幕间与结算'!I644&lt;&gt;"",OR(LEFT(C737,3)="技能：",COUNTIF($L$2:$L$19,C737)&gt;0),ISNUMBER('幕间与结算'!E644),ISNUMBER('幕间与结算'!F644),ISNUMBER('幕间与结算'!G644),'幕间与结算'!E644&gt;=0,'幕间与结算'!G644='幕间与结算'!E644+'幕间与结算'!F644),OR(B737&lt;&gt;"成长",AND(LEFT(C737,3)="技能：",C737&lt;&gt;"技能：非自然知识",'幕间与结算'!E644&gt;=1,'幕间与结算'!E644&lt;=99,'幕间与结算'!F644&gt;=0,'幕间与结算'!F644&lt;=4,'幕间与结算'!G644&lt;=99))),1,0)</x:f>
        <x:v>0</x:v>
      </x:c>
      <x:c r="H737">
        <x:f>IF(AND(G737=1,COUNTIFS($I$200:I737,I737,$G$200:G737,1)=1),1,0)</x:f>
        <x:v>0</x:v>
      </x:c>
      <x:c r="I737" t="str">
        <x:f>IF(G737=1,IF(B737="成长",A737&amp;"-成长-"&amp;C737,'幕间与结算'!I644),"")</x:f>
        <x:v/>
      </x:c>
      <x:c r="BF737">
        <x:f>MAX(0,MIN(18,BF736+IF(C737="力量",E737,0)))</x:f>
        <x:v>0</x:v>
      </x:c>
      <x:c r="BG737">
        <x:f>MAX(0,MIN(18,BG736+IF(C737="体质",E737,0)))</x:f>
        <x:v>0</x:v>
      </x:c>
      <x:c r="BH737">
        <x:f>MAX(0,MIN(18,BH736+IF(C737="敏捷",E737,0)))</x:f>
        <x:v>0</x:v>
      </x:c>
      <x:c r="BI737">
        <x:f>MAX(0,MIN(18,BI736+IF(C737="智力",E737,0)))</x:f>
        <x:v>0</x:v>
      </x:c>
      <x:c r="BJ737">
        <x:f>MAX(0,MIN(18,BJ736+IF(C737="意志",E737,0)))</x:f>
        <x:v>0</x:v>
      </x:c>
      <x:c r="BK737">
        <x:f>MAX(0,MIN(18,BK736+IF(C737="魅力",E737,0)))</x:f>
        <x:v>0</x:v>
      </x:c>
      <x:c r="BL737">
        <x:f>MAX(0,MIN(99,BL736+IF(C737="技能：非自然知识",E737,0)))</x:f>
        <x:v>0</x:v>
      </x:c>
      <x:c r="BM737">
        <x:f>MAX(0,MIN(CEILING((BF737+BG737)/2,1),BM736+IF(C737="体力",E737,0)))</x:f>
        <x:v>0</x:v>
      </x:c>
      <x:c r="BN737">
        <x:f>MAX(0,MIN(BJ737,BN736+IF(C737="毅力",E737,0)))</x:f>
        <x:v>0</x:v>
      </x:c>
      <x:c r="BO737">
        <x:f>MAX(0,MIN(99-BL737,BO736+IF(C737="理智",E737,0)))</x:f>
        <x:v>0</x:v>
      </x:c>
      <x:c r="BP737">
        <x:f>MAX(0,MIN(99,BP736+IF(C737="崩溃点",E737,0)))</x:f>
        <x:v>0</x:v>
      </x:c>
      <x:c r="BQ737">
        <x:f>MAX(0,MIN(BK737,IF(AND(H737=1,C737="重要关系1",LEFT('幕间与结算'!H644,8)="建立新的重要关系"),'幕间与结算'!E644+E737,BQ736+IF(C737="重要关系1",E737,0)+IF(AND(C737="魅力",E737&lt;0),E737,0))))</x:f>
        <x:v>0</x:v>
      </x:c>
      <x:c r="BR737">
        <x:f>MAX(0,MIN(BK737,IF(AND(H737=1,C737="重要关系2",LEFT('幕间与结算'!H644,8)="建立新的重要关系"),'幕间与结算'!E644+E737,BR736+IF(C737="重要关系2",E737,0)+IF(AND(C737="魅力",E737&lt;0),E737,0))))</x:f>
        <x:v>0</x:v>
      </x:c>
      <x:c r="BS737">
        <x:f>MAX(0,MIN(BK737,IF(AND(H737=1,C737="重要关系3",LEFT('幕间与结算'!H644,8)="建立新的重要关系"),'幕间与结算'!E644+E737,BS736+IF(C737="重要关系3",E737,0)+IF(AND(C737="魅力",E737&lt;0),E737,0))))</x:f>
        <x:v>0</x:v>
      </x:c>
      <x:c r="BT737">
        <x:f>MAX(0,MIN(BK737,IF(AND(H737=1,C737="重要关系4",LEFT('幕间与结算'!H644,8)="建立新的重要关系"),'幕间与结算'!E644+E737,BT736+IF(C737="重要关系4",E737,0)+IF(AND(C737="魅力",E737&lt;0),E737,0))))</x:f>
        <x:v>0</x:v>
      </x:c>
      <x:c r="BU737">
        <x:f>MAX(0,MIN(BK737,IF(AND(H737=1,C737="重要关系5",LEFT('幕间与结算'!H644,8)="建立新的重要关系"),'幕间与结算'!E644+E737,BU736+IF(C737="重要关系5",E737,0)+IF(AND(C737="魅力",E737&lt;0),E737,0))))</x:f>
        <x:v>0</x:v>
      </x:c>
      <x:c r="BV737">
        <x:f>MAX(0,MIN(BK737,IF(AND(H737=1,C737="重要关系6",LEFT('幕间与结算'!H644,8)="建立新的重要关系"),'幕间与结算'!E644+E737,BV736+IF(C737="重要关系6",E737,0)+IF(AND(C737="魅力",E737&lt;0),E737,0))))</x:f>
        <x:v>0</x:v>
      </x:c>
      <x:c r="BW737">
        <x:f>MAX(0,MIN(BK737,IF(AND(H737=1,C737="重要关系7",LEFT('幕间与结算'!H644,8)="建立新的重要关系"),'幕间与结算'!E644+E737,BW736+IF(C737="重要关系7",E737,0)+IF(AND(C737="魅力",E737&lt;0),E737,0))))</x:f>
        <x:v>0</x:v>
      </x:c>
    </x:row>
    <x:row r="738">
      <x:c r="A738" t="str">
        <x:f>IFERROR(TEXT(VALUE('幕间与结算'!A645),"00"),"")</x:f>
        <x:v>00</x:v>
      </x:c>
      <x:c r="B738">
        <x:f>'幕间与结算'!B645</x:f>
        <x:v>0</x:v>
      </x:c>
      <x:c r="C738">
        <x:f>'幕间与结算'!D645</x:f>
        <x:v>0</x:v>
      </x:c>
      <x:c r="D738">
        <x:f>'幕间与结算'!F645</x:f>
        <x:v>0</x:v>
      </x:c>
      <x:c r="E738">
        <x:f>IF(H738=1,MAX(-'幕间与结算'!E645,MIN(D738,IF(LEFT(C738,3)="技能：",99,IF(COUNTIF($L$2:$L$7,C738)&gt;0,18,999))-'幕间与结算'!E645)),0)</x:f>
        <x:v>0</x:v>
      </x:c>
      <x:c r="F738" t="str">
        <x:f>IF(C738=0,"",IF(G738=0,"记录不完整",IF(H738=0,"重复未计","已计入")))</x:f>
        <x:v/>
      </x:c>
      <x:c r="G738">
        <x:f>IF(AND(AND('幕间与结算'!A645&lt;&gt;"",'幕间与结算'!B645&lt;&gt;"",'幕间与结算'!I645&lt;&gt;"",OR(LEFT(C738,3)="技能：",COUNTIF($L$2:$L$19,C738)&gt;0),ISNUMBER('幕间与结算'!E645),ISNUMBER('幕间与结算'!F645),ISNUMBER('幕间与结算'!G645),'幕间与结算'!E645&gt;=0,'幕间与结算'!G645='幕间与结算'!E645+'幕间与结算'!F645),OR(B738&lt;&gt;"成长",AND(LEFT(C738,3)="技能：",C738&lt;&gt;"技能：非自然知识",'幕间与结算'!E645&gt;=1,'幕间与结算'!E645&lt;=99,'幕间与结算'!F645&gt;=0,'幕间与结算'!F645&lt;=4,'幕间与结算'!G645&lt;=99))),1,0)</x:f>
        <x:v>0</x:v>
      </x:c>
      <x:c r="H738">
        <x:f>IF(AND(G738=1,COUNTIFS($I$200:I738,I738,$G$200:G738,1)=1),1,0)</x:f>
        <x:v>0</x:v>
      </x:c>
      <x:c r="I738" t="str">
        <x:f>IF(G738=1,IF(B738="成长",A738&amp;"-成长-"&amp;C738,'幕间与结算'!I645),"")</x:f>
        <x:v/>
      </x:c>
      <x:c r="BF738">
        <x:f>MAX(0,MIN(18,BF737+IF(C738="力量",E738,0)))</x:f>
        <x:v>0</x:v>
      </x:c>
      <x:c r="BG738">
        <x:f>MAX(0,MIN(18,BG737+IF(C738="体质",E738,0)))</x:f>
        <x:v>0</x:v>
      </x:c>
      <x:c r="BH738">
        <x:f>MAX(0,MIN(18,BH737+IF(C738="敏捷",E738,0)))</x:f>
        <x:v>0</x:v>
      </x:c>
      <x:c r="BI738">
        <x:f>MAX(0,MIN(18,BI737+IF(C738="智力",E738,0)))</x:f>
        <x:v>0</x:v>
      </x:c>
      <x:c r="BJ738">
        <x:f>MAX(0,MIN(18,BJ737+IF(C738="意志",E738,0)))</x:f>
        <x:v>0</x:v>
      </x:c>
      <x:c r="BK738">
        <x:f>MAX(0,MIN(18,BK737+IF(C738="魅力",E738,0)))</x:f>
        <x:v>0</x:v>
      </x:c>
      <x:c r="BL738">
        <x:f>MAX(0,MIN(99,BL737+IF(C738="技能：非自然知识",E738,0)))</x:f>
        <x:v>0</x:v>
      </x:c>
      <x:c r="BM738">
        <x:f>MAX(0,MIN(CEILING((BF738+BG738)/2,1),BM737+IF(C738="体力",E738,0)))</x:f>
        <x:v>0</x:v>
      </x:c>
      <x:c r="BN738">
        <x:f>MAX(0,MIN(BJ738,BN737+IF(C738="毅力",E738,0)))</x:f>
        <x:v>0</x:v>
      </x:c>
      <x:c r="BO738">
        <x:f>MAX(0,MIN(99-BL738,BO737+IF(C738="理智",E738,0)))</x:f>
        <x:v>0</x:v>
      </x:c>
      <x:c r="BP738">
        <x:f>MAX(0,MIN(99,BP737+IF(C738="崩溃点",E738,0)))</x:f>
        <x:v>0</x:v>
      </x:c>
      <x:c r="BQ738">
        <x:f>MAX(0,MIN(BK738,IF(AND(H738=1,C738="重要关系1",LEFT('幕间与结算'!H645,8)="建立新的重要关系"),'幕间与结算'!E645+E738,BQ737+IF(C738="重要关系1",E738,0)+IF(AND(C738="魅力",E738&lt;0),E738,0))))</x:f>
        <x:v>0</x:v>
      </x:c>
      <x:c r="BR738">
        <x:f>MAX(0,MIN(BK738,IF(AND(H738=1,C738="重要关系2",LEFT('幕间与结算'!H645,8)="建立新的重要关系"),'幕间与结算'!E645+E738,BR737+IF(C738="重要关系2",E738,0)+IF(AND(C738="魅力",E738&lt;0),E738,0))))</x:f>
        <x:v>0</x:v>
      </x:c>
      <x:c r="BS738">
        <x:f>MAX(0,MIN(BK738,IF(AND(H738=1,C738="重要关系3",LEFT('幕间与结算'!H645,8)="建立新的重要关系"),'幕间与结算'!E645+E738,BS737+IF(C738="重要关系3",E738,0)+IF(AND(C738="魅力",E738&lt;0),E738,0))))</x:f>
        <x:v>0</x:v>
      </x:c>
      <x:c r="BT738">
        <x:f>MAX(0,MIN(BK738,IF(AND(H738=1,C738="重要关系4",LEFT('幕间与结算'!H645,8)="建立新的重要关系"),'幕间与结算'!E645+E738,BT737+IF(C738="重要关系4",E738,0)+IF(AND(C738="魅力",E738&lt;0),E738,0))))</x:f>
        <x:v>0</x:v>
      </x:c>
      <x:c r="BU738">
        <x:f>MAX(0,MIN(BK738,IF(AND(H738=1,C738="重要关系5",LEFT('幕间与结算'!H645,8)="建立新的重要关系"),'幕间与结算'!E645+E738,BU737+IF(C738="重要关系5",E738,0)+IF(AND(C738="魅力",E738&lt;0),E738,0))))</x:f>
        <x:v>0</x:v>
      </x:c>
      <x:c r="BV738">
        <x:f>MAX(0,MIN(BK738,IF(AND(H738=1,C738="重要关系6",LEFT('幕间与结算'!H645,8)="建立新的重要关系"),'幕间与结算'!E645+E738,BV737+IF(C738="重要关系6",E738,0)+IF(AND(C738="魅力",E738&lt;0),E738,0))))</x:f>
        <x:v>0</x:v>
      </x:c>
      <x:c r="BW738">
        <x:f>MAX(0,MIN(BK738,IF(AND(H738=1,C738="重要关系7",LEFT('幕间与结算'!H645,8)="建立新的重要关系"),'幕间与结算'!E645+E738,BW737+IF(C738="重要关系7",E738,0)+IF(AND(C738="魅力",E738&lt;0),E738,0))))</x:f>
        <x:v>0</x:v>
      </x:c>
    </x:row>
    <x:row r="739">
      <x:c r="A739" t="str">
        <x:f>IFERROR(TEXT(VALUE('幕间与结算'!A646),"00"),"")</x:f>
        <x:v>00</x:v>
      </x:c>
      <x:c r="B739">
        <x:f>'幕间与结算'!B646</x:f>
        <x:v>0</x:v>
      </x:c>
      <x:c r="C739">
        <x:f>'幕间与结算'!D646</x:f>
        <x:v>0</x:v>
      </x:c>
      <x:c r="D739">
        <x:f>'幕间与结算'!F646</x:f>
        <x:v>0</x:v>
      </x:c>
      <x:c r="E739">
        <x:f>IF(H739=1,MAX(-'幕间与结算'!E646,MIN(D739,IF(LEFT(C739,3)="技能：",99,IF(COUNTIF($L$2:$L$7,C739)&gt;0,18,999))-'幕间与结算'!E646)),0)</x:f>
        <x:v>0</x:v>
      </x:c>
      <x:c r="F739" t="str">
        <x:f>IF(C739=0,"",IF(G739=0,"记录不完整",IF(H739=0,"重复未计","已计入")))</x:f>
        <x:v/>
      </x:c>
      <x:c r="G739">
        <x:f>IF(AND(AND('幕间与结算'!A646&lt;&gt;"",'幕间与结算'!B646&lt;&gt;"",'幕间与结算'!I646&lt;&gt;"",OR(LEFT(C739,3)="技能：",COUNTIF($L$2:$L$19,C739)&gt;0),ISNUMBER('幕间与结算'!E646),ISNUMBER('幕间与结算'!F646),ISNUMBER('幕间与结算'!G646),'幕间与结算'!E646&gt;=0,'幕间与结算'!G646='幕间与结算'!E646+'幕间与结算'!F646),OR(B739&lt;&gt;"成长",AND(LEFT(C739,3)="技能：",C739&lt;&gt;"技能：非自然知识",'幕间与结算'!E646&gt;=1,'幕间与结算'!E646&lt;=99,'幕间与结算'!F646&gt;=0,'幕间与结算'!F646&lt;=4,'幕间与结算'!G646&lt;=99))),1,0)</x:f>
        <x:v>0</x:v>
      </x:c>
      <x:c r="H739">
        <x:f>IF(AND(G739=1,COUNTIFS($I$200:I739,I739,$G$200:G739,1)=1),1,0)</x:f>
        <x:v>0</x:v>
      </x:c>
      <x:c r="I739" t="str">
        <x:f>IF(G739=1,IF(B739="成长",A739&amp;"-成长-"&amp;C739,'幕间与结算'!I646),"")</x:f>
        <x:v/>
      </x:c>
      <x:c r="BF739">
        <x:f>MAX(0,MIN(18,BF738+IF(C739="力量",E739,0)))</x:f>
        <x:v>0</x:v>
      </x:c>
      <x:c r="BG739">
        <x:f>MAX(0,MIN(18,BG738+IF(C739="体质",E739,0)))</x:f>
        <x:v>0</x:v>
      </x:c>
      <x:c r="BH739">
        <x:f>MAX(0,MIN(18,BH738+IF(C739="敏捷",E739,0)))</x:f>
        <x:v>0</x:v>
      </x:c>
      <x:c r="BI739">
        <x:f>MAX(0,MIN(18,BI738+IF(C739="智力",E739,0)))</x:f>
        <x:v>0</x:v>
      </x:c>
      <x:c r="BJ739">
        <x:f>MAX(0,MIN(18,BJ738+IF(C739="意志",E739,0)))</x:f>
        <x:v>0</x:v>
      </x:c>
      <x:c r="BK739">
        <x:f>MAX(0,MIN(18,BK738+IF(C739="魅力",E739,0)))</x:f>
        <x:v>0</x:v>
      </x:c>
      <x:c r="BL739">
        <x:f>MAX(0,MIN(99,BL738+IF(C739="技能：非自然知识",E739,0)))</x:f>
        <x:v>0</x:v>
      </x:c>
      <x:c r="BM739">
        <x:f>MAX(0,MIN(CEILING((BF739+BG739)/2,1),BM738+IF(C739="体力",E739,0)))</x:f>
        <x:v>0</x:v>
      </x:c>
      <x:c r="BN739">
        <x:f>MAX(0,MIN(BJ739,BN738+IF(C739="毅力",E739,0)))</x:f>
        <x:v>0</x:v>
      </x:c>
      <x:c r="BO739">
        <x:f>MAX(0,MIN(99-BL739,BO738+IF(C739="理智",E739,0)))</x:f>
        <x:v>0</x:v>
      </x:c>
      <x:c r="BP739">
        <x:f>MAX(0,MIN(99,BP738+IF(C739="崩溃点",E739,0)))</x:f>
        <x:v>0</x:v>
      </x:c>
      <x:c r="BQ739">
        <x:f>MAX(0,MIN(BK739,IF(AND(H739=1,C739="重要关系1",LEFT('幕间与结算'!H646,8)="建立新的重要关系"),'幕间与结算'!E646+E739,BQ738+IF(C739="重要关系1",E739,0)+IF(AND(C739="魅力",E739&lt;0),E739,0))))</x:f>
        <x:v>0</x:v>
      </x:c>
      <x:c r="BR739">
        <x:f>MAX(0,MIN(BK739,IF(AND(H739=1,C739="重要关系2",LEFT('幕间与结算'!H646,8)="建立新的重要关系"),'幕间与结算'!E646+E739,BR738+IF(C739="重要关系2",E739,0)+IF(AND(C739="魅力",E739&lt;0),E739,0))))</x:f>
        <x:v>0</x:v>
      </x:c>
      <x:c r="BS739">
        <x:f>MAX(0,MIN(BK739,IF(AND(H739=1,C739="重要关系3",LEFT('幕间与结算'!H646,8)="建立新的重要关系"),'幕间与结算'!E646+E739,BS738+IF(C739="重要关系3",E739,0)+IF(AND(C739="魅力",E739&lt;0),E739,0))))</x:f>
        <x:v>0</x:v>
      </x:c>
      <x:c r="BT739">
        <x:f>MAX(0,MIN(BK739,IF(AND(H739=1,C739="重要关系4",LEFT('幕间与结算'!H646,8)="建立新的重要关系"),'幕间与结算'!E646+E739,BT738+IF(C739="重要关系4",E739,0)+IF(AND(C739="魅力",E739&lt;0),E739,0))))</x:f>
        <x:v>0</x:v>
      </x:c>
      <x:c r="BU739">
        <x:f>MAX(0,MIN(BK739,IF(AND(H739=1,C739="重要关系5",LEFT('幕间与结算'!H646,8)="建立新的重要关系"),'幕间与结算'!E646+E739,BU738+IF(C739="重要关系5",E739,0)+IF(AND(C739="魅力",E739&lt;0),E739,0))))</x:f>
        <x:v>0</x:v>
      </x:c>
      <x:c r="BV739">
        <x:f>MAX(0,MIN(BK739,IF(AND(H739=1,C739="重要关系6",LEFT('幕间与结算'!H646,8)="建立新的重要关系"),'幕间与结算'!E646+E739,BV738+IF(C739="重要关系6",E739,0)+IF(AND(C739="魅力",E739&lt;0),E739,0))))</x:f>
        <x:v>0</x:v>
      </x:c>
      <x:c r="BW739">
        <x:f>MAX(0,MIN(BK739,IF(AND(H739=1,C739="重要关系7",LEFT('幕间与结算'!H646,8)="建立新的重要关系"),'幕间与结算'!E646+E739,BW738+IF(C739="重要关系7",E739,0)+IF(AND(C739="魅力",E739&lt;0),E739,0))))</x:f>
        <x:v>0</x:v>
      </x:c>
    </x:row>
    <x:row r="740">
      <x:c r="A740" t="str">
        <x:f>IFERROR(TEXT(VALUE('幕间与结算'!A647),"00"),"")</x:f>
        <x:v>00</x:v>
      </x:c>
      <x:c r="B740">
        <x:f>'幕间与结算'!B647</x:f>
        <x:v>0</x:v>
      </x:c>
      <x:c r="C740">
        <x:f>'幕间与结算'!D647</x:f>
        <x:v>0</x:v>
      </x:c>
      <x:c r="D740">
        <x:f>'幕间与结算'!F647</x:f>
        <x:v>0</x:v>
      </x:c>
      <x:c r="E740">
        <x:f>IF(H740=1,MAX(-'幕间与结算'!E647,MIN(D740,IF(LEFT(C740,3)="技能：",99,IF(COUNTIF($L$2:$L$7,C740)&gt;0,18,999))-'幕间与结算'!E647)),0)</x:f>
        <x:v>0</x:v>
      </x:c>
      <x:c r="F740" t="str">
        <x:f>IF(C740=0,"",IF(G740=0,"记录不完整",IF(H740=0,"重复未计","已计入")))</x:f>
        <x:v/>
      </x:c>
      <x:c r="G740">
        <x:f>IF(AND(AND('幕间与结算'!A647&lt;&gt;"",'幕间与结算'!B647&lt;&gt;"",'幕间与结算'!I647&lt;&gt;"",OR(LEFT(C740,3)="技能：",COUNTIF($L$2:$L$19,C740)&gt;0),ISNUMBER('幕间与结算'!E647),ISNUMBER('幕间与结算'!F647),ISNUMBER('幕间与结算'!G647),'幕间与结算'!E647&gt;=0,'幕间与结算'!G647='幕间与结算'!E647+'幕间与结算'!F647),OR(B740&lt;&gt;"成长",AND(LEFT(C740,3)="技能：",C740&lt;&gt;"技能：非自然知识",'幕间与结算'!E647&gt;=1,'幕间与结算'!E647&lt;=99,'幕间与结算'!F647&gt;=0,'幕间与结算'!F647&lt;=4,'幕间与结算'!G647&lt;=99))),1,0)</x:f>
        <x:v>0</x:v>
      </x:c>
      <x:c r="H740">
        <x:f>IF(AND(G740=1,COUNTIFS($I$200:I740,I740,$G$200:G740,1)=1),1,0)</x:f>
        <x:v>0</x:v>
      </x:c>
      <x:c r="I740" t="str">
        <x:f>IF(G740=1,IF(B740="成长",A740&amp;"-成长-"&amp;C740,'幕间与结算'!I647),"")</x:f>
        <x:v/>
      </x:c>
      <x:c r="BF740">
        <x:f>MAX(0,MIN(18,BF739+IF(C740="力量",E740,0)))</x:f>
        <x:v>0</x:v>
      </x:c>
      <x:c r="BG740">
        <x:f>MAX(0,MIN(18,BG739+IF(C740="体质",E740,0)))</x:f>
        <x:v>0</x:v>
      </x:c>
      <x:c r="BH740">
        <x:f>MAX(0,MIN(18,BH739+IF(C740="敏捷",E740,0)))</x:f>
        <x:v>0</x:v>
      </x:c>
      <x:c r="BI740">
        <x:f>MAX(0,MIN(18,BI739+IF(C740="智力",E740,0)))</x:f>
        <x:v>0</x:v>
      </x:c>
      <x:c r="BJ740">
        <x:f>MAX(0,MIN(18,BJ739+IF(C740="意志",E740,0)))</x:f>
        <x:v>0</x:v>
      </x:c>
      <x:c r="BK740">
        <x:f>MAX(0,MIN(18,BK739+IF(C740="魅力",E740,0)))</x:f>
        <x:v>0</x:v>
      </x:c>
      <x:c r="BL740">
        <x:f>MAX(0,MIN(99,BL739+IF(C740="技能：非自然知识",E740,0)))</x:f>
        <x:v>0</x:v>
      </x:c>
      <x:c r="BM740">
        <x:f>MAX(0,MIN(CEILING((BF740+BG740)/2,1),BM739+IF(C740="体力",E740,0)))</x:f>
        <x:v>0</x:v>
      </x:c>
      <x:c r="BN740">
        <x:f>MAX(0,MIN(BJ740,BN739+IF(C740="毅力",E740,0)))</x:f>
        <x:v>0</x:v>
      </x:c>
      <x:c r="BO740">
        <x:f>MAX(0,MIN(99-BL740,BO739+IF(C740="理智",E740,0)))</x:f>
        <x:v>0</x:v>
      </x:c>
      <x:c r="BP740">
        <x:f>MAX(0,MIN(99,BP739+IF(C740="崩溃点",E740,0)))</x:f>
        <x:v>0</x:v>
      </x:c>
      <x:c r="BQ740">
        <x:f>MAX(0,MIN(BK740,IF(AND(H740=1,C740="重要关系1",LEFT('幕间与结算'!H647,8)="建立新的重要关系"),'幕间与结算'!E647+E740,BQ739+IF(C740="重要关系1",E740,0)+IF(AND(C740="魅力",E740&lt;0),E740,0))))</x:f>
        <x:v>0</x:v>
      </x:c>
      <x:c r="BR740">
        <x:f>MAX(0,MIN(BK740,IF(AND(H740=1,C740="重要关系2",LEFT('幕间与结算'!H647,8)="建立新的重要关系"),'幕间与结算'!E647+E740,BR739+IF(C740="重要关系2",E740,0)+IF(AND(C740="魅力",E740&lt;0),E740,0))))</x:f>
        <x:v>0</x:v>
      </x:c>
      <x:c r="BS740">
        <x:f>MAX(0,MIN(BK740,IF(AND(H740=1,C740="重要关系3",LEFT('幕间与结算'!H647,8)="建立新的重要关系"),'幕间与结算'!E647+E740,BS739+IF(C740="重要关系3",E740,0)+IF(AND(C740="魅力",E740&lt;0),E740,0))))</x:f>
        <x:v>0</x:v>
      </x:c>
      <x:c r="BT740">
        <x:f>MAX(0,MIN(BK740,IF(AND(H740=1,C740="重要关系4",LEFT('幕间与结算'!H647,8)="建立新的重要关系"),'幕间与结算'!E647+E740,BT739+IF(C740="重要关系4",E740,0)+IF(AND(C740="魅力",E740&lt;0),E740,0))))</x:f>
        <x:v>0</x:v>
      </x:c>
      <x:c r="BU740">
        <x:f>MAX(0,MIN(BK740,IF(AND(H740=1,C740="重要关系5",LEFT('幕间与结算'!H647,8)="建立新的重要关系"),'幕间与结算'!E647+E740,BU739+IF(C740="重要关系5",E740,0)+IF(AND(C740="魅力",E740&lt;0),E740,0))))</x:f>
        <x:v>0</x:v>
      </x:c>
      <x:c r="BV740">
        <x:f>MAX(0,MIN(BK740,IF(AND(H740=1,C740="重要关系6",LEFT('幕间与结算'!H647,8)="建立新的重要关系"),'幕间与结算'!E647+E740,BV739+IF(C740="重要关系6",E740,0)+IF(AND(C740="魅力",E740&lt;0),E740,0))))</x:f>
        <x:v>0</x:v>
      </x:c>
      <x:c r="BW740">
        <x:f>MAX(0,MIN(BK740,IF(AND(H740=1,C740="重要关系7",LEFT('幕间与结算'!H647,8)="建立新的重要关系"),'幕间与结算'!E647+E740,BW739+IF(C740="重要关系7",E740,0)+IF(AND(C740="魅力",E740&lt;0),E740,0))))</x:f>
        <x:v>0</x:v>
      </x:c>
    </x:row>
    <x:row r="741">
      <x:c r="A741" t="str">
        <x:f>IFERROR(TEXT(VALUE('幕间与结算'!A648),"00"),"")</x:f>
        <x:v>00</x:v>
      </x:c>
      <x:c r="B741">
        <x:f>'幕间与结算'!B648</x:f>
        <x:v>0</x:v>
      </x:c>
      <x:c r="C741">
        <x:f>'幕间与结算'!D648</x:f>
        <x:v>0</x:v>
      </x:c>
      <x:c r="D741">
        <x:f>'幕间与结算'!F648</x:f>
        <x:v>0</x:v>
      </x:c>
      <x:c r="E741">
        <x:f>IF(H741=1,MAX(-'幕间与结算'!E648,MIN(D741,IF(LEFT(C741,3)="技能：",99,IF(COUNTIF($L$2:$L$7,C741)&gt;0,18,999))-'幕间与结算'!E648)),0)</x:f>
        <x:v>0</x:v>
      </x:c>
      <x:c r="F741" t="str">
        <x:f>IF(C741=0,"",IF(G741=0,"记录不完整",IF(H741=0,"重复未计","已计入")))</x:f>
        <x:v/>
      </x:c>
      <x:c r="G741">
        <x:f>IF(AND(AND('幕间与结算'!A648&lt;&gt;"",'幕间与结算'!B648&lt;&gt;"",'幕间与结算'!I648&lt;&gt;"",OR(LEFT(C741,3)="技能：",COUNTIF($L$2:$L$19,C741)&gt;0),ISNUMBER('幕间与结算'!E648),ISNUMBER('幕间与结算'!F648),ISNUMBER('幕间与结算'!G648),'幕间与结算'!E648&gt;=0,'幕间与结算'!G648='幕间与结算'!E648+'幕间与结算'!F648),OR(B741&lt;&gt;"成长",AND(LEFT(C741,3)="技能：",C741&lt;&gt;"技能：非自然知识",'幕间与结算'!E648&gt;=1,'幕间与结算'!E648&lt;=99,'幕间与结算'!F648&gt;=0,'幕间与结算'!F648&lt;=4,'幕间与结算'!G648&lt;=99))),1,0)</x:f>
        <x:v>0</x:v>
      </x:c>
      <x:c r="H741">
        <x:f>IF(AND(G741=1,COUNTIFS($I$200:I741,I741,$G$200:G741,1)=1),1,0)</x:f>
        <x:v>0</x:v>
      </x:c>
      <x:c r="I741" t="str">
        <x:f>IF(G741=1,IF(B741="成长",A741&amp;"-成长-"&amp;C741,'幕间与结算'!I648),"")</x:f>
        <x:v/>
      </x:c>
      <x:c r="BF741">
        <x:f>MAX(0,MIN(18,BF740+IF(C741="力量",E741,0)))</x:f>
        <x:v>0</x:v>
      </x:c>
      <x:c r="BG741">
        <x:f>MAX(0,MIN(18,BG740+IF(C741="体质",E741,0)))</x:f>
        <x:v>0</x:v>
      </x:c>
      <x:c r="BH741">
        <x:f>MAX(0,MIN(18,BH740+IF(C741="敏捷",E741,0)))</x:f>
        <x:v>0</x:v>
      </x:c>
      <x:c r="BI741">
        <x:f>MAX(0,MIN(18,BI740+IF(C741="智力",E741,0)))</x:f>
        <x:v>0</x:v>
      </x:c>
      <x:c r="BJ741">
        <x:f>MAX(0,MIN(18,BJ740+IF(C741="意志",E741,0)))</x:f>
        <x:v>0</x:v>
      </x:c>
      <x:c r="BK741">
        <x:f>MAX(0,MIN(18,BK740+IF(C741="魅力",E741,0)))</x:f>
        <x:v>0</x:v>
      </x:c>
      <x:c r="BL741">
        <x:f>MAX(0,MIN(99,BL740+IF(C741="技能：非自然知识",E741,0)))</x:f>
        <x:v>0</x:v>
      </x:c>
      <x:c r="BM741">
        <x:f>MAX(0,MIN(CEILING((BF741+BG741)/2,1),BM740+IF(C741="体力",E741,0)))</x:f>
        <x:v>0</x:v>
      </x:c>
      <x:c r="BN741">
        <x:f>MAX(0,MIN(BJ741,BN740+IF(C741="毅力",E741,0)))</x:f>
        <x:v>0</x:v>
      </x:c>
      <x:c r="BO741">
        <x:f>MAX(0,MIN(99-BL741,BO740+IF(C741="理智",E741,0)))</x:f>
        <x:v>0</x:v>
      </x:c>
      <x:c r="BP741">
        <x:f>MAX(0,MIN(99,BP740+IF(C741="崩溃点",E741,0)))</x:f>
        <x:v>0</x:v>
      </x:c>
      <x:c r="BQ741">
        <x:f>MAX(0,MIN(BK741,IF(AND(H741=1,C741="重要关系1",LEFT('幕间与结算'!H648,8)="建立新的重要关系"),'幕间与结算'!E648+E741,BQ740+IF(C741="重要关系1",E741,0)+IF(AND(C741="魅力",E741&lt;0),E741,0))))</x:f>
        <x:v>0</x:v>
      </x:c>
      <x:c r="BR741">
        <x:f>MAX(0,MIN(BK741,IF(AND(H741=1,C741="重要关系2",LEFT('幕间与结算'!H648,8)="建立新的重要关系"),'幕间与结算'!E648+E741,BR740+IF(C741="重要关系2",E741,0)+IF(AND(C741="魅力",E741&lt;0),E741,0))))</x:f>
        <x:v>0</x:v>
      </x:c>
      <x:c r="BS741">
        <x:f>MAX(0,MIN(BK741,IF(AND(H741=1,C741="重要关系3",LEFT('幕间与结算'!H648,8)="建立新的重要关系"),'幕间与结算'!E648+E741,BS740+IF(C741="重要关系3",E741,0)+IF(AND(C741="魅力",E741&lt;0),E741,0))))</x:f>
        <x:v>0</x:v>
      </x:c>
      <x:c r="BT741">
        <x:f>MAX(0,MIN(BK741,IF(AND(H741=1,C741="重要关系4",LEFT('幕间与结算'!H648,8)="建立新的重要关系"),'幕间与结算'!E648+E741,BT740+IF(C741="重要关系4",E741,0)+IF(AND(C741="魅力",E741&lt;0),E741,0))))</x:f>
        <x:v>0</x:v>
      </x:c>
      <x:c r="BU741">
        <x:f>MAX(0,MIN(BK741,IF(AND(H741=1,C741="重要关系5",LEFT('幕间与结算'!H648,8)="建立新的重要关系"),'幕间与结算'!E648+E741,BU740+IF(C741="重要关系5",E741,0)+IF(AND(C741="魅力",E741&lt;0),E741,0))))</x:f>
        <x:v>0</x:v>
      </x:c>
      <x:c r="BV741">
        <x:f>MAX(0,MIN(BK741,IF(AND(H741=1,C741="重要关系6",LEFT('幕间与结算'!H648,8)="建立新的重要关系"),'幕间与结算'!E648+E741,BV740+IF(C741="重要关系6",E741,0)+IF(AND(C741="魅力",E741&lt;0),E741,0))))</x:f>
        <x:v>0</x:v>
      </x:c>
      <x:c r="BW741">
        <x:f>MAX(0,MIN(BK741,IF(AND(H741=1,C741="重要关系7",LEFT('幕间与结算'!H648,8)="建立新的重要关系"),'幕间与结算'!E648+E741,BW740+IF(C741="重要关系7",E741,0)+IF(AND(C741="魅力",E741&lt;0),E741,0))))</x:f>
        <x:v>0</x:v>
      </x:c>
    </x:row>
    <x:row r="742">
      <x:c r="A742" t="str">
        <x:f>IFERROR(TEXT(VALUE('幕间与结算'!A649),"00"),"")</x:f>
        <x:v>00</x:v>
      </x:c>
      <x:c r="B742">
        <x:f>'幕间与结算'!B649</x:f>
        <x:v>0</x:v>
      </x:c>
      <x:c r="C742">
        <x:f>'幕间与结算'!D649</x:f>
        <x:v>0</x:v>
      </x:c>
      <x:c r="D742">
        <x:f>'幕间与结算'!F649</x:f>
        <x:v>0</x:v>
      </x:c>
      <x:c r="E742">
        <x:f>IF(H742=1,MAX(-'幕间与结算'!E649,MIN(D742,IF(LEFT(C742,3)="技能：",99,IF(COUNTIF($L$2:$L$7,C742)&gt;0,18,999))-'幕间与结算'!E649)),0)</x:f>
        <x:v>0</x:v>
      </x:c>
      <x:c r="F742" t="str">
        <x:f>IF(C742=0,"",IF(G742=0,"记录不完整",IF(H742=0,"重复未计","已计入")))</x:f>
        <x:v/>
      </x:c>
      <x:c r="G742">
        <x:f>IF(AND(AND('幕间与结算'!A649&lt;&gt;"",'幕间与结算'!B649&lt;&gt;"",'幕间与结算'!I649&lt;&gt;"",OR(LEFT(C742,3)="技能：",COUNTIF($L$2:$L$19,C742)&gt;0),ISNUMBER('幕间与结算'!E649),ISNUMBER('幕间与结算'!F649),ISNUMBER('幕间与结算'!G649),'幕间与结算'!E649&gt;=0,'幕间与结算'!G649='幕间与结算'!E649+'幕间与结算'!F649),OR(B742&lt;&gt;"成长",AND(LEFT(C742,3)="技能：",C742&lt;&gt;"技能：非自然知识",'幕间与结算'!E649&gt;=1,'幕间与结算'!E649&lt;=99,'幕间与结算'!F649&gt;=0,'幕间与结算'!F649&lt;=4,'幕间与结算'!G649&lt;=99))),1,0)</x:f>
        <x:v>0</x:v>
      </x:c>
      <x:c r="H742">
        <x:f>IF(AND(G742=1,COUNTIFS($I$200:I742,I742,$G$200:G742,1)=1),1,0)</x:f>
        <x:v>0</x:v>
      </x:c>
      <x:c r="I742" t="str">
        <x:f>IF(G742=1,IF(B742="成长",A742&amp;"-成长-"&amp;C742,'幕间与结算'!I649),"")</x:f>
        <x:v/>
      </x:c>
      <x:c r="BF742">
        <x:f>MAX(0,MIN(18,BF741+IF(C742="力量",E742,0)))</x:f>
        <x:v>0</x:v>
      </x:c>
      <x:c r="BG742">
        <x:f>MAX(0,MIN(18,BG741+IF(C742="体质",E742,0)))</x:f>
        <x:v>0</x:v>
      </x:c>
      <x:c r="BH742">
        <x:f>MAX(0,MIN(18,BH741+IF(C742="敏捷",E742,0)))</x:f>
        <x:v>0</x:v>
      </x:c>
      <x:c r="BI742">
        <x:f>MAX(0,MIN(18,BI741+IF(C742="智力",E742,0)))</x:f>
        <x:v>0</x:v>
      </x:c>
      <x:c r="BJ742">
        <x:f>MAX(0,MIN(18,BJ741+IF(C742="意志",E742,0)))</x:f>
        <x:v>0</x:v>
      </x:c>
      <x:c r="BK742">
        <x:f>MAX(0,MIN(18,BK741+IF(C742="魅力",E742,0)))</x:f>
        <x:v>0</x:v>
      </x:c>
      <x:c r="BL742">
        <x:f>MAX(0,MIN(99,BL741+IF(C742="技能：非自然知识",E742,0)))</x:f>
        <x:v>0</x:v>
      </x:c>
      <x:c r="BM742">
        <x:f>MAX(0,MIN(CEILING((BF742+BG742)/2,1),BM741+IF(C742="体力",E742,0)))</x:f>
        <x:v>0</x:v>
      </x:c>
      <x:c r="BN742">
        <x:f>MAX(0,MIN(BJ742,BN741+IF(C742="毅力",E742,0)))</x:f>
        <x:v>0</x:v>
      </x:c>
      <x:c r="BO742">
        <x:f>MAX(0,MIN(99-BL742,BO741+IF(C742="理智",E742,0)))</x:f>
        <x:v>0</x:v>
      </x:c>
      <x:c r="BP742">
        <x:f>MAX(0,MIN(99,BP741+IF(C742="崩溃点",E742,0)))</x:f>
        <x:v>0</x:v>
      </x:c>
      <x:c r="BQ742">
        <x:f>MAX(0,MIN(BK742,IF(AND(H742=1,C742="重要关系1",LEFT('幕间与结算'!H649,8)="建立新的重要关系"),'幕间与结算'!E649+E742,BQ741+IF(C742="重要关系1",E742,0)+IF(AND(C742="魅力",E742&lt;0),E742,0))))</x:f>
        <x:v>0</x:v>
      </x:c>
      <x:c r="BR742">
        <x:f>MAX(0,MIN(BK742,IF(AND(H742=1,C742="重要关系2",LEFT('幕间与结算'!H649,8)="建立新的重要关系"),'幕间与结算'!E649+E742,BR741+IF(C742="重要关系2",E742,0)+IF(AND(C742="魅力",E742&lt;0),E742,0))))</x:f>
        <x:v>0</x:v>
      </x:c>
      <x:c r="BS742">
        <x:f>MAX(0,MIN(BK742,IF(AND(H742=1,C742="重要关系3",LEFT('幕间与结算'!H649,8)="建立新的重要关系"),'幕间与结算'!E649+E742,BS741+IF(C742="重要关系3",E742,0)+IF(AND(C742="魅力",E742&lt;0),E742,0))))</x:f>
        <x:v>0</x:v>
      </x:c>
      <x:c r="BT742">
        <x:f>MAX(0,MIN(BK742,IF(AND(H742=1,C742="重要关系4",LEFT('幕间与结算'!H649,8)="建立新的重要关系"),'幕间与结算'!E649+E742,BT741+IF(C742="重要关系4",E742,0)+IF(AND(C742="魅力",E742&lt;0),E742,0))))</x:f>
        <x:v>0</x:v>
      </x:c>
      <x:c r="BU742">
        <x:f>MAX(0,MIN(BK742,IF(AND(H742=1,C742="重要关系5",LEFT('幕间与结算'!H649,8)="建立新的重要关系"),'幕间与结算'!E649+E742,BU741+IF(C742="重要关系5",E742,0)+IF(AND(C742="魅力",E742&lt;0),E742,0))))</x:f>
        <x:v>0</x:v>
      </x:c>
      <x:c r="BV742">
        <x:f>MAX(0,MIN(BK742,IF(AND(H742=1,C742="重要关系6",LEFT('幕间与结算'!H649,8)="建立新的重要关系"),'幕间与结算'!E649+E742,BV741+IF(C742="重要关系6",E742,0)+IF(AND(C742="魅力",E742&lt;0),E742,0))))</x:f>
        <x:v>0</x:v>
      </x:c>
      <x:c r="BW742">
        <x:f>MAX(0,MIN(BK742,IF(AND(H742=1,C742="重要关系7",LEFT('幕间与结算'!H649,8)="建立新的重要关系"),'幕间与结算'!E649+E742,BW741+IF(C742="重要关系7",E742,0)+IF(AND(C742="魅力",E742&lt;0),E742,0))))</x:f>
        <x:v>0</x:v>
      </x:c>
    </x:row>
    <x:row r="743">
      <x:c r="A743" t="str">
        <x:f>IFERROR(TEXT(VALUE('幕间与结算'!A650),"00"),"")</x:f>
        <x:v>00</x:v>
      </x:c>
      <x:c r="B743">
        <x:f>'幕间与结算'!B650</x:f>
        <x:v>0</x:v>
      </x:c>
      <x:c r="C743">
        <x:f>'幕间与结算'!D650</x:f>
        <x:v>0</x:v>
      </x:c>
      <x:c r="D743">
        <x:f>'幕间与结算'!F650</x:f>
        <x:v>0</x:v>
      </x:c>
      <x:c r="E743">
        <x:f>IF(H743=1,MAX(-'幕间与结算'!E650,MIN(D743,IF(LEFT(C743,3)="技能：",99,IF(COUNTIF($L$2:$L$7,C743)&gt;0,18,999))-'幕间与结算'!E650)),0)</x:f>
        <x:v>0</x:v>
      </x:c>
      <x:c r="F743" t="str">
        <x:f>IF(C743=0,"",IF(G743=0,"记录不完整",IF(H743=0,"重复未计","已计入")))</x:f>
        <x:v/>
      </x:c>
      <x:c r="G743">
        <x:f>IF(AND(AND('幕间与结算'!A650&lt;&gt;"",'幕间与结算'!B650&lt;&gt;"",'幕间与结算'!I650&lt;&gt;"",OR(LEFT(C743,3)="技能：",COUNTIF($L$2:$L$19,C743)&gt;0),ISNUMBER('幕间与结算'!E650),ISNUMBER('幕间与结算'!F650),ISNUMBER('幕间与结算'!G650),'幕间与结算'!E650&gt;=0,'幕间与结算'!G650='幕间与结算'!E650+'幕间与结算'!F650),OR(B743&lt;&gt;"成长",AND(LEFT(C743,3)="技能：",C743&lt;&gt;"技能：非自然知识",'幕间与结算'!E650&gt;=1,'幕间与结算'!E650&lt;=99,'幕间与结算'!F650&gt;=0,'幕间与结算'!F650&lt;=4,'幕间与结算'!G650&lt;=99))),1,0)</x:f>
        <x:v>0</x:v>
      </x:c>
      <x:c r="H743">
        <x:f>IF(AND(G743=1,COUNTIFS($I$200:I743,I743,$G$200:G743,1)=1),1,0)</x:f>
        <x:v>0</x:v>
      </x:c>
      <x:c r="I743" t="str">
        <x:f>IF(G743=1,IF(B743="成长",A743&amp;"-成长-"&amp;C743,'幕间与结算'!I650),"")</x:f>
        <x:v/>
      </x:c>
      <x:c r="BF743">
        <x:f>MAX(0,MIN(18,BF742+IF(C743="力量",E743,0)))</x:f>
        <x:v>0</x:v>
      </x:c>
      <x:c r="BG743">
        <x:f>MAX(0,MIN(18,BG742+IF(C743="体质",E743,0)))</x:f>
        <x:v>0</x:v>
      </x:c>
      <x:c r="BH743">
        <x:f>MAX(0,MIN(18,BH742+IF(C743="敏捷",E743,0)))</x:f>
        <x:v>0</x:v>
      </x:c>
      <x:c r="BI743">
        <x:f>MAX(0,MIN(18,BI742+IF(C743="智力",E743,0)))</x:f>
        <x:v>0</x:v>
      </x:c>
      <x:c r="BJ743">
        <x:f>MAX(0,MIN(18,BJ742+IF(C743="意志",E743,0)))</x:f>
        <x:v>0</x:v>
      </x:c>
      <x:c r="BK743">
        <x:f>MAX(0,MIN(18,BK742+IF(C743="魅力",E743,0)))</x:f>
        <x:v>0</x:v>
      </x:c>
      <x:c r="BL743">
        <x:f>MAX(0,MIN(99,BL742+IF(C743="技能：非自然知识",E743,0)))</x:f>
        <x:v>0</x:v>
      </x:c>
      <x:c r="BM743">
        <x:f>MAX(0,MIN(CEILING((BF743+BG743)/2,1),BM742+IF(C743="体力",E743,0)))</x:f>
        <x:v>0</x:v>
      </x:c>
      <x:c r="BN743">
        <x:f>MAX(0,MIN(BJ743,BN742+IF(C743="毅力",E743,0)))</x:f>
        <x:v>0</x:v>
      </x:c>
      <x:c r="BO743">
        <x:f>MAX(0,MIN(99-BL743,BO742+IF(C743="理智",E743,0)))</x:f>
        <x:v>0</x:v>
      </x:c>
      <x:c r="BP743">
        <x:f>MAX(0,MIN(99,BP742+IF(C743="崩溃点",E743,0)))</x:f>
        <x:v>0</x:v>
      </x:c>
      <x:c r="BQ743">
        <x:f>MAX(0,MIN(BK743,IF(AND(H743=1,C743="重要关系1",LEFT('幕间与结算'!H650,8)="建立新的重要关系"),'幕间与结算'!E650+E743,BQ742+IF(C743="重要关系1",E743,0)+IF(AND(C743="魅力",E743&lt;0),E743,0))))</x:f>
        <x:v>0</x:v>
      </x:c>
      <x:c r="BR743">
        <x:f>MAX(0,MIN(BK743,IF(AND(H743=1,C743="重要关系2",LEFT('幕间与结算'!H650,8)="建立新的重要关系"),'幕间与结算'!E650+E743,BR742+IF(C743="重要关系2",E743,0)+IF(AND(C743="魅力",E743&lt;0),E743,0))))</x:f>
        <x:v>0</x:v>
      </x:c>
      <x:c r="BS743">
        <x:f>MAX(0,MIN(BK743,IF(AND(H743=1,C743="重要关系3",LEFT('幕间与结算'!H650,8)="建立新的重要关系"),'幕间与结算'!E650+E743,BS742+IF(C743="重要关系3",E743,0)+IF(AND(C743="魅力",E743&lt;0),E743,0))))</x:f>
        <x:v>0</x:v>
      </x:c>
      <x:c r="BT743">
        <x:f>MAX(0,MIN(BK743,IF(AND(H743=1,C743="重要关系4",LEFT('幕间与结算'!H650,8)="建立新的重要关系"),'幕间与结算'!E650+E743,BT742+IF(C743="重要关系4",E743,0)+IF(AND(C743="魅力",E743&lt;0),E743,0))))</x:f>
        <x:v>0</x:v>
      </x:c>
      <x:c r="BU743">
        <x:f>MAX(0,MIN(BK743,IF(AND(H743=1,C743="重要关系5",LEFT('幕间与结算'!H650,8)="建立新的重要关系"),'幕间与结算'!E650+E743,BU742+IF(C743="重要关系5",E743,0)+IF(AND(C743="魅力",E743&lt;0),E743,0))))</x:f>
        <x:v>0</x:v>
      </x:c>
      <x:c r="BV743">
        <x:f>MAX(0,MIN(BK743,IF(AND(H743=1,C743="重要关系6",LEFT('幕间与结算'!H650,8)="建立新的重要关系"),'幕间与结算'!E650+E743,BV742+IF(C743="重要关系6",E743,0)+IF(AND(C743="魅力",E743&lt;0),E743,0))))</x:f>
        <x:v>0</x:v>
      </x:c>
      <x:c r="BW743">
        <x:f>MAX(0,MIN(BK743,IF(AND(H743=1,C743="重要关系7",LEFT('幕间与结算'!H650,8)="建立新的重要关系"),'幕间与结算'!E650+E743,BW742+IF(C743="重要关系7",E743,0)+IF(AND(C743="魅力",E743&lt;0),E743,0))))</x:f>
        <x:v>0</x:v>
      </x:c>
    </x:row>
    <x:row r="744">
      <x:c r="A744" t="str">
        <x:f>IFERROR(TEXT(VALUE('幕间与结算'!A651),"00"),"")</x:f>
        <x:v>00</x:v>
      </x:c>
      <x:c r="B744">
        <x:f>'幕间与结算'!B651</x:f>
        <x:v>0</x:v>
      </x:c>
      <x:c r="C744">
        <x:f>'幕间与结算'!D651</x:f>
        <x:v>0</x:v>
      </x:c>
      <x:c r="D744">
        <x:f>'幕间与结算'!F651</x:f>
        <x:v>0</x:v>
      </x:c>
      <x:c r="E744">
        <x:f>IF(H744=1,MAX(-'幕间与结算'!E651,MIN(D744,IF(LEFT(C744,3)="技能：",99,IF(COUNTIF($L$2:$L$7,C744)&gt;0,18,999))-'幕间与结算'!E651)),0)</x:f>
        <x:v>0</x:v>
      </x:c>
      <x:c r="F744" t="str">
        <x:f>IF(C744=0,"",IF(G744=0,"记录不完整",IF(H744=0,"重复未计","已计入")))</x:f>
        <x:v/>
      </x:c>
      <x:c r="G744">
        <x:f>IF(AND(AND('幕间与结算'!A651&lt;&gt;"",'幕间与结算'!B651&lt;&gt;"",'幕间与结算'!I651&lt;&gt;"",OR(LEFT(C744,3)="技能：",COUNTIF($L$2:$L$19,C744)&gt;0),ISNUMBER('幕间与结算'!E651),ISNUMBER('幕间与结算'!F651),ISNUMBER('幕间与结算'!G651),'幕间与结算'!E651&gt;=0,'幕间与结算'!G651='幕间与结算'!E651+'幕间与结算'!F651),OR(B744&lt;&gt;"成长",AND(LEFT(C744,3)="技能：",C744&lt;&gt;"技能：非自然知识",'幕间与结算'!E651&gt;=1,'幕间与结算'!E651&lt;=99,'幕间与结算'!F651&gt;=0,'幕间与结算'!F651&lt;=4,'幕间与结算'!G651&lt;=99))),1,0)</x:f>
        <x:v>0</x:v>
      </x:c>
      <x:c r="H744">
        <x:f>IF(AND(G744=1,COUNTIFS($I$200:I744,I744,$G$200:G744,1)=1),1,0)</x:f>
        <x:v>0</x:v>
      </x:c>
      <x:c r="I744" t="str">
        <x:f>IF(G744=1,IF(B744="成长",A744&amp;"-成长-"&amp;C744,'幕间与结算'!I651),"")</x:f>
        <x:v/>
      </x:c>
      <x:c r="BF744">
        <x:f>MAX(0,MIN(18,BF743+IF(C744="力量",E744,0)))</x:f>
        <x:v>0</x:v>
      </x:c>
      <x:c r="BG744">
        <x:f>MAX(0,MIN(18,BG743+IF(C744="体质",E744,0)))</x:f>
        <x:v>0</x:v>
      </x:c>
      <x:c r="BH744">
        <x:f>MAX(0,MIN(18,BH743+IF(C744="敏捷",E744,0)))</x:f>
        <x:v>0</x:v>
      </x:c>
      <x:c r="BI744">
        <x:f>MAX(0,MIN(18,BI743+IF(C744="智力",E744,0)))</x:f>
        <x:v>0</x:v>
      </x:c>
      <x:c r="BJ744">
        <x:f>MAX(0,MIN(18,BJ743+IF(C744="意志",E744,0)))</x:f>
        <x:v>0</x:v>
      </x:c>
      <x:c r="BK744">
        <x:f>MAX(0,MIN(18,BK743+IF(C744="魅力",E744,0)))</x:f>
        <x:v>0</x:v>
      </x:c>
      <x:c r="BL744">
        <x:f>MAX(0,MIN(99,BL743+IF(C744="技能：非自然知识",E744,0)))</x:f>
        <x:v>0</x:v>
      </x:c>
      <x:c r="BM744">
        <x:f>MAX(0,MIN(CEILING((BF744+BG744)/2,1),BM743+IF(C744="体力",E744,0)))</x:f>
        <x:v>0</x:v>
      </x:c>
      <x:c r="BN744">
        <x:f>MAX(0,MIN(BJ744,BN743+IF(C744="毅力",E744,0)))</x:f>
        <x:v>0</x:v>
      </x:c>
      <x:c r="BO744">
        <x:f>MAX(0,MIN(99-BL744,BO743+IF(C744="理智",E744,0)))</x:f>
        <x:v>0</x:v>
      </x:c>
      <x:c r="BP744">
        <x:f>MAX(0,MIN(99,BP743+IF(C744="崩溃点",E744,0)))</x:f>
        <x:v>0</x:v>
      </x:c>
      <x:c r="BQ744">
        <x:f>MAX(0,MIN(BK744,IF(AND(H744=1,C744="重要关系1",LEFT('幕间与结算'!H651,8)="建立新的重要关系"),'幕间与结算'!E651+E744,BQ743+IF(C744="重要关系1",E744,0)+IF(AND(C744="魅力",E744&lt;0),E744,0))))</x:f>
        <x:v>0</x:v>
      </x:c>
      <x:c r="BR744">
        <x:f>MAX(0,MIN(BK744,IF(AND(H744=1,C744="重要关系2",LEFT('幕间与结算'!H651,8)="建立新的重要关系"),'幕间与结算'!E651+E744,BR743+IF(C744="重要关系2",E744,0)+IF(AND(C744="魅力",E744&lt;0),E744,0))))</x:f>
        <x:v>0</x:v>
      </x:c>
      <x:c r="BS744">
        <x:f>MAX(0,MIN(BK744,IF(AND(H744=1,C744="重要关系3",LEFT('幕间与结算'!H651,8)="建立新的重要关系"),'幕间与结算'!E651+E744,BS743+IF(C744="重要关系3",E744,0)+IF(AND(C744="魅力",E744&lt;0),E744,0))))</x:f>
        <x:v>0</x:v>
      </x:c>
      <x:c r="BT744">
        <x:f>MAX(0,MIN(BK744,IF(AND(H744=1,C744="重要关系4",LEFT('幕间与结算'!H651,8)="建立新的重要关系"),'幕间与结算'!E651+E744,BT743+IF(C744="重要关系4",E744,0)+IF(AND(C744="魅力",E744&lt;0),E744,0))))</x:f>
        <x:v>0</x:v>
      </x:c>
      <x:c r="BU744">
        <x:f>MAX(0,MIN(BK744,IF(AND(H744=1,C744="重要关系5",LEFT('幕间与结算'!H651,8)="建立新的重要关系"),'幕间与结算'!E651+E744,BU743+IF(C744="重要关系5",E744,0)+IF(AND(C744="魅力",E744&lt;0),E744,0))))</x:f>
        <x:v>0</x:v>
      </x:c>
      <x:c r="BV744">
        <x:f>MAX(0,MIN(BK744,IF(AND(H744=1,C744="重要关系6",LEFT('幕间与结算'!H651,8)="建立新的重要关系"),'幕间与结算'!E651+E744,BV743+IF(C744="重要关系6",E744,0)+IF(AND(C744="魅力",E744&lt;0),E744,0))))</x:f>
        <x:v>0</x:v>
      </x:c>
      <x:c r="BW744">
        <x:f>MAX(0,MIN(BK744,IF(AND(H744=1,C744="重要关系7",LEFT('幕间与结算'!H651,8)="建立新的重要关系"),'幕间与结算'!E651+E744,BW743+IF(C744="重要关系7",E744,0)+IF(AND(C744="魅力",E744&lt;0),E744,0))))</x:f>
        <x:v>0</x:v>
      </x:c>
    </x:row>
    <x:row r="745">
      <x:c r="A745" t="str">
        <x:f>IFERROR(TEXT(VALUE('幕间与结算'!A652),"00"),"")</x:f>
        <x:v>00</x:v>
      </x:c>
      <x:c r="B745">
        <x:f>'幕间与结算'!B652</x:f>
        <x:v>0</x:v>
      </x:c>
      <x:c r="C745">
        <x:f>'幕间与结算'!D652</x:f>
        <x:v>0</x:v>
      </x:c>
      <x:c r="D745">
        <x:f>'幕间与结算'!F652</x:f>
        <x:v>0</x:v>
      </x:c>
      <x:c r="E745">
        <x:f>IF(H745=1,MAX(-'幕间与结算'!E652,MIN(D745,IF(LEFT(C745,3)="技能：",99,IF(COUNTIF($L$2:$L$7,C745)&gt;0,18,999))-'幕间与结算'!E652)),0)</x:f>
        <x:v>0</x:v>
      </x:c>
      <x:c r="F745" t="str">
        <x:f>IF(C745=0,"",IF(G745=0,"记录不完整",IF(H745=0,"重复未计","已计入")))</x:f>
        <x:v/>
      </x:c>
      <x:c r="G745">
        <x:f>IF(AND(AND('幕间与结算'!A652&lt;&gt;"",'幕间与结算'!B652&lt;&gt;"",'幕间与结算'!I652&lt;&gt;"",OR(LEFT(C745,3)="技能：",COUNTIF($L$2:$L$19,C745)&gt;0),ISNUMBER('幕间与结算'!E652),ISNUMBER('幕间与结算'!F652),ISNUMBER('幕间与结算'!G652),'幕间与结算'!E652&gt;=0,'幕间与结算'!G652='幕间与结算'!E652+'幕间与结算'!F652),OR(B745&lt;&gt;"成长",AND(LEFT(C745,3)="技能：",C745&lt;&gt;"技能：非自然知识",'幕间与结算'!E652&gt;=1,'幕间与结算'!E652&lt;=99,'幕间与结算'!F652&gt;=0,'幕间与结算'!F652&lt;=4,'幕间与结算'!G652&lt;=99))),1,0)</x:f>
        <x:v>0</x:v>
      </x:c>
      <x:c r="H745">
        <x:f>IF(AND(G745=1,COUNTIFS($I$200:I745,I745,$G$200:G745,1)=1),1,0)</x:f>
        <x:v>0</x:v>
      </x:c>
      <x:c r="I745" t="str">
        <x:f>IF(G745=1,IF(B745="成长",A745&amp;"-成长-"&amp;C745,'幕间与结算'!I652),"")</x:f>
        <x:v/>
      </x:c>
      <x:c r="BF745">
        <x:f>MAX(0,MIN(18,BF744+IF(C745="力量",E745,0)))</x:f>
        <x:v>0</x:v>
      </x:c>
      <x:c r="BG745">
        <x:f>MAX(0,MIN(18,BG744+IF(C745="体质",E745,0)))</x:f>
        <x:v>0</x:v>
      </x:c>
      <x:c r="BH745">
        <x:f>MAX(0,MIN(18,BH744+IF(C745="敏捷",E745,0)))</x:f>
        <x:v>0</x:v>
      </x:c>
      <x:c r="BI745">
        <x:f>MAX(0,MIN(18,BI744+IF(C745="智力",E745,0)))</x:f>
        <x:v>0</x:v>
      </x:c>
      <x:c r="BJ745">
        <x:f>MAX(0,MIN(18,BJ744+IF(C745="意志",E745,0)))</x:f>
        <x:v>0</x:v>
      </x:c>
      <x:c r="BK745">
        <x:f>MAX(0,MIN(18,BK744+IF(C745="魅力",E745,0)))</x:f>
        <x:v>0</x:v>
      </x:c>
      <x:c r="BL745">
        <x:f>MAX(0,MIN(99,BL744+IF(C745="技能：非自然知识",E745,0)))</x:f>
        <x:v>0</x:v>
      </x:c>
      <x:c r="BM745">
        <x:f>MAX(0,MIN(CEILING((BF745+BG745)/2,1),BM744+IF(C745="体力",E745,0)))</x:f>
        <x:v>0</x:v>
      </x:c>
      <x:c r="BN745">
        <x:f>MAX(0,MIN(BJ745,BN744+IF(C745="毅力",E745,0)))</x:f>
        <x:v>0</x:v>
      </x:c>
      <x:c r="BO745">
        <x:f>MAX(0,MIN(99-BL745,BO744+IF(C745="理智",E745,0)))</x:f>
        <x:v>0</x:v>
      </x:c>
      <x:c r="BP745">
        <x:f>MAX(0,MIN(99,BP744+IF(C745="崩溃点",E745,0)))</x:f>
        <x:v>0</x:v>
      </x:c>
      <x:c r="BQ745">
        <x:f>MAX(0,MIN(BK745,IF(AND(H745=1,C745="重要关系1",LEFT('幕间与结算'!H652,8)="建立新的重要关系"),'幕间与结算'!E652+E745,BQ744+IF(C745="重要关系1",E745,0)+IF(AND(C745="魅力",E745&lt;0),E745,0))))</x:f>
        <x:v>0</x:v>
      </x:c>
      <x:c r="BR745">
        <x:f>MAX(0,MIN(BK745,IF(AND(H745=1,C745="重要关系2",LEFT('幕间与结算'!H652,8)="建立新的重要关系"),'幕间与结算'!E652+E745,BR744+IF(C745="重要关系2",E745,0)+IF(AND(C745="魅力",E745&lt;0),E745,0))))</x:f>
        <x:v>0</x:v>
      </x:c>
      <x:c r="BS745">
        <x:f>MAX(0,MIN(BK745,IF(AND(H745=1,C745="重要关系3",LEFT('幕间与结算'!H652,8)="建立新的重要关系"),'幕间与结算'!E652+E745,BS744+IF(C745="重要关系3",E745,0)+IF(AND(C745="魅力",E745&lt;0),E745,0))))</x:f>
        <x:v>0</x:v>
      </x:c>
      <x:c r="BT745">
        <x:f>MAX(0,MIN(BK745,IF(AND(H745=1,C745="重要关系4",LEFT('幕间与结算'!H652,8)="建立新的重要关系"),'幕间与结算'!E652+E745,BT744+IF(C745="重要关系4",E745,0)+IF(AND(C745="魅力",E745&lt;0),E745,0))))</x:f>
        <x:v>0</x:v>
      </x:c>
      <x:c r="BU745">
        <x:f>MAX(0,MIN(BK745,IF(AND(H745=1,C745="重要关系5",LEFT('幕间与结算'!H652,8)="建立新的重要关系"),'幕间与结算'!E652+E745,BU744+IF(C745="重要关系5",E745,0)+IF(AND(C745="魅力",E745&lt;0),E745,0))))</x:f>
        <x:v>0</x:v>
      </x:c>
      <x:c r="BV745">
        <x:f>MAX(0,MIN(BK745,IF(AND(H745=1,C745="重要关系6",LEFT('幕间与结算'!H652,8)="建立新的重要关系"),'幕间与结算'!E652+E745,BV744+IF(C745="重要关系6",E745,0)+IF(AND(C745="魅力",E745&lt;0),E745,0))))</x:f>
        <x:v>0</x:v>
      </x:c>
      <x:c r="BW745">
        <x:f>MAX(0,MIN(BK745,IF(AND(H745=1,C745="重要关系7",LEFT('幕间与结算'!H652,8)="建立新的重要关系"),'幕间与结算'!E652+E745,BW744+IF(C745="重要关系7",E745,0)+IF(AND(C745="魅力",E745&lt;0),E745,0))))</x:f>
        <x:v>0</x:v>
      </x:c>
    </x:row>
    <x:row r="746">
      <x:c r="A746" t="str">
        <x:f>IFERROR(TEXT(VALUE('幕间与结算'!A653),"00"),"")</x:f>
        <x:v>00</x:v>
      </x:c>
      <x:c r="B746">
        <x:f>'幕间与结算'!B653</x:f>
        <x:v>0</x:v>
      </x:c>
      <x:c r="C746">
        <x:f>'幕间与结算'!D653</x:f>
        <x:v>0</x:v>
      </x:c>
      <x:c r="D746">
        <x:f>'幕间与结算'!F653</x:f>
        <x:v>0</x:v>
      </x:c>
      <x:c r="E746">
        <x:f>IF(H746=1,MAX(-'幕间与结算'!E653,MIN(D746,IF(LEFT(C746,3)="技能：",99,IF(COUNTIF($L$2:$L$7,C746)&gt;0,18,999))-'幕间与结算'!E653)),0)</x:f>
        <x:v>0</x:v>
      </x:c>
      <x:c r="F746" t="str">
        <x:f>IF(C746=0,"",IF(G746=0,"记录不完整",IF(H746=0,"重复未计","已计入")))</x:f>
        <x:v/>
      </x:c>
      <x:c r="G746">
        <x:f>IF(AND(AND('幕间与结算'!A653&lt;&gt;"",'幕间与结算'!B653&lt;&gt;"",'幕间与结算'!I653&lt;&gt;"",OR(LEFT(C746,3)="技能：",COUNTIF($L$2:$L$19,C746)&gt;0),ISNUMBER('幕间与结算'!E653),ISNUMBER('幕间与结算'!F653),ISNUMBER('幕间与结算'!G653),'幕间与结算'!E653&gt;=0,'幕间与结算'!G653='幕间与结算'!E653+'幕间与结算'!F653),OR(B746&lt;&gt;"成长",AND(LEFT(C746,3)="技能：",C746&lt;&gt;"技能：非自然知识",'幕间与结算'!E653&gt;=1,'幕间与结算'!E653&lt;=99,'幕间与结算'!F653&gt;=0,'幕间与结算'!F653&lt;=4,'幕间与结算'!G653&lt;=99))),1,0)</x:f>
        <x:v>0</x:v>
      </x:c>
      <x:c r="H746">
        <x:f>IF(AND(G746=1,COUNTIFS($I$200:I746,I746,$G$200:G746,1)=1),1,0)</x:f>
        <x:v>0</x:v>
      </x:c>
      <x:c r="I746" t="str">
        <x:f>IF(G746=1,IF(B746="成长",A746&amp;"-成长-"&amp;C746,'幕间与结算'!I653),"")</x:f>
        <x:v/>
      </x:c>
      <x:c r="BF746">
        <x:f>MAX(0,MIN(18,BF745+IF(C746="力量",E746,0)))</x:f>
        <x:v>0</x:v>
      </x:c>
      <x:c r="BG746">
        <x:f>MAX(0,MIN(18,BG745+IF(C746="体质",E746,0)))</x:f>
        <x:v>0</x:v>
      </x:c>
      <x:c r="BH746">
        <x:f>MAX(0,MIN(18,BH745+IF(C746="敏捷",E746,0)))</x:f>
        <x:v>0</x:v>
      </x:c>
      <x:c r="BI746">
        <x:f>MAX(0,MIN(18,BI745+IF(C746="智力",E746,0)))</x:f>
        <x:v>0</x:v>
      </x:c>
      <x:c r="BJ746">
        <x:f>MAX(0,MIN(18,BJ745+IF(C746="意志",E746,0)))</x:f>
        <x:v>0</x:v>
      </x:c>
      <x:c r="BK746">
        <x:f>MAX(0,MIN(18,BK745+IF(C746="魅力",E746,0)))</x:f>
        <x:v>0</x:v>
      </x:c>
      <x:c r="BL746">
        <x:f>MAX(0,MIN(99,BL745+IF(C746="技能：非自然知识",E746,0)))</x:f>
        <x:v>0</x:v>
      </x:c>
      <x:c r="BM746">
        <x:f>MAX(0,MIN(CEILING((BF746+BG746)/2,1),BM745+IF(C746="体力",E746,0)))</x:f>
        <x:v>0</x:v>
      </x:c>
      <x:c r="BN746">
        <x:f>MAX(0,MIN(BJ746,BN745+IF(C746="毅力",E746,0)))</x:f>
        <x:v>0</x:v>
      </x:c>
      <x:c r="BO746">
        <x:f>MAX(0,MIN(99-BL746,BO745+IF(C746="理智",E746,0)))</x:f>
        <x:v>0</x:v>
      </x:c>
      <x:c r="BP746">
        <x:f>MAX(0,MIN(99,BP745+IF(C746="崩溃点",E746,0)))</x:f>
        <x:v>0</x:v>
      </x:c>
      <x:c r="BQ746">
        <x:f>MAX(0,MIN(BK746,IF(AND(H746=1,C746="重要关系1",LEFT('幕间与结算'!H653,8)="建立新的重要关系"),'幕间与结算'!E653+E746,BQ745+IF(C746="重要关系1",E746,0)+IF(AND(C746="魅力",E746&lt;0),E746,0))))</x:f>
        <x:v>0</x:v>
      </x:c>
      <x:c r="BR746">
        <x:f>MAX(0,MIN(BK746,IF(AND(H746=1,C746="重要关系2",LEFT('幕间与结算'!H653,8)="建立新的重要关系"),'幕间与结算'!E653+E746,BR745+IF(C746="重要关系2",E746,0)+IF(AND(C746="魅力",E746&lt;0),E746,0))))</x:f>
        <x:v>0</x:v>
      </x:c>
      <x:c r="BS746">
        <x:f>MAX(0,MIN(BK746,IF(AND(H746=1,C746="重要关系3",LEFT('幕间与结算'!H653,8)="建立新的重要关系"),'幕间与结算'!E653+E746,BS745+IF(C746="重要关系3",E746,0)+IF(AND(C746="魅力",E746&lt;0),E746,0))))</x:f>
        <x:v>0</x:v>
      </x:c>
      <x:c r="BT746">
        <x:f>MAX(0,MIN(BK746,IF(AND(H746=1,C746="重要关系4",LEFT('幕间与结算'!H653,8)="建立新的重要关系"),'幕间与结算'!E653+E746,BT745+IF(C746="重要关系4",E746,0)+IF(AND(C746="魅力",E746&lt;0),E746,0))))</x:f>
        <x:v>0</x:v>
      </x:c>
      <x:c r="BU746">
        <x:f>MAX(0,MIN(BK746,IF(AND(H746=1,C746="重要关系5",LEFT('幕间与结算'!H653,8)="建立新的重要关系"),'幕间与结算'!E653+E746,BU745+IF(C746="重要关系5",E746,0)+IF(AND(C746="魅力",E746&lt;0),E746,0))))</x:f>
        <x:v>0</x:v>
      </x:c>
      <x:c r="BV746">
        <x:f>MAX(0,MIN(BK746,IF(AND(H746=1,C746="重要关系6",LEFT('幕间与结算'!H653,8)="建立新的重要关系"),'幕间与结算'!E653+E746,BV745+IF(C746="重要关系6",E746,0)+IF(AND(C746="魅力",E746&lt;0),E746,0))))</x:f>
        <x:v>0</x:v>
      </x:c>
      <x:c r="BW746">
        <x:f>MAX(0,MIN(BK746,IF(AND(H746=1,C746="重要关系7",LEFT('幕间与结算'!H653,8)="建立新的重要关系"),'幕间与结算'!E653+E746,BW745+IF(C746="重要关系7",E746,0)+IF(AND(C746="魅力",E746&lt;0),E746,0))))</x:f>
        <x:v>0</x:v>
      </x:c>
    </x:row>
    <x:row r="747">
      <x:c r="A747" t="str">
        <x:f>IFERROR(TEXT(VALUE('幕间与结算'!A654),"00"),"")</x:f>
        <x:v>00</x:v>
      </x:c>
      <x:c r="B747">
        <x:f>'幕间与结算'!B654</x:f>
        <x:v>0</x:v>
      </x:c>
      <x:c r="C747">
        <x:f>'幕间与结算'!D654</x:f>
        <x:v>0</x:v>
      </x:c>
      <x:c r="D747">
        <x:f>'幕间与结算'!F654</x:f>
        <x:v>0</x:v>
      </x:c>
      <x:c r="E747">
        <x:f>IF(H747=1,MAX(-'幕间与结算'!E654,MIN(D747,IF(LEFT(C747,3)="技能：",99,IF(COUNTIF($L$2:$L$7,C747)&gt;0,18,999))-'幕间与结算'!E654)),0)</x:f>
        <x:v>0</x:v>
      </x:c>
      <x:c r="F747" t="str">
        <x:f>IF(C747=0,"",IF(G747=0,"记录不完整",IF(H747=0,"重复未计","已计入")))</x:f>
        <x:v/>
      </x:c>
      <x:c r="G747">
        <x:f>IF(AND(AND('幕间与结算'!A654&lt;&gt;"",'幕间与结算'!B654&lt;&gt;"",'幕间与结算'!I654&lt;&gt;"",OR(LEFT(C747,3)="技能：",COUNTIF($L$2:$L$19,C747)&gt;0),ISNUMBER('幕间与结算'!E654),ISNUMBER('幕间与结算'!F654),ISNUMBER('幕间与结算'!G654),'幕间与结算'!E654&gt;=0,'幕间与结算'!G654='幕间与结算'!E654+'幕间与结算'!F654),OR(B747&lt;&gt;"成长",AND(LEFT(C747,3)="技能：",C747&lt;&gt;"技能：非自然知识",'幕间与结算'!E654&gt;=1,'幕间与结算'!E654&lt;=99,'幕间与结算'!F654&gt;=0,'幕间与结算'!F654&lt;=4,'幕间与结算'!G654&lt;=99))),1,0)</x:f>
        <x:v>0</x:v>
      </x:c>
      <x:c r="H747">
        <x:f>IF(AND(G747=1,COUNTIFS($I$200:I747,I747,$G$200:G747,1)=1),1,0)</x:f>
        <x:v>0</x:v>
      </x:c>
      <x:c r="I747" t="str">
        <x:f>IF(G747=1,IF(B747="成长",A747&amp;"-成长-"&amp;C747,'幕间与结算'!I654),"")</x:f>
        <x:v/>
      </x:c>
      <x:c r="BF747">
        <x:f>MAX(0,MIN(18,BF746+IF(C747="力量",E747,0)))</x:f>
        <x:v>0</x:v>
      </x:c>
      <x:c r="BG747">
        <x:f>MAX(0,MIN(18,BG746+IF(C747="体质",E747,0)))</x:f>
        <x:v>0</x:v>
      </x:c>
      <x:c r="BH747">
        <x:f>MAX(0,MIN(18,BH746+IF(C747="敏捷",E747,0)))</x:f>
        <x:v>0</x:v>
      </x:c>
      <x:c r="BI747">
        <x:f>MAX(0,MIN(18,BI746+IF(C747="智力",E747,0)))</x:f>
        <x:v>0</x:v>
      </x:c>
      <x:c r="BJ747">
        <x:f>MAX(0,MIN(18,BJ746+IF(C747="意志",E747,0)))</x:f>
        <x:v>0</x:v>
      </x:c>
      <x:c r="BK747">
        <x:f>MAX(0,MIN(18,BK746+IF(C747="魅力",E747,0)))</x:f>
        <x:v>0</x:v>
      </x:c>
      <x:c r="BL747">
        <x:f>MAX(0,MIN(99,BL746+IF(C747="技能：非自然知识",E747,0)))</x:f>
        <x:v>0</x:v>
      </x:c>
      <x:c r="BM747">
        <x:f>MAX(0,MIN(CEILING((BF747+BG747)/2,1),BM746+IF(C747="体力",E747,0)))</x:f>
        <x:v>0</x:v>
      </x:c>
      <x:c r="BN747">
        <x:f>MAX(0,MIN(BJ747,BN746+IF(C747="毅力",E747,0)))</x:f>
        <x:v>0</x:v>
      </x:c>
      <x:c r="BO747">
        <x:f>MAX(0,MIN(99-BL747,BO746+IF(C747="理智",E747,0)))</x:f>
        <x:v>0</x:v>
      </x:c>
      <x:c r="BP747">
        <x:f>MAX(0,MIN(99,BP746+IF(C747="崩溃点",E747,0)))</x:f>
        <x:v>0</x:v>
      </x:c>
      <x:c r="BQ747">
        <x:f>MAX(0,MIN(BK747,IF(AND(H747=1,C747="重要关系1",LEFT('幕间与结算'!H654,8)="建立新的重要关系"),'幕间与结算'!E654+E747,BQ746+IF(C747="重要关系1",E747,0)+IF(AND(C747="魅力",E747&lt;0),E747,0))))</x:f>
        <x:v>0</x:v>
      </x:c>
      <x:c r="BR747">
        <x:f>MAX(0,MIN(BK747,IF(AND(H747=1,C747="重要关系2",LEFT('幕间与结算'!H654,8)="建立新的重要关系"),'幕间与结算'!E654+E747,BR746+IF(C747="重要关系2",E747,0)+IF(AND(C747="魅力",E747&lt;0),E747,0))))</x:f>
        <x:v>0</x:v>
      </x:c>
      <x:c r="BS747">
        <x:f>MAX(0,MIN(BK747,IF(AND(H747=1,C747="重要关系3",LEFT('幕间与结算'!H654,8)="建立新的重要关系"),'幕间与结算'!E654+E747,BS746+IF(C747="重要关系3",E747,0)+IF(AND(C747="魅力",E747&lt;0),E747,0))))</x:f>
        <x:v>0</x:v>
      </x:c>
      <x:c r="BT747">
        <x:f>MAX(0,MIN(BK747,IF(AND(H747=1,C747="重要关系4",LEFT('幕间与结算'!H654,8)="建立新的重要关系"),'幕间与结算'!E654+E747,BT746+IF(C747="重要关系4",E747,0)+IF(AND(C747="魅力",E747&lt;0),E747,0))))</x:f>
        <x:v>0</x:v>
      </x:c>
      <x:c r="BU747">
        <x:f>MAX(0,MIN(BK747,IF(AND(H747=1,C747="重要关系5",LEFT('幕间与结算'!H654,8)="建立新的重要关系"),'幕间与结算'!E654+E747,BU746+IF(C747="重要关系5",E747,0)+IF(AND(C747="魅力",E747&lt;0),E747,0))))</x:f>
        <x:v>0</x:v>
      </x:c>
      <x:c r="BV747">
        <x:f>MAX(0,MIN(BK747,IF(AND(H747=1,C747="重要关系6",LEFT('幕间与结算'!H654,8)="建立新的重要关系"),'幕间与结算'!E654+E747,BV746+IF(C747="重要关系6",E747,0)+IF(AND(C747="魅力",E747&lt;0),E747,0))))</x:f>
        <x:v>0</x:v>
      </x:c>
      <x:c r="BW747">
        <x:f>MAX(0,MIN(BK747,IF(AND(H747=1,C747="重要关系7",LEFT('幕间与结算'!H654,8)="建立新的重要关系"),'幕间与结算'!E654+E747,BW746+IF(C747="重要关系7",E747,0)+IF(AND(C747="魅力",E747&lt;0),E747,0))))</x:f>
        <x:v>0</x:v>
      </x:c>
    </x:row>
    <x:row r="748">
      <x:c r="A748" t="str">
        <x:f>IFERROR(TEXT(VALUE('幕间与结算'!A655),"00"),"")</x:f>
        <x:v>00</x:v>
      </x:c>
      <x:c r="B748">
        <x:f>'幕间与结算'!B655</x:f>
        <x:v>0</x:v>
      </x:c>
      <x:c r="C748">
        <x:f>'幕间与结算'!D655</x:f>
        <x:v>0</x:v>
      </x:c>
      <x:c r="D748">
        <x:f>'幕间与结算'!F655</x:f>
        <x:v>0</x:v>
      </x:c>
      <x:c r="E748">
        <x:f>IF(H748=1,MAX(-'幕间与结算'!E655,MIN(D748,IF(LEFT(C748,3)="技能：",99,IF(COUNTIF($L$2:$L$7,C748)&gt;0,18,999))-'幕间与结算'!E655)),0)</x:f>
        <x:v>0</x:v>
      </x:c>
      <x:c r="F748" t="str">
        <x:f>IF(C748=0,"",IF(G748=0,"记录不完整",IF(H748=0,"重复未计","已计入")))</x:f>
        <x:v/>
      </x:c>
      <x:c r="G748">
        <x:f>IF(AND(AND('幕间与结算'!A655&lt;&gt;"",'幕间与结算'!B655&lt;&gt;"",'幕间与结算'!I655&lt;&gt;"",OR(LEFT(C748,3)="技能：",COUNTIF($L$2:$L$19,C748)&gt;0),ISNUMBER('幕间与结算'!E655),ISNUMBER('幕间与结算'!F655),ISNUMBER('幕间与结算'!G655),'幕间与结算'!E655&gt;=0,'幕间与结算'!G655='幕间与结算'!E655+'幕间与结算'!F655),OR(B748&lt;&gt;"成长",AND(LEFT(C748,3)="技能：",C748&lt;&gt;"技能：非自然知识",'幕间与结算'!E655&gt;=1,'幕间与结算'!E655&lt;=99,'幕间与结算'!F655&gt;=0,'幕间与结算'!F655&lt;=4,'幕间与结算'!G655&lt;=99))),1,0)</x:f>
        <x:v>0</x:v>
      </x:c>
      <x:c r="H748">
        <x:f>IF(AND(G748=1,COUNTIFS($I$200:I748,I748,$G$200:G748,1)=1),1,0)</x:f>
        <x:v>0</x:v>
      </x:c>
      <x:c r="I748" t="str">
        <x:f>IF(G748=1,IF(B748="成长",A748&amp;"-成长-"&amp;C748,'幕间与结算'!I655),"")</x:f>
        <x:v/>
      </x:c>
      <x:c r="BF748">
        <x:f>MAX(0,MIN(18,BF747+IF(C748="力量",E748,0)))</x:f>
        <x:v>0</x:v>
      </x:c>
      <x:c r="BG748">
        <x:f>MAX(0,MIN(18,BG747+IF(C748="体质",E748,0)))</x:f>
        <x:v>0</x:v>
      </x:c>
      <x:c r="BH748">
        <x:f>MAX(0,MIN(18,BH747+IF(C748="敏捷",E748,0)))</x:f>
        <x:v>0</x:v>
      </x:c>
      <x:c r="BI748">
        <x:f>MAX(0,MIN(18,BI747+IF(C748="智力",E748,0)))</x:f>
        <x:v>0</x:v>
      </x:c>
      <x:c r="BJ748">
        <x:f>MAX(0,MIN(18,BJ747+IF(C748="意志",E748,0)))</x:f>
        <x:v>0</x:v>
      </x:c>
      <x:c r="BK748">
        <x:f>MAX(0,MIN(18,BK747+IF(C748="魅力",E748,0)))</x:f>
        <x:v>0</x:v>
      </x:c>
      <x:c r="BL748">
        <x:f>MAX(0,MIN(99,BL747+IF(C748="技能：非自然知识",E748,0)))</x:f>
        <x:v>0</x:v>
      </x:c>
      <x:c r="BM748">
        <x:f>MAX(0,MIN(CEILING((BF748+BG748)/2,1),BM747+IF(C748="体力",E748,0)))</x:f>
        <x:v>0</x:v>
      </x:c>
      <x:c r="BN748">
        <x:f>MAX(0,MIN(BJ748,BN747+IF(C748="毅力",E748,0)))</x:f>
        <x:v>0</x:v>
      </x:c>
      <x:c r="BO748">
        <x:f>MAX(0,MIN(99-BL748,BO747+IF(C748="理智",E748,0)))</x:f>
        <x:v>0</x:v>
      </x:c>
      <x:c r="BP748">
        <x:f>MAX(0,MIN(99,BP747+IF(C748="崩溃点",E748,0)))</x:f>
        <x:v>0</x:v>
      </x:c>
      <x:c r="BQ748">
        <x:f>MAX(0,MIN(BK748,IF(AND(H748=1,C748="重要关系1",LEFT('幕间与结算'!H655,8)="建立新的重要关系"),'幕间与结算'!E655+E748,BQ747+IF(C748="重要关系1",E748,0)+IF(AND(C748="魅力",E748&lt;0),E748,0))))</x:f>
        <x:v>0</x:v>
      </x:c>
      <x:c r="BR748">
        <x:f>MAX(0,MIN(BK748,IF(AND(H748=1,C748="重要关系2",LEFT('幕间与结算'!H655,8)="建立新的重要关系"),'幕间与结算'!E655+E748,BR747+IF(C748="重要关系2",E748,0)+IF(AND(C748="魅力",E748&lt;0),E748,0))))</x:f>
        <x:v>0</x:v>
      </x:c>
      <x:c r="BS748">
        <x:f>MAX(0,MIN(BK748,IF(AND(H748=1,C748="重要关系3",LEFT('幕间与结算'!H655,8)="建立新的重要关系"),'幕间与结算'!E655+E748,BS747+IF(C748="重要关系3",E748,0)+IF(AND(C748="魅力",E748&lt;0),E748,0))))</x:f>
        <x:v>0</x:v>
      </x:c>
      <x:c r="BT748">
        <x:f>MAX(0,MIN(BK748,IF(AND(H748=1,C748="重要关系4",LEFT('幕间与结算'!H655,8)="建立新的重要关系"),'幕间与结算'!E655+E748,BT747+IF(C748="重要关系4",E748,0)+IF(AND(C748="魅力",E748&lt;0),E748,0))))</x:f>
        <x:v>0</x:v>
      </x:c>
      <x:c r="BU748">
        <x:f>MAX(0,MIN(BK748,IF(AND(H748=1,C748="重要关系5",LEFT('幕间与结算'!H655,8)="建立新的重要关系"),'幕间与结算'!E655+E748,BU747+IF(C748="重要关系5",E748,0)+IF(AND(C748="魅力",E748&lt;0),E748,0))))</x:f>
        <x:v>0</x:v>
      </x:c>
      <x:c r="BV748">
        <x:f>MAX(0,MIN(BK748,IF(AND(H748=1,C748="重要关系6",LEFT('幕间与结算'!H655,8)="建立新的重要关系"),'幕间与结算'!E655+E748,BV747+IF(C748="重要关系6",E748,0)+IF(AND(C748="魅力",E748&lt;0),E748,0))))</x:f>
        <x:v>0</x:v>
      </x:c>
      <x:c r="BW748">
        <x:f>MAX(0,MIN(BK748,IF(AND(H748=1,C748="重要关系7",LEFT('幕间与结算'!H655,8)="建立新的重要关系"),'幕间与结算'!E655+E748,BW747+IF(C748="重要关系7",E748,0)+IF(AND(C748="魅力",E748&lt;0),E748,0))))</x:f>
        <x:v>0</x:v>
      </x:c>
    </x:row>
    <x:row r="749">
      <x:c r="A749" t="str">
        <x:f>IFERROR(TEXT(VALUE('幕间与结算'!A656),"00"),"")</x:f>
        <x:v>00</x:v>
      </x:c>
      <x:c r="B749">
        <x:f>'幕间与结算'!B656</x:f>
        <x:v>0</x:v>
      </x:c>
      <x:c r="C749">
        <x:f>'幕间与结算'!D656</x:f>
        <x:v>0</x:v>
      </x:c>
      <x:c r="D749">
        <x:f>'幕间与结算'!F656</x:f>
        <x:v>0</x:v>
      </x:c>
      <x:c r="E749">
        <x:f>IF(H749=1,MAX(-'幕间与结算'!E656,MIN(D749,IF(LEFT(C749,3)="技能：",99,IF(COUNTIF($L$2:$L$7,C749)&gt;0,18,999))-'幕间与结算'!E656)),0)</x:f>
        <x:v>0</x:v>
      </x:c>
      <x:c r="F749" t="str">
        <x:f>IF(C749=0,"",IF(G749=0,"记录不完整",IF(H749=0,"重复未计","已计入")))</x:f>
        <x:v/>
      </x:c>
      <x:c r="G749">
        <x:f>IF(AND(AND('幕间与结算'!A656&lt;&gt;"",'幕间与结算'!B656&lt;&gt;"",'幕间与结算'!I656&lt;&gt;"",OR(LEFT(C749,3)="技能：",COUNTIF($L$2:$L$19,C749)&gt;0),ISNUMBER('幕间与结算'!E656),ISNUMBER('幕间与结算'!F656),ISNUMBER('幕间与结算'!G656),'幕间与结算'!E656&gt;=0,'幕间与结算'!G656='幕间与结算'!E656+'幕间与结算'!F656),OR(B749&lt;&gt;"成长",AND(LEFT(C749,3)="技能：",C749&lt;&gt;"技能：非自然知识",'幕间与结算'!E656&gt;=1,'幕间与结算'!E656&lt;=99,'幕间与结算'!F656&gt;=0,'幕间与结算'!F656&lt;=4,'幕间与结算'!G656&lt;=99))),1,0)</x:f>
        <x:v>0</x:v>
      </x:c>
      <x:c r="H749">
        <x:f>IF(AND(G749=1,COUNTIFS($I$200:I749,I749,$G$200:G749,1)=1),1,0)</x:f>
        <x:v>0</x:v>
      </x:c>
      <x:c r="I749" t="str">
        <x:f>IF(G749=1,IF(B749="成长",A749&amp;"-成长-"&amp;C749,'幕间与结算'!I656),"")</x:f>
        <x:v/>
      </x:c>
      <x:c r="BF749">
        <x:f>MAX(0,MIN(18,BF748+IF(C749="力量",E749,0)))</x:f>
        <x:v>0</x:v>
      </x:c>
      <x:c r="BG749">
        <x:f>MAX(0,MIN(18,BG748+IF(C749="体质",E749,0)))</x:f>
        <x:v>0</x:v>
      </x:c>
      <x:c r="BH749">
        <x:f>MAX(0,MIN(18,BH748+IF(C749="敏捷",E749,0)))</x:f>
        <x:v>0</x:v>
      </x:c>
      <x:c r="BI749">
        <x:f>MAX(0,MIN(18,BI748+IF(C749="智力",E749,0)))</x:f>
        <x:v>0</x:v>
      </x:c>
      <x:c r="BJ749">
        <x:f>MAX(0,MIN(18,BJ748+IF(C749="意志",E749,0)))</x:f>
        <x:v>0</x:v>
      </x:c>
      <x:c r="BK749">
        <x:f>MAX(0,MIN(18,BK748+IF(C749="魅力",E749,0)))</x:f>
        <x:v>0</x:v>
      </x:c>
      <x:c r="BL749">
        <x:f>MAX(0,MIN(99,BL748+IF(C749="技能：非自然知识",E749,0)))</x:f>
        <x:v>0</x:v>
      </x:c>
      <x:c r="BM749">
        <x:f>MAX(0,MIN(CEILING((BF749+BG749)/2,1),BM748+IF(C749="体力",E749,0)))</x:f>
        <x:v>0</x:v>
      </x:c>
      <x:c r="BN749">
        <x:f>MAX(0,MIN(BJ749,BN748+IF(C749="毅力",E749,0)))</x:f>
        <x:v>0</x:v>
      </x:c>
      <x:c r="BO749">
        <x:f>MAX(0,MIN(99-BL749,BO748+IF(C749="理智",E749,0)))</x:f>
        <x:v>0</x:v>
      </x:c>
      <x:c r="BP749">
        <x:f>MAX(0,MIN(99,BP748+IF(C749="崩溃点",E749,0)))</x:f>
        <x:v>0</x:v>
      </x:c>
      <x:c r="BQ749">
        <x:f>MAX(0,MIN(BK749,IF(AND(H749=1,C749="重要关系1",LEFT('幕间与结算'!H656,8)="建立新的重要关系"),'幕间与结算'!E656+E749,BQ748+IF(C749="重要关系1",E749,0)+IF(AND(C749="魅力",E749&lt;0),E749,0))))</x:f>
        <x:v>0</x:v>
      </x:c>
      <x:c r="BR749">
        <x:f>MAX(0,MIN(BK749,IF(AND(H749=1,C749="重要关系2",LEFT('幕间与结算'!H656,8)="建立新的重要关系"),'幕间与结算'!E656+E749,BR748+IF(C749="重要关系2",E749,0)+IF(AND(C749="魅力",E749&lt;0),E749,0))))</x:f>
        <x:v>0</x:v>
      </x:c>
      <x:c r="BS749">
        <x:f>MAX(0,MIN(BK749,IF(AND(H749=1,C749="重要关系3",LEFT('幕间与结算'!H656,8)="建立新的重要关系"),'幕间与结算'!E656+E749,BS748+IF(C749="重要关系3",E749,0)+IF(AND(C749="魅力",E749&lt;0),E749,0))))</x:f>
        <x:v>0</x:v>
      </x:c>
      <x:c r="BT749">
        <x:f>MAX(0,MIN(BK749,IF(AND(H749=1,C749="重要关系4",LEFT('幕间与结算'!H656,8)="建立新的重要关系"),'幕间与结算'!E656+E749,BT748+IF(C749="重要关系4",E749,0)+IF(AND(C749="魅力",E749&lt;0),E749,0))))</x:f>
        <x:v>0</x:v>
      </x:c>
      <x:c r="BU749">
        <x:f>MAX(0,MIN(BK749,IF(AND(H749=1,C749="重要关系5",LEFT('幕间与结算'!H656,8)="建立新的重要关系"),'幕间与结算'!E656+E749,BU748+IF(C749="重要关系5",E749,0)+IF(AND(C749="魅力",E749&lt;0),E749,0))))</x:f>
        <x:v>0</x:v>
      </x:c>
      <x:c r="BV749">
        <x:f>MAX(0,MIN(BK749,IF(AND(H749=1,C749="重要关系6",LEFT('幕间与结算'!H656,8)="建立新的重要关系"),'幕间与结算'!E656+E749,BV748+IF(C749="重要关系6",E749,0)+IF(AND(C749="魅力",E749&lt;0),E749,0))))</x:f>
        <x:v>0</x:v>
      </x:c>
      <x:c r="BW749">
        <x:f>MAX(0,MIN(BK749,IF(AND(H749=1,C749="重要关系7",LEFT('幕间与结算'!H656,8)="建立新的重要关系"),'幕间与结算'!E656+E749,BW748+IF(C749="重要关系7",E749,0)+IF(AND(C749="魅力",E749&lt;0),E749,0))))</x:f>
        <x:v>0</x:v>
      </x:c>
    </x:row>
    <x:row r="750">
      <x:c r="A750" t="str">
        <x:f>IFERROR(TEXT(VALUE('幕间与结算'!A657),"00"),"")</x:f>
        <x:v>00</x:v>
      </x:c>
      <x:c r="B750">
        <x:f>'幕间与结算'!B657</x:f>
        <x:v>0</x:v>
      </x:c>
      <x:c r="C750">
        <x:f>'幕间与结算'!D657</x:f>
        <x:v>0</x:v>
      </x:c>
      <x:c r="D750">
        <x:f>'幕间与结算'!F657</x:f>
        <x:v>0</x:v>
      </x:c>
      <x:c r="E750">
        <x:f>IF(H750=1,MAX(-'幕间与结算'!E657,MIN(D750,IF(LEFT(C750,3)="技能：",99,IF(COUNTIF($L$2:$L$7,C750)&gt;0,18,999))-'幕间与结算'!E657)),0)</x:f>
        <x:v>0</x:v>
      </x:c>
      <x:c r="F750" t="str">
        <x:f>IF(C750=0,"",IF(G750=0,"记录不完整",IF(H750=0,"重复未计","已计入")))</x:f>
        <x:v/>
      </x:c>
      <x:c r="G750">
        <x:f>IF(AND(AND('幕间与结算'!A657&lt;&gt;"",'幕间与结算'!B657&lt;&gt;"",'幕间与结算'!I657&lt;&gt;"",OR(LEFT(C750,3)="技能：",COUNTIF($L$2:$L$19,C750)&gt;0),ISNUMBER('幕间与结算'!E657),ISNUMBER('幕间与结算'!F657),ISNUMBER('幕间与结算'!G657),'幕间与结算'!E657&gt;=0,'幕间与结算'!G657='幕间与结算'!E657+'幕间与结算'!F657),OR(B750&lt;&gt;"成长",AND(LEFT(C750,3)="技能：",C750&lt;&gt;"技能：非自然知识",'幕间与结算'!E657&gt;=1,'幕间与结算'!E657&lt;=99,'幕间与结算'!F657&gt;=0,'幕间与结算'!F657&lt;=4,'幕间与结算'!G657&lt;=99))),1,0)</x:f>
        <x:v>0</x:v>
      </x:c>
      <x:c r="H750">
        <x:f>IF(AND(G750=1,COUNTIFS($I$200:I750,I750,$G$200:G750,1)=1),1,0)</x:f>
        <x:v>0</x:v>
      </x:c>
      <x:c r="I750" t="str">
        <x:f>IF(G750=1,IF(B750="成长",A750&amp;"-成长-"&amp;C750,'幕间与结算'!I657),"")</x:f>
        <x:v/>
      </x:c>
      <x:c r="BF750">
        <x:f>MAX(0,MIN(18,BF749+IF(C750="力量",E750,0)))</x:f>
        <x:v>0</x:v>
      </x:c>
      <x:c r="BG750">
        <x:f>MAX(0,MIN(18,BG749+IF(C750="体质",E750,0)))</x:f>
        <x:v>0</x:v>
      </x:c>
      <x:c r="BH750">
        <x:f>MAX(0,MIN(18,BH749+IF(C750="敏捷",E750,0)))</x:f>
        <x:v>0</x:v>
      </x:c>
      <x:c r="BI750">
        <x:f>MAX(0,MIN(18,BI749+IF(C750="智力",E750,0)))</x:f>
        <x:v>0</x:v>
      </x:c>
      <x:c r="BJ750">
        <x:f>MAX(0,MIN(18,BJ749+IF(C750="意志",E750,0)))</x:f>
        <x:v>0</x:v>
      </x:c>
      <x:c r="BK750">
        <x:f>MAX(0,MIN(18,BK749+IF(C750="魅力",E750,0)))</x:f>
        <x:v>0</x:v>
      </x:c>
      <x:c r="BL750">
        <x:f>MAX(0,MIN(99,BL749+IF(C750="技能：非自然知识",E750,0)))</x:f>
        <x:v>0</x:v>
      </x:c>
      <x:c r="BM750">
        <x:f>MAX(0,MIN(CEILING((BF750+BG750)/2,1),BM749+IF(C750="体力",E750,0)))</x:f>
        <x:v>0</x:v>
      </x:c>
      <x:c r="BN750">
        <x:f>MAX(0,MIN(BJ750,BN749+IF(C750="毅力",E750,0)))</x:f>
        <x:v>0</x:v>
      </x:c>
      <x:c r="BO750">
        <x:f>MAX(0,MIN(99-BL750,BO749+IF(C750="理智",E750,0)))</x:f>
        <x:v>0</x:v>
      </x:c>
      <x:c r="BP750">
        <x:f>MAX(0,MIN(99,BP749+IF(C750="崩溃点",E750,0)))</x:f>
        <x:v>0</x:v>
      </x:c>
      <x:c r="BQ750">
        <x:f>MAX(0,MIN(BK750,IF(AND(H750=1,C750="重要关系1",LEFT('幕间与结算'!H657,8)="建立新的重要关系"),'幕间与结算'!E657+E750,BQ749+IF(C750="重要关系1",E750,0)+IF(AND(C750="魅力",E750&lt;0),E750,0))))</x:f>
        <x:v>0</x:v>
      </x:c>
      <x:c r="BR750">
        <x:f>MAX(0,MIN(BK750,IF(AND(H750=1,C750="重要关系2",LEFT('幕间与结算'!H657,8)="建立新的重要关系"),'幕间与结算'!E657+E750,BR749+IF(C750="重要关系2",E750,0)+IF(AND(C750="魅力",E750&lt;0),E750,0))))</x:f>
        <x:v>0</x:v>
      </x:c>
      <x:c r="BS750">
        <x:f>MAX(0,MIN(BK750,IF(AND(H750=1,C750="重要关系3",LEFT('幕间与结算'!H657,8)="建立新的重要关系"),'幕间与结算'!E657+E750,BS749+IF(C750="重要关系3",E750,0)+IF(AND(C750="魅力",E750&lt;0),E750,0))))</x:f>
        <x:v>0</x:v>
      </x:c>
      <x:c r="BT750">
        <x:f>MAX(0,MIN(BK750,IF(AND(H750=1,C750="重要关系4",LEFT('幕间与结算'!H657,8)="建立新的重要关系"),'幕间与结算'!E657+E750,BT749+IF(C750="重要关系4",E750,0)+IF(AND(C750="魅力",E750&lt;0),E750,0))))</x:f>
        <x:v>0</x:v>
      </x:c>
      <x:c r="BU750">
        <x:f>MAX(0,MIN(BK750,IF(AND(H750=1,C750="重要关系5",LEFT('幕间与结算'!H657,8)="建立新的重要关系"),'幕间与结算'!E657+E750,BU749+IF(C750="重要关系5",E750,0)+IF(AND(C750="魅力",E750&lt;0),E750,0))))</x:f>
        <x:v>0</x:v>
      </x:c>
      <x:c r="BV750">
        <x:f>MAX(0,MIN(BK750,IF(AND(H750=1,C750="重要关系6",LEFT('幕间与结算'!H657,8)="建立新的重要关系"),'幕间与结算'!E657+E750,BV749+IF(C750="重要关系6",E750,0)+IF(AND(C750="魅力",E750&lt;0),E750,0))))</x:f>
        <x:v>0</x:v>
      </x:c>
      <x:c r="BW750">
        <x:f>MAX(0,MIN(BK750,IF(AND(H750=1,C750="重要关系7",LEFT('幕间与结算'!H657,8)="建立新的重要关系"),'幕间与结算'!E657+E750,BW749+IF(C750="重要关系7",E750,0)+IF(AND(C750="魅力",E750&lt;0),E750,0))))</x:f>
        <x:v>0</x:v>
      </x:c>
    </x:row>
    <x:row r="751">
      <x:c r="A751" t="str">
        <x:f>IFERROR(TEXT(VALUE('幕间与结算'!A658),"00"),"")</x:f>
        <x:v>00</x:v>
      </x:c>
      <x:c r="B751">
        <x:f>'幕间与结算'!B658</x:f>
        <x:v>0</x:v>
      </x:c>
      <x:c r="C751">
        <x:f>'幕间与结算'!D658</x:f>
        <x:v>0</x:v>
      </x:c>
      <x:c r="D751">
        <x:f>'幕间与结算'!F658</x:f>
        <x:v>0</x:v>
      </x:c>
      <x:c r="E751">
        <x:f>IF(H751=1,MAX(-'幕间与结算'!E658,MIN(D751,IF(LEFT(C751,3)="技能：",99,IF(COUNTIF($L$2:$L$7,C751)&gt;0,18,999))-'幕间与结算'!E658)),0)</x:f>
        <x:v>0</x:v>
      </x:c>
      <x:c r="F751" t="str">
        <x:f>IF(C751=0,"",IF(G751=0,"记录不完整",IF(H751=0,"重复未计","已计入")))</x:f>
        <x:v/>
      </x:c>
      <x:c r="G751">
        <x:f>IF(AND(AND('幕间与结算'!A658&lt;&gt;"",'幕间与结算'!B658&lt;&gt;"",'幕间与结算'!I658&lt;&gt;"",OR(LEFT(C751,3)="技能：",COUNTIF($L$2:$L$19,C751)&gt;0),ISNUMBER('幕间与结算'!E658),ISNUMBER('幕间与结算'!F658),ISNUMBER('幕间与结算'!G658),'幕间与结算'!E658&gt;=0,'幕间与结算'!G658='幕间与结算'!E658+'幕间与结算'!F658),OR(B751&lt;&gt;"成长",AND(LEFT(C751,3)="技能：",C751&lt;&gt;"技能：非自然知识",'幕间与结算'!E658&gt;=1,'幕间与结算'!E658&lt;=99,'幕间与结算'!F658&gt;=0,'幕间与结算'!F658&lt;=4,'幕间与结算'!G658&lt;=99))),1,0)</x:f>
        <x:v>0</x:v>
      </x:c>
      <x:c r="H751">
        <x:f>IF(AND(G751=1,COUNTIFS($I$200:I751,I751,$G$200:G751,1)=1),1,0)</x:f>
        <x:v>0</x:v>
      </x:c>
      <x:c r="I751" t="str">
        <x:f>IF(G751=1,IF(B751="成长",A751&amp;"-成长-"&amp;C751,'幕间与结算'!I658),"")</x:f>
        <x:v/>
      </x:c>
      <x:c r="BF751">
        <x:f>MAX(0,MIN(18,BF750+IF(C751="力量",E751,0)))</x:f>
        <x:v>0</x:v>
      </x:c>
      <x:c r="BG751">
        <x:f>MAX(0,MIN(18,BG750+IF(C751="体质",E751,0)))</x:f>
        <x:v>0</x:v>
      </x:c>
      <x:c r="BH751">
        <x:f>MAX(0,MIN(18,BH750+IF(C751="敏捷",E751,0)))</x:f>
        <x:v>0</x:v>
      </x:c>
      <x:c r="BI751">
        <x:f>MAX(0,MIN(18,BI750+IF(C751="智力",E751,0)))</x:f>
        <x:v>0</x:v>
      </x:c>
      <x:c r="BJ751">
        <x:f>MAX(0,MIN(18,BJ750+IF(C751="意志",E751,0)))</x:f>
        <x:v>0</x:v>
      </x:c>
      <x:c r="BK751">
        <x:f>MAX(0,MIN(18,BK750+IF(C751="魅力",E751,0)))</x:f>
        <x:v>0</x:v>
      </x:c>
      <x:c r="BL751">
        <x:f>MAX(0,MIN(99,BL750+IF(C751="技能：非自然知识",E751,0)))</x:f>
        <x:v>0</x:v>
      </x:c>
      <x:c r="BM751">
        <x:f>MAX(0,MIN(CEILING((BF751+BG751)/2,1),BM750+IF(C751="体力",E751,0)))</x:f>
        <x:v>0</x:v>
      </x:c>
      <x:c r="BN751">
        <x:f>MAX(0,MIN(BJ751,BN750+IF(C751="毅力",E751,0)))</x:f>
        <x:v>0</x:v>
      </x:c>
      <x:c r="BO751">
        <x:f>MAX(0,MIN(99-BL751,BO750+IF(C751="理智",E751,0)))</x:f>
        <x:v>0</x:v>
      </x:c>
      <x:c r="BP751">
        <x:f>MAX(0,MIN(99,BP750+IF(C751="崩溃点",E751,0)))</x:f>
        <x:v>0</x:v>
      </x:c>
      <x:c r="BQ751">
        <x:f>MAX(0,MIN(BK751,IF(AND(H751=1,C751="重要关系1",LEFT('幕间与结算'!H658,8)="建立新的重要关系"),'幕间与结算'!E658+E751,BQ750+IF(C751="重要关系1",E751,0)+IF(AND(C751="魅力",E751&lt;0),E751,0))))</x:f>
        <x:v>0</x:v>
      </x:c>
      <x:c r="BR751">
        <x:f>MAX(0,MIN(BK751,IF(AND(H751=1,C751="重要关系2",LEFT('幕间与结算'!H658,8)="建立新的重要关系"),'幕间与结算'!E658+E751,BR750+IF(C751="重要关系2",E751,0)+IF(AND(C751="魅力",E751&lt;0),E751,0))))</x:f>
        <x:v>0</x:v>
      </x:c>
      <x:c r="BS751">
        <x:f>MAX(0,MIN(BK751,IF(AND(H751=1,C751="重要关系3",LEFT('幕间与结算'!H658,8)="建立新的重要关系"),'幕间与结算'!E658+E751,BS750+IF(C751="重要关系3",E751,0)+IF(AND(C751="魅力",E751&lt;0),E751,0))))</x:f>
        <x:v>0</x:v>
      </x:c>
      <x:c r="BT751">
        <x:f>MAX(0,MIN(BK751,IF(AND(H751=1,C751="重要关系4",LEFT('幕间与结算'!H658,8)="建立新的重要关系"),'幕间与结算'!E658+E751,BT750+IF(C751="重要关系4",E751,0)+IF(AND(C751="魅力",E751&lt;0),E751,0))))</x:f>
        <x:v>0</x:v>
      </x:c>
      <x:c r="BU751">
        <x:f>MAX(0,MIN(BK751,IF(AND(H751=1,C751="重要关系5",LEFT('幕间与结算'!H658,8)="建立新的重要关系"),'幕间与结算'!E658+E751,BU750+IF(C751="重要关系5",E751,0)+IF(AND(C751="魅力",E751&lt;0),E751,0))))</x:f>
        <x:v>0</x:v>
      </x:c>
      <x:c r="BV751">
        <x:f>MAX(0,MIN(BK751,IF(AND(H751=1,C751="重要关系6",LEFT('幕间与结算'!H658,8)="建立新的重要关系"),'幕间与结算'!E658+E751,BV750+IF(C751="重要关系6",E751,0)+IF(AND(C751="魅力",E751&lt;0),E751,0))))</x:f>
        <x:v>0</x:v>
      </x:c>
      <x:c r="BW751">
        <x:f>MAX(0,MIN(BK751,IF(AND(H751=1,C751="重要关系7",LEFT('幕间与结算'!H658,8)="建立新的重要关系"),'幕间与结算'!E658+E751,BW750+IF(C751="重要关系7",E751,0)+IF(AND(C751="魅力",E751&lt;0),E751,0))))</x:f>
        <x:v>0</x:v>
      </x:c>
    </x:row>
    <x:row r="752">
      <x:c r="A752" t="str">
        <x:f>IFERROR(TEXT(VALUE('幕间与结算'!A659),"00"),"")</x:f>
        <x:v>00</x:v>
      </x:c>
      <x:c r="B752">
        <x:f>'幕间与结算'!B659</x:f>
        <x:v>0</x:v>
      </x:c>
      <x:c r="C752">
        <x:f>'幕间与结算'!D659</x:f>
        <x:v>0</x:v>
      </x:c>
      <x:c r="D752">
        <x:f>'幕间与结算'!F659</x:f>
        <x:v>0</x:v>
      </x:c>
      <x:c r="E752">
        <x:f>IF(H752=1,MAX(-'幕间与结算'!E659,MIN(D752,IF(LEFT(C752,3)="技能：",99,IF(COUNTIF($L$2:$L$7,C752)&gt;0,18,999))-'幕间与结算'!E659)),0)</x:f>
        <x:v>0</x:v>
      </x:c>
      <x:c r="F752" t="str">
        <x:f>IF(C752=0,"",IF(G752=0,"记录不完整",IF(H752=0,"重复未计","已计入")))</x:f>
        <x:v/>
      </x:c>
      <x:c r="G752">
        <x:f>IF(AND(AND('幕间与结算'!A659&lt;&gt;"",'幕间与结算'!B659&lt;&gt;"",'幕间与结算'!I659&lt;&gt;"",OR(LEFT(C752,3)="技能：",COUNTIF($L$2:$L$19,C752)&gt;0),ISNUMBER('幕间与结算'!E659),ISNUMBER('幕间与结算'!F659),ISNUMBER('幕间与结算'!G659),'幕间与结算'!E659&gt;=0,'幕间与结算'!G659='幕间与结算'!E659+'幕间与结算'!F659),OR(B752&lt;&gt;"成长",AND(LEFT(C752,3)="技能：",C752&lt;&gt;"技能：非自然知识",'幕间与结算'!E659&gt;=1,'幕间与结算'!E659&lt;=99,'幕间与结算'!F659&gt;=0,'幕间与结算'!F659&lt;=4,'幕间与结算'!G659&lt;=99))),1,0)</x:f>
        <x:v>0</x:v>
      </x:c>
      <x:c r="H752">
        <x:f>IF(AND(G752=1,COUNTIFS($I$200:I752,I752,$G$200:G752,1)=1),1,0)</x:f>
        <x:v>0</x:v>
      </x:c>
      <x:c r="I752" t="str">
        <x:f>IF(G752=1,IF(B752="成长",A752&amp;"-成长-"&amp;C752,'幕间与结算'!I659),"")</x:f>
        <x:v/>
      </x:c>
      <x:c r="BF752">
        <x:f>MAX(0,MIN(18,BF751+IF(C752="力量",E752,0)))</x:f>
        <x:v>0</x:v>
      </x:c>
      <x:c r="BG752">
        <x:f>MAX(0,MIN(18,BG751+IF(C752="体质",E752,0)))</x:f>
        <x:v>0</x:v>
      </x:c>
      <x:c r="BH752">
        <x:f>MAX(0,MIN(18,BH751+IF(C752="敏捷",E752,0)))</x:f>
        <x:v>0</x:v>
      </x:c>
      <x:c r="BI752">
        <x:f>MAX(0,MIN(18,BI751+IF(C752="智力",E752,0)))</x:f>
        <x:v>0</x:v>
      </x:c>
      <x:c r="BJ752">
        <x:f>MAX(0,MIN(18,BJ751+IF(C752="意志",E752,0)))</x:f>
        <x:v>0</x:v>
      </x:c>
      <x:c r="BK752">
        <x:f>MAX(0,MIN(18,BK751+IF(C752="魅力",E752,0)))</x:f>
        <x:v>0</x:v>
      </x:c>
      <x:c r="BL752">
        <x:f>MAX(0,MIN(99,BL751+IF(C752="技能：非自然知识",E752,0)))</x:f>
        <x:v>0</x:v>
      </x:c>
      <x:c r="BM752">
        <x:f>MAX(0,MIN(CEILING((BF752+BG752)/2,1),BM751+IF(C752="体力",E752,0)))</x:f>
        <x:v>0</x:v>
      </x:c>
      <x:c r="BN752">
        <x:f>MAX(0,MIN(BJ752,BN751+IF(C752="毅力",E752,0)))</x:f>
        <x:v>0</x:v>
      </x:c>
      <x:c r="BO752">
        <x:f>MAX(0,MIN(99-BL752,BO751+IF(C752="理智",E752,0)))</x:f>
        <x:v>0</x:v>
      </x:c>
      <x:c r="BP752">
        <x:f>MAX(0,MIN(99,BP751+IF(C752="崩溃点",E752,0)))</x:f>
        <x:v>0</x:v>
      </x:c>
      <x:c r="BQ752">
        <x:f>MAX(0,MIN(BK752,IF(AND(H752=1,C752="重要关系1",LEFT('幕间与结算'!H659,8)="建立新的重要关系"),'幕间与结算'!E659+E752,BQ751+IF(C752="重要关系1",E752,0)+IF(AND(C752="魅力",E752&lt;0),E752,0))))</x:f>
        <x:v>0</x:v>
      </x:c>
      <x:c r="BR752">
        <x:f>MAX(0,MIN(BK752,IF(AND(H752=1,C752="重要关系2",LEFT('幕间与结算'!H659,8)="建立新的重要关系"),'幕间与结算'!E659+E752,BR751+IF(C752="重要关系2",E752,0)+IF(AND(C752="魅力",E752&lt;0),E752,0))))</x:f>
        <x:v>0</x:v>
      </x:c>
      <x:c r="BS752">
        <x:f>MAX(0,MIN(BK752,IF(AND(H752=1,C752="重要关系3",LEFT('幕间与结算'!H659,8)="建立新的重要关系"),'幕间与结算'!E659+E752,BS751+IF(C752="重要关系3",E752,0)+IF(AND(C752="魅力",E752&lt;0),E752,0))))</x:f>
        <x:v>0</x:v>
      </x:c>
      <x:c r="BT752">
        <x:f>MAX(0,MIN(BK752,IF(AND(H752=1,C752="重要关系4",LEFT('幕间与结算'!H659,8)="建立新的重要关系"),'幕间与结算'!E659+E752,BT751+IF(C752="重要关系4",E752,0)+IF(AND(C752="魅力",E752&lt;0),E752,0))))</x:f>
        <x:v>0</x:v>
      </x:c>
      <x:c r="BU752">
        <x:f>MAX(0,MIN(BK752,IF(AND(H752=1,C752="重要关系5",LEFT('幕间与结算'!H659,8)="建立新的重要关系"),'幕间与结算'!E659+E752,BU751+IF(C752="重要关系5",E752,0)+IF(AND(C752="魅力",E752&lt;0),E752,0))))</x:f>
        <x:v>0</x:v>
      </x:c>
      <x:c r="BV752">
        <x:f>MAX(0,MIN(BK752,IF(AND(H752=1,C752="重要关系6",LEFT('幕间与结算'!H659,8)="建立新的重要关系"),'幕间与结算'!E659+E752,BV751+IF(C752="重要关系6",E752,0)+IF(AND(C752="魅力",E752&lt;0),E752,0))))</x:f>
        <x:v>0</x:v>
      </x:c>
      <x:c r="BW752">
        <x:f>MAX(0,MIN(BK752,IF(AND(H752=1,C752="重要关系7",LEFT('幕间与结算'!H659,8)="建立新的重要关系"),'幕间与结算'!E659+E752,BW751+IF(C752="重要关系7",E752,0)+IF(AND(C752="魅力",E752&lt;0),E752,0))))</x:f>
        <x:v>0</x:v>
      </x:c>
    </x:row>
    <x:row r="753">
      <x:c r="A753" t="str">
        <x:f>IFERROR(TEXT(VALUE('幕间与结算'!A660),"00"),"")</x:f>
        <x:v>00</x:v>
      </x:c>
      <x:c r="B753">
        <x:f>'幕间与结算'!B660</x:f>
        <x:v>0</x:v>
      </x:c>
      <x:c r="C753">
        <x:f>'幕间与结算'!D660</x:f>
        <x:v>0</x:v>
      </x:c>
      <x:c r="D753">
        <x:f>'幕间与结算'!F660</x:f>
        <x:v>0</x:v>
      </x:c>
      <x:c r="E753">
        <x:f>IF(H753=1,MAX(-'幕间与结算'!E660,MIN(D753,IF(LEFT(C753,3)="技能：",99,IF(COUNTIF($L$2:$L$7,C753)&gt;0,18,999))-'幕间与结算'!E660)),0)</x:f>
        <x:v>0</x:v>
      </x:c>
      <x:c r="F753" t="str">
        <x:f>IF(C753=0,"",IF(G753=0,"记录不完整",IF(H753=0,"重复未计","已计入")))</x:f>
        <x:v/>
      </x:c>
      <x:c r="G753">
        <x:f>IF(AND(AND('幕间与结算'!A660&lt;&gt;"",'幕间与结算'!B660&lt;&gt;"",'幕间与结算'!I660&lt;&gt;"",OR(LEFT(C753,3)="技能：",COUNTIF($L$2:$L$19,C753)&gt;0),ISNUMBER('幕间与结算'!E660),ISNUMBER('幕间与结算'!F660),ISNUMBER('幕间与结算'!G660),'幕间与结算'!E660&gt;=0,'幕间与结算'!G660='幕间与结算'!E660+'幕间与结算'!F660),OR(B753&lt;&gt;"成长",AND(LEFT(C753,3)="技能：",C753&lt;&gt;"技能：非自然知识",'幕间与结算'!E660&gt;=1,'幕间与结算'!E660&lt;=99,'幕间与结算'!F660&gt;=0,'幕间与结算'!F660&lt;=4,'幕间与结算'!G660&lt;=99))),1,0)</x:f>
        <x:v>0</x:v>
      </x:c>
      <x:c r="H753">
        <x:f>IF(AND(G753=1,COUNTIFS($I$200:I753,I753,$G$200:G753,1)=1),1,0)</x:f>
        <x:v>0</x:v>
      </x:c>
      <x:c r="I753" t="str">
        <x:f>IF(G753=1,IF(B753="成长",A753&amp;"-成长-"&amp;C753,'幕间与结算'!I660),"")</x:f>
        <x:v/>
      </x:c>
      <x:c r="BF753">
        <x:f>MAX(0,MIN(18,BF752+IF(C753="力量",E753,0)))</x:f>
        <x:v>0</x:v>
      </x:c>
      <x:c r="BG753">
        <x:f>MAX(0,MIN(18,BG752+IF(C753="体质",E753,0)))</x:f>
        <x:v>0</x:v>
      </x:c>
      <x:c r="BH753">
        <x:f>MAX(0,MIN(18,BH752+IF(C753="敏捷",E753,0)))</x:f>
        <x:v>0</x:v>
      </x:c>
      <x:c r="BI753">
        <x:f>MAX(0,MIN(18,BI752+IF(C753="智力",E753,0)))</x:f>
        <x:v>0</x:v>
      </x:c>
      <x:c r="BJ753">
        <x:f>MAX(0,MIN(18,BJ752+IF(C753="意志",E753,0)))</x:f>
        <x:v>0</x:v>
      </x:c>
      <x:c r="BK753">
        <x:f>MAX(0,MIN(18,BK752+IF(C753="魅力",E753,0)))</x:f>
        <x:v>0</x:v>
      </x:c>
      <x:c r="BL753">
        <x:f>MAX(0,MIN(99,BL752+IF(C753="技能：非自然知识",E753,0)))</x:f>
        <x:v>0</x:v>
      </x:c>
      <x:c r="BM753">
        <x:f>MAX(0,MIN(CEILING((BF753+BG753)/2,1),BM752+IF(C753="体力",E753,0)))</x:f>
        <x:v>0</x:v>
      </x:c>
      <x:c r="BN753">
        <x:f>MAX(0,MIN(BJ753,BN752+IF(C753="毅力",E753,0)))</x:f>
        <x:v>0</x:v>
      </x:c>
      <x:c r="BO753">
        <x:f>MAX(0,MIN(99-BL753,BO752+IF(C753="理智",E753,0)))</x:f>
        <x:v>0</x:v>
      </x:c>
      <x:c r="BP753">
        <x:f>MAX(0,MIN(99,BP752+IF(C753="崩溃点",E753,0)))</x:f>
        <x:v>0</x:v>
      </x:c>
      <x:c r="BQ753">
        <x:f>MAX(0,MIN(BK753,IF(AND(H753=1,C753="重要关系1",LEFT('幕间与结算'!H660,8)="建立新的重要关系"),'幕间与结算'!E660+E753,BQ752+IF(C753="重要关系1",E753,0)+IF(AND(C753="魅力",E753&lt;0),E753,0))))</x:f>
        <x:v>0</x:v>
      </x:c>
      <x:c r="BR753">
        <x:f>MAX(0,MIN(BK753,IF(AND(H753=1,C753="重要关系2",LEFT('幕间与结算'!H660,8)="建立新的重要关系"),'幕间与结算'!E660+E753,BR752+IF(C753="重要关系2",E753,0)+IF(AND(C753="魅力",E753&lt;0),E753,0))))</x:f>
        <x:v>0</x:v>
      </x:c>
      <x:c r="BS753">
        <x:f>MAX(0,MIN(BK753,IF(AND(H753=1,C753="重要关系3",LEFT('幕间与结算'!H660,8)="建立新的重要关系"),'幕间与结算'!E660+E753,BS752+IF(C753="重要关系3",E753,0)+IF(AND(C753="魅力",E753&lt;0),E753,0))))</x:f>
        <x:v>0</x:v>
      </x:c>
      <x:c r="BT753">
        <x:f>MAX(0,MIN(BK753,IF(AND(H753=1,C753="重要关系4",LEFT('幕间与结算'!H660,8)="建立新的重要关系"),'幕间与结算'!E660+E753,BT752+IF(C753="重要关系4",E753,0)+IF(AND(C753="魅力",E753&lt;0),E753,0))))</x:f>
        <x:v>0</x:v>
      </x:c>
      <x:c r="BU753">
        <x:f>MAX(0,MIN(BK753,IF(AND(H753=1,C753="重要关系5",LEFT('幕间与结算'!H660,8)="建立新的重要关系"),'幕间与结算'!E660+E753,BU752+IF(C753="重要关系5",E753,0)+IF(AND(C753="魅力",E753&lt;0),E753,0))))</x:f>
        <x:v>0</x:v>
      </x:c>
      <x:c r="BV753">
        <x:f>MAX(0,MIN(BK753,IF(AND(H753=1,C753="重要关系6",LEFT('幕间与结算'!H660,8)="建立新的重要关系"),'幕间与结算'!E660+E753,BV752+IF(C753="重要关系6",E753,0)+IF(AND(C753="魅力",E753&lt;0),E753,0))))</x:f>
        <x:v>0</x:v>
      </x:c>
      <x:c r="BW753">
        <x:f>MAX(0,MIN(BK753,IF(AND(H753=1,C753="重要关系7",LEFT('幕间与结算'!H660,8)="建立新的重要关系"),'幕间与结算'!E660+E753,BW752+IF(C753="重要关系7",E753,0)+IF(AND(C753="魅力",E753&lt;0),E753,0))))</x:f>
        <x:v>0</x:v>
      </x:c>
    </x:row>
    <x:row r="754">
      <x:c r="A754" t="str">
        <x:f>IFERROR(TEXT(VALUE('幕间与结算'!A661),"00"),"")</x:f>
        <x:v>00</x:v>
      </x:c>
      <x:c r="B754">
        <x:f>'幕间与结算'!B661</x:f>
        <x:v>0</x:v>
      </x:c>
      <x:c r="C754">
        <x:f>'幕间与结算'!D661</x:f>
        <x:v>0</x:v>
      </x:c>
      <x:c r="D754">
        <x:f>'幕间与结算'!F661</x:f>
        <x:v>0</x:v>
      </x:c>
      <x:c r="E754">
        <x:f>IF(H754=1,MAX(-'幕间与结算'!E661,MIN(D754,IF(LEFT(C754,3)="技能：",99,IF(COUNTIF($L$2:$L$7,C754)&gt;0,18,999))-'幕间与结算'!E661)),0)</x:f>
        <x:v>0</x:v>
      </x:c>
      <x:c r="F754" t="str">
        <x:f>IF(C754=0,"",IF(G754=0,"记录不完整",IF(H754=0,"重复未计","已计入")))</x:f>
        <x:v/>
      </x:c>
      <x:c r="G754">
        <x:f>IF(AND(AND('幕间与结算'!A661&lt;&gt;"",'幕间与结算'!B661&lt;&gt;"",'幕间与结算'!I661&lt;&gt;"",OR(LEFT(C754,3)="技能：",COUNTIF($L$2:$L$19,C754)&gt;0),ISNUMBER('幕间与结算'!E661),ISNUMBER('幕间与结算'!F661),ISNUMBER('幕间与结算'!G661),'幕间与结算'!E661&gt;=0,'幕间与结算'!G661='幕间与结算'!E661+'幕间与结算'!F661),OR(B754&lt;&gt;"成长",AND(LEFT(C754,3)="技能：",C754&lt;&gt;"技能：非自然知识",'幕间与结算'!E661&gt;=1,'幕间与结算'!E661&lt;=99,'幕间与结算'!F661&gt;=0,'幕间与结算'!F661&lt;=4,'幕间与结算'!G661&lt;=99))),1,0)</x:f>
        <x:v>0</x:v>
      </x:c>
      <x:c r="H754">
        <x:f>IF(AND(G754=1,COUNTIFS($I$200:I754,I754,$G$200:G754,1)=1),1,0)</x:f>
        <x:v>0</x:v>
      </x:c>
      <x:c r="I754" t="str">
        <x:f>IF(G754=1,IF(B754="成长",A754&amp;"-成长-"&amp;C754,'幕间与结算'!I661),"")</x:f>
        <x:v/>
      </x:c>
      <x:c r="BF754">
        <x:f>MAX(0,MIN(18,BF753+IF(C754="力量",E754,0)))</x:f>
        <x:v>0</x:v>
      </x:c>
      <x:c r="BG754">
        <x:f>MAX(0,MIN(18,BG753+IF(C754="体质",E754,0)))</x:f>
        <x:v>0</x:v>
      </x:c>
      <x:c r="BH754">
        <x:f>MAX(0,MIN(18,BH753+IF(C754="敏捷",E754,0)))</x:f>
        <x:v>0</x:v>
      </x:c>
      <x:c r="BI754">
        <x:f>MAX(0,MIN(18,BI753+IF(C754="智力",E754,0)))</x:f>
        <x:v>0</x:v>
      </x:c>
      <x:c r="BJ754">
        <x:f>MAX(0,MIN(18,BJ753+IF(C754="意志",E754,0)))</x:f>
        <x:v>0</x:v>
      </x:c>
      <x:c r="BK754">
        <x:f>MAX(0,MIN(18,BK753+IF(C754="魅力",E754,0)))</x:f>
        <x:v>0</x:v>
      </x:c>
      <x:c r="BL754">
        <x:f>MAX(0,MIN(99,BL753+IF(C754="技能：非自然知识",E754,0)))</x:f>
        <x:v>0</x:v>
      </x:c>
      <x:c r="BM754">
        <x:f>MAX(0,MIN(CEILING((BF754+BG754)/2,1),BM753+IF(C754="体力",E754,0)))</x:f>
        <x:v>0</x:v>
      </x:c>
      <x:c r="BN754">
        <x:f>MAX(0,MIN(BJ754,BN753+IF(C754="毅力",E754,0)))</x:f>
        <x:v>0</x:v>
      </x:c>
      <x:c r="BO754">
        <x:f>MAX(0,MIN(99-BL754,BO753+IF(C754="理智",E754,0)))</x:f>
        <x:v>0</x:v>
      </x:c>
      <x:c r="BP754">
        <x:f>MAX(0,MIN(99,BP753+IF(C754="崩溃点",E754,0)))</x:f>
        <x:v>0</x:v>
      </x:c>
      <x:c r="BQ754">
        <x:f>MAX(0,MIN(BK754,IF(AND(H754=1,C754="重要关系1",LEFT('幕间与结算'!H661,8)="建立新的重要关系"),'幕间与结算'!E661+E754,BQ753+IF(C754="重要关系1",E754,0)+IF(AND(C754="魅力",E754&lt;0),E754,0))))</x:f>
        <x:v>0</x:v>
      </x:c>
      <x:c r="BR754">
        <x:f>MAX(0,MIN(BK754,IF(AND(H754=1,C754="重要关系2",LEFT('幕间与结算'!H661,8)="建立新的重要关系"),'幕间与结算'!E661+E754,BR753+IF(C754="重要关系2",E754,0)+IF(AND(C754="魅力",E754&lt;0),E754,0))))</x:f>
        <x:v>0</x:v>
      </x:c>
      <x:c r="BS754">
        <x:f>MAX(0,MIN(BK754,IF(AND(H754=1,C754="重要关系3",LEFT('幕间与结算'!H661,8)="建立新的重要关系"),'幕间与结算'!E661+E754,BS753+IF(C754="重要关系3",E754,0)+IF(AND(C754="魅力",E754&lt;0),E754,0))))</x:f>
        <x:v>0</x:v>
      </x:c>
      <x:c r="BT754">
        <x:f>MAX(0,MIN(BK754,IF(AND(H754=1,C754="重要关系4",LEFT('幕间与结算'!H661,8)="建立新的重要关系"),'幕间与结算'!E661+E754,BT753+IF(C754="重要关系4",E754,0)+IF(AND(C754="魅力",E754&lt;0),E754,0))))</x:f>
        <x:v>0</x:v>
      </x:c>
      <x:c r="BU754">
        <x:f>MAX(0,MIN(BK754,IF(AND(H754=1,C754="重要关系5",LEFT('幕间与结算'!H661,8)="建立新的重要关系"),'幕间与结算'!E661+E754,BU753+IF(C754="重要关系5",E754,0)+IF(AND(C754="魅力",E754&lt;0),E754,0))))</x:f>
        <x:v>0</x:v>
      </x:c>
      <x:c r="BV754">
        <x:f>MAX(0,MIN(BK754,IF(AND(H754=1,C754="重要关系6",LEFT('幕间与结算'!H661,8)="建立新的重要关系"),'幕间与结算'!E661+E754,BV753+IF(C754="重要关系6",E754,0)+IF(AND(C754="魅力",E754&lt;0),E754,0))))</x:f>
        <x:v>0</x:v>
      </x:c>
      <x:c r="BW754">
        <x:f>MAX(0,MIN(BK754,IF(AND(H754=1,C754="重要关系7",LEFT('幕间与结算'!H661,8)="建立新的重要关系"),'幕间与结算'!E661+E754,BW753+IF(C754="重要关系7",E754,0)+IF(AND(C754="魅力",E754&lt;0),E754,0))))</x:f>
        <x:v>0</x:v>
      </x:c>
    </x:row>
    <x:row r="755">
      <x:c r="A755" t="str">
        <x:f>IFERROR(TEXT(VALUE('幕间与结算'!A662),"00"),"")</x:f>
        <x:v>00</x:v>
      </x:c>
      <x:c r="B755">
        <x:f>'幕间与结算'!B662</x:f>
        <x:v>0</x:v>
      </x:c>
      <x:c r="C755">
        <x:f>'幕间与结算'!D662</x:f>
        <x:v>0</x:v>
      </x:c>
      <x:c r="D755">
        <x:f>'幕间与结算'!F662</x:f>
        <x:v>0</x:v>
      </x:c>
      <x:c r="E755">
        <x:f>IF(H755=1,MAX(-'幕间与结算'!E662,MIN(D755,IF(LEFT(C755,3)="技能：",99,IF(COUNTIF($L$2:$L$7,C755)&gt;0,18,999))-'幕间与结算'!E662)),0)</x:f>
        <x:v>0</x:v>
      </x:c>
      <x:c r="F755" t="str">
        <x:f>IF(C755=0,"",IF(G755=0,"记录不完整",IF(H755=0,"重复未计","已计入")))</x:f>
        <x:v/>
      </x:c>
      <x:c r="G755">
        <x:f>IF(AND(AND('幕间与结算'!A662&lt;&gt;"",'幕间与结算'!B662&lt;&gt;"",'幕间与结算'!I662&lt;&gt;"",OR(LEFT(C755,3)="技能：",COUNTIF($L$2:$L$19,C755)&gt;0),ISNUMBER('幕间与结算'!E662),ISNUMBER('幕间与结算'!F662),ISNUMBER('幕间与结算'!G662),'幕间与结算'!E662&gt;=0,'幕间与结算'!G662='幕间与结算'!E662+'幕间与结算'!F662),OR(B755&lt;&gt;"成长",AND(LEFT(C755,3)="技能：",C755&lt;&gt;"技能：非自然知识",'幕间与结算'!E662&gt;=1,'幕间与结算'!E662&lt;=99,'幕间与结算'!F662&gt;=0,'幕间与结算'!F662&lt;=4,'幕间与结算'!G662&lt;=99))),1,0)</x:f>
        <x:v>0</x:v>
      </x:c>
      <x:c r="H755">
        <x:f>IF(AND(G755=1,COUNTIFS($I$200:I755,I755,$G$200:G755,1)=1),1,0)</x:f>
        <x:v>0</x:v>
      </x:c>
      <x:c r="I755" t="str">
        <x:f>IF(G755=1,IF(B755="成长",A755&amp;"-成长-"&amp;C755,'幕间与结算'!I662),"")</x:f>
        <x:v/>
      </x:c>
      <x:c r="BF755">
        <x:f>MAX(0,MIN(18,BF754+IF(C755="力量",E755,0)))</x:f>
        <x:v>0</x:v>
      </x:c>
      <x:c r="BG755">
        <x:f>MAX(0,MIN(18,BG754+IF(C755="体质",E755,0)))</x:f>
        <x:v>0</x:v>
      </x:c>
      <x:c r="BH755">
        <x:f>MAX(0,MIN(18,BH754+IF(C755="敏捷",E755,0)))</x:f>
        <x:v>0</x:v>
      </x:c>
      <x:c r="BI755">
        <x:f>MAX(0,MIN(18,BI754+IF(C755="智力",E755,0)))</x:f>
        <x:v>0</x:v>
      </x:c>
      <x:c r="BJ755">
        <x:f>MAX(0,MIN(18,BJ754+IF(C755="意志",E755,0)))</x:f>
        <x:v>0</x:v>
      </x:c>
      <x:c r="BK755">
        <x:f>MAX(0,MIN(18,BK754+IF(C755="魅力",E755,0)))</x:f>
        <x:v>0</x:v>
      </x:c>
      <x:c r="BL755">
        <x:f>MAX(0,MIN(99,BL754+IF(C755="技能：非自然知识",E755,0)))</x:f>
        <x:v>0</x:v>
      </x:c>
      <x:c r="BM755">
        <x:f>MAX(0,MIN(CEILING((BF755+BG755)/2,1),BM754+IF(C755="体力",E755,0)))</x:f>
        <x:v>0</x:v>
      </x:c>
      <x:c r="BN755">
        <x:f>MAX(0,MIN(BJ755,BN754+IF(C755="毅力",E755,0)))</x:f>
        <x:v>0</x:v>
      </x:c>
      <x:c r="BO755">
        <x:f>MAX(0,MIN(99-BL755,BO754+IF(C755="理智",E755,0)))</x:f>
        <x:v>0</x:v>
      </x:c>
      <x:c r="BP755">
        <x:f>MAX(0,MIN(99,BP754+IF(C755="崩溃点",E755,0)))</x:f>
        <x:v>0</x:v>
      </x:c>
      <x:c r="BQ755">
        <x:f>MAX(0,MIN(BK755,IF(AND(H755=1,C755="重要关系1",LEFT('幕间与结算'!H662,8)="建立新的重要关系"),'幕间与结算'!E662+E755,BQ754+IF(C755="重要关系1",E755,0)+IF(AND(C755="魅力",E755&lt;0),E755,0))))</x:f>
        <x:v>0</x:v>
      </x:c>
      <x:c r="BR755">
        <x:f>MAX(0,MIN(BK755,IF(AND(H755=1,C755="重要关系2",LEFT('幕间与结算'!H662,8)="建立新的重要关系"),'幕间与结算'!E662+E755,BR754+IF(C755="重要关系2",E755,0)+IF(AND(C755="魅力",E755&lt;0),E755,0))))</x:f>
        <x:v>0</x:v>
      </x:c>
      <x:c r="BS755">
        <x:f>MAX(0,MIN(BK755,IF(AND(H755=1,C755="重要关系3",LEFT('幕间与结算'!H662,8)="建立新的重要关系"),'幕间与结算'!E662+E755,BS754+IF(C755="重要关系3",E755,0)+IF(AND(C755="魅力",E755&lt;0),E755,0))))</x:f>
        <x:v>0</x:v>
      </x:c>
      <x:c r="BT755">
        <x:f>MAX(0,MIN(BK755,IF(AND(H755=1,C755="重要关系4",LEFT('幕间与结算'!H662,8)="建立新的重要关系"),'幕间与结算'!E662+E755,BT754+IF(C755="重要关系4",E755,0)+IF(AND(C755="魅力",E755&lt;0),E755,0))))</x:f>
        <x:v>0</x:v>
      </x:c>
      <x:c r="BU755">
        <x:f>MAX(0,MIN(BK755,IF(AND(H755=1,C755="重要关系5",LEFT('幕间与结算'!H662,8)="建立新的重要关系"),'幕间与结算'!E662+E755,BU754+IF(C755="重要关系5",E755,0)+IF(AND(C755="魅力",E755&lt;0),E755,0))))</x:f>
        <x:v>0</x:v>
      </x:c>
      <x:c r="BV755">
        <x:f>MAX(0,MIN(BK755,IF(AND(H755=1,C755="重要关系6",LEFT('幕间与结算'!H662,8)="建立新的重要关系"),'幕间与结算'!E662+E755,BV754+IF(C755="重要关系6",E755,0)+IF(AND(C755="魅力",E755&lt;0),E755,0))))</x:f>
        <x:v>0</x:v>
      </x:c>
      <x:c r="BW755">
        <x:f>MAX(0,MIN(BK755,IF(AND(H755=1,C755="重要关系7",LEFT('幕间与结算'!H662,8)="建立新的重要关系"),'幕间与结算'!E662+E755,BW754+IF(C755="重要关系7",E755,0)+IF(AND(C755="魅力",E755&lt;0),E755,0))))</x:f>
        <x:v>0</x:v>
      </x:c>
    </x:row>
    <x:row r="756">
      <x:c r="A756" t="str">
        <x:f>IFERROR(TEXT(VALUE('幕间与结算'!A663),"00"),"")</x:f>
        <x:v>00</x:v>
      </x:c>
      <x:c r="B756">
        <x:f>'幕间与结算'!B663</x:f>
        <x:v>0</x:v>
      </x:c>
      <x:c r="C756">
        <x:f>'幕间与结算'!D663</x:f>
        <x:v>0</x:v>
      </x:c>
      <x:c r="D756">
        <x:f>'幕间与结算'!F663</x:f>
        <x:v>0</x:v>
      </x:c>
      <x:c r="E756">
        <x:f>IF(H756=1,MAX(-'幕间与结算'!E663,MIN(D756,IF(LEFT(C756,3)="技能：",99,IF(COUNTIF($L$2:$L$7,C756)&gt;0,18,999))-'幕间与结算'!E663)),0)</x:f>
        <x:v>0</x:v>
      </x:c>
      <x:c r="F756" t="str">
        <x:f>IF(C756=0,"",IF(G756=0,"记录不完整",IF(H756=0,"重复未计","已计入")))</x:f>
        <x:v/>
      </x:c>
      <x:c r="G756">
        <x:f>IF(AND(AND('幕间与结算'!A663&lt;&gt;"",'幕间与结算'!B663&lt;&gt;"",'幕间与结算'!I663&lt;&gt;"",OR(LEFT(C756,3)="技能：",COUNTIF($L$2:$L$19,C756)&gt;0),ISNUMBER('幕间与结算'!E663),ISNUMBER('幕间与结算'!F663),ISNUMBER('幕间与结算'!G663),'幕间与结算'!E663&gt;=0,'幕间与结算'!G663='幕间与结算'!E663+'幕间与结算'!F663),OR(B756&lt;&gt;"成长",AND(LEFT(C756,3)="技能：",C756&lt;&gt;"技能：非自然知识",'幕间与结算'!E663&gt;=1,'幕间与结算'!E663&lt;=99,'幕间与结算'!F663&gt;=0,'幕间与结算'!F663&lt;=4,'幕间与结算'!G663&lt;=99))),1,0)</x:f>
        <x:v>0</x:v>
      </x:c>
      <x:c r="H756">
        <x:f>IF(AND(G756=1,COUNTIFS($I$200:I756,I756,$G$200:G756,1)=1),1,0)</x:f>
        <x:v>0</x:v>
      </x:c>
      <x:c r="I756" t="str">
        <x:f>IF(G756=1,IF(B756="成长",A756&amp;"-成长-"&amp;C756,'幕间与结算'!I663),"")</x:f>
        <x:v/>
      </x:c>
      <x:c r="BF756">
        <x:f>MAX(0,MIN(18,BF755+IF(C756="力量",E756,0)))</x:f>
        <x:v>0</x:v>
      </x:c>
      <x:c r="BG756">
        <x:f>MAX(0,MIN(18,BG755+IF(C756="体质",E756,0)))</x:f>
        <x:v>0</x:v>
      </x:c>
      <x:c r="BH756">
        <x:f>MAX(0,MIN(18,BH755+IF(C756="敏捷",E756,0)))</x:f>
        <x:v>0</x:v>
      </x:c>
      <x:c r="BI756">
        <x:f>MAX(0,MIN(18,BI755+IF(C756="智力",E756,0)))</x:f>
        <x:v>0</x:v>
      </x:c>
      <x:c r="BJ756">
        <x:f>MAX(0,MIN(18,BJ755+IF(C756="意志",E756,0)))</x:f>
        <x:v>0</x:v>
      </x:c>
      <x:c r="BK756">
        <x:f>MAX(0,MIN(18,BK755+IF(C756="魅力",E756,0)))</x:f>
        <x:v>0</x:v>
      </x:c>
      <x:c r="BL756">
        <x:f>MAX(0,MIN(99,BL755+IF(C756="技能：非自然知识",E756,0)))</x:f>
        <x:v>0</x:v>
      </x:c>
      <x:c r="BM756">
        <x:f>MAX(0,MIN(CEILING((BF756+BG756)/2,1),BM755+IF(C756="体力",E756,0)))</x:f>
        <x:v>0</x:v>
      </x:c>
      <x:c r="BN756">
        <x:f>MAX(0,MIN(BJ756,BN755+IF(C756="毅力",E756,0)))</x:f>
        <x:v>0</x:v>
      </x:c>
      <x:c r="BO756">
        <x:f>MAX(0,MIN(99-BL756,BO755+IF(C756="理智",E756,0)))</x:f>
        <x:v>0</x:v>
      </x:c>
      <x:c r="BP756">
        <x:f>MAX(0,MIN(99,BP755+IF(C756="崩溃点",E756,0)))</x:f>
        <x:v>0</x:v>
      </x:c>
      <x:c r="BQ756">
        <x:f>MAX(0,MIN(BK756,IF(AND(H756=1,C756="重要关系1",LEFT('幕间与结算'!H663,8)="建立新的重要关系"),'幕间与结算'!E663+E756,BQ755+IF(C756="重要关系1",E756,0)+IF(AND(C756="魅力",E756&lt;0),E756,0))))</x:f>
        <x:v>0</x:v>
      </x:c>
      <x:c r="BR756">
        <x:f>MAX(0,MIN(BK756,IF(AND(H756=1,C756="重要关系2",LEFT('幕间与结算'!H663,8)="建立新的重要关系"),'幕间与结算'!E663+E756,BR755+IF(C756="重要关系2",E756,0)+IF(AND(C756="魅力",E756&lt;0),E756,0))))</x:f>
        <x:v>0</x:v>
      </x:c>
      <x:c r="BS756">
        <x:f>MAX(0,MIN(BK756,IF(AND(H756=1,C756="重要关系3",LEFT('幕间与结算'!H663,8)="建立新的重要关系"),'幕间与结算'!E663+E756,BS755+IF(C756="重要关系3",E756,0)+IF(AND(C756="魅力",E756&lt;0),E756,0))))</x:f>
        <x:v>0</x:v>
      </x:c>
      <x:c r="BT756">
        <x:f>MAX(0,MIN(BK756,IF(AND(H756=1,C756="重要关系4",LEFT('幕间与结算'!H663,8)="建立新的重要关系"),'幕间与结算'!E663+E756,BT755+IF(C756="重要关系4",E756,0)+IF(AND(C756="魅力",E756&lt;0),E756,0))))</x:f>
        <x:v>0</x:v>
      </x:c>
      <x:c r="BU756">
        <x:f>MAX(0,MIN(BK756,IF(AND(H756=1,C756="重要关系5",LEFT('幕间与结算'!H663,8)="建立新的重要关系"),'幕间与结算'!E663+E756,BU755+IF(C756="重要关系5",E756,0)+IF(AND(C756="魅力",E756&lt;0),E756,0))))</x:f>
        <x:v>0</x:v>
      </x:c>
      <x:c r="BV756">
        <x:f>MAX(0,MIN(BK756,IF(AND(H756=1,C756="重要关系6",LEFT('幕间与结算'!H663,8)="建立新的重要关系"),'幕间与结算'!E663+E756,BV755+IF(C756="重要关系6",E756,0)+IF(AND(C756="魅力",E756&lt;0),E756,0))))</x:f>
        <x:v>0</x:v>
      </x:c>
      <x:c r="BW756">
        <x:f>MAX(0,MIN(BK756,IF(AND(H756=1,C756="重要关系7",LEFT('幕间与结算'!H663,8)="建立新的重要关系"),'幕间与结算'!E663+E756,BW755+IF(C756="重要关系7",E756,0)+IF(AND(C756="魅力",E756&lt;0),E756,0))))</x:f>
        <x:v>0</x:v>
      </x:c>
    </x:row>
    <x:row r="757">
      <x:c r="A757" t="str">
        <x:f>IFERROR(TEXT(VALUE('幕间与结算'!A664),"00"),"")</x:f>
        <x:v>00</x:v>
      </x:c>
      <x:c r="B757">
        <x:f>'幕间与结算'!B664</x:f>
        <x:v>0</x:v>
      </x:c>
      <x:c r="C757">
        <x:f>'幕间与结算'!D664</x:f>
        <x:v>0</x:v>
      </x:c>
      <x:c r="D757">
        <x:f>'幕间与结算'!F664</x:f>
        <x:v>0</x:v>
      </x:c>
      <x:c r="E757">
        <x:f>IF(H757=1,MAX(-'幕间与结算'!E664,MIN(D757,IF(LEFT(C757,3)="技能：",99,IF(COUNTIF($L$2:$L$7,C757)&gt;0,18,999))-'幕间与结算'!E664)),0)</x:f>
        <x:v>0</x:v>
      </x:c>
      <x:c r="F757" t="str">
        <x:f>IF(C757=0,"",IF(G757=0,"记录不完整",IF(H757=0,"重复未计","已计入")))</x:f>
        <x:v/>
      </x:c>
      <x:c r="G757">
        <x:f>IF(AND(AND('幕间与结算'!A664&lt;&gt;"",'幕间与结算'!B664&lt;&gt;"",'幕间与结算'!I664&lt;&gt;"",OR(LEFT(C757,3)="技能：",COUNTIF($L$2:$L$19,C757)&gt;0),ISNUMBER('幕间与结算'!E664),ISNUMBER('幕间与结算'!F664),ISNUMBER('幕间与结算'!G664),'幕间与结算'!E664&gt;=0,'幕间与结算'!G664='幕间与结算'!E664+'幕间与结算'!F664),OR(B757&lt;&gt;"成长",AND(LEFT(C757,3)="技能：",C757&lt;&gt;"技能：非自然知识",'幕间与结算'!E664&gt;=1,'幕间与结算'!E664&lt;=99,'幕间与结算'!F664&gt;=0,'幕间与结算'!F664&lt;=4,'幕间与结算'!G664&lt;=99))),1,0)</x:f>
        <x:v>0</x:v>
      </x:c>
      <x:c r="H757">
        <x:f>IF(AND(G757=1,COUNTIFS($I$200:I757,I757,$G$200:G757,1)=1),1,0)</x:f>
        <x:v>0</x:v>
      </x:c>
      <x:c r="I757" t="str">
        <x:f>IF(G757=1,IF(B757="成长",A757&amp;"-成长-"&amp;C757,'幕间与结算'!I664),"")</x:f>
        <x:v/>
      </x:c>
      <x:c r="BF757">
        <x:f>MAX(0,MIN(18,BF756+IF(C757="力量",E757,0)))</x:f>
        <x:v>0</x:v>
      </x:c>
      <x:c r="BG757">
        <x:f>MAX(0,MIN(18,BG756+IF(C757="体质",E757,0)))</x:f>
        <x:v>0</x:v>
      </x:c>
      <x:c r="BH757">
        <x:f>MAX(0,MIN(18,BH756+IF(C757="敏捷",E757,0)))</x:f>
        <x:v>0</x:v>
      </x:c>
      <x:c r="BI757">
        <x:f>MAX(0,MIN(18,BI756+IF(C757="智力",E757,0)))</x:f>
        <x:v>0</x:v>
      </x:c>
      <x:c r="BJ757">
        <x:f>MAX(0,MIN(18,BJ756+IF(C757="意志",E757,0)))</x:f>
        <x:v>0</x:v>
      </x:c>
      <x:c r="BK757">
        <x:f>MAX(0,MIN(18,BK756+IF(C757="魅力",E757,0)))</x:f>
        <x:v>0</x:v>
      </x:c>
      <x:c r="BL757">
        <x:f>MAX(0,MIN(99,BL756+IF(C757="技能：非自然知识",E757,0)))</x:f>
        <x:v>0</x:v>
      </x:c>
      <x:c r="BM757">
        <x:f>MAX(0,MIN(CEILING((BF757+BG757)/2,1),BM756+IF(C757="体力",E757,0)))</x:f>
        <x:v>0</x:v>
      </x:c>
      <x:c r="BN757">
        <x:f>MAX(0,MIN(BJ757,BN756+IF(C757="毅力",E757,0)))</x:f>
        <x:v>0</x:v>
      </x:c>
      <x:c r="BO757">
        <x:f>MAX(0,MIN(99-BL757,BO756+IF(C757="理智",E757,0)))</x:f>
        <x:v>0</x:v>
      </x:c>
      <x:c r="BP757">
        <x:f>MAX(0,MIN(99,BP756+IF(C757="崩溃点",E757,0)))</x:f>
        <x:v>0</x:v>
      </x:c>
      <x:c r="BQ757">
        <x:f>MAX(0,MIN(BK757,IF(AND(H757=1,C757="重要关系1",LEFT('幕间与结算'!H664,8)="建立新的重要关系"),'幕间与结算'!E664+E757,BQ756+IF(C757="重要关系1",E757,0)+IF(AND(C757="魅力",E757&lt;0),E757,0))))</x:f>
        <x:v>0</x:v>
      </x:c>
      <x:c r="BR757">
        <x:f>MAX(0,MIN(BK757,IF(AND(H757=1,C757="重要关系2",LEFT('幕间与结算'!H664,8)="建立新的重要关系"),'幕间与结算'!E664+E757,BR756+IF(C757="重要关系2",E757,0)+IF(AND(C757="魅力",E757&lt;0),E757,0))))</x:f>
        <x:v>0</x:v>
      </x:c>
      <x:c r="BS757">
        <x:f>MAX(0,MIN(BK757,IF(AND(H757=1,C757="重要关系3",LEFT('幕间与结算'!H664,8)="建立新的重要关系"),'幕间与结算'!E664+E757,BS756+IF(C757="重要关系3",E757,0)+IF(AND(C757="魅力",E757&lt;0),E757,0))))</x:f>
        <x:v>0</x:v>
      </x:c>
      <x:c r="BT757">
        <x:f>MAX(0,MIN(BK757,IF(AND(H757=1,C757="重要关系4",LEFT('幕间与结算'!H664,8)="建立新的重要关系"),'幕间与结算'!E664+E757,BT756+IF(C757="重要关系4",E757,0)+IF(AND(C757="魅力",E757&lt;0),E757,0))))</x:f>
        <x:v>0</x:v>
      </x:c>
      <x:c r="BU757">
        <x:f>MAX(0,MIN(BK757,IF(AND(H757=1,C757="重要关系5",LEFT('幕间与结算'!H664,8)="建立新的重要关系"),'幕间与结算'!E664+E757,BU756+IF(C757="重要关系5",E757,0)+IF(AND(C757="魅力",E757&lt;0),E757,0))))</x:f>
        <x:v>0</x:v>
      </x:c>
      <x:c r="BV757">
        <x:f>MAX(0,MIN(BK757,IF(AND(H757=1,C757="重要关系6",LEFT('幕间与结算'!H664,8)="建立新的重要关系"),'幕间与结算'!E664+E757,BV756+IF(C757="重要关系6",E757,0)+IF(AND(C757="魅力",E757&lt;0),E757,0))))</x:f>
        <x:v>0</x:v>
      </x:c>
      <x:c r="BW757">
        <x:f>MAX(0,MIN(BK757,IF(AND(H757=1,C757="重要关系7",LEFT('幕间与结算'!H664,8)="建立新的重要关系"),'幕间与结算'!E664+E757,BW756+IF(C757="重要关系7",E757,0)+IF(AND(C757="魅力",E757&lt;0),E757,0))))</x:f>
        <x:v>0</x:v>
      </x:c>
    </x:row>
    <x:row r="758">
      <x:c r="A758" t="str">
        <x:f>IFERROR(TEXT(VALUE('幕间与结算'!A665),"00"),"")</x:f>
        <x:v>00</x:v>
      </x:c>
      <x:c r="B758">
        <x:f>'幕间与结算'!B665</x:f>
        <x:v>0</x:v>
      </x:c>
      <x:c r="C758">
        <x:f>'幕间与结算'!D665</x:f>
        <x:v>0</x:v>
      </x:c>
      <x:c r="D758">
        <x:f>'幕间与结算'!F665</x:f>
        <x:v>0</x:v>
      </x:c>
      <x:c r="E758">
        <x:f>IF(H758=1,MAX(-'幕间与结算'!E665,MIN(D758,IF(LEFT(C758,3)="技能：",99,IF(COUNTIF($L$2:$L$7,C758)&gt;0,18,999))-'幕间与结算'!E665)),0)</x:f>
        <x:v>0</x:v>
      </x:c>
      <x:c r="F758" t="str">
        <x:f>IF(C758=0,"",IF(G758=0,"记录不完整",IF(H758=0,"重复未计","已计入")))</x:f>
        <x:v/>
      </x:c>
      <x:c r="G758">
        <x:f>IF(AND(AND('幕间与结算'!A665&lt;&gt;"",'幕间与结算'!B665&lt;&gt;"",'幕间与结算'!I665&lt;&gt;"",OR(LEFT(C758,3)="技能：",COUNTIF($L$2:$L$19,C758)&gt;0),ISNUMBER('幕间与结算'!E665),ISNUMBER('幕间与结算'!F665),ISNUMBER('幕间与结算'!G665),'幕间与结算'!E665&gt;=0,'幕间与结算'!G665='幕间与结算'!E665+'幕间与结算'!F665),OR(B758&lt;&gt;"成长",AND(LEFT(C758,3)="技能：",C758&lt;&gt;"技能：非自然知识",'幕间与结算'!E665&gt;=1,'幕间与结算'!E665&lt;=99,'幕间与结算'!F665&gt;=0,'幕间与结算'!F665&lt;=4,'幕间与结算'!G665&lt;=99))),1,0)</x:f>
        <x:v>0</x:v>
      </x:c>
      <x:c r="H758">
        <x:f>IF(AND(G758=1,COUNTIFS($I$200:I758,I758,$G$200:G758,1)=1),1,0)</x:f>
        <x:v>0</x:v>
      </x:c>
      <x:c r="I758" t="str">
        <x:f>IF(G758=1,IF(B758="成长",A758&amp;"-成长-"&amp;C758,'幕间与结算'!I665),"")</x:f>
        <x:v/>
      </x:c>
      <x:c r="BF758">
        <x:f>MAX(0,MIN(18,BF757+IF(C758="力量",E758,0)))</x:f>
        <x:v>0</x:v>
      </x:c>
      <x:c r="BG758">
        <x:f>MAX(0,MIN(18,BG757+IF(C758="体质",E758,0)))</x:f>
        <x:v>0</x:v>
      </x:c>
      <x:c r="BH758">
        <x:f>MAX(0,MIN(18,BH757+IF(C758="敏捷",E758,0)))</x:f>
        <x:v>0</x:v>
      </x:c>
      <x:c r="BI758">
        <x:f>MAX(0,MIN(18,BI757+IF(C758="智力",E758,0)))</x:f>
        <x:v>0</x:v>
      </x:c>
      <x:c r="BJ758">
        <x:f>MAX(0,MIN(18,BJ757+IF(C758="意志",E758,0)))</x:f>
        <x:v>0</x:v>
      </x:c>
      <x:c r="BK758">
        <x:f>MAX(0,MIN(18,BK757+IF(C758="魅力",E758,0)))</x:f>
        <x:v>0</x:v>
      </x:c>
      <x:c r="BL758">
        <x:f>MAX(0,MIN(99,BL757+IF(C758="技能：非自然知识",E758,0)))</x:f>
        <x:v>0</x:v>
      </x:c>
      <x:c r="BM758">
        <x:f>MAX(0,MIN(CEILING((BF758+BG758)/2,1),BM757+IF(C758="体力",E758,0)))</x:f>
        <x:v>0</x:v>
      </x:c>
      <x:c r="BN758">
        <x:f>MAX(0,MIN(BJ758,BN757+IF(C758="毅力",E758,0)))</x:f>
        <x:v>0</x:v>
      </x:c>
      <x:c r="BO758">
        <x:f>MAX(0,MIN(99-BL758,BO757+IF(C758="理智",E758,0)))</x:f>
        <x:v>0</x:v>
      </x:c>
      <x:c r="BP758">
        <x:f>MAX(0,MIN(99,BP757+IF(C758="崩溃点",E758,0)))</x:f>
        <x:v>0</x:v>
      </x:c>
      <x:c r="BQ758">
        <x:f>MAX(0,MIN(BK758,IF(AND(H758=1,C758="重要关系1",LEFT('幕间与结算'!H665,8)="建立新的重要关系"),'幕间与结算'!E665+E758,BQ757+IF(C758="重要关系1",E758,0)+IF(AND(C758="魅力",E758&lt;0),E758,0))))</x:f>
        <x:v>0</x:v>
      </x:c>
      <x:c r="BR758">
        <x:f>MAX(0,MIN(BK758,IF(AND(H758=1,C758="重要关系2",LEFT('幕间与结算'!H665,8)="建立新的重要关系"),'幕间与结算'!E665+E758,BR757+IF(C758="重要关系2",E758,0)+IF(AND(C758="魅力",E758&lt;0),E758,0))))</x:f>
        <x:v>0</x:v>
      </x:c>
      <x:c r="BS758">
        <x:f>MAX(0,MIN(BK758,IF(AND(H758=1,C758="重要关系3",LEFT('幕间与结算'!H665,8)="建立新的重要关系"),'幕间与结算'!E665+E758,BS757+IF(C758="重要关系3",E758,0)+IF(AND(C758="魅力",E758&lt;0),E758,0))))</x:f>
        <x:v>0</x:v>
      </x:c>
      <x:c r="BT758">
        <x:f>MAX(0,MIN(BK758,IF(AND(H758=1,C758="重要关系4",LEFT('幕间与结算'!H665,8)="建立新的重要关系"),'幕间与结算'!E665+E758,BT757+IF(C758="重要关系4",E758,0)+IF(AND(C758="魅力",E758&lt;0),E758,0))))</x:f>
        <x:v>0</x:v>
      </x:c>
      <x:c r="BU758">
        <x:f>MAX(0,MIN(BK758,IF(AND(H758=1,C758="重要关系5",LEFT('幕间与结算'!H665,8)="建立新的重要关系"),'幕间与结算'!E665+E758,BU757+IF(C758="重要关系5",E758,0)+IF(AND(C758="魅力",E758&lt;0),E758,0))))</x:f>
        <x:v>0</x:v>
      </x:c>
      <x:c r="BV758">
        <x:f>MAX(0,MIN(BK758,IF(AND(H758=1,C758="重要关系6",LEFT('幕间与结算'!H665,8)="建立新的重要关系"),'幕间与结算'!E665+E758,BV757+IF(C758="重要关系6",E758,0)+IF(AND(C758="魅力",E758&lt;0),E758,0))))</x:f>
        <x:v>0</x:v>
      </x:c>
      <x:c r="BW758">
        <x:f>MAX(0,MIN(BK758,IF(AND(H758=1,C758="重要关系7",LEFT('幕间与结算'!H665,8)="建立新的重要关系"),'幕间与结算'!E665+E758,BW757+IF(C758="重要关系7",E758,0)+IF(AND(C758="魅力",E758&lt;0),E758,0))))</x:f>
        <x:v>0</x:v>
      </x:c>
    </x:row>
    <x:row r="759">
      <x:c r="A759" t="str">
        <x:f>IFERROR(TEXT(VALUE('幕间与结算'!A666),"00"),"")</x:f>
        <x:v>00</x:v>
      </x:c>
      <x:c r="B759">
        <x:f>'幕间与结算'!B666</x:f>
        <x:v>0</x:v>
      </x:c>
      <x:c r="C759">
        <x:f>'幕间与结算'!D666</x:f>
        <x:v>0</x:v>
      </x:c>
      <x:c r="D759">
        <x:f>'幕间与结算'!F666</x:f>
        <x:v>0</x:v>
      </x:c>
      <x:c r="E759">
        <x:f>IF(H759=1,MAX(-'幕间与结算'!E666,MIN(D759,IF(LEFT(C759,3)="技能：",99,IF(COUNTIF($L$2:$L$7,C759)&gt;0,18,999))-'幕间与结算'!E666)),0)</x:f>
        <x:v>0</x:v>
      </x:c>
      <x:c r="F759" t="str">
        <x:f>IF(C759=0,"",IF(G759=0,"记录不完整",IF(H759=0,"重复未计","已计入")))</x:f>
        <x:v/>
      </x:c>
      <x:c r="G759">
        <x:f>IF(AND(AND('幕间与结算'!A666&lt;&gt;"",'幕间与结算'!B666&lt;&gt;"",'幕间与结算'!I666&lt;&gt;"",OR(LEFT(C759,3)="技能：",COUNTIF($L$2:$L$19,C759)&gt;0),ISNUMBER('幕间与结算'!E666),ISNUMBER('幕间与结算'!F666),ISNUMBER('幕间与结算'!G666),'幕间与结算'!E666&gt;=0,'幕间与结算'!G666='幕间与结算'!E666+'幕间与结算'!F666),OR(B759&lt;&gt;"成长",AND(LEFT(C759,3)="技能：",C759&lt;&gt;"技能：非自然知识",'幕间与结算'!E666&gt;=1,'幕间与结算'!E666&lt;=99,'幕间与结算'!F666&gt;=0,'幕间与结算'!F666&lt;=4,'幕间与结算'!G666&lt;=99))),1,0)</x:f>
        <x:v>0</x:v>
      </x:c>
      <x:c r="H759">
        <x:f>IF(AND(G759=1,COUNTIFS($I$200:I759,I759,$G$200:G759,1)=1),1,0)</x:f>
        <x:v>0</x:v>
      </x:c>
      <x:c r="I759" t="str">
        <x:f>IF(G759=1,IF(B759="成长",A759&amp;"-成长-"&amp;C759,'幕间与结算'!I666),"")</x:f>
        <x:v/>
      </x:c>
      <x:c r="BF759">
        <x:f>MAX(0,MIN(18,BF758+IF(C759="力量",E759,0)))</x:f>
        <x:v>0</x:v>
      </x:c>
      <x:c r="BG759">
        <x:f>MAX(0,MIN(18,BG758+IF(C759="体质",E759,0)))</x:f>
        <x:v>0</x:v>
      </x:c>
      <x:c r="BH759">
        <x:f>MAX(0,MIN(18,BH758+IF(C759="敏捷",E759,0)))</x:f>
        <x:v>0</x:v>
      </x:c>
      <x:c r="BI759">
        <x:f>MAX(0,MIN(18,BI758+IF(C759="智力",E759,0)))</x:f>
        <x:v>0</x:v>
      </x:c>
      <x:c r="BJ759">
        <x:f>MAX(0,MIN(18,BJ758+IF(C759="意志",E759,0)))</x:f>
        <x:v>0</x:v>
      </x:c>
      <x:c r="BK759">
        <x:f>MAX(0,MIN(18,BK758+IF(C759="魅力",E759,0)))</x:f>
        <x:v>0</x:v>
      </x:c>
      <x:c r="BL759">
        <x:f>MAX(0,MIN(99,BL758+IF(C759="技能：非自然知识",E759,0)))</x:f>
        <x:v>0</x:v>
      </x:c>
      <x:c r="BM759">
        <x:f>MAX(0,MIN(CEILING((BF759+BG759)/2,1),BM758+IF(C759="体力",E759,0)))</x:f>
        <x:v>0</x:v>
      </x:c>
      <x:c r="BN759">
        <x:f>MAX(0,MIN(BJ759,BN758+IF(C759="毅力",E759,0)))</x:f>
        <x:v>0</x:v>
      </x:c>
      <x:c r="BO759">
        <x:f>MAX(0,MIN(99-BL759,BO758+IF(C759="理智",E759,0)))</x:f>
        <x:v>0</x:v>
      </x:c>
      <x:c r="BP759">
        <x:f>MAX(0,MIN(99,BP758+IF(C759="崩溃点",E759,0)))</x:f>
        <x:v>0</x:v>
      </x:c>
      <x:c r="BQ759">
        <x:f>MAX(0,MIN(BK759,IF(AND(H759=1,C759="重要关系1",LEFT('幕间与结算'!H666,8)="建立新的重要关系"),'幕间与结算'!E666+E759,BQ758+IF(C759="重要关系1",E759,0)+IF(AND(C759="魅力",E759&lt;0),E759,0))))</x:f>
        <x:v>0</x:v>
      </x:c>
      <x:c r="BR759">
        <x:f>MAX(0,MIN(BK759,IF(AND(H759=1,C759="重要关系2",LEFT('幕间与结算'!H666,8)="建立新的重要关系"),'幕间与结算'!E666+E759,BR758+IF(C759="重要关系2",E759,0)+IF(AND(C759="魅力",E759&lt;0),E759,0))))</x:f>
        <x:v>0</x:v>
      </x:c>
      <x:c r="BS759">
        <x:f>MAX(0,MIN(BK759,IF(AND(H759=1,C759="重要关系3",LEFT('幕间与结算'!H666,8)="建立新的重要关系"),'幕间与结算'!E666+E759,BS758+IF(C759="重要关系3",E759,0)+IF(AND(C759="魅力",E759&lt;0),E759,0))))</x:f>
        <x:v>0</x:v>
      </x:c>
      <x:c r="BT759">
        <x:f>MAX(0,MIN(BK759,IF(AND(H759=1,C759="重要关系4",LEFT('幕间与结算'!H666,8)="建立新的重要关系"),'幕间与结算'!E666+E759,BT758+IF(C759="重要关系4",E759,0)+IF(AND(C759="魅力",E759&lt;0),E759,0))))</x:f>
        <x:v>0</x:v>
      </x:c>
      <x:c r="BU759">
        <x:f>MAX(0,MIN(BK759,IF(AND(H759=1,C759="重要关系5",LEFT('幕间与结算'!H666,8)="建立新的重要关系"),'幕间与结算'!E666+E759,BU758+IF(C759="重要关系5",E759,0)+IF(AND(C759="魅力",E759&lt;0),E759,0))))</x:f>
        <x:v>0</x:v>
      </x:c>
      <x:c r="BV759">
        <x:f>MAX(0,MIN(BK759,IF(AND(H759=1,C759="重要关系6",LEFT('幕间与结算'!H666,8)="建立新的重要关系"),'幕间与结算'!E666+E759,BV758+IF(C759="重要关系6",E759,0)+IF(AND(C759="魅力",E759&lt;0),E759,0))))</x:f>
        <x:v>0</x:v>
      </x:c>
      <x:c r="BW759">
        <x:f>MAX(0,MIN(BK759,IF(AND(H759=1,C759="重要关系7",LEFT('幕间与结算'!H666,8)="建立新的重要关系"),'幕间与结算'!E666+E759,BW758+IF(C759="重要关系7",E759,0)+IF(AND(C759="魅力",E759&lt;0),E759,0))))</x:f>
        <x:v>0</x:v>
      </x:c>
    </x:row>
    <x:row r="760">
      <x:c r="A760" t="str">
        <x:f>IFERROR(TEXT(VALUE('幕间与结算'!A667),"00"),"")</x:f>
        <x:v>00</x:v>
      </x:c>
      <x:c r="B760">
        <x:f>'幕间与结算'!B667</x:f>
        <x:v>0</x:v>
      </x:c>
      <x:c r="C760">
        <x:f>'幕间与结算'!D667</x:f>
        <x:v>0</x:v>
      </x:c>
      <x:c r="D760">
        <x:f>'幕间与结算'!F667</x:f>
        <x:v>0</x:v>
      </x:c>
      <x:c r="E760">
        <x:f>IF(H760=1,MAX(-'幕间与结算'!E667,MIN(D760,IF(LEFT(C760,3)="技能：",99,IF(COUNTIF($L$2:$L$7,C760)&gt;0,18,999))-'幕间与结算'!E667)),0)</x:f>
        <x:v>0</x:v>
      </x:c>
      <x:c r="F760" t="str">
        <x:f>IF(C760=0,"",IF(G760=0,"记录不完整",IF(H760=0,"重复未计","已计入")))</x:f>
        <x:v/>
      </x:c>
      <x:c r="G760">
        <x:f>IF(AND(AND('幕间与结算'!A667&lt;&gt;"",'幕间与结算'!B667&lt;&gt;"",'幕间与结算'!I667&lt;&gt;"",OR(LEFT(C760,3)="技能：",COUNTIF($L$2:$L$19,C760)&gt;0),ISNUMBER('幕间与结算'!E667),ISNUMBER('幕间与结算'!F667),ISNUMBER('幕间与结算'!G667),'幕间与结算'!E667&gt;=0,'幕间与结算'!G667='幕间与结算'!E667+'幕间与结算'!F667),OR(B760&lt;&gt;"成长",AND(LEFT(C760,3)="技能：",C760&lt;&gt;"技能：非自然知识",'幕间与结算'!E667&gt;=1,'幕间与结算'!E667&lt;=99,'幕间与结算'!F667&gt;=0,'幕间与结算'!F667&lt;=4,'幕间与结算'!G667&lt;=99))),1,0)</x:f>
        <x:v>0</x:v>
      </x:c>
      <x:c r="H760">
        <x:f>IF(AND(G760=1,COUNTIFS($I$200:I760,I760,$G$200:G760,1)=1),1,0)</x:f>
        <x:v>0</x:v>
      </x:c>
      <x:c r="I760" t="str">
        <x:f>IF(G760=1,IF(B760="成长",A760&amp;"-成长-"&amp;C760,'幕间与结算'!I667),"")</x:f>
        <x:v/>
      </x:c>
      <x:c r="BF760">
        <x:f>MAX(0,MIN(18,BF759+IF(C760="力量",E760,0)))</x:f>
        <x:v>0</x:v>
      </x:c>
      <x:c r="BG760">
        <x:f>MAX(0,MIN(18,BG759+IF(C760="体质",E760,0)))</x:f>
        <x:v>0</x:v>
      </x:c>
      <x:c r="BH760">
        <x:f>MAX(0,MIN(18,BH759+IF(C760="敏捷",E760,0)))</x:f>
        <x:v>0</x:v>
      </x:c>
      <x:c r="BI760">
        <x:f>MAX(0,MIN(18,BI759+IF(C760="智力",E760,0)))</x:f>
        <x:v>0</x:v>
      </x:c>
      <x:c r="BJ760">
        <x:f>MAX(0,MIN(18,BJ759+IF(C760="意志",E760,0)))</x:f>
        <x:v>0</x:v>
      </x:c>
      <x:c r="BK760">
        <x:f>MAX(0,MIN(18,BK759+IF(C760="魅力",E760,0)))</x:f>
        <x:v>0</x:v>
      </x:c>
      <x:c r="BL760">
        <x:f>MAX(0,MIN(99,BL759+IF(C760="技能：非自然知识",E760,0)))</x:f>
        <x:v>0</x:v>
      </x:c>
      <x:c r="BM760">
        <x:f>MAX(0,MIN(CEILING((BF760+BG760)/2,1),BM759+IF(C760="体力",E760,0)))</x:f>
        <x:v>0</x:v>
      </x:c>
      <x:c r="BN760">
        <x:f>MAX(0,MIN(BJ760,BN759+IF(C760="毅力",E760,0)))</x:f>
        <x:v>0</x:v>
      </x:c>
      <x:c r="BO760">
        <x:f>MAX(0,MIN(99-BL760,BO759+IF(C760="理智",E760,0)))</x:f>
        <x:v>0</x:v>
      </x:c>
      <x:c r="BP760">
        <x:f>MAX(0,MIN(99,BP759+IF(C760="崩溃点",E760,0)))</x:f>
        <x:v>0</x:v>
      </x:c>
      <x:c r="BQ760">
        <x:f>MAX(0,MIN(BK760,IF(AND(H760=1,C760="重要关系1",LEFT('幕间与结算'!H667,8)="建立新的重要关系"),'幕间与结算'!E667+E760,BQ759+IF(C760="重要关系1",E760,0)+IF(AND(C760="魅力",E760&lt;0),E760,0))))</x:f>
        <x:v>0</x:v>
      </x:c>
      <x:c r="BR760">
        <x:f>MAX(0,MIN(BK760,IF(AND(H760=1,C760="重要关系2",LEFT('幕间与结算'!H667,8)="建立新的重要关系"),'幕间与结算'!E667+E760,BR759+IF(C760="重要关系2",E760,0)+IF(AND(C760="魅力",E760&lt;0),E760,0))))</x:f>
        <x:v>0</x:v>
      </x:c>
      <x:c r="BS760">
        <x:f>MAX(0,MIN(BK760,IF(AND(H760=1,C760="重要关系3",LEFT('幕间与结算'!H667,8)="建立新的重要关系"),'幕间与结算'!E667+E760,BS759+IF(C760="重要关系3",E760,0)+IF(AND(C760="魅力",E760&lt;0),E760,0))))</x:f>
        <x:v>0</x:v>
      </x:c>
      <x:c r="BT760">
        <x:f>MAX(0,MIN(BK760,IF(AND(H760=1,C760="重要关系4",LEFT('幕间与结算'!H667,8)="建立新的重要关系"),'幕间与结算'!E667+E760,BT759+IF(C760="重要关系4",E760,0)+IF(AND(C760="魅力",E760&lt;0),E760,0))))</x:f>
        <x:v>0</x:v>
      </x:c>
      <x:c r="BU760">
        <x:f>MAX(0,MIN(BK760,IF(AND(H760=1,C760="重要关系5",LEFT('幕间与结算'!H667,8)="建立新的重要关系"),'幕间与结算'!E667+E760,BU759+IF(C760="重要关系5",E760,0)+IF(AND(C760="魅力",E760&lt;0),E760,0))))</x:f>
        <x:v>0</x:v>
      </x:c>
      <x:c r="BV760">
        <x:f>MAX(0,MIN(BK760,IF(AND(H760=1,C760="重要关系6",LEFT('幕间与结算'!H667,8)="建立新的重要关系"),'幕间与结算'!E667+E760,BV759+IF(C760="重要关系6",E760,0)+IF(AND(C760="魅力",E760&lt;0),E760,0))))</x:f>
        <x:v>0</x:v>
      </x:c>
      <x:c r="BW760">
        <x:f>MAX(0,MIN(BK760,IF(AND(H760=1,C760="重要关系7",LEFT('幕间与结算'!H667,8)="建立新的重要关系"),'幕间与结算'!E667+E760,BW759+IF(C760="重要关系7",E760,0)+IF(AND(C760="魅力",E760&lt;0),E760,0))))</x:f>
        <x:v>0</x:v>
      </x:c>
    </x:row>
    <x:row r="761">
      <x:c r="A761" t="str">
        <x:f>IFERROR(TEXT(VALUE('幕间与结算'!A668),"00"),"")</x:f>
        <x:v>00</x:v>
      </x:c>
      <x:c r="B761">
        <x:f>'幕间与结算'!B668</x:f>
        <x:v>0</x:v>
      </x:c>
      <x:c r="C761">
        <x:f>'幕间与结算'!D668</x:f>
        <x:v>0</x:v>
      </x:c>
      <x:c r="D761">
        <x:f>'幕间与结算'!F668</x:f>
        <x:v>0</x:v>
      </x:c>
      <x:c r="E761">
        <x:f>IF(H761=1,MAX(-'幕间与结算'!E668,MIN(D761,IF(LEFT(C761,3)="技能：",99,IF(COUNTIF($L$2:$L$7,C761)&gt;0,18,999))-'幕间与结算'!E668)),0)</x:f>
        <x:v>0</x:v>
      </x:c>
      <x:c r="F761" t="str">
        <x:f>IF(C761=0,"",IF(G761=0,"记录不完整",IF(H761=0,"重复未计","已计入")))</x:f>
        <x:v/>
      </x:c>
      <x:c r="G761">
        <x:f>IF(AND(AND('幕间与结算'!A668&lt;&gt;"",'幕间与结算'!B668&lt;&gt;"",'幕间与结算'!I668&lt;&gt;"",OR(LEFT(C761,3)="技能：",COUNTIF($L$2:$L$19,C761)&gt;0),ISNUMBER('幕间与结算'!E668),ISNUMBER('幕间与结算'!F668),ISNUMBER('幕间与结算'!G668),'幕间与结算'!E668&gt;=0,'幕间与结算'!G668='幕间与结算'!E668+'幕间与结算'!F668),OR(B761&lt;&gt;"成长",AND(LEFT(C761,3)="技能：",C761&lt;&gt;"技能：非自然知识",'幕间与结算'!E668&gt;=1,'幕间与结算'!E668&lt;=99,'幕间与结算'!F668&gt;=0,'幕间与结算'!F668&lt;=4,'幕间与结算'!G668&lt;=99))),1,0)</x:f>
        <x:v>0</x:v>
      </x:c>
      <x:c r="H761">
        <x:f>IF(AND(G761=1,COUNTIFS($I$200:I761,I761,$G$200:G761,1)=1),1,0)</x:f>
        <x:v>0</x:v>
      </x:c>
      <x:c r="I761" t="str">
        <x:f>IF(G761=1,IF(B761="成长",A761&amp;"-成长-"&amp;C761,'幕间与结算'!I668),"")</x:f>
        <x:v/>
      </x:c>
      <x:c r="BF761">
        <x:f>MAX(0,MIN(18,BF760+IF(C761="力量",E761,0)))</x:f>
        <x:v>0</x:v>
      </x:c>
      <x:c r="BG761">
        <x:f>MAX(0,MIN(18,BG760+IF(C761="体质",E761,0)))</x:f>
        <x:v>0</x:v>
      </x:c>
      <x:c r="BH761">
        <x:f>MAX(0,MIN(18,BH760+IF(C761="敏捷",E761,0)))</x:f>
        <x:v>0</x:v>
      </x:c>
      <x:c r="BI761">
        <x:f>MAX(0,MIN(18,BI760+IF(C761="智力",E761,0)))</x:f>
        <x:v>0</x:v>
      </x:c>
      <x:c r="BJ761">
        <x:f>MAX(0,MIN(18,BJ760+IF(C761="意志",E761,0)))</x:f>
        <x:v>0</x:v>
      </x:c>
      <x:c r="BK761">
        <x:f>MAX(0,MIN(18,BK760+IF(C761="魅力",E761,0)))</x:f>
        <x:v>0</x:v>
      </x:c>
      <x:c r="BL761">
        <x:f>MAX(0,MIN(99,BL760+IF(C761="技能：非自然知识",E761,0)))</x:f>
        <x:v>0</x:v>
      </x:c>
      <x:c r="BM761">
        <x:f>MAX(0,MIN(CEILING((BF761+BG761)/2,1),BM760+IF(C761="体力",E761,0)))</x:f>
        <x:v>0</x:v>
      </x:c>
      <x:c r="BN761">
        <x:f>MAX(0,MIN(BJ761,BN760+IF(C761="毅力",E761,0)))</x:f>
        <x:v>0</x:v>
      </x:c>
      <x:c r="BO761">
        <x:f>MAX(0,MIN(99-BL761,BO760+IF(C761="理智",E761,0)))</x:f>
        <x:v>0</x:v>
      </x:c>
      <x:c r="BP761">
        <x:f>MAX(0,MIN(99,BP760+IF(C761="崩溃点",E761,0)))</x:f>
        <x:v>0</x:v>
      </x:c>
      <x:c r="BQ761">
        <x:f>MAX(0,MIN(BK761,IF(AND(H761=1,C761="重要关系1",LEFT('幕间与结算'!H668,8)="建立新的重要关系"),'幕间与结算'!E668+E761,BQ760+IF(C761="重要关系1",E761,0)+IF(AND(C761="魅力",E761&lt;0),E761,0))))</x:f>
        <x:v>0</x:v>
      </x:c>
      <x:c r="BR761">
        <x:f>MAX(0,MIN(BK761,IF(AND(H761=1,C761="重要关系2",LEFT('幕间与结算'!H668,8)="建立新的重要关系"),'幕间与结算'!E668+E761,BR760+IF(C761="重要关系2",E761,0)+IF(AND(C761="魅力",E761&lt;0),E761,0))))</x:f>
        <x:v>0</x:v>
      </x:c>
      <x:c r="BS761">
        <x:f>MAX(0,MIN(BK761,IF(AND(H761=1,C761="重要关系3",LEFT('幕间与结算'!H668,8)="建立新的重要关系"),'幕间与结算'!E668+E761,BS760+IF(C761="重要关系3",E761,0)+IF(AND(C761="魅力",E761&lt;0),E761,0))))</x:f>
        <x:v>0</x:v>
      </x:c>
      <x:c r="BT761">
        <x:f>MAX(0,MIN(BK761,IF(AND(H761=1,C761="重要关系4",LEFT('幕间与结算'!H668,8)="建立新的重要关系"),'幕间与结算'!E668+E761,BT760+IF(C761="重要关系4",E761,0)+IF(AND(C761="魅力",E761&lt;0),E761,0))))</x:f>
        <x:v>0</x:v>
      </x:c>
      <x:c r="BU761">
        <x:f>MAX(0,MIN(BK761,IF(AND(H761=1,C761="重要关系5",LEFT('幕间与结算'!H668,8)="建立新的重要关系"),'幕间与结算'!E668+E761,BU760+IF(C761="重要关系5",E761,0)+IF(AND(C761="魅力",E761&lt;0),E761,0))))</x:f>
        <x:v>0</x:v>
      </x:c>
      <x:c r="BV761">
        <x:f>MAX(0,MIN(BK761,IF(AND(H761=1,C761="重要关系6",LEFT('幕间与结算'!H668,8)="建立新的重要关系"),'幕间与结算'!E668+E761,BV760+IF(C761="重要关系6",E761,0)+IF(AND(C761="魅力",E761&lt;0),E761,0))))</x:f>
        <x:v>0</x:v>
      </x:c>
      <x:c r="BW761">
        <x:f>MAX(0,MIN(BK761,IF(AND(H761=1,C761="重要关系7",LEFT('幕间与结算'!H668,8)="建立新的重要关系"),'幕间与结算'!E668+E761,BW760+IF(C761="重要关系7",E761,0)+IF(AND(C761="魅力",E761&lt;0),E761,0))))</x:f>
        <x:v>0</x:v>
      </x:c>
    </x:row>
    <x:row r="762">
      <x:c r="A762" t="str">
        <x:f>IFERROR(TEXT(VALUE('幕间与结算'!A669),"00"),"")</x:f>
        <x:v>00</x:v>
      </x:c>
      <x:c r="B762">
        <x:f>'幕间与结算'!B669</x:f>
        <x:v>0</x:v>
      </x:c>
      <x:c r="C762">
        <x:f>'幕间与结算'!D669</x:f>
        <x:v>0</x:v>
      </x:c>
      <x:c r="D762">
        <x:f>'幕间与结算'!F669</x:f>
        <x:v>0</x:v>
      </x:c>
      <x:c r="E762">
        <x:f>IF(H762=1,MAX(-'幕间与结算'!E669,MIN(D762,IF(LEFT(C762,3)="技能：",99,IF(COUNTIF($L$2:$L$7,C762)&gt;0,18,999))-'幕间与结算'!E669)),0)</x:f>
        <x:v>0</x:v>
      </x:c>
      <x:c r="F762" t="str">
        <x:f>IF(C762=0,"",IF(G762=0,"记录不完整",IF(H762=0,"重复未计","已计入")))</x:f>
        <x:v/>
      </x:c>
      <x:c r="G762">
        <x:f>IF(AND(AND('幕间与结算'!A669&lt;&gt;"",'幕间与结算'!B669&lt;&gt;"",'幕间与结算'!I669&lt;&gt;"",OR(LEFT(C762,3)="技能：",COUNTIF($L$2:$L$19,C762)&gt;0),ISNUMBER('幕间与结算'!E669),ISNUMBER('幕间与结算'!F669),ISNUMBER('幕间与结算'!G669),'幕间与结算'!E669&gt;=0,'幕间与结算'!G669='幕间与结算'!E669+'幕间与结算'!F669),OR(B762&lt;&gt;"成长",AND(LEFT(C762,3)="技能：",C762&lt;&gt;"技能：非自然知识",'幕间与结算'!E669&gt;=1,'幕间与结算'!E669&lt;=99,'幕间与结算'!F669&gt;=0,'幕间与结算'!F669&lt;=4,'幕间与结算'!G669&lt;=99))),1,0)</x:f>
        <x:v>0</x:v>
      </x:c>
      <x:c r="H762">
        <x:f>IF(AND(G762=1,COUNTIFS($I$200:I762,I762,$G$200:G762,1)=1),1,0)</x:f>
        <x:v>0</x:v>
      </x:c>
      <x:c r="I762" t="str">
        <x:f>IF(G762=1,IF(B762="成长",A762&amp;"-成长-"&amp;C762,'幕间与结算'!I669),"")</x:f>
        <x:v/>
      </x:c>
      <x:c r="BF762">
        <x:f>MAX(0,MIN(18,BF761+IF(C762="力量",E762,0)))</x:f>
        <x:v>0</x:v>
      </x:c>
      <x:c r="BG762">
        <x:f>MAX(0,MIN(18,BG761+IF(C762="体质",E762,0)))</x:f>
        <x:v>0</x:v>
      </x:c>
      <x:c r="BH762">
        <x:f>MAX(0,MIN(18,BH761+IF(C762="敏捷",E762,0)))</x:f>
        <x:v>0</x:v>
      </x:c>
      <x:c r="BI762">
        <x:f>MAX(0,MIN(18,BI761+IF(C762="智力",E762,0)))</x:f>
        <x:v>0</x:v>
      </x:c>
      <x:c r="BJ762">
        <x:f>MAX(0,MIN(18,BJ761+IF(C762="意志",E762,0)))</x:f>
        <x:v>0</x:v>
      </x:c>
      <x:c r="BK762">
        <x:f>MAX(0,MIN(18,BK761+IF(C762="魅力",E762,0)))</x:f>
        <x:v>0</x:v>
      </x:c>
      <x:c r="BL762">
        <x:f>MAX(0,MIN(99,BL761+IF(C762="技能：非自然知识",E762,0)))</x:f>
        <x:v>0</x:v>
      </x:c>
      <x:c r="BM762">
        <x:f>MAX(0,MIN(CEILING((BF762+BG762)/2,1),BM761+IF(C762="体力",E762,0)))</x:f>
        <x:v>0</x:v>
      </x:c>
      <x:c r="BN762">
        <x:f>MAX(0,MIN(BJ762,BN761+IF(C762="毅力",E762,0)))</x:f>
        <x:v>0</x:v>
      </x:c>
      <x:c r="BO762">
        <x:f>MAX(0,MIN(99-BL762,BO761+IF(C762="理智",E762,0)))</x:f>
        <x:v>0</x:v>
      </x:c>
      <x:c r="BP762">
        <x:f>MAX(0,MIN(99,BP761+IF(C762="崩溃点",E762,0)))</x:f>
        <x:v>0</x:v>
      </x:c>
      <x:c r="BQ762">
        <x:f>MAX(0,MIN(BK762,IF(AND(H762=1,C762="重要关系1",LEFT('幕间与结算'!H669,8)="建立新的重要关系"),'幕间与结算'!E669+E762,BQ761+IF(C762="重要关系1",E762,0)+IF(AND(C762="魅力",E762&lt;0),E762,0))))</x:f>
        <x:v>0</x:v>
      </x:c>
      <x:c r="BR762">
        <x:f>MAX(0,MIN(BK762,IF(AND(H762=1,C762="重要关系2",LEFT('幕间与结算'!H669,8)="建立新的重要关系"),'幕间与结算'!E669+E762,BR761+IF(C762="重要关系2",E762,0)+IF(AND(C762="魅力",E762&lt;0),E762,0))))</x:f>
        <x:v>0</x:v>
      </x:c>
      <x:c r="BS762">
        <x:f>MAX(0,MIN(BK762,IF(AND(H762=1,C762="重要关系3",LEFT('幕间与结算'!H669,8)="建立新的重要关系"),'幕间与结算'!E669+E762,BS761+IF(C762="重要关系3",E762,0)+IF(AND(C762="魅力",E762&lt;0),E762,0))))</x:f>
        <x:v>0</x:v>
      </x:c>
      <x:c r="BT762">
        <x:f>MAX(0,MIN(BK762,IF(AND(H762=1,C762="重要关系4",LEFT('幕间与结算'!H669,8)="建立新的重要关系"),'幕间与结算'!E669+E762,BT761+IF(C762="重要关系4",E762,0)+IF(AND(C762="魅力",E762&lt;0),E762,0))))</x:f>
        <x:v>0</x:v>
      </x:c>
      <x:c r="BU762">
        <x:f>MAX(0,MIN(BK762,IF(AND(H762=1,C762="重要关系5",LEFT('幕间与结算'!H669,8)="建立新的重要关系"),'幕间与结算'!E669+E762,BU761+IF(C762="重要关系5",E762,0)+IF(AND(C762="魅力",E762&lt;0),E762,0))))</x:f>
        <x:v>0</x:v>
      </x:c>
      <x:c r="BV762">
        <x:f>MAX(0,MIN(BK762,IF(AND(H762=1,C762="重要关系6",LEFT('幕间与结算'!H669,8)="建立新的重要关系"),'幕间与结算'!E669+E762,BV761+IF(C762="重要关系6",E762,0)+IF(AND(C762="魅力",E762&lt;0),E762,0))))</x:f>
        <x:v>0</x:v>
      </x:c>
      <x:c r="BW762">
        <x:f>MAX(0,MIN(BK762,IF(AND(H762=1,C762="重要关系7",LEFT('幕间与结算'!H669,8)="建立新的重要关系"),'幕间与结算'!E669+E762,BW761+IF(C762="重要关系7",E762,0)+IF(AND(C762="魅力",E762&lt;0),E762,0))))</x:f>
        <x:v>0</x:v>
      </x:c>
    </x:row>
    <x:row r="763">
      <x:c r="A763" t="str">
        <x:f>IFERROR(TEXT(VALUE('幕间与结算'!A670),"00"),"")</x:f>
        <x:v>00</x:v>
      </x:c>
      <x:c r="B763">
        <x:f>'幕间与结算'!B670</x:f>
        <x:v>0</x:v>
      </x:c>
      <x:c r="C763">
        <x:f>'幕间与结算'!D670</x:f>
        <x:v>0</x:v>
      </x:c>
      <x:c r="D763">
        <x:f>'幕间与结算'!F670</x:f>
        <x:v>0</x:v>
      </x:c>
      <x:c r="E763">
        <x:f>IF(H763=1,MAX(-'幕间与结算'!E670,MIN(D763,IF(LEFT(C763,3)="技能：",99,IF(COUNTIF($L$2:$L$7,C763)&gt;0,18,999))-'幕间与结算'!E670)),0)</x:f>
        <x:v>0</x:v>
      </x:c>
      <x:c r="F763" t="str">
        <x:f>IF(C763=0,"",IF(G763=0,"记录不完整",IF(H763=0,"重复未计","已计入")))</x:f>
        <x:v/>
      </x:c>
      <x:c r="G763">
        <x:f>IF(AND(AND('幕间与结算'!A670&lt;&gt;"",'幕间与结算'!B670&lt;&gt;"",'幕间与结算'!I670&lt;&gt;"",OR(LEFT(C763,3)="技能：",COUNTIF($L$2:$L$19,C763)&gt;0),ISNUMBER('幕间与结算'!E670),ISNUMBER('幕间与结算'!F670),ISNUMBER('幕间与结算'!G670),'幕间与结算'!E670&gt;=0,'幕间与结算'!G670='幕间与结算'!E670+'幕间与结算'!F670),OR(B763&lt;&gt;"成长",AND(LEFT(C763,3)="技能：",C763&lt;&gt;"技能：非自然知识",'幕间与结算'!E670&gt;=1,'幕间与结算'!E670&lt;=99,'幕间与结算'!F670&gt;=0,'幕间与结算'!F670&lt;=4,'幕间与结算'!G670&lt;=99))),1,0)</x:f>
        <x:v>0</x:v>
      </x:c>
      <x:c r="H763">
        <x:f>IF(AND(G763=1,COUNTIFS($I$200:I763,I763,$G$200:G763,1)=1),1,0)</x:f>
        <x:v>0</x:v>
      </x:c>
      <x:c r="I763" t="str">
        <x:f>IF(G763=1,IF(B763="成长",A763&amp;"-成长-"&amp;C763,'幕间与结算'!I670),"")</x:f>
        <x:v/>
      </x:c>
      <x:c r="BF763">
        <x:f>MAX(0,MIN(18,BF762+IF(C763="力量",E763,0)))</x:f>
        <x:v>0</x:v>
      </x:c>
      <x:c r="BG763">
        <x:f>MAX(0,MIN(18,BG762+IF(C763="体质",E763,0)))</x:f>
        <x:v>0</x:v>
      </x:c>
      <x:c r="BH763">
        <x:f>MAX(0,MIN(18,BH762+IF(C763="敏捷",E763,0)))</x:f>
        <x:v>0</x:v>
      </x:c>
      <x:c r="BI763">
        <x:f>MAX(0,MIN(18,BI762+IF(C763="智力",E763,0)))</x:f>
        <x:v>0</x:v>
      </x:c>
      <x:c r="BJ763">
        <x:f>MAX(0,MIN(18,BJ762+IF(C763="意志",E763,0)))</x:f>
        <x:v>0</x:v>
      </x:c>
      <x:c r="BK763">
        <x:f>MAX(0,MIN(18,BK762+IF(C763="魅力",E763,0)))</x:f>
        <x:v>0</x:v>
      </x:c>
      <x:c r="BL763">
        <x:f>MAX(0,MIN(99,BL762+IF(C763="技能：非自然知识",E763,0)))</x:f>
        <x:v>0</x:v>
      </x:c>
      <x:c r="BM763">
        <x:f>MAX(0,MIN(CEILING((BF763+BG763)/2,1),BM762+IF(C763="体力",E763,0)))</x:f>
        <x:v>0</x:v>
      </x:c>
      <x:c r="BN763">
        <x:f>MAX(0,MIN(BJ763,BN762+IF(C763="毅力",E763,0)))</x:f>
        <x:v>0</x:v>
      </x:c>
      <x:c r="BO763">
        <x:f>MAX(0,MIN(99-BL763,BO762+IF(C763="理智",E763,0)))</x:f>
        <x:v>0</x:v>
      </x:c>
      <x:c r="BP763">
        <x:f>MAX(0,MIN(99,BP762+IF(C763="崩溃点",E763,0)))</x:f>
        <x:v>0</x:v>
      </x:c>
      <x:c r="BQ763">
        <x:f>MAX(0,MIN(BK763,IF(AND(H763=1,C763="重要关系1",LEFT('幕间与结算'!H670,8)="建立新的重要关系"),'幕间与结算'!E670+E763,BQ762+IF(C763="重要关系1",E763,0)+IF(AND(C763="魅力",E763&lt;0),E763,0))))</x:f>
        <x:v>0</x:v>
      </x:c>
      <x:c r="BR763">
        <x:f>MAX(0,MIN(BK763,IF(AND(H763=1,C763="重要关系2",LEFT('幕间与结算'!H670,8)="建立新的重要关系"),'幕间与结算'!E670+E763,BR762+IF(C763="重要关系2",E763,0)+IF(AND(C763="魅力",E763&lt;0),E763,0))))</x:f>
        <x:v>0</x:v>
      </x:c>
      <x:c r="BS763">
        <x:f>MAX(0,MIN(BK763,IF(AND(H763=1,C763="重要关系3",LEFT('幕间与结算'!H670,8)="建立新的重要关系"),'幕间与结算'!E670+E763,BS762+IF(C763="重要关系3",E763,0)+IF(AND(C763="魅力",E763&lt;0),E763,0))))</x:f>
        <x:v>0</x:v>
      </x:c>
      <x:c r="BT763">
        <x:f>MAX(0,MIN(BK763,IF(AND(H763=1,C763="重要关系4",LEFT('幕间与结算'!H670,8)="建立新的重要关系"),'幕间与结算'!E670+E763,BT762+IF(C763="重要关系4",E763,0)+IF(AND(C763="魅力",E763&lt;0),E763,0))))</x:f>
        <x:v>0</x:v>
      </x:c>
      <x:c r="BU763">
        <x:f>MAX(0,MIN(BK763,IF(AND(H763=1,C763="重要关系5",LEFT('幕间与结算'!H670,8)="建立新的重要关系"),'幕间与结算'!E670+E763,BU762+IF(C763="重要关系5",E763,0)+IF(AND(C763="魅力",E763&lt;0),E763,0))))</x:f>
        <x:v>0</x:v>
      </x:c>
      <x:c r="BV763">
        <x:f>MAX(0,MIN(BK763,IF(AND(H763=1,C763="重要关系6",LEFT('幕间与结算'!H670,8)="建立新的重要关系"),'幕间与结算'!E670+E763,BV762+IF(C763="重要关系6",E763,0)+IF(AND(C763="魅力",E763&lt;0),E763,0))))</x:f>
        <x:v>0</x:v>
      </x:c>
      <x:c r="BW763">
        <x:f>MAX(0,MIN(BK763,IF(AND(H763=1,C763="重要关系7",LEFT('幕间与结算'!H670,8)="建立新的重要关系"),'幕间与结算'!E670+E763,BW762+IF(C763="重要关系7",E763,0)+IF(AND(C763="魅力",E763&lt;0),E763,0))))</x:f>
        <x:v>0</x:v>
      </x:c>
    </x:row>
    <x:row r="764">
      <x:c r="A764" t="str">
        <x:f>IFERROR(TEXT(VALUE('幕间与结算'!A671),"00"),"")</x:f>
        <x:v>00</x:v>
      </x:c>
      <x:c r="B764">
        <x:f>'幕间与结算'!B671</x:f>
        <x:v>0</x:v>
      </x:c>
      <x:c r="C764">
        <x:f>'幕间与结算'!D671</x:f>
        <x:v>0</x:v>
      </x:c>
      <x:c r="D764">
        <x:f>'幕间与结算'!F671</x:f>
        <x:v>0</x:v>
      </x:c>
      <x:c r="E764">
        <x:f>IF(H764=1,MAX(-'幕间与结算'!E671,MIN(D764,IF(LEFT(C764,3)="技能：",99,IF(COUNTIF($L$2:$L$7,C764)&gt;0,18,999))-'幕间与结算'!E671)),0)</x:f>
        <x:v>0</x:v>
      </x:c>
      <x:c r="F764" t="str">
        <x:f>IF(C764=0,"",IF(G764=0,"记录不完整",IF(H764=0,"重复未计","已计入")))</x:f>
        <x:v/>
      </x:c>
      <x:c r="G764">
        <x:f>IF(AND(AND('幕间与结算'!A671&lt;&gt;"",'幕间与结算'!B671&lt;&gt;"",'幕间与结算'!I671&lt;&gt;"",OR(LEFT(C764,3)="技能：",COUNTIF($L$2:$L$19,C764)&gt;0),ISNUMBER('幕间与结算'!E671),ISNUMBER('幕间与结算'!F671),ISNUMBER('幕间与结算'!G671),'幕间与结算'!E671&gt;=0,'幕间与结算'!G671='幕间与结算'!E671+'幕间与结算'!F671),OR(B764&lt;&gt;"成长",AND(LEFT(C764,3)="技能：",C764&lt;&gt;"技能：非自然知识",'幕间与结算'!E671&gt;=1,'幕间与结算'!E671&lt;=99,'幕间与结算'!F671&gt;=0,'幕间与结算'!F671&lt;=4,'幕间与结算'!G671&lt;=99))),1,0)</x:f>
        <x:v>0</x:v>
      </x:c>
      <x:c r="H764">
        <x:f>IF(AND(G764=1,COUNTIFS($I$200:I764,I764,$G$200:G764,1)=1),1,0)</x:f>
        <x:v>0</x:v>
      </x:c>
      <x:c r="I764" t="str">
        <x:f>IF(G764=1,IF(B764="成长",A764&amp;"-成长-"&amp;C764,'幕间与结算'!I671),"")</x:f>
        <x:v/>
      </x:c>
      <x:c r="BF764">
        <x:f>MAX(0,MIN(18,BF763+IF(C764="力量",E764,0)))</x:f>
        <x:v>0</x:v>
      </x:c>
      <x:c r="BG764">
        <x:f>MAX(0,MIN(18,BG763+IF(C764="体质",E764,0)))</x:f>
        <x:v>0</x:v>
      </x:c>
      <x:c r="BH764">
        <x:f>MAX(0,MIN(18,BH763+IF(C764="敏捷",E764,0)))</x:f>
        <x:v>0</x:v>
      </x:c>
      <x:c r="BI764">
        <x:f>MAX(0,MIN(18,BI763+IF(C764="智力",E764,0)))</x:f>
        <x:v>0</x:v>
      </x:c>
      <x:c r="BJ764">
        <x:f>MAX(0,MIN(18,BJ763+IF(C764="意志",E764,0)))</x:f>
        <x:v>0</x:v>
      </x:c>
      <x:c r="BK764">
        <x:f>MAX(0,MIN(18,BK763+IF(C764="魅力",E764,0)))</x:f>
        <x:v>0</x:v>
      </x:c>
      <x:c r="BL764">
        <x:f>MAX(0,MIN(99,BL763+IF(C764="技能：非自然知识",E764,0)))</x:f>
        <x:v>0</x:v>
      </x:c>
      <x:c r="BM764">
        <x:f>MAX(0,MIN(CEILING((BF764+BG764)/2,1),BM763+IF(C764="体力",E764,0)))</x:f>
        <x:v>0</x:v>
      </x:c>
      <x:c r="BN764">
        <x:f>MAX(0,MIN(BJ764,BN763+IF(C764="毅力",E764,0)))</x:f>
        <x:v>0</x:v>
      </x:c>
      <x:c r="BO764">
        <x:f>MAX(0,MIN(99-BL764,BO763+IF(C764="理智",E764,0)))</x:f>
        <x:v>0</x:v>
      </x:c>
      <x:c r="BP764">
        <x:f>MAX(0,MIN(99,BP763+IF(C764="崩溃点",E764,0)))</x:f>
        <x:v>0</x:v>
      </x:c>
      <x:c r="BQ764">
        <x:f>MAX(0,MIN(BK764,IF(AND(H764=1,C764="重要关系1",LEFT('幕间与结算'!H671,8)="建立新的重要关系"),'幕间与结算'!E671+E764,BQ763+IF(C764="重要关系1",E764,0)+IF(AND(C764="魅力",E764&lt;0),E764,0))))</x:f>
        <x:v>0</x:v>
      </x:c>
      <x:c r="BR764">
        <x:f>MAX(0,MIN(BK764,IF(AND(H764=1,C764="重要关系2",LEFT('幕间与结算'!H671,8)="建立新的重要关系"),'幕间与结算'!E671+E764,BR763+IF(C764="重要关系2",E764,0)+IF(AND(C764="魅力",E764&lt;0),E764,0))))</x:f>
        <x:v>0</x:v>
      </x:c>
      <x:c r="BS764">
        <x:f>MAX(0,MIN(BK764,IF(AND(H764=1,C764="重要关系3",LEFT('幕间与结算'!H671,8)="建立新的重要关系"),'幕间与结算'!E671+E764,BS763+IF(C764="重要关系3",E764,0)+IF(AND(C764="魅力",E764&lt;0),E764,0))))</x:f>
        <x:v>0</x:v>
      </x:c>
      <x:c r="BT764">
        <x:f>MAX(0,MIN(BK764,IF(AND(H764=1,C764="重要关系4",LEFT('幕间与结算'!H671,8)="建立新的重要关系"),'幕间与结算'!E671+E764,BT763+IF(C764="重要关系4",E764,0)+IF(AND(C764="魅力",E764&lt;0),E764,0))))</x:f>
        <x:v>0</x:v>
      </x:c>
      <x:c r="BU764">
        <x:f>MAX(0,MIN(BK764,IF(AND(H764=1,C764="重要关系5",LEFT('幕间与结算'!H671,8)="建立新的重要关系"),'幕间与结算'!E671+E764,BU763+IF(C764="重要关系5",E764,0)+IF(AND(C764="魅力",E764&lt;0),E764,0))))</x:f>
        <x:v>0</x:v>
      </x:c>
      <x:c r="BV764">
        <x:f>MAX(0,MIN(BK764,IF(AND(H764=1,C764="重要关系6",LEFT('幕间与结算'!H671,8)="建立新的重要关系"),'幕间与结算'!E671+E764,BV763+IF(C764="重要关系6",E764,0)+IF(AND(C764="魅力",E764&lt;0),E764,0))))</x:f>
        <x:v>0</x:v>
      </x:c>
      <x:c r="BW764">
        <x:f>MAX(0,MIN(BK764,IF(AND(H764=1,C764="重要关系7",LEFT('幕间与结算'!H671,8)="建立新的重要关系"),'幕间与结算'!E671+E764,BW763+IF(C764="重要关系7",E764,0)+IF(AND(C764="魅力",E764&lt;0),E764,0))))</x:f>
        <x:v>0</x:v>
      </x:c>
    </x:row>
    <x:row r="765">
      <x:c r="A765" t="str">
        <x:f>IFERROR(TEXT(VALUE('幕间与结算'!A672),"00"),"")</x:f>
        <x:v>00</x:v>
      </x:c>
      <x:c r="B765">
        <x:f>'幕间与结算'!B672</x:f>
        <x:v>0</x:v>
      </x:c>
      <x:c r="C765">
        <x:f>'幕间与结算'!D672</x:f>
        <x:v>0</x:v>
      </x:c>
      <x:c r="D765">
        <x:f>'幕间与结算'!F672</x:f>
        <x:v>0</x:v>
      </x:c>
      <x:c r="E765">
        <x:f>IF(H765=1,MAX(-'幕间与结算'!E672,MIN(D765,IF(LEFT(C765,3)="技能：",99,IF(COUNTIF($L$2:$L$7,C765)&gt;0,18,999))-'幕间与结算'!E672)),0)</x:f>
        <x:v>0</x:v>
      </x:c>
      <x:c r="F765" t="str">
        <x:f>IF(C765=0,"",IF(G765=0,"记录不完整",IF(H765=0,"重复未计","已计入")))</x:f>
        <x:v/>
      </x:c>
      <x:c r="G765">
        <x:f>IF(AND(AND('幕间与结算'!A672&lt;&gt;"",'幕间与结算'!B672&lt;&gt;"",'幕间与结算'!I672&lt;&gt;"",OR(LEFT(C765,3)="技能：",COUNTIF($L$2:$L$19,C765)&gt;0),ISNUMBER('幕间与结算'!E672),ISNUMBER('幕间与结算'!F672),ISNUMBER('幕间与结算'!G672),'幕间与结算'!E672&gt;=0,'幕间与结算'!G672='幕间与结算'!E672+'幕间与结算'!F672),OR(B765&lt;&gt;"成长",AND(LEFT(C765,3)="技能：",C765&lt;&gt;"技能：非自然知识",'幕间与结算'!E672&gt;=1,'幕间与结算'!E672&lt;=99,'幕间与结算'!F672&gt;=0,'幕间与结算'!F672&lt;=4,'幕间与结算'!G672&lt;=99))),1,0)</x:f>
        <x:v>0</x:v>
      </x:c>
      <x:c r="H765">
        <x:f>IF(AND(G765=1,COUNTIFS($I$200:I765,I765,$G$200:G765,1)=1),1,0)</x:f>
        <x:v>0</x:v>
      </x:c>
      <x:c r="I765" t="str">
        <x:f>IF(G765=1,IF(B765="成长",A765&amp;"-成长-"&amp;C765,'幕间与结算'!I672),"")</x:f>
        <x:v/>
      </x:c>
      <x:c r="BF765">
        <x:f>MAX(0,MIN(18,BF764+IF(C765="力量",E765,0)))</x:f>
        <x:v>0</x:v>
      </x:c>
      <x:c r="BG765">
        <x:f>MAX(0,MIN(18,BG764+IF(C765="体质",E765,0)))</x:f>
        <x:v>0</x:v>
      </x:c>
      <x:c r="BH765">
        <x:f>MAX(0,MIN(18,BH764+IF(C765="敏捷",E765,0)))</x:f>
        <x:v>0</x:v>
      </x:c>
      <x:c r="BI765">
        <x:f>MAX(0,MIN(18,BI764+IF(C765="智力",E765,0)))</x:f>
        <x:v>0</x:v>
      </x:c>
      <x:c r="BJ765">
        <x:f>MAX(0,MIN(18,BJ764+IF(C765="意志",E765,0)))</x:f>
        <x:v>0</x:v>
      </x:c>
      <x:c r="BK765">
        <x:f>MAX(0,MIN(18,BK764+IF(C765="魅力",E765,0)))</x:f>
        <x:v>0</x:v>
      </x:c>
      <x:c r="BL765">
        <x:f>MAX(0,MIN(99,BL764+IF(C765="技能：非自然知识",E765,0)))</x:f>
        <x:v>0</x:v>
      </x:c>
      <x:c r="BM765">
        <x:f>MAX(0,MIN(CEILING((BF765+BG765)/2,1),BM764+IF(C765="体力",E765,0)))</x:f>
        <x:v>0</x:v>
      </x:c>
      <x:c r="BN765">
        <x:f>MAX(0,MIN(BJ765,BN764+IF(C765="毅力",E765,0)))</x:f>
        <x:v>0</x:v>
      </x:c>
      <x:c r="BO765">
        <x:f>MAX(0,MIN(99-BL765,BO764+IF(C765="理智",E765,0)))</x:f>
        <x:v>0</x:v>
      </x:c>
      <x:c r="BP765">
        <x:f>MAX(0,MIN(99,BP764+IF(C765="崩溃点",E765,0)))</x:f>
        <x:v>0</x:v>
      </x:c>
      <x:c r="BQ765">
        <x:f>MAX(0,MIN(BK765,IF(AND(H765=1,C765="重要关系1",LEFT('幕间与结算'!H672,8)="建立新的重要关系"),'幕间与结算'!E672+E765,BQ764+IF(C765="重要关系1",E765,0)+IF(AND(C765="魅力",E765&lt;0),E765,0))))</x:f>
        <x:v>0</x:v>
      </x:c>
      <x:c r="BR765">
        <x:f>MAX(0,MIN(BK765,IF(AND(H765=1,C765="重要关系2",LEFT('幕间与结算'!H672,8)="建立新的重要关系"),'幕间与结算'!E672+E765,BR764+IF(C765="重要关系2",E765,0)+IF(AND(C765="魅力",E765&lt;0),E765,0))))</x:f>
        <x:v>0</x:v>
      </x:c>
      <x:c r="BS765">
        <x:f>MAX(0,MIN(BK765,IF(AND(H765=1,C765="重要关系3",LEFT('幕间与结算'!H672,8)="建立新的重要关系"),'幕间与结算'!E672+E765,BS764+IF(C765="重要关系3",E765,0)+IF(AND(C765="魅力",E765&lt;0),E765,0))))</x:f>
        <x:v>0</x:v>
      </x:c>
      <x:c r="BT765">
        <x:f>MAX(0,MIN(BK765,IF(AND(H765=1,C765="重要关系4",LEFT('幕间与结算'!H672,8)="建立新的重要关系"),'幕间与结算'!E672+E765,BT764+IF(C765="重要关系4",E765,0)+IF(AND(C765="魅力",E765&lt;0),E765,0))))</x:f>
        <x:v>0</x:v>
      </x:c>
      <x:c r="BU765">
        <x:f>MAX(0,MIN(BK765,IF(AND(H765=1,C765="重要关系5",LEFT('幕间与结算'!H672,8)="建立新的重要关系"),'幕间与结算'!E672+E765,BU764+IF(C765="重要关系5",E765,0)+IF(AND(C765="魅力",E765&lt;0),E765,0))))</x:f>
        <x:v>0</x:v>
      </x:c>
      <x:c r="BV765">
        <x:f>MAX(0,MIN(BK765,IF(AND(H765=1,C765="重要关系6",LEFT('幕间与结算'!H672,8)="建立新的重要关系"),'幕间与结算'!E672+E765,BV764+IF(C765="重要关系6",E765,0)+IF(AND(C765="魅力",E765&lt;0),E765,0))))</x:f>
        <x:v>0</x:v>
      </x:c>
      <x:c r="BW765">
        <x:f>MAX(0,MIN(BK765,IF(AND(H765=1,C765="重要关系7",LEFT('幕间与结算'!H672,8)="建立新的重要关系"),'幕间与结算'!E672+E765,BW764+IF(C765="重要关系7",E765,0)+IF(AND(C765="魅力",E765&lt;0),E765,0))))</x:f>
        <x:v>0</x:v>
      </x:c>
    </x:row>
    <x:row r="766">
      <x:c r="A766" t="str">
        <x:f>IFERROR(TEXT(VALUE('幕间与结算'!A673),"00"),"")</x:f>
        <x:v>00</x:v>
      </x:c>
      <x:c r="B766">
        <x:f>'幕间与结算'!B673</x:f>
        <x:v>0</x:v>
      </x:c>
      <x:c r="C766">
        <x:f>'幕间与结算'!D673</x:f>
        <x:v>0</x:v>
      </x:c>
      <x:c r="D766">
        <x:f>'幕间与结算'!F673</x:f>
        <x:v>0</x:v>
      </x:c>
      <x:c r="E766">
        <x:f>IF(H766=1,MAX(-'幕间与结算'!E673,MIN(D766,IF(LEFT(C766,3)="技能：",99,IF(COUNTIF($L$2:$L$7,C766)&gt;0,18,999))-'幕间与结算'!E673)),0)</x:f>
        <x:v>0</x:v>
      </x:c>
      <x:c r="F766" t="str">
        <x:f>IF(C766=0,"",IF(G766=0,"记录不完整",IF(H766=0,"重复未计","已计入")))</x:f>
        <x:v/>
      </x:c>
      <x:c r="G766">
        <x:f>IF(AND(AND('幕间与结算'!A673&lt;&gt;"",'幕间与结算'!B673&lt;&gt;"",'幕间与结算'!I673&lt;&gt;"",OR(LEFT(C766,3)="技能：",COUNTIF($L$2:$L$19,C766)&gt;0),ISNUMBER('幕间与结算'!E673),ISNUMBER('幕间与结算'!F673),ISNUMBER('幕间与结算'!G673),'幕间与结算'!E673&gt;=0,'幕间与结算'!G673='幕间与结算'!E673+'幕间与结算'!F673),OR(B766&lt;&gt;"成长",AND(LEFT(C766,3)="技能：",C766&lt;&gt;"技能：非自然知识",'幕间与结算'!E673&gt;=1,'幕间与结算'!E673&lt;=99,'幕间与结算'!F673&gt;=0,'幕间与结算'!F673&lt;=4,'幕间与结算'!G673&lt;=99))),1,0)</x:f>
        <x:v>0</x:v>
      </x:c>
      <x:c r="H766">
        <x:f>IF(AND(G766=1,COUNTIFS($I$200:I766,I766,$G$200:G766,1)=1),1,0)</x:f>
        <x:v>0</x:v>
      </x:c>
      <x:c r="I766" t="str">
        <x:f>IF(G766=1,IF(B766="成长",A766&amp;"-成长-"&amp;C766,'幕间与结算'!I673),"")</x:f>
        <x:v/>
      </x:c>
      <x:c r="BF766">
        <x:f>MAX(0,MIN(18,BF765+IF(C766="力量",E766,0)))</x:f>
        <x:v>0</x:v>
      </x:c>
      <x:c r="BG766">
        <x:f>MAX(0,MIN(18,BG765+IF(C766="体质",E766,0)))</x:f>
        <x:v>0</x:v>
      </x:c>
      <x:c r="BH766">
        <x:f>MAX(0,MIN(18,BH765+IF(C766="敏捷",E766,0)))</x:f>
        <x:v>0</x:v>
      </x:c>
      <x:c r="BI766">
        <x:f>MAX(0,MIN(18,BI765+IF(C766="智力",E766,0)))</x:f>
        <x:v>0</x:v>
      </x:c>
      <x:c r="BJ766">
        <x:f>MAX(0,MIN(18,BJ765+IF(C766="意志",E766,0)))</x:f>
        <x:v>0</x:v>
      </x:c>
      <x:c r="BK766">
        <x:f>MAX(0,MIN(18,BK765+IF(C766="魅力",E766,0)))</x:f>
        <x:v>0</x:v>
      </x:c>
      <x:c r="BL766">
        <x:f>MAX(0,MIN(99,BL765+IF(C766="技能：非自然知识",E766,0)))</x:f>
        <x:v>0</x:v>
      </x:c>
      <x:c r="BM766">
        <x:f>MAX(0,MIN(CEILING((BF766+BG766)/2,1),BM765+IF(C766="体力",E766,0)))</x:f>
        <x:v>0</x:v>
      </x:c>
      <x:c r="BN766">
        <x:f>MAX(0,MIN(BJ766,BN765+IF(C766="毅力",E766,0)))</x:f>
        <x:v>0</x:v>
      </x:c>
      <x:c r="BO766">
        <x:f>MAX(0,MIN(99-BL766,BO765+IF(C766="理智",E766,0)))</x:f>
        <x:v>0</x:v>
      </x:c>
      <x:c r="BP766">
        <x:f>MAX(0,MIN(99,BP765+IF(C766="崩溃点",E766,0)))</x:f>
        <x:v>0</x:v>
      </x:c>
      <x:c r="BQ766">
        <x:f>MAX(0,MIN(BK766,IF(AND(H766=1,C766="重要关系1",LEFT('幕间与结算'!H673,8)="建立新的重要关系"),'幕间与结算'!E673+E766,BQ765+IF(C766="重要关系1",E766,0)+IF(AND(C766="魅力",E766&lt;0),E766,0))))</x:f>
        <x:v>0</x:v>
      </x:c>
      <x:c r="BR766">
        <x:f>MAX(0,MIN(BK766,IF(AND(H766=1,C766="重要关系2",LEFT('幕间与结算'!H673,8)="建立新的重要关系"),'幕间与结算'!E673+E766,BR765+IF(C766="重要关系2",E766,0)+IF(AND(C766="魅力",E766&lt;0),E766,0))))</x:f>
        <x:v>0</x:v>
      </x:c>
      <x:c r="BS766">
        <x:f>MAX(0,MIN(BK766,IF(AND(H766=1,C766="重要关系3",LEFT('幕间与结算'!H673,8)="建立新的重要关系"),'幕间与结算'!E673+E766,BS765+IF(C766="重要关系3",E766,0)+IF(AND(C766="魅力",E766&lt;0),E766,0))))</x:f>
        <x:v>0</x:v>
      </x:c>
      <x:c r="BT766">
        <x:f>MAX(0,MIN(BK766,IF(AND(H766=1,C766="重要关系4",LEFT('幕间与结算'!H673,8)="建立新的重要关系"),'幕间与结算'!E673+E766,BT765+IF(C766="重要关系4",E766,0)+IF(AND(C766="魅力",E766&lt;0),E766,0))))</x:f>
        <x:v>0</x:v>
      </x:c>
      <x:c r="BU766">
        <x:f>MAX(0,MIN(BK766,IF(AND(H766=1,C766="重要关系5",LEFT('幕间与结算'!H673,8)="建立新的重要关系"),'幕间与结算'!E673+E766,BU765+IF(C766="重要关系5",E766,0)+IF(AND(C766="魅力",E766&lt;0),E766,0))))</x:f>
        <x:v>0</x:v>
      </x:c>
      <x:c r="BV766">
        <x:f>MAX(0,MIN(BK766,IF(AND(H766=1,C766="重要关系6",LEFT('幕间与结算'!H673,8)="建立新的重要关系"),'幕间与结算'!E673+E766,BV765+IF(C766="重要关系6",E766,0)+IF(AND(C766="魅力",E766&lt;0),E766,0))))</x:f>
        <x:v>0</x:v>
      </x:c>
      <x:c r="BW766">
        <x:f>MAX(0,MIN(BK766,IF(AND(H766=1,C766="重要关系7",LEFT('幕间与结算'!H673,8)="建立新的重要关系"),'幕间与结算'!E673+E766,BW765+IF(C766="重要关系7",E766,0)+IF(AND(C766="魅力",E766&lt;0),E766,0))))</x:f>
        <x:v>0</x:v>
      </x:c>
    </x:row>
    <x:row r="767">
      <x:c r="A767" t="str">
        <x:f>IFERROR(TEXT(VALUE('幕间与结算'!A674),"00"),"")</x:f>
        <x:v>00</x:v>
      </x:c>
      <x:c r="B767">
        <x:f>'幕间与结算'!B674</x:f>
        <x:v>0</x:v>
      </x:c>
      <x:c r="C767">
        <x:f>'幕间与结算'!D674</x:f>
        <x:v>0</x:v>
      </x:c>
      <x:c r="D767">
        <x:f>'幕间与结算'!F674</x:f>
        <x:v>0</x:v>
      </x:c>
      <x:c r="E767">
        <x:f>IF(H767=1,MAX(-'幕间与结算'!E674,MIN(D767,IF(LEFT(C767,3)="技能：",99,IF(COUNTIF($L$2:$L$7,C767)&gt;0,18,999))-'幕间与结算'!E674)),0)</x:f>
        <x:v>0</x:v>
      </x:c>
      <x:c r="F767" t="str">
        <x:f>IF(C767=0,"",IF(G767=0,"记录不完整",IF(H767=0,"重复未计","已计入")))</x:f>
        <x:v/>
      </x:c>
      <x:c r="G767">
        <x:f>IF(AND(AND('幕间与结算'!A674&lt;&gt;"",'幕间与结算'!B674&lt;&gt;"",'幕间与结算'!I674&lt;&gt;"",OR(LEFT(C767,3)="技能：",COUNTIF($L$2:$L$19,C767)&gt;0),ISNUMBER('幕间与结算'!E674),ISNUMBER('幕间与结算'!F674),ISNUMBER('幕间与结算'!G674),'幕间与结算'!E674&gt;=0,'幕间与结算'!G674='幕间与结算'!E674+'幕间与结算'!F674),OR(B767&lt;&gt;"成长",AND(LEFT(C767,3)="技能：",C767&lt;&gt;"技能：非自然知识",'幕间与结算'!E674&gt;=1,'幕间与结算'!E674&lt;=99,'幕间与结算'!F674&gt;=0,'幕间与结算'!F674&lt;=4,'幕间与结算'!G674&lt;=99))),1,0)</x:f>
        <x:v>0</x:v>
      </x:c>
      <x:c r="H767">
        <x:f>IF(AND(G767=1,COUNTIFS($I$200:I767,I767,$G$200:G767,1)=1),1,0)</x:f>
        <x:v>0</x:v>
      </x:c>
      <x:c r="I767" t="str">
        <x:f>IF(G767=1,IF(B767="成长",A767&amp;"-成长-"&amp;C767,'幕间与结算'!I674),"")</x:f>
        <x:v/>
      </x:c>
      <x:c r="BF767">
        <x:f>MAX(0,MIN(18,BF766+IF(C767="力量",E767,0)))</x:f>
        <x:v>0</x:v>
      </x:c>
      <x:c r="BG767">
        <x:f>MAX(0,MIN(18,BG766+IF(C767="体质",E767,0)))</x:f>
        <x:v>0</x:v>
      </x:c>
      <x:c r="BH767">
        <x:f>MAX(0,MIN(18,BH766+IF(C767="敏捷",E767,0)))</x:f>
        <x:v>0</x:v>
      </x:c>
      <x:c r="BI767">
        <x:f>MAX(0,MIN(18,BI766+IF(C767="智力",E767,0)))</x:f>
        <x:v>0</x:v>
      </x:c>
      <x:c r="BJ767">
        <x:f>MAX(0,MIN(18,BJ766+IF(C767="意志",E767,0)))</x:f>
        <x:v>0</x:v>
      </x:c>
      <x:c r="BK767">
        <x:f>MAX(0,MIN(18,BK766+IF(C767="魅力",E767,0)))</x:f>
        <x:v>0</x:v>
      </x:c>
      <x:c r="BL767">
        <x:f>MAX(0,MIN(99,BL766+IF(C767="技能：非自然知识",E767,0)))</x:f>
        <x:v>0</x:v>
      </x:c>
      <x:c r="BM767">
        <x:f>MAX(0,MIN(CEILING((BF767+BG767)/2,1),BM766+IF(C767="体力",E767,0)))</x:f>
        <x:v>0</x:v>
      </x:c>
      <x:c r="BN767">
        <x:f>MAX(0,MIN(BJ767,BN766+IF(C767="毅力",E767,0)))</x:f>
        <x:v>0</x:v>
      </x:c>
      <x:c r="BO767">
        <x:f>MAX(0,MIN(99-BL767,BO766+IF(C767="理智",E767,0)))</x:f>
        <x:v>0</x:v>
      </x:c>
      <x:c r="BP767">
        <x:f>MAX(0,MIN(99,BP766+IF(C767="崩溃点",E767,0)))</x:f>
        <x:v>0</x:v>
      </x:c>
      <x:c r="BQ767">
        <x:f>MAX(0,MIN(BK767,IF(AND(H767=1,C767="重要关系1",LEFT('幕间与结算'!H674,8)="建立新的重要关系"),'幕间与结算'!E674+E767,BQ766+IF(C767="重要关系1",E767,0)+IF(AND(C767="魅力",E767&lt;0),E767,0))))</x:f>
        <x:v>0</x:v>
      </x:c>
      <x:c r="BR767">
        <x:f>MAX(0,MIN(BK767,IF(AND(H767=1,C767="重要关系2",LEFT('幕间与结算'!H674,8)="建立新的重要关系"),'幕间与结算'!E674+E767,BR766+IF(C767="重要关系2",E767,0)+IF(AND(C767="魅力",E767&lt;0),E767,0))))</x:f>
        <x:v>0</x:v>
      </x:c>
      <x:c r="BS767">
        <x:f>MAX(0,MIN(BK767,IF(AND(H767=1,C767="重要关系3",LEFT('幕间与结算'!H674,8)="建立新的重要关系"),'幕间与结算'!E674+E767,BS766+IF(C767="重要关系3",E767,0)+IF(AND(C767="魅力",E767&lt;0),E767,0))))</x:f>
        <x:v>0</x:v>
      </x:c>
      <x:c r="BT767">
        <x:f>MAX(0,MIN(BK767,IF(AND(H767=1,C767="重要关系4",LEFT('幕间与结算'!H674,8)="建立新的重要关系"),'幕间与结算'!E674+E767,BT766+IF(C767="重要关系4",E767,0)+IF(AND(C767="魅力",E767&lt;0),E767,0))))</x:f>
        <x:v>0</x:v>
      </x:c>
      <x:c r="BU767">
        <x:f>MAX(0,MIN(BK767,IF(AND(H767=1,C767="重要关系5",LEFT('幕间与结算'!H674,8)="建立新的重要关系"),'幕间与结算'!E674+E767,BU766+IF(C767="重要关系5",E767,0)+IF(AND(C767="魅力",E767&lt;0),E767,0))))</x:f>
        <x:v>0</x:v>
      </x:c>
      <x:c r="BV767">
        <x:f>MAX(0,MIN(BK767,IF(AND(H767=1,C767="重要关系6",LEFT('幕间与结算'!H674,8)="建立新的重要关系"),'幕间与结算'!E674+E767,BV766+IF(C767="重要关系6",E767,0)+IF(AND(C767="魅力",E767&lt;0),E767,0))))</x:f>
        <x:v>0</x:v>
      </x:c>
      <x:c r="BW767">
        <x:f>MAX(0,MIN(BK767,IF(AND(H767=1,C767="重要关系7",LEFT('幕间与结算'!H674,8)="建立新的重要关系"),'幕间与结算'!E674+E767,BW766+IF(C767="重要关系7",E767,0)+IF(AND(C767="魅力",E767&lt;0),E767,0))))</x:f>
        <x:v>0</x:v>
      </x:c>
    </x:row>
    <x:row r="768">
      <x:c r="A768" t="str">
        <x:f>IFERROR(TEXT(VALUE('幕间与结算'!A675),"00"),"")</x:f>
        <x:v>00</x:v>
      </x:c>
      <x:c r="B768">
        <x:f>'幕间与结算'!B675</x:f>
        <x:v>0</x:v>
      </x:c>
      <x:c r="C768">
        <x:f>'幕间与结算'!D675</x:f>
        <x:v>0</x:v>
      </x:c>
      <x:c r="D768">
        <x:f>'幕间与结算'!F675</x:f>
        <x:v>0</x:v>
      </x:c>
      <x:c r="E768">
        <x:f>IF(H768=1,MAX(-'幕间与结算'!E675,MIN(D768,IF(LEFT(C768,3)="技能：",99,IF(COUNTIF($L$2:$L$7,C768)&gt;0,18,999))-'幕间与结算'!E675)),0)</x:f>
        <x:v>0</x:v>
      </x:c>
      <x:c r="F768" t="str">
        <x:f>IF(C768=0,"",IF(G768=0,"记录不完整",IF(H768=0,"重复未计","已计入")))</x:f>
        <x:v/>
      </x:c>
      <x:c r="G768">
        <x:f>IF(AND(AND('幕间与结算'!A675&lt;&gt;"",'幕间与结算'!B675&lt;&gt;"",'幕间与结算'!I675&lt;&gt;"",OR(LEFT(C768,3)="技能：",COUNTIF($L$2:$L$19,C768)&gt;0),ISNUMBER('幕间与结算'!E675),ISNUMBER('幕间与结算'!F675),ISNUMBER('幕间与结算'!G675),'幕间与结算'!E675&gt;=0,'幕间与结算'!G675='幕间与结算'!E675+'幕间与结算'!F675),OR(B768&lt;&gt;"成长",AND(LEFT(C768,3)="技能：",C768&lt;&gt;"技能：非自然知识",'幕间与结算'!E675&gt;=1,'幕间与结算'!E675&lt;=99,'幕间与结算'!F675&gt;=0,'幕间与结算'!F675&lt;=4,'幕间与结算'!G675&lt;=99))),1,0)</x:f>
        <x:v>0</x:v>
      </x:c>
      <x:c r="H768">
        <x:f>IF(AND(G768=1,COUNTIFS($I$200:I768,I768,$G$200:G768,1)=1),1,0)</x:f>
        <x:v>0</x:v>
      </x:c>
      <x:c r="I768" t="str">
        <x:f>IF(G768=1,IF(B768="成长",A768&amp;"-成长-"&amp;C768,'幕间与结算'!I675),"")</x:f>
        <x:v/>
      </x:c>
      <x:c r="BF768">
        <x:f>MAX(0,MIN(18,BF767+IF(C768="力量",E768,0)))</x:f>
        <x:v>0</x:v>
      </x:c>
      <x:c r="BG768">
        <x:f>MAX(0,MIN(18,BG767+IF(C768="体质",E768,0)))</x:f>
        <x:v>0</x:v>
      </x:c>
      <x:c r="BH768">
        <x:f>MAX(0,MIN(18,BH767+IF(C768="敏捷",E768,0)))</x:f>
        <x:v>0</x:v>
      </x:c>
      <x:c r="BI768">
        <x:f>MAX(0,MIN(18,BI767+IF(C768="智力",E768,0)))</x:f>
        <x:v>0</x:v>
      </x:c>
      <x:c r="BJ768">
        <x:f>MAX(0,MIN(18,BJ767+IF(C768="意志",E768,0)))</x:f>
        <x:v>0</x:v>
      </x:c>
      <x:c r="BK768">
        <x:f>MAX(0,MIN(18,BK767+IF(C768="魅力",E768,0)))</x:f>
        <x:v>0</x:v>
      </x:c>
      <x:c r="BL768">
        <x:f>MAX(0,MIN(99,BL767+IF(C768="技能：非自然知识",E768,0)))</x:f>
        <x:v>0</x:v>
      </x:c>
      <x:c r="BM768">
        <x:f>MAX(0,MIN(CEILING((BF768+BG768)/2,1),BM767+IF(C768="体力",E768,0)))</x:f>
        <x:v>0</x:v>
      </x:c>
      <x:c r="BN768">
        <x:f>MAX(0,MIN(BJ768,BN767+IF(C768="毅力",E768,0)))</x:f>
        <x:v>0</x:v>
      </x:c>
      <x:c r="BO768">
        <x:f>MAX(0,MIN(99-BL768,BO767+IF(C768="理智",E768,0)))</x:f>
        <x:v>0</x:v>
      </x:c>
      <x:c r="BP768">
        <x:f>MAX(0,MIN(99,BP767+IF(C768="崩溃点",E768,0)))</x:f>
        <x:v>0</x:v>
      </x:c>
      <x:c r="BQ768">
        <x:f>MAX(0,MIN(BK768,IF(AND(H768=1,C768="重要关系1",LEFT('幕间与结算'!H675,8)="建立新的重要关系"),'幕间与结算'!E675+E768,BQ767+IF(C768="重要关系1",E768,0)+IF(AND(C768="魅力",E768&lt;0),E768,0))))</x:f>
        <x:v>0</x:v>
      </x:c>
      <x:c r="BR768">
        <x:f>MAX(0,MIN(BK768,IF(AND(H768=1,C768="重要关系2",LEFT('幕间与结算'!H675,8)="建立新的重要关系"),'幕间与结算'!E675+E768,BR767+IF(C768="重要关系2",E768,0)+IF(AND(C768="魅力",E768&lt;0),E768,0))))</x:f>
        <x:v>0</x:v>
      </x:c>
      <x:c r="BS768">
        <x:f>MAX(0,MIN(BK768,IF(AND(H768=1,C768="重要关系3",LEFT('幕间与结算'!H675,8)="建立新的重要关系"),'幕间与结算'!E675+E768,BS767+IF(C768="重要关系3",E768,0)+IF(AND(C768="魅力",E768&lt;0),E768,0))))</x:f>
        <x:v>0</x:v>
      </x:c>
      <x:c r="BT768">
        <x:f>MAX(0,MIN(BK768,IF(AND(H768=1,C768="重要关系4",LEFT('幕间与结算'!H675,8)="建立新的重要关系"),'幕间与结算'!E675+E768,BT767+IF(C768="重要关系4",E768,0)+IF(AND(C768="魅力",E768&lt;0),E768,0))))</x:f>
        <x:v>0</x:v>
      </x:c>
      <x:c r="BU768">
        <x:f>MAX(0,MIN(BK768,IF(AND(H768=1,C768="重要关系5",LEFT('幕间与结算'!H675,8)="建立新的重要关系"),'幕间与结算'!E675+E768,BU767+IF(C768="重要关系5",E768,0)+IF(AND(C768="魅力",E768&lt;0),E768,0))))</x:f>
        <x:v>0</x:v>
      </x:c>
      <x:c r="BV768">
        <x:f>MAX(0,MIN(BK768,IF(AND(H768=1,C768="重要关系6",LEFT('幕间与结算'!H675,8)="建立新的重要关系"),'幕间与结算'!E675+E768,BV767+IF(C768="重要关系6",E768,0)+IF(AND(C768="魅力",E768&lt;0),E768,0))))</x:f>
        <x:v>0</x:v>
      </x:c>
      <x:c r="BW768">
        <x:f>MAX(0,MIN(BK768,IF(AND(H768=1,C768="重要关系7",LEFT('幕间与结算'!H675,8)="建立新的重要关系"),'幕间与结算'!E675+E768,BW767+IF(C768="重要关系7",E768,0)+IF(AND(C768="魅力",E768&lt;0),E768,0))))</x:f>
        <x:v>0</x:v>
      </x:c>
    </x:row>
    <x:row r="769">
      <x:c r="A769" t="str">
        <x:f>IFERROR(TEXT(VALUE('幕间与结算'!A676),"00"),"")</x:f>
        <x:v>00</x:v>
      </x:c>
      <x:c r="B769">
        <x:f>'幕间与结算'!B676</x:f>
        <x:v>0</x:v>
      </x:c>
      <x:c r="C769">
        <x:f>'幕间与结算'!D676</x:f>
        <x:v>0</x:v>
      </x:c>
      <x:c r="D769">
        <x:f>'幕间与结算'!F676</x:f>
        <x:v>0</x:v>
      </x:c>
      <x:c r="E769">
        <x:f>IF(H769=1,MAX(-'幕间与结算'!E676,MIN(D769,IF(LEFT(C769,3)="技能：",99,IF(COUNTIF($L$2:$L$7,C769)&gt;0,18,999))-'幕间与结算'!E676)),0)</x:f>
        <x:v>0</x:v>
      </x:c>
      <x:c r="F769" t="str">
        <x:f>IF(C769=0,"",IF(G769=0,"记录不完整",IF(H769=0,"重复未计","已计入")))</x:f>
        <x:v/>
      </x:c>
      <x:c r="G769">
        <x:f>IF(AND(AND('幕间与结算'!A676&lt;&gt;"",'幕间与结算'!B676&lt;&gt;"",'幕间与结算'!I676&lt;&gt;"",OR(LEFT(C769,3)="技能：",COUNTIF($L$2:$L$19,C769)&gt;0),ISNUMBER('幕间与结算'!E676),ISNUMBER('幕间与结算'!F676),ISNUMBER('幕间与结算'!G676),'幕间与结算'!E676&gt;=0,'幕间与结算'!G676='幕间与结算'!E676+'幕间与结算'!F676),OR(B769&lt;&gt;"成长",AND(LEFT(C769,3)="技能：",C769&lt;&gt;"技能：非自然知识",'幕间与结算'!E676&gt;=1,'幕间与结算'!E676&lt;=99,'幕间与结算'!F676&gt;=0,'幕间与结算'!F676&lt;=4,'幕间与结算'!G676&lt;=99))),1,0)</x:f>
        <x:v>0</x:v>
      </x:c>
      <x:c r="H769">
        <x:f>IF(AND(G769=1,COUNTIFS($I$200:I769,I769,$G$200:G769,1)=1),1,0)</x:f>
        <x:v>0</x:v>
      </x:c>
      <x:c r="I769" t="str">
        <x:f>IF(G769=1,IF(B769="成长",A769&amp;"-成长-"&amp;C769,'幕间与结算'!I676),"")</x:f>
        <x:v/>
      </x:c>
      <x:c r="BF769">
        <x:f>MAX(0,MIN(18,BF768+IF(C769="力量",E769,0)))</x:f>
        <x:v>0</x:v>
      </x:c>
      <x:c r="BG769">
        <x:f>MAX(0,MIN(18,BG768+IF(C769="体质",E769,0)))</x:f>
        <x:v>0</x:v>
      </x:c>
      <x:c r="BH769">
        <x:f>MAX(0,MIN(18,BH768+IF(C769="敏捷",E769,0)))</x:f>
        <x:v>0</x:v>
      </x:c>
      <x:c r="BI769">
        <x:f>MAX(0,MIN(18,BI768+IF(C769="智力",E769,0)))</x:f>
        <x:v>0</x:v>
      </x:c>
      <x:c r="BJ769">
        <x:f>MAX(0,MIN(18,BJ768+IF(C769="意志",E769,0)))</x:f>
        <x:v>0</x:v>
      </x:c>
      <x:c r="BK769">
        <x:f>MAX(0,MIN(18,BK768+IF(C769="魅力",E769,0)))</x:f>
        <x:v>0</x:v>
      </x:c>
      <x:c r="BL769">
        <x:f>MAX(0,MIN(99,BL768+IF(C769="技能：非自然知识",E769,0)))</x:f>
        <x:v>0</x:v>
      </x:c>
      <x:c r="BM769">
        <x:f>MAX(0,MIN(CEILING((BF769+BG769)/2,1),BM768+IF(C769="体力",E769,0)))</x:f>
        <x:v>0</x:v>
      </x:c>
      <x:c r="BN769">
        <x:f>MAX(0,MIN(BJ769,BN768+IF(C769="毅力",E769,0)))</x:f>
        <x:v>0</x:v>
      </x:c>
      <x:c r="BO769">
        <x:f>MAX(0,MIN(99-BL769,BO768+IF(C769="理智",E769,0)))</x:f>
        <x:v>0</x:v>
      </x:c>
      <x:c r="BP769">
        <x:f>MAX(0,MIN(99,BP768+IF(C769="崩溃点",E769,0)))</x:f>
        <x:v>0</x:v>
      </x:c>
      <x:c r="BQ769">
        <x:f>MAX(0,MIN(BK769,IF(AND(H769=1,C769="重要关系1",LEFT('幕间与结算'!H676,8)="建立新的重要关系"),'幕间与结算'!E676+E769,BQ768+IF(C769="重要关系1",E769,0)+IF(AND(C769="魅力",E769&lt;0),E769,0))))</x:f>
        <x:v>0</x:v>
      </x:c>
      <x:c r="BR769">
        <x:f>MAX(0,MIN(BK769,IF(AND(H769=1,C769="重要关系2",LEFT('幕间与结算'!H676,8)="建立新的重要关系"),'幕间与结算'!E676+E769,BR768+IF(C769="重要关系2",E769,0)+IF(AND(C769="魅力",E769&lt;0),E769,0))))</x:f>
        <x:v>0</x:v>
      </x:c>
      <x:c r="BS769">
        <x:f>MAX(0,MIN(BK769,IF(AND(H769=1,C769="重要关系3",LEFT('幕间与结算'!H676,8)="建立新的重要关系"),'幕间与结算'!E676+E769,BS768+IF(C769="重要关系3",E769,0)+IF(AND(C769="魅力",E769&lt;0),E769,0))))</x:f>
        <x:v>0</x:v>
      </x:c>
      <x:c r="BT769">
        <x:f>MAX(0,MIN(BK769,IF(AND(H769=1,C769="重要关系4",LEFT('幕间与结算'!H676,8)="建立新的重要关系"),'幕间与结算'!E676+E769,BT768+IF(C769="重要关系4",E769,0)+IF(AND(C769="魅力",E769&lt;0),E769,0))))</x:f>
        <x:v>0</x:v>
      </x:c>
      <x:c r="BU769">
        <x:f>MAX(0,MIN(BK769,IF(AND(H769=1,C769="重要关系5",LEFT('幕间与结算'!H676,8)="建立新的重要关系"),'幕间与结算'!E676+E769,BU768+IF(C769="重要关系5",E769,0)+IF(AND(C769="魅力",E769&lt;0),E769,0))))</x:f>
        <x:v>0</x:v>
      </x:c>
      <x:c r="BV769">
        <x:f>MAX(0,MIN(BK769,IF(AND(H769=1,C769="重要关系6",LEFT('幕间与结算'!H676,8)="建立新的重要关系"),'幕间与结算'!E676+E769,BV768+IF(C769="重要关系6",E769,0)+IF(AND(C769="魅力",E769&lt;0),E769,0))))</x:f>
        <x:v>0</x:v>
      </x:c>
      <x:c r="BW769">
        <x:f>MAX(0,MIN(BK769,IF(AND(H769=1,C769="重要关系7",LEFT('幕间与结算'!H676,8)="建立新的重要关系"),'幕间与结算'!E676+E769,BW768+IF(C769="重要关系7",E769,0)+IF(AND(C769="魅力",E769&lt;0),E769,0))))</x:f>
        <x:v>0</x:v>
      </x:c>
    </x:row>
    <x:row r="770">
      <x:c r="A770" t="str">
        <x:f>IFERROR(TEXT(VALUE('幕间与结算'!A677),"00"),"")</x:f>
        <x:v>00</x:v>
      </x:c>
      <x:c r="B770">
        <x:f>'幕间与结算'!B677</x:f>
        <x:v>0</x:v>
      </x:c>
      <x:c r="C770">
        <x:f>'幕间与结算'!D677</x:f>
        <x:v>0</x:v>
      </x:c>
      <x:c r="D770">
        <x:f>'幕间与结算'!F677</x:f>
        <x:v>0</x:v>
      </x:c>
      <x:c r="E770">
        <x:f>IF(H770=1,MAX(-'幕间与结算'!E677,MIN(D770,IF(LEFT(C770,3)="技能：",99,IF(COUNTIF($L$2:$L$7,C770)&gt;0,18,999))-'幕间与结算'!E677)),0)</x:f>
        <x:v>0</x:v>
      </x:c>
      <x:c r="F770" t="str">
        <x:f>IF(C770=0,"",IF(G770=0,"记录不完整",IF(H770=0,"重复未计","已计入")))</x:f>
        <x:v/>
      </x:c>
      <x:c r="G770">
        <x:f>IF(AND(AND('幕间与结算'!A677&lt;&gt;"",'幕间与结算'!B677&lt;&gt;"",'幕间与结算'!I677&lt;&gt;"",OR(LEFT(C770,3)="技能：",COUNTIF($L$2:$L$19,C770)&gt;0),ISNUMBER('幕间与结算'!E677),ISNUMBER('幕间与结算'!F677),ISNUMBER('幕间与结算'!G677),'幕间与结算'!E677&gt;=0,'幕间与结算'!G677='幕间与结算'!E677+'幕间与结算'!F677),OR(B770&lt;&gt;"成长",AND(LEFT(C770,3)="技能：",C770&lt;&gt;"技能：非自然知识",'幕间与结算'!E677&gt;=1,'幕间与结算'!E677&lt;=99,'幕间与结算'!F677&gt;=0,'幕间与结算'!F677&lt;=4,'幕间与结算'!G677&lt;=99))),1,0)</x:f>
        <x:v>0</x:v>
      </x:c>
      <x:c r="H770">
        <x:f>IF(AND(G770=1,COUNTIFS($I$200:I770,I770,$G$200:G770,1)=1),1,0)</x:f>
        <x:v>0</x:v>
      </x:c>
      <x:c r="I770" t="str">
        <x:f>IF(G770=1,IF(B770="成长",A770&amp;"-成长-"&amp;C770,'幕间与结算'!I677),"")</x:f>
        <x:v/>
      </x:c>
      <x:c r="BF770">
        <x:f>MAX(0,MIN(18,BF769+IF(C770="力量",E770,0)))</x:f>
        <x:v>0</x:v>
      </x:c>
      <x:c r="BG770">
        <x:f>MAX(0,MIN(18,BG769+IF(C770="体质",E770,0)))</x:f>
        <x:v>0</x:v>
      </x:c>
      <x:c r="BH770">
        <x:f>MAX(0,MIN(18,BH769+IF(C770="敏捷",E770,0)))</x:f>
        <x:v>0</x:v>
      </x:c>
      <x:c r="BI770">
        <x:f>MAX(0,MIN(18,BI769+IF(C770="智力",E770,0)))</x:f>
        <x:v>0</x:v>
      </x:c>
      <x:c r="BJ770">
        <x:f>MAX(0,MIN(18,BJ769+IF(C770="意志",E770,0)))</x:f>
        <x:v>0</x:v>
      </x:c>
      <x:c r="BK770">
        <x:f>MAX(0,MIN(18,BK769+IF(C770="魅力",E770,0)))</x:f>
        <x:v>0</x:v>
      </x:c>
      <x:c r="BL770">
        <x:f>MAX(0,MIN(99,BL769+IF(C770="技能：非自然知识",E770,0)))</x:f>
        <x:v>0</x:v>
      </x:c>
      <x:c r="BM770">
        <x:f>MAX(0,MIN(CEILING((BF770+BG770)/2,1),BM769+IF(C770="体力",E770,0)))</x:f>
        <x:v>0</x:v>
      </x:c>
      <x:c r="BN770">
        <x:f>MAX(0,MIN(BJ770,BN769+IF(C770="毅力",E770,0)))</x:f>
        <x:v>0</x:v>
      </x:c>
      <x:c r="BO770">
        <x:f>MAX(0,MIN(99-BL770,BO769+IF(C770="理智",E770,0)))</x:f>
        <x:v>0</x:v>
      </x:c>
      <x:c r="BP770">
        <x:f>MAX(0,MIN(99,BP769+IF(C770="崩溃点",E770,0)))</x:f>
        <x:v>0</x:v>
      </x:c>
      <x:c r="BQ770">
        <x:f>MAX(0,MIN(BK770,IF(AND(H770=1,C770="重要关系1",LEFT('幕间与结算'!H677,8)="建立新的重要关系"),'幕间与结算'!E677+E770,BQ769+IF(C770="重要关系1",E770,0)+IF(AND(C770="魅力",E770&lt;0),E770,0))))</x:f>
        <x:v>0</x:v>
      </x:c>
      <x:c r="BR770">
        <x:f>MAX(0,MIN(BK770,IF(AND(H770=1,C770="重要关系2",LEFT('幕间与结算'!H677,8)="建立新的重要关系"),'幕间与结算'!E677+E770,BR769+IF(C770="重要关系2",E770,0)+IF(AND(C770="魅力",E770&lt;0),E770,0))))</x:f>
        <x:v>0</x:v>
      </x:c>
      <x:c r="BS770">
        <x:f>MAX(0,MIN(BK770,IF(AND(H770=1,C770="重要关系3",LEFT('幕间与结算'!H677,8)="建立新的重要关系"),'幕间与结算'!E677+E770,BS769+IF(C770="重要关系3",E770,0)+IF(AND(C770="魅力",E770&lt;0),E770,0))))</x:f>
        <x:v>0</x:v>
      </x:c>
      <x:c r="BT770">
        <x:f>MAX(0,MIN(BK770,IF(AND(H770=1,C770="重要关系4",LEFT('幕间与结算'!H677,8)="建立新的重要关系"),'幕间与结算'!E677+E770,BT769+IF(C770="重要关系4",E770,0)+IF(AND(C770="魅力",E770&lt;0),E770,0))))</x:f>
        <x:v>0</x:v>
      </x:c>
      <x:c r="BU770">
        <x:f>MAX(0,MIN(BK770,IF(AND(H770=1,C770="重要关系5",LEFT('幕间与结算'!H677,8)="建立新的重要关系"),'幕间与结算'!E677+E770,BU769+IF(C770="重要关系5",E770,0)+IF(AND(C770="魅力",E770&lt;0),E770,0))))</x:f>
        <x:v>0</x:v>
      </x:c>
      <x:c r="BV770">
        <x:f>MAX(0,MIN(BK770,IF(AND(H770=1,C770="重要关系6",LEFT('幕间与结算'!H677,8)="建立新的重要关系"),'幕间与结算'!E677+E770,BV769+IF(C770="重要关系6",E770,0)+IF(AND(C770="魅力",E770&lt;0),E770,0))))</x:f>
        <x:v>0</x:v>
      </x:c>
      <x:c r="BW770">
        <x:f>MAX(0,MIN(BK770,IF(AND(H770=1,C770="重要关系7",LEFT('幕间与结算'!H677,8)="建立新的重要关系"),'幕间与结算'!E677+E770,BW769+IF(C770="重要关系7",E770,0)+IF(AND(C770="魅力",E770&lt;0),E770,0))))</x:f>
        <x:v>0</x:v>
      </x:c>
    </x:row>
    <x:row r="771">
      <x:c r="A771" t="str">
        <x:f>IFERROR(TEXT(VALUE('幕间与结算'!A678),"00"),"")</x:f>
        <x:v>00</x:v>
      </x:c>
      <x:c r="B771">
        <x:f>'幕间与结算'!B678</x:f>
        <x:v>0</x:v>
      </x:c>
      <x:c r="C771">
        <x:f>'幕间与结算'!D678</x:f>
        <x:v>0</x:v>
      </x:c>
      <x:c r="D771">
        <x:f>'幕间与结算'!F678</x:f>
        <x:v>0</x:v>
      </x:c>
      <x:c r="E771">
        <x:f>IF(H771=1,MAX(-'幕间与结算'!E678,MIN(D771,IF(LEFT(C771,3)="技能：",99,IF(COUNTIF($L$2:$L$7,C771)&gt;0,18,999))-'幕间与结算'!E678)),0)</x:f>
        <x:v>0</x:v>
      </x:c>
      <x:c r="F771" t="str">
        <x:f>IF(C771=0,"",IF(G771=0,"记录不完整",IF(H771=0,"重复未计","已计入")))</x:f>
        <x:v/>
      </x:c>
      <x:c r="G771">
        <x:f>IF(AND(AND('幕间与结算'!A678&lt;&gt;"",'幕间与结算'!B678&lt;&gt;"",'幕间与结算'!I678&lt;&gt;"",OR(LEFT(C771,3)="技能：",COUNTIF($L$2:$L$19,C771)&gt;0),ISNUMBER('幕间与结算'!E678),ISNUMBER('幕间与结算'!F678),ISNUMBER('幕间与结算'!G678),'幕间与结算'!E678&gt;=0,'幕间与结算'!G678='幕间与结算'!E678+'幕间与结算'!F678),OR(B771&lt;&gt;"成长",AND(LEFT(C771,3)="技能：",C771&lt;&gt;"技能：非自然知识",'幕间与结算'!E678&gt;=1,'幕间与结算'!E678&lt;=99,'幕间与结算'!F678&gt;=0,'幕间与结算'!F678&lt;=4,'幕间与结算'!G678&lt;=99))),1,0)</x:f>
        <x:v>0</x:v>
      </x:c>
      <x:c r="H771">
        <x:f>IF(AND(G771=1,COUNTIFS($I$200:I771,I771,$G$200:G771,1)=1),1,0)</x:f>
        <x:v>0</x:v>
      </x:c>
      <x:c r="I771" t="str">
        <x:f>IF(G771=1,IF(B771="成长",A771&amp;"-成长-"&amp;C771,'幕间与结算'!I678),"")</x:f>
        <x:v/>
      </x:c>
      <x:c r="BF771">
        <x:f>MAX(0,MIN(18,BF770+IF(C771="力量",E771,0)))</x:f>
        <x:v>0</x:v>
      </x:c>
      <x:c r="BG771">
        <x:f>MAX(0,MIN(18,BG770+IF(C771="体质",E771,0)))</x:f>
        <x:v>0</x:v>
      </x:c>
      <x:c r="BH771">
        <x:f>MAX(0,MIN(18,BH770+IF(C771="敏捷",E771,0)))</x:f>
        <x:v>0</x:v>
      </x:c>
      <x:c r="BI771">
        <x:f>MAX(0,MIN(18,BI770+IF(C771="智力",E771,0)))</x:f>
        <x:v>0</x:v>
      </x:c>
      <x:c r="BJ771">
        <x:f>MAX(0,MIN(18,BJ770+IF(C771="意志",E771,0)))</x:f>
        <x:v>0</x:v>
      </x:c>
      <x:c r="BK771">
        <x:f>MAX(0,MIN(18,BK770+IF(C771="魅力",E771,0)))</x:f>
        <x:v>0</x:v>
      </x:c>
      <x:c r="BL771">
        <x:f>MAX(0,MIN(99,BL770+IF(C771="技能：非自然知识",E771,0)))</x:f>
        <x:v>0</x:v>
      </x:c>
      <x:c r="BM771">
        <x:f>MAX(0,MIN(CEILING((BF771+BG771)/2,1),BM770+IF(C771="体力",E771,0)))</x:f>
        <x:v>0</x:v>
      </x:c>
      <x:c r="BN771">
        <x:f>MAX(0,MIN(BJ771,BN770+IF(C771="毅力",E771,0)))</x:f>
        <x:v>0</x:v>
      </x:c>
      <x:c r="BO771">
        <x:f>MAX(0,MIN(99-BL771,BO770+IF(C771="理智",E771,0)))</x:f>
        <x:v>0</x:v>
      </x:c>
      <x:c r="BP771">
        <x:f>MAX(0,MIN(99,BP770+IF(C771="崩溃点",E771,0)))</x:f>
        <x:v>0</x:v>
      </x:c>
      <x:c r="BQ771">
        <x:f>MAX(0,MIN(BK771,IF(AND(H771=1,C771="重要关系1",LEFT('幕间与结算'!H678,8)="建立新的重要关系"),'幕间与结算'!E678+E771,BQ770+IF(C771="重要关系1",E771,0)+IF(AND(C771="魅力",E771&lt;0),E771,0))))</x:f>
        <x:v>0</x:v>
      </x:c>
      <x:c r="BR771">
        <x:f>MAX(0,MIN(BK771,IF(AND(H771=1,C771="重要关系2",LEFT('幕间与结算'!H678,8)="建立新的重要关系"),'幕间与结算'!E678+E771,BR770+IF(C771="重要关系2",E771,0)+IF(AND(C771="魅力",E771&lt;0),E771,0))))</x:f>
        <x:v>0</x:v>
      </x:c>
      <x:c r="BS771">
        <x:f>MAX(0,MIN(BK771,IF(AND(H771=1,C771="重要关系3",LEFT('幕间与结算'!H678,8)="建立新的重要关系"),'幕间与结算'!E678+E771,BS770+IF(C771="重要关系3",E771,0)+IF(AND(C771="魅力",E771&lt;0),E771,0))))</x:f>
        <x:v>0</x:v>
      </x:c>
      <x:c r="BT771">
        <x:f>MAX(0,MIN(BK771,IF(AND(H771=1,C771="重要关系4",LEFT('幕间与结算'!H678,8)="建立新的重要关系"),'幕间与结算'!E678+E771,BT770+IF(C771="重要关系4",E771,0)+IF(AND(C771="魅力",E771&lt;0),E771,0))))</x:f>
        <x:v>0</x:v>
      </x:c>
      <x:c r="BU771">
        <x:f>MAX(0,MIN(BK771,IF(AND(H771=1,C771="重要关系5",LEFT('幕间与结算'!H678,8)="建立新的重要关系"),'幕间与结算'!E678+E771,BU770+IF(C771="重要关系5",E771,0)+IF(AND(C771="魅力",E771&lt;0),E771,0))))</x:f>
        <x:v>0</x:v>
      </x:c>
      <x:c r="BV771">
        <x:f>MAX(0,MIN(BK771,IF(AND(H771=1,C771="重要关系6",LEFT('幕间与结算'!H678,8)="建立新的重要关系"),'幕间与结算'!E678+E771,BV770+IF(C771="重要关系6",E771,0)+IF(AND(C771="魅力",E771&lt;0),E771,0))))</x:f>
        <x:v>0</x:v>
      </x:c>
      <x:c r="BW771">
        <x:f>MAX(0,MIN(BK771,IF(AND(H771=1,C771="重要关系7",LEFT('幕间与结算'!H678,8)="建立新的重要关系"),'幕间与结算'!E678+E771,BW770+IF(C771="重要关系7",E771,0)+IF(AND(C771="魅力",E771&lt;0),E771,0))))</x:f>
        <x:v>0</x:v>
      </x:c>
    </x:row>
    <x:row r="772">
      <x:c r="A772" t="str">
        <x:f>IFERROR(TEXT(VALUE('幕间与结算'!A679),"00"),"")</x:f>
        <x:v>00</x:v>
      </x:c>
      <x:c r="B772">
        <x:f>'幕间与结算'!B679</x:f>
        <x:v>0</x:v>
      </x:c>
      <x:c r="C772">
        <x:f>'幕间与结算'!D679</x:f>
        <x:v>0</x:v>
      </x:c>
      <x:c r="D772">
        <x:f>'幕间与结算'!F679</x:f>
        <x:v>0</x:v>
      </x:c>
      <x:c r="E772">
        <x:f>IF(H772=1,MAX(-'幕间与结算'!E679,MIN(D772,IF(LEFT(C772,3)="技能：",99,IF(COUNTIF($L$2:$L$7,C772)&gt;0,18,999))-'幕间与结算'!E679)),0)</x:f>
        <x:v>0</x:v>
      </x:c>
      <x:c r="F772" t="str">
        <x:f>IF(C772=0,"",IF(G772=0,"记录不完整",IF(H772=0,"重复未计","已计入")))</x:f>
        <x:v/>
      </x:c>
      <x:c r="G772">
        <x:f>IF(AND(AND('幕间与结算'!A679&lt;&gt;"",'幕间与结算'!B679&lt;&gt;"",'幕间与结算'!I679&lt;&gt;"",OR(LEFT(C772,3)="技能：",COUNTIF($L$2:$L$19,C772)&gt;0),ISNUMBER('幕间与结算'!E679),ISNUMBER('幕间与结算'!F679),ISNUMBER('幕间与结算'!G679),'幕间与结算'!E679&gt;=0,'幕间与结算'!G679='幕间与结算'!E679+'幕间与结算'!F679),OR(B772&lt;&gt;"成长",AND(LEFT(C772,3)="技能：",C772&lt;&gt;"技能：非自然知识",'幕间与结算'!E679&gt;=1,'幕间与结算'!E679&lt;=99,'幕间与结算'!F679&gt;=0,'幕间与结算'!F679&lt;=4,'幕间与结算'!G679&lt;=99))),1,0)</x:f>
        <x:v>0</x:v>
      </x:c>
      <x:c r="H772">
        <x:f>IF(AND(G772=1,COUNTIFS($I$200:I772,I772,$G$200:G772,1)=1),1,0)</x:f>
        <x:v>0</x:v>
      </x:c>
      <x:c r="I772" t="str">
        <x:f>IF(G772=1,IF(B772="成长",A772&amp;"-成长-"&amp;C772,'幕间与结算'!I679),"")</x:f>
        <x:v/>
      </x:c>
      <x:c r="BF772">
        <x:f>MAX(0,MIN(18,BF771+IF(C772="力量",E772,0)))</x:f>
        <x:v>0</x:v>
      </x:c>
      <x:c r="BG772">
        <x:f>MAX(0,MIN(18,BG771+IF(C772="体质",E772,0)))</x:f>
        <x:v>0</x:v>
      </x:c>
      <x:c r="BH772">
        <x:f>MAX(0,MIN(18,BH771+IF(C772="敏捷",E772,0)))</x:f>
        <x:v>0</x:v>
      </x:c>
      <x:c r="BI772">
        <x:f>MAX(0,MIN(18,BI771+IF(C772="智力",E772,0)))</x:f>
        <x:v>0</x:v>
      </x:c>
      <x:c r="BJ772">
        <x:f>MAX(0,MIN(18,BJ771+IF(C772="意志",E772,0)))</x:f>
        <x:v>0</x:v>
      </x:c>
      <x:c r="BK772">
        <x:f>MAX(0,MIN(18,BK771+IF(C772="魅力",E772,0)))</x:f>
        <x:v>0</x:v>
      </x:c>
      <x:c r="BL772">
        <x:f>MAX(0,MIN(99,BL771+IF(C772="技能：非自然知识",E772,0)))</x:f>
        <x:v>0</x:v>
      </x:c>
      <x:c r="BM772">
        <x:f>MAX(0,MIN(CEILING((BF772+BG772)/2,1),BM771+IF(C772="体力",E772,0)))</x:f>
        <x:v>0</x:v>
      </x:c>
      <x:c r="BN772">
        <x:f>MAX(0,MIN(BJ772,BN771+IF(C772="毅力",E772,0)))</x:f>
        <x:v>0</x:v>
      </x:c>
      <x:c r="BO772">
        <x:f>MAX(0,MIN(99-BL772,BO771+IF(C772="理智",E772,0)))</x:f>
        <x:v>0</x:v>
      </x:c>
      <x:c r="BP772">
        <x:f>MAX(0,MIN(99,BP771+IF(C772="崩溃点",E772,0)))</x:f>
        <x:v>0</x:v>
      </x:c>
      <x:c r="BQ772">
        <x:f>MAX(0,MIN(BK772,IF(AND(H772=1,C772="重要关系1",LEFT('幕间与结算'!H679,8)="建立新的重要关系"),'幕间与结算'!E679+E772,BQ771+IF(C772="重要关系1",E772,0)+IF(AND(C772="魅力",E772&lt;0),E772,0))))</x:f>
        <x:v>0</x:v>
      </x:c>
      <x:c r="BR772">
        <x:f>MAX(0,MIN(BK772,IF(AND(H772=1,C772="重要关系2",LEFT('幕间与结算'!H679,8)="建立新的重要关系"),'幕间与结算'!E679+E772,BR771+IF(C772="重要关系2",E772,0)+IF(AND(C772="魅力",E772&lt;0),E772,0))))</x:f>
        <x:v>0</x:v>
      </x:c>
      <x:c r="BS772">
        <x:f>MAX(0,MIN(BK772,IF(AND(H772=1,C772="重要关系3",LEFT('幕间与结算'!H679,8)="建立新的重要关系"),'幕间与结算'!E679+E772,BS771+IF(C772="重要关系3",E772,0)+IF(AND(C772="魅力",E772&lt;0),E772,0))))</x:f>
        <x:v>0</x:v>
      </x:c>
      <x:c r="BT772">
        <x:f>MAX(0,MIN(BK772,IF(AND(H772=1,C772="重要关系4",LEFT('幕间与结算'!H679,8)="建立新的重要关系"),'幕间与结算'!E679+E772,BT771+IF(C772="重要关系4",E772,0)+IF(AND(C772="魅力",E772&lt;0),E772,0))))</x:f>
        <x:v>0</x:v>
      </x:c>
      <x:c r="BU772">
        <x:f>MAX(0,MIN(BK772,IF(AND(H772=1,C772="重要关系5",LEFT('幕间与结算'!H679,8)="建立新的重要关系"),'幕间与结算'!E679+E772,BU771+IF(C772="重要关系5",E772,0)+IF(AND(C772="魅力",E772&lt;0),E772,0))))</x:f>
        <x:v>0</x:v>
      </x:c>
      <x:c r="BV772">
        <x:f>MAX(0,MIN(BK772,IF(AND(H772=1,C772="重要关系6",LEFT('幕间与结算'!H679,8)="建立新的重要关系"),'幕间与结算'!E679+E772,BV771+IF(C772="重要关系6",E772,0)+IF(AND(C772="魅力",E772&lt;0),E772,0))))</x:f>
        <x:v>0</x:v>
      </x:c>
      <x:c r="BW772">
        <x:f>MAX(0,MIN(BK772,IF(AND(H772=1,C772="重要关系7",LEFT('幕间与结算'!H679,8)="建立新的重要关系"),'幕间与结算'!E679+E772,BW771+IF(C772="重要关系7",E772,0)+IF(AND(C772="魅力",E772&lt;0),E772,0))))</x:f>
        <x:v>0</x:v>
      </x:c>
    </x:row>
    <x:row r="773">
      <x:c r="A773" t="str">
        <x:f>IFERROR(TEXT(VALUE('幕间与结算'!A680),"00"),"")</x:f>
        <x:v>00</x:v>
      </x:c>
      <x:c r="B773">
        <x:f>'幕间与结算'!B680</x:f>
        <x:v>0</x:v>
      </x:c>
      <x:c r="C773">
        <x:f>'幕间与结算'!D680</x:f>
        <x:v>0</x:v>
      </x:c>
      <x:c r="D773">
        <x:f>'幕间与结算'!F680</x:f>
        <x:v>0</x:v>
      </x:c>
      <x:c r="E773">
        <x:f>IF(H773=1,MAX(-'幕间与结算'!E680,MIN(D773,IF(LEFT(C773,3)="技能：",99,IF(COUNTIF($L$2:$L$7,C773)&gt;0,18,999))-'幕间与结算'!E680)),0)</x:f>
        <x:v>0</x:v>
      </x:c>
      <x:c r="F773" t="str">
        <x:f>IF(C773=0,"",IF(G773=0,"记录不完整",IF(H773=0,"重复未计","已计入")))</x:f>
        <x:v/>
      </x:c>
      <x:c r="G773">
        <x:f>IF(AND(AND('幕间与结算'!A680&lt;&gt;"",'幕间与结算'!B680&lt;&gt;"",'幕间与结算'!I680&lt;&gt;"",OR(LEFT(C773,3)="技能：",COUNTIF($L$2:$L$19,C773)&gt;0),ISNUMBER('幕间与结算'!E680),ISNUMBER('幕间与结算'!F680),ISNUMBER('幕间与结算'!G680),'幕间与结算'!E680&gt;=0,'幕间与结算'!G680='幕间与结算'!E680+'幕间与结算'!F680),OR(B773&lt;&gt;"成长",AND(LEFT(C773,3)="技能：",C773&lt;&gt;"技能：非自然知识",'幕间与结算'!E680&gt;=1,'幕间与结算'!E680&lt;=99,'幕间与结算'!F680&gt;=0,'幕间与结算'!F680&lt;=4,'幕间与结算'!G680&lt;=99))),1,0)</x:f>
        <x:v>0</x:v>
      </x:c>
      <x:c r="H773">
        <x:f>IF(AND(G773=1,COUNTIFS($I$200:I773,I773,$G$200:G773,1)=1),1,0)</x:f>
        <x:v>0</x:v>
      </x:c>
      <x:c r="I773" t="str">
        <x:f>IF(G773=1,IF(B773="成长",A773&amp;"-成长-"&amp;C773,'幕间与结算'!I680),"")</x:f>
        <x:v/>
      </x:c>
      <x:c r="BF773">
        <x:f>MAX(0,MIN(18,BF772+IF(C773="力量",E773,0)))</x:f>
        <x:v>0</x:v>
      </x:c>
      <x:c r="BG773">
        <x:f>MAX(0,MIN(18,BG772+IF(C773="体质",E773,0)))</x:f>
        <x:v>0</x:v>
      </x:c>
      <x:c r="BH773">
        <x:f>MAX(0,MIN(18,BH772+IF(C773="敏捷",E773,0)))</x:f>
        <x:v>0</x:v>
      </x:c>
      <x:c r="BI773">
        <x:f>MAX(0,MIN(18,BI772+IF(C773="智力",E773,0)))</x:f>
        <x:v>0</x:v>
      </x:c>
      <x:c r="BJ773">
        <x:f>MAX(0,MIN(18,BJ772+IF(C773="意志",E773,0)))</x:f>
        <x:v>0</x:v>
      </x:c>
      <x:c r="BK773">
        <x:f>MAX(0,MIN(18,BK772+IF(C773="魅力",E773,0)))</x:f>
        <x:v>0</x:v>
      </x:c>
      <x:c r="BL773">
        <x:f>MAX(0,MIN(99,BL772+IF(C773="技能：非自然知识",E773,0)))</x:f>
        <x:v>0</x:v>
      </x:c>
      <x:c r="BM773">
        <x:f>MAX(0,MIN(CEILING((BF773+BG773)/2,1),BM772+IF(C773="体力",E773,0)))</x:f>
        <x:v>0</x:v>
      </x:c>
      <x:c r="BN773">
        <x:f>MAX(0,MIN(BJ773,BN772+IF(C773="毅力",E773,0)))</x:f>
        <x:v>0</x:v>
      </x:c>
      <x:c r="BO773">
        <x:f>MAX(0,MIN(99-BL773,BO772+IF(C773="理智",E773,0)))</x:f>
        <x:v>0</x:v>
      </x:c>
      <x:c r="BP773">
        <x:f>MAX(0,MIN(99,BP772+IF(C773="崩溃点",E773,0)))</x:f>
        <x:v>0</x:v>
      </x:c>
      <x:c r="BQ773">
        <x:f>MAX(0,MIN(BK773,IF(AND(H773=1,C773="重要关系1",LEFT('幕间与结算'!H680,8)="建立新的重要关系"),'幕间与结算'!E680+E773,BQ772+IF(C773="重要关系1",E773,0)+IF(AND(C773="魅力",E773&lt;0),E773,0))))</x:f>
        <x:v>0</x:v>
      </x:c>
      <x:c r="BR773">
        <x:f>MAX(0,MIN(BK773,IF(AND(H773=1,C773="重要关系2",LEFT('幕间与结算'!H680,8)="建立新的重要关系"),'幕间与结算'!E680+E773,BR772+IF(C773="重要关系2",E773,0)+IF(AND(C773="魅力",E773&lt;0),E773,0))))</x:f>
        <x:v>0</x:v>
      </x:c>
      <x:c r="BS773">
        <x:f>MAX(0,MIN(BK773,IF(AND(H773=1,C773="重要关系3",LEFT('幕间与结算'!H680,8)="建立新的重要关系"),'幕间与结算'!E680+E773,BS772+IF(C773="重要关系3",E773,0)+IF(AND(C773="魅力",E773&lt;0),E773,0))))</x:f>
        <x:v>0</x:v>
      </x:c>
      <x:c r="BT773">
        <x:f>MAX(0,MIN(BK773,IF(AND(H773=1,C773="重要关系4",LEFT('幕间与结算'!H680,8)="建立新的重要关系"),'幕间与结算'!E680+E773,BT772+IF(C773="重要关系4",E773,0)+IF(AND(C773="魅力",E773&lt;0),E773,0))))</x:f>
        <x:v>0</x:v>
      </x:c>
      <x:c r="BU773">
        <x:f>MAX(0,MIN(BK773,IF(AND(H773=1,C773="重要关系5",LEFT('幕间与结算'!H680,8)="建立新的重要关系"),'幕间与结算'!E680+E773,BU772+IF(C773="重要关系5",E773,0)+IF(AND(C773="魅力",E773&lt;0),E773,0))))</x:f>
        <x:v>0</x:v>
      </x:c>
      <x:c r="BV773">
        <x:f>MAX(0,MIN(BK773,IF(AND(H773=1,C773="重要关系6",LEFT('幕间与结算'!H680,8)="建立新的重要关系"),'幕间与结算'!E680+E773,BV772+IF(C773="重要关系6",E773,0)+IF(AND(C773="魅力",E773&lt;0),E773,0))))</x:f>
        <x:v>0</x:v>
      </x:c>
      <x:c r="BW773">
        <x:f>MAX(0,MIN(BK773,IF(AND(H773=1,C773="重要关系7",LEFT('幕间与结算'!H680,8)="建立新的重要关系"),'幕间与结算'!E680+E773,BW772+IF(C773="重要关系7",E773,0)+IF(AND(C773="魅力",E773&lt;0),E773,0))))</x:f>
        <x:v>0</x:v>
      </x:c>
    </x:row>
    <x:row r="774">
      <x:c r="A774" t="str">
        <x:f>IFERROR(TEXT(VALUE('幕间与结算'!A681),"00"),"")</x:f>
        <x:v>00</x:v>
      </x:c>
      <x:c r="B774">
        <x:f>'幕间与结算'!B681</x:f>
        <x:v>0</x:v>
      </x:c>
      <x:c r="C774">
        <x:f>'幕间与结算'!D681</x:f>
        <x:v>0</x:v>
      </x:c>
      <x:c r="D774">
        <x:f>'幕间与结算'!F681</x:f>
        <x:v>0</x:v>
      </x:c>
      <x:c r="E774">
        <x:f>IF(H774=1,MAX(-'幕间与结算'!E681,MIN(D774,IF(LEFT(C774,3)="技能：",99,IF(COUNTIF($L$2:$L$7,C774)&gt;0,18,999))-'幕间与结算'!E681)),0)</x:f>
        <x:v>0</x:v>
      </x:c>
      <x:c r="F774" t="str">
        <x:f>IF(C774=0,"",IF(G774=0,"记录不完整",IF(H774=0,"重复未计","已计入")))</x:f>
        <x:v/>
      </x:c>
      <x:c r="G774">
        <x:f>IF(AND(AND('幕间与结算'!A681&lt;&gt;"",'幕间与结算'!B681&lt;&gt;"",'幕间与结算'!I681&lt;&gt;"",OR(LEFT(C774,3)="技能：",COUNTIF($L$2:$L$19,C774)&gt;0),ISNUMBER('幕间与结算'!E681),ISNUMBER('幕间与结算'!F681),ISNUMBER('幕间与结算'!G681),'幕间与结算'!E681&gt;=0,'幕间与结算'!G681='幕间与结算'!E681+'幕间与结算'!F681),OR(B774&lt;&gt;"成长",AND(LEFT(C774,3)="技能：",C774&lt;&gt;"技能：非自然知识",'幕间与结算'!E681&gt;=1,'幕间与结算'!E681&lt;=99,'幕间与结算'!F681&gt;=0,'幕间与结算'!F681&lt;=4,'幕间与结算'!G681&lt;=99))),1,0)</x:f>
        <x:v>0</x:v>
      </x:c>
      <x:c r="H774">
        <x:f>IF(AND(G774=1,COUNTIFS($I$200:I774,I774,$G$200:G774,1)=1),1,0)</x:f>
        <x:v>0</x:v>
      </x:c>
      <x:c r="I774" t="str">
        <x:f>IF(G774=1,IF(B774="成长",A774&amp;"-成长-"&amp;C774,'幕间与结算'!I681),"")</x:f>
        <x:v/>
      </x:c>
      <x:c r="BF774">
        <x:f>MAX(0,MIN(18,BF773+IF(C774="力量",E774,0)))</x:f>
        <x:v>0</x:v>
      </x:c>
      <x:c r="BG774">
        <x:f>MAX(0,MIN(18,BG773+IF(C774="体质",E774,0)))</x:f>
        <x:v>0</x:v>
      </x:c>
      <x:c r="BH774">
        <x:f>MAX(0,MIN(18,BH773+IF(C774="敏捷",E774,0)))</x:f>
        <x:v>0</x:v>
      </x:c>
      <x:c r="BI774">
        <x:f>MAX(0,MIN(18,BI773+IF(C774="智力",E774,0)))</x:f>
        <x:v>0</x:v>
      </x:c>
      <x:c r="BJ774">
        <x:f>MAX(0,MIN(18,BJ773+IF(C774="意志",E774,0)))</x:f>
        <x:v>0</x:v>
      </x:c>
      <x:c r="BK774">
        <x:f>MAX(0,MIN(18,BK773+IF(C774="魅力",E774,0)))</x:f>
        <x:v>0</x:v>
      </x:c>
      <x:c r="BL774">
        <x:f>MAX(0,MIN(99,BL773+IF(C774="技能：非自然知识",E774,0)))</x:f>
        <x:v>0</x:v>
      </x:c>
      <x:c r="BM774">
        <x:f>MAX(0,MIN(CEILING((BF774+BG774)/2,1),BM773+IF(C774="体力",E774,0)))</x:f>
        <x:v>0</x:v>
      </x:c>
      <x:c r="BN774">
        <x:f>MAX(0,MIN(BJ774,BN773+IF(C774="毅力",E774,0)))</x:f>
        <x:v>0</x:v>
      </x:c>
      <x:c r="BO774">
        <x:f>MAX(0,MIN(99-BL774,BO773+IF(C774="理智",E774,0)))</x:f>
        <x:v>0</x:v>
      </x:c>
      <x:c r="BP774">
        <x:f>MAX(0,MIN(99,BP773+IF(C774="崩溃点",E774,0)))</x:f>
        <x:v>0</x:v>
      </x:c>
      <x:c r="BQ774">
        <x:f>MAX(0,MIN(BK774,IF(AND(H774=1,C774="重要关系1",LEFT('幕间与结算'!H681,8)="建立新的重要关系"),'幕间与结算'!E681+E774,BQ773+IF(C774="重要关系1",E774,0)+IF(AND(C774="魅力",E774&lt;0),E774,0))))</x:f>
        <x:v>0</x:v>
      </x:c>
      <x:c r="BR774">
        <x:f>MAX(0,MIN(BK774,IF(AND(H774=1,C774="重要关系2",LEFT('幕间与结算'!H681,8)="建立新的重要关系"),'幕间与结算'!E681+E774,BR773+IF(C774="重要关系2",E774,0)+IF(AND(C774="魅力",E774&lt;0),E774,0))))</x:f>
        <x:v>0</x:v>
      </x:c>
      <x:c r="BS774">
        <x:f>MAX(0,MIN(BK774,IF(AND(H774=1,C774="重要关系3",LEFT('幕间与结算'!H681,8)="建立新的重要关系"),'幕间与结算'!E681+E774,BS773+IF(C774="重要关系3",E774,0)+IF(AND(C774="魅力",E774&lt;0),E774,0))))</x:f>
        <x:v>0</x:v>
      </x:c>
      <x:c r="BT774">
        <x:f>MAX(0,MIN(BK774,IF(AND(H774=1,C774="重要关系4",LEFT('幕间与结算'!H681,8)="建立新的重要关系"),'幕间与结算'!E681+E774,BT773+IF(C774="重要关系4",E774,0)+IF(AND(C774="魅力",E774&lt;0),E774,0))))</x:f>
        <x:v>0</x:v>
      </x:c>
      <x:c r="BU774">
        <x:f>MAX(0,MIN(BK774,IF(AND(H774=1,C774="重要关系5",LEFT('幕间与结算'!H681,8)="建立新的重要关系"),'幕间与结算'!E681+E774,BU773+IF(C774="重要关系5",E774,0)+IF(AND(C774="魅力",E774&lt;0),E774,0))))</x:f>
        <x:v>0</x:v>
      </x:c>
      <x:c r="BV774">
        <x:f>MAX(0,MIN(BK774,IF(AND(H774=1,C774="重要关系6",LEFT('幕间与结算'!H681,8)="建立新的重要关系"),'幕间与结算'!E681+E774,BV773+IF(C774="重要关系6",E774,0)+IF(AND(C774="魅力",E774&lt;0),E774,0))))</x:f>
        <x:v>0</x:v>
      </x:c>
      <x:c r="BW774">
        <x:f>MAX(0,MIN(BK774,IF(AND(H774=1,C774="重要关系7",LEFT('幕间与结算'!H681,8)="建立新的重要关系"),'幕间与结算'!E681+E774,BW773+IF(C774="重要关系7",E774,0)+IF(AND(C774="魅力",E774&lt;0),E774,0))))</x:f>
        <x:v>0</x:v>
      </x:c>
    </x:row>
    <x:row r="775">
      <x:c r="A775" t="str">
        <x:f>IFERROR(TEXT(VALUE('幕间与结算'!A682),"00"),"")</x:f>
        <x:v>00</x:v>
      </x:c>
      <x:c r="B775">
        <x:f>'幕间与结算'!B682</x:f>
        <x:v>0</x:v>
      </x:c>
      <x:c r="C775">
        <x:f>'幕间与结算'!D682</x:f>
        <x:v>0</x:v>
      </x:c>
      <x:c r="D775">
        <x:f>'幕间与结算'!F682</x:f>
        <x:v>0</x:v>
      </x:c>
      <x:c r="E775">
        <x:f>IF(H775=1,MAX(-'幕间与结算'!E682,MIN(D775,IF(LEFT(C775,3)="技能：",99,IF(COUNTIF($L$2:$L$7,C775)&gt;0,18,999))-'幕间与结算'!E682)),0)</x:f>
        <x:v>0</x:v>
      </x:c>
      <x:c r="F775" t="str">
        <x:f>IF(C775=0,"",IF(G775=0,"记录不完整",IF(H775=0,"重复未计","已计入")))</x:f>
        <x:v/>
      </x:c>
      <x:c r="G775">
        <x:f>IF(AND(AND('幕间与结算'!A682&lt;&gt;"",'幕间与结算'!B682&lt;&gt;"",'幕间与结算'!I682&lt;&gt;"",OR(LEFT(C775,3)="技能：",COUNTIF($L$2:$L$19,C775)&gt;0),ISNUMBER('幕间与结算'!E682),ISNUMBER('幕间与结算'!F682),ISNUMBER('幕间与结算'!G682),'幕间与结算'!E682&gt;=0,'幕间与结算'!G682='幕间与结算'!E682+'幕间与结算'!F682),OR(B775&lt;&gt;"成长",AND(LEFT(C775,3)="技能：",C775&lt;&gt;"技能：非自然知识",'幕间与结算'!E682&gt;=1,'幕间与结算'!E682&lt;=99,'幕间与结算'!F682&gt;=0,'幕间与结算'!F682&lt;=4,'幕间与结算'!G682&lt;=99))),1,0)</x:f>
        <x:v>0</x:v>
      </x:c>
      <x:c r="H775">
        <x:f>IF(AND(G775=1,COUNTIFS($I$200:I775,I775,$G$200:G775,1)=1),1,0)</x:f>
        <x:v>0</x:v>
      </x:c>
      <x:c r="I775" t="str">
        <x:f>IF(G775=1,IF(B775="成长",A775&amp;"-成长-"&amp;C775,'幕间与结算'!I682),"")</x:f>
        <x:v/>
      </x:c>
      <x:c r="BF775">
        <x:f>MAX(0,MIN(18,BF774+IF(C775="力量",E775,0)))</x:f>
        <x:v>0</x:v>
      </x:c>
      <x:c r="BG775">
        <x:f>MAX(0,MIN(18,BG774+IF(C775="体质",E775,0)))</x:f>
        <x:v>0</x:v>
      </x:c>
      <x:c r="BH775">
        <x:f>MAX(0,MIN(18,BH774+IF(C775="敏捷",E775,0)))</x:f>
        <x:v>0</x:v>
      </x:c>
      <x:c r="BI775">
        <x:f>MAX(0,MIN(18,BI774+IF(C775="智力",E775,0)))</x:f>
        <x:v>0</x:v>
      </x:c>
      <x:c r="BJ775">
        <x:f>MAX(0,MIN(18,BJ774+IF(C775="意志",E775,0)))</x:f>
        <x:v>0</x:v>
      </x:c>
      <x:c r="BK775">
        <x:f>MAX(0,MIN(18,BK774+IF(C775="魅力",E775,0)))</x:f>
        <x:v>0</x:v>
      </x:c>
      <x:c r="BL775">
        <x:f>MAX(0,MIN(99,BL774+IF(C775="技能：非自然知识",E775,0)))</x:f>
        <x:v>0</x:v>
      </x:c>
      <x:c r="BM775">
        <x:f>MAX(0,MIN(CEILING((BF775+BG775)/2,1),BM774+IF(C775="体力",E775,0)))</x:f>
        <x:v>0</x:v>
      </x:c>
      <x:c r="BN775">
        <x:f>MAX(0,MIN(BJ775,BN774+IF(C775="毅力",E775,0)))</x:f>
        <x:v>0</x:v>
      </x:c>
      <x:c r="BO775">
        <x:f>MAX(0,MIN(99-BL775,BO774+IF(C775="理智",E775,0)))</x:f>
        <x:v>0</x:v>
      </x:c>
      <x:c r="BP775">
        <x:f>MAX(0,MIN(99,BP774+IF(C775="崩溃点",E775,0)))</x:f>
        <x:v>0</x:v>
      </x:c>
      <x:c r="BQ775">
        <x:f>MAX(0,MIN(BK775,IF(AND(H775=1,C775="重要关系1",LEFT('幕间与结算'!H682,8)="建立新的重要关系"),'幕间与结算'!E682+E775,BQ774+IF(C775="重要关系1",E775,0)+IF(AND(C775="魅力",E775&lt;0),E775,0))))</x:f>
        <x:v>0</x:v>
      </x:c>
      <x:c r="BR775">
        <x:f>MAX(0,MIN(BK775,IF(AND(H775=1,C775="重要关系2",LEFT('幕间与结算'!H682,8)="建立新的重要关系"),'幕间与结算'!E682+E775,BR774+IF(C775="重要关系2",E775,0)+IF(AND(C775="魅力",E775&lt;0),E775,0))))</x:f>
        <x:v>0</x:v>
      </x:c>
      <x:c r="BS775">
        <x:f>MAX(0,MIN(BK775,IF(AND(H775=1,C775="重要关系3",LEFT('幕间与结算'!H682,8)="建立新的重要关系"),'幕间与结算'!E682+E775,BS774+IF(C775="重要关系3",E775,0)+IF(AND(C775="魅力",E775&lt;0),E775,0))))</x:f>
        <x:v>0</x:v>
      </x:c>
      <x:c r="BT775">
        <x:f>MAX(0,MIN(BK775,IF(AND(H775=1,C775="重要关系4",LEFT('幕间与结算'!H682,8)="建立新的重要关系"),'幕间与结算'!E682+E775,BT774+IF(C775="重要关系4",E775,0)+IF(AND(C775="魅力",E775&lt;0),E775,0))))</x:f>
        <x:v>0</x:v>
      </x:c>
      <x:c r="BU775">
        <x:f>MAX(0,MIN(BK775,IF(AND(H775=1,C775="重要关系5",LEFT('幕间与结算'!H682,8)="建立新的重要关系"),'幕间与结算'!E682+E775,BU774+IF(C775="重要关系5",E775,0)+IF(AND(C775="魅力",E775&lt;0),E775,0))))</x:f>
        <x:v>0</x:v>
      </x:c>
      <x:c r="BV775">
        <x:f>MAX(0,MIN(BK775,IF(AND(H775=1,C775="重要关系6",LEFT('幕间与结算'!H682,8)="建立新的重要关系"),'幕间与结算'!E682+E775,BV774+IF(C775="重要关系6",E775,0)+IF(AND(C775="魅力",E775&lt;0),E775,0))))</x:f>
        <x:v>0</x:v>
      </x:c>
      <x:c r="BW775">
        <x:f>MAX(0,MIN(BK775,IF(AND(H775=1,C775="重要关系7",LEFT('幕间与结算'!H682,8)="建立新的重要关系"),'幕间与结算'!E682+E775,BW774+IF(C775="重要关系7",E775,0)+IF(AND(C775="魅力",E775&lt;0),E775,0))))</x:f>
        <x:v>0</x:v>
      </x:c>
    </x:row>
    <x:row r="776">
      <x:c r="A776" t="str">
        <x:f>IFERROR(TEXT(VALUE('幕间与结算'!A683),"00"),"")</x:f>
        <x:v>00</x:v>
      </x:c>
      <x:c r="B776">
        <x:f>'幕间与结算'!B683</x:f>
        <x:v>0</x:v>
      </x:c>
      <x:c r="C776">
        <x:f>'幕间与结算'!D683</x:f>
        <x:v>0</x:v>
      </x:c>
      <x:c r="D776">
        <x:f>'幕间与结算'!F683</x:f>
        <x:v>0</x:v>
      </x:c>
      <x:c r="E776">
        <x:f>IF(H776=1,MAX(-'幕间与结算'!E683,MIN(D776,IF(LEFT(C776,3)="技能：",99,IF(COUNTIF($L$2:$L$7,C776)&gt;0,18,999))-'幕间与结算'!E683)),0)</x:f>
        <x:v>0</x:v>
      </x:c>
      <x:c r="F776" t="str">
        <x:f>IF(C776=0,"",IF(G776=0,"记录不完整",IF(H776=0,"重复未计","已计入")))</x:f>
        <x:v/>
      </x:c>
      <x:c r="G776">
        <x:f>IF(AND(AND('幕间与结算'!A683&lt;&gt;"",'幕间与结算'!B683&lt;&gt;"",'幕间与结算'!I683&lt;&gt;"",OR(LEFT(C776,3)="技能：",COUNTIF($L$2:$L$19,C776)&gt;0),ISNUMBER('幕间与结算'!E683),ISNUMBER('幕间与结算'!F683),ISNUMBER('幕间与结算'!G683),'幕间与结算'!E683&gt;=0,'幕间与结算'!G683='幕间与结算'!E683+'幕间与结算'!F683),OR(B776&lt;&gt;"成长",AND(LEFT(C776,3)="技能：",C776&lt;&gt;"技能：非自然知识",'幕间与结算'!E683&gt;=1,'幕间与结算'!E683&lt;=99,'幕间与结算'!F683&gt;=0,'幕间与结算'!F683&lt;=4,'幕间与结算'!G683&lt;=99))),1,0)</x:f>
        <x:v>0</x:v>
      </x:c>
      <x:c r="H776">
        <x:f>IF(AND(G776=1,COUNTIFS($I$200:I776,I776,$G$200:G776,1)=1),1,0)</x:f>
        <x:v>0</x:v>
      </x:c>
      <x:c r="I776" t="str">
        <x:f>IF(G776=1,IF(B776="成长",A776&amp;"-成长-"&amp;C776,'幕间与结算'!I683),"")</x:f>
        <x:v/>
      </x:c>
      <x:c r="BF776">
        <x:f>MAX(0,MIN(18,BF775+IF(C776="力量",E776,0)))</x:f>
        <x:v>0</x:v>
      </x:c>
      <x:c r="BG776">
        <x:f>MAX(0,MIN(18,BG775+IF(C776="体质",E776,0)))</x:f>
        <x:v>0</x:v>
      </x:c>
      <x:c r="BH776">
        <x:f>MAX(0,MIN(18,BH775+IF(C776="敏捷",E776,0)))</x:f>
        <x:v>0</x:v>
      </x:c>
      <x:c r="BI776">
        <x:f>MAX(0,MIN(18,BI775+IF(C776="智力",E776,0)))</x:f>
        <x:v>0</x:v>
      </x:c>
      <x:c r="BJ776">
        <x:f>MAX(0,MIN(18,BJ775+IF(C776="意志",E776,0)))</x:f>
        <x:v>0</x:v>
      </x:c>
      <x:c r="BK776">
        <x:f>MAX(0,MIN(18,BK775+IF(C776="魅力",E776,0)))</x:f>
        <x:v>0</x:v>
      </x:c>
      <x:c r="BL776">
        <x:f>MAX(0,MIN(99,BL775+IF(C776="技能：非自然知识",E776,0)))</x:f>
        <x:v>0</x:v>
      </x:c>
      <x:c r="BM776">
        <x:f>MAX(0,MIN(CEILING((BF776+BG776)/2,1),BM775+IF(C776="体力",E776,0)))</x:f>
        <x:v>0</x:v>
      </x:c>
      <x:c r="BN776">
        <x:f>MAX(0,MIN(BJ776,BN775+IF(C776="毅力",E776,0)))</x:f>
        <x:v>0</x:v>
      </x:c>
      <x:c r="BO776">
        <x:f>MAX(0,MIN(99-BL776,BO775+IF(C776="理智",E776,0)))</x:f>
        <x:v>0</x:v>
      </x:c>
      <x:c r="BP776">
        <x:f>MAX(0,MIN(99,BP775+IF(C776="崩溃点",E776,0)))</x:f>
        <x:v>0</x:v>
      </x:c>
      <x:c r="BQ776">
        <x:f>MAX(0,MIN(BK776,IF(AND(H776=1,C776="重要关系1",LEFT('幕间与结算'!H683,8)="建立新的重要关系"),'幕间与结算'!E683+E776,BQ775+IF(C776="重要关系1",E776,0)+IF(AND(C776="魅力",E776&lt;0),E776,0))))</x:f>
        <x:v>0</x:v>
      </x:c>
      <x:c r="BR776">
        <x:f>MAX(0,MIN(BK776,IF(AND(H776=1,C776="重要关系2",LEFT('幕间与结算'!H683,8)="建立新的重要关系"),'幕间与结算'!E683+E776,BR775+IF(C776="重要关系2",E776,0)+IF(AND(C776="魅力",E776&lt;0),E776,0))))</x:f>
        <x:v>0</x:v>
      </x:c>
      <x:c r="BS776">
        <x:f>MAX(0,MIN(BK776,IF(AND(H776=1,C776="重要关系3",LEFT('幕间与结算'!H683,8)="建立新的重要关系"),'幕间与结算'!E683+E776,BS775+IF(C776="重要关系3",E776,0)+IF(AND(C776="魅力",E776&lt;0),E776,0))))</x:f>
        <x:v>0</x:v>
      </x:c>
      <x:c r="BT776">
        <x:f>MAX(0,MIN(BK776,IF(AND(H776=1,C776="重要关系4",LEFT('幕间与结算'!H683,8)="建立新的重要关系"),'幕间与结算'!E683+E776,BT775+IF(C776="重要关系4",E776,0)+IF(AND(C776="魅力",E776&lt;0),E776,0))))</x:f>
        <x:v>0</x:v>
      </x:c>
      <x:c r="BU776">
        <x:f>MAX(0,MIN(BK776,IF(AND(H776=1,C776="重要关系5",LEFT('幕间与结算'!H683,8)="建立新的重要关系"),'幕间与结算'!E683+E776,BU775+IF(C776="重要关系5",E776,0)+IF(AND(C776="魅力",E776&lt;0),E776,0))))</x:f>
        <x:v>0</x:v>
      </x:c>
      <x:c r="BV776">
        <x:f>MAX(0,MIN(BK776,IF(AND(H776=1,C776="重要关系6",LEFT('幕间与结算'!H683,8)="建立新的重要关系"),'幕间与结算'!E683+E776,BV775+IF(C776="重要关系6",E776,0)+IF(AND(C776="魅力",E776&lt;0),E776,0))))</x:f>
        <x:v>0</x:v>
      </x:c>
      <x:c r="BW776">
        <x:f>MAX(0,MIN(BK776,IF(AND(H776=1,C776="重要关系7",LEFT('幕间与结算'!H683,8)="建立新的重要关系"),'幕间与结算'!E683+E776,BW775+IF(C776="重要关系7",E776,0)+IF(AND(C776="魅力",E776&lt;0),E776,0))))</x:f>
        <x:v>0</x:v>
      </x:c>
    </x:row>
    <x:row r="777">
      <x:c r="A777" t="str">
        <x:f>IFERROR(TEXT(VALUE('幕间与结算'!A684),"00"),"")</x:f>
        <x:v>00</x:v>
      </x:c>
      <x:c r="B777">
        <x:f>'幕间与结算'!B684</x:f>
        <x:v>0</x:v>
      </x:c>
      <x:c r="C777">
        <x:f>'幕间与结算'!D684</x:f>
        <x:v>0</x:v>
      </x:c>
      <x:c r="D777">
        <x:f>'幕间与结算'!F684</x:f>
        <x:v>0</x:v>
      </x:c>
      <x:c r="E777">
        <x:f>IF(H777=1,MAX(-'幕间与结算'!E684,MIN(D777,IF(LEFT(C777,3)="技能：",99,IF(COUNTIF($L$2:$L$7,C777)&gt;0,18,999))-'幕间与结算'!E684)),0)</x:f>
        <x:v>0</x:v>
      </x:c>
      <x:c r="F777" t="str">
        <x:f>IF(C777=0,"",IF(G777=0,"记录不完整",IF(H777=0,"重复未计","已计入")))</x:f>
        <x:v/>
      </x:c>
      <x:c r="G777">
        <x:f>IF(AND(AND('幕间与结算'!A684&lt;&gt;"",'幕间与结算'!B684&lt;&gt;"",'幕间与结算'!I684&lt;&gt;"",OR(LEFT(C777,3)="技能：",COUNTIF($L$2:$L$19,C777)&gt;0),ISNUMBER('幕间与结算'!E684),ISNUMBER('幕间与结算'!F684),ISNUMBER('幕间与结算'!G684),'幕间与结算'!E684&gt;=0,'幕间与结算'!G684='幕间与结算'!E684+'幕间与结算'!F684),OR(B777&lt;&gt;"成长",AND(LEFT(C777,3)="技能：",C777&lt;&gt;"技能：非自然知识",'幕间与结算'!E684&gt;=1,'幕间与结算'!E684&lt;=99,'幕间与结算'!F684&gt;=0,'幕间与结算'!F684&lt;=4,'幕间与结算'!G684&lt;=99))),1,0)</x:f>
        <x:v>0</x:v>
      </x:c>
      <x:c r="H777">
        <x:f>IF(AND(G777=1,COUNTIFS($I$200:I777,I777,$G$200:G777,1)=1),1,0)</x:f>
        <x:v>0</x:v>
      </x:c>
      <x:c r="I777" t="str">
        <x:f>IF(G777=1,IF(B777="成长",A777&amp;"-成长-"&amp;C777,'幕间与结算'!I684),"")</x:f>
        <x:v/>
      </x:c>
      <x:c r="BF777">
        <x:f>MAX(0,MIN(18,BF776+IF(C777="力量",E777,0)))</x:f>
        <x:v>0</x:v>
      </x:c>
      <x:c r="BG777">
        <x:f>MAX(0,MIN(18,BG776+IF(C777="体质",E777,0)))</x:f>
        <x:v>0</x:v>
      </x:c>
      <x:c r="BH777">
        <x:f>MAX(0,MIN(18,BH776+IF(C777="敏捷",E777,0)))</x:f>
        <x:v>0</x:v>
      </x:c>
      <x:c r="BI777">
        <x:f>MAX(0,MIN(18,BI776+IF(C777="智力",E777,0)))</x:f>
        <x:v>0</x:v>
      </x:c>
      <x:c r="BJ777">
        <x:f>MAX(0,MIN(18,BJ776+IF(C777="意志",E777,0)))</x:f>
        <x:v>0</x:v>
      </x:c>
      <x:c r="BK777">
        <x:f>MAX(0,MIN(18,BK776+IF(C777="魅力",E777,0)))</x:f>
        <x:v>0</x:v>
      </x:c>
      <x:c r="BL777">
        <x:f>MAX(0,MIN(99,BL776+IF(C777="技能：非自然知识",E777,0)))</x:f>
        <x:v>0</x:v>
      </x:c>
      <x:c r="BM777">
        <x:f>MAX(0,MIN(CEILING((BF777+BG777)/2,1),BM776+IF(C777="体力",E777,0)))</x:f>
        <x:v>0</x:v>
      </x:c>
      <x:c r="BN777">
        <x:f>MAX(0,MIN(BJ777,BN776+IF(C777="毅力",E777,0)))</x:f>
        <x:v>0</x:v>
      </x:c>
      <x:c r="BO777">
        <x:f>MAX(0,MIN(99-BL777,BO776+IF(C777="理智",E777,0)))</x:f>
        <x:v>0</x:v>
      </x:c>
      <x:c r="BP777">
        <x:f>MAX(0,MIN(99,BP776+IF(C777="崩溃点",E777,0)))</x:f>
        <x:v>0</x:v>
      </x:c>
      <x:c r="BQ777">
        <x:f>MAX(0,MIN(BK777,IF(AND(H777=1,C777="重要关系1",LEFT('幕间与结算'!H684,8)="建立新的重要关系"),'幕间与结算'!E684+E777,BQ776+IF(C777="重要关系1",E777,0)+IF(AND(C777="魅力",E777&lt;0),E777,0))))</x:f>
        <x:v>0</x:v>
      </x:c>
      <x:c r="BR777">
        <x:f>MAX(0,MIN(BK777,IF(AND(H777=1,C777="重要关系2",LEFT('幕间与结算'!H684,8)="建立新的重要关系"),'幕间与结算'!E684+E777,BR776+IF(C777="重要关系2",E777,0)+IF(AND(C777="魅力",E777&lt;0),E777,0))))</x:f>
        <x:v>0</x:v>
      </x:c>
      <x:c r="BS777">
        <x:f>MAX(0,MIN(BK777,IF(AND(H777=1,C777="重要关系3",LEFT('幕间与结算'!H684,8)="建立新的重要关系"),'幕间与结算'!E684+E777,BS776+IF(C777="重要关系3",E777,0)+IF(AND(C777="魅力",E777&lt;0),E777,0))))</x:f>
        <x:v>0</x:v>
      </x:c>
      <x:c r="BT777">
        <x:f>MAX(0,MIN(BK777,IF(AND(H777=1,C777="重要关系4",LEFT('幕间与结算'!H684,8)="建立新的重要关系"),'幕间与结算'!E684+E777,BT776+IF(C777="重要关系4",E777,0)+IF(AND(C777="魅力",E777&lt;0),E777,0))))</x:f>
        <x:v>0</x:v>
      </x:c>
      <x:c r="BU777">
        <x:f>MAX(0,MIN(BK777,IF(AND(H777=1,C777="重要关系5",LEFT('幕间与结算'!H684,8)="建立新的重要关系"),'幕间与结算'!E684+E777,BU776+IF(C777="重要关系5",E777,0)+IF(AND(C777="魅力",E777&lt;0),E777,0))))</x:f>
        <x:v>0</x:v>
      </x:c>
      <x:c r="BV777">
        <x:f>MAX(0,MIN(BK777,IF(AND(H777=1,C777="重要关系6",LEFT('幕间与结算'!H684,8)="建立新的重要关系"),'幕间与结算'!E684+E777,BV776+IF(C777="重要关系6",E777,0)+IF(AND(C777="魅力",E777&lt;0),E777,0))))</x:f>
        <x:v>0</x:v>
      </x:c>
      <x:c r="BW777">
        <x:f>MAX(0,MIN(BK777,IF(AND(H777=1,C777="重要关系7",LEFT('幕间与结算'!H684,8)="建立新的重要关系"),'幕间与结算'!E684+E777,BW776+IF(C777="重要关系7",E777,0)+IF(AND(C777="魅力",E777&lt;0),E777,0))))</x:f>
        <x:v>0</x:v>
      </x:c>
    </x:row>
    <x:row r="778">
      <x:c r="A778" t="str">
        <x:f>IFERROR(TEXT(VALUE('幕间与结算'!A685),"00"),"")</x:f>
        <x:v>00</x:v>
      </x:c>
      <x:c r="B778">
        <x:f>'幕间与结算'!B685</x:f>
        <x:v>0</x:v>
      </x:c>
      <x:c r="C778">
        <x:f>'幕间与结算'!D685</x:f>
        <x:v>0</x:v>
      </x:c>
      <x:c r="D778">
        <x:f>'幕间与结算'!F685</x:f>
        <x:v>0</x:v>
      </x:c>
      <x:c r="E778">
        <x:f>IF(H778=1,MAX(-'幕间与结算'!E685,MIN(D778,IF(LEFT(C778,3)="技能：",99,IF(COUNTIF($L$2:$L$7,C778)&gt;0,18,999))-'幕间与结算'!E685)),0)</x:f>
        <x:v>0</x:v>
      </x:c>
      <x:c r="F778" t="str">
        <x:f>IF(C778=0,"",IF(G778=0,"记录不完整",IF(H778=0,"重复未计","已计入")))</x:f>
        <x:v/>
      </x:c>
      <x:c r="G778">
        <x:f>IF(AND(AND('幕间与结算'!A685&lt;&gt;"",'幕间与结算'!B685&lt;&gt;"",'幕间与结算'!I685&lt;&gt;"",OR(LEFT(C778,3)="技能：",COUNTIF($L$2:$L$19,C778)&gt;0),ISNUMBER('幕间与结算'!E685),ISNUMBER('幕间与结算'!F685),ISNUMBER('幕间与结算'!G685),'幕间与结算'!E685&gt;=0,'幕间与结算'!G685='幕间与结算'!E685+'幕间与结算'!F685),OR(B778&lt;&gt;"成长",AND(LEFT(C778,3)="技能：",C778&lt;&gt;"技能：非自然知识",'幕间与结算'!E685&gt;=1,'幕间与结算'!E685&lt;=99,'幕间与结算'!F685&gt;=0,'幕间与结算'!F685&lt;=4,'幕间与结算'!G685&lt;=99))),1,0)</x:f>
        <x:v>0</x:v>
      </x:c>
      <x:c r="H778">
        <x:f>IF(AND(G778=1,COUNTIFS($I$200:I778,I778,$G$200:G778,1)=1),1,0)</x:f>
        <x:v>0</x:v>
      </x:c>
      <x:c r="I778" t="str">
        <x:f>IF(G778=1,IF(B778="成长",A778&amp;"-成长-"&amp;C778,'幕间与结算'!I685),"")</x:f>
        <x:v/>
      </x:c>
      <x:c r="BF778">
        <x:f>MAX(0,MIN(18,BF777+IF(C778="力量",E778,0)))</x:f>
        <x:v>0</x:v>
      </x:c>
      <x:c r="BG778">
        <x:f>MAX(0,MIN(18,BG777+IF(C778="体质",E778,0)))</x:f>
        <x:v>0</x:v>
      </x:c>
      <x:c r="BH778">
        <x:f>MAX(0,MIN(18,BH777+IF(C778="敏捷",E778,0)))</x:f>
        <x:v>0</x:v>
      </x:c>
      <x:c r="BI778">
        <x:f>MAX(0,MIN(18,BI777+IF(C778="智力",E778,0)))</x:f>
        <x:v>0</x:v>
      </x:c>
      <x:c r="BJ778">
        <x:f>MAX(0,MIN(18,BJ777+IF(C778="意志",E778,0)))</x:f>
        <x:v>0</x:v>
      </x:c>
      <x:c r="BK778">
        <x:f>MAX(0,MIN(18,BK777+IF(C778="魅力",E778,0)))</x:f>
        <x:v>0</x:v>
      </x:c>
      <x:c r="BL778">
        <x:f>MAX(0,MIN(99,BL777+IF(C778="技能：非自然知识",E778,0)))</x:f>
        <x:v>0</x:v>
      </x:c>
      <x:c r="BM778">
        <x:f>MAX(0,MIN(CEILING((BF778+BG778)/2,1),BM777+IF(C778="体力",E778,0)))</x:f>
        <x:v>0</x:v>
      </x:c>
      <x:c r="BN778">
        <x:f>MAX(0,MIN(BJ778,BN777+IF(C778="毅力",E778,0)))</x:f>
        <x:v>0</x:v>
      </x:c>
      <x:c r="BO778">
        <x:f>MAX(0,MIN(99-BL778,BO777+IF(C778="理智",E778,0)))</x:f>
        <x:v>0</x:v>
      </x:c>
      <x:c r="BP778">
        <x:f>MAX(0,MIN(99,BP777+IF(C778="崩溃点",E778,0)))</x:f>
        <x:v>0</x:v>
      </x:c>
      <x:c r="BQ778">
        <x:f>MAX(0,MIN(BK778,IF(AND(H778=1,C778="重要关系1",LEFT('幕间与结算'!H685,8)="建立新的重要关系"),'幕间与结算'!E685+E778,BQ777+IF(C778="重要关系1",E778,0)+IF(AND(C778="魅力",E778&lt;0),E778,0))))</x:f>
        <x:v>0</x:v>
      </x:c>
      <x:c r="BR778">
        <x:f>MAX(0,MIN(BK778,IF(AND(H778=1,C778="重要关系2",LEFT('幕间与结算'!H685,8)="建立新的重要关系"),'幕间与结算'!E685+E778,BR777+IF(C778="重要关系2",E778,0)+IF(AND(C778="魅力",E778&lt;0),E778,0))))</x:f>
        <x:v>0</x:v>
      </x:c>
      <x:c r="BS778">
        <x:f>MAX(0,MIN(BK778,IF(AND(H778=1,C778="重要关系3",LEFT('幕间与结算'!H685,8)="建立新的重要关系"),'幕间与结算'!E685+E778,BS777+IF(C778="重要关系3",E778,0)+IF(AND(C778="魅力",E778&lt;0),E778,0))))</x:f>
        <x:v>0</x:v>
      </x:c>
      <x:c r="BT778">
        <x:f>MAX(0,MIN(BK778,IF(AND(H778=1,C778="重要关系4",LEFT('幕间与结算'!H685,8)="建立新的重要关系"),'幕间与结算'!E685+E778,BT777+IF(C778="重要关系4",E778,0)+IF(AND(C778="魅力",E778&lt;0),E778,0))))</x:f>
        <x:v>0</x:v>
      </x:c>
      <x:c r="BU778">
        <x:f>MAX(0,MIN(BK778,IF(AND(H778=1,C778="重要关系5",LEFT('幕间与结算'!H685,8)="建立新的重要关系"),'幕间与结算'!E685+E778,BU777+IF(C778="重要关系5",E778,0)+IF(AND(C778="魅力",E778&lt;0),E778,0))))</x:f>
        <x:v>0</x:v>
      </x:c>
      <x:c r="BV778">
        <x:f>MAX(0,MIN(BK778,IF(AND(H778=1,C778="重要关系6",LEFT('幕间与结算'!H685,8)="建立新的重要关系"),'幕间与结算'!E685+E778,BV777+IF(C778="重要关系6",E778,0)+IF(AND(C778="魅力",E778&lt;0),E778,0))))</x:f>
        <x:v>0</x:v>
      </x:c>
      <x:c r="BW778">
        <x:f>MAX(0,MIN(BK778,IF(AND(H778=1,C778="重要关系7",LEFT('幕间与结算'!H685,8)="建立新的重要关系"),'幕间与结算'!E685+E778,BW777+IF(C778="重要关系7",E778,0)+IF(AND(C778="魅力",E778&lt;0),E778,0))))</x:f>
        <x:v>0</x:v>
      </x:c>
    </x:row>
    <x:row r="779">
      <x:c r="A779" t="str">
        <x:f>IFERROR(TEXT(VALUE('幕间与结算'!A686),"00"),"")</x:f>
        <x:v>00</x:v>
      </x:c>
      <x:c r="B779">
        <x:f>'幕间与结算'!B686</x:f>
        <x:v>0</x:v>
      </x:c>
      <x:c r="C779">
        <x:f>'幕间与结算'!D686</x:f>
        <x:v>0</x:v>
      </x:c>
      <x:c r="D779">
        <x:f>'幕间与结算'!F686</x:f>
        <x:v>0</x:v>
      </x:c>
      <x:c r="E779">
        <x:f>IF(H779=1,MAX(-'幕间与结算'!E686,MIN(D779,IF(LEFT(C779,3)="技能：",99,IF(COUNTIF($L$2:$L$7,C779)&gt;0,18,999))-'幕间与结算'!E686)),0)</x:f>
        <x:v>0</x:v>
      </x:c>
      <x:c r="F779" t="str">
        <x:f>IF(C779=0,"",IF(G779=0,"记录不完整",IF(H779=0,"重复未计","已计入")))</x:f>
        <x:v/>
      </x:c>
      <x:c r="G779">
        <x:f>IF(AND(AND('幕间与结算'!A686&lt;&gt;"",'幕间与结算'!B686&lt;&gt;"",'幕间与结算'!I686&lt;&gt;"",OR(LEFT(C779,3)="技能：",COUNTIF($L$2:$L$19,C779)&gt;0),ISNUMBER('幕间与结算'!E686),ISNUMBER('幕间与结算'!F686),ISNUMBER('幕间与结算'!G686),'幕间与结算'!E686&gt;=0,'幕间与结算'!G686='幕间与结算'!E686+'幕间与结算'!F686),OR(B779&lt;&gt;"成长",AND(LEFT(C779,3)="技能：",C779&lt;&gt;"技能：非自然知识",'幕间与结算'!E686&gt;=1,'幕间与结算'!E686&lt;=99,'幕间与结算'!F686&gt;=0,'幕间与结算'!F686&lt;=4,'幕间与结算'!G686&lt;=99))),1,0)</x:f>
        <x:v>0</x:v>
      </x:c>
      <x:c r="H779">
        <x:f>IF(AND(G779=1,COUNTIFS($I$200:I779,I779,$G$200:G779,1)=1),1,0)</x:f>
        <x:v>0</x:v>
      </x:c>
      <x:c r="I779" t="str">
        <x:f>IF(G779=1,IF(B779="成长",A779&amp;"-成长-"&amp;C779,'幕间与结算'!I686),"")</x:f>
        <x:v/>
      </x:c>
      <x:c r="BF779">
        <x:f>MAX(0,MIN(18,BF778+IF(C779="力量",E779,0)))</x:f>
        <x:v>0</x:v>
      </x:c>
      <x:c r="BG779">
        <x:f>MAX(0,MIN(18,BG778+IF(C779="体质",E779,0)))</x:f>
        <x:v>0</x:v>
      </x:c>
      <x:c r="BH779">
        <x:f>MAX(0,MIN(18,BH778+IF(C779="敏捷",E779,0)))</x:f>
        <x:v>0</x:v>
      </x:c>
      <x:c r="BI779">
        <x:f>MAX(0,MIN(18,BI778+IF(C779="智力",E779,0)))</x:f>
        <x:v>0</x:v>
      </x:c>
      <x:c r="BJ779">
        <x:f>MAX(0,MIN(18,BJ778+IF(C779="意志",E779,0)))</x:f>
        <x:v>0</x:v>
      </x:c>
      <x:c r="BK779">
        <x:f>MAX(0,MIN(18,BK778+IF(C779="魅力",E779,0)))</x:f>
        <x:v>0</x:v>
      </x:c>
      <x:c r="BL779">
        <x:f>MAX(0,MIN(99,BL778+IF(C779="技能：非自然知识",E779,0)))</x:f>
        <x:v>0</x:v>
      </x:c>
      <x:c r="BM779">
        <x:f>MAX(0,MIN(CEILING((BF779+BG779)/2,1),BM778+IF(C779="体力",E779,0)))</x:f>
        <x:v>0</x:v>
      </x:c>
      <x:c r="BN779">
        <x:f>MAX(0,MIN(BJ779,BN778+IF(C779="毅力",E779,0)))</x:f>
        <x:v>0</x:v>
      </x:c>
      <x:c r="BO779">
        <x:f>MAX(0,MIN(99-BL779,BO778+IF(C779="理智",E779,0)))</x:f>
        <x:v>0</x:v>
      </x:c>
      <x:c r="BP779">
        <x:f>MAX(0,MIN(99,BP778+IF(C779="崩溃点",E779,0)))</x:f>
        <x:v>0</x:v>
      </x:c>
      <x:c r="BQ779">
        <x:f>MAX(0,MIN(BK779,IF(AND(H779=1,C779="重要关系1",LEFT('幕间与结算'!H686,8)="建立新的重要关系"),'幕间与结算'!E686+E779,BQ778+IF(C779="重要关系1",E779,0)+IF(AND(C779="魅力",E779&lt;0),E779,0))))</x:f>
        <x:v>0</x:v>
      </x:c>
      <x:c r="BR779">
        <x:f>MAX(0,MIN(BK779,IF(AND(H779=1,C779="重要关系2",LEFT('幕间与结算'!H686,8)="建立新的重要关系"),'幕间与结算'!E686+E779,BR778+IF(C779="重要关系2",E779,0)+IF(AND(C779="魅力",E779&lt;0),E779,0))))</x:f>
        <x:v>0</x:v>
      </x:c>
      <x:c r="BS779">
        <x:f>MAX(0,MIN(BK779,IF(AND(H779=1,C779="重要关系3",LEFT('幕间与结算'!H686,8)="建立新的重要关系"),'幕间与结算'!E686+E779,BS778+IF(C779="重要关系3",E779,0)+IF(AND(C779="魅力",E779&lt;0),E779,0))))</x:f>
        <x:v>0</x:v>
      </x:c>
      <x:c r="BT779">
        <x:f>MAX(0,MIN(BK779,IF(AND(H779=1,C779="重要关系4",LEFT('幕间与结算'!H686,8)="建立新的重要关系"),'幕间与结算'!E686+E779,BT778+IF(C779="重要关系4",E779,0)+IF(AND(C779="魅力",E779&lt;0),E779,0))))</x:f>
        <x:v>0</x:v>
      </x:c>
      <x:c r="BU779">
        <x:f>MAX(0,MIN(BK779,IF(AND(H779=1,C779="重要关系5",LEFT('幕间与结算'!H686,8)="建立新的重要关系"),'幕间与结算'!E686+E779,BU778+IF(C779="重要关系5",E779,0)+IF(AND(C779="魅力",E779&lt;0),E779,0))))</x:f>
        <x:v>0</x:v>
      </x:c>
      <x:c r="BV779">
        <x:f>MAX(0,MIN(BK779,IF(AND(H779=1,C779="重要关系6",LEFT('幕间与结算'!H686,8)="建立新的重要关系"),'幕间与结算'!E686+E779,BV778+IF(C779="重要关系6",E779,0)+IF(AND(C779="魅力",E779&lt;0),E779,0))))</x:f>
        <x:v>0</x:v>
      </x:c>
      <x:c r="BW779">
        <x:f>MAX(0,MIN(BK779,IF(AND(H779=1,C779="重要关系7",LEFT('幕间与结算'!H686,8)="建立新的重要关系"),'幕间与结算'!E686+E779,BW778+IF(C779="重要关系7",E779,0)+IF(AND(C779="魅力",E779&lt;0),E779,0))))</x:f>
        <x:v>0</x:v>
      </x:c>
    </x:row>
    <x:row r="780">
      <x:c r="A780" t="str">
        <x:f>IFERROR(TEXT(VALUE('幕间与结算'!A687),"00"),"")</x:f>
        <x:v>00</x:v>
      </x:c>
      <x:c r="B780">
        <x:f>'幕间与结算'!B687</x:f>
        <x:v>0</x:v>
      </x:c>
      <x:c r="C780">
        <x:f>'幕间与结算'!D687</x:f>
        <x:v>0</x:v>
      </x:c>
      <x:c r="D780">
        <x:f>'幕间与结算'!F687</x:f>
        <x:v>0</x:v>
      </x:c>
      <x:c r="E780">
        <x:f>IF(H780=1,MAX(-'幕间与结算'!E687,MIN(D780,IF(LEFT(C780,3)="技能：",99,IF(COUNTIF($L$2:$L$7,C780)&gt;0,18,999))-'幕间与结算'!E687)),0)</x:f>
        <x:v>0</x:v>
      </x:c>
      <x:c r="F780" t="str">
        <x:f>IF(C780=0,"",IF(G780=0,"记录不完整",IF(H780=0,"重复未计","已计入")))</x:f>
        <x:v/>
      </x:c>
      <x:c r="G780">
        <x:f>IF(AND(AND('幕间与结算'!A687&lt;&gt;"",'幕间与结算'!B687&lt;&gt;"",'幕间与结算'!I687&lt;&gt;"",OR(LEFT(C780,3)="技能：",COUNTIF($L$2:$L$19,C780)&gt;0),ISNUMBER('幕间与结算'!E687),ISNUMBER('幕间与结算'!F687),ISNUMBER('幕间与结算'!G687),'幕间与结算'!E687&gt;=0,'幕间与结算'!G687='幕间与结算'!E687+'幕间与结算'!F687),OR(B780&lt;&gt;"成长",AND(LEFT(C780,3)="技能：",C780&lt;&gt;"技能：非自然知识",'幕间与结算'!E687&gt;=1,'幕间与结算'!E687&lt;=99,'幕间与结算'!F687&gt;=0,'幕间与结算'!F687&lt;=4,'幕间与结算'!G687&lt;=99))),1,0)</x:f>
        <x:v>0</x:v>
      </x:c>
      <x:c r="H780">
        <x:f>IF(AND(G780=1,COUNTIFS($I$200:I780,I780,$G$200:G780,1)=1),1,0)</x:f>
        <x:v>0</x:v>
      </x:c>
      <x:c r="I780" t="str">
        <x:f>IF(G780=1,IF(B780="成长",A780&amp;"-成长-"&amp;C780,'幕间与结算'!I687),"")</x:f>
        <x:v/>
      </x:c>
      <x:c r="BF780">
        <x:f>MAX(0,MIN(18,BF779+IF(C780="力量",E780,0)))</x:f>
        <x:v>0</x:v>
      </x:c>
      <x:c r="BG780">
        <x:f>MAX(0,MIN(18,BG779+IF(C780="体质",E780,0)))</x:f>
        <x:v>0</x:v>
      </x:c>
      <x:c r="BH780">
        <x:f>MAX(0,MIN(18,BH779+IF(C780="敏捷",E780,0)))</x:f>
        <x:v>0</x:v>
      </x:c>
      <x:c r="BI780">
        <x:f>MAX(0,MIN(18,BI779+IF(C780="智力",E780,0)))</x:f>
        <x:v>0</x:v>
      </x:c>
      <x:c r="BJ780">
        <x:f>MAX(0,MIN(18,BJ779+IF(C780="意志",E780,0)))</x:f>
        <x:v>0</x:v>
      </x:c>
      <x:c r="BK780">
        <x:f>MAX(0,MIN(18,BK779+IF(C780="魅力",E780,0)))</x:f>
        <x:v>0</x:v>
      </x:c>
      <x:c r="BL780">
        <x:f>MAX(0,MIN(99,BL779+IF(C780="技能：非自然知识",E780,0)))</x:f>
        <x:v>0</x:v>
      </x:c>
      <x:c r="BM780">
        <x:f>MAX(0,MIN(CEILING((BF780+BG780)/2,1),BM779+IF(C780="体力",E780,0)))</x:f>
        <x:v>0</x:v>
      </x:c>
      <x:c r="BN780">
        <x:f>MAX(0,MIN(BJ780,BN779+IF(C780="毅力",E780,0)))</x:f>
        <x:v>0</x:v>
      </x:c>
      <x:c r="BO780">
        <x:f>MAX(0,MIN(99-BL780,BO779+IF(C780="理智",E780,0)))</x:f>
        <x:v>0</x:v>
      </x:c>
      <x:c r="BP780">
        <x:f>MAX(0,MIN(99,BP779+IF(C780="崩溃点",E780,0)))</x:f>
        <x:v>0</x:v>
      </x:c>
      <x:c r="BQ780">
        <x:f>MAX(0,MIN(BK780,IF(AND(H780=1,C780="重要关系1",LEFT('幕间与结算'!H687,8)="建立新的重要关系"),'幕间与结算'!E687+E780,BQ779+IF(C780="重要关系1",E780,0)+IF(AND(C780="魅力",E780&lt;0),E780,0))))</x:f>
        <x:v>0</x:v>
      </x:c>
      <x:c r="BR780">
        <x:f>MAX(0,MIN(BK780,IF(AND(H780=1,C780="重要关系2",LEFT('幕间与结算'!H687,8)="建立新的重要关系"),'幕间与结算'!E687+E780,BR779+IF(C780="重要关系2",E780,0)+IF(AND(C780="魅力",E780&lt;0),E780,0))))</x:f>
        <x:v>0</x:v>
      </x:c>
      <x:c r="BS780">
        <x:f>MAX(0,MIN(BK780,IF(AND(H780=1,C780="重要关系3",LEFT('幕间与结算'!H687,8)="建立新的重要关系"),'幕间与结算'!E687+E780,BS779+IF(C780="重要关系3",E780,0)+IF(AND(C780="魅力",E780&lt;0),E780,0))))</x:f>
        <x:v>0</x:v>
      </x:c>
      <x:c r="BT780">
        <x:f>MAX(0,MIN(BK780,IF(AND(H780=1,C780="重要关系4",LEFT('幕间与结算'!H687,8)="建立新的重要关系"),'幕间与结算'!E687+E780,BT779+IF(C780="重要关系4",E780,0)+IF(AND(C780="魅力",E780&lt;0),E780,0))))</x:f>
        <x:v>0</x:v>
      </x:c>
      <x:c r="BU780">
        <x:f>MAX(0,MIN(BK780,IF(AND(H780=1,C780="重要关系5",LEFT('幕间与结算'!H687,8)="建立新的重要关系"),'幕间与结算'!E687+E780,BU779+IF(C780="重要关系5",E780,0)+IF(AND(C780="魅力",E780&lt;0),E780,0))))</x:f>
        <x:v>0</x:v>
      </x:c>
      <x:c r="BV780">
        <x:f>MAX(0,MIN(BK780,IF(AND(H780=1,C780="重要关系6",LEFT('幕间与结算'!H687,8)="建立新的重要关系"),'幕间与结算'!E687+E780,BV779+IF(C780="重要关系6",E780,0)+IF(AND(C780="魅力",E780&lt;0),E780,0))))</x:f>
        <x:v>0</x:v>
      </x:c>
      <x:c r="BW780">
        <x:f>MAX(0,MIN(BK780,IF(AND(H780=1,C780="重要关系7",LEFT('幕间与结算'!H687,8)="建立新的重要关系"),'幕间与结算'!E687+E780,BW779+IF(C780="重要关系7",E780,0)+IF(AND(C780="魅力",E780&lt;0),E780,0))))</x:f>
        <x:v>0</x:v>
      </x:c>
    </x:row>
    <x:row r="781">
      <x:c r="A781" t="str">
        <x:f>IFERROR(TEXT(VALUE('幕间与结算'!A688),"00"),"")</x:f>
        <x:v>00</x:v>
      </x:c>
      <x:c r="B781">
        <x:f>'幕间与结算'!B688</x:f>
        <x:v>0</x:v>
      </x:c>
      <x:c r="C781">
        <x:f>'幕间与结算'!D688</x:f>
        <x:v>0</x:v>
      </x:c>
      <x:c r="D781">
        <x:f>'幕间与结算'!F688</x:f>
        <x:v>0</x:v>
      </x:c>
      <x:c r="E781">
        <x:f>IF(H781=1,MAX(-'幕间与结算'!E688,MIN(D781,IF(LEFT(C781,3)="技能：",99,IF(COUNTIF($L$2:$L$7,C781)&gt;0,18,999))-'幕间与结算'!E688)),0)</x:f>
        <x:v>0</x:v>
      </x:c>
      <x:c r="F781" t="str">
        <x:f>IF(C781=0,"",IF(G781=0,"记录不完整",IF(H781=0,"重复未计","已计入")))</x:f>
        <x:v/>
      </x:c>
      <x:c r="G781">
        <x:f>IF(AND(AND('幕间与结算'!A688&lt;&gt;"",'幕间与结算'!B688&lt;&gt;"",'幕间与结算'!I688&lt;&gt;"",OR(LEFT(C781,3)="技能：",COUNTIF($L$2:$L$19,C781)&gt;0),ISNUMBER('幕间与结算'!E688),ISNUMBER('幕间与结算'!F688),ISNUMBER('幕间与结算'!G688),'幕间与结算'!E688&gt;=0,'幕间与结算'!G688='幕间与结算'!E688+'幕间与结算'!F688),OR(B781&lt;&gt;"成长",AND(LEFT(C781,3)="技能：",C781&lt;&gt;"技能：非自然知识",'幕间与结算'!E688&gt;=1,'幕间与结算'!E688&lt;=99,'幕间与结算'!F688&gt;=0,'幕间与结算'!F688&lt;=4,'幕间与结算'!G688&lt;=99))),1,0)</x:f>
        <x:v>0</x:v>
      </x:c>
      <x:c r="H781">
        <x:f>IF(AND(G781=1,COUNTIFS($I$200:I781,I781,$G$200:G781,1)=1),1,0)</x:f>
        <x:v>0</x:v>
      </x:c>
      <x:c r="I781" t="str">
        <x:f>IF(G781=1,IF(B781="成长",A781&amp;"-成长-"&amp;C781,'幕间与结算'!I688),"")</x:f>
        <x:v/>
      </x:c>
      <x:c r="BF781">
        <x:f>MAX(0,MIN(18,BF780+IF(C781="力量",E781,0)))</x:f>
        <x:v>0</x:v>
      </x:c>
      <x:c r="BG781">
        <x:f>MAX(0,MIN(18,BG780+IF(C781="体质",E781,0)))</x:f>
        <x:v>0</x:v>
      </x:c>
      <x:c r="BH781">
        <x:f>MAX(0,MIN(18,BH780+IF(C781="敏捷",E781,0)))</x:f>
        <x:v>0</x:v>
      </x:c>
      <x:c r="BI781">
        <x:f>MAX(0,MIN(18,BI780+IF(C781="智力",E781,0)))</x:f>
        <x:v>0</x:v>
      </x:c>
      <x:c r="BJ781">
        <x:f>MAX(0,MIN(18,BJ780+IF(C781="意志",E781,0)))</x:f>
        <x:v>0</x:v>
      </x:c>
      <x:c r="BK781">
        <x:f>MAX(0,MIN(18,BK780+IF(C781="魅力",E781,0)))</x:f>
        <x:v>0</x:v>
      </x:c>
      <x:c r="BL781">
        <x:f>MAX(0,MIN(99,BL780+IF(C781="技能：非自然知识",E781,0)))</x:f>
        <x:v>0</x:v>
      </x:c>
      <x:c r="BM781">
        <x:f>MAX(0,MIN(CEILING((BF781+BG781)/2,1),BM780+IF(C781="体力",E781,0)))</x:f>
        <x:v>0</x:v>
      </x:c>
      <x:c r="BN781">
        <x:f>MAX(0,MIN(BJ781,BN780+IF(C781="毅力",E781,0)))</x:f>
        <x:v>0</x:v>
      </x:c>
      <x:c r="BO781">
        <x:f>MAX(0,MIN(99-BL781,BO780+IF(C781="理智",E781,0)))</x:f>
        <x:v>0</x:v>
      </x:c>
      <x:c r="BP781">
        <x:f>MAX(0,MIN(99,BP780+IF(C781="崩溃点",E781,0)))</x:f>
        <x:v>0</x:v>
      </x:c>
      <x:c r="BQ781">
        <x:f>MAX(0,MIN(BK781,IF(AND(H781=1,C781="重要关系1",LEFT('幕间与结算'!H688,8)="建立新的重要关系"),'幕间与结算'!E688+E781,BQ780+IF(C781="重要关系1",E781,0)+IF(AND(C781="魅力",E781&lt;0),E781,0))))</x:f>
        <x:v>0</x:v>
      </x:c>
      <x:c r="BR781">
        <x:f>MAX(0,MIN(BK781,IF(AND(H781=1,C781="重要关系2",LEFT('幕间与结算'!H688,8)="建立新的重要关系"),'幕间与结算'!E688+E781,BR780+IF(C781="重要关系2",E781,0)+IF(AND(C781="魅力",E781&lt;0),E781,0))))</x:f>
        <x:v>0</x:v>
      </x:c>
      <x:c r="BS781">
        <x:f>MAX(0,MIN(BK781,IF(AND(H781=1,C781="重要关系3",LEFT('幕间与结算'!H688,8)="建立新的重要关系"),'幕间与结算'!E688+E781,BS780+IF(C781="重要关系3",E781,0)+IF(AND(C781="魅力",E781&lt;0),E781,0))))</x:f>
        <x:v>0</x:v>
      </x:c>
      <x:c r="BT781">
        <x:f>MAX(0,MIN(BK781,IF(AND(H781=1,C781="重要关系4",LEFT('幕间与结算'!H688,8)="建立新的重要关系"),'幕间与结算'!E688+E781,BT780+IF(C781="重要关系4",E781,0)+IF(AND(C781="魅力",E781&lt;0),E781,0))))</x:f>
        <x:v>0</x:v>
      </x:c>
      <x:c r="BU781">
        <x:f>MAX(0,MIN(BK781,IF(AND(H781=1,C781="重要关系5",LEFT('幕间与结算'!H688,8)="建立新的重要关系"),'幕间与结算'!E688+E781,BU780+IF(C781="重要关系5",E781,0)+IF(AND(C781="魅力",E781&lt;0),E781,0))))</x:f>
        <x:v>0</x:v>
      </x:c>
      <x:c r="BV781">
        <x:f>MAX(0,MIN(BK781,IF(AND(H781=1,C781="重要关系6",LEFT('幕间与结算'!H688,8)="建立新的重要关系"),'幕间与结算'!E688+E781,BV780+IF(C781="重要关系6",E781,0)+IF(AND(C781="魅力",E781&lt;0),E781,0))))</x:f>
        <x:v>0</x:v>
      </x:c>
      <x:c r="BW781">
        <x:f>MAX(0,MIN(BK781,IF(AND(H781=1,C781="重要关系7",LEFT('幕间与结算'!H688,8)="建立新的重要关系"),'幕间与结算'!E688+E781,BW780+IF(C781="重要关系7",E781,0)+IF(AND(C781="魅力",E781&lt;0),E781,0))))</x:f>
        <x:v>0</x:v>
      </x:c>
    </x:row>
    <x:row r="782">
      <x:c r="A782" t="str">
        <x:f>IFERROR(TEXT(VALUE('幕间与结算'!A689),"00"),"")</x:f>
        <x:v>00</x:v>
      </x:c>
      <x:c r="B782">
        <x:f>'幕间与结算'!B689</x:f>
        <x:v>0</x:v>
      </x:c>
      <x:c r="C782">
        <x:f>'幕间与结算'!D689</x:f>
        <x:v>0</x:v>
      </x:c>
      <x:c r="D782">
        <x:f>'幕间与结算'!F689</x:f>
        <x:v>0</x:v>
      </x:c>
      <x:c r="E782">
        <x:f>IF(H782=1,MAX(-'幕间与结算'!E689,MIN(D782,IF(LEFT(C782,3)="技能：",99,IF(COUNTIF($L$2:$L$7,C782)&gt;0,18,999))-'幕间与结算'!E689)),0)</x:f>
        <x:v>0</x:v>
      </x:c>
      <x:c r="F782" t="str">
        <x:f>IF(C782=0,"",IF(G782=0,"记录不完整",IF(H782=0,"重复未计","已计入")))</x:f>
        <x:v/>
      </x:c>
      <x:c r="G782">
        <x:f>IF(AND(AND('幕间与结算'!A689&lt;&gt;"",'幕间与结算'!B689&lt;&gt;"",'幕间与结算'!I689&lt;&gt;"",OR(LEFT(C782,3)="技能：",COUNTIF($L$2:$L$19,C782)&gt;0),ISNUMBER('幕间与结算'!E689),ISNUMBER('幕间与结算'!F689),ISNUMBER('幕间与结算'!G689),'幕间与结算'!E689&gt;=0,'幕间与结算'!G689='幕间与结算'!E689+'幕间与结算'!F689),OR(B782&lt;&gt;"成长",AND(LEFT(C782,3)="技能：",C782&lt;&gt;"技能：非自然知识",'幕间与结算'!E689&gt;=1,'幕间与结算'!E689&lt;=99,'幕间与结算'!F689&gt;=0,'幕间与结算'!F689&lt;=4,'幕间与结算'!G689&lt;=99))),1,0)</x:f>
        <x:v>0</x:v>
      </x:c>
      <x:c r="H782">
        <x:f>IF(AND(G782=1,COUNTIFS($I$200:I782,I782,$G$200:G782,1)=1),1,0)</x:f>
        <x:v>0</x:v>
      </x:c>
      <x:c r="I782" t="str">
        <x:f>IF(G782=1,IF(B782="成长",A782&amp;"-成长-"&amp;C782,'幕间与结算'!I689),"")</x:f>
        <x:v/>
      </x:c>
      <x:c r="BF782">
        <x:f>MAX(0,MIN(18,BF781+IF(C782="力量",E782,0)))</x:f>
        <x:v>0</x:v>
      </x:c>
      <x:c r="BG782">
        <x:f>MAX(0,MIN(18,BG781+IF(C782="体质",E782,0)))</x:f>
        <x:v>0</x:v>
      </x:c>
      <x:c r="BH782">
        <x:f>MAX(0,MIN(18,BH781+IF(C782="敏捷",E782,0)))</x:f>
        <x:v>0</x:v>
      </x:c>
      <x:c r="BI782">
        <x:f>MAX(0,MIN(18,BI781+IF(C782="智力",E782,0)))</x:f>
        <x:v>0</x:v>
      </x:c>
      <x:c r="BJ782">
        <x:f>MAX(0,MIN(18,BJ781+IF(C782="意志",E782,0)))</x:f>
        <x:v>0</x:v>
      </x:c>
      <x:c r="BK782">
        <x:f>MAX(0,MIN(18,BK781+IF(C782="魅力",E782,0)))</x:f>
        <x:v>0</x:v>
      </x:c>
      <x:c r="BL782">
        <x:f>MAX(0,MIN(99,BL781+IF(C782="技能：非自然知识",E782,0)))</x:f>
        <x:v>0</x:v>
      </x:c>
      <x:c r="BM782">
        <x:f>MAX(0,MIN(CEILING((BF782+BG782)/2,1),BM781+IF(C782="体力",E782,0)))</x:f>
        <x:v>0</x:v>
      </x:c>
      <x:c r="BN782">
        <x:f>MAX(0,MIN(BJ782,BN781+IF(C782="毅力",E782,0)))</x:f>
        <x:v>0</x:v>
      </x:c>
      <x:c r="BO782">
        <x:f>MAX(0,MIN(99-BL782,BO781+IF(C782="理智",E782,0)))</x:f>
        <x:v>0</x:v>
      </x:c>
      <x:c r="BP782">
        <x:f>MAX(0,MIN(99,BP781+IF(C782="崩溃点",E782,0)))</x:f>
        <x:v>0</x:v>
      </x:c>
      <x:c r="BQ782">
        <x:f>MAX(0,MIN(BK782,IF(AND(H782=1,C782="重要关系1",LEFT('幕间与结算'!H689,8)="建立新的重要关系"),'幕间与结算'!E689+E782,BQ781+IF(C782="重要关系1",E782,0)+IF(AND(C782="魅力",E782&lt;0),E782,0))))</x:f>
        <x:v>0</x:v>
      </x:c>
      <x:c r="BR782">
        <x:f>MAX(0,MIN(BK782,IF(AND(H782=1,C782="重要关系2",LEFT('幕间与结算'!H689,8)="建立新的重要关系"),'幕间与结算'!E689+E782,BR781+IF(C782="重要关系2",E782,0)+IF(AND(C782="魅力",E782&lt;0),E782,0))))</x:f>
        <x:v>0</x:v>
      </x:c>
      <x:c r="BS782">
        <x:f>MAX(0,MIN(BK782,IF(AND(H782=1,C782="重要关系3",LEFT('幕间与结算'!H689,8)="建立新的重要关系"),'幕间与结算'!E689+E782,BS781+IF(C782="重要关系3",E782,0)+IF(AND(C782="魅力",E782&lt;0),E782,0))))</x:f>
        <x:v>0</x:v>
      </x:c>
      <x:c r="BT782">
        <x:f>MAX(0,MIN(BK782,IF(AND(H782=1,C782="重要关系4",LEFT('幕间与结算'!H689,8)="建立新的重要关系"),'幕间与结算'!E689+E782,BT781+IF(C782="重要关系4",E782,0)+IF(AND(C782="魅力",E782&lt;0),E782,0))))</x:f>
        <x:v>0</x:v>
      </x:c>
      <x:c r="BU782">
        <x:f>MAX(0,MIN(BK782,IF(AND(H782=1,C782="重要关系5",LEFT('幕间与结算'!H689,8)="建立新的重要关系"),'幕间与结算'!E689+E782,BU781+IF(C782="重要关系5",E782,0)+IF(AND(C782="魅力",E782&lt;0),E782,0))))</x:f>
        <x:v>0</x:v>
      </x:c>
      <x:c r="BV782">
        <x:f>MAX(0,MIN(BK782,IF(AND(H782=1,C782="重要关系6",LEFT('幕间与结算'!H689,8)="建立新的重要关系"),'幕间与结算'!E689+E782,BV781+IF(C782="重要关系6",E782,0)+IF(AND(C782="魅力",E782&lt;0),E782,0))))</x:f>
        <x:v>0</x:v>
      </x:c>
      <x:c r="BW782">
        <x:f>MAX(0,MIN(BK782,IF(AND(H782=1,C782="重要关系7",LEFT('幕间与结算'!H689,8)="建立新的重要关系"),'幕间与结算'!E689+E782,BW781+IF(C782="重要关系7",E782,0)+IF(AND(C782="魅力",E782&lt;0),E782,0))))</x:f>
        <x:v>0</x:v>
      </x:c>
    </x:row>
    <x:row r="783">
      <x:c r="A783" t="str">
        <x:f>IFERROR(TEXT(VALUE('幕间与结算'!A690),"00"),"")</x:f>
        <x:v>00</x:v>
      </x:c>
      <x:c r="B783">
        <x:f>'幕间与结算'!B690</x:f>
        <x:v>0</x:v>
      </x:c>
      <x:c r="C783">
        <x:f>'幕间与结算'!D690</x:f>
        <x:v>0</x:v>
      </x:c>
      <x:c r="D783">
        <x:f>'幕间与结算'!F690</x:f>
        <x:v>0</x:v>
      </x:c>
      <x:c r="E783">
        <x:f>IF(H783=1,MAX(-'幕间与结算'!E690,MIN(D783,IF(LEFT(C783,3)="技能：",99,IF(COUNTIF($L$2:$L$7,C783)&gt;0,18,999))-'幕间与结算'!E690)),0)</x:f>
        <x:v>0</x:v>
      </x:c>
      <x:c r="F783" t="str">
        <x:f>IF(C783=0,"",IF(G783=0,"记录不完整",IF(H783=0,"重复未计","已计入")))</x:f>
        <x:v/>
      </x:c>
      <x:c r="G783">
        <x:f>IF(AND(AND('幕间与结算'!A690&lt;&gt;"",'幕间与结算'!B690&lt;&gt;"",'幕间与结算'!I690&lt;&gt;"",OR(LEFT(C783,3)="技能：",COUNTIF($L$2:$L$19,C783)&gt;0),ISNUMBER('幕间与结算'!E690),ISNUMBER('幕间与结算'!F690),ISNUMBER('幕间与结算'!G690),'幕间与结算'!E690&gt;=0,'幕间与结算'!G690='幕间与结算'!E690+'幕间与结算'!F690),OR(B783&lt;&gt;"成长",AND(LEFT(C783,3)="技能：",C783&lt;&gt;"技能：非自然知识",'幕间与结算'!E690&gt;=1,'幕间与结算'!E690&lt;=99,'幕间与结算'!F690&gt;=0,'幕间与结算'!F690&lt;=4,'幕间与结算'!G690&lt;=99))),1,0)</x:f>
        <x:v>0</x:v>
      </x:c>
      <x:c r="H783">
        <x:f>IF(AND(G783=1,COUNTIFS($I$200:I783,I783,$G$200:G783,1)=1),1,0)</x:f>
        <x:v>0</x:v>
      </x:c>
      <x:c r="I783" t="str">
        <x:f>IF(G783=1,IF(B783="成长",A783&amp;"-成长-"&amp;C783,'幕间与结算'!I690),"")</x:f>
        <x:v/>
      </x:c>
      <x:c r="BF783">
        <x:f>MAX(0,MIN(18,BF782+IF(C783="力量",E783,0)))</x:f>
        <x:v>0</x:v>
      </x:c>
      <x:c r="BG783">
        <x:f>MAX(0,MIN(18,BG782+IF(C783="体质",E783,0)))</x:f>
        <x:v>0</x:v>
      </x:c>
      <x:c r="BH783">
        <x:f>MAX(0,MIN(18,BH782+IF(C783="敏捷",E783,0)))</x:f>
        <x:v>0</x:v>
      </x:c>
      <x:c r="BI783">
        <x:f>MAX(0,MIN(18,BI782+IF(C783="智力",E783,0)))</x:f>
        <x:v>0</x:v>
      </x:c>
      <x:c r="BJ783">
        <x:f>MAX(0,MIN(18,BJ782+IF(C783="意志",E783,0)))</x:f>
        <x:v>0</x:v>
      </x:c>
      <x:c r="BK783">
        <x:f>MAX(0,MIN(18,BK782+IF(C783="魅力",E783,0)))</x:f>
        <x:v>0</x:v>
      </x:c>
      <x:c r="BL783">
        <x:f>MAX(0,MIN(99,BL782+IF(C783="技能：非自然知识",E783,0)))</x:f>
        <x:v>0</x:v>
      </x:c>
      <x:c r="BM783">
        <x:f>MAX(0,MIN(CEILING((BF783+BG783)/2,1),BM782+IF(C783="体力",E783,0)))</x:f>
        <x:v>0</x:v>
      </x:c>
      <x:c r="BN783">
        <x:f>MAX(0,MIN(BJ783,BN782+IF(C783="毅力",E783,0)))</x:f>
        <x:v>0</x:v>
      </x:c>
      <x:c r="BO783">
        <x:f>MAX(0,MIN(99-BL783,BO782+IF(C783="理智",E783,0)))</x:f>
        <x:v>0</x:v>
      </x:c>
      <x:c r="BP783">
        <x:f>MAX(0,MIN(99,BP782+IF(C783="崩溃点",E783,0)))</x:f>
        <x:v>0</x:v>
      </x:c>
      <x:c r="BQ783">
        <x:f>MAX(0,MIN(BK783,IF(AND(H783=1,C783="重要关系1",LEFT('幕间与结算'!H690,8)="建立新的重要关系"),'幕间与结算'!E690+E783,BQ782+IF(C783="重要关系1",E783,0)+IF(AND(C783="魅力",E783&lt;0),E783,0))))</x:f>
        <x:v>0</x:v>
      </x:c>
      <x:c r="BR783">
        <x:f>MAX(0,MIN(BK783,IF(AND(H783=1,C783="重要关系2",LEFT('幕间与结算'!H690,8)="建立新的重要关系"),'幕间与结算'!E690+E783,BR782+IF(C783="重要关系2",E783,0)+IF(AND(C783="魅力",E783&lt;0),E783,0))))</x:f>
        <x:v>0</x:v>
      </x:c>
      <x:c r="BS783">
        <x:f>MAX(0,MIN(BK783,IF(AND(H783=1,C783="重要关系3",LEFT('幕间与结算'!H690,8)="建立新的重要关系"),'幕间与结算'!E690+E783,BS782+IF(C783="重要关系3",E783,0)+IF(AND(C783="魅力",E783&lt;0),E783,0))))</x:f>
        <x:v>0</x:v>
      </x:c>
      <x:c r="BT783">
        <x:f>MAX(0,MIN(BK783,IF(AND(H783=1,C783="重要关系4",LEFT('幕间与结算'!H690,8)="建立新的重要关系"),'幕间与结算'!E690+E783,BT782+IF(C783="重要关系4",E783,0)+IF(AND(C783="魅力",E783&lt;0),E783,0))))</x:f>
        <x:v>0</x:v>
      </x:c>
      <x:c r="BU783">
        <x:f>MAX(0,MIN(BK783,IF(AND(H783=1,C783="重要关系5",LEFT('幕间与结算'!H690,8)="建立新的重要关系"),'幕间与结算'!E690+E783,BU782+IF(C783="重要关系5",E783,0)+IF(AND(C783="魅力",E783&lt;0),E783,0))))</x:f>
        <x:v>0</x:v>
      </x:c>
      <x:c r="BV783">
        <x:f>MAX(0,MIN(BK783,IF(AND(H783=1,C783="重要关系6",LEFT('幕间与结算'!H690,8)="建立新的重要关系"),'幕间与结算'!E690+E783,BV782+IF(C783="重要关系6",E783,0)+IF(AND(C783="魅力",E783&lt;0),E783,0))))</x:f>
        <x:v>0</x:v>
      </x:c>
      <x:c r="BW783">
        <x:f>MAX(0,MIN(BK783,IF(AND(H783=1,C783="重要关系7",LEFT('幕间与结算'!H690,8)="建立新的重要关系"),'幕间与结算'!E690+E783,BW782+IF(C783="重要关系7",E783,0)+IF(AND(C783="魅力",E783&lt;0),E783,0))))</x:f>
        <x:v>0</x:v>
      </x:c>
    </x:row>
    <x:row r="784">
      <x:c r="A784" t="str">
        <x:f>IFERROR(TEXT(VALUE('幕间与结算'!A691),"00"),"")</x:f>
        <x:v>00</x:v>
      </x:c>
      <x:c r="B784">
        <x:f>'幕间与结算'!B691</x:f>
        <x:v>0</x:v>
      </x:c>
      <x:c r="C784">
        <x:f>'幕间与结算'!D691</x:f>
        <x:v>0</x:v>
      </x:c>
      <x:c r="D784">
        <x:f>'幕间与结算'!F691</x:f>
        <x:v>0</x:v>
      </x:c>
      <x:c r="E784">
        <x:f>IF(H784=1,MAX(-'幕间与结算'!E691,MIN(D784,IF(LEFT(C784,3)="技能：",99,IF(COUNTIF($L$2:$L$7,C784)&gt;0,18,999))-'幕间与结算'!E691)),0)</x:f>
        <x:v>0</x:v>
      </x:c>
      <x:c r="F784" t="str">
        <x:f>IF(C784=0,"",IF(G784=0,"记录不完整",IF(H784=0,"重复未计","已计入")))</x:f>
        <x:v/>
      </x:c>
      <x:c r="G784">
        <x:f>IF(AND(AND('幕间与结算'!A691&lt;&gt;"",'幕间与结算'!B691&lt;&gt;"",'幕间与结算'!I691&lt;&gt;"",OR(LEFT(C784,3)="技能：",COUNTIF($L$2:$L$19,C784)&gt;0),ISNUMBER('幕间与结算'!E691),ISNUMBER('幕间与结算'!F691),ISNUMBER('幕间与结算'!G691),'幕间与结算'!E691&gt;=0,'幕间与结算'!G691='幕间与结算'!E691+'幕间与结算'!F691),OR(B784&lt;&gt;"成长",AND(LEFT(C784,3)="技能：",C784&lt;&gt;"技能：非自然知识",'幕间与结算'!E691&gt;=1,'幕间与结算'!E691&lt;=99,'幕间与结算'!F691&gt;=0,'幕间与结算'!F691&lt;=4,'幕间与结算'!G691&lt;=99))),1,0)</x:f>
        <x:v>0</x:v>
      </x:c>
      <x:c r="H784">
        <x:f>IF(AND(G784=1,COUNTIFS($I$200:I784,I784,$G$200:G784,1)=1),1,0)</x:f>
        <x:v>0</x:v>
      </x:c>
      <x:c r="I784" t="str">
        <x:f>IF(G784=1,IF(B784="成长",A784&amp;"-成长-"&amp;C784,'幕间与结算'!I691),"")</x:f>
        <x:v/>
      </x:c>
      <x:c r="BF784">
        <x:f>MAX(0,MIN(18,BF783+IF(C784="力量",E784,0)))</x:f>
        <x:v>0</x:v>
      </x:c>
      <x:c r="BG784">
        <x:f>MAX(0,MIN(18,BG783+IF(C784="体质",E784,0)))</x:f>
        <x:v>0</x:v>
      </x:c>
      <x:c r="BH784">
        <x:f>MAX(0,MIN(18,BH783+IF(C784="敏捷",E784,0)))</x:f>
        <x:v>0</x:v>
      </x:c>
      <x:c r="BI784">
        <x:f>MAX(0,MIN(18,BI783+IF(C784="智力",E784,0)))</x:f>
        <x:v>0</x:v>
      </x:c>
      <x:c r="BJ784">
        <x:f>MAX(0,MIN(18,BJ783+IF(C784="意志",E784,0)))</x:f>
        <x:v>0</x:v>
      </x:c>
      <x:c r="BK784">
        <x:f>MAX(0,MIN(18,BK783+IF(C784="魅力",E784,0)))</x:f>
        <x:v>0</x:v>
      </x:c>
      <x:c r="BL784">
        <x:f>MAX(0,MIN(99,BL783+IF(C784="技能：非自然知识",E784,0)))</x:f>
        <x:v>0</x:v>
      </x:c>
      <x:c r="BM784">
        <x:f>MAX(0,MIN(CEILING((BF784+BG784)/2,1),BM783+IF(C784="体力",E784,0)))</x:f>
        <x:v>0</x:v>
      </x:c>
      <x:c r="BN784">
        <x:f>MAX(0,MIN(BJ784,BN783+IF(C784="毅力",E784,0)))</x:f>
        <x:v>0</x:v>
      </x:c>
      <x:c r="BO784">
        <x:f>MAX(0,MIN(99-BL784,BO783+IF(C784="理智",E784,0)))</x:f>
        <x:v>0</x:v>
      </x:c>
      <x:c r="BP784">
        <x:f>MAX(0,MIN(99,BP783+IF(C784="崩溃点",E784,0)))</x:f>
        <x:v>0</x:v>
      </x:c>
      <x:c r="BQ784">
        <x:f>MAX(0,MIN(BK784,IF(AND(H784=1,C784="重要关系1",LEFT('幕间与结算'!H691,8)="建立新的重要关系"),'幕间与结算'!E691+E784,BQ783+IF(C784="重要关系1",E784,0)+IF(AND(C784="魅力",E784&lt;0),E784,0))))</x:f>
        <x:v>0</x:v>
      </x:c>
      <x:c r="BR784">
        <x:f>MAX(0,MIN(BK784,IF(AND(H784=1,C784="重要关系2",LEFT('幕间与结算'!H691,8)="建立新的重要关系"),'幕间与结算'!E691+E784,BR783+IF(C784="重要关系2",E784,0)+IF(AND(C784="魅力",E784&lt;0),E784,0))))</x:f>
        <x:v>0</x:v>
      </x:c>
      <x:c r="BS784">
        <x:f>MAX(0,MIN(BK784,IF(AND(H784=1,C784="重要关系3",LEFT('幕间与结算'!H691,8)="建立新的重要关系"),'幕间与结算'!E691+E784,BS783+IF(C784="重要关系3",E784,0)+IF(AND(C784="魅力",E784&lt;0),E784,0))))</x:f>
        <x:v>0</x:v>
      </x:c>
      <x:c r="BT784">
        <x:f>MAX(0,MIN(BK784,IF(AND(H784=1,C784="重要关系4",LEFT('幕间与结算'!H691,8)="建立新的重要关系"),'幕间与结算'!E691+E784,BT783+IF(C784="重要关系4",E784,0)+IF(AND(C784="魅力",E784&lt;0),E784,0))))</x:f>
        <x:v>0</x:v>
      </x:c>
      <x:c r="BU784">
        <x:f>MAX(0,MIN(BK784,IF(AND(H784=1,C784="重要关系5",LEFT('幕间与结算'!H691,8)="建立新的重要关系"),'幕间与结算'!E691+E784,BU783+IF(C784="重要关系5",E784,0)+IF(AND(C784="魅力",E784&lt;0),E784,0))))</x:f>
        <x:v>0</x:v>
      </x:c>
      <x:c r="BV784">
        <x:f>MAX(0,MIN(BK784,IF(AND(H784=1,C784="重要关系6",LEFT('幕间与结算'!H691,8)="建立新的重要关系"),'幕间与结算'!E691+E784,BV783+IF(C784="重要关系6",E784,0)+IF(AND(C784="魅力",E784&lt;0),E784,0))))</x:f>
        <x:v>0</x:v>
      </x:c>
      <x:c r="BW784">
        <x:f>MAX(0,MIN(BK784,IF(AND(H784=1,C784="重要关系7",LEFT('幕间与结算'!H691,8)="建立新的重要关系"),'幕间与结算'!E691+E784,BW783+IF(C784="重要关系7",E784,0)+IF(AND(C784="魅力",E784&lt;0),E784,0))))</x:f>
        <x:v>0</x:v>
      </x:c>
    </x:row>
    <x:row r="785">
      <x:c r="A785" t="str">
        <x:f>IFERROR(TEXT(VALUE('幕间与结算'!A692),"00"),"")</x:f>
        <x:v>00</x:v>
      </x:c>
      <x:c r="B785">
        <x:f>'幕间与结算'!B692</x:f>
        <x:v>0</x:v>
      </x:c>
      <x:c r="C785">
        <x:f>'幕间与结算'!D692</x:f>
        <x:v>0</x:v>
      </x:c>
      <x:c r="D785">
        <x:f>'幕间与结算'!F692</x:f>
        <x:v>0</x:v>
      </x:c>
      <x:c r="E785">
        <x:f>IF(H785=1,MAX(-'幕间与结算'!E692,MIN(D785,IF(LEFT(C785,3)="技能：",99,IF(COUNTIF($L$2:$L$7,C785)&gt;0,18,999))-'幕间与结算'!E692)),0)</x:f>
        <x:v>0</x:v>
      </x:c>
      <x:c r="F785" t="str">
        <x:f>IF(C785=0,"",IF(G785=0,"记录不完整",IF(H785=0,"重复未计","已计入")))</x:f>
        <x:v/>
      </x:c>
      <x:c r="G785">
        <x:f>IF(AND(AND('幕间与结算'!A692&lt;&gt;"",'幕间与结算'!B692&lt;&gt;"",'幕间与结算'!I692&lt;&gt;"",OR(LEFT(C785,3)="技能：",COUNTIF($L$2:$L$19,C785)&gt;0),ISNUMBER('幕间与结算'!E692),ISNUMBER('幕间与结算'!F692),ISNUMBER('幕间与结算'!G692),'幕间与结算'!E692&gt;=0,'幕间与结算'!G692='幕间与结算'!E692+'幕间与结算'!F692),OR(B785&lt;&gt;"成长",AND(LEFT(C785,3)="技能：",C785&lt;&gt;"技能：非自然知识",'幕间与结算'!E692&gt;=1,'幕间与结算'!E692&lt;=99,'幕间与结算'!F692&gt;=0,'幕间与结算'!F692&lt;=4,'幕间与结算'!G692&lt;=99))),1,0)</x:f>
        <x:v>0</x:v>
      </x:c>
      <x:c r="H785">
        <x:f>IF(AND(G785=1,COUNTIFS($I$200:I785,I785,$G$200:G785,1)=1),1,0)</x:f>
        <x:v>0</x:v>
      </x:c>
      <x:c r="I785" t="str">
        <x:f>IF(G785=1,IF(B785="成长",A785&amp;"-成长-"&amp;C785,'幕间与结算'!I692),"")</x:f>
        <x:v/>
      </x:c>
      <x:c r="BF785">
        <x:f>MAX(0,MIN(18,BF784+IF(C785="力量",E785,0)))</x:f>
        <x:v>0</x:v>
      </x:c>
      <x:c r="BG785">
        <x:f>MAX(0,MIN(18,BG784+IF(C785="体质",E785,0)))</x:f>
        <x:v>0</x:v>
      </x:c>
      <x:c r="BH785">
        <x:f>MAX(0,MIN(18,BH784+IF(C785="敏捷",E785,0)))</x:f>
        <x:v>0</x:v>
      </x:c>
      <x:c r="BI785">
        <x:f>MAX(0,MIN(18,BI784+IF(C785="智力",E785,0)))</x:f>
        <x:v>0</x:v>
      </x:c>
      <x:c r="BJ785">
        <x:f>MAX(0,MIN(18,BJ784+IF(C785="意志",E785,0)))</x:f>
        <x:v>0</x:v>
      </x:c>
      <x:c r="BK785">
        <x:f>MAX(0,MIN(18,BK784+IF(C785="魅力",E785,0)))</x:f>
        <x:v>0</x:v>
      </x:c>
      <x:c r="BL785">
        <x:f>MAX(0,MIN(99,BL784+IF(C785="技能：非自然知识",E785,0)))</x:f>
        <x:v>0</x:v>
      </x:c>
      <x:c r="BM785">
        <x:f>MAX(0,MIN(CEILING((BF785+BG785)/2,1),BM784+IF(C785="体力",E785,0)))</x:f>
        <x:v>0</x:v>
      </x:c>
      <x:c r="BN785">
        <x:f>MAX(0,MIN(BJ785,BN784+IF(C785="毅力",E785,0)))</x:f>
        <x:v>0</x:v>
      </x:c>
      <x:c r="BO785">
        <x:f>MAX(0,MIN(99-BL785,BO784+IF(C785="理智",E785,0)))</x:f>
        <x:v>0</x:v>
      </x:c>
      <x:c r="BP785">
        <x:f>MAX(0,MIN(99,BP784+IF(C785="崩溃点",E785,0)))</x:f>
        <x:v>0</x:v>
      </x:c>
      <x:c r="BQ785">
        <x:f>MAX(0,MIN(BK785,IF(AND(H785=1,C785="重要关系1",LEFT('幕间与结算'!H692,8)="建立新的重要关系"),'幕间与结算'!E692+E785,BQ784+IF(C785="重要关系1",E785,0)+IF(AND(C785="魅力",E785&lt;0),E785,0))))</x:f>
        <x:v>0</x:v>
      </x:c>
      <x:c r="BR785">
        <x:f>MAX(0,MIN(BK785,IF(AND(H785=1,C785="重要关系2",LEFT('幕间与结算'!H692,8)="建立新的重要关系"),'幕间与结算'!E692+E785,BR784+IF(C785="重要关系2",E785,0)+IF(AND(C785="魅力",E785&lt;0),E785,0))))</x:f>
        <x:v>0</x:v>
      </x:c>
      <x:c r="BS785">
        <x:f>MAX(0,MIN(BK785,IF(AND(H785=1,C785="重要关系3",LEFT('幕间与结算'!H692,8)="建立新的重要关系"),'幕间与结算'!E692+E785,BS784+IF(C785="重要关系3",E785,0)+IF(AND(C785="魅力",E785&lt;0),E785,0))))</x:f>
        <x:v>0</x:v>
      </x:c>
      <x:c r="BT785">
        <x:f>MAX(0,MIN(BK785,IF(AND(H785=1,C785="重要关系4",LEFT('幕间与结算'!H692,8)="建立新的重要关系"),'幕间与结算'!E692+E785,BT784+IF(C785="重要关系4",E785,0)+IF(AND(C785="魅力",E785&lt;0),E785,0))))</x:f>
        <x:v>0</x:v>
      </x:c>
      <x:c r="BU785">
        <x:f>MAX(0,MIN(BK785,IF(AND(H785=1,C785="重要关系5",LEFT('幕间与结算'!H692,8)="建立新的重要关系"),'幕间与结算'!E692+E785,BU784+IF(C785="重要关系5",E785,0)+IF(AND(C785="魅力",E785&lt;0),E785,0))))</x:f>
        <x:v>0</x:v>
      </x:c>
      <x:c r="BV785">
        <x:f>MAX(0,MIN(BK785,IF(AND(H785=1,C785="重要关系6",LEFT('幕间与结算'!H692,8)="建立新的重要关系"),'幕间与结算'!E692+E785,BV784+IF(C785="重要关系6",E785,0)+IF(AND(C785="魅力",E785&lt;0),E785,0))))</x:f>
        <x:v>0</x:v>
      </x:c>
      <x:c r="BW785">
        <x:f>MAX(0,MIN(BK785,IF(AND(H785=1,C785="重要关系7",LEFT('幕间与结算'!H692,8)="建立新的重要关系"),'幕间与结算'!E692+E785,BW784+IF(C785="重要关系7",E785,0)+IF(AND(C785="魅力",E785&lt;0),E785,0))))</x:f>
        <x:v>0</x:v>
      </x:c>
    </x:row>
    <x:row r="786">
      <x:c r="A786" t="str">
        <x:f>IFERROR(TEXT(VALUE('幕间与结算'!A693),"00"),"")</x:f>
        <x:v>00</x:v>
      </x:c>
      <x:c r="B786">
        <x:f>'幕间与结算'!B693</x:f>
        <x:v>0</x:v>
      </x:c>
      <x:c r="C786">
        <x:f>'幕间与结算'!D693</x:f>
        <x:v>0</x:v>
      </x:c>
      <x:c r="D786">
        <x:f>'幕间与结算'!F693</x:f>
        <x:v>0</x:v>
      </x:c>
      <x:c r="E786">
        <x:f>IF(H786=1,MAX(-'幕间与结算'!E693,MIN(D786,IF(LEFT(C786,3)="技能：",99,IF(COUNTIF($L$2:$L$7,C786)&gt;0,18,999))-'幕间与结算'!E693)),0)</x:f>
        <x:v>0</x:v>
      </x:c>
      <x:c r="F786" t="str">
        <x:f>IF(C786=0,"",IF(G786=0,"记录不完整",IF(H786=0,"重复未计","已计入")))</x:f>
        <x:v/>
      </x:c>
      <x:c r="G786">
        <x:f>IF(AND(AND('幕间与结算'!A693&lt;&gt;"",'幕间与结算'!B693&lt;&gt;"",'幕间与结算'!I693&lt;&gt;"",OR(LEFT(C786,3)="技能：",COUNTIF($L$2:$L$19,C786)&gt;0),ISNUMBER('幕间与结算'!E693),ISNUMBER('幕间与结算'!F693),ISNUMBER('幕间与结算'!G693),'幕间与结算'!E693&gt;=0,'幕间与结算'!G693='幕间与结算'!E693+'幕间与结算'!F693),OR(B786&lt;&gt;"成长",AND(LEFT(C786,3)="技能：",C786&lt;&gt;"技能：非自然知识",'幕间与结算'!E693&gt;=1,'幕间与结算'!E693&lt;=99,'幕间与结算'!F693&gt;=0,'幕间与结算'!F693&lt;=4,'幕间与结算'!G693&lt;=99))),1,0)</x:f>
        <x:v>0</x:v>
      </x:c>
      <x:c r="H786">
        <x:f>IF(AND(G786=1,COUNTIFS($I$200:I786,I786,$G$200:G786,1)=1),1,0)</x:f>
        <x:v>0</x:v>
      </x:c>
      <x:c r="I786" t="str">
        <x:f>IF(G786=1,IF(B786="成长",A786&amp;"-成长-"&amp;C786,'幕间与结算'!I693),"")</x:f>
        <x:v/>
      </x:c>
      <x:c r="BF786">
        <x:f>MAX(0,MIN(18,BF785+IF(C786="力量",E786,0)))</x:f>
        <x:v>0</x:v>
      </x:c>
      <x:c r="BG786">
        <x:f>MAX(0,MIN(18,BG785+IF(C786="体质",E786,0)))</x:f>
        <x:v>0</x:v>
      </x:c>
      <x:c r="BH786">
        <x:f>MAX(0,MIN(18,BH785+IF(C786="敏捷",E786,0)))</x:f>
        <x:v>0</x:v>
      </x:c>
      <x:c r="BI786">
        <x:f>MAX(0,MIN(18,BI785+IF(C786="智力",E786,0)))</x:f>
        <x:v>0</x:v>
      </x:c>
      <x:c r="BJ786">
        <x:f>MAX(0,MIN(18,BJ785+IF(C786="意志",E786,0)))</x:f>
        <x:v>0</x:v>
      </x:c>
      <x:c r="BK786">
        <x:f>MAX(0,MIN(18,BK785+IF(C786="魅力",E786,0)))</x:f>
        <x:v>0</x:v>
      </x:c>
      <x:c r="BL786">
        <x:f>MAX(0,MIN(99,BL785+IF(C786="技能：非自然知识",E786,0)))</x:f>
        <x:v>0</x:v>
      </x:c>
      <x:c r="BM786">
        <x:f>MAX(0,MIN(CEILING((BF786+BG786)/2,1),BM785+IF(C786="体力",E786,0)))</x:f>
        <x:v>0</x:v>
      </x:c>
      <x:c r="BN786">
        <x:f>MAX(0,MIN(BJ786,BN785+IF(C786="毅力",E786,0)))</x:f>
        <x:v>0</x:v>
      </x:c>
      <x:c r="BO786">
        <x:f>MAX(0,MIN(99-BL786,BO785+IF(C786="理智",E786,0)))</x:f>
        <x:v>0</x:v>
      </x:c>
      <x:c r="BP786">
        <x:f>MAX(0,MIN(99,BP785+IF(C786="崩溃点",E786,0)))</x:f>
        <x:v>0</x:v>
      </x:c>
      <x:c r="BQ786">
        <x:f>MAX(0,MIN(BK786,IF(AND(H786=1,C786="重要关系1",LEFT('幕间与结算'!H693,8)="建立新的重要关系"),'幕间与结算'!E693+E786,BQ785+IF(C786="重要关系1",E786,0)+IF(AND(C786="魅力",E786&lt;0),E786,0))))</x:f>
        <x:v>0</x:v>
      </x:c>
      <x:c r="BR786">
        <x:f>MAX(0,MIN(BK786,IF(AND(H786=1,C786="重要关系2",LEFT('幕间与结算'!H693,8)="建立新的重要关系"),'幕间与结算'!E693+E786,BR785+IF(C786="重要关系2",E786,0)+IF(AND(C786="魅力",E786&lt;0),E786,0))))</x:f>
        <x:v>0</x:v>
      </x:c>
      <x:c r="BS786">
        <x:f>MAX(0,MIN(BK786,IF(AND(H786=1,C786="重要关系3",LEFT('幕间与结算'!H693,8)="建立新的重要关系"),'幕间与结算'!E693+E786,BS785+IF(C786="重要关系3",E786,0)+IF(AND(C786="魅力",E786&lt;0),E786,0))))</x:f>
        <x:v>0</x:v>
      </x:c>
      <x:c r="BT786">
        <x:f>MAX(0,MIN(BK786,IF(AND(H786=1,C786="重要关系4",LEFT('幕间与结算'!H693,8)="建立新的重要关系"),'幕间与结算'!E693+E786,BT785+IF(C786="重要关系4",E786,0)+IF(AND(C786="魅力",E786&lt;0),E786,0))))</x:f>
        <x:v>0</x:v>
      </x:c>
      <x:c r="BU786">
        <x:f>MAX(0,MIN(BK786,IF(AND(H786=1,C786="重要关系5",LEFT('幕间与结算'!H693,8)="建立新的重要关系"),'幕间与结算'!E693+E786,BU785+IF(C786="重要关系5",E786,0)+IF(AND(C786="魅力",E786&lt;0),E786,0))))</x:f>
        <x:v>0</x:v>
      </x:c>
      <x:c r="BV786">
        <x:f>MAX(0,MIN(BK786,IF(AND(H786=1,C786="重要关系6",LEFT('幕间与结算'!H693,8)="建立新的重要关系"),'幕间与结算'!E693+E786,BV785+IF(C786="重要关系6",E786,0)+IF(AND(C786="魅力",E786&lt;0),E786,0))))</x:f>
        <x:v>0</x:v>
      </x:c>
      <x:c r="BW786">
        <x:f>MAX(0,MIN(BK786,IF(AND(H786=1,C786="重要关系7",LEFT('幕间与结算'!H693,8)="建立新的重要关系"),'幕间与结算'!E693+E786,BW785+IF(C786="重要关系7",E786,0)+IF(AND(C786="魅力",E786&lt;0),E786,0))))</x:f>
        <x:v>0</x:v>
      </x:c>
    </x:row>
    <x:row r="787">
      <x:c r="A787" t="str">
        <x:f>IFERROR(TEXT(VALUE('幕间与结算'!A694),"00"),"")</x:f>
        <x:v>00</x:v>
      </x:c>
      <x:c r="B787">
        <x:f>'幕间与结算'!B694</x:f>
        <x:v>0</x:v>
      </x:c>
      <x:c r="C787">
        <x:f>'幕间与结算'!D694</x:f>
        <x:v>0</x:v>
      </x:c>
      <x:c r="D787">
        <x:f>'幕间与结算'!F694</x:f>
        <x:v>0</x:v>
      </x:c>
      <x:c r="E787">
        <x:f>IF(H787=1,MAX(-'幕间与结算'!E694,MIN(D787,IF(LEFT(C787,3)="技能：",99,IF(COUNTIF($L$2:$L$7,C787)&gt;0,18,999))-'幕间与结算'!E694)),0)</x:f>
        <x:v>0</x:v>
      </x:c>
      <x:c r="F787" t="str">
        <x:f>IF(C787=0,"",IF(G787=0,"记录不完整",IF(H787=0,"重复未计","已计入")))</x:f>
        <x:v/>
      </x:c>
      <x:c r="G787">
        <x:f>IF(AND(AND('幕间与结算'!A694&lt;&gt;"",'幕间与结算'!B694&lt;&gt;"",'幕间与结算'!I694&lt;&gt;"",OR(LEFT(C787,3)="技能：",COUNTIF($L$2:$L$19,C787)&gt;0),ISNUMBER('幕间与结算'!E694),ISNUMBER('幕间与结算'!F694),ISNUMBER('幕间与结算'!G694),'幕间与结算'!E694&gt;=0,'幕间与结算'!G694='幕间与结算'!E694+'幕间与结算'!F694),OR(B787&lt;&gt;"成长",AND(LEFT(C787,3)="技能：",C787&lt;&gt;"技能：非自然知识",'幕间与结算'!E694&gt;=1,'幕间与结算'!E694&lt;=99,'幕间与结算'!F694&gt;=0,'幕间与结算'!F694&lt;=4,'幕间与结算'!G694&lt;=99))),1,0)</x:f>
        <x:v>0</x:v>
      </x:c>
      <x:c r="H787">
        <x:f>IF(AND(G787=1,COUNTIFS($I$200:I787,I787,$G$200:G787,1)=1),1,0)</x:f>
        <x:v>0</x:v>
      </x:c>
      <x:c r="I787" t="str">
        <x:f>IF(G787=1,IF(B787="成长",A787&amp;"-成长-"&amp;C787,'幕间与结算'!I694),"")</x:f>
        <x:v/>
      </x:c>
      <x:c r="BF787">
        <x:f>MAX(0,MIN(18,BF786+IF(C787="力量",E787,0)))</x:f>
        <x:v>0</x:v>
      </x:c>
      <x:c r="BG787">
        <x:f>MAX(0,MIN(18,BG786+IF(C787="体质",E787,0)))</x:f>
        <x:v>0</x:v>
      </x:c>
      <x:c r="BH787">
        <x:f>MAX(0,MIN(18,BH786+IF(C787="敏捷",E787,0)))</x:f>
        <x:v>0</x:v>
      </x:c>
      <x:c r="BI787">
        <x:f>MAX(0,MIN(18,BI786+IF(C787="智力",E787,0)))</x:f>
        <x:v>0</x:v>
      </x:c>
      <x:c r="BJ787">
        <x:f>MAX(0,MIN(18,BJ786+IF(C787="意志",E787,0)))</x:f>
        <x:v>0</x:v>
      </x:c>
      <x:c r="BK787">
        <x:f>MAX(0,MIN(18,BK786+IF(C787="魅力",E787,0)))</x:f>
        <x:v>0</x:v>
      </x:c>
      <x:c r="BL787">
        <x:f>MAX(0,MIN(99,BL786+IF(C787="技能：非自然知识",E787,0)))</x:f>
        <x:v>0</x:v>
      </x:c>
      <x:c r="BM787">
        <x:f>MAX(0,MIN(CEILING((BF787+BG787)/2,1),BM786+IF(C787="体力",E787,0)))</x:f>
        <x:v>0</x:v>
      </x:c>
      <x:c r="BN787">
        <x:f>MAX(0,MIN(BJ787,BN786+IF(C787="毅力",E787,0)))</x:f>
        <x:v>0</x:v>
      </x:c>
      <x:c r="BO787">
        <x:f>MAX(0,MIN(99-BL787,BO786+IF(C787="理智",E787,0)))</x:f>
        <x:v>0</x:v>
      </x:c>
      <x:c r="BP787">
        <x:f>MAX(0,MIN(99,BP786+IF(C787="崩溃点",E787,0)))</x:f>
        <x:v>0</x:v>
      </x:c>
      <x:c r="BQ787">
        <x:f>MAX(0,MIN(BK787,IF(AND(H787=1,C787="重要关系1",LEFT('幕间与结算'!H694,8)="建立新的重要关系"),'幕间与结算'!E694+E787,BQ786+IF(C787="重要关系1",E787,0)+IF(AND(C787="魅力",E787&lt;0),E787,0))))</x:f>
        <x:v>0</x:v>
      </x:c>
      <x:c r="BR787">
        <x:f>MAX(0,MIN(BK787,IF(AND(H787=1,C787="重要关系2",LEFT('幕间与结算'!H694,8)="建立新的重要关系"),'幕间与结算'!E694+E787,BR786+IF(C787="重要关系2",E787,0)+IF(AND(C787="魅力",E787&lt;0),E787,0))))</x:f>
        <x:v>0</x:v>
      </x:c>
      <x:c r="BS787">
        <x:f>MAX(0,MIN(BK787,IF(AND(H787=1,C787="重要关系3",LEFT('幕间与结算'!H694,8)="建立新的重要关系"),'幕间与结算'!E694+E787,BS786+IF(C787="重要关系3",E787,0)+IF(AND(C787="魅力",E787&lt;0),E787,0))))</x:f>
        <x:v>0</x:v>
      </x:c>
      <x:c r="BT787">
        <x:f>MAX(0,MIN(BK787,IF(AND(H787=1,C787="重要关系4",LEFT('幕间与结算'!H694,8)="建立新的重要关系"),'幕间与结算'!E694+E787,BT786+IF(C787="重要关系4",E787,0)+IF(AND(C787="魅力",E787&lt;0),E787,0))))</x:f>
        <x:v>0</x:v>
      </x:c>
      <x:c r="BU787">
        <x:f>MAX(0,MIN(BK787,IF(AND(H787=1,C787="重要关系5",LEFT('幕间与结算'!H694,8)="建立新的重要关系"),'幕间与结算'!E694+E787,BU786+IF(C787="重要关系5",E787,0)+IF(AND(C787="魅力",E787&lt;0),E787,0))))</x:f>
        <x:v>0</x:v>
      </x:c>
      <x:c r="BV787">
        <x:f>MAX(0,MIN(BK787,IF(AND(H787=1,C787="重要关系6",LEFT('幕间与结算'!H694,8)="建立新的重要关系"),'幕间与结算'!E694+E787,BV786+IF(C787="重要关系6",E787,0)+IF(AND(C787="魅力",E787&lt;0),E787,0))))</x:f>
        <x:v>0</x:v>
      </x:c>
      <x:c r="BW787">
        <x:f>MAX(0,MIN(BK787,IF(AND(H787=1,C787="重要关系7",LEFT('幕间与结算'!H694,8)="建立新的重要关系"),'幕间与结算'!E694+E787,BW786+IF(C787="重要关系7",E787,0)+IF(AND(C787="魅力",E787&lt;0),E787,0))))</x:f>
        <x:v>0</x:v>
      </x:c>
    </x:row>
    <x:row r="788">
      <x:c r="A788" t="str">
        <x:f>IFERROR(TEXT(VALUE('幕间与结算'!A695),"00"),"")</x:f>
        <x:v>00</x:v>
      </x:c>
      <x:c r="B788">
        <x:f>'幕间与结算'!B695</x:f>
        <x:v>0</x:v>
      </x:c>
      <x:c r="C788">
        <x:f>'幕间与结算'!D695</x:f>
        <x:v>0</x:v>
      </x:c>
      <x:c r="D788">
        <x:f>'幕间与结算'!F695</x:f>
        <x:v>0</x:v>
      </x:c>
      <x:c r="E788">
        <x:f>IF(H788=1,MAX(-'幕间与结算'!E695,MIN(D788,IF(LEFT(C788,3)="技能：",99,IF(COUNTIF($L$2:$L$7,C788)&gt;0,18,999))-'幕间与结算'!E695)),0)</x:f>
        <x:v>0</x:v>
      </x:c>
      <x:c r="F788" t="str">
        <x:f>IF(C788=0,"",IF(G788=0,"记录不完整",IF(H788=0,"重复未计","已计入")))</x:f>
        <x:v/>
      </x:c>
      <x:c r="G788">
        <x:f>IF(AND(AND('幕间与结算'!A695&lt;&gt;"",'幕间与结算'!B695&lt;&gt;"",'幕间与结算'!I695&lt;&gt;"",OR(LEFT(C788,3)="技能：",COUNTIF($L$2:$L$19,C788)&gt;0),ISNUMBER('幕间与结算'!E695),ISNUMBER('幕间与结算'!F695),ISNUMBER('幕间与结算'!G695),'幕间与结算'!E695&gt;=0,'幕间与结算'!G695='幕间与结算'!E695+'幕间与结算'!F695),OR(B788&lt;&gt;"成长",AND(LEFT(C788,3)="技能：",C788&lt;&gt;"技能：非自然知识",'幕间与结算'!E695&gt;=1,'幕间与结算'!E695&lt;=99,'幕间与结算'!F695&gt;=0,'幕间与结算'!F695&lt;=4,'幕间与结算'!G695&lt;=99))),1,0)</x:f>
        <x:v>0</x:v>
      </x:c>
      <x:c r="H788">
        <x:f>IF(AND(G788=1,COUNTIFS($I$200:I788,I788,$G$200:G788,1)=1),1,0)</x:f>
        <x:v>0</x:v>
      </x:c>
      <x:c r="I788" t="str">
        <x:f>IF(G788=1,IF(B788="成长",A788&amp;"-成长-"&amp;C788,'幕间与结算'!I695),"")</x:f>
        <x:v/>
      </x:c>
      <x:c r="BF788">
        <x:f>MAX(0,MIN(18,BF787+IF(C788="力量",E788,0)))</x:f>
        <x:v>0</x:v>
      </x:c>
      <x:c r="BG788">
        <x:f>MAX(0,MIN(18,BG787+IF(C788="体质",E788,0)))</x:f>
        <x:v>0</x:v>
      </x:c>
      <x:c r="BH788">
        <x:f>MAX(0,MIN(18,BH787+IF(C788="敏捷",E788,0)))</x:f>
        <x:v>0</x:v>
      </x:c>
      <x:c r="BI788">
        <x:f>MAX(0,MIN(18,BI787+IF(C788="智力",E788,0)))</x:f>
        <x:v>0</x:v>
      </x:c>
      <x:c r="BJ788">
        <x:f>MAX(0,MIN(18,BJ787+IF(C788="意志",E788,0)))</x:f>
        <x:v>0</x:v>
      </x:c>
      <x:c r="BK788">
        <x:f>MAX(0,MIN(18,BK787+IF(C788="魅力",E788,0)))</x:f>
        <x:v>0</x:v>
      </x:c>
      <x:c r="BL788">
        <x:f>MAX(0,MIN(99,BL787+IF(C788="技能：非自然知识",E788,0)))</x:f>
        <x:v>0</x:v>
      </x:c>
      <x:c r="BM788">
        <x:f>MAX(0,MIN(CEILING((BF788+BG788)/2,1),BM787+IF(C788="体力",E788,0)))</x:f>
        <x:v>0</x:v>
      </x:c>
      <x:c r="BN788">
        <x:f>MAX(0,MIN(BJ788,BN787+IF(C788="毅力",E788,0)))</x:f>
        <x:v>0</x:v>
      </x:c>
      <x:c r="BO788">
        <x:f>MAX(0,MIN(99-BL788,BO787+IF(C788="理智",E788,0)))</x:f>
        <x:v>0</x:v>
      </x:c>
      <x:c r="BP788">
        <x:f>MAX(0,MIN(99,BP787+IF(C788="崩溃点",E788,0)))</x:f>
        <x:v>0</x:v>
      </x:c>
      <x:c r="BQ788">
        <x:f>MAX(0,MIN(BK788,IF(AND(H788=1,C788="重要关系1",LEFT('幕间与结算'!H695,8)="建立新的重要关系"),'幕间与结算'!E695+E788,BQ787+IF(C788="重要关系1",E788,0)+IF(AND(C788="魅力",E788&lt;0),E788,0))))</x:f>
        <x:v>0</x:v>
      </x:c>
      <x:c r="BR788">
        <x:f>MAX(0,MIN(BK788,IF(AND(H788=1,C788="重要关系2",LEFT('幕间与结算'!H695,8)="建立新的重要关系"),'幕间与结算'!E695+E788,BR787+IF(C788="重要关系2",E788,0)+IF(AND(C788="魅力",E788&lt;0),E788,0))))</x:f>
        <x:v>0</x:v>
      </x:c>
      <x:c r="BS788">
        <x:f>MAX(0,MIN(BK788,IF(AND(H788=1,C788="重要关系3",LEFT('幕间与结算'!H695,8)="建立新的重要关系"),'幕间与结算'!E695+E788,BS787+IF(C788="重要关系3",E788,0)+IF(AND(C788="魅力",E788&lt;0),E788,0))))</x:f>
        <x:v>0</x:v>
      </x:c>
      <x:c r="BT788">
        <x:f>MAX(0,MIN(BK788,IF(AND(H788=1,C788="重要关系4",LEFT('幕间与结算'!H695,8)="建立新的重要关系"),'幕间与结算'!E695+E788,BT787+IF(C788="重要关系4",E788,0)+IF(AND(C788="魅力",E788&lt;0),E788,0))))</x:f>
        <x:v>0</x:v>
      </x:c>
      <x:c r="BU788">
        <x:f>MAX(0,MIN(BK788,IF(AND(H788=1,C788="重要关系5",LEFT('幕间与结算'!H695,8)="建立新的重要关系"),'幕间与结算'!E695+E788,BU787+IF(C788="重要关系5",E788,0)+IF(AND(C788="魅力",E788&lt;0),E788,0))))</x:f>
        <x:v>0</x:v>
      </x:c>
      <x:c r="BV788">
        <x:f>MAX(0,MIN(BK788,IF(AND(H788=1,C788="重要关系6",LEFT('幕间与结算'!H695,8)="建立新的重要关系"),'幕间与结算'!E695+E788,BV787+IF(C788="重要关系6",E788,0)+IF(AND(C788="魅力",E788&lt;0),E788,0))))</x:f>
        <x:v>0</x:v>
      </x:c>
      <x:c r="BW788">
        <x:f>MAX(0,MIN(BK788,IF(AND(H788=1,C788="重要关系7",LEFT('幕间与结算'!H695,8)="建立新的重要关系"),'幕间与结算'!E695+E788,BW787+IF(C788="重要关系7",E788,0)+IF(AND(C788="魅力",E788&lt;0),E788,0))))</x:f>
        <x:v>0</x:v>
      </x:c>
    </x:row>
    <x:row r="789">
      <x:c r="A789" t="str">
        <x:f>IFERROR(TEXT(VALUE('幕间与结算'!A696),"00"),"")</x:f>
        <x:v>00</x:v>
      </x:c>
      <x:c r="B789">
        <x:f>'幕间与结算'!B696</x:f>
        <x:v>0</x:v>
      </x:c>
      <x:c r="C789">
        <x:f>'幕间与结算'!D696</x:f>
        <x:v>0</x:v>
      </x:c>
      <x:c r="D789">
        <x:f>'幕间与结算'!F696</x:f>
        <x:v>0</x:v>
      </x:c>
      <x:c r="E789">
        <x:f>IF(H789=1,MAX(-'幕间与结算'!E696,MIN(D789,IF(LEFT(C789,3)="技能：",99,IF(COUNTIF($L$2:$L$7,C789)&gt;0,18,999))-'幕间与结算'!E696)),0)</x:f>
        <x:v>0</x:v>
      </x:c>
      <x:c r="F789" t="str">
        <x:f>IF(C789=0,"",IF(G789=0,"记录不完整",IF(H789=0,"重复未计","已计入")))</x:f>
        <x:v/>
      </x:c>
      <x:c r="G789">
        <x:f>IF(AND(AND('幕间与结算'!A696&lt;&gt;"",'幕间与结算'!B696&lt;&gt;"",'幕间与结算'!I696&lt;&gt;"",OR(LEFT(C789,3)="技能：",COUNTIF($L$2:$L$19,C789)&gt;0),ISNUMBER('幕间与结算'!E696),ISNUMBER('幕间与结算'!F696),ISNUMBER('幕间与结算'!G696),'幕间与结算'!E696&gt;=0,'幕间与结算'!G696='幕间与结算'!E696+'幕间与结算'!F696),OR(B789&lt;&gt;"成长",AND(LEFT(C789,3)="技能：",C789&lt;&gt;"技能：非自然知识",'幕间与结算'!E696&gt;=1,'幕间与结算'!E696&lt;=99,'幕间与结算'!F696&gt;=0,'幕间与结算'!F696&lt;=4,'幕间与结算'!G696&lt;=99))),1,0)</x:f>
        <x:v>0</x:v>
      </x:c>
      <x:c r="H789">
        <x:f>IF(AND(G789=1,COUNTIFS($I$200:I789,I789,$G$200:G789,1)=1),1,0)</x:f>
        <x:v>0</x:v>
      </x:c>
      <x:c r="I789" t="str">
        <x:f>IF(G789=1,IF(B789="成长",A789&amp;"-成长-"&amp;C789,'幕间与结算'!I696),"")</x:f>
        <x:v/>
      </x:c>
      <x:c r="BF789">
        <x:f>MAX(0,MIN(18,BF788+IF(C789="力量",E789,0)))</x:f>
        <x:v>0</x:v>
      </x:c>
      <x:c r="BG789">
        <x:f>MAX(0,MIN(18,BG788+IF(C789="体质",E789,0)))</x:f>
        <x:v>0</x:v>
      </x:c>
      <x:c r="BH789">
        <x:f>MAX(0,MIN(18,BH788+IF(C789="敏捷",E789,0)))</x:f>
        <x:v>0</x:v>
      </x:c>
      <x:c r="BI789">
        <x:f>MAX(0,MIN(18,BI788+IF(C789="智力",E789,0)))</x:f>
        <x:v>0</x:v>
      </x:c>
      <x:c r="BJ789">
        <x:f>MAX(0,MIN(18,BJ788+IF(C789="意志",E789,0)))</x:f>
        <x:v>0</x:v>
      </x:c>
      <x:c r="BK789">
        <x:f>MAX(0,MIN(18,BK788+IF(C789="魅力",E789,0)))</x:f>
        <x:v>0</x:v>
      </x:c>
      <x:c r="BL789">
        <x:f>MAX(0,MIN(99,BL788+IF(C789="技能：非自然知识",E789,0)))</x:f>
        <x:v>0</x:v>
      </x:c>
      <x:c r="BM789">
        <x:f>MAX(0,MIN(CEILING((BF789+BG789)/2,1),BM788+IF(C789="体力",E789,0)))</x:f>
        <x:v>0</x:v>
      </x:c>
      <x:c r="BN789">
        <x:f>MAX(0,MIN(BJ789,BN788+IF(C789="毅力",E789,0)))</x:f>
        <x:v>0</x:v>
      </x:c>
      <x:c r="BO789">
        <x:f>MAX(0,MIN(99-BL789,BO788+IF(C789="理智",E789,0)))</x:f>
        <x:v>0</x:v>
      </x:c>
      <x:c r="BP789">
        <x:f>MAX(0,MIN(99,BP788+IF(C789="崩溃点",E789,0)))</x:f>
        <x:v>0</x:v>
      </x:c>
      <x:c r="BQ789">
        <x:f>MAX(0,MIN(BK789,IF(AND(H789=1,C789="重要关系1",LEFT('幕间与结算'!H696,8)="建立新的重要关系"),'幕间与结算'!E696+E789,BQ788+IF(C789="重要关系1",E789,0)+IF(AND(C789="魅力",E789&lt;0),E789,0))))</x:f>
        <x:v>0</x:v>
      </x:c>
      <x:c r="BR789">
        <x:f>MAX(0,MIN(BK789,IF(AND(H789=1,C789="重要关系2",LEFT('幕间与结算'!H696,8)="建立新的重要关系"),'幕间与结算'!E696+E789,BR788+IF(C789="重要关系2",E789,0)+IF(AND(C789="魅力",E789&lt;0),E789,0))))</x:f>
        <x:v>0</x:v>
      </x:c>
      <x:c r="BS789">
        <x:f>MAX(0,MIN(BK789,IF(AND(H789=1,C789="重要关系3",LEFT('幕间与结算'!H696,8)="建立新的重要关系"),'幕间与结算'!E696+E789,BS788+IF(C789="重要关系3",E789,0)+IF(AND(C789="魅力",E789&lt;0),E789,0))))</x:f>
        <x:v>0</x:v>
      </x:c>
      <x:c r="BT789">
        <x:f>MAX(0,MIN(BK789,IF(AND(H789=1,C789="重要关系4",LEFT('幕间与结算'!H696,8)="建立新的重要关系"),'幕间与结算'!E696+E789,BT788+IF(C789="重要关系4",E789,0)+IF(AND(C789="魅力",E789&lt;0),E789,0))))</x:f>
        <x:v>0</x:v>
      </x:c>
      <x:c r="BU789">
        <x:f>MAX(0,MIN(BK789,IF(AND(H789=1,C789="重要关系5",LEFT('幕间与结算'!H696,8)="建立新的重要关系"),'幕间与结算'!E696+E789,BU788+IF(C789="重要关系5",E789,0)+IF(AND(C789="魅力",E789&lt;0),E789,0))))</x:f>
        <x:v>0</x:v>
      </x:c>
      <x:c r="BV789">
        <x:f>MAX(0,MIN(BK789,IF(AND(H789=1,C789="重要关系6",LEFT('幕间与结算'!H696,8)="建立新的重要关系"),'幕间与结算'!E696+E789,BV788+IF(C789="重要关系6",E789,0)+IF(AND(C789="魅力",E789&lt;0),E789,0))))</x:f>
        <x:v>0</x:v>
      </x:c>
      <x:c r="BW789">
        <x:f>MAX(0,MIN(BK789,IF(AND(H789=1,C789="重要关系7",LEFT('幕间与结算'!H696,8)="建立新的重要关系"),'幕间与结算'!E696+E789,BW788+IF(C789="重要关系7",E789,0)+IF(AND(C789="魅力",E789&lt;0),E789,0))))</x:f>
        <x:v>0</x:v>
      </x:c>
    </x:row>
    <x:row r="790">
      <x:c r="A790" t="str">
        <x:f>IFERROR(TEXT(VALUE('幕间与结算'!A697),"00"),"")</x:f>
        <x:v>00</x:v>
      </x:c>
      <x:c r="B790">
        <x:f>'幕间与结算'!B697</x:f>
        <x:v>0</x:v>
      </x:c>
      <x:c r="C790">
        <x:f>'幕间与结算'!D697</x:f>
        <x:v>0</x:v>
      </x:c>
      <x:c r="D790">
        <x:f>'幕间与结算'!F697</x:f>
        <x:v>0</x:v>
      </x:c>
      <x:c r="E790">
        <x:f>IF(H790=1,MAX(-'幕间与结算'!E697,MIN(D790,IF(LEFT(C790,3)="技能：",99,IF(COUNTIF($L$2:$L$7,C790)&gt;0,18,999))-'幕间与结算'!E697)),0)</x:f>
        <x:v>0</x:v>
      </x:c>
      <x:c r="F790" t="str">
        <x:f>IF(C790=0,"",IF(G790=0,"记录不完整",IF(H790=0,"重复未计","已计入")))</x:f>
        <x:v/>
      </x:c>
      <x:c r="G790">
        <x:f>IF(AND(AND('幕间与结算'!A697&lt;&gt;"",'幕间与结算'!B697&lt;&gt;"",'幕间与结算'!I697&lt;&gt;"",OR(LEFT(C790,3)="技能：",COUNTIF($L$2:$L$19,C790)&gt;0),ISNUMBER('幕间与结算'!E697),ISNUMBER('幕间与结算'!F697),ISNUMBER('幕间与结算'!G697),'幕间与结算'!E697&gt;=0,'幕间与结算'!G697='幕间与结算'!E697+'幕间与结算'!F697),OR(B790&lt;&gt;"成长",AND(LEFT(C790,3)="技能：",C790&lt;&gt;"技能：非自然知识",'幕间与结算'!E697&gt;=1,'幕间与结算'!E697&lt;=99,'幕间与结算'!F697&gt;=0,'幕间与结算'!F697&lt;=4,'幕间与结算'!G697&lt;=99))),1,0)</x:f>
        <x:v>0</x:v>
      </x:c>
      <x:c r="H790">
        <x:f>IF(AND(G790=1,COUNTIFS($I$200:I790,I790,$G$200:G790,1)=1),1,0)</x:f>
        <x:v>0</x:v>
      </x:c>
      <x:c r="I790" t="str">
        <x:f>IF(G790=1,IF(B790="成长",A790&amp;"-成长-"&amp;C790,'幕间与结算'!I697),"")</x:f>
        <x:v/>
      </x:c>
      <x:c r="BF790">
        <x:f>MAX(0,MIN(18,BF789+IF(C790="力量",E790,0)))</x:f>
        <x:v>0</x:v>
      </x:c>
      <x:c r="BG790">
        <x:f>MAX(0,MIN(18,BG789+IF(C790="体质",E790,0)))</x:f>
        <x:v>0</x:v>
      </x:c>
      <x:c r="BH790">
        <x:f>MAX(0,MIN(18,BH789+IF(C790="敏捷",E790,0)))</x:f>
        <x:v>0</x:v>
      </x:c>
      <x:c r="BI790">
        <x:f>MAX(0,MIN(18,BI789+IF(C790="智力",E790,0)))</x:f>
        <x:v>0</x:v>
      </x:c>
      <x:c r="BJ790">
        <x:f>MAX(0,MIN(18,BJ789+IF(C790="意志",E790,0)))</x:f>
        <x:v>0</x:v>
      </x:c>
      <x:c r="BK790">
        <x:f>MAX(0,MIN(18,BK789+IF(C790="魅力",E790,0)))</x:f>
        <x:v>0</x:v>
      </x:c>
      <x:c r="BL790">
        <x:f>MAX(0,MIN(99,BL789+IF(C790="技能：非自然知识",E790,0)))</x:f>
        <x:v>0</x:v>
      </x:c>
      <x:c r="BM790">
        <x:f>MAX(0,MIN(CEILING((BF790+BG790)/2,1),BM789+IF(C790="体力",E790,0)))</x:f>
        <x:v>0</x:v>
      </x:c>
      <x:c r="BN790">
        <x:f>MAX(0,MIN(BJ790,BN789+IF(C790="毅力",E790,0)))</x:f>
        <x:v>0</x:v>
      </x:c>
      <x:c r="BO790">
        <x:f>MAX(0,MIN(99-BL790,BO789+IF(C790="理智",E790,0)))</x:f>
        <x:v>0</x:v>
      </x:c>
      <x:c r="BP790">
        <x:f>MAX(0,MIN(99,BP789+IF(C790="崩溃点",E790,0)))</x:f>
        <x:v>0</x:v>
      </x:c>
      <x:c r="BQ790">
        <x:f>MAX(0,MIN(BK790,IF(AND(H790=1,C790="重要关系1",LEFT('幕间与结算'!H697,8)="建立新的重要关系"),'幕间与结算'!E697+E790,BQ789+IF(C790="重要关系1",E790,0)+IF(AND(C790="魅力",E790&lt;0),E790,0))))</x:f>
        <x:v>0</x:v>
      </x:c>
      <x:c r="BR790">
        <x:f>MAX(0,MIN(BK790,IF(AND(H790=1,C790="重要关系2",LEFT('幕间与结算'!H697,8)="建立新的重要关系"),'幕间与结算'!E697+E790,BR789+IF(C790="重要关系2",E790,0)+IF(AND(C790="魅力",E790&lt;0),E790,0))))</x:f>
        <x:v>0</x:v>
      </x:c>
      <x:c r="BS790">
        <x:f>MAX(0,MIN(BK790,IF(AND(H790=1,C790="重要关系3",LEFT('幕间与结算'!H697,8)="建立新的重要关系"),'幕间与结算'!E697+E790,BS789+IF(C790="重要关系3",E790,0)+IF(AND(C790="魅力",E790&lt;0),E790,0))))</x:f>
        <x:v>0</x:v>
      </x:c>
      <x:c r="BT790">
        <x:f>MAX(0,MIN(BK790,IF(AND(H790=1,C790="重要关系4",LEFT('幕间与结算'!H697,8)="建立新的重要关系"),'幕间与结算'!E697+E790,BT789+IF(C790="重要关系4",E790,0)+IF(AND(C790="魅力",E790&lt;0),E790,0))))</x:f>
        <x:v>0</x:v>
      </x:c>
      <x:c r="BU790">
        <x:f>MAX(0,MIN(BK790,IF(AND(H790=1,C790="重要关系5",LEFT('幕间与结算'!H697,8)="建立新的重要关系"),'幕间与结算'!E697+E790,BU789+IF(C790="重要关系5",E790,0)+IF(AND(C790="魅力",E790&lt;0),E790,0))))</x:f>
        <x:v>0</x:v>
      </x:c>
      <x:c r="BV790">
        <x:f>MAX(0,MIN(BK790,IF(AND(H790=1,C790="重要关系6",LEFT('幕间与结算'!H697,8)="建立新的重要关系"),'幕间与结算'!E697+E790,BV789+IF(C790="重要关系6",E790,0)+IF(AND(C790="魅力",E790&lt;0),E790,0))))</x:f>
        <x:v>0</x:v>
      </x:c>
      <x:c r="BW790">
        <x:f>MAX(0,MIN(BK790,IF(AND(H790=1,C790="重要关系7",LEFT('幕间与结算'!H697,8)="建立新的重要关系"),'幕间与结算'!E697+E790,BW789+IF(C790="重要关系7",E790,0)+IF(AND(C790="魅力",E790&lt;0),E790,0))))</x:f>
        <x:v>0</x:v>
      </x:c>
    </x:row>
    <x:row r="791">
      <x:c r="A791" t="str">
        <x:f>IFERROR(TEXT(VALUE('幕间与结算'!A698),"00"),"")</x:f>
        <x:v>00</x:v>
      </x:c>
      <x:c r="B791">
        <x:f>'幕间与结算'!B698</x:f>
        <x:v>0</x:v>
      </x:c>
      <x:c r="C791">
        <x:f>'幕间与结算'!D698</x:f>
        <x:v>0</x:v>
      </x:c>
      <x:c r="D791">
        <x:f>'幕间与结算'!F698</x:f>
        <x:v>0</x:v>
      </x:c>
      <x:c r="E791">
        <x:f>IF(H791=1,MAX(-'幕间与结算'!E698,MIN(D791,IF(LEFT(C791,3)="技能：",99,IF(COUNTIF($L$2:$L$7,C791)&gt;0,18,999))-'幕间与结算'!E698)),0)</x:f>
        <x:v>0</x:v>
      </x:c>
      <x:c r="F791" t="str">
        <x:f>IF(C791=0,"",IF(G791=0,"记录不完整",IF(H791=0,"重复未计","已计入")))</x:f>
        <x:v/>
      </x:c>
      <x:c r="G791">
        <x:f>IF(AND(AND('幕间与结算'!A698&lt;&gt;"",'幕间与结算'!B698&lt;&gt;"",'幕间与结算'!I698&lt;&gt;"",OR(LEFT(C791,3)="技能：",COUNTIF($L$2:$L$19,C791)&gt;0),ISNUMBER('幕间与结算'!E698),ISNUMBER('幕间与结算'!F698),ISNUMBER('幕间与结算'!G698),'幕间与结算'!E698&gt;=0,'幕间与结算'!G698='幕间与结算'!E698+'幕间与结算'!F698),OR(B791&lt;&gt;"成长",AND(LEFT(C791,3)="技能：",C791&lt;&gt;"技能：非自然知识",'幕间与结算'!E698&gt;=1,'幕间与结算'!E698&lt;=99,'幕间与结算'!F698&gt;=0,'幕间与结算'!F698&lt;=4,'幕间与结算'!G698&lt;=99))),1,0)</x:f>
        <x:v>0</x:v>
      </x:c>
      <x:c r="H791">
        <x:f>IF(AND(G791=1,COUNTIFS($I$200:I791,I791,$G$200:G791,1)=1),1,0)</x:f>
        <x:v>0</x:v>
      </x:c>
      <x:c r="I791" t="str">
        <x:f>IF(G791=1,IF(B791="成长",A791&amp;"-成长-"&amp;C791,'幕间与结算'!I698),"")</x:f>
        <x:v/>
      </x:c>
      <x:c r="BF791">
        <x:f>MAX(0,MIN(18,BF790+IF(C791="力量",E791,0)))</x:f>
        <x:v>0</x:v>
      </x:c>
      <x:c r="BG791">
        <x:f>MAX(0,MIN(18,BG790+IF(C791="体质",E791,0)))</x:f>
        <x:v>0</x:v>
      </x:c>
      <x:c r="BH791">
        <x:f>MAX(0,MIN(18,BH790+IF(C791="敏捷",E791,0)))</x:f>
        <x:v>0</x:v>
      </x:c>
      <x:c r="BI791">
        <x:f>MAX(0,MIN(18,BI790+IF(C791="智力",E791,0)))</x:f>
        <x:v>0</x:v>
      </x:c>
      <x:c r="BJ791">
        <x:f>MAX(0,MIN(18,BJ790+IF(C791="意志",E791,0)))</x:f>
        <x:v>0</x:v>
      </x:c>
      <x:c r="BK791">
        <x:f>MAX(0,MIN(18,BK790+IF(C791="魅力",E791,0)))</x:f>
        <x:v>0</x:v>
      </x:c>
      <x:c r="BL791">
        <x:f>MAX(0,MIN(99,BL790+IF(C791="技能：非自然知识",E791,0)))</x:f>
        <x:v>0</x:v>
      </x:c>
      <x:c r="BM791">
        <x:f>MAX(0,MIN(CEILING((BF791+BG791)/2,1),BM790+IF(C791="体力",E791,0)))</x:f>
        <x:v>0</x:v>
      </x:c>
      <x:c r="BN791">
        <x:f>MAX(0,MIN(BJ791,BN790+IF(C791="毅力",E791,0)))</x:f>
        <x:v>0</x:v>
      </x:c>
      <x:c r="BO791">
        <x:f>MAX(0,MIN(99-BL791,BO790+IF(C791="理智",E791,0)))</x:f>
        <x:v>0</x:v>
      </x:c>
      <x:c r="BP791">
        <x:f>MAX(0,MIN(99,BP790+IF(C791="崩溃点",E791,0)))</x:f>
        <x:v>0</x:v>
      </x:c>
      <x:c r="BQ791">
        <x:f>MAX(0,MIN(BK791,IF(AND(H791=1,C791="重要关系1",LEFT('幕间与结算'!H698,8)="建立新的重要关系"),'幕间与结算'!E698+E791,BQ790+IF(C791="重要关系1",E791,0)+IF(AND(C791="魅力",E791&lt;0),E791,0))))</x:f>
        <x:v>0</x:v>
      </x:c>
      <x:c r="BR791">
        <x:f>MAX(0,MIN(BK791,IF(AND(H791=1,C791="重要关系2",LEFT('幕间与结算'!H698,8)="建立新的重要关系"),'幕间与结算'!E698+E791,BR790+IF(C791="重要关系2",E791,0)+IF(AND(C791="魅力",E791&lt;0),E791,0))))</x:f>
        <x:v>0</x:v>
      </x:c>
      <x:c r="BS791">
        <x:f>MAX(0,MIN(BK791,IF(AND(H791=1,C791="重要关系3",LEFT('幕间与结算'!H698,8)="建立新的重要关系"),'幕间与结算'!E698+E791,BS790+IF(C791="重要关系3",E791,0)+IF(AND(C791="魅力",E791&lt;0),E791,0))))</x:f>
        <x:v>0</x:v>
      </x:c>
      <x:c r="BT791">
        <x:f>MAX(0,MIN(BK791,IF(AND(H791=1,C791="重要关系4",LEFT('幕间与结算'!H698,8)="建立新的重要关系"),'幕间与结算'!E698+E791,BT790+IF(C791="重要关系4",E791,0)+IF(AND(C791="魅力",E791&lt;0),E791,0))))</x:f>
        <x:v>0</x:v>
      </x:c>
      <x:c r="BU791">
        <x:f>MAX(0,MIN(BK791,IF(AND(H791=1,C791="重要关系5",LEFT('幕间与结算'!H698,8)="建立新的重要关系"),'幕间与结算'!E698+E791,BU790+IF(C791="重要关系5",E791,0)+IF(AND(C791="魅力",E791&lt;0),E791,0))))</x:f>
        <x:v>0</x:v>
      </x:c>
      <x:c r="BV791">
        <x:f>MAX(0,MIN(BK791,IF(AND(H791=1,C791="重要关系6",LEFT('幕间与结算'!H698,8)="建立新的重要关系"),'幕间与结算'!E698+E791,BV790+IF(C791="重要关系6",E791,0)+IF(AND(C791="魅力",E791&lt;0),E791,0))))</x:f>
        <x:v>0</x:v>
      </x:c>
      <x:c r="BW791">
        <x:f>MAX(0,MIN(BK791,IF(AND(H791=1,C791="重要关系7",LEFT('幕间与结算'!H698,8)="建立新的重要关系"),'幕间与结算'!E698+E791,BW790+IF(C791="重要关系7",E791,0)+IF(AND(C791="魅力",E791&lt;0),E791,0))))</x:f>
        <x:v>0</x:v>
      </x:c>
    </x:row>
    <x:row r="792">
      <x:c r="A792" t="str">
        <x:f>IFERROR(TEXT(VALUE('幕间与结算'!A699),"00"),"")</x:f>
        <x:v>00</x:v>
      </x:c>
      <x:c r="B792">
        <x:f>'幕间与结算'!B699</x:f>
        <x:v>0</x:v>
      </x:c>
      <x:c r="C792">
        <x:f>'幕间与结算'!D699</x:f>
        <x:v>0</x:v>
      </x:c>
      <x:c r="D792">
        <x:f>'幕间与结算'!F699</x:f>
        <x:v>0</x:v>
      </x:c>
      <x:c r="E792">
        <x:f>IF(H792=1,MAX(-'幕间与结算'!E699,MIN(D792,IF(LEFT(C792,3)="技能：",99,IF(COUNTIF($L$2:$L$7,C792)&gt;0,18,999))-'幕间与结算'!E699)),0)</x:f>
        <x:v>0</x:v>
      </x:c>
      <x:c r="F792" t="str">
        <x:f>IF(C792=0,"",IF(G792=0,"记录不完整",IF(H792=0,"重复未计","已计入")))</x:f>
        <x:v/>
      </x:c>
      <x:c r="G792">
        <x:f>IF(AND(AND('幕间与结算'!A699&lt;&gt;"",'幕间与结算'!B699&lt;&gt;"",'幕间与结算'!I699&lt;&gt;"",OR(LEFT(C792,3)="技能：",COUNTIF($L$2:$L$19,C792)&gt;0),ISNUMBER('幕间与结算'!E699),ISNUMBER('幕间与结算'!F699),ISNUMBER('幕间与结算'!G699),'幕间与结算'!E699&gt;=0,'幕间与结算'!G699='幕间与结算'!E699+'幕间与结算'!F699),OR(B792&lt;&gt;"成长",AND(LEFT(C792,3)="技能：",C792&lt;&gt;"技能：非自然知识",'幕间与结算'!E699&gt;=1,'幕间与结算'!E699&lt;=99,'幕间与结算'!F699&gt;=0,'幕间与结算'!F699&lt;=4,'幕间与结算'!G699&lt;=99))),1,0)</x:f>
        <x:v>0</x:v>
      </x:c>
      <x:c r="H792">
        <x:f>IF(AND(G792=1,COUNTIFS($I$200:I792,I792,$G$200:G792,1)=1),1,0)</x:f>
        <x:v>0</x:v>
      </x:c>
      <x:c r="I792" t="str">
        <x:f>IF(G792=1,IF(B792="成长",A792&amp;"-成长-"&amp;C792,'幕间与结算'!I699),"")</x:f>
        <x:v/>
      </x:c>
      <x:c r="BF792">
        <x:f>MAX(0,MIN(18,BF791+IF(C792="力量",E792,0)))</x:f>
        <x:v>0</x:v>
      </x:c>
      <x:c r="BG792">
        <x:f>MAX(0,MIN(18,BG791+IF(C792="体质",E792,0)))</x:f>
        <x:v>0</x:v>
      </x:c>
      <x:c r="BH792">
        <x:f>MAX(0,MIN(18,BH791+IF(C792="敏捷",E792,0)))</x:f>
        <x:v>0</x:v>
      </x:c>
      <x:c r="BI792">
        <x:f>MAX(0,MIN(18,BI791+IF(C792="智力",E792,0)))</x:f>
        <x:v>0</x:v>
      </x:c>
      <x:c r="BJ792">
        <x:f>MAX(0,MIN(18,BJ791+IF(C792="意志",E792,0)))</x:f>
        <x:v>0</x:v>
      </x:c>
      <x:c r="BK792">
        <x:f>MAX(0,MIN(18,BK791+IF(C792="魅力",E792,0)))</x:f>
        <x:v>0</x:v>
      </x:c>
      <x:c r="BL792">
        <x:f>MAX(0,MIN(99,BL791+IF(C792="技能：非自然知识",E792,0)))</x:f>
        <x:v>0</x:v>
      </x:c>
      <x:c r="BM792">
        <x:f>MAX(0,MIN(CEILING((BF792+BG792)/2,1),BM791+IF(C792="体力",E792,0)))</x:f>
        <x:v>0</x:v>
      </x:c>
      <x:c r="BN792">
        <x:f>MAX(0,MIN(BJ792,BN791+IF(C792="毅力",E792,0)))</x:f>
        <x:v>0</x:v>
      </x:c>
      <x:c r="BO792">
        <x:f>MAX(0,MIN(99-BL792,BO791+IF(C792="理智",E792,0)))</x:f>
        <x:v>0</x:v>
      </x:c>
      <x:c r="BP792">
        <x:f>MAX(0,MIN(99,BP791+IF(C792="崩溃点",E792,0)))</x:f>
        <x:v>0</x:v>
      </x:c>
      <x:c r="BQ792">
        <x:f>MAX(0,MIN(BK792,IF(AND(H792=1,C792="重要关系1",LEFT('幕间与结算'!H699,8)="建立新的重要关系"),'幕间与结算'!E699+E792,BQ791+IF(C792="重要关系1",E792,0)+IF(AND(C792="魅力",E792&lt;0),E792,0))))</x:f>
        <x:v>0</x:v>
      </x:c>
      <x:c r="BR792">
        <x:f>MAX(0,MIN(BK792,IF(AND(H792=1,C792="重要关系2",LEFT('幕间与结算'!H699,8)="建立新的重要关系"),'幕间与结算'!E699+E792,BR791+IF(C792="重要关系2",E792,0)+IF(AND(C792="魅力",E792&lt;0),E792,0))))</x:f>
        <x:v>0</x:v>
      </x:c>
      <x:c r="BS792">
        <x:f>MAX(0,MIN(BK792,IF(AND(H792=1,C792="重要关系3",LEFT('幕间与结算'!H699,8)="建立新的重要关系"),'幕间与结算'!E699+E792,BS791+IF(C792="重要关系3",E792,0)+IF(AND(C792="魅力",E792&lt;0),E792,0))))</x:f>
        <x:v>0</x:v>
      </x:c>
      <x:c r="BT792">
        <x:f>MAX(0,MIN(BK792,IF(AND(H792=1,C792="重要关系4",LEFT('幕间与结算'!H699,8)="建立新的重要关系"),'幕间与结算'!E699+E792,BT791+IF(C792="重要关系4",E792,0)+IF(AND(C792="魅力",E792&lt;0),E792,0))))</x:f>
        <x:v>0</x:v>
      </x:c>
      <x:c r="BU792">
        <x:f>MAX(0,MIN(BK792,IF(AND(H792=1,C792="重要关系5",LEFT('幕间与结算'!H699,8)="建立新的重要关系"),'幕间与结算'!E699+E792,BU791+IF(C792="重要关系5",E792,0)+IF(AND(C792="魅力",E792&lt;0),E792,0))))</x:f>
        <x:v>0</x:v>
      </x:c>
      <x:c r="BV792">
        <x:f>MAX(0,MIN(BK792,IF(AND(H792=1,C792="重要关系6",LEFT('幕间与结算'!H699,8)="建立新的重要关系"),'幕间与结算'!E699+E792,BV791+IF(C792="重要关系6",E792,0)+IF(AND(C792="魅力",E792&lt;0),E792,0))))</x:f>
        <x:v>0</x:v>
      </x:c>
      <x:c r="BW792">
        <x:f>MAX(0,MIN(BK792,IF(AND(H792=1,C792="重要关系7",LEFT('幕间与结算'!H699,8)="建立新的重要关系"),'幕间与结算'!E699+E792,BW791+IF(C792="重要关系7",E792,0)+IF(AND(C792="魅力",E792&lt;0),E792,0))))</x:f>
        <x:v>0</x:v>
      </x:c>
    </x:row>
    <x:row r="793">
      <x:c r="A793" t="str">
        <x:f>IFERROR(TEXT(VALUE('幕间与结算'!A700),"00"),"")</x:f>
        <x:v>00</x:v>
      </x:c>
      <x:c r="B793">
        <x:f>'幕间与结算'!B700</x:f>
        <x:v>0</x:v>
      </x:c>
      <x:c r="C793">
        <x:f>'幕间与结算'!D700</x:f>
        <x:v>0</x:v>
      </x:c>
      <x:c r="D793">
        <x:f>'幕间与结算'!F700</x:f>
        <x:v>0</x:v>
      </x:c>
      <x:c r="E793">
        <x:f>IF(H793=1,MAX(-'幕间与结算'!E700,MIN(D793,IF(LEFT(C793,3)="技能：",99,IF(COUNTIF($L$2:$L$7,C793)&gt;0,18,999))-'幕间与结算'!E700)),0)</x:f>
        <x:v>0</x:v>
      </x:c>
      <x:c r="F793" t="str">
        <x:f>IF(C793=0,"",IF(G793=0,"记录不完整",IF(H793=0,"重复未计","已计入")))</x:f>
        <x:v/>
      </x:c>
      <x:c r="G793">
        <x:f>IF(AND(AND('幕间与结算'!A700&lt;&gt;"",'幕间与结算'!B700&lt;&gt;"",'幕间与结算'!I700&lt;&gt;"",OR(LEFT(C793,3)="技能：",COUNTIF($L$2:$L$19,C793)&gt;0),ISNUMBER('幕间与结算'!E700),ISNUMBER('幕间与结算'!F700),ISNUMBER('幕间与结算'!G700),'幕间与结算'!E700&gt;=0,'幕间与结算'!G700='幕间与结算'!E700+'幕间与结算'!F700),OR(B793&lt;&gt;"成长",AND(LEFT(C793,3)="技能：",C793&lt;&gt;"技能：非自然知识",'幕间与结算'!E700&gt;=1,'幕间与结算'!E700&lt;=99,'幕间与结算'!F700&gt;=0,'幕间与结算'!F700&lt;=4,'幕间与结算'!G700&lt;=99))),1,0)</x:f>
        <x:v>0</x:v>
      </x:c>
      <x:c r="H793">
        <x:f>IF(AND(G793=1,COUNTIFS($I$200:I793,I793,$G$200:G793,1)=1),1,0)</x:f>
        <x:v>0</x:v>
      </x:c>
      <x:c r="I793" t="str">
        <x:f>IF(G793=1,IF(B793="成长",A793&amp;"-成长-"&amp;C793,'幕间与结算'!I700),"")</x:f>
        <x:v/>
      </x:c>
      <x:c r="BF793">
        <x:f>MAX(0,MIN(18,BF792+IF(C793="力量",E793,0)))</x:f>
        <x:v>0</x:v>
      </x:c>
      <x:c r="BG793">
        <x:f>MAX(0,MIN(18,BG792+IF(C793="体质",E793,0)))</x:f>
        <x:v>0</x:v>
      </x:c>
      <x:c r="BH793">
        <x:f>MAX(0,MIN(18,BH792+IF(C793="敏捷",E793,0)))</x:f>
        <x:v>0</x:v>
      </x:c>
      <x:c r="BI793">
        <x:f>MAX(0,MIN(18,BI792+IF(C793="智力",E793,0)))</x:f>
        <x:v>0</x:v>
      </x:c>
      <x:c r="BJ793">
        <x:f>MAX(0,MIN(18,BJ792+IF(C793="意志",E793,0)))</x:f>
        <x:v>0</x:v>
      </x:c>
      <x:c r="BK793">
        <x:f>MAX(0,MIN(18,BK792+IF(C793="魅力",E793,0)))</x:f>
        <x:v>0</x:v>
      </x:c>
      <x:c r="BL793">
        <x:f>MAX(0,MIN(99,BL792+IF(C793="技能：非自然知识",E793,0)))</x:f>
        <x:v>0</x:v>
      </x:c>
      <x:c r="BM793">
        <x:f>MAX(0,MIN(CEILING((BF793+BG793)/2,1),BM792+IF(C793="体力",E793,0)))</x:f>
        <x:v>0</x:v>
      </x:c>
      <x:c r="BN793">
        <x:f>MAX(0,MIN(BJ793,BN792+IF(C793="毅力",E793,0)))</x:f>
        <x:v>0</x:v>
      </x:c>
      <x:c r="BO793">
        <x:f>MAX(0,MIN(99-BL793,BO792+IF(C793="理智",E793,0)))</x:f>
        <x:v>0</x:v>
      </x:c>
      <x:c r="BP793">
        <x:f>MAX(0,MIN(99,BP792+IF(C793="崩溃点",E793,0)))</x:f>
        <x:v>0</x:v>
      </x:c>
      <x:c r="BQ793">
        <x:f>MAX(0,MIN(BK793,IF(AND(H793=1,C793="重要关系1",LEFT('幕间与结算'!H700,8)="建立新的重要关系"),'幕间与结算'!E700+E793,BQ792+IF(C793="重要关系1",E793,0)+IF(AND(C793="魅力",E793&lt;0),E793,0))))</x:f>
        <x:v>0</x:v>
      </x:c>
      <x:c r="BR793">
        <x:f>MAX(0,MIN(BK793,IF(AND(H793=1,C793="重要关系2",LEFT('幕间与结算'!H700,8)="建立新的重要关系"),'幕间与结算'!E700+E793,BR792+IF(C793="重要关系2",E793,0)+IF(AND(C793="魅力",E793&lt;0),E793,0))))</x:f>
        <x:v>0</x:v>
      </x:c>
      <x:c r="BS793">
        <x:f>MAX(0,MIN(BK793,IF(AND(H793=1,C793="重要关系3",LEFT('幕间与结算'!H700,8)="建立新的重要关系"),'幕间与结算'!E700+E793,BS792+IF(C793="重要关系3",E793,0)+IF(AND(C793="魅力",E793&lt;0),E793,0))))</x:f>
        <x:v>0</x:v>
      </x:c>
      <x:c r="BT793">
        <x:f>MAX(0,MIN(BK793,IF(AND(H793=1,C793="重要关系4",LEFT('幕间与结算'!H700,8)="建立新的重要关系"),'幕间与结算'!E700+E793,BT792+IF(C793="重要关系4",E793,0)+IF(AND(C793="魅力",E793&lt;0),E793,0))))</x:f>
        <x:v>0</x:v>
      </x:c>
      <x:c r="BU793">
        <x:f>MAX(0,MIN(BK793,IF(AND(H793=1,C793="重要关系5",LEFT('幕间与结算'!H700,8)="建立新的重要关系"),'幕间与结算'!E700+E793,BU792+IF(C793="重要关系5",E793,0)+IF(AND(C793="魅力",E793&lt;0),E793,0))))</x:f>
        <x:v>0</x:v>
      </x:c>
      <x:c r="BV793">
        <x:f>MAX(0,MIN(BK793,IF(AND(H793=1,C793="重要关系6",LEFT('幕间与结算'!H700,8)="建立新的重要关系"),'幕间与结算'!E700+E793,BV792+IF(C793="重要关系6",E793,0)+IF(AND(C793="魅力",E793&lt;0),E793,0))))</x:f>
        <x:v>0</x:v>
      </x:c>
      <x:c r="BW793">
        <x:f>MAX(0,MIN(BK793,IF(AND(H793=1,C793="重要关系7",LEFT('幕间与结算'!H700,8)="建立新的重要关系"),'幕间与结算'!E700+E793,BW792+IF(C793="重要关系7",E793,0)+IF(AND(C793="魅力",E793&lt;0),E793,0))))</x:f>
        <x:v>0</x:v>
      </x:c>
    </x:row>
    <x:row r="794">
      <x:c r="A794" t="str">
        <x:f>IFERROR(TEXT(VALUE('幕间与结算'!A701),"00"),"")</x:f>
        <x:v>00</x:v>
      </x:c>
      <x:c r="B794">
        <x:f>'幕间与结算'!B701</x:f>
        <x:v>0</x:v>
      </x:c>
      <x:c r="C794">
        <x:f>'幕间与结算'!D701</x:f>
        <x:v>0</x:v>
      </x:c>
      <x:c r="D794">
        <x:f>'幕间与结算'!F701</x:f>
        <x:v>0</x:v>
      </x:c>
      <x:c r="E794">
        <x:f>IF(H794=1,MAX(-'幕间与结算'!E701,MIN(D794,IF(LEFT(C794,3)="技能：",99,IF(COUNTIF($L$2:$L$7,C794)&gt;0,18,999))-'幕间与结算'!E701)),0)</x:f>
        <x:v>0</x:v>
      </x:c>
      <x:c r="F794" t="str">
        <x:f>IF(C794=0,"",IF(G794=0,"记录不完整",IF(H794=0,"重复未计","已计入")))</x:f>
        <x:v/>
      </x:c>
      <x:c r="G794">
        <x:f>IF(AND(AND('幕间与结算'!A701&lt;&gt;"",'幕间与结算'!B701&lt;&gt;"",'幕间与结算'!I701&lt;&gt;"",OR(LEFT(C794,3)="技能：",COUNTIF($L$2:$L$19,C794)&gt;0),ISNUMBER('幕间与结算'!E701),ISNUMBER('幕间与结算'!F701),ISNUMBER('幕间与结算'!G701),'幕间与结算'!E701&gt;=0,'幕间与结算'!G701='幕间与结算'!E701+'幕间与结算'!F701),OR(B794&lt;&gt;"成长",AND(LEFT(C794,3)="技能：",C794&lt;&gt;"技能：非自然知识",'幕间与结算'!E701&gt;=1,'幕间与结算'!E701&lt;=99,'幕间与结算'!F701&gt;=0,'幕间与结算'!F701&lt;=4,'幕间与结算'!G701&lt;=99))),1,0)</x:f>
        <x:v>0</x:v>
      </x:c>
      <x:c r="H794">
        <x:f>IF(AND(G794=1,COUNTIFS($I$200:I794,I794,$G$200:G794,1)=1),1,0)</x:f>
        <x:v>0</x:v>
      </x:c>
      <x:c r="I794" t="str">
        <x:f>IF(G794=1,IF(B794="成长",A794&amp;"-成长-"&amp;C794,'幕间与结算'!I701),"")</x:f>
        <x:v/>
      </x:c>
      <x:c r="BF794">
        <x:f>MAX(0,MIN(18,BF793+IF(C794="力量",E794,0)))</x:f>
        <x:v>0</x:v>
      </x:c>
      <x:c r="BG794">
        <x:f>MAX(0,MIN(18,BG793+IF(C794="体质",E794,0)))</x:f>
        <x:v>0</x:v>
      </x:c>
      <x:c r="BH794">
        <x:f>MAX(0,MIN(18,BH793+IF(C794="敏捷",E794,0)))</x:f>
        <x:v>0</x:v>
      </x:c>
      <x:c r="BI794">
        <x:f>MAX(0,MIN(18,BI793+IF(C794="智力",E794,0)))</x:f>
        <x:v>0</x:v>
      </x:c>
      <x:c r="BJ794">
        <x:f>MAX(0,MIN(18,BJ793+IF(C794="意志",E794,0)))</x:f>
        <x:v>0</x:v>
      </x:c>
      <x:c r="BK794">
        <x:f>MAX(0,MIN(18,BK793+IF(C794="魅力",E794,0)))</x:f>
        <x:v>0</x:v>
      </x:c>
      <x:c r="BL794">
        <x:f>MAX(0,MIN(99,BL793+IF(C794="技能：非自然知识",E794,0)))</x:f>
        <x:v>0</x:v>
      </x:c>
      <x:c r="BM794">
        <x:f>MAX(0,MIN(CEILING((BF794+BG794)/2,1),BM793+IF(C794="体力",E794,0)))</x:f>
        <x:v>0</x:v>
      </x:c>
      <x:c r="BN794">
        <x:f>MAX(0,MIN(BJ794,BN793+IF(C794="毅力",E794,0)))</x:f>
        <x:v>0</x:v>
      </x:c>
      <x:c r="BO794">
        <x:f>MAX(0,MIN(99-BL794,BO793+IF(C794="理智",E794,0)))</x:f>
        <x:v>0</x:v>
      </x:c>
      <x:c r="BP794">
        <x:f>MAX(0,MIN(99,BP793+IF(C794="崩溃点",E794,0)))</x:f>
        <x:v>0</x:v>
      </x:c>
      <x:c r="BQ794">
        <x:f>MAX(0,MIN(BK794,IF(AND(H794=1,C794="重要关系1",LEFT('幕间与结算'!H701,8)="建立新的重要关系"),'幕间与结算'!E701+E794,BQ793+IF(C794="重要关系1",E794,0)+IF(AND(C794="魅力",E794&lt;0),E794,0))))</x:f>
        <x:v>0</x:v>
      </x:c>
      <x:c r="BR794">
        <x:f>MAX(0,MIN(BK794,IF(AND(H794=1,C794="重要关系2",LEFT('幕间与结算'!H701,8)="建立新的重要关系"),'幕间与结算'!E701+E794,BR793+IF(C794="重要关系2",E794,0)+IF(AND(C794="魅力",E794&lt;0),E794,0))))</x:f>
        <x:v>0</x:v>
      </x:c>
      <x:c r="BS794">
        <x:f>MAX(0,MIN(BK794,IF(AND(H794=1,C794="重要关系3",LEFT('幕间与结算'!H701,8)="建立新的重要关系"),'幕间与结算'!E701+E794,BS793+IF(C794="重要关系3",E794,0)+IF(AND(C794="魅力",E794&lt;0),E794,0))))</x:f>
        <x:v>0</x:v>
      </x:c>
      <x:c r="BT794">
        <x:f>MAX(0,MIN(BK794,IF(AND(H794=1,C794="重要关系4",LEFT('幕间与结算'!H701,8)="建立新的重要关系"),'幕间与结算'!E701+E794,BT793+IF(C794="重要关系4",E794,0)+IF(AND(C794="魅力",E794&lt;0),E794,0))))</x:f>
        <x:v>0</x:v>
      </x:c>
      <x:c r="BU794">
        <x:f>MAX(0,MIN(BK794,IF(AND(H794=1,C794="重要关系5",LEFT('幕间与结算'!H701,8)="建立新的重要关系"),'幕间与结算'!E701+E794,BU793+IF(C794="重要关系5",E794,0)+IF(AND(C794="魅力",E794&lt;0),E794,0))))</x:f>
        <x:v>0</x:v>
      </x:c>
      <x:c r="BV794">
        <x:f>MAX(0,MIN(BK794,IF(AND(H794=1,C794="重要关系6",LEFT('幕间与结算'!H701,8)="建立新的重要关系"),'幕间与结算'!E701+E794,BV793+IF(C794="重要关系6",E794,0)+IF(AND(C794="魅力",E794&lt;0),E794,0))))</x:f>
        <x:v>0</x:v>
      </x:c>
      <x:c r="BW794">
        <x:f>MAX(0,MIN(BK794,IF(AND(H794=1,C794="重要关系7",LEFT('幕间与结算'!H701,8)="建立新的重要关系"),'幕间与结算'!E701+E794,BW793+IF(C794="重要关系7",E794,0)+IF(AND(C794="魅力",E794&lt;0),E794,0))))</x:f>
        <x:v>0</x:v>
      </x:c>
    </x:row>
    <x:row r="795">
      <x:c r="A795" t="str">
        <x:f>IFERROR(TEXT(VALUE('幕间与结算'!A702),"00"),"")</x:f>
        <x:v>00</x:v>
      </x:c>
      <x:c r="B795">
        <x:f>'幕间与结算'!B702</x:f>
        <x:v>0</x:v>
      </x:c>
      <x:c r="C795">
        <x:f>'幕间与结算'!D702</x:f>
        <x:v>0</x:v>
      </x:c>
      <x:c r="D795">
        <x:f>'幕间与结算'!F702</x:f>
        <x:v>0</x:v>
      </x:c>
      <x:c r="E795">
        <x:f>IF(H795=1,MAX(-'幕间与结算'!E702,MIN(D795,IF(LEFT(C795,3)="技能：",99,IF(COUNTIF($L$2:$L$7,C795)&gt;0,18,999))-'幕间与结算'!E702)),0)</x:f>
        <x:v>0</x:v>
      </x:c>
      <x:c r="F795" t="str">
        <x:f>IF(C795=0,"",IF(G795=0,"记录不完整",IF(H795=0,"重复未计","已计入")))</x:f>
        <x:v/>
      </x:c>
      <x:c r="G795">
        <x:f>IF(AND(AND('幕间与结算'!A702&lt;&gt;"",'幕间与结算'!B702&lt;&gt;"",'幕间与结算'!I702&lt;&gt;"",OR(LEFT(C795,3)="技能：",COUNTIF($L$2:$L$19,C795)&gt;0),ISNUMBER('幕间与结算'!E702),ISNUMBER('幕间与结算'!F702),ISNUMBER('幕间与结算'!G702),'幕间与结算'!E702&gt;=0,'幕间与结算'!G702='幕间与结算'!E702+'幕间与结算'!F702),OR(B795&lt;&gt;"成长",AND(LEFT(C795,3)="技能：",C795&lt;&gt;"技能：非自然知识",'幕间与结算'!E702&gt;=1,'幕间与结算'!E702&lt;=99,'幕间与结算'!F702&gt;=0,'幕间与结算'!F702&lt;=4,'幕间与结算'!G702&lt;=99))),1,0)</x:f>
        <x:v>0</x:v>
      </x:c>
      <x:c r="H795">
        <x:f>IF(AND(G795=1,COUNTIFS($I$200:I795,I795,$G$200:G795,1)=1),1,0)</x:f>
        <x:v>0</x:v>
      </x:c>
      <x:c r="I795" t="str">
        <x:f>IF(G795=1,IF(B795="成长",A795&amp;"-成长-"&amp;C795,'幕间与结算'!I702),"")</x:f>
        <x:v/>
      </x:c>
      <x:c r="BF795">
        <x:f>MAX(0,MIN(18,BF794+IF(C795="力量",E795,0)))</x:f>
        <x:v>0</x:v>
      </x:c>
      <x:c r="BG795">
        <x:f>MAX(0,MIN(18,BG794+IF(C795="体质",E795,0)))</x:f>
        <x:v>0</x:v>
      </x:c>
      <x:c r="BH795">
        <x:f>MAX(0,MIN(18,BH794+IF(C795="敏捷",E795,0)))</x:f>
        <x:v>0</x:v>
      </x:c>
      <x:c r="BI795">
        <x:f>MAX(0,MIN(18,BI794+IF(C795="智力",E795,0)))</x:f>
        <x:v>0</x:v>
      </x:c>
      <x:c r="BJ795">
        <x:f>MAX(0,MIN(18,BJ794+IF(C795="意志",E795,0)))</x:f>
        <x:v>0</x:v>
      </x:c>
      <x:c r="BK795">
        <x:f>MAX(0,MIN(18,BK794+IF(C795="魅力",E795,0)))</x:f>
        <x:v>0</x:v>
      </x:c>
      <x:c r="BL795">
        <x:f>MAX(0,MIN(99,BL794+IF(C795="技能：非自然知识",E795,0)))</x:f>
        <x:v>0</x:v>
      </x:c>
      <x:c r="BM795">
        <x:f>MAX(0,MIN(CEILING((BF795+BG795)/2,1),BM794+IF(C795="体力",E795,0)))</x:f>
        <x:v>0</x:v>
      </x:c>
      <x:c r="BN795">
        <x:f>MAX(0,MIN(BJ795,BN794+IF(C795="毅力",E795,0)))</x:f>
        <x:v>0</x:v>
      </x:c>
      <x:c r="BO795">
        <x:f>MAX(0,MIN(99-BL795,BO794+IF(C795="理智",E795,0)))</x:f>
        <x:v>0</x:v>
      </x:c>
      <x:c r="BP795">
        <x:f>MAX(0,MIN(99,BP794+IF(C795="崩溃点",E795,0)))</x:f>
        <x:v>0</x:v>
      </x:c>
      <x:c r="BQ795">
        <x:f>MAX(0,MIN(BK795,IF(AND(H795=1,C795="重要关系1",LEFT('幕间与结算'!H702,8)="建立新的重要关系"),'幕间与结算'!E702+E795,BQ794+IF(C795="重要关系1",E795,0)+IF(AND(C795="魅力",E795&lt;0),E795,0))))</x:f>
        <x:v>0</x:v>
      </x:c>
      <x:c r="BR795">
        <x:f>MAX(0,MIN(BK795,IF(AND(H795=1,C795="重要关系2",LEFT('幕间与结算'!H702,8)="建立新的重要关系"),'幕间与结算'!E702+E795,BR794+IF(C795="重要关系2",E795,0)+IF(AND(C795="魅力",E795&lt;0),E795,0))))</x:f>
        <x:v>0</x:v>
      </x:c>
      <x:c r="BS795">
        <x:f>MAX(0,MIN(BK795,IF(AND(H795=1,C795="重要关系3",LEFT('幕间与结算'!H702,8)="建立新的重要关系"),'幕间与结算'!E702+E795,BS794+IF(C795="重要关系3",E795,0)+IF(AND(C795="魅力",E795&lt;0),E795,0))))</x:f>
        <x:v>0</x:v>
      </x:c>
      <x:c r="BT795">
        <x:f>MAX(0,MIN(BK795,IF(AND(H795=1,C795="重要关系4",LEFT('幕间与结算'!H702,8)="建立新的重要关系"),'幕间与结算'!E702+E795,BT794+IF(C795="重要关系4",E795,0)+IF(AND(C795="魅力",E795&lt;0),E795,0))))</x:f>
        <x:v>0</x:v>
      </x:c>
      <x:c r="BU795">
        <x:f>MAX(0,MIN(BK795,IF(AND(H795=1,C795="重要关系5",LEFT('幕间与结算'!H702,8)="建立新的重要关系"),'幕间与结算'!E702+E795,BU794+IF(C795="重要关系5",E795,0)+IF(AND(C795="魅力",E795&lt;0),E795,0))))</x:f>
        <x:v>0</x:v>
      </x:c>
      <x:c r="BV795">
        <x:f>MAX(0,MIN(BK795,IF(AND(H795=1,C795="重要关系6",LEFT('幕间与结算'!H702,8)="建立新的重要关系"),'幕间与结算'!E702+E795,BV794+IF(C795="重要关系6",E795,0)+IF(AND(C795="魅力",E795&lt;0),E795,0))))</x:f>
        <x:v>0</x:v>
      </x:c>
      <x:c r="BW795">
        <x:f>MAX(0,MIN(BK795,IF(AND(H795=1,C795="重要关系7",LEFT('幕间与结算'!H702,8)="建立新的重要关系"),'幕间与结算'!E702+E795,BW794+IF(C795="重要关系7",E795,0)+IF(AND(C795="魅力",E795&lt;0),E795,0))))</x:f>
        <x:v>0</x:v>
      </x:c>
    </x:row>
    <x:row r="796">
      <x:c r="A796" t="str">
        <x:f>IFERROR(TEXT(VALUE('幕间与结算'!A703),"00"),"")</x:f>
        <x:v>00</x:v>
      </x:c>
      <x:c r="B796">
        <x:f>'幕间与结算'!B703</x:f>
        <x:v>0</x:v>
      </x:c>
      <x:c r="C796">
        <x:f>'幕间与结算'!D703</x:f>
        <x:v>0</x:v>
      </x:c>
      <x:c r="D796">
        <x:f>'幕间与结算'!F703</x:f>
        <x:v>0</x:v>
      </x:c>
      <x:c r="E796">
        <x:f>IF(H796=1,MAX(-'幕间与结算'!E703,MIN(D796,IF(LEFT(C796,3)="技能：",99,IF(COUNTIF($L$2:$L$7,C796)&gt;0,18,999))-'幕间与结算'!E703)),0)</x:f>
        <x:v>0</x:v>
      </x:c>
      <x:c r="F796" t="str">
        <x:f>IF(C796=0,"",IF(G796=0,"记录不完整",IF(H796=0,"重复未计","已计入")))</x:f>
        <x:v/>
      </x:c>
      <x:c r="G796">
        <x:f>IF(AND(AND('幕间与结算'!A703&lt;&gt;"",'幕间与结算'!B703&lt;&gt;"",'幕间与结算'!I703&lt;&gt;"",OR(LEFT(C796,3)="技能：",COUNTIF($L$2:$L$19,C796)&gt;0),ISNUMBER('幕间与结算'!E703),ISNUMBER('幕间与结算'!F703),ISNUMBER('幕间与结算'!G703),'幕间与结算'!E703&gt;=0,'幕间与结算'!G703='幕间与结算'!E703+'幕间与结算'!F703),OR(B796&lt;&gt;"成长",AND(LEFT(C796,3)="技能：",C796&lt;&gt;"技能：非自然知识",'幕间与结算'!E703&gt;=1,'幕间与结算'!E703&lt;=99,'幕间与结算'!F703&gt;=0,'幕间与结算'!F703&lt;=4,'幕间与结算'!G703&lt;=99))),1,0)</x:f>
        <x:v>0</x:v>
      </x:c>
      <x:c r="H796">
        <x:f>IF(AND(G796=1,COUNTIFS($I$200:I796,I796,$G$200:G796,1)=1),1,0)</x:f>
        <x:v>0</x:v>
      </x:c>
      <x:c r="I796" t="str">
        <x:f>IF(G796=1,IF(B796="成长",A796&amp;"-成长-"&amp;C796,'幕间与结算'!I703),"")</x:f>
        <x:v/>
      </x:c>
      <x:c r="BF796">
        <x:f>MAX(0,MIN(18,BF795+IF(C796="力量",E796,0)))</x:f>
        <x:v>0</x:v>
      </x:c>
      <x:c r="BG796">
        <x:f>MAX(0,MIN(18,BG795+IF(C796="体质",E796,0)))</x:f>
        <x:v>0</x:v>
      </x:c>
      <x:c r="BH796">
        <x:f>MAX(0,MIN(18,BH795+IF(C796="敏捷",E796,0)))</x:f>
        <x:v>0</x:v>
      </x:c>
      <x:c r="BI796">
        <x:f>MAX(0,MIN(18,BI795+IF(C796="智力",E796,0)))</x:f>
        <x:v>0</x:v>
      </x:c>
      <x:c r="BJ796">
        <x:f>MAX(0,MIN(18,BJ795+IF(C796="意志",E796,0)))</x:f>
        <x:v>0</x:v>
      </x:c>
      <x:c r="BK796">
        <x:f>MAX(0,MIN(18,BK795+IF(C796="魅力",E796,0)))</x:f>
        <x:v>0</x:v>
      </x:c>
      <x:c r="BL796">
        <x:f>MAX(0,MIN(99,BL795+IF(C796="技能：非自然知识",E796,0)))</x:f>
        <x:v>0</x:v>
      </x:c>
      <x:c r="BM796">
        <x:f>MAX(0,MIN(CEILING((BF796+BG796)/2,1),BM795+IF(C796="体力",E796,0)))</x:f>
        <x:v>0</x:v>
      </x:c>
      <x:c r="BN796">
        <x:f>MAX(0,MIN(BJ796,BN795+IF(C796="毅力",E796,0)))</x:f>
        <x:v>0</x:v>
      </x:c>
      <x:c r="BO796">
        <x:f>MAX(0,MIN(99-BL796,BO795+IF(C796="理智",E796,0)))</x:f>
        <x:v>0</x:v>
      </x:c>
      <x:c r="BP796">
        <x:f>MAX(0,MIN(99,BP795+IF(C796="崩溃点",E796,0)))</x:f>
        <x:v>0</x:v>
      </x:c>
      <x:c r="BQ796">
        <x:f>MAX(0,MIN(BK796,IF(AND(H796=1,C796="重要关系1",LEFT('幕间与结算'!H703,8)="建立新的重要关系"),'幕间与结算'!E703+E796,BQ795+IF(C796="重要关系1",E796,0)+IF(AND(C796="魅力",E796&lt;0),E796,0))))</x:f>
        <x:v>0</x:v>
      </x:c>
      <x:c r="BR796">
        <x:f>MAX(0,MIN(BK796,IF(AND(H796=1,C796="重要关系2",LEFT('幕间与结算'!H703,8)="建立新的重要关系"),'幕间与结算'!E703+E796,BR795+IF(C796="重要关系2",E796,0)+IF(AND(C796="魅力",E796&lt;0),E796,0))))</x:f>
        <x:v>0</x:v>
      </x:c>
      <x:c r="BS796">
        <x:f>MAX(0,MIN(BK796,IF(AND(H796=1,C796="重要关系3",LEFT('幕间与结算'!H703,8)="建立新的重要关系"),'幕间与结算'!E703+E796,BS795+IF(C796="重要关系3",E796,0)+IF(AND(C796="魅力",E796&lt;0),E796,0))))</x:f>
        <x:v>0</x:v>
      </x:c>
      <x:c r="BT796">
        <x:f>MAX(0,MIN(BK796,IF(AND(H796=1,C796="重要关系4",LEFT('幕间与结算'!H703,8)="建立新的重要关系"),'幕间与结算'!E703+E796,BT795+IF(C796="重要关系4",E796,0)+IF(AND(C796="魅力",E796&lt;0),E796,0))))</x:f>
        <x:v>0</x:v>
      </x:c>
      <x:c r="BU796">
        <x:f>MAX(0,MIN(BK796,IF(AND(H796=1,C796="重要关系5",LEFT('幕间与结算'!H703,8)="建立新的重要关系"),'幕间与结算'!E703+E796,BU795+IF(C796="重要关系5",E796,0)+IF(AND(C796="魅力",E796&lt;0),E796,0))))</x:f>
        <x:v>0</x:v>
      </x:c>
      <x:c r="BV796">
        <x:f>MAX(0,MIN(BK796,IF(AND(H796=1,C796="重要关系6",LEFT('幕间与结算'!H703,8)="建立新的重要关系"),'幕间与结算'!E703+E796,BV795+IF(C796="重要关系6",E796,0)+IF(AND(C796="魅力",E796&lt;0),E796,0))))</x:f>
        <x:v>0</x:v>
      </x:c>
      <x:c r="BW796">
        <x:f>MAX(0,MIN(BK796,IF(AND(H796=1,C796="重要关系7",LEFT('幕间与结算'!H703,8)="建立新的重要关系"),'幕间与结算'!E703+E796,BW795+IF(C796="重要关系7",E796,0)+IF(AND(C796="魅力",E796&lt;0),E796,0))))</x:f>
        <x:v>0</x:v>
      </x:c>
    </x:row>
    <x:row r="797">
      <x:c r="A797" t="str">
        <x:f>IFERROR(TEXT(VALUE('幕间与结算'!A704),"00"),"")</x:f>
        <x:v>00</x:v>
      </x:c>
      <x:c r="B797">
        <x:f>'幕间与结算'!B704</x:f>
        <x:v>0</x:v>
      </x:c>
      <x:c r="C797">
        <x:f>'幕间与结算'!D704</x:f>
        <x:v>0</x:v>
      </x:c>
      <x:c r="D797">
        <x:f>'幕间与结算'!F704</x:f>
        <x:v>0</x:v>
      </x:c>
      <x:c r="E797">
        <x:f>IF(H797=1,MAX(-'幕间与结算'!E704,MIN(D797,IF(LEFT(C797,3)="技能：",99,IF(COUNTIF($L$2:$L$7,C797)&gt;0,18,999))-'幕间与结算'!E704)),0)</x:f>
        <x:v>0</x:v>
      </x:c>
      <x:c r="F797" t="str">
        <x:f>IF(C797=0,"",IF(G797=0,"记录不完整",IF(H797=0,"重复未计","已计入")))</x:f>
        <x:v/>
      </x:c>
      <x:c r="G797">
        <x:f>IF(AND(AND('幕间与结算'!A704&lt;&gt;"",'幕间与结算'!B704&lt;&gt;"",'幕间与结算'!I704&lt;&gt;"",OR(LEFT(C797,3)="技能：",COUNTIF($L$2:$L$19,C797)&gt;0),ISNUMBER('幕间与结算'!E704),ISNUMBER('幕间与结算'!F704),ISNUMBER('幕间与结算'!G704),'幕间与结算'!E704&gt;=0,'幕间与结算'!G704='幕间与结算'!E704+'幕间与结算'!F704),OR(B797&lt;&gt;"成长",AND(LEFT(C797,3)="技能：",C797&lt;&gt;"技能：非自然知识",'幕间与结算'!E704&gt;=1,'幕间与结算'!E704&lt;=99,'幕间与结算'!F704&gt;=0,'幕间与结算'!F704&lt;=4,'幕间与结算'!G704&lt;=99))),1,0)</x:f>
        <x:v>0</x:v>
      </x:c>
      <x:c r="H797">
        <x:f>IF(AND(G797=1,COUNTIFS($I$200:I797,I797,$G$200:G797,1)=1),1,0)</x:f>
        <x:v>0</x:v>
      </x:c>
      <x:c r="I797" t="str">
        <x:f>IF(G797=1,IF(B797="成长",A797&amp;"-成长-"&amp;C797,'幕间与结算'!I704),"")</x:f>
        <x:v/>
      </x:c>
      <x:c r="BF797">
        <x:f>MAX(0,MIN(18,BF796+IF(C797="力量",E797,0)))</x:f>
        <x:v>0</x:v>
      </x:c>
      <x:c r="BG797">
        <x:f>MAX(0,MIN(18,BG796+IF(C797="体质",E797,0)))</x:f>
        <x:v>0</x:v>
      </x:c>
      <x:c r="BH797">
        <x:f>MAX(0,MIN(18,BH796+IF(C797="敏捷",E797,0)))</x:f>
        <x:v>0</x:v>
      </x:c>
      <x:c r="BI797">
        <x:f>MAX(0,MIN(18,BI796+IF(C797="智力",E797,0)))</x:f>
        <x:v>0</x:v>
      </x:c>
      <x:c r="BJ797">
        <x:f>MAX(0,MIN(18,BJ796+IF(C797="意志",E797,0)))</x:f>
        <x:v>0</x:v>
      </x:c>
      <x:c r="BK797">
        <x:f>MAX(0,MIN(18,BK796+IF(C797="魅力",E797,0)))</x:f>
        <x:v>0</x:v>
      </x:c>
      <x:c r="BL797">
        <x:f>MAX(0,MIN(99,BL796+IF(C797="技能：非自然知识",E797,0)))</x:f>
        <x:v>0</x:v>
      </x:c>
      <x:c r="BM797">
        <x:f>MAX(0,MIN(CEILING((BF797+BG797)/2,1),BM796+IF(C797="体力",E797,0)))</x:f>
        <x:v>0</x:v>
      </x:c>
      <x:c r="BN797">
        <x:f>MAX(0,MIN(BJ797,BN796+IF(C797="毅力",E797,0)))</x:f>
        <x:v>0</x:v>
      </x:c>
      <x:c r="BO797">
        <x:f>MAX(0,MIN(99-BL797,BO796+IF(C797="理智",E797,0)))</x:f>
        <x:v>0</x:v>
      </x:c>
      <x:c r="BP797">
        <x:f>MAX(0,MIN(99,BP796+IF(C797="崩溃点",E797,0)))</x:f>
        <x:v>0</x:v>
      </x:c>
      <x:c r="BQ797">
        <x:f>MAX(0,MIN(BK797,IF(AND(H797=1,C797="重要关系1",LEFT('幕间与结算'!H704,8)="建立新的重要关系"),'幕间与结算'!E704+E797,BQ796+IF(C797="重要关系1",E797,0)+IF(AND(C797="魅力",E797&lt;0),E797,0))))</x:f>
        <x:v>0</x:v>
      </x:c>
      <x:c r="BR797">
        <x:f>MAX(0,MIN(BK797,IF(AND(H797=1,C797="重要关系2",LEFT('幕间与结算'!H704,8)="建立新的重要关系"),'幕间与结算'!E704+E797,BR796+IF(C797="重要关系2",E797,0)+IF(AND(C797="魅力",E797&lt;0),E797,0))))</x:f>
        <x:v>0</x:v>
      </x:c>
      <x:c r="BS797">
        <x:f>MAX(0,MIN(BK797,IF(AND(H797=1,C797="重要关系3",LEFT('幕间与结算'!H704,8)="建立新的重要关系"),'幕间与结算'!E704+E797,BS796+IF(C797="重要关系3",E797,0)+IF(AND(C797="魅力",E797&lt;0),E797,0))))</x:f>
        <x:v>0</x:v>
      </x:c>
      <x:c r="BT797">
        <x:f>MAX(0,MIN(BK797,IF(AND(H797=1,C797="重要关系4",LEFT('幕间与结算'!H704,8)="建立新的重要关系"),'幕间与结算'!E704+E797,BT796+IF(C797="重要关系4",E797,0)+IF(AND(C797="魅力",E797&lt;0),E797,0))))</x:f>
        <x:v>0</x:v>
      </x:c>
      <x:c r="BU797">
        <x:f>MAX(0,MIN(BK797,IF(AND(H797=1,C797="重要关系5",LEFT('幕间与结算'!H704,8)="建立新的重要关系"),'幕间与结算'!E704+E797,BU796+IF(C797="重要关系5",E797,0)+IF(AND(C797="魅力",E797&lt;0),E797,0))))</x:f>
        <x:v>0</x:v>
      </x:c>
      <x:c r="BV797">
        <x:f>MAX(0,MIN(BK797,IF(AND(H797=1,C797="重要关系6",LEFT('幕间与结算'!H704,8)="建立新的重要关系"),'幕间与结算'!E704+E797,BV796+IF(C797="重要关系6",E797,0)+IF(AND(C797="魅力",E797&lt;0),E797,0))))</x:f>
        <x:v>0</x:v>
      </x:c>
      <x:c r="BW797">
        <x:f>MAX(0,MIN(BK797,IF(AND(H797=1,C797="重要关系7",LEFT('幕间与结算'!H704,8)="建立新的重要关系"),'幕间与结算'!E704+E797,BW796+IF(C797="重要关系7",E797,0)+IF(AND(C797="魅力",E797&lt;0),E797,0))))</x:f>
        <x:v>0</x:v>
      </x:c>
    </x:row>
    <x:row r="798">
      <x:c r="A798" t="str">
        <x:f>IFERROR(TEXT(VALUE('幕间与结算'!A705),"00"),"")</x:f>
        <x:v>00</x:v>
      </x:c>
      <x:c r="B798">
        <x:f>'幕间与结算'!B705</x:f>
        <x:v>0</x:v>
      </x:c>
      <x:c r="C798">
        <x:f>'幕间与结算'!D705</x:f>
        <x:v>0</x:v>
      </x:c>
      <x:c r="D798">
        <x:f>'幕间与结算'!F705</x:f>
        <x:v>0</x:v>
      </x:c>
      <x:c r="E798">
        <x:f>IF(H798=1,MAX(-'幕间与结算'!E705,MIN(D798,IF(LEFT(C798,3)="技能：",99,IF(COUNTIF($L$2:$L$7,C798)&gt;0,18,999))-'幕间与结算'!E705)),0)</x:f>
        <x:v>0</x:v>
      </x:c>
      <x:c r="F798" t="str">
        <x:f>IF(C798=0,"",IF(G798=0,"记录不完整",IF(H798=0,"重复未计","已计入")))</x:f>
        <x:v/>
      </x:c>
      <x:c r="G798">
        <x:f>IF(AND(AND('幕间与结算'!A705&lt;&gt;"",'幕间与结算'!B705&lt;&gt;"",'幕间与结算'!I705&lt;&gt;"",OR(LEFT(C798,3)="技能：",COUNTIF($L$2:$L$19,C798)&gt;0),ISNUMBER('幕间与结算'!E705),ISNUMBER('幕间与结算'!F705),ISNUMBER('幕间与结算'!G705),'幕间与结算'!E705&gt;=0,'幕间与结算'!G705='幕间与结算'!E705+'幕间与结算'!F705),OR(B798&lt;&gt;"成长",AND(LEFT(C798,3)="技能：",C798&lt;&gt;"技能：非自然知识",'幕间与结算'!E705&gt;=1,'幕间与结算'!E705&lt;=99,'幕间与结算'!F705&gt;=0,'幕间与结算'!F705&lt;=4,'幕间与结算'!G705&lt;=99))),1,0)</x:f>
        <x:v>0</x:v>
      </x:c>
      <x:c r="H798">
        <x:f>IF(AND(G798=1,COUNTIFS($I$200:I798,I798,$G$200:G798,1)=1),1,0)</x:f>
        <x:v>0</x:v>
      </x:c>
      <x:c r="I798" t="str">
        <x:f>IF(G798=1,IF(B798="成长",A798&amp;"-成长-"&amp;C798,'幕间与结算'!I705),"")</x:f>
        <x:v/>
      </x:c>
      <x:c r="BF798">
        <x:f>MAX(0,MIN(18,BF797+IF(C798="力量",E798,0)))</x:f>
        <x:v>0</x:v>
      </x:c>
      <x:c r="BG798">
        <x:f>MAX(0,MIN(18,BG797+IF(C798="体质",E798,0)))</x:f>
        <x:v>0</x:v>
      </x:c>
      <x:c r="BH798">
        <x:f>MAX(0,MIN(18,BH797+IF(C798="敏捷",E798,0)))</x:f>
        <x:v>0</x:v>
      </x:c>
      <x:c r="BI798">
        <x:f>MAX(0,MIN(18,BI797+IF(C798="智力",E798,0)))</x:f>
        <x:v>0</x:v>
      </x:c>
      <x:c r="BJ798">
        <x:f>MAX(0,MIN(18,BJ797+IF(C798="意志",E798,0)))</x:f>
        <x:v>0</x:v>
      </x:c>
      <x:c r="BK798">
        <x:f>MAX(0,MIN(18,BK797+IF(C798="魅力",E798,0)))</x:f>
        <x:v>0</x:v>
      </x:c>
      <x:c r="BL798">
        <x:f>MAX(0,MIN(99,BL797+IF(C798="技能：非自然知识",E798,0)))</x:f>
        <x:v>0</x:v>
      </x:c>
      <x:c r="BM798">
        <x:f>MAX(0,MIN(CEILING((BF798+BG798)/2,1),BM797+IF(C798="体力",E798,0)))</x:f>
        <x:v>0</x:v>
      </x:c>
      <x:c r="BN798">
        <x:f>MAX(0,MIN(BJ798,BN797+IF(C798="毅力",E798,0)))</x:f>
        <x:v>0</x:v>
      </x:c>
      <x:c r="BO798">
        <x:f>MAX(0,MIN(99-BL798,BO797+IF(C798="理智",E798,0)))</x:f>
        <x:v>0</x:v>
      </x:c>
      <x:c r="BP798">
        <x:f>MAX(0,MIN(99,BP797+IF(C798="崩溃点",E798,0)))</x:f>
        <x:v>0</x:v>
      </x:c>
      <x:c r="BQ798">
        <x:f>MAX(0,MIN(BK798,IF(AND(H798=1,C798="重要关系1",LEFT('幕间与结算'!H705,8)="建立新的重要关系"),'幕间与结算'!E705+E798,BQ797+IF(C798="重要关系1",E798,0)+IF(AND(C798="魅力",E798&lt;0),E798,0))))</x:f>
        <x:v>0</x:v>
      </x:c>
      <x:c r="BR798">
        <x:f>MAX(0,MIN(BK798,IF(AND(H798=1,C798="重要关系2",LEFT('幕间与结算'!H705,8)="建立新的重要关系"),'幕间与结算'!E705+E798,BR797+IF(C798="重要关系2",E798,0)+IF(AND(C798="魅力",E798&lt;0),E798,0))))</x:f>
        <x:v>0</x:v>
      </x:c>
      <x:c r="BS798">
        <x:f>MAX(0,MIN(BK798,IF(AND(H798=1,C798="重要关系3",LEFT('幕间与结算'!H705,8)="建立新的重要关系"),'幕间与结算'!E705+E798,BS797+IF(C798="重要关系3",E798,0)+IF(AND(C798="魅力",E798&lt;0),E798,0))))</x:f>
        <x:v>0</x:v>
      </x:c>
      <x:c r="BT798">
        <x:f>MAX(0,MIN(BK798,IF(AND(H798=1,C798="重要关系4",LEFT('幕间与结算'!H705,8)="建立新的重要关系"),'幕间与结算'!E705+E798,BT797+IF(C798="重要关系4",E798,0)+IF(AND(C798="魅力",E798&lt;0),E798,0))))</x:f>
        <x:v>0</x:v>
      </x:c>
      <x:c r="BU798">
        <x:f>MAX(0,MIN(BK798,IF(AND(H798=1,C798="重要关系5",LEFT('幕间与结算'!H705,8)="建立新的重要关系"),'幕间与结算'!E705+E798,BU797+IF(C798="重要关系5",E798,0)+IF(AND(C798="魅力",E798&lt;0),E798,0))))</x:f>
        <x:v>0</x:v>
      </x:c>
      <x:c r="BV798">
        <x:f>MAX(0,MIN(BK798,IF(AND(H798=1,C798="重要关系6",LEFT('幕间与结算'!H705,8)="建立新的重要关系"),'幕间与结算'!E705+E798,BV797+IF(C798="重要关系6",E798,0)+IF(AND(C798="魅力",E798&lt;0),E798,0))))</x:f>
        <x:v>0</x:v>
      </x:c>
      <x:c r="BW798">
        <x:f>MAX(0,MIN(BK798,IF(AND(H798=1,C798="重要关系7",LEFT('幕间与结算'!H705,8)="建立新的重要关系"),'幕间与结算'!E705+E798,BW797+IF(C798="重要关系7",E798,0)+IF(AND(C798="魅力",E798&lt;0),E798,0))))</x:f>
        <x:v>0</x:v>
      </x:c>
    </x:row>
    <x:row r="799">
      <x:c r="A799" t="str">
        <x:f>IFERROR(TEXT(VALUE('幕间与结算'!A706),"00"),"")</x:f>
        <x:v>00</x:v>
      </x:c>
      <x:c r="B799">
        <x:f>'幕间与结算'!B706</x:f>
        <x:v>0</x:v>
      </x:c>
      <x:c r="C799">
        <x:f>'幕间与结算'!D706</x:f>
        <x:v>0</x:v>
      </x:c>
      <x:c r="D799">
        <x:f>'幕间与结算'!F706</x:f>
        <x:v>0</x:v>
      </x:c>
      <x:c r="E799">
        <x:f>IF(H799=1,MAX(-'幕间与结算'!E706,MIN(D799,IF(LEFT(C799,3)="技能：",99,IF(COUNTIF($L$2:$L$7,C799)&gt;0,18,999))-'幕间与结算'!E706)),0)</x:f>
        <x:v>0</x:v>
      </x:c>
      <x:c r="F799" t="str">
        <x:f>IF(C799=0,"",IF(G799=0,"记录不完整",IF(H799=0,"重复未计","已计入")))</x:f>
        <x:v/>
      </x:c>
      <x:c r="G799">
        <x:f>IF(AND(AND('幕间与结算'!A706&lt;&gt;"",'幕间与结算'!B706&lt;&gt;"",'幕间与结算'!I706&lt;&gt;"",OR(LEFT(C799,3)="技能：",COUNTIF($L$2:$L$19,C799)&gt;0),ISNUMBER('幕间与结算'!E706),ISNUMBER('幕间与结算'!F706),ISNUMBER('幕间与结算'!G706),'幕间与结算'!E706&gt;=0,'幕间与结算'!G706='幕间与结算'!E706+'幕间与结算'!F706),OR(B799&lt;&gt;"成长",AND(LEFT(C799,3)="技能：",C799&lt;&gt;"技能：非自然知识",'幕间与结算'!E706&gt;=1,'幕间与结算'!E706&lt;=99,'幕间与结算'!F706&gt;=0,'幕间与结算'!F706&lt;=4,'幕间与结算'!G706&lt;=99))),1,0)</x:f>
        <x:v>0</x:v>
      </x:c>
      <x:c r="H799">
        <x:f>IF(AND(G799=1,COUNTIFS($I$200:I799,I799,$G$200:G799,1)=1),1,0)</x:f>
        <x:v>0</x:v>
      </x:c>
      <x:c r="I799" t="str">
        <x:f>IF(G799=1,IF(B799="成长",A799&amp;"-成长-"&amp;C799,'幕间与结算'!I706),"")</x:f>
        <x:v/>
      </x:c>
      <x:c r="BF799">
        <x:f>MAX(0,MIN(18,BF798+IF(C799="力量",E799,0)))</x:f>
        <x:v>0</x:v>
      </x:c>
      <x:c r="BG799">
        <x:f>MAX(0,MIN(18,BG798+IF(C799="体质",E799,0)))</x:f>
        <x:v>0</x:v>
      </x:c>
      <x:c r="BH799">
        <x:f>MAX(0,MIN(18,BH798+IF(C799="敏捷",E799,0)))</x:f>
        <x:v>0</x:v>
      </x:c>
      <x:c r="BI799">
        <x:f>MAX(0,MIN(18,BI798+IF(C799="智力",E799,0)))</x:f>
        <x:v>0</x:v>
      </x:c>
      <x:c r="BJ799">
        <x:f>MAX(0,MIN(18,BJ798+IF(C799="意志",E799,0)))</x:f>
        <x:v>0</x:v>
      </x:c>
      <x:c r="BK799">
        <x:f>MAX(0,MIN(18,BK798+IF(C799="魅力",E799,0)))</x:f>
        <x:v>0</x:v>
      </x:c>
      <x:c r="BL799">
        <x:f>MAX(0,MIN(99,BL798+IF(C799="技能：非自然知识",E799,0)))</x:f>
        <x:v>0</x:v>
      </x:c>
      <x:c r="BM799">
        <x:f>MAX(0,MIN(CEILING((BF799+BG799)/2,1),BM798+IF(C799="体力",E799,0)))</x:f>
        <x:v>0</x:v>
      </x:c>
      <x:c r="BN799">
        <x:f>MAX(0,MIN(BJ799,BN798+IF(C799="毅力",E799,0)))</x:f>
        <x:v>0</x:v>
      </x:c>
      <x:c r="BO799">
        <x:f>MAX(0,MIN(99-BL799,BO798+IF(C799="理智",E799,0)))</x:f>
        <x:v>0</x:v>
      </x:c>
      <x:c r="BP799">
        <x:f>MAX(0,MIN(99,BP798+IF(C799="崩溃点",E799,0)))</x:f>
        <x:v>0</x:v>
      </x:c>
      <x:c r="BQ799">
        <x:f>MAX(0,MIN(BK799,IF(AND(H799=1,C799="重要关系1",LEFT('幕间与结算'!H706,8)="建立新的重要关系"),'幕间与结算'!E706+E799,BQ798+IF(C799="重要关系1",E799,0)+IF(AND(C799="魅力",E799&lt;0),E799,0))))</x:f>
        <x:v>0</x:v>
      </x:c>
      <x:c r="BR799">
        <x:f>MAX(0,MIN(BK799,IF(AND(H799=1,C799="重要关系2",LEFT('幕间与结算'!H706,8)="建立新的重要关系"),'幕间与结算'!E706+E799,BR798+IF(C799="重要关系2",E799,0)+IF(AND(C799="魅力",E799&lt;0),E799,0))))</x:f>
        <x:v>0</x:v>
      </x:c>
      <x:c r="BS799">
        <x:f>MAX(0,MIN(BK799,IF(AND(H799=1,C799="重要关系3",LEFT('幕间与结算'!H706,8)="建立新的重要关系"),'幕间与结算'!E706+E799,BS798+IF(C799="重要关系3",E799,0)+IF(AND(C799="魅力",E799&lt;0),E799,0))))</x:f>
        <x:v>0</x:v>
      </x:c>
      <x:c r="BT799">
        <x:f>MAX(0,MIN(BK799,IF(AND(H799=1,C799="重要关系4",LEFT('幕间与结算'!H706,8)="建立新的重要关系"),'幕间与结算'!E706+E799,BT798+IF(C799="重要关系4",E799,0)+IF(AND(C799="魅力",E799&lt;0),E799,0))))</x:f>
        <x:v>0</x:v>
      </x:c>
      <x:c r="BU799">
        <x:f>MAX(0,MIN(BK799,IF(AND(H799=1,C799="重要关系5",LEFT('幕间与结算'!H706,8)="建立新的重要关系"),'幕间与结算'!E706+E799,BU798+IF(C799="重要关系5",E799,0)+IF(AND(C799="魅力",E799&lt;0),E799,0))))</x:f>
        <x:v>0</x:v>
      </x:c>
      <x:c r="BV799">
        <x:f>MAX(0,MIN(BK799,IF(AND(H799=1,C799="重要关系6",LEFT('幕间与结算'!H706,8)="建立新的重要关系"),'幕间与结算'!E706+E799,BV798+IF(C799="重要关系6",E799,0)+IF(AND(C799="魅力",E799&lt;0),E799,0))))</x:f>
        <x:v>0</x:v>
      </x:c>
      <x:c r="BW799">
        <x:f>MAX(0,MIN(BK799,IF(AND(H799=1,C799="重要关系7",LEFT('幕间与结算'!H706,8)="建立新的重要关系"),'幕间与结算'!E706+E799,BW798+IF(C799="重要关系7",E799,0)+IF(AND(C799="魅力",E799&lt;0),E799,0))))</x:f>
        <x:v>0</x:v>
      </x:c>
    </x:row>
    <x:row r="800">
      <x:c r="A800" t="str">
        <x:f>IFERROR(TEXT(VALUE('幕间与结算'!A707),"00"),"")</x:f>
        <x:v>00</x:v>
      </x:c>
      <x:c r="B800">
        <x:f>'幕间与结算'!B707</x:f>
        <x:v>0</x:v>
      </x:c>
      <x:c r="C800">
        <x:f>'幕间与结算'!D707</x:f>
        <x:v>0</x:v>
      </x:c>
      <x:c r="D800">
        <x:f>'幕间与结算'!F707</x:f>
        <x:v>0</x:v>
      </x:c>
      <x:c r="E800">
        <x:f>IF(H800=1,MAX(-'幕间与结算'!E707,MIN(D800,IF(LEFT(C800,3)="技能：",99,IF(COUNTIF($L$2:$L$7,C800)&gt;0,18,999))-'幕间与结算'!E707)),0)</x:f>
        <x:v>0</x:v>
      </x:c>
      <x:c r="F800" t="str">
        <x:f>IF(C800=0,"",IF(G800=0,"记录不完整",IF(H800=0,"重复未计","已计入")))</x:f>
        <x:v/>
      </x:c>
      <x:c r="G800">
        <x:f>IF(AND(AND('幕间与结算'!A707&lt;&gt;"",'幕间与结算'!B707&lt;&gt;"",'幕间与结算'!I707&lt;&gt;"",OR(LEFT(C800,3)="技能：",COUNTIF($L$2:$L$19,C800)&gt;0),ISNUMBER('幕间与结算'!E707),ISNUMBER('幕间与结算'!F707),ISNUMBER('幕间与结算'!G707),'幕间与结算'!E707&gt;=0,'幕间与结算'!G707='幕间与结算'!E707+'幕间与结算'!F707),OR(B800&lt;&gt;"成长",AND(LEFT(C800,3)="技能：",C800&lt;&gt;"技能：非自然知识",'幕间与结算'!E707&gt;=1,'幕间与结算'!E707&lt;=99,'幕间与结算'!F707&gt;=0,'幕间与结算'!F707&lt;=4,'幕间与结算'!G707&lt;=99))),1,0)</x:f>
        <x:v>0</x:v>
      </x:c>
      <x:c r="H800">
        <x:f>IF(AND(G800=1,COUNTIFS($I$200:I800,I800,$G$200:G800,1)=1),1,0)</x:f>
        <x:v>0</x:v>
      </x:c>
      <x:c r="I800" t="str">
        <x:f>IF(G800=1,IF(B800="成长",A800&amp;"-成长-"&amp;C800,'幕间与结算'!I707),"")</x:f>
        <x:v/>
      </x:c>
      <x:c r="BF800">
        <x:f>MAX(0,MIN(18,BF799+IF(C800="力量",E800,0)))</x:f>
        <x:v>0</x:v>
      </x:c>
      <x:c r="BG800">
        <x:f>MAX(0,MIN(18,BG799+IF(C800="体质",E800,0)))</x:f>
        <x:v>0</x:v>
      </x:c>
      <x:c r="BH800">
        <x:f>MAX(0,MIN(18,BH799+IF(C800="敏捷",E800,0)))</x:f>
        <x:v>0</x:v>
      </x:c>
      <x:c r="BI800">
        <x:f>MAX(0,MIN(18,BI799+IF(C800="智力",E800,0)))</x:f>
        <x:v>0</x:v>
      </x:c>
      <x:c r="BJ800">
        <x:f>MAX(0,MIN(18,BJ799+IF(C800="意志",E800,0)))</x:f>
        <x:v>0</x:v>
      </x:c>
      <x:c r="BK800">
        <x:f>MAX(0,MIN(18,BK799+IF(C800="魅力",E800,0)))</x:f>
        <x:v>0</x:v>
      </x:c>
      <x:c r="BL800">
        <x:f>MAX(0,MIN(99,BL799+IF(C800="技能：非自然知识",E800,0)))</x:f>
        <x:v>0</x:v>
      </x:c>
      <x:c r="BM800">
        <x:f>MAX(0,MIN(CEILING((BF800+BG800)/2,1),BM799+IF(C800="体力",E800,0)))</x:f>
        <x:v>0</x:v>
      </x:c>
      <x:c r="BN800">
        <x:f>MAX(0,MIN(BJ800,BN799+IF(C800="毅力",E800,0)))</x:f>
        <x:v>0</x:v>
      </x:c>
      <x:c r="BO800">
        <x:f>MAX(0,MIN(99-BL800,BO799+IF(C800="理智",E800,0)))</x:f>
        <x:v>0</x:v>
      </x:c>
      <x:c r="BP800">
        <x:f>MAX(0,MIN(99,BP799+IF(C800="崩溃点",E800,0)))</x:f>
        <x:v>0</x:v>
      </x:c>
      <x:c r="BQ800">
        <x:f>MAX(0,MIN(BK800,IF(AND(H800=1,C800="重要关系1",LEFT('幕间与结算'!H707,8)="建立新的重要关系"),'幕间与结算'!E707+E800,BQ799+IF(C800="重要关系1",E800,0)+IF(AND(C800="魅力",E800&lt;0),E800,0))))</x:f>
        <x:v>0</x:v>
      </x:c>
      <x:c r="BR800">
        <x:f>MAX(0,MIN(BK800,IF(AND(H800=1,C800="重要关系2",LEFT('幕间与结算'!H707,8)="建立新的重要关系"),'幕间与结算'!E707+E800,BR799+IF(C800="重要关系2",E800,0)+IF(AND(C800="魅力",E800&lt;0),E800,0))))</x:f>
        <x:v>0</x:v>
      </x:c>
      <x:c r="BS800">
        <x:f>MAX(0,MIN(BK800,IF(AND(H800=1,C800="重要关系3",LEFT('幕间与结算'!H707,8)="建立新的重要关系"),'幕间与结算'!E707+E800,BS799+IF(C800="重要关系3",E800,0)+IF(AND(C800="魅力",E800&lt;0),E800,0))))</x:f>
        <x:v>0</x:v>
      </x:c>
      <x:c r="BT800">
        <x:f>MAX(0,MIN(BK800,IF(AND(H800=1,C800="重要关系4",LEFT('幕间与结算'!H707,8)="建立新的重要关系"),'幕间与结算'!E707+E800,BT799+IF(C800="重要关系4",E800,0)+IF(AND(C800="魅力",E800&lt;0),E800,0))))</x:f>
        <x:v>0</x:v>
      </x:c>
      <x:c r="BU800">
        <x:f>MAX(0,MIN(BK800,IF(AND(H800=1,C800="重要关系5",LEFT('幕间与结算'!H707,8)="建立新的重要关系"),'幕间与结算'!E707+E800,BU799+IF(C800="重要关系5",E800,0)+IF(AND(C800="魅力",E800&lt;0),E800,0))))</x:f>
        <x:v>0</x:v>
      </x:c>
      <x:c r="BV800">
        <x:f>MAX(0,MIN(BK800,IF(AND(H800=1,C800="重要关系6",LEFT('幕间与结算'!H707,8)="建立新的重要关系"),'幕间与结算'!E707+E800,BV799+IF(C800="重要关系6",E800,0)+IF(AND(C800="魅力",E800&lt;0),E800,0))))</x:f>
        <x:v>0</x:v>
      </x:c>
      <x:c r="BW800">
        <x:f>MAX(0,MIN(BK800,IF(AND(H800=1,C800="重要关系7",LEFT('幕间与结算'!H707,8)="建立新的重要关系"),'幕间与结算'!E707+E800,BW799+IF(C800="重要关系7",E800,0)+IF(AND(C800="魅力",E800&lt;0),E800,0))))</x:f>
        <x:v>0</x:v>
      </x:c>
    </x:row>
    <x:row r="801">
      <x:c r="A801" t="str">
        <x:f>IFERROR(TEXT(VALUE('幕间与结算'!A708),"00"),"")</x:f>
        <x:v>00</x:v>
      </x:c>
      <x:c r="B801">
        <x:f>'幕间与结算'!B708</x:f>
        <x:v>0</x:v>
      </x:c>
      <x:c r="C801">
        <x:f>'幕间与结算'!D708</x:f>
        <x:v>0</x:v>
      </x:c>
      <x:c r="D801">
        <x:f>'幕间与结算'!F708</x:f>
        <x:v>0</x:v>
      </x:c>
      <x:c r="E801">
        <x:f>IF(H801=1,MAX(-'幕间与结算'!E708,MIN(D801,IF(LEFT(C801,3)="技能：",99,IF(COUNTIF($L$2:$L$7,C801)&gt;0,18,999))-'幕间与结算'!E708)),0)</x:f>
        <x:v>0</x:v>
      </x:c>
      <x:c r="F801" t="str">
        <x:f>IF(C801=0,"",IF(G801=0,"记录不完整",IF(H801=0,"重复未计","已计入")))</x:f>
        <x:v/>
      </x:c>
      <x:c r="G801">
        <x:f>IF(AND(AND('幕间与结算'!A708&lt;&gt;"",'幕间与结算'!B708&lt;&gt;"",'幕间与结算'!I708&lt;&gt;"",OR(LEFT(C801,3)="技能：",COUNTIF($L$2:$L$19,C801)&gt;0),ISNUMBER('幕间与结算'!E708),ISNUMBER('幕间与结算'!F708),ISNUMBER('幕间与结算'!G708),'幕间与结算'!E708&gt;=0,'幕间与结算'!G708='幕间与结算'!E708+'幕间与结算'!F708),OR(B801&lt;&gt;"成长",AND(LEFT(C801,3)="技能：",C801&lt;&gt;"技能：非自然知识",'幕间与结算'!E708&gt;=1,'幕间与结算'!E708&lt;=99,'幕间与结算'!F708&gt;=0,'幕间与结算'!F708&lt;=4,'幕间与结算'!G708&lt;=99))),1,0)</x:f>
        <x:v>0</x:v>
      </x:c>
      <x:c r="H801">
        <x:f>IF(AND(G801=1,COUNTIFS($I$200:I801,I801,$G$200:G801,1)=1),1,0)</x:f>
        <x:v>0</x:v>
      </x:c>
      <x:c r="I801" t="str">
        <x:f>IF(G801=1,IF(B801="成长",A801&amp;"-成长-"&amp;C801,'幕间与结算'!I708),"")</x:f>
        <x:v/>
      </x:c>
      <x:c r="BF801">
        <x:f>MAX(0,MIN(18,BF800+IF(C801="力量",E801,0)))</x:f>
        <x:v>0</x:v>
      </x:c>
      <x:c r="BG801">
        <x:f>MAX(0,MIN(18,BG800+IF(C801="体质",E801,0)))</x:f>
        <x:v>0</x:v>
      </x:c>
      <x:c r="BH801">
        <x:f>MAX(0,MIN(18,BH800+IF(C801="敏捷",E801,0)))</x:f>
        <x:v>0</x:v>
      </x:c>
      <x:c r="BI801">
        <x:f>MAX(0,MIN(18,BI800+IF(C801="智力",E801,0)))</x:f>
        <x:v>0</x:v>
      </x:c>
      <x:c r="BJ801">
        <x:f>MAX(0,MIN(18,BJ800+IF(C801="意志",E801,0)))</x:f>
        <x:v>0</x:v>
      </x:c>
      <x:c r="BK801">
        <x:f>MAX(0,MIN(18,BK800+IF(C801="魅力",E801,0)))</x:f>
        <x:v>0</x:v>
      </x:c>
      <x:c r="BL801">
        <x:f>MAX(0,MIN(99,BL800+IF(C801="技能：非自然知识",E801,0)))</x:f>
        <x:v>0</x:v>
      </x:c>
      <x:c r="BM801">
        <x:f>MAX(0,MIN(CEILING((BF801+BG801)/2,1),BM800+IF(C801="体力",E801,0)))</x:f>
        <x:v>0</x:v>
      </x:c>
      <x:c r="BN801">
        <x:f>MAX(0,MIN(BJ801,BN800+IF(C801="毅力",E801,0)))</x:f>
        <x:v>0</x:v>
      </x:c>
      <x:c r="BO801">
        <x:f>MAX(0,MIN(99-BL801,BO800+IF(C801="理智",E801,0)))</x:f>
        <x:v>0</x:v>
      </x:c>
      <x:c r="BP801">
        <x:f>MAX(0,MIN(99,BP800+IF(C801="崩溃点",E801,0)))</x:f>
        <x:v>0</x:v>
      </x:c>
      <x:c r="BQ801">
        <x:f>MAX(0,MIN(BK801,IF(AND(H801=1,C801="重要关系1",LEFT('幕间与结算'!H708,8)="建立新的重要关系"),'幕间与结算'!E708+E801,BQ800+IF(C801="重要关系1",E801,0)+IF(AND(C801="魅力",E801&lt;0),E801,0))))</x:f>
        <x:v>0</x:v>
      </x:c>
      <x:c r="BR801">
        <x:f>MAX(0,MIN(BK801,IF(AND(H801=1,C801="重要关系2",LEFT('幕间与结算'!H708,8)="建立新的重要关系"),'幕间与结算'!E708+E801,BR800+IF(C801="重要关系2",E801,0)+IF(AND(C801="魅力",E801&lt;0),E801,0))))</x:f>
        <x:v>0</x:v>
      </x:c>
      <x:c r="BS801">
        <x:f>MAX(0,MIN(BK801,IF(AND(H801=1,C801="重要关系3",LEFT('幕间与结算'!H708,8)="建立新的重要关系"),'幕间与结算'!E708+E801,BS800+IF(C801="重要关系3",E801,0)+IF(AND(C801="魅力",E801&lt;0),E801,0))))</x:f>
        <x:v>0</x:v>
      </x:c>
      <x:c r="BT801">
        <x:f>MAX(0,MIN(BK801,IF(AND(H801=1,C801="重要关系4",LEFT('幕间与结算'!H708,8)="建立新的重要关系"),'幕间与结算'!E708+E801,BT800+IF(C801="重要关系4",E801,0)+IF(AND(C801="魅力",E801&lt;0),E801,0))))</x:f>
        <x:v>0</x:v>
      </x:c>
      <x:c r="BU801">
        <x:f>MAX(0,MIN(BK801,IF(AND(H801=1,C801="重要关系5",LEFT('幕间与结算'!H708,8)="建立新的重要关系"),'幕间与结算'!E708+E801,BU800+IF(C801="重要关系5",E801,0)+IF(AND(C801="魅力",E801&lt;0),E801,0))))</x:f>
        <x:v>0</x:v>
      </x:c>
      <x:c r="BV801">
        <x:f>MAX(0,MIN(BK801,IF(AND(H801=1,C801="重要关系6",LEFT('幕间与结算'!H708,8)="建立新的重要关系"),'幕间与结算'!E708+E801,BV800+IF(C801="重要关系6",E801,0)+IF(AND(C801="魅力",E801&lt;0),E801,0))))</x:f>
        <x:v>0</x:v>
      </x:c>
      <x:c r="BW801">
        <x:f>MAX(0,MIN(BK801,IF(AND(H801=1,C801="重要关系7",LEFT('幕间与结算'!H708,8)="建立新的重要关系"),'幕间与结算'!E708+E801,BW800+IF(C801="重要关系7",E801,0)+IF(AND(C801="魅力",E801&lt;0),E801,0))))</x:f>
        <x:v>0</x:v>
      </x:c>
    </x:row>
    <x:row r="802">
      <x:c r="A802" t="str">
        <x:f>IFERROR(TEXT(VALUE('幕间与结算'!A709),"00"),"")</x:f>
        <x:v>00</x:v>
      </x:c>
      <x:c r="B802">
        <x:f>'幕间与结算'!B709</x:f>
        <x:v>0</x:v>
      </x:c>
      <x:c r="C802">
        <x:f>'幕间与结算'!D709</x:f>
        <x:v>0</x:v>
      </x:c>
      <x:c r="D802">
        <x:f>'幕间与结算'!F709</x:f>
        <x:v>0</x:v>
      </x:c>
      <x:c r="E802">
        <x:f>IF(H802=1,MAX(-'幕间与结算'!E709,MIN(D802,IF(LEFT(C802,3)="技能：",99,IF(COUNTIF($L$2:$L$7,C802)&gt;0,18,999))-'幕间与结算'!E709)),0)</x:f>
        <x:v>0</x:v>
      </x:c>
      <x:c r="F802" t="str">
        <x:f>IF(C802=0,"",IF(G802=0,"记录不完整",IF(H802=0,"重复未计","已计入")))</x:f>
        <x:v/>
      </x:c>
      <x:c r="G802">
        <x:f>IF(AND(AND('幕间与结算'!A709&lt;&gt;"",'幕间与结算'!B709&lt;&gt;"",'幕间与结算'!I709&lt;&gt;"",OR(LEFT(C802,3)="技能：",COUNTIF($L$2:$L$19,C802)&gt;0),ISNUMBER('幕间与结算'!E709),ISNUMBER('幕间与结算'!F709),ISNUMBER('幕间与结算'!G709),'幕间与结算'!E709&gt;=0,'幕间与结算'!G709='幕间与结算'!E709+'幕间与结算'!F709),OR(B802&lt;&gt;"成长",AND(LEFT(C802,3)="技能：",C802&lt;&gt;"技能：非自然知识",'幕间与结算'!E709&gt;=1,'幕间与结算'!E709&lt;=99,'幕间与结算'!F709&gt;=0,'幕间与结算'!F709&lt;=4,'幕间与结算'!G709&lt;=99))),1,0)</x:f>
        <x:v>0</x:v>
      </x:c>
      <x:c r="H802">
        <x:f>IF(AND(G802=1,COUNTIFS($I$200:I802,I802,$G$200:G802,1)=1),1,0)</x:f>
        <x:v>0</x:v>
      </x:c>
      <x:c r="I802" t="str">
        <x:f>IF(G802=1,IF(B802="成长",A802&amp;"-成长-"&amp;C802,'幕间与结算'!I709),"")</x:f>
        <x:v/>
      </x:c>
      <x:c r="BF802">
        <x:f>MAX(0,MIN(18,BF801+IF(C802="力量",E802,0)))</x:f>
        <x:v>0</x:v>
      </x:c>
      <x:c r="BG802">
        <x:f>MAX(0,MIN(18,BG801+IF(C802="体质",E802,0)))</x:f>
        <x:v>0</x:v>
      </x:c>
      <x:c r="BH802">
        <x:f>MAX(0,MIN(18,BH801+IF(C802="敏捷",E802,0)))</x:f>
        <x:v>0</x:v>
      </x:c>
      <x:c r="BI802">
        <x:f>MAX(0,MIN(18,BI801+IF(C802="智力",E802,0)))</x:f>
        <x:v>0</x:v>
      </x:c>
      <x:c r="BJ802">
        <x:f>MAX(0,MIN(18,BJ801+IF(C802="意志",E802,0)))</x:f>
        <x:v>0</x:v>
      </x:c>
      <x:c r="BK802">
        <x:f>MAX(0,MIN(18,BK801+IF(C802="魅力",E802,0)))</x:f>
        <x:v>0</x:v>
      </x:c>
      <x:c r="BL802">
        <x:f>MAX(0,MIN(99,BL801+IF(C802="技能：非自然知识",E802,0)))</x:f>
        <x:v>0</x:v>
      </x:c>
      <x:c r="BM802">
        <x:f>MAX(0,MIN(CEILING((BF802+BG802)/2,1),BM801+IF(C802="体力",E802,0)))</x:f>
        <x:v>0</x:v>
      </x:c>
      <x:c r="BN802">
        <x:f>MAX(0,MIN(BJ802,BN801+IF(C802="毅力",E802,0)))</x:f>
        <x:v>0</x:v>
      </x:c>
      <x:c r="BO802">
        <x:f>MAX(0,MIN(99-BL802,BO801+IF(C802="理智",E802,0)))</x:f>
        <x:v>0</x:v>
      </x:c>
      <x:c r="BP802">
        <x:f>MAX(0,MIN(99,BP801+IF(C802="崩溃点",E802,0)))</x:f>
        <x:v>0</x:v>
      </x:c>
      <x:c r="BQ802">
        <x:f>MAX(0,MIN(BK802,IF(AND(H802=1,C802="重要关系1",LEFT('幕间与结算'!H709,8)="建立新的重要关系"),'幕间与结算'!E709+E802,BQ801+IF(C802="重要关系1",E802,0)+IF(AND(C802="魅力",E802&lt;0),E802,0))))</x:f>
        <x:v>0</x:v>
      </x:c>
      <x:c r="BR802">
        <x:f>MAX(0,MIN(BK802,IF(AND(H802=1,C802="重要关系2",LEFT('幕间与结算'!H709,8)="建立新的重要关系"),'幕间与结算'!E709+E802,BR801+IF(C802="重要关系2",E802,0)+IF(AND(C802="魅力",E802&lt;0),E802,0))))</x:f>
        <x:v>0</x:v>
      </x:c>
      <x:c r="BS802">
        <x:f>MAX(0,MIN(BK802,IF(AND(H802=1,C802="重要关系3",LEFT('幕间与结算'!H709,8)="建立新的重要关系"),'幕间与结算'!E709+E802,BS801+IF(C802="重要关系3",E802,0)+IF(AND(C802="魅力",E802&lt;0),E802,0))))</x:f>
        <x:v>0</x:v>
      </x:c>
      <x:c r="BT802">
        <x:f>MAX(0,MIN(BK802,IF(AND(H802=1,C802="重要关系4",LEFT('幕间与结算'!H709,8)="建立新的重要关系"),'幕间与结算'!E709+E802,BT801+IF(C802="重要关系4",E802,0)+IF(AND(C802="魅力",E802&lt;0),E802,0))))</x:f>
        <x:v>0</x:v>
      </x:c>
      <x:c r="BU802">
        <x:f>MAX(0,MIN(BK802,IF(AND(H802=1,C802="重要关系5",LEFT('幕间与结算'!H709,8)="建立新的重要关系"),'幕间与结算'!E709+E802,BU801+IF(C802="重要关系5",E802,0)+IF(AND(C802="魅力",E802&lt;0),E802,0))))</x:f>
        <x:v>0</x:v>
      </x:c>
      <x:c r="BV802">
        <x:f>MAX(0,MIN(BK802,IF(AND(H802=1,C802="重要关系6",LEFT('幕间与结算'!H709,8)="建立新的重要关系"),'幕间与结算'!E709+E802,BV801+IF(C802="重要关系6",E802,0)+IF(AND(C802="魅力",E802&lt;0),E802,0))))</x:f>
        <x:v>0</x:v>
      </x:c>
      <x:c r="BW802">
        <x:f>MAX(0,MIN(BK802,IF(AND(H802=1,C802="重要关系7",LEFT('幕间与结算'!H709,8)="建立新的重要关系"),'幕间与结算'!E709+E802,BW801+IF(C802="重要关系7",E802,0)+IF(AND(C802="魅力",E802&lt;0),E802,0))))</x:f>
        <x:v>0</x:v>
      </x:c>
    </x:row>
    <x:row r="803">
      <x:c r="A803" t="str">
        <x:f>IFERROR(TEXT(VALUE('幕间与结算'!A710),"00"),"")</x:f>
        <x:v>00</x:v>
      </x:c>
      <x:c r="B803">
        <x:f>'幕间与结算'!B710</x:f>
        <x:v>0</x:v>
      </x:c>
      <x:c r="C803">
        <x:f>'幕间与结算'!D710</x:f>
        <x:v>0</x:v>
      </x:c>
      <x:c r="D803">
        <x:f>'幕间与结算'!F710</x:f>
        <x:v>0</x:v>
      </x:c>
      <x:c r="E803">
        <x:f>IF(H803=1,MAX(-'幕间与结算'!E710,MIN(D803,IF(LEFT(C803,3)="技能：",99,IF(COUNTIF($L$2:$L$7,C803)&gt;0,18,999))-'幕间与结算'!E710)),0)</x:f>
        <x:v>0</x:v>
      </x:c>
      <x:c r="F803" t="str">
        <x:f>IF(C803=0,"",IF(G803=0,"记录不完整",IF(H803=0,"重复未计","已计入")))</x:f>
        <x:v/>
      </x:c>
      <x:c r="G803">
        <x:f>IF(AND(AND('幕间与结算'!A710&lt;&gt;"",'幕间与结算'!B710&lt;&gt;"",'幕间与结算'!I710&lt;&gt;"",OR(LEFT(C803,3)="技能：",COUNTIF($L$2:$L$19,C803)&gt;0),ISNUMBER('幕间与结算'!E710),ISNUMBER('幕间与结算'!F710),ISNUMBER('幕间与结算'!G710),'幕间与结算'!E710&gt;=0,'幕间与结算'!G710='幕间与结算'!E710+'幕间与结算'!F710),OR(B803&lt;&gt;"成长",AND(LEFT(C803,3)="技能：",C803&lt;&gt;"技能：非自然知识",'幕间与结算'!E710&gt;=1,'幕间与结算'!E710&lt;=99,'幕间与结算'!F710&gt;=0,'幕间与结算'!F710&lt;=4,'幕间与结算'!G710&lt;=99))),1,0)</x:f>
        <x:v>0</x:v>
      </x:c>
      <x:c r="H803">
        <x:f>IF(AND(G803=1,COUNTIFS($I$200:I803,I803,$G$200:G803,1)=1),1,0)</x:f>
        <x:v>0</x:v>
      </x:c>
      <x:c r="I803" t="str">
        <x:f>IF(G803=1,IF(B803="成长",A803&amp;"-成长-"&amp;C803,'幕间与结算'!I710),"")</x:f>
        <x:v/>
      </x:c>
      <x:c r="BF803">
        <x:f>MAX(0,MIN(18,BF802+IF(C803="力量",E803,0)))</x:f>
        <x:v>0</x:v>
      </x:c>
      <x:c r="BG803">
        <x:f>MAX(0,MIN(18,BG802+IF(C803="体质",E803,0)))</x:f>
        <x:v>0</x:v>
      </x:c>
      <x:c r="BH803">
        <x:f>MAX(0,MIN(18,BH802+IF(C803="敏捷",E803,0)))</x:f>
        <x:v>0</x:v>
      </x:c>
      <x:c r="BI803">
        <x:f>MAX(0,MIN(18,BI802+IF(C803="智力",E803,0)))</x:f>
        <x:v>0</x:v>
      </x:c>
      <x:c r="BJ803">
        <x:f>MAX(0,MIN(18,BJ802+IF(C803="意志",E803,0)))</x:f>
        <x:v>0</x:v>
      </x:c>
      <x:c r="BK803">
        <x:f>MAX(0,MIN(18,BK802+IF(C803="魅力",E803,0)))</x:f>
        <x:v>0</x:v>
      </x:c>
      <x:c r="BL803">
        <x:f>MAX(0,MIN(99,BL802+IF(C803="技能：非自然知识",E803,0)))</x:f>
        <x:v>0</x:v>
      </x:c>
      <x:c r="BM803">
        <x:f>MAX(0,MIN(CEILING((BF803+BG803)/2,1),BM802+IF(C803="体力",E803,0)))</x:f>
        <x:v>0</x:v>
      </x:c>
      <x:c r="BN803">
        <x:f>MAX(0,MIN(BJ803,BN802+IF(C803="毅力",E803,0)))</x:f>
        <x:v>0</x:v>
      </x:c>
      <x:c r="BO803">
        <x:f>MAX(0,MIN(99-BL803,BO802+IF(C803="理智",E803,0)))</x:f>
        <x:v>0</x:v>
      </x:c>
      <x:c r="BP803">
        <x:f>MAX(0,MIN(99,BP802+IF(C803="崩溃点",E803,0)))</x:f>
        <x:v>0</x:v>
      </x:c>
      <x:c r="BQ803">
        <x:f>MAX(0,MIN(BK803,IF(AND(H803=1,C803="重要关系1",LEFT('幕间与结算'!H710,8)="建立新的重要关系"),'幕间与结算'!E710+E803,BQ802+IF(C803="重要关系1",E803,0)+IF(AND(C803="魅力",E803&lt;0),E803,0))))</x:f>
        <x:v>0</x:v>
      </x:c>
      <x:c r="BR803">
        <x:f>MAX(0,MIN(BK803,IF(AND(H803=1,C803="重要关系2",LEFT('幕间与结算'!H710,8)="建立新的重要关系"),'幕间与结算'!E710+E803,BR802+IF(C803="重要关系2",E803,0)+IF(AND(C803="魅力",E803&lt;0),E803,0))))</x:f>
        <x:v>0</x:v>
      </x:c>
      <x:c r="BS803">
        <x:f>MAX(0,MIN(BK803,IF(AND(H803=1,C803="重要关系3",LEFT('幕间与结算'!H710,8)="建立新的重要关系"),'幕间与结算'!E710+E803,BS802+IF(C803="重要关系3",E803,0)+IF(AND(C803="魅力",E803&lt;0),E803,0))))</x:f>
        <x:v>0</x:v>
      </x:c>
      <x:c r="BT803">
        <x:f>MAX(0,MIN(BK803,IF(AND(H803=1,C803="重要关系4",LEFT('幕间与结算'!H710,8)="建立新的重要关系"),'幕间与结算'!E710+E803,BT802+IF(C803="重要关系4",E803,0)+IF(AND(C803="魅力",E803&lt;0),E803,0))))</x:f>
        <x:v>0</x:v>
      </x:c>
      <x:c r="BU803">
        <x:f>MAX(0,MIN(BK803,IF(AND(H803=1,C803="重要关系5",LEFT('幕间与结算'!H710,8)="建立新的重要关系"),'幕间与结算'!E710+E803,BU802+IF(C803="重要关系5",E803,0)+IF(AND(C803="魅力",E803&lt;0),E803,0))))</x:f>
        <x:v>0</x:v>
      </x:c>
      <x:c r="BV803">
        <x:f>MAX(0,MIN(BK803,IF(AND(H803=1,C803="重要关系6",LEFT('幕间与结算'!H710,8)="建立新的重要关系"),'幕间与结算'!E710+E803,BV802+IF(C803="重要关系6",E803,0)+IF(AND(C803="魅力",E803&lt;0),E803,0))))</x:f>
        <x:v>0</x:v>
      </x:c>
      <x:c r="BW803">
        <x:f>MAX(0,MIN(BK803,IF(AND(H803=1,C803="重要关系7",LEFT('幕间与结算'!H710,8)="建立新的重要关系"),'幕间与结算'!E710+E803,BW802+IF(C803="重要关系7",E803,0)+IF(AND(C803="魅力",E803&lt;0),E803,0))))</x:f>
        <x:v>0</x:v>
      </x:c>
    </x:row>
    <x:row r="804">
      <x:c r="A804" t="str">
        <x:f>IFERROR(TEXT(VALUE('幕间与结算'!A711),"00"),"")</x:f>
        <x:v>00</x:v>
      </x:c>
      <x:c r="B804">
        <x:f>'幕间与结算'!B711</x:f>
        <x:v>0</x:v>
      </x:c>
      <x:c r="C804">
        <x:f>'幕间与结算'!D711</x:f>
        <x:v>0</x:v>
      </x:c>
      <x:c r="D804">
        <x:f>'幕间与结算'!F711</x:f>
        <x:v>0</x:v>
      </x:c>
      <x:c r="E804">
        <x:f>IF(H804=1,MAX(-'幕间与结算'!E711,MIN(D804,IF(LEFT(C804,3)="技能：",99,IF(COUNTIF($L$2:$L$7,C804)&gt;0,18,999))-'幕间与结算'!E711)),0)</x:f>
        <x:v>0</x:v>
      </x:c>
      <x:c r="F804" t="str">
        <x:f>IF(C804=0,"",IF(G804=0,"记录不完整",IF(H804=0,"重复未计","已计入")))</x:f>
        <x:v/>
      </x:c>
      <x:c r="G804">
        <x:f>IF(AND(AND('幕间与结算'!A711&lt;&gt;"",'幕间与结算'!B711&lt;&gt;"",'幕间与结算'!I711&lt;&gt;"",OR(LEFT(C804,3)="技能：",COUNTIF($L$2:$L$19,C804)&gt;0),ISNUMBER('幕间与结算'!E711),ISNUMBER('幕间与结算'!F711),ISNUMBER('幕间与结算'!G711),'幕间与结算'!E711&gt;=0,'幕间与结算'!G711='幕间与结算'!E711+'幕间与结算'!F711),OR(B804&lt;&gt;"成长",AND(LEFT(C804,3)="技能：",C804&lt;&gt;"技能：非自然知识",'幕间与结算'!E711&gt;=1,'幕间与结算'!E711&lt;=99,'幕间与结算'!F711&gt;=0,'幕间与结算'!F711&lt;=4,'幕间与结算'!G711&lt;=99))),1,0)</x:f>
        <x:v>0</x:v>
      </x:c>
      <x:c r="H804">
        <x:f>IF(AND(G804=1,COUNTIFS($I$200:I804,I804,$G$200:G804,1)=1),1,0)</x:f>
        <x:v>0</x:v>
      </x:c>
      <x:c r="I804" t="str">
        <x:f>IF(G804=1,IF(B804="成长",A804&amp;"-成长-"&amp;C804,'幕间与结算'!I711),"")</x:f>
        <x:v/>
      </x:c>
      <x:c r="BF804">
        <x:f>MAX(0,MIN(18,BF803+IF(C804="力量",E804,0)))</x:f>
        <x:v>0</x:v>
      </x:c>
      <x:c r="BG804">
        <x:f>MAX(0,MIN(18,BG803+IF(C804="体质",E804,0)))</x:f>
        <x:v>0</x:v>
      </x:c>
      <x:c r="BH804">
        <x:f>MAX(0,MIN(18,BH803+IF(C804="敏捷",E804,0)))</x:f>
        <x:v>0</x:v>
      </x:c>
      <x:c r="BI804">
        <x:f>MAX(0,MIN(18,BI803+IF(C804="智力",E804,0)))</x:f>
        <x:v>0</x:v>
      </x:c>
      <x:c r="BJ804">
        <x:f>MAX(0,MIN(18,BJ803+IF(C804="意志",E804,0)))</x:f>
        <x:v>0</x:v>
      </x:c>
      <x:c r="BK804">
        <x:f>MAX(0,MIN(18,BK803+IF(C804="魅力",E804,0)))</x:f>
        <x:v>0</x:v>
      </x:c>
      <x:c r="BL804">
        <x:f>MAX(0,MIN(99,BL803+IF(C804="技能：非自然知识",E804,0)))</x:f>
        <x:v>0</x:v>
      </x:c>
      <x:c r="BM804">
        <x:f>MAX(0,MIN(CEILING((BF804+BG804)/2,1),BM803+IF(C804="体力",E804,0)))</x:f>
        <x:v>0</x:v>
      </x:c>
      <x:c r="BN804">
        <x:f>MAX(0,MIN(BJ804,BN803+IF(C804="毅力",E804,0)))</x:f>
        <x:v>0</x:v>
      </x:c>
      <x:c r="BO804">
        <x:f>MAX(0,MIN(99-BL804,BO803+IF(C804="理智",E804,0)))</x:f>
        <x:v>0</x:v>
      </x:c>
      <x:c r="BP804">
        <x:f>MAX(0,MIN(99,BP803+IF(C804="崩溃点",E804,0)))</x:f>
        <x:v>0</x:v>
      </x:c>
      <x:c r="BQ804">
        <x:f>MAX(0,MIN(BK804,IF(AND(H804=1,C804="重要关系1",LEFT('幕间与结算'!H711,8)="建立新的重要关系"),'幕间与结算'!E711+E804,BQ803+IF(C804="重要关系1",E804,0)+IF(AND(C804="魅力",E804&lt;0),E804,0))))</x:f>
        <x:v>0</x:v>
      </x:c>
      <x:c r="BR804">
        <x:f>MAX(0,MIN(BK804,IF(AND(H804=1,C804="重要关系2",LEFT('幕间与结算'!H711,8)="建立新的重要关系"),'幕间与结算'!E711+E804,BR803+IF(C804="重要关系2",E804,0)+IF(AND(C804="魅力",E804&lt;0),E804,0))))</x:f>
        <x:v>0</x:v>
      </x:c>
      <x:c r="BS804">
        <x:f>MAX(0,MIN(BK804,IF(AND(H804=1,C804="重要关系3",LEFT('幕间与结算'!H711,8)="建立新的重要关系"),'幕间与结算'!E711+E804,BS803+IF(C804="重要关系3",E804,0)+IF(AND(C804="魅力",E804&lt;0),E804,0))))</x:f>
        <x:v>0</x:v>
      </x:c>
      <x:c r="BT804">
        <x:f>MAX(0,MIN(BK804,IF(AND(H804=1,C804="重要关系4",LEFT('幕间与结算'!H711,8)="建立新的重要关系"),'幕间与结算'!E711+E804,BT803+IF(C804="重要关系4",E804,0)+IF(AND(C804="魅力",E804&lt;0),E804,0))))</x:f>
        <x:v>0</x:v>
      </x:c>
      <x:c r="BU804">
        <x:f>MAX(0,MIN(BK804,IF(AND(H804=1,C804="重要关系5",LEFT('幕间与结算'!H711,8)="建立新的重要关系"),'幕间与结算'!E711+E804,BU803+IF(C804="重要关系5",E804,0)+IF(AND(C804="魅力",E804&lt;0),E804,0))))</x:f>
        <x:v>0</x:v>
      </x:c>
      <x:c r="BV804">
        <x:f>MAX(0,MIN(BK804,IF(AND(H804=1,C804="重要关系6",LEFT('幕间与结算'!H711,8)="建立新的重要关系"),'幕间与结算'!E711+E804,BV803+IF(C804="重要关系6",E804,0)+IF(AND(C804="魅力",E804&lt;0),E804,0))))</x:f>
        <x:v>0</x:v>
      </x:c>
      <x:c r="BW804">
        <x:f>MAX(0,MIN(BK804,IF(AND(H804=1,C804="重要关系7",LEFT('幕间与结算'!H711,8)="建立新的重要关系"),'幕间与结算'!E711+E804,BW803+IF(C804="重要关系7",E804,0)+IF(AND(C804="魅力",E804&lt;0),E804,0))))</x:f>
        <x:v>0</x:v>
      </x:c>
    </x:row>
    <x:row r="805">
      <x:c r="A805" t="str">
        <x:f>IFERROR(TEXT(VALUE('幕间与结算'!A712),"00"),"")</x:f>
        <x:v>00</x:v>
      </x:c>
      <x:c r="B805">
        <x:f>'幕间与结算'!B712</x:f>
        <x:v>0</x:v>
      </x:c>
      <x:c r="C805">
        <x:f>'幕间与结算'!D712</x:f>
        <x:v>0</x:v>
      </x:c>
      <x:c r="D805">
        <x:f>'幕间与结算'!F712</x:f>
        <x:v>0</x:v>
      </x:c>
      <x:c r="E805">
        <x:f>IF(H805=1,MAX(-'幕间与结算'!E712,MIN(D805,IF(LEFT(C805,3)="技能：",99,IF(COUNTIF($L$2:$L$7,C805)&gt;0,18,999))-'幕间与结算'!E712)),0)</x:f>
        <x:v>0</x:v>
      </x:c>
      <x:c r="F805" t="str">
        <x:f>IF(C805=0,"",IF(G805=0,"记录不完整",IF(H805=0,"重复未计","已计入")))</x:f>
        <x:v/>
      </x:c>
      <x:c r="G805">
        <x:f>IF(AND(AND('幕间与结算'!A712&lt;&gt;"",'幕间与结算'!B712&lt;&gt;"",'幕间与结算'!I712&lt;&gt;"",OR(LEFT(C805,3)="技能：",COUNTIF($L$2:$L$19,C805)&gt;0),ISNUMBER('幕间与结算'!E712),ISNUMBER('幕间与结算'!F712),ISNUMBER('幕间与结算'!G712),'幕间与结算'!E712&gt;=0,'幕间与结算'!G712='幕间与结算'!E712+'幕间与结算'!F712),OR(B805&lt;&gt;"成长",AND(LEFT(C805,3)="技能：",C805&lt;&gt;"技能：非自然知识",'幕间与结算'!E712&gt;=1,'幕间与结算'!E712&lt;=99,'幕间与结算'!F712&gt;=0,'幕间与结算'!F712&lt;=4,'幕间与结算'!G712&lt;=99))),1,0)</x:f>
        <x:v>0</x:v>
      </x:c>
      <x:c r="H805">
        <x:f>IF(AND(G805=1,COUNTIFS($I$200:I805,I805,$G$200:G805,1)=1),1,0)</x:f>
        <x:v>0</x:v>
      </x:c>
      <x:c r="I805" t="str">
        <x:f>IF(G805=1,IF(B805="成长",A805&amp;"-成长-"&amp;C805,'幕间与结算'!I712),"")</x:f>
        <x:v/>
      </x:c>
      <x:c r="BF805">
        <x:f>MAX(0,MIN(18,BF804+IF(C805="力量",E805,0)))</x:f>
        <x:v>0</x:v>
      </x:c>
      <x:c r="BG805">
        <x:f>MAX(0,MIN(18,BG804+IF(C805="体质",E805,0)))</x:f>
        <x:v>0</x:v>
      </x:c>
      <x:c r="BH805">
        <x:f>MAX(0,MIN(18,BH804+IF(C805="敏捷",E805,0)))</x:f>
        <x:v>0</x:v>
      </x:c>
      <x:c r="BI805">
        <x:f>MAX(0,MIN(18,BI804+IF(C805="智力",E805,0)))</x:f>
        <x:v>0</x:v>
      </x:c>
      <x:c r="BJ805">
        <x:f>MAX(0,MIN(18,BJ804+IF(C805="意志",E805,0)))</x:f>
        <x:v>0</x:v>
      </x:c>
      <x:c r="BK805">
        <x:f>MAX(0,MIN(18,BK804+IF(C805="魅力",E805,0)))</x:f>
        <x:v>0</x:v>
      </x:c>
      <x:c r="BL805">
        <x:f>MAX(0,MIN(99,BL804+IF(C805="技能：非自然知识",E805,0)))</x:f>
        <x:v>0</x:v>
      </x:c>
      <x:c r="BM805">
        <x:f>MAX(0,MIN(CEILING((BF805+BG805)/2,1),BM804+IF(C805="体力",E805,0)))</x:f>
        <x:v>0</x:v>
      </x:c>
      <x:c r="BN805">
        <x:f>MAX(0,MIN(BJ805,BN804+IF(C805="毅力",E805,0)))</x:f>
        <x:v>0</x:v>
      </x:c>
      <x:c r="BO805">
        <x:f>MAX(0,MIN(99-BL805,BO804+IF(C805="理智",E805,0)))</x:f>
        <x:v>0</x:v>
      </x:c>
      <x:c r="BP805">
        <x:f>MAX(0,MIN(99,BP804+IF(C805="崩溃点",E805,0)))</x:f>
        <x:v>0</x:v>
      </x:c>
      <x:c r="BQ805">
        <x:f>MAX(0,MIN(BK805,IF(AND(H805=1,C805="重要关系1",LEFT('幕间与结算'!H712,8)="建立新的重要关系"),'幕间与结算'!E712+E805,BQ804+IF(C805="重要关系1",E805,0)+IF(AND(C805="魅力",E805&lt;0),E805,0))))</x:f>
        <x:v>0</x:v>
      </x:c>
      <x:c r="BR805">
        <x:f>MAX(0,MIN(BK805,IF(AND(H805=1,C805="重要关系2",LEFT('幕间与结算'!H712,8)="建立新的重要关系"),'幕间与结算'!E712+E805,BR804+IF(C805="重要关系2",E805,0)+IF(AND(C805="魅力",E805&lt;0),E805,0))))</x:f>
        <x:v>0</x:v>
      </x:c>
      <x:c r="BS805">
        <x:f>MAX(0,MIN(BK805,IF(AND(H805=1,C805="重要关系3",LEFT('幕间与结算'!H712,8)="建立新的重要关系"),'幕间与结算'!E712+E805,BS804+IF(C805="重要关系3",E805,0)+IF(AND(C805="魅力",E805&lt;0),E805,0))))</x:f>
        <x:v>0</x:v>
      </x:c>
      <x:c r="BT805">
        <x:f>MAX(0,MIN(BK805,IF(AND(H805=1,C805="重要关系4",LEFT('幕间与结算'!H712,8)="建立新的重要关系"),'幕间与结算'!E712+E805,BT804+IF(C805="重要关系4",E805,0)+IF(AND(C805="魅力",E805&lt;0),E805,0))))</x:f>
        <x:v>0</x:v>
      </x:c>
      <x:c r="BU805">
        <x:f>MAX(0,MIN(BK805,IF(AND(H805=1,C805="重要关系5",LEFT('幕间与结算'!H712,8)="建立新的重要关系"),'幕间与结算'!E712+E805,BU804+IF(C805="重要关系5",E805,0)+IF(AND(C805="魅力",E805&lt;0),E805,0))))</x:f>
        <x:v>0</x:v>
      </x:c>
      <x:c r="BV805">
        <x:f>MAX(0,MIN(BK805,IF(AND(H805=1,C805="重要关系6",LEFT('幕间与结算'!H712,8)="建立新的重要关系"),'幕间与结算'!E712+E805,BV804+IF(C805="重要关系6",E805,0)+IF(AND(C805="魅力",E805&lt;0),E805,0))))</x:f>
        <x:v>0</x:v>
      </x:c>
      <x:c r="BW805">
        <x:f>MAX(0,MIN(BK805,IF(AND(H805=1,C805="重要关系7",LEFT('幕间与结算'!H712,8)="建立新的重要关系"),'幕间与结算'!E712+E805,BW804+IF(C805="重要关系7",E805,0)+IF(AND(C805="魅力",E805&lt;0),E805,0))))</x:f>
        <x:v>0</x:v>
      </x:c>
    </x:row>
    <x:row r="806">
      <x:c r="A806" t="str">
        <x:f>IFERROR(TEXT(VALUE('幕间与结算'!A713),"00"),"")</x:f>
        <x:v>00</x:v>
      </x:c>
      <x:c r="B806">
        <x:f>'幕间与结算'!B713</x:f>
        <x:v>0</x:v>
      </x:c>
      <x:c r="C806">
        <x:f>'幕间与结算'!D713</x:f>
        <x:v>0</x:v>
      </x:c>
      <x:c r="D806">
        <x:f>'幕间与结算'!F713</x:f>
        <x:v>0</x:v>
      </x:c>
      <x:c r="E806">
        <x:f>IF(H806=1,MAX(-'幕间与结算'!E713,MIN(D806,IF(LEFT(C806,3)="技能：",99,IF(COUNTIF($L$2:$L$7,C806)&gt;0,18,999))-'幕间与结算'!E713)),0)</x:f>
        <x:v>0</x:v>
      </x:c>
      <x:c r="F806" t="str">
        <x:f>IF(C806=0,"",IF(G806=0,"记录不完整",IF(H806=0,"重复未计","已计入")))</x:f>
        <x:v/>
      </x:c>
      <x:c r="G806">
        <x:f>IF(AND(AND('幕间与结算'!A713&lt;&gt;"",'幕间与结算'!B713&lt;&gt;"",'幕间与结算'!I713&lt;&gt;"",OR(LEFT(C806,3)="技能：",COUNTIF($L$2:$L$19,C806)&gt;0),ISNUMBER('幕间与结算'!E713),ISNUMBER('幕间与结算'!F713),ISNUMBER('幕间与结算'!G713),'幕间与结算'!E713&gt;=0,'幕间与结算'!G713='幕间与结算'!E713+'幕间与结算'!F713),OR(B806&lt;&gt;"成长",AND(LEFT(C806,3)="技能：",C806&lt;&gt;"技能：非自然知识",'幕间与结算'!E713&gt;=1,'幕间与结算'!E713&lt;=99,'幕间与结算'!F713&gt;=0,'幕间与结算'!F713&lt;=4,'幕间与结算'!G713&lt;=99))),1,0)</x:f>
        <x:v>0</x:v>
      </x:c>
      <x:c r="H806">
        <x:f>IF(AND(G806=1,COUNTIFS($I$200:I806,I806,$G$200:G806,1)=1),1,0)</x:f>
        <x:v>0</x:v>
      </x:c>
      <x:c r="I806" t="str">
        <x:f>IF(G806=1,IF(B806="成长",A806&amp;"-成长-"&amp;C806,'幕间与结算'!I713),"")</x:f>
        <x:v/>
      </x:c>
      <x:c r="BF806">
        <x:f>MAX(0,MIN(18,BF805+IF(C806="力量",E806,0)))</x:f>
        <x:v>0</x:v>
      </x:c>
      <x:c r="BG806">
        <x:f>MAX(0,MIN(18,BG805+IF(C806="体质",E806,0)))</x:f>
        <x:v>0</x:v>
      </x:c>
      <x:c r="BH806">
        <x:f>MAX(0,MIN(18,BH805+IF(C806="敏捷",E806,0)))</x:f>
        <x:v>0</x:v>
      </x:c>
      <x:c r="BI806">
        <x:f>MAX(0,MIN(18,BI805+IF(C806="智力",E806,0)))</x:f>
        <x:v>0</x:v>
      </x:c>
      <x:c r="BJ806">
        <x:f>MAX(0,MIN(18,BJ805+IF(C806="意志",E806,0)))</x:f>
        <x:v>0</x:v>
      </x:c>
      <x:c r="BK806">
        <x:f>MAX(0,MIN(18,BK805+IF(C806="魅力",E806,0)))</x:f>
        <x:v>0</x:v>
      </x:c>
      <x:c r="BL806">
        <x:f>MAX(0,MIN(99,BL805+IF(C806="技能：非自然知识",E806,0)))</x:f>
        <x:v>0</x:v>
      </x:c>
      <x:c r="BM806">
        <x:f>MAX(0,MIN(CEILING((BF806+BG806)/2,1),BM805+IF(C806="体力",E806,0)))</x:f>
        <x:v>0</x:v>
      </x:c>
      <x:c r="BN806">
        <x:f>MAX(0,MIN(BJ806,BN805+IF(C806="毅力",E806,0)))</x:f>
        <x:v>0</x:v>
      </x:c>
      <x:c r="BO806">
        <x:f>MAX(0,MIN(99-BL806,BO805+IF(C806="理智",E806,0)))</x:f>
        <x:v>0</x:v>
      </x:c>
      <x:c r="BP806">
        <x:f>MAX(0,MIN(99,BP805+IF(C806="崩溃点",E806,0)))</x:f>
        <x:v>0</x:v>
      </x:c>
      <x:c r="BQ806">
        <x:f>MAX(0,MIN(BK806,IF(AND(H806=1,C806="重要关系1",LEFT('幕间与结算'!H713,8)="建立新的重要关系"),'幕间与结算'!E713+E806,BQ805+IF(C806="重要关系1",E806,0)+IF(AND(C806="魅力",E806&lt;0),E806,0))))</x:f>
        <x:v>0</x:v>
      </x:c>
      <x:c r="BR806">
        <x:f>MAX(0,MIN(BK806,IF(AND(H806=1,C806="重要关系2",LEFT('幕间与结算'!H713,8)="建立新的重要关系"),'幕间与结算'!E713+E806,BR805+IF(C806="重要关系2",E806,0)+IF(AND(C806="魅力",E806&lt;0),E806,0))))</x:f>
        <x:v>0</x:v>
      </x:c>
      <x:c r="BS806">
        <x:f>MAX(0,MIN(BK806,IF(AND(H806=1,C806="重要关系3",LEFT('幕间与结算'!H713,8)="建立新的重要关系"),'幕间与结算'!E713+E806,BS805+IF(C806="重要关系3",E806,0)+IF(AND(C806="魅力",E806&lt;0),E806,0))))</x:f>
        <x:v>0</x:v>
      </x:c>
      <x:c r="BT806">
        <x:f>MAX(0,MIN(BK806,IF(AND(H806=1,C806="重要关系4",LEFT('幕间与结算'!H713,8)="建立新的重要关系"),'幕间与结算'!E713+E806,BT805+IF(C806="重要关系4",E806,0)+IF(AND(C806="魅力",E806&lt;0),E806,0))))</x:f>
        <x:v>0</x:v>
      </x:c>
      <x:c r="BU806">
        <x:f>MAX(0,MIN(BK806,IF(AND(H806=1,C806="重要关系5",LEFT('幕间与结算'!H713,8)="建立新的重要关系"),'幕间与结算'!E713+E806,BU805+IF(C806="重要关系5",E806,0)+IF(AND(C806="魅力",E806&lt;0),E806,0))))</x:f>
        <x:v>0</x:v>
      </x:c>
      <x:c r="BV806">
        <x:f>MAX(0,MIN(BK806,IF(AND(H806=1,C806="重要关系6",LEFT('幕间与结算'!H713,8)="建立新的重要关系"),'幕间与结算'!E713+E806,BV805+IF(C806="重要关系6",E806,0)+IF(AND(C806="魅力",E806&lt;0),E806,0))))</x:f>
        <x:v>0</x:v>
      </x:c>
      <x:c r="BW806">
        <x:f>MAX(0,MIN(BK806,IF(AND(H806=1,C806="重要关系7",LEFT('幕间与结算'!H713,8)="建立新的重要关系"),'幕间与结算'!E713+E806,BW805+IF(C806="重要关系7",E806,0)+IF(AND(C806="魅力",E806&lt;0),E806,0))))</x:f>
        <x:v>0</x:v>
      </x:c>
    </x:row>
    <x:row r="807">
      <x:c r="A807" t="str">
        <x:f>IFERROR(TEXT(VALUE('幕间与结算'!A714),"00"),"")</x:f>
        <x:v>00</x:v>
      </x:c>
      <x:c r="B807">
        <x:f>'幕间与结算'!B714</x:f>
        <x:v>0</x:v>
      </x:c>
      <x:c r="C807">
        <x:f>'幕间与结算'!D714</x:f>
        <x:v>0</x:v>
      </x:c>
      <x:c r="D807">
        <x:f>'幕间与结算'!F714</x:f>
        <x:v>0</x:v>
      </x:c>
      <x:c r="E807">
        <x:f>IF(H807=1,MAX(-'幕间与结算'!E714,MIN(D807,IF(LEFT(C807,3)="技能：",99,IF(COUNTIF($L$2:$L$7,C807)&gt;0,18,999))-'幕间与结算'!E714)),0)</x:f>
        <x:v>0</x:v>
      </x:c>
      <x:c r="F807" t="str">
        <x:f>IF(C807=0,"",IF(G807=0,"记录不完整",IF(H807=0,"重复未计","已计入")))</x:f>
        <x:v/>
      </x:c>
      <x:c r="G807">
        <x:f>IF(AND(AND('幕间与结算'!A714&lt;&gt;"",'幕间与结算'!B714&lt;&gt;"",'幕间与结算'!I714&lt;&gt;"",OR(LEFT(C807,3)="技能：",COUNTIF($L$2:$L$19,C807)&gt;0),ISNUMBER('幕间与结算'!E714),ISNUMBER('幕间与结算'!F714),ISNUMBER('幕间与结算'!G714),'幕间与结算'!E714&gt;=0,'幕间与结算'!G714='幕间与结算'!E714+'幕间与结算'!F714),OR(B807&lt;&gt;"成长",AND(LEFT(C807,3)="技能：",C807&lt;&gt;"技能：非自然知识",'幕间与结算'!E714&gt;=1,'幕间与结算'!E714&lt;=99,'幕间与结算'!F714&gt;=0,'幕间与结算'!F714&lt;=4,'幕间与结算'!G714&lt;=99))),1,0)</x:f>
        <x:v>0</x:v>
      </x:c>
      <x:c r="H807">
        <x:f>IF(AND(G807=1,COUNTIFS($I$200:I807,I807,$G$200:G807,1)=1),1,0)</x:f>
        <x:v>0</x:v>
      </x:c>
      <x:c r="I807" t="str">
        <x:f>IF(G807=1,IF(B807="成长",A807&amp;"-成长-"&amp;C807,'幕间与结算'!I714),"")</x:f>
        <x:v/>
      </x:c>
      <x:c r="BF807">
        <x:f>MAX(0,MIN(18,BF806+IF(C807="力量",E807,0)))</x:f>
        <x:v>0</x:v>
      </x:c>
      <x:c r="BG807">
        <x:f>MAX(0,MIN(18,BG806+IF(C807="体质",E807,0)))</x:f>
        <x:v>0</x:v>
      </x:c>
      <x:c r="BH807">
        <x:f>MAX(0,MIN(18,BH806+IF(C807="敏捷",E807,0)))</x:f>
        <x:v>0</x:v>
      </x:c>
      <x:c r="BI807">
        <x:f>MAX(0,MIN(18,BI806+IF(C807="智力",E807,0)))</x:f>
        <x:v>0</x:v>
      </x:c>
      <x:c r="BJ807">
        <x:f>MAX(0,MIN(18,BJ806+IF(C807="意志",E807,0)))</x:f>
        <x:v>0</x:v>
      </x:c>
      <x:c r="BK807">
        <x:f>MAX(0,MIN(18,BK806+IF(C807="魅力",E807,0)))</x:f>
        <x:v>0</x:v>
      </x:c>
      <x:c r="BL807">
        <x:f>MAX(0,MIN(99,BL806+IF(C807="技能：非自然知识",E807,0)))</x:f>
        <x:v>0</x:v>
      </x:c>
      <x:c r="BM807">
        <x:f>MAX(0,MIN(CEILING((BF807+BG807)/2,1),BM806+IF(C807="体力",E807,0)))</x:f>
        <x:v>0</x:v>
      </x:c>
      <x:c r="BN807">
        <x:f>MAX(0,MIN(BJ807,BN806+IF(C807="毅力",E807,0)))</x:f>
        <x:v>0</x:v>
      </x:c>
      <x:c r="BO807">
        <x:f>MAX(0,MIN(99-BL807,BO806+IF(C807="理智",E807,0)))</x:f>
        <x:v>0</x:v>
      </x:c>
      <x:c r="BP807">
        <x:f>MAX(0,MIN(99,BP806+IF(C807="崩溃点",E807,0)))</x:f>
        <x:v>0</x:v>
      </x:c>
      <x:c r="BQ807">
        <x:f>MAX(0,MIN(BK807,IF(AND(H807=1,C807="重要关系1",LEFT('幕间与结算'!H714,8)="建立新的重要关系"),'幕间与结算'!E714+E807,BQ806+IF(C807="重要关系1",E807,0)+IF(AND(C807="魅力",E807&lt;0),E807,0))))</x:f>
        <x:v>0</x:v>
      </x:c>
      <x:c r="BR807">
        <x:f>MAX(0,MIN(BK807,IF(AND(H807=1,C807="重要关系2",LEFT('幕间与结算'!H714,8)="建立新的重要关系"),'幕间与结算'!E714+E807,BR806+IF(C807="重要关系2",E807,0)+IF(AND(C807="魅力",E807&lt;0),E807,0))))</x:f>
        <x:v>0</x:v>
      </x:c>
      <x:c r="BS807">
        <x:f>MAX(0,MIN(BK807,IF(AND(H807=1,C807="重要关系3",LEFT('幕间与结算'!H714,8)="建立新的重要关系"),'幕间与结算'!E714+E807,BS806+IF(C807="重要关系3",E807,0)+IF(AND(C807="魅力",E807&lt;0),E807,0))))</x:f>
        <x:v>0</x:v>
      </x:c>
      <x:c r="BT807">
        <x:f>MAX(0,MIN(BK807,IF(AND(H807=1,C807="重要关系4",LEFT('幕间与结算'!H714,8)="建立新的重要关系"),'幕间与结算'!E714+E807,BT806+IF(C807="重要关系4",E807,0)+IF(AND(C807="魅力",E807&lt;0),E807,0))))</x:f>
        <x:v>0</x:v>
      </x:c>
      <x:c r="BU807">
        <x:f>MAX(0,MIN(BK807,IF(AND(H807=1,C807="重要关系5",LEFT('幕间与结算'!H714,8)="建立新的重要关系"),'幕间与结算'!E714+E807,BU806+IF(C807="重要关系5",E807,0)+IF(AND(C807="魅力",E807&lt;0),E807,0))))</x:f>
        <x:v>0</x:v>
      </x:c>
      <x:c r="BV807">
        <x:f>MAX(0,MIN(BK807,IF(AND(H807=1,C807="重要关系6",LEFT('幕间与结算'!H714,8)="建立新的重要关系"),'幕间与结算'!E714+E807,BV806+IF(C807="重要关系6",E807,0)+IF(AND(C807="魅力",E807&lt;0),E807,0))))</x:f>
        <x:v>0</x:v>
      </x:c>
      <x:c r="BW807">
        <x:f>MAX(0,MIN(BK807,IF(AND(H807=1,C807="重要关系7",LEFT('幕间与结算'!H714,8)="建立新的重要关系"),'幕间与结算'!E714+E807,BW806+IF(C807="重要关系7",E807,0)+IF(AND(C807="魅力",E807&lt;0),E807,0))))</x:f>
        <x:v>0</x:v>
      </x:c>
    </x:row>
    <x:row r="808">
      <x:c r="A808" t="str">
        <x:f>IFERROR(TEXT(VALUE('幕间与结算'!A715),"00"),"")</x:f>
        <x:v>00</x:v>
      </x:c>
      <x:c r="B808">
        <x:f>'幕间与结算'!B715</x:f>
        <x:v>0</x:v>
      </x:c>
      <x:c r="C808">
        <x:f>'幕间与结算'!D715</x:f>
        <x:v>0</x:v>
      </x:c>
      <x:c r="D808">
        <x:f>'幕间与结算'!F715</x:f>
        <x:v>0</x:v>
      </x:c>
      <x:c r="E808">
        <x:f>IF(H808=1,MAX(-'幕间与结算'!E715,MIN(D808,IF(LEFT(C808,3)="技能：",99,IF(COUNTIF($L$2:$L$7,C808)&gt;0,18,999))-'幕间与结算'!E715)),0)</x:f>
        <x:v>0</x:v>
      </x:c>
      <x:c r="F808" t="str">
        <x:f>IF(C808=0,"",IF(G808=0,"记录不完整",IF(H808=0,"重复未计","已计入")))</x:f>
        <x:v/>
      </x:c>
      <x:c r="G808">
        <x:f>IF(AND(AND('幕间与结算'!A715&lt;&gt;"",'幕间与结算'!B715&lt;&gt;"",'幕间与结算'!I715&lt;&gt;"",OR(LEFT(C808,3)="技能：",COUNTIF($L$2:$L$19,C808)&gt;0),ISNUMBER('幕间与结算'!E715),ISNUMBER('幕间与结算'!F715),ISNUMBER('幕间与结算'!G715),'幕间与结算'!E715&gt;=0,'幕间与结算'!G715='幕间与结算'!E715+'幕间与结算'!F715),OR(B808&lt;&gt;"成长",AND(LEFT(C808,3)="技能：",C808&lt;&gt;"技能：非自然知识",'幕间与结算'!E715&gt;=1,'幕间与结算'!E715&lt;=99,'幕间与结算'!F715&gt;=0,'幕间与结算'!F715&lt;=4,'幕间与结算'!G715&lt;=99))),1,0)</x:f>
        <x:v>0</x:v>
      </x:c>
      <x:c r="H808">
        <x:f>IF(AND(G808=1,COUNTIFS($I$200:I808,I808,$G$200:G808,1)=1),1,0)</x:f>
        <x:v>0</x:v>
      </x:c>
      <x:c r="I808" t="str">
        <x:f>IF(G808=1,IF(B808="成长",A808&amp;"-成长-"&amp;C808,'幕间与结算'!I715),"")</x:f>
        <x:v/>
      </x:c>
      <x:c r="BF808">
        <x:f>MAX(0,MIN(18,BF807+IF(C808="力量",E808,0)))</x:f>
        <x:v>0</x:v>
      </x:c>
      <x:c r="BG808">
        <x:f>MAX(0,MIN(18,BG807+IF(C808="体质",E808,0)))</x:f>
        <x:v>0</x:v>
      </x:c>
      <x:c r="BH808">
        <x:f>MAX(0,MIN(18,BH807+IF(C808="敏捷",E808,0)))</x:f>
        <x:v>0</x:v>
      </x:c>
      <x:c r="BI808">
        <x:f>MAX(0,MIN(18,BI807+IF(C808="智力",E808,0)))</x:f>
        <x:v>0</x:v>
      </x:c>
      <x:c r="BJ808">
        <x:f>MAX(0,MIN(18,BJ807+IF(C808="意志",E808,0)))</x:f>
        <x:v>0</x:v>
      </x:c>
      <x:c r="BK808">
        <x:f>MAX(0,MIN(18,BK807+IF(C808="魅力",E808,0)))</x:f>
        <x:v>0</x:v>
      </x:c>
      <x:c r="BL808">
        <x:f>MAX(0,MIN(99,BL807+IF(C808="技能：非自然知识",E808,0)))</x:f>
        <x:v>0</x:v>
      </x:c>
      <x:c r="BM808">
        <x:f>MAX(0,MIN(CEILING((BF808+BG808)/2,1),BM807+IF(C808="体力",E808,0)))</x:f>
        <x:v>0</x:v>
      </x:c>
      <x:c r="BN808">
        <x:f>MAX(0,MIN(BJ808,BN807+IF(C808="毅力",E808,0)))</x:f>
        <x:v>0</x:v>
      </x:c>
      <x:c r="BO808">
        <x:f>MAX(0,MIN(99-BL808,BO807+IF(C808="理智",E808,0)))</x:f>
        <x:v>0</x:v>
      </x:c>
      <x:c r="BP808">
        <x:f>MAX(0,MIN(99,BP807+IF(C808="崩溃点",E808,0)))</x:f>
        <x:v>0</x:v>
      </x:c>
      <x:c r="BQ808">
        <x:f>MAX(0,MIN(BK808,IF(AND(H808=1,C808="重要关系1",LEFT('幕间与结算'!H715,8)="建立新的重要关系"),'幕间与结算'!E715+E808,BQ807+IF(C808="重要关系1",E808,0)+IF(AND(C808="魅力",E808&lt;0),E808,0))))</x:f>
        <x:v>0</x:v>
      </x:c>
      <x:c r="BR808">
        <x:f>MAX(0,MIN(BK808,IF(AND(H808=1,C808="重要关系2",LEFT('幕间与结算'!H715,8)="建立新的重要关系"),'幕间与结算'!E715+E808,BR807+IF(C808="重要关系2",E808,0)+IF(AND(C808="魅力",E808&lt;0),E808,0))))</x:f>
        <x:v>0</x:v>
      </x:c>
      <x:c r="BS808">
        <x:f>MAX(0,MIN(BK808,IF(AND(H808=1,C808="重要关系3",LEFT('幕间与结算'!H715,8)="建立新的重要关系"),'幕间与结算'!E715+E808,BS807+IF(C808="重要关系3",E808,0)+IF(AND(C808="魅力",E808&lt;0),E808,0))))</x:f>
        <x:v>0</x:v>
      </x:c>
      <x:c r="BT808">
        <x:f>MAX(0,MIN(BK808,IF(AND(H808=1,C808="重要关系4",LEFT('幕间与结算'!H715,8)="建立新的重要关系"),'幕间与结算'!E715+E808,BT807+IF(C808="重要关系4",E808,0)+IF(AND(C808="魅力",E808&lt;0),E808,0))))</x:f>
        <x:v>0</x:v>
      </x:c>
      <x:c r="BU808">
        <x:f>MAX(0,MIN(BK808,IF(AND(H808=1,C808="重要关系5",LEFT('幕间与结算'!H715,8)="建立新的重要关系"),'幕间与结算'!E715+E808,BU807+IF(C808="重要关系5",E808,0)+IF(AND(C808="魅力",E808&lt;0),E808,0))))</x:f>
        <x:v>0</x:v>
      </x:c>
      <x:c r="BV808">
        <x:f>MAX(0,MIN(BK808,IF(AND(H808=1,C808="重要关系6",LEFT('幕间与结算'!H715,8)="建立新的重要关系"),'幕间与结算'!E715+E808,BV807+IF(C808="重要关系6",E808,0)+IF(AND(C808="魅力",E808&lt;0),E808,0))))</x:f>
        <x:v>0</x:v>
      </x:c>
      <x:c r="BW808">
        <x:f>MAX(0,MIN(BK808,IF(AND(H808=1,C808="重要关系7",LEFT('幕间与结算'!H715,8)="建立新的重要关系"),'幕间与结算'!E715+E808,BW807+IF(C808="重要关系7",E808,0)+IF(AND(C808="魅力",E808&lt;0),E808,0))))</x:f>
        <x:v>0</x:v>
      </x:c>
    </x:row>
    <x:row r="809">
      <x:c r="A809" t="str">
        <x:f>IFERROR(TEXT(VALUE('幕间与结算'!A716),"00"),"")</x:f>
        <x:v>00</x:v>
      </x:c>
      <x:c r="B809">
        <x:f>'幕间与结算'!B716</x:f>
        <x:v>0</x:v>
      </x:c>
      <x:c r="C809">
        <x:f>'幕间与结算'!D716</x:f>
        <x:v>0</x:v>
      </x:c>
      <x:c r="D809">
        <x:f>'幕间与结算'!F716</x:f>
        <x:v>0</x:v>
      </x:c>
      <x:c r="E809">
        <x:f>IF(H809=1,MAX(-'幕间与结算'!E716,MIN(D809,IF(LEFT(C809,3)="技能：",99,IF(COUNTIF($L$2:$L$7,C809)&gt;0,18,999))-'幕间与结算'!E716)),0)</x:f>
        <x:v>0</x:v>
      </x:c>
      <x:c r="F809" t="str">
        <x:f>IF(C809=0,"",IF(G809=0,"记录不完整",IF(H809=0,"重复未计","已计入")))</x:f>
        <x:v/>
      </x:c>
      <x:c r="G809">
        <x:f>IF(AND(AND('幕间与结算'!A716&lt;&gt;"",'幕间与结算'!B716&lt;&gt;"",'幕间与结算'!I716&lt;&gt;"",OR(LEFT(C809,3)="技能：",COUNTIF($L$2:$L$19,C809)&gt;0),ISNUMBER('幕间与结算'!E716),ISNUMBER('幕间与结算'!F716),ISNUMBER('幕间与结算'!G716),'幕间与结算'!E716&gt;=0,'幕间与结算'!G716='幕间与结算'!E716+'幕间与结算'!F716),OR(B809&lt;&gt;"成长",AND(LEFT(C809,3)="技能：",C809&lt;&gt;"技能：非自然知识",'幕间与结算'!E716&gt;=1,'幕间与结算'!E716&lt;=99,'幕间与结算'!F716&gt;=0,'幕间与结算'!F716&lt;=4,'幕间与结算'!G716&lt;=99))),1,0)</x:f>
        <x:v>0</x:v>
      </x:c>
      <x:c r="H809">
        <x:f>IF(AND(G809=1,COUNTIFS($I$200:I809,I809,$G$200:G809,1)=1),1,0)</x:f>
        <x:v>0</x:v>
      </x:c>
      <x:c r="I809" t="str">
        <x:f>IF(G809=1,IF(B809="成长",A809&amp;"-成长-"&amp;C809,'幕间与结算'!I716),"")</x:f>
        <x:v/>
      </x:c>
      <x:c r="BF809">
        <x:f>MAX(0,MIN(18,BF808+IF(C809="力量",E809,0)))</x:f>
        <x:v>0</x:v>
      </x:c>
      <x:c r="BG809">
        <x:f>MAX(0,MIN(18,BG808+IF(C809="体质",E809,0)))</x:f>
        <x:v>0</x:v>
      </x:c>
      <x:c r="BH809">
        <x:f>MAX(0,MIN(18,BH808+IF(C809="敏捷",E809,0)))</x:f>
        <x:v>0</x:v>
      </x:c>
      <x:c r="BI809">
        <x:f>MAX(0,MIN(18,BI808+IF(C809="智力",E809,0)))</x:f>
        <x:v>0</x:v>
      </x:c>
      <x:c r="BJ809">
        <x:f>MAX(0,MIN(18,BJ808+IF(C809="意志",E809,0)))</x:f>
        <x:v>0</x:v>
      </x:c>
      <x:c r="BK809">
        <x:f>MAX(0,MIN(18,BK808+IF(C809="魅力",E809,0)))</x:f>
        <x:v>0</x:v>
      </x:c>
      <x:c r="BL809">
        <x:f>MAX(0,MIN(99,BL808+IF(C809="技能：非自然知识",E809,0)))</x:f>
        <x:v>0</x:v>
      </x:c>
      <x:c r="BM809">
        <x:f>MAX(0,MIN(CEILING((BF809+BG809)/2,1),BM808+IF(C809="体力",E809,0)))</x:f>
        <x:v>0</x:v>
      </x:c>
      <x:c r="BN809">
        <x:f>MAX(0,MIN(BJ809,BN808+IF(C809="毅力",E809,0)))</x:f>
        <x:v>0</x:v>
      </x:c>
      <x:c r="BO809">
        <x:f>MAX(0,MIN(99-BL809,BO808+IF(C809="理智",E809,0)))</x:f>
        <x:v>0</x:v>
      </x:c>
      <x:c r="BP809">
        <x:f>MAX(0,MIN(99,BP808+IF(C809="崩溃点",E809,0)))</x:f>
        <x:v>0</x:v>
      </x:c>
      <x:c r="BQ809">
        <x:f>MAX(0,MIN(BK809,IF(AND(H809=1,C809="重要关系1",LEFT('幕间与结算'!H716,8)="建立新的重要关系"),'幕间与结算'!E716+E809,BQ808+IF(C809="重要关系1",E809,0)+IF(AND(C809="魅力",E809&lt;0),E809,0))))</x:f>
        <x:v>0</x:v>
      </x:c>
      <x:c r="BR809">
        <x:f>MAX(0,MIN(BK809,IF(AND(H809=1,C809="重要关系2",LEFT('幕间与结算'!H716,8)="建立新的重要关系"),'幕间与结算'!E716+E809,BR808+IF(C809="重要关系2",E809,0)+IF(AND(C809="魅力",E809&lt;0),E809,0))))</x:f>
        <x:v>0</x:v>
      </x:c>
      <x:c r="BS809">
        <x:f>MAX(0,MIN(BK809,IF(AND(H809=1,C809="重要关系3",LEFT('幕间与结算'!H716,8)="建立新的重要关系"),'幕间与结算'!E716+E809,BS808+IF(C809="重要关系3",E809,0)+IF(AND(C809="魅力",E809&lt;0),E809,0))))</x:f>
        <x:v>0</x:v>
      </x:c>
      <x:c r="BT809">
        <x:f>MAX(0,MIN(BK809,IF(AND(H809=1,C809="重要关系4",LEFT('幕间与结算'!H716,8)="建立新的重要关系"),'幕间与结算'!E716+E809,BT808+IF(C809="重要关系4",E809,0)+IF(AND(C809="魅力",E809&lt;0),E809,0))))</x:f>
        <x:v>0</x:v>
      </x:c>
      <x:c r="BU809">
        <x:f>MAX(0,MIN(BK809,IF(AND(H809=1,C809="重要关系5",LEFT('幕间与结算'!H716,8)="建立新的重要关系"),'幕间与结算'!E716+E809,BU808+IF(C809="重要关系5",E809,0)+IF(AND(C809="魅力",E809&lt;0),E809,0))))</x:f>
        <x:v>0</x:v>
      </x:c>
      <x:c r="BV809">
        <x:f>MAX(0,MIN(BK809,IF(AND(H809=1,C809="重要关系6",LEFT('幕间与结算'!H716,8)="建立新的重要关系"),'幕间与结算'!E716+E809,BV808+IF(C809="重要关系6",E809,0)+IF(AND(C809="魅力",E809&lt;0),E809,0))))</x:f>
        <x:v>0</x:v>
      </x:c>
      <x:c r="BW809">
        <x:f>MAX(0,MIN(BK809,IF(AND(H809=1,C809="重要关系7",LEFT('幕间与结算'!H716,8)="建立新的重要关系"),'幕间与结算'!E716+E809,BW808+IF(C809="重要关系7",E809,0)+IF(AND(C809="魅力",E809&lt;0),E809,0))))</x:f>
        <x:v>0</x:v>
      </x:c>
    </x:row>
    <x:row r="810">
      <x:c r="A810" t="str">
        <x:f>IFERROR(TEXT(VALUE('幕间与结算'!A717),"00"),"")</x:f>
        <x:v>00</x:v>
      </x:c>
      <x:c r="B810">
        <x:f>'幕间与结算'!B717</x:f>
        <x:v>0</x:v>
      </x:c>
      <x:c r="C810">
        <x:f>'幕间与结算'!D717</x:f>
        <x:v>0</x:v>
      </x:c>
      <x:c r="D810">
        <x:f>'幕间与结算'!F717</x:f>
        <x:v>0</x:v>
      </x:c>
      <x:c r="E810">
        <x:f>IF(H810=1,MAX(-'幕间与结算'!E717,MIN(D810,IF(LEFT(C810,3)="技能：",99,IF(COUNTIF($L$2:$L$7,C810)&gt;0,18,999))-'幕间与结算'!E717)),0)</x:f>
        <x:v>0</x:v>
      </x:c>
      <x:c r="F810" t="str">
        <x:f>IF(C810=0,"",IF(G810=0,"记录不完整",IF(H810=0,"重复未计","已计入")))</x:f>
        <x:v/>
      </x:c>
      <x:c r="G810">
        <x:f>IF(AND(AND('幕间与结算'!A717&lt;&gt;"",'幕间与结算'!B717&lt;&gt;"",'幕间与结算'!I717&lt;&gt;"",OR(LEFT(C810,3)="技能：",COUNTIF($L$2:$L$19,C810)&gt;0),ISNUMBER('幕间与结算'!E717),ISNUMBER('幕间与结算'!F717),ISNUMBER('幕间与结算'!G717),'幕间与结算'!E717&gt;=0,'幕间与结算'!G717='幕间与结算'!E717+'幕间与结算'!F717),OR(B810&lt;&gt;"成长",AND(LEFT(C810,3)="技能：",C810&lt;&gt;"技能：非自然知识",'幕间与结算'!E717&gt;=1,'幕间与结算'!E717&lt;=99,'幕间与结算'!F717&gt;=0,'幕间与结算'!F717&lt;=4,'幕间与结算'!G717&lt;=99))),1,0)</x:f>
        <x:v>0</x:v>
      </x:c>
      <x:c r="H810">
        <x:f>IF(AND(G810=1,COUNTIFS($I$200:I810,I810,$G$200:G810,1)=1),1,0)</x:f>
        <x:v>0</x:v>
      </x:c>
      <x:c r="I810" t="str">
        <x:f>IF(G810=1,IF(B810="成长",A810&amp;"-成长-"&amp;C810,'幕间与结算'!I717),"")</x:f>
        <x:v/>
      </x:c>
      <x:c r="BF810">
        <x:f>MAX(0,MIN(18,BF809+IF(C810="力量",E810,0)))</x:f>
        <x:v>0</x:v>
      </x:c>
      <x:c r="BG810">
        <x:f>MAX(0,MIN(18,BG809+IF(C810="体质",E810,0)))</x:f>
        <x:v>0</x:v>
      </x:c>
      <x:c r="BH810">
        <x:f>MAX(0,MIN(18,BH809+IF(C810="敏捷",E810,0)))</x:f>
        <x:v>0</x:v>
      </x:c>
      <x:c r="BI810">
        <x:f>MAX(0,MIN(18,BI809+IF(C810="智力",E810,0)))</x:f>
        <x:v>0</x:v>
      </x:c>
      <x:c r="BJ810">
        <x:f>MAX(0,MIN(18,BJ809+IF(C810="意志",E810,0)))</x:f>
        <x:v>0</x:v>
      </x:c>
      <x:c r="BK810">
        <x:f>MAX(0,MIN(18,BK809+IF(C810="魅力",E810,0)))</x:f>
        <x:v>0</x:v>
      </x:c>
      <x:c r="BL810">
        <x:f>MAX(0,MIN(99,BL809+IF(C810="技能：非自然知识",E810,0)))</x:f>
        <x:v>0</x:v>
      </x:c>
      <x:c r="BM810">
        <x:f>MAX(0,MIN(CEILING((BF810+BG810)/2,1),BM809+IF(C810="体力",E810,0)))</x:f>
        <x:v>0</x:v>
      </x:c>
      <x:c r="BN810">
        <x:f>MAX(0,MIN(BJ810,BN809+IF(C810="毅力",E810,0)))</x:f>
        <x:v>0</x:v>
      </x:c>
      <x:c r="BO810">
        <x:f>MAX(0,MIN(99-BL810,BO809+IF(C810="理智",E810,0)))</x:f>
        <x:v>0</x:v>
      </x:c>
      <x:c r="BP810">
        <x:f>MAX(0,MIN(99,BP809+IF(C810="崩溃点",E810,0)))</x:f>
        <x:v>0</x:v>
      </x:c>
      <x:c r="BQ810">
        <x:f>MAX(0,MIN(BK810,IF(AND(H810=1,C810="重要关系1",LEFT('幕间与结算'!H717,8)="建立新的重要关系"),'幕间与结算'!E717+E810,BQ809+IF(C810="重要关系1",E810,0)+IF(AND(C810="魅力",E810&lt;0),E810,0))))</x:f>
        <x:v>0</x:v>
      </x:c>
      <x:c r="BR810">
        <x:f>MAX(0,MIN(BK810,IF(AND(H810=1,C810="重要关系2",LEFT('幕间与结算'!H717,8)="建立新的重要关系"),'幕间与结算'!E717+E810,BR809+IF(C810="重要关系2",E810,0)+IF(AND(C810="魅力",E810&lt;0),E810,0))))</x:f>
        <x:v>0</x:v>
      </x:c>
      <x:c r="BS810">
        <x:f>MAX(0,MIN(BK810,IF(AND(H810=1,C810="重要关系3",LEFT('幕间与结算'!H717,8)="建立新的重要关系"),'幕间与结算'!E717+E810,BS809+IF(C810="重要关系3",E810,0)+IF(AND(C810="魅力",E810&lt;0),E810,0))))</x:f>
        <x:v>0</x:v>
      </x:c>
      <x:c r="BT810">
        <x:f>MAX(0,MIN(BK810,IF(AND(H810=1,C810="重要关系4",LEFT('幕间与结算'!H717,8)="建立新的重要关系"),'幕间与结算'!E717+E810,BT809+IF(C810="重要关系4",E810,0)+IF(AND(C810="魅力",E810&lt;0),E810,0))))</x:f>
        <x:v>0</x:v>
      </x:c>
      <x:c r="BU810">
        <x:f>MAX(0,MIN(BK810,IF(AND(H810=1,C810="重要关系5",LEFT('幕间与结算'!H717,8)="建立新的重要关系"),'幕间与结算'!E717+E810,BU809+IF(C810="重要关系5",E810,0)+IF(AND(C810="魅力",E810&lt;0),E810,0))))</x:f>
        <x:v>0</x:v>
      </x:c>
      <x:c r="BV810">
        <x:f>MAX(0,MIN(BK810,IF(AND(H810=1,C810="重要关系6",LEFT('幕间与结算'!H717,8)="建立新的重要关系"),'幕间与结算'!E717+E810,BV809+IF(C810="重要关系6",E810,0)+IF(AND(C810="魅力",E810&lt;0),E810,0))))</x:f>
        <x:v>0</x:v>
      </x:c>
      <x:c r="BW810">
        <x:f>MAX(0,MIN(BK810,IF(AND(H810=1,C810="重要关系7",LEFT('幕间与结算'!H717,8)="建立新的重要关系"),'幕间与结算'!E717+E810,BW809+IF(C810="重要关系7",E810,0)+IF(AND(C810="魅力",E810&lt;0),E810,0))))</x:f>
        <x:v>0</x:v>
      </x:c>
    </x:row>
    <x:row r="811">
      <x:c r="A811" t="str">
        <x:f>IFERROR(TEXT(VALUE('幕间与结算'!A718),"00"),"")</x:f>
        <x:v>00</x:v>
      </x:c>
      <x:c r="B811">
        <x:f>'幕间与结算'!B718</x:f>
        <x:v>0</x:v>
      </x:c>
      <x:c r="C811">
        <x:f>'幕间与结算'!D718</x:f>
        <x:v>0</x:v>
      </x:c>
      <x:c r="D811">
        <x:f>'幕间与结算'!F718</x:f>
        <x:v>0</x:v>
      </x:c>
      <x:c r="E811">
        <x:f>IF(H811=1,MAX(-'幕间与结算'!E718,MIN(D811,IF(LEFT(C811,3)="技能：",99,IF(COUNTIF($L$2:$L$7,C811)&gt;0,18,999))-'幕间与结算'!E718)),0)</x:f>
        <x:v>0</x:v>
      </x:c>
      <x:c r="F811" t="str">
        <x:f>IF(C811=0,"",IF(G811=0,"记录不完整",IF(H811=0,"重复未计","已计入")))</x:f>
        <x:v/>
      </x:c>
      <x:c r="G811">
        <x:f>IF(AND(AND('幕间与结算'!A718&lt;&gt;"",'幕间与结算'!B718&lt;&gt;"",'幕间与结算'!I718&lt;&gt;"",OR(LEFT(C811,3)="技能：",COUNTIF($L$2:$L$19,C811)&gt;0),ISNUMBER('幕间与结算'!E718),ISNUMBER('幕间与结算'!F718),ISNUMBER('幕间与结算'!G718),'幕间与结算'!E718&gt;=0,'幕间与结算'!G718='幕间与结算'!E718+'幕间与结算'!F718),OR(B811&lt;&gt;"成长",AND(LEFT(C811,3)="技能：",C811&lt;&gt;"技能：非自然知识",'幕间与结算'!E718&gt;=1,'幕间与结算'!E718&lt;=99,'幕间与结算'!F718&gt;=0,'幕间与结算'!F718&lt;=4,'幕间与结算'!G718&lt;=99))),1,0)</x:f>
        <x:v>0</x:v>
      </x:c>
      <x:c r="H811">
        <x:f>IF(AND(G811=1,COUNTIFS($I$200:I811,I811,$G$200:G811,1)=1),1,0)</x:f>
        <x:v>0</x:v>
      </x:c>
      <x:c r="I811" t="str">
        <x:f>IF(G811=1,IF(B811="成长",A811&amp;"-成长-"&amp;C811,'幕间与结算'!I718),"")</x:f>
        <x:v/>
      </x:c>
      <x:c r="BF811">
        <x:f>MAX(0,MIN(18,BF810+IF(C811="力量",E811,0)))</x:f>
        <x:v>0</x:v>
      </x:c>
      <x:c r="BG811">
        <x:f>MAX(0,MIN(18,BG810+IF(C811="体质",E811,0)))</x:f>
        <x:v>0</x:v>
      </x:c>
      <x:c r="BH811">
        <x:f>MAX(0,MIN(18,BH810+IF(C811="敏捷",E811,0)))</x:f>
        <x:v>0</x:v>
      </x:c>
      <x:c r="BI811">
        <x:f>MAX(0,MIN(18,BI810+IF(C811="智力",E811,0)))</x:f>
        <x:v>0</x:v>
      </x:c>
      <x:c r="BJ811">
        <x:f>MAX(0,MIN(18,BJ810+IF(C811="意志",E811,0)))</x:f>
        <x:v>0</x:v>
      </x:c>
      <x:c r="BK811">
        <x:f>MAX(0,MIN(18,BK810+IF(C811="魅力",E811,0)))</x:f>
        <x:v>0</x:v>
      </x:c>
      <x:c r="BL811">
        <x:f>MAX(0,MIN(99,BL810+IF(C811="技能：非自然知识",E811,0)))</x:f>
        <x:v>0</x:v>
      </x:c>
      <x:c r="BM811">
        <x:f>MAX(0,MIN(CEILING((BF811+BG811)/2,1),BM810+IF(C811="体力",E811,0)))</x:f>
        <x:v>0</x:v>
      </x:c>
      <x:c r="BN811">
        <x:f>MAX(0,MIN(BJ811,BN810+IF(C811="毅力",E811,0)))</x:f>
        <x:v>0</x:v>
      </x:c>
      <x:c r="BO811">
        <x:f>MAX(0,MIN(99-BL811,BO810+IF(C811="理智",E811,0)))</x:f>
        <x:v>0</x:v>
      </x:c>
      <x:c r="BP811">
        <x:f>MAX(0,MIN(99,BP810+IF(C811="崩溃点",E811,0)))</x:f>
        <x:v>0</x:v>
      </x:c>
      <x:c r="BQ811">
        <x:f>MAX(0,MIN(BK811,IF(AND(H811=1,C811="重要关系1",LEFT('幕间与结算'!H718,8)="建立新的重要关系"),'幕间与结算'!E718+E811,BQ810+IF(C811="重要关系1",E811,0)+IF(AND(C811="魅力",E811&lt;0),E811,0))))</x:f>
        <x:v>0</x:v>
      </x:c>
      <x:c r="BR811">
        <x:f>MAX(0,MIN(BK811,IF(AND(H811=1,C811="重要关系2",LEFT('幕间与结算'!H718,8)="建立新的重要关系"),'幕间与结算'!E718+E811,BR810+IF(C811="重要关系2",E811,0)+IF(AND(C811="魅力",E811&lt;0),E811,0))))</x:f>
        <x:v>0</x:v>
      </x:c>
      <x:c r="BS811">
        <x:f>MAX(0,MIN(BK811,IF(AND(H811=1,C811="重要关系3",LEFT('幕间与结算'!H718,8)="建立新的重要关系"),'幕间与结算'!E718+E811,BS810+IF(C811="重要关系3",E811,0)+IF(AND(C811="魅力",E811&lt;0),E811,0))))</x:f>
        <x:v>0</x:v>
      </x:c>
      <x:c r="BT811">
        <x:f>MAX(0,MIN(BK811,IF(AND(H811=1,C811="重要关系4",LEFT('幕间与结算'!H718,8)="建立新的重要关系"),'幕间与结算'!E718+E811,BT810+IF(C811="重要关系4",E811,0)+IF(AND(C811="魅力",E811&lt;0),E811,0))))</x:f>
        <x:v>0</x:v>
      </x:c>
      <x:c r="BU811">
        <x:f>MAX(0,MIN(BK811,IF(AND(H811=1,C811="重要关系5",LEFT('幕间与结算'!H718,8)="建立新的重要关系"),'幕间与结算'!E718+E811,BU810+IF(C811="重要关系5",E811,0)+IF(AND(C811="魅力",E811&lt;0),E811,0))))</x:f>
        <x:v>0</x:v>
      </x:c>
      <x:c r="BV811">
        <x:f>MAX(0,MIN(BK811,IF(AND(H811=1,C811="重要关系6",LEFT('幕间与结算'!H718,8)="建立新的重要关系"),'幕间与结算'!E718+E811,BV810+IF(C811="重要关系6",E811,0)+IF(AND(C811="魅力",E811&lt;0),E811,0))))</x:f>
        <x:v>0</x:v>
      </x:c>
      <x:c r="BW811">
        <x:f>MAX(0,MIN(BK811,IF(AND(H811=1,C811="重要关系7",LEFT('幕间与结算'!H718,8)="建立新的重要关系"),'幕间与结算'!E718+E811,BW810+IF(C811="重要关系7",E811,0)+IF(AND(C811="魅力",E811&lt;0),E811,0))))</x:f>
        <x:v>0</x:v>
      </x:c>
    </x:row>
    <x:row r="812">
      <x:c r="A812" t="str">
        <x:f>IFERROR(TEXT(VALUE('幕间与结算'!A719),"00"),"")</x:f>
        <x:v>00</x:v>
      </x:c>
      <x:c r="B812">
        <x:f>'幕间与结算'!B719</x:f>
        <x:v>0</x:v>
      </x:c>
      <x:c r="C812">
        <x:f>'幕间与结算'!D719</x:f>
        <x:v>0</x:v>
      </x:c>
      <x:c r="D812">
        <x:f>'幕间与结算'!F719</x:f>
        <x:v>0</x:v>
      </x:c>
      <x:c r="E812">
        <x:f>IF(H812=1,MAX(-'幕间与结算'!E719,MIN(D812,IF(LEFT(C812,3)="技能：",99,IF(COUNTIF($L$2:$L$7,C812)&gt;0,18,999))-'幕间与结算'!E719)),0)</x:f>
        <x:v>0</x:v>
      </x:c>
      <x:c r="F812" t="str">
        <x:f>IF(C812=0,"",IF(G812=0,"记录不完整",IF(H812=0,"重复未计","已计入")))</x:f>
        <x:v/>
      </x:c>
      <x:c r="G812">
        <x:f>IF(AND(AND('幕间与结算'!A719&lt;&gt;"",'幕间与结算'!B719&lt;&gt;"",'幕间与结算'!I719&lt;&gt;"",OR(LEFT(C812,3)="技能：",COUNTIF($L$2:$L$19,C812)&gt;0),ISNUMBER('幕间与结算'!E719),ISNUMBER('幕间与结算'!F719),ISNUMBER('幕间与结算'!G719),'幕间与结算'!E719&gt;=0,'幕间与结算'!G719='幕间与结算'!E719+'幕间与结算'!F719),OR(B812&lt;&gt;"成长",AND(LEFT(C812,3)="技能：",C812&lt;&gt;"技能：非自然知识",'幕间与结算'!E719&gt;=1,'幕间与结算'!E719&lt;=99,'幕间与结算'!F719&gt;=0,'幕间与结算'!F719&lt;=4,'幕间与结算'!G719&lt;=99))),1,0)</x:f>
        <x:v>0</x:v>
      </x:c>
      <x:c r="H812">
        <x:f>IF(AND(G812=1,COUNTIFS($I$200:I812,I812,$G$200:G812,1)=1),1,0)</x:f>
        <x:v>0</x:v>
      </x:c>
      <x:c r="I812" t="str">
        <x:f>IF(G812=1,IF(B812="成长",A812&amp;"-成长-"&amp;C812,'幕间与结算'!I719),"")</x:f>
        <x:v/>
      </x:c>
      <x:c r="BF812">
        <x:f>MAX(0,MIN(18,BF811+IF(C812="力量",E812,0)))</x:f>
        <x:v>0</x:v>
      </x:c>
      <x:c r="BG812">
        <x:f>MAX(0,MIN(18,BG811+IF(C812="体质",E812,0)))</x:f>
        <x:v>0</x:v>
      </x:c>
      <x:c r="BH812">
        <x:f>MAX(0,MIN(18,BH811+IF(C812="敏捷",E812,0)))</x:f>
        <x:v>0</x:v>
      </x:c>
      <x:c r="BI812">
        <x:f>MAX(0,MIN(18,BI811+IF(C812="智力",E812,0)))</x:f>
        <x:v>0</x:v>
      </x:c>
      <x:c r="BJ812">
        <x:f>MAX(0,MIN(18,BJ811+IF(C812="意志",E812,0)))</x:f>
        <x:v>0</x:v>
      </x:c>
      <x:c r="BK812">
        <x:f>MAX(0,MIN(18,BK811+IF(C812="魅力",E812,0)))</x:f>
        <x:v>0</x:v>
      </x:c>
      <x:c r="BL812">
        <x:f>MAX(0,MIN(99,BL811+IF(C812="技能：非自然知识",E812,0)))</x:f>
        <x:v>0</x:v>
      </x:c>
      <x:c r="BM812">
        <x:f>MAX(0,MIN(CEILING((BF812+BG812)/2,1),BM811+IF(C812="体力",E812,0)))</x:f>
        <x:v>0</x:v>
      </x:c>
      <x:c r="BN812">
        <x:f>MAX(0,MIN(BJ812,BN811+IF(C812="毅力",E812,0)))</x:f>
        <x:v>0</x:v>
      </x:c>
      <x:c r="BO812">
        <x:f>MAX(0,MIN(99-BL812,BO811+IF(C812="理智",E812,0)))</x:f>
        <x:v>0</x:v>
      </x:c>
      <x:c r="BP812">
        <x:f>MAX(0,MIN(99,BP811+IF(C812="崩溃点",E812,0)))</x:f>
        <x:v>0</x:v>
      </x:c>
      <x:c r="BQ812">
        <x:f>MAX(0,MIN(BK812,IF(AND(H812=1,C812="重要关系1",LEFT('幕间与结算'!H719,8)="建立新的重要关系"),'幕间与结算'!E719+E812,BQ811+IF(C812="重要关系1",E812,0)+IF(AND(C812="魅力",E812&lt;0),E812,0))))</x:f>
        <x:v>0</x:v>
      </x:c>
      <x:c r="BR812">
        <x:f>MAX(0,MIN(BK812,IF(AND(H812=1,C812="重要关系2",LEFT('幕间与结算'!H719,8)="建立新的重要关系"),'幕间与结算'!E719+E812,BR811+IF(C812="重要关系2",E812,0)+IF(AND(C812="魅力",E812&lt;0),E812,0))))</x:f>
        <x:v>0</x:v>
      </x:c>
      <x:c r="BS812">
        <x:f>MAX(0,MIN(BK812,IF(AND(H812=1,C812="重要关系3",LEFT('幕间与结算'!H719,8)="建立新的重要关系"),'幕间与结算'!E719+E812,BS811+IF(C812="重要关系3",E812,0)+IF(AND(C812="魅力",E812&lt;0),E812,0))))</x:f>
        <x:v>0</x:v>
      </x:c>
      <x:c r="BT812">
        <x:f>MAX(0,MIN(BK812,IF(AND(H812=1,C812="重要关系4",LEFT('幕间与结算'!H719,8)="建立新的重要关系"),'幕间与结算'!E719+E812,BT811+IF(C812="重要关系4",E812,0)+IF(AND(C812="魅力",E812&lt;0),E812,0))))</x:f>
        <x:v>0</x:v>
      </x:c>
      <x:c r="BU812">
        <x:f>MAX(0,MIN(BK812,IF(AND(H812=1,C812="重要关系5",LEFT('幕间与结算'!H719,8)="建立新的重要关系"),'幕间与结算'!E719+E812,BU811+IF(C812="重要关系5",E812,0)+IF(AND(C812="魅力",E812&lt;0),E812,0))))</x:f>
        <x:v>0</x:v>
      </x:c>
      <x:c r="BV812">
        <x:f>MAX(0,MIN(BK812,IF(AND(H812=1,C812="重要关系6",LEFT('幕间与结算'!H719,8)="建立新的重要关系"),'幕间与结算'!E719+E812,BV811+IF(C812="重要关系6",E812,0)+IF(AND(C812="魅力",E812&lt;0),E812,0))))</x:f>
        <x:v>0</x:v>
      </x:c>
      <x:c r="BW812">
        <x:f>MAX(0,MIN(BK812,IF(AND(H812=1,C812="重要关系7",LEFT('幕间与结算'!H719,8)="建立新的重要关系"),'幕间与结算'!E719+E812,BW811+IF(C812="重要关系7",E812,0)+IF(AND(C812="魅力",E812&lt;0),E812,0))))</x:f>
        <x:v>0</x:v>
      </x:c>
    </x:row>
    <x:row r="813">
      <x:c r="A813" t="str">
        <x:f>IFERROR(TEXT(VALUE('幕间与结算'!A720),"00"),"")</x:f>
        <x:v>00</x:v>
      </x:c>
      <x:c r="B813">
        <x:f>'幕间与结算'!B720</x:f>
        <x:v>0</x:v>
      </x:c>
      <x:c r="C813">
        <x:f>'幕间与结算'!D720</x:f>
        <x:v>0</x:v>
      </x:c>
      <x:c r="D813">
        <x:f>'幕间与结算'!F720</x:f>
        <x:v>0</x:v>
      </x:c>
      <x:c r="E813">
        <x:f>IF(H813=1,MAX(-'幕间与结算'!E720,MIN(D813,IF(LEFT(C813,3)="技能：",99,IF(COUNTIF($L$2:$L$7,C813)&gt;0,18,999))-'幕间与结算'!E720)),0)</x:f>
        <x:v>0</x:v>
      </x:c>
      <x:c r="F813" t="str">
        <x:f>IF(C813=0,"",IF(G813=0,"记录不完整",IF(H813=0,"重复未计","已计入")))</x:f>
        <x:v/>
      </x:c>
      <x:c r="G813">
        <x:f>IF(AND(AND('幕间与结算'!A720&lt;&gt;"",'幕间与结算'!B720&lt;&gt;"",'幕间与结算'!I720&lt;&gt;"",OR(LEFT(C813,3)="技能：",COUNTIF($L$2:$L$19,C813)&gt;0),ISNUMBER('幕间与结算'!E720),ISNUMBER('幕间与结算'!F720),ISNUMBER('幕间与结算'!G720),'幕间与结算'!E720&gt;=0,'幕间与结算'!G720='幕间与结算'!E720+'幕间与结算'!F720),OR(B813&lt;&gt;"成长",AND(LEFT(C813,3)="技能：",C813&lt;&gt;"技能：非自然知识",'幕间与结算'!E720&gt;=1,'幕间与结算'!E720&lt;=99,'幕间与结算'!F720&gt;=0,'幕间与结算'!F720&lt;=4,'幕间与结算'!G720&lt;=99))),1,0)</x:f>
        <x:v>0</x:v>
      </x:c>
      <x:c r="H813">
        <x:f>IF(AND(G813=1,COUNTIFS($I$200:I813,I813,$G$200:G813,1)=1),1,0)</x:f>
        <x:v>0</x:v>
      </x:c>
      <x:c r="I813" t="str">
        <x:f>IF(G813=1,IF(B813="成长",A813&amp;"-成长-"&amp;C813,'幕间与结算'!I720),"")</x:f>
        <x:v/>
      </x:c>
      <x:c r="BF813">
        <x:f>MAX(0,MIN(18,BF812+IF(C813="力量",E813,0)))</x:f>
        <x:v>0</x:v>
      </x:c>
      <x:c r="BG813">
        <x:f>MAX(0,MIN(18,BG812+IF(C813="体质",E813,0)))</x:f>
        <x:v>0</x:v>
      </x:c>
      <x:c r="BH813">
        <x:f>MAX(0,MIN(18,BH812+IF(C813="敏捷",E813,0)))</x:f>
        <x:v>0</x:v>
      </x:c>
      <x:c r="BI813">
        <x:f>MAX(0,MIN(18,BI812+IF(C813="智力",E813,0)))</x:f>
        <x:v>0</x:v>
      </x:c>
      <x:c r="BJ813">
        <x:f>MAX(0,MIN(18,BJ812+IF(C813="意志",E813,0)))</x:f>
        <x:v>0</x:v>
      </x:c>
      <x:c r="BK813">
        <x:f>MAX(0,MIN(18,BK812+IF(C813="魅力",E813,0)))</x:f>
        <x:v>0</x:v>
      </x:c>
      <x:c r="BL813">
        <x:f>MAX(0,MIN(99,BL812+IF(C813="技能：非自然知识",E813,0)))</x:f>
        <x:v>0</x:v>
      </x:c>
      <x:c r="BM813">
        <x:f>MAX(0,MIN(CEILING((BF813+BG813)/2,1),BM812+IF(C813="体力",E813,0)))</x:f>
        <x:v>0</x:v>
      </x:c>
      <x:c r="BN813">
        <x:f>MAX(0,MIN(BJ813,BN812+IF(C813="毅力",E813,0)))</x:f>
        <x:v>0</x:v>
      </x:c>
      <x:c r="BO813">
        <x:f>MAX(0,MIN(99-BL813,BO812+IF(C813="理智",E813,0)))</x:f>
        <x:v>0</x:v>
      </x:c>
      <x:c r="BP813">
        <x:f>MAX(0,MIN(99,BP812+IF(C813="崩溃点",E813,0)))</x:f>
        <x:v>0</x:v>
      </x:c>
      <x:c r="BQ813">
        <x:f>MAX(0,MIN(BK813,IF(AND(H813=1,C813="重要关系1",LEFT('幕间与结算'!H720,8)="建立新的重要关系"),'幕间与结算'!E720+E813,BQ812+IF(C813="重要关系1",E813,0)+IF(AND(C813="魅力",E813&lt;0),E813,0))))</x:f>
        <x:v>0</x:v>
      </x:c>
      <x:c r="BR813">
        <x:f>MAX(0,MIN(BK813,IF(AND(H813=1,C813="重要关系2",LEFT('幕间与结算'!H720,8)="建立新的重要关系"),'幕间与结算'!E720+E813,BR812+IF(C813="重要关系2",E813,0)+IF(AND(C813="魅力",E813&lt;0),E813,0))))</x:f>
        <x:v>0</x:v>
      </x:c>
      <x:c r="BS813">
        <x:f>MAX(0,MIN(BK813,IF(AND(H813=1,C813="重要关系3",LEFT('幕间与结算'!H720,8)="建立新的重要关系"),'幕间与结算'!E720+E813,BS812+IF(C813="重要关系3",E813,0)+IF(AND(C813="魅力",E813&lt;0),E813,0))))</x:f>
        <x:v>0</x:v>
      </x:c>
      <x:c r="BT813">
        <x:f>MAX(0,MIN(BK813,IF(AND(H813=1,C813="重要关系4",LEFT('幕间与结算'!H720,8)="建立新的重要关系"),'幕间与结算'!E720+E813,BT812+IF(C813="重要关系4",E813,0)+IF(AND(C813="魅力",E813&lt;0),E813,0))))</x:f>
        <x:v>0</x:v>
      </x:c>
      <x:c r="BU813">
        <x:f>MAX(0,MIN(BK813,IF(AND(H813=1,C813="重要关系5",LEFT('幕间与结算'!H720,8)="建立新的重要关系"),'幕间与结算'!E720+E813,BU812+IF(C813="重要关系5",E813,0)+IF(AND(C813="魅力",E813&lt;0),E813,0))))</x:f>
        <x:v>0</x:v>
      </x:c>
      <x:c r="BV813">
        <x:f>MAX(0,MIN(BK813,IF(AND(H813=1,C813="重要关系6",LEFT('幕间与结算'!H720,8)="建立新的重要关系"),'幕间与结算'!E720+E813,BV812+IF(C813="重要关系6",E813,0)+IF(AND(C813="魅力",E813&lt;0),E813,0))))</x:f>
        <x:v>0</x:v>
      </x:c>
      <x:c r="BW813">
        <x:f>MAX(0,MIN(BK813,IF(AND(H813=1,C813="重要关系7",LEFT('幕间与结算'!H720,8)="建立新的重要关系"),'幕间与结算'!E720+E813,BW812+IF(C813="重要关系7",E813,0)+IF(AND(C813="魅力",E813&lt;0),E813,0))))</x:f>
        <x:v>0</x:v>
      </x:c>
    </x:row>
    <x:row r="814">
      <x:c r="A814" t="str">
        <x:f>IFERROR(TEXT(VALUE('幕间与结算'!A721),"00"),"")</x:f>
        <x:v>00</x:v>
      </x:c>
      <x:c r="B814">
        <x:f>'幕间与结算'!B721</x:f>
        <x:v>0</x:v>
      </x:c>
      <x:c r="C814">
        <x:f>'幕间与结算'!D721</x:f>
        <x:v>0</x:v>
      </x:c>
      <x:c r="D814">
        <x:f>'幕间与结算'!F721</x:f>
        <x:v>0</x:v>
      </x:c>
      <x:c r="E814">
        <x:f>IF(H814=1,MAX(-'幕间与结算'!E721,MIN(D814,IF(LEFT(C814,3)="技能：",99,IF(COUNTIF($L$2:$L$7,C814)&gt;0,18,999))-'幕间与结算'!E721)),0)</x:f>
        <x:v>0</x:v>
      </x:c>
      <x:c r="F814" t="str">
        <x:f>IF(C814=0,"",IF(G814=0,"记录不完整",IF(H814=0,"重复未计","已计入")))</x:f>
        <x:v/>
      </x:c>
      <x:c r="G814">
        <x:f>IF(AND(AND('幕间与结算'!A721&lt;&gt;"",'幕间与结算'!B721&lt;&gt;"",'幕间与结算'!I721&lt;&gt;"",OR(LEFT(C814,3)="技能：",COUNTIF($L$2:$L$19,C814)&gt;0),ISNUMBER('幕间与结算'!E721),ISNUMBER('幕间与结算'!F721),ISNUMBER('幕间与结算'!G721),'幕间与结算'!E721&gt;=0,'幕间与结算'!G721='幕间与结算'!E721+'幕间与结算'!F721),OR(B814&lt;&gt;"成长",AND(LEFT(C814,3)="技能：",C814&lt;&gt;"技能：非自然知识",'幕间与结算'!E721&gt;=1,'幕间与结算'!E721&lt;=99,'幕间与结算'!F721&gt;=0,'幕间与结算'!F721&lt;=4,'幕间与结算'!G721&lt;=99))),1,0)</x:f>
        <x:v>0</x:v>
      </x:c>
      <x:c r="H814">
        <x:f>IF(AND(G814=1,COUNTIFS($I$200:I814,I814,$G$200:G814,1)=1),1,0)</x:f>
        <x:v>0</x:v>
      </x:c>
      <x:c r="I814" t="str">
        <x:f>IF(G814=1,IF(B814="成长",A814&amp;"-成长-"&amp;C814,'幕间与结算'!I721),"")</x:f>
        <x:v/>
      </x:c>
      <x:c r="BF814">
        <x:f>MAX(0,MIN(18,BF813+IF(C814="力量",E814,0)))</x:f>
        <x:v>0</x:v>
      </x:c>
      <x:c r="BG814">
        <x:f>MAX(0,MIN(18,BG813+IF(C814="体质",E814,0)))</x:f>
        <x:v>0</x:v>
      </x:c>
      <x:c r="BH814">
        <x:f>MAX(0,MIN(18,BH813+IF(C814="敏捷",E814,0)))</x:f>
        <x:v>0</x:v>
      </x:c>
      <x:c r="BI814">
        <x:f>MAX(0,MIN(18,BI813+IF(C814="智力",E814,0)))</x:f>
        <x:v>0</x:v>
      </x:c>
      <x:c r="BJ814">
        <x:f>MAX(0,MIN(18,BJ813+IF(C814="意志",E814,0)))</x:f>
        <x:v>0</x:v>
      </x:c>
      <x:c r="BK814">
        <x:f>MAX(0,MIN(18,BK813+IF(C814="魅力",E814,0)))</x:f>
        <x:v>0</x:v>
      </x:c>
      <x:c r="BL814">
        <x:f>MAX(0,MIN(99,BL813+IF(C814="技能：非自然知识",E814,0)))</x:f>
        <x:v>0</x:v>
      </x:c>
      <x:c r="BM814">
        <x:f>MAX(0,MIN(CEILING((BF814+BG814)/2,1),BM813+IF(C814="体力",E814,0)))</x:f>
        <x:v>0</x:v>
      </x:c>
      <x:c r="BN814">
        <x:f>MAX(0,MIN(BJ814,BN813+IF(C814="毅力",E814,0)))</x:f>
        <x:v>0</x:v>
      </x:c>
      <x:c r="BO814">
        <x:f>MAX(0,MIN(99-BL814,BO813+IF(C814="理智",E814,0)))</x:f>
        <x:v>0</x:v>
      </x:c>
      <x:c r="BP814">
        <x:f>MAX(0,MIN(99,BP813+IF(C814="崩溃点",E814,0)))</x:f>
        <x:v>0</x:v>
      </x:c>
      <x:c r="BQ814">
        <x:f>MAX(0,MIN(BK814,IF(AND(H814=1,C814="重要关系1",LEFT('幕间与结算'!H721,8)="建立新的重要关系"),'幕间与结算'!E721+E814,BQ813+IF(C814="重要关系1",E814,0)+IF(AND(C814="魅力",E814&lt;0),E814,0))))</x:f>
        <x:v>0</x:v>
      </x:c>
      <x:c r="BR814">
        <x:f>MAX(0,MIN(BK814,IF(AND(H814=1,C814="重要关系2",LEFT('幕间与结算'!H721,8)="建立新的重要关系"),'幕间与结算'!E721+E814,BR813+IF(C814="重要关系2",E814,0)+IF(AND(C814="魅力",E814&lt;0),E814,0))))</x:f>
        <x:v>0</x:v>
      </x:c>
      <x:c r="BS814">
        <x:f>MAX(0,MIN(BK814,IF(AND(H814=1,C814="重要关系3",LEFT('幕间与结算'!H721,8)="建立新的重要关系"),'幕间与结算'!E721+E814,BS813+IF(C814="重要关系3",E814,0)+IF(AND(C814="魅力",E814&lt;0),E814,0))))</x:f>
        <x:v>0</x:v>
      </x:c>
      <x:c r="BT814">
        <x:f>MAX(0,MIN(BK814,IF(AND(H814=1,C814="重要关系4",LEFT('幕间与结算'!H721,8)="建立新的重要关系"),'幕间与结算'!E721+E814,BT813+IF(C814="重要关系4",E814,0)+IF(AND(C814="魅力",E814&lt;0),E814,0))))</x:f>
        <x:v>0</x:v>
      </x:c>
      <x:c r="BU814">
        <x:f>MAX(0,MIN(BK814,IF(AND(H814=1,C814="重要关系5",LEFT('幕间与结算'!H721,8)="建立新的重要关系"),'幕间与结算'!E721+E814,BU813+IF(C814="重要关系5",E814,0)+IF(AND(C814="魅力",E814&lt;0),E814,0))))</x:f>
        <x:v>0</x:v>
      </x:c>
      <x:c r="BV814">
        <x:f>MAX(0,MIN(BK814,IF(AND(H814=1,C814="重要关系6",LEFT('幕间与结算'!H721,8)="建立新的重要关系"),'幕间与结算'!E721+E814,BV813+IF(C814="重要关系6",E814,0)+IF(AND(C814="魅力",E814&lt;0),E814,0))))</x:f>
        <x:v>0</x:v>
      </x:c>
      <x:c r="BW814">
        <x:f>MAX(0,MIN(BK814,IF(AND(H814=1,C814="重要关系7",LEFT('幕间与结算'!H721,8)="建立新的重要关系"),'幕间与结算'!E721+E814,BW813+IF(C814="重要关系7",E814,0)+IF(AND(C814="魅力",E814&lt;0),E814,0))))</x:f>
        <x:v>0</x:v>
      </x:c>
    </x:row>
    <x:row r="815">
      <x:c r="A815" t="str">
        <x:f>IFERROR(TEXT(VALUE('幕间与结算'!A722),"00"),"")</x:f>
        <x:v>00</x:v>
      </x:c>
      <x:c r="B815">
        <x:f>'幕间与结算'!B722</x:f>
        <x:v>0</x:v>
      </x:c>
      <x:c r="C815">
        <x:f>'幕间与结算'!D722</x:f>
        <x:v>0</x:v>
      </x:c>
      <x:c r="D815">
        <x:f>'幕间与结算'!F722</x:f>
        <x:v>0</x:v>
      </x:c>
      <x:c r="E815">
        <x:f>IF(H815=1,MAX(-'幕间与结算'!E722,MIN(D815,IF(LEFT(C815,3)="技能：",99,IF(COUNTIF($L$2:$L$7,C815)&gt;0,18,999))-'幕间与结算'!E722)),0)</x:f>
        <x:v>0</x:v>
      </x:c>
      <x:c r="F815" t="str">
        <x:f>IF(C815=0,"",IF(G815=0,"记录不完整",IF(H815=0,"重复未计","已计入")))</x:f>
        <x:v/>
      </x:c>
      <x:c r="G815">
        <x:f>IF(AND(AND('幕间与结算'!A722&lt;&gt;"",'幕间与结算'!B722&lt;&gt;"",'幕间与结算'!I722&lt;&gt;"",OR(LEFT(C815,3)="技能：",COUNTIF($L$2:$L$19,C815)&gt;0),ISNUMBER('幕间与结算'!E722),ISNUMBER('幕间与结算'!F722),ISNUMBER('幕间与结算'!G722),'幕间与结算'!E722&gt;=0,'幕间与结算'!G722='幕间与结算'!E722+'幕间与结算'!F722),OR(B815&lt;&gt;"成长",AND(LEFT(C815,3)="技能：",C815&lt;&gt;"技能：非自然知识",'幕间与结算'!E722&gt;=1,'幕间与结算'!E722&lt;=99,'幕间与结算'!F722&gt;=0,'幕间与结算'!F722&lt;=4,'幕间与结算'!G722&lt;=99))),1,0)</x:f>
        <x:v>0</x:v>
      </x:c>
      <x:c r="H815">
        <x:f>IF(AND(G815=1,COUNTIFS($I$200:I815,I815,$G$200:G815,1)=1),1,0)</x:f>
        <x:v>0</x:v>
      </x:c>
      <x:c r="I815" t="str">
        <x:f>IF(G815=1,IF(B815="成长",A815&amp;"-成长-"&amp;C815,'幕间与结算'!I722),"")</x:f>
        <x:v/>
      </x:c>
      <x:c r="BF815">
        <x:f>MAX(0,MIN(18,BF814+IF(C815="力量",E815,0)))</x:f>
        <x:v>0</x:v>
      </x:c>
      <x:c r="BG815">
        <x:f>MAX(0,MIN(18,BG814+IF(C815="体质",E815,0)))</x:f>
        <x:v>0</x:v>
      </x:c>
      <x:c r="BH815">
        <x:f>MAX(0,MIN(18,BH814+IF(C815="敏捷",E815,0)))</x:f>
        <x:v>0</x:v>
      </x:c>
      <x:c r="BI815">
        <x:f>MAX(0,MIN(18,BI814+IF(C815="智力",E815,0)))</x:f>
        <x:v>0</x:v>
      </x:c>
      <x:c r="BJ815">
        <x:f>MAX(0,MIN(18,BJ814+IF(C815="意志",E815,0)))</x:f>
        <x:v>0</x:v>
      </x:c>
      <x:c r="BK815">
        <x:f>MAX(0,MIN(18,BK814+IF(C815="魅力",E815,0)))</x:f>
        <x:v>0</x:v>
      </x:c>
      <x:c r="BL815">
        <x:f>MAX(0,MIN(99,BL814+IF(C815="技能：非自然知识",E815,0)))</x:f>
        <x:v>0</x:v>
      </x:c>
      <x:c r="BM815">
        <x:f>MAX(0,MIN(CEILING((BF815+BG815)/2,1),BM814+IF(C815="体力",E815,0)))</x:f>
        <x:v>0</x:v>
      </x:c>
      <x:c r="BN815">
        <x:f>MAX(0,MIN(BJ815,BN814+IF(C815="毅力",E815,0)))</x:f>
        <x:v>0</x:v>
      </x:c>
      <x:c r="BO815">
        <x:f>MAX(0,MIN(99-BL815,BO814+IF(C815="理智",E815,0)))</x:f>
        <x:v>0</x:v>
      </x:c>
      <x:c r="BP815">
        <x:f>MAX(0,MIN(99,BP814+IF(C815="崩溃点",E815,0)))</x:f>
        <x:v>0</x:v>
      </x:c>
      <x:c r="BQ815">
        <x:f>MAX(0,MIN(BK815,IF(AND(H815=1,C815="重要关系1",LEFT('幕间与结算'!H722,8)="建立新的重要关系"),'幕间与结算'!E722+E815,BQ814+IF(C815="重要关系1",E815,0)+IF(AND(C815="魅力",E815&lt;0),E815,0))))</x:f>
        <x:v>0</x:v>
      </x:c>
      <x:c r="BR815">
        <x:f>MAX(0,MIN(BK815,IF(AND(H815=1,C815="重要关系2",LEFT('幕间与结算'!H722,8)="建立新的重要关系"),'幕间与结算'!E722+E815,BR814+IF(C815="重要关系2",E815,0)+IF(AND(C815="魅力",E815&lt;0),E815,0))))</x:f>
        <x:v>0</x:v>
      </x:c>
      <x:c r="BS815">
        <x:f>MAX(0,MIN(BK815,IF(AND(H815=1,C815="重要关系3",LEFT('幕间与结算'!H722,8)="建立新的重要关系"),'幕间与结算'!E722+E815,BS814+IF(C815="重要关系3",E815,0)+IF(AND(C815="魅力",E815&lt;0),E815,0))))</x:f>
        <x:v>0</x:v>
      </x:c>
      <x:c r="BT815">
        <x:f>MAX(0,MIN(BK815,IF(AND(H815=1,C815="重要关系4",LEFT('幕间与结算'!H722,8)="建立新的重要关系"),'幕间与结算'!E722+E815,BT814+IF(C815="重要关系4",E815,0)+IF(AND(C815="魅力",E815&lt;0),E815,0))))</x:f>
        <x:v>0</x:v>
      </x:c>
      <x:c r="BU815">
        <x:f>MAX(0,MIN(BK815,IF(AND(H815=1,C815="重要关系5",LEFT('幕间与结算'!H722,8)="建立新的重要关系"),'幕间与结算'!E722+E815,BU814+IF(C815="重要关系5",E815,0)+IF(AND(C815="魅力",E815&lt;0),E815,0))))</x:f>
        <x:v>0</x:v>
      </x:c>
      <x:c r="BV815">
        <x:f>MAX(0,MIN(BK815,IF(AND(H815=1,C815="重要关系6",LEFT('幕间与结算'!H722,8)="建立新的重要关系"),'幕间与结算'!E722+E815,BV814+IF(C815="重要关系6",E815,0)+IF(AND(C815="魅力",E815&lt;0),E815,0))))</x:f>
        <x:v>0</x:v>
      </x:c>
      <x:c r="BW815">
        <x:f>MAX(0,MIN(BK815,IF(AND(H815=1,C815="重要关系7",LEFT('幕间与结算'!H722,8)="建立新的重要关系"),'幕间与结算'!E722+E815,BW814+IF(C815="重要关系7",E815,0)+IF(AND(C815="魅力",E815&lt;0),E815,0))))</x:f>
        <x:v>0</x:v>
      </x:c>
    </x:row>
    <x:row r="816">
      <x:c r="A816" t="str">
        <x:f>IFERROR(TEXT(VALUE('幕间与结算'!A723),"00"),"")</x:f>
        <x:v>00</x:v>
      </x:c>
      <x:c r="B816">
        <x:f>'幕间与结算'!B723</x:f>
        <x:v>0</x:v>
      </x:c>
      <x:c r="C816">
        <x:f>'幕间与结算'!D723</x:f>
        <x:v>0</x:v>
      </x:c>
      <x:c r="D816">
        <x:f>'幕间与结算'!F723</x:f>
        <x:v>0</x:v>
      </x:c>
      <x:c r="E816">
        <x:f>IF(H816=1,MAX(-'幕间与结算'!E723,MIN(D816,IF(LEFT(C816,3)="技能：",99,IF(COUNTIF($L$2:$L$7,C816)&gt;0,18,999))-'幕间与结算'!E723)),0)</x:f>
        <x:v>0</x:v>
      </x:c>
      <x:c r="F816" t="str">
        <x:f>IF(C816=0,"",IF(G816=0,"记录不完整",IF(H816=0,"重复未计","已计入")))</x:f>
        <x:v/>
      </x:c>
      <x:c r="G816">
        <x:f>IF(AND(AND('幕间与结算'!A723&lt;&gt;"",'幕间与结算'!B723&lt;&gt;"",'幕间与结算'!I723&lt;&gt;"",OR(LEFT(C816,3)="技能：",COUNTIF($L$2:$L$19,C816)&gt;0),ISNUMBER('幕间与结算'!E723),ISNUMBER('幕间与结算'!F723),ISNUMBER('幕间与结算'!G723),'幕间与结算'!E723&gt;=0,'幕间与结算'!G723='幕间与结算'!E723+'幕间与结算'!F723),OR(B816&lt;&gt;"成长",AND(LEFT(C816,3)="技能：",C816&lt;&gt;"技能：非自然知识",'幕间与结算'!E723&gt;=1,'幕间与结算'!E723&lt;=99,'幕间与结算'!F723&gt;=0,'幕间与结算'!F723&lt;=4,'幕间与结算'!G723&lt;=99))),1,0)</x:f>
        <x:v>0</x:v>
      </x:c>
      <x:c r="H816">
        <x:f>IF(AND(G816=1,COUNTIFS($I$200:I816,I816,$G$200:G816,1)=1),1,0)</x:f>
        <x:v>0</x:v>
      </x:c>
      <x:c r="I816" t="str">
        <x:f>IF(G816=1,IF(B816="成长",A816&amp;"-成长-"&amp;C816,'幕间与结算'!I723),"")</x:f>
        <x:v/>
      </x:c>
      <x:c r="BF816">
        <x:f>MAX(0,MIN(18,BF815+IF(C816="力量",E816,0)))</x:f>
        <x:v>0</x:v>
      </x:c>
      <x:c r="BG816">
        <x:f>MAX(0,MIN(18,BG815+IF(C816="体质",E816,0)))</x:f>
        <x:v>0</x:v>
      </x:c>
      <x:c r="BH816">
        <x:f>MAX(0,MIN(18,BH815+IF(C816="敏捷",E816,0)))</x:f>
        <x:v>0</x:v>
      </x:c>
      <x:c r="BI816">
        <x:f>MAX(0,MIN(18,BI815+IF(C816="智力",E816,0)))</x:f>
        <x:v>0</x:v>
      </x:c>
      <x:c r="BJ816">
        <x:f>MAX(0,MIN(18,BJ815+IF(C816="意志",E816,0)))</x:f>
        <x:v>0</x:v>
      </x:c>
      <x:c r="BK816">
        <x:f>MAX(0,MIN(18,BK815+IF(C816="魅力",E816,0)))</x:f>
        <x:v>0</x:v>
      </x:c>
      <x:c r="BL816">
        <x:f>MAX(0,MIN(99,BL815+IF(C816="技能：非自然知识",E816,0)))</x:f>
        <x:v>0</x:v>
      </x:c>
      <x:c r="BM816">
        <x:f>MAX(0,MIN(CEILING((BF816+BG816)/2,1),BM815+IF(C816="体力",E816,0)))</x:f>
        <x:v>0</x:v>
      </x:c>
      <x:c r="BN816">
        <x:f>MAX(0,MIN(BJ816,BN815+IF(C816="毅力",E816,0)))</x:f>
        <x:v>0</x:v>
      </x:c>
      <x:c r="BO816">
        <x:f>MAX(0,MIN(99-BL816,BO815+IF(C816="理智",E816,0)))</x:f>
        <x:v>0</x:v>
      </x:c>
      <x:c r="BP816">
        <x:f>MAX(0,MIN(99,BP815+IF(C816="崩溃点",E816,0)))</x:f>
        <x:v>0</x:v>
      </x:c>
      <x:c r="BQ816">
        <x:f>MAX(0,MIN(BK816,IF(AND(H816=1,C816="重要关系1",LEFT('幕间与结算'!H723,8)="建立新的重要关系"),'幕间与结算'!E723+E816,BQ815+IF(C816="重要关系1",E816,0)+IF(AND(C816="魅力",E816&lt;0),E816,0))))</x:f>
        <x:v>0</x:v>
      </x:c>
      <x:c r="BR816">
        <x:f>MAX(0,MIN(BK816,IF(AND(H816=1,C816="重要关系2",LEFT('幕间与结算'!H723,8)="建立新的重要关系"),'幕间与结算'!E723+E816,BR815+IF(C816="重要关系2",E816,0)+IF(AND(C816="魅力",E816&lt;0),E816,0))))</x:f>
        <x:v>0</x:v>
      </x:c>
      <x:c r="BS816">
        <x:f>MAX(0,MIN(BK816,IF(AND(H816=1,C816="重要关系3",LEFT('幕间与结算'!H723,8)="建立新的重要关系"),'幕间与结算'!E723+E816,BS815+IF(C816="重要关系3",E816,0)+IF(AND(C816="魅力",E816&lt;0),E816,0))))</x:f>
        <x:v>0</x:v>
      </x:c>
      <x:c r="BT816">
        <x:f>MAX(0,MIN(BK816,IF(AND(H816=1,C816="重要关系4",LEFT('幕间与结算'!H723,8)="建立新的重要关系"),'幕间与结算'!E723+E816,BT815+IF(C816="重要关系4",E816,0)+IF(AND(C816="魅力",E816&lt;0),E816,0))))</x:f>
        <x:v>0</x:v>
      </x:c>
      <x:c r="BU816">
        <x:f>MAX(0,MIN(BK816,IF(AND(H816=1,C816="重要关系5",LEFT('幕间与结算'!H723,8)="建立新的重要关系"),'幕间与结算'!E723+E816,BU815+IF(C816="重要关系5",E816,0)+IF(AND(C816="魅力",E816&lt;0),E816,0))))</x:f>
        <x:v>0</x:v>
      </x:c>
      <x:c r="BV816">
        <x:f>MAX(0,MIN(BK816,IF(AND(H816=1,C816="重要关系6",LEFT('幕间与结算'!H723,8)="建立新的重要关系"),'幕间与结算'!E723+E816,BV815+IF(C816="重要关系6",E816,0)+IF(AND(C816="魅力",E816&lt;0),E816,0))))</x:f>
        <x:v>0</x:v>
      </x:c>
      <x:c r="BW816">
        <x:f>MAX(0,MIN(BK816,IF(AND(H816=1,C816="重要关系7",LEFT('幕间与结算'!H723,8)="建立新的重要关系"),'幕间与结算'!E723+E816,BW815+IF(C816="重要关系7",E816,0)+IF(AND(C816="魅力",E816&lt;0),E816,0))))</x:f>
        <x:v>0</x:v>
      </x:c>
    </x:row>
    <x:row r="817">
      <x:c r="A817" t="str">
        <x:f>IFERROR(TEXT(VALUE('幕间与结算'!A724),"00"),"")</x:f>
        <x:v>00</x:v>
      </x:c>
      <x:c r="B817">
        <x:f>'幕间与结算'!B724</x:f>
        <x:v>0</x:v>
      </x:c>
      <x:c r="C817">
        <x:f>'幕间与结算'!D724</x:f>
        <x:v>0</x:v>
      </x:c>
      <x:c r="D817">
        <x:f>'幕间与结算'!F724</x:f>
        <x:v>0</x:v>
      </x:c>
      <x:c r="E817">
        <x:f>IF(H817=1,MAX(-'幕间与结算'!E724,MIN(D817,IF(LEFT(C817,3)="技能：",99,IF(COUNTIF($L$2:$L$7,C817)&gt;0,18,999))-'幕间与结算'!E724)),0)</x:f>
        <x:v>0</x:v>
      </x:c>
      <x:c r="F817" t="str">
        <x:f>IF(C817=0,"",IF(G817=0,"记录不完整",IF(H817=0,"重复未计","已计入")))</x:f>
        <x:v/>
      </x:c>
      <x:c r="G817">
        <x:f>IF(AND(AND('幕间与结算'!A724&lt;&gt;"",'幕间与结算'!B724&lt;&gt;"",'幕间与结算'!I724&lt;&gt;"",OR(LEFT(C817,3)="技能：",COUNTIF($L$2:$L$19,C817)&gt;0),ISNUMBER('幕间与结算'!E724),ISNUMBER('幕间与结算'!F724),ISNUMBER('幕间与结算'!G724),'幕间与结算'!E724&gt;=0,'幕间与结算'!G724='幕间与结算'!E724+'幕间与结算'!F724),OR(B817&lt;&gt;"成长",AND(LEFT(C817,3)="技能：",C817&lt;&gt;"技能：非自然知识",'幕间与结算'!E724&gt;=1,'幕间与结算'!E724&lt;=99,'幕间与结算'!F724&gt;=0,'幕间与结算'!F724&lt;=4,'幕间与结算'!G724&lt;=99))),1,0)</x:f>
        <x:v>0</x:v>
      </x:c>
      <x:c r="H817">
        <x:f>IF(AND(G817=1,COUNTIFS($I$200:I817,I817,$G$200:G817,1)=1),1,0)</x:f>
        <x:v>0</x:v>
      </x:c>
      <x:c r="I817" t="str">
        <x:f>IF(G817=1,IF(B817="成长",A817&amp;"-成长-"&amp;C817,'幕间与结算'!I724),"")</x:f>
        <x:v/>
      </x:c>
      <x:c r="BF817">
        <x:f>MAX(0,MIN(18,BF816+IF(C817="力量",E817,0)))</x:f>
        <x:v>0</x:v>
      </x:c>
      <x:c r="BG817">
        <x:f>MAX(0,MIN(18,BG816+IF(C817="体质",E817,0)))</x:f>
        <x:v>0</x:v>
      </x:c>
      <x:c r="BH817">
        <x:f>MAX(0,MIN(18,BH816+IF(C817="敏捷",E817,0)))</x:f>
        <x:v>0</x:v>
      </x:c>
      <x:c r="BI817">
        <x:f>MAX(0,MIN(18,BI816+IF(C817="智力",E817,0)))</x:f>
        <x:v>0</x:v>
      </x:c>
      <x:c r="BJ817">
        <x:f>MAX(0,MIN(18,BJ816+IF(C817="意志",E817,0)))</x:f>
        <x:v>0</x:v>
      </x:c>
      <x:c r="BK817">
        <x:f>MAX(0,MIN(18,BK816+IF(C817="魅力",E817,0)))</x:f>
        <x:v>0</x:v>
      </x:c>
      <x:c r="BL817">
        <x:f>MAX(0,MIN(99,BL816+IF(C817="技能：非自然知识",E817,0)))</x:f>
        <x:v>0</x:v>
      </x:c>
      <x:c r="BM817">
        <x:f>MAX(0,MIN(CEILING((BF817+BG817)/2,1),BM816+IF(C817="体力",E817,0)))</x:f>
        <x:v>0</x:v>
      </x:c>
      <x:c r="BN817">
        <x:f>MAX(0,MIN(BJ817,BN816+IF(C817="毅力",E817,0)))</x:f>
        <x:v>0</x:v>
      </x:c>
      <x:c r="BO817">
        <x:f>MAX(0,MIN(99-BL817,BO816+IF(C817="理智",E817,0)))</x:f>
        <x:v>0</x:v>
      </x:c>
      <x:c r="BP817">
        <x:f>MAX(0,MIN(99,BP816+IF(C817="崩溃点",E817,0)))</x:f>
        <x:v>0</x:v>
      </x:c>
      <x:c r="BQ817">
        <x:f>MAX(0,MIN(BK817,IF(AND(H817=1,C817="重要关系1",LEFT('幕间与结算'!H724,8)="建立新的重要关系"),'幕间与结算'!E724+E817,BQ816+IF(C817="重要关系1",E817,0)+IF(AND(C817="魅力",E817&lt;0),E817,0))))</x:f>
        <x:v>0</x:v>
      </x:c>
      <x:c r="BR817">
        <x:f>MAX(0,MIN(BK817,IF(AND(H817=1,C817="重要关系2",LEFT('幕间与结算'!H724,8)="建立新的重要关系"),'幕间与结算'!E724+E817,BR816+IF(C817="重要关系2",E817,0)+IF(AND(C817="魅力",E817&lt;0),E817,0))))</x:f>
        <x:v>0</x:v>
      </x:c>
      <x:c r="BS817">
        <x:f>MAX(0,MIN(BK817,IF(AND(H817=1,C817="重要关系3",LEFT('幕间与结算'!H724,8)="建立新的重要关系"),'幕间与结算'!E724+E817,BS816+IF(C817="重要关系3",E817,0)+IF(AND(C817="魅力",E817&lt;0),E817,0))))</x:f>
        <x:v>0</x:v>
      </x:c>
      <x:c r="BT817">
        <x:f>MAX(0,MIN(BK817,IF(AND(H817=1,C817="重要关系4",LEFT('幕间与结算'!H724,8)="建立新的重要关系"),'幕间与结算'!E724+E817,BT816+IF(C817="重要关系4",E817,0)+IF(AND(C817="魅力",E817&lt;0),E817,0))))</x:f>
        <x:v>0</x:v>
      </x:c>
      <x:c r="BU817">
        <x:f>MAX(0,MIN(BK817,IF(AND(H817=1,C817="重要关系5",LEFT('幕间与结算'!H724,8)="建立新的重要关系"),'幕间与结算'!E724+E817,BU816+IF(C817="重要关系5",E817,0)+IF(AND(C817="魅力",E817&lt;0),E817,0))))</x:f>
        <x:v>0</x:v>
      </x:c>
      <x:c r="BV817">
        <x:f>MAX(0,MIN(BK817,IF(AND(H817=1,C817="重要关系6",LEFT('幕间与结算'!H724,8)="建立新的重要关系"),'幕间与结算'!E724+E817,BV816+IF(C817="重要关系6",E817,0)+IF(AND(C817="魅力",E817&lt;0),E817,0))))</x:f>
        <x:v>0</x:v>
      </x:c>
      <x:c r="BW817">
        <x:f>MAX(0,MIN(BK817,IF(AND(H817=1,C817="重要关系7",LEFT('幕间与结算'!H724,8)="建立新的重要关系"),'幕间与结算'!E724+E817,BW816+IF(C817="重要关系7",E817,0)+IF(AND(C817="魅力",E817&lt;0),E817,0))))</x:f>
        <x:v>0</x:v>
      </x:c>
    </x:row>
    <x:row r="818">
      <x:c r="A818" t="str">
        <x:f>IFERROR(TEXT(VALUE('幕间与结算'!A725),"00"),"")</x:f>
        <x:v>00</x:v>
      </x:c>
      <x:c r="B818">
        <x:f>'幕间与结算'!B725</x:f>
        <x:v>0</x:v>
      </x:c>
      <x:c r="C818">
        <x:f>'幕间与结算'!D725</x:f>
        <x:v>0</x:v>
      </x:c>
      <x:c r="D818">
        <x:f>'幕间与结算'!F725</x:f>
        <x:v>0</x:v>
      </x:c>
      <x:c r="E818">
        <x:f>IF(H818=1,MAX(-'幕间与结算'!E725,MIN(D818,IF(LEFT(C818,3)="技能：",99,IF(COUNTIF($L$2:$L$7,C818)&gt;0,18,999))-'幕间与结算'!E725)),0)</x:f>
        <x:v>0</x:v>
      </x:c>
      <x:c r="F818" t="str">
        <x:f>IF(C818=0,"",IF(G818=0,"记录不完整",IF(H818=0,"重复未计","已计入")))</x:f>
        <x:v/>
      </x:c>
      <x:c r="G818">
        <x:f>IF(AND(AND('幕间与结算'!A725&lt;&gt;"",'幕间与结算'!B725&lt;&gt;"",'幕间与结算'!I725&lt;&gt;"",OR(LEFT(C818,3)="技能：",COUNTIF($L$2:$L$19,C818)&gt;0),ISNUMBER('幕间与结算'!E725),ISNUMBER('幕间与结算'!F725),ISNUMBER('幕间与结算'!G725),'幕间与结算'!E725&gt;=0,'幕间与结算'!G725='幕间与结算'!E725+'幕间与结算'!F725),OR(B818&lt;&gt;"成长",AND(LEFT(C818,3)="技能：",C818&lt;&gt;"技能：非自然知识",'幕间与结算'!E725&gt;=1,'幕间与结算'!E725&lt;=99,'幕间与结算'!F725&gt;=0,'幕间与结算'!F725&lt;=4,'幕间与结算'!G725&lt;=99))),1,0)</x:f>
        <x:v>0</x:v>
      </x:c>
      <x:c r="H818">
        <x:f>IF(AND(G818=1,COUNTIFS($I$200:I818,I818,$G$200:G818,1)=1),1,0)</x:f>
        <x:v>0</x:v>
      </x:c>
      <x:c r="I818" t="str">
        <x:f>IF(G818=1,IF(B818="成长",A818&amp;"-成长-"&amp;C818,'幕间与结算'!I725),"")</x:f>
        <x:v/>
      </x:c>
      <x:c r="BF818">
        <x:f>MAX(0,MIN(18,BF817+IF(C818="力量",E818,0)))</x:f>
        <x:v>0</x:v>
      </x:c>
      <x:c r="BG818">
        <x:f>MAX(0,MIN(18,BG817+IF(C818="体质",E818,0)))</x:f>
        <x:v>0</x:v>
      </x:c>
      <x:c r="BH818">
        <x:f>MAX(0,MIN(18,BH817+IF(C818="敏捷",E818,0)))</x:f>
        <x:v>0</x:v>
      </x:c>
      <x:c r="BI818">
        <x:f>MAX(0,MIN(18,BI817+IF(C818="智力",E818,0)))</x:f>
        <x:v>0</x:v>
      </x:c>
      <x:c r="BJ818">
        <x:f>MAX(0,MIN(18,BJ817+IF(C818="意志",E818,0)))</x:f>
        <x:v>0</x:v>
      </x:c>
      <x:c r="BK818">
        <x:f>MAX(0,MIN(18,BK817+IF(C818="魅力",E818,0)))</x:f>
        <x:v>0</x:v>
      </x:c>
      <x:c r="BL818">
        <x:f>MAX(0,MIN(99,BL817+IF(C818="技能：非自然知识",E818,0)))</x:f>
        <x:v>0</x:v>
      </x:c>
      <x:c r="BM818">
        <x:f>MAX(0,MIN(CEILING((BF818+BG818)/2,1),BM817+IF(C818="体力",E818,0)))</x:f>
        <x:v>0</x:v>
      </x:c>
      <x:c r="BN818">
        <x:f>MAX(0,MIN(BJ818,BN817+IF(C818="毅力",E818,0)))</x:f>
        <x:v>0</x:v>
      </x:c>
      <x:c r="BO818">
        <x:f>MAX(0,MIN(99-BL818,BO817+IF(C818="理智",E818,0)))</x:f>
        <x:v>0</x:v>
      </x:c>
      <x:c r="BP818">
        <x:f>MAX(0,MIN(99,BP817+IF(C818="崩溃点",E818,0)))</x:f>
        <x:v>0</x:v>
      </x:c>
      <x:c r="BQ818">
        <x:f>MAX(0,MIN(BK818,IF(AND(H818=1,C818="重要关系1",LEFT('幕间与结算'!H725,8)="建立新的重要关系"),'幕间与结算'!E725+E818,BQ817+IF(C818="重要关系1",E818,0)+IF(AND(C818="魅力",E818&lt;0),E818,0))))</x:f>
        <x:v>0</x:v>
      </x:c>
      <x:c r="BR818">
        <x:f>MAX(0,MIN(BK818,IF(AND(H818=1,C818="重要关系2",LEFT('幕间与结算'!H725,8)="建立新的重要关系"),'幕间与结算'!E725+E818,BR817+IF(C818="重要关系2",E818,0)+IF(AND(C818="魅力",E818&lt;0),E818,0))))</x:f>
        <x:v>0</x:v>
      </x:c>
      <x:c r="BS818">
        <x:f>MAX(0,MIN(BK818,IF(AND(H818=1,C818="重要关系3",LEFT('幕间与结算'!H725,8)="建立新的重要关系"),'幕间与结算'!E725+E818,BS817+IF(C818="重要关系3",E818,0)+IF(AND(C818="魅力",E818&lt;0),E818,0))))</x:f>
        <x:v>0</x:v>
      </x:c>
      <x:c r="BT818">
        <x:f>MAX(0,MIN(BK818,IF(AND(H818=1,C818="重要关系4",LEFT('幕间与结算'!H725,8)="建立新的重要关系"),'幕间与结算'!E725+E818,BT817+IF(C818="重要关系4",E818,0)+IF(AND(C818="魅力",E818&lt;0),E818,0))))</x:f>
        <x:v>0</x:v>
      </x:c>
      <x:c r="BU818">
        <x:f>MAX(0,MIN(BK818,IF(AND(H818=1,C818="重要关系5",LEFT('幕间与结算'!H725,8)="建立新的重要关系"),'幕间与结算'!E725+E818,BU817+IF(C818="重要关系5",E818,0)+IF(AND(C818="魅力",E818&lt;0),E818,0))))</x:f>
        <x:v>0</x:v>
      </x:c>
      <x:c r="BV818">
        <x:f>MAX(0,MIN(BK818,IF(AND(H818=1,C818="重要关系6",LEFT('幕间与结算'!H725,8)="建立新的重要关系"),'幕间与结算'!E725+E818,BV817+IF(C818="重要关系6",E818,0)+IF(AND(C818="魅力",E818&lt;0),E818,0))))</x:f>
        <x:v>0</x:v>
      </x:c>
      <x:c r="BW818">
        <x:f>MAX(0,MIN(BK818,IF(AND(H818=1,C818="重要关系7",LEFT('幕间与结算'!H725,8)="建立新的重要关系"),'幕间与结算'!E725+E818,BW817+IF(C818="重要关系7",E818,0)+IF(AND(C818="魅力",E818&lt;0),E818,0))))</x:f>
        <x:v>0</x:v>
      </x:c>
    </x:row>
    <x:row r="819">
      <x:c r="A819" t="str">
        <x:f>IFERROR(TEXT(VALUE('幕间与结算'!A726),"00"),"")</x:f>
        <x:v>00</x:v>
      </x:c>
      <x:c r="B819">
        <x:f>'幕间与结算'!B726</x:f>
        <x:v>0</x:v>
      </x:c>
      <x:c r="C819">
        <x:f>'幕间与结算'!D726</x:f>
        <x:v>0</x:v>
      </x:c>
      <x:c r="D819">
        <x:f>'幕间与结算'!F726</x:f>
        <x:v>0</x:v>
      </x:c>
      <x:c r="E819">
        <x:f>IF(H819=1,MAX(-'幕间与结算'!E726,MIN(D819,IF(LEFT(C819,3)="技能：",99,IF(COUNTIF($L$2:$L$7,C819)&gt;0,18,999))-'幕间与结算'!E726)),0)</x:f>
        <x:v>0</x:v>
      </x:c>
      <x:c r="F819" t="str">
        <x:f>IF(C819=0,"",IF(G819=0,"记录不完整",IF(H819=0,"重复未计","已计入")))</x:f>
        <x:v/>
      </x:c>
      <x:c r="G819">
        <x:f>IF(AND(AND('幕间与结算'!A726&lt;&gt;"",'幕间与结算'!B726&lt;&gt;"",'幕间与结算'!I726&lt;&gt;"",OR(LEFT(C819,3)="技能：",COUNTIF($L$2:$L$19,C819)&gt;0),ISNUMBER('幕间与结算'!E726),ISNUMBER('幕间与结算'!F726),ISNUMBER('幕间与结算'!G726),'幕间与结算'!E726&gt;=0,'幕间与结算'!G726='幕间与结算'!E726+'幕间与结算'!F726),OR(B819&lt;&gt;"成长",AND(LEFT(C819,3)="技能：",C819&lt;&gt;"技能：非自然知识",'幕间与结算'!E726&gt;=1,'幕间与结算'!E726&lt;=99,'幕间与结算'!F726&gt;=0,'幕间与结算'!F726&lt;=4,'幕间与结算'!G726&lt;=99))),1,0)</x:f>
        <x:v>0</x:v>
      </x:c>
      <x:c r="H819">
        <x:f>IF(AND(G819=1,COUNTIFS($I$200:I819,I819,$G$200:G819,1)=1),1,0)</x:f>
        <x:v>0</x:v>
      </x:c>
      <x:c r="I819" t="str">
        <x:f>IF(G819=1,IF(B819="成长",A819&amp;"-成长-"&amp;C819,'幕间与结算'!I726),"")</x:f>
        <x:v/>
      </x:c>
      <x:c r="BF819">
        <x:f>MAX(0,MIN(18,BF818+IF(C819="力量",E819,0)))</x:f>
        <x:v>0</x:v>
      </x:c>
      <x:c r="BG819">
        <x:f>MAX(0,MIN(18,BG818+IF(C819="体质",E819,0)))</x:f>
        <x:v>0</x:v>
      </x:c>
      <x:c r="BH819">
        <x:f>MAX(0,MIN(18,BH818+IF(C819="敏捷",E819,0)))</x:f>
        <x:v>0</x:v>
      </x:c>
      <x:c r="BI819">
        <x:f>MAX(0,MIN(18,BI818+IF(C819="智力",E819,0)))</x:f>
        <x:v>0</x:v>
      </x:c>
      <x:c r="BJ819">
        <x:f>MAX(0,MIN(18,BJ818+IF(C819="意志",E819,0)))</x:f>
        <x:v>0</x:v>
      </x:c>
      <x:c r="BK819">
        <x:f>MAX(0,MIN(18,BK818+IF(C819="魅力",E819,0)))</x:f>
        <x:v>0</x:v>
      </x:c>
      <x:c r="BL819">
        <x:f>MAX(0,MIN(99,BL818+IF(C819="技能：非自然知识",E819,0)))</x:f>
        <x:v>0</x:v>
      </x:c>
      <x:c r="BM819">
        <x:f>MAX(0,MIN(CEILING((BF819+BG819)/2,1),BM818+IF(C819="体力",E819,0)))</x:f>
        <x:v>0</x:v>
      </x:c>
      <x:c r="BN819">
        <x:f>MAX(0,MIN(BJ819,BN818+IF(C819="毅力",E819,0)))</x:f>
        <x:v>0</x:v>
      </x:c>
      <x:c r="BO819">
        <x:f>MAX(0,MIN(99-BL819,BO818+IF(C819="理智",E819,0)))</x:f>
        <x:v>0</x:v>
      </x:c>
      <x:c r="BP819">
        <x:f>MAX(0,MIN(99,BP818+IF(C819="崩溃点",E819,0)))</x:f>
        <x:v>0</x:v>
      </x:c>
      <x:c r="BQ819">
        <x:f>MAX(0,MIN(BK819,IF(AND(H819=1,C819="重要关系1",LEFT('幕间与结算'!H726,8)="建立新的重要关系"),'幕间与结算'!E726+E819,BQ818+IF(C819="重要关系1",E819,0)+IF(AND(C819="魅力",E819&lt;0),E819,0))))</x:f>
        <x:v>0</x:v>
      </x:c>
      <x:c r="BR819">
        <x:f>MAX(0,MIN(BK819,IF(AND(H819=1,C819="重要关系2",LEFT('幕间与结算'!H726,8)="建立新的重要关系"),'幕间与结算'!E726+E819,BR818+IF(C819="重要关系2",E819,0)+IF(AND(C819="魅力",E819&lt;0),E819,0))))</x:f>
        <x:v>0</x:v>
      </x:c>
      <x:c r="BS819">
        <x:f>MAX(0,MIN(BK819,IF(AND(H819=1,C819="重要关系3",LEFT('幕间与结算'!H726,8)="建立新的重要关系"),'幕间与结算'!E726+E819,BS818+IF(C819="重要关系3",E819,0)+IF(AND(C819="魅力",E819&lt;0),E819,0))))</x:f>
        <x:v>0</x:v>
      </x:c>
      <x:c r="BT819">
        <x:f>MAX(0,MIN(BK819,IF(AND(H819=1,C819="重要关系4",LEFT('幕间与结算'!H726,8)="建立新的重要关系"),'幕间与结算'!E726+E819,BT818+IF(C819="重要关系4",E819,0)+IF(AND(C819="魅力",E819&lt;0),E819,0))))</x:f>
        <x:v>0</x:v>
      </x:c>
      <x:c r="BU819">
        <x:f>MAX(0,MIN(BK819,IF(AND(H819=1,C819="重要关系5",LEFT('幕间与结算'!H726,8)="建立新的重要关系"),'幕间与结算'!E726+E819,BU818+IF(C819="重要关系5",E819,0)+IF(AND(C819="魅力",E819&lt;0),E819,0))))</x:f>
        <x:v>0</x:v>
      </x:c>
      <x:c r="BV819">
        <x:f>MAX(0,MIN(BK819,IF(AND(H819=1,C819="重要关系6",LEFT('幕间与结算'!H726,8)="建立新的重要关系"),'幕间与结算'!E726+E819,BV818+IF(C819="重要关系6",E819,0)+IF(AND(C819="魅力",E819&lt;0),E819,0))))</x:f>
        <x:v>0</x:v>
      </x:c>
      <x:c r="BW819">
        <x:f>MAX(0,MIN(BK819,IF(AND(H819=1,C819="重要关系7",LEFT('幕间与结算'!H726,8)="建立新的重要关系"),'幕间与结算'!E726+E819,BW818+IF(C819="重要关系7",E819,0)+IF(AND(C819="魅力",E819&lt;0),E819,0))))</x:f>
        <x:v>0</x:v>
      </x:c>
    </x:row>
    <x:row r="820">
      <x:c r="A820" t="str">
        <x:f>IFERROR(TEXT(VALUE('幕间与结算'!A727),"00"),"")</x:f>
        <x:v>00</x:v>
      </x:c>
      <x:c r="B820">
        <x:f>'幕间与结算'!B727</x:f>
        <x:v>0</x:v>
      </x:c>
      <x:c r="C820">
        <x:f>'幕间与结算'!D727</x:f>
        <x:v>0</x:v>
      </x:c>
      <x:c r="D820">
        <x:f>'幕间与结算'!F727</x:f>
        <x:v>0</x:v>
      </x:c>
      <x:c r="E820">
        <x:f>IF(H820=1,MAX(-'幕间与结算'!E727,MIN(D820,IF(LEFT(C820,3)="技能：",99,IF(COUNTIF($L$2:$L$7,C820)&gt;0,18,999))-'幕间与结算'!E727)),0)</x:f>
        <x:v>0</x:v>
      </x:c>
      <x:c r="F820" t="str">
        <x:f>IF(C820=0,"",IF(G820=0,"记录不完整",IF(H820=0,"重复未计","已计入")))</x:f>
        <x:v/>
      </x:c>
      <x:c r="G820">
        <x:f>IF(AND(AND('幕间与结算'!A727&lt;&gt;"",'幕间与结算'!B727&lt;&gt;"",'幕间与结算'!I727&lt;&gt;"",OR(LEFT(C820,3)="技能：",COUNTIF($L$2:$L$19,C820)&gt;0),ISNUMBER('幕间与结算'!E727),ISNUMBER('幕间与结算'!F727),ISNUMBER('幕间与结算'!G727),'幕间与结算'!E727&gt;=0,'幕间与结算'!G727='幕间与结算'!E727+'幕间与结算'!F727),OR(B820&lt;&gt;"成长",AND(LEFT(C820,3)="技能：",C820&lt;&gt;"技能：非自然知识",'幕间与结算'!E727&gt;=1,'幕间与结算'!E727&lt;=99,'幕间与结算'!F727&gt;=0,'幕间与结算'!F727&lt;=4,'幕间与结算'!G727&lt;=99))),1,0)</x:f>
        <x:v>0</x:v>
      </x:c>
      <x:c r="H820">
        <x:f>IF(AND(G820=1,COUNTIFS($I$200:I820,I820,$G$200:G820,1)=1),1,0)</x:f>
        <x:v>0</x:v>
      </x:c>
      <x:c r="I820" t="str">
        <x:f>IF(G820=1,IF(B820="成长",A820&amp;"-成长-"&amp;C820,'幕间与结算'!I727),"")</x:f>
        <x:v/>
      </x:c>
      <x:c r="BF820">
        <x:f>MAX(0,MIN(18,BF819+IF(C820="力量",E820,0)))</x:f>
        <x:v>0</x:v>
      </x:c>
      <x:c r="BG820">
        <x:f>MAX(0,MIN(18,BG819+IF(C820="体质",E820,0)))</x:f>
        <x:v>0</x:v>
      </x:c>
      <x:c r="BH820">
        <x:f>MAX(0,MIN(18,BH819+IF(C820="敏捷",E820,0)))</x:f>
        <x:v>0</x:v>
      </x:c>
      <x:c r="BI820">
        <x:f>MAX(0,MIN(18,BI819+IF(C820="智力",E820,0)))</x:f>
        <x:v>0</x:v>
      </x:c>
      <x:c r="BJ820">
        <x:f>MAX(0,MIN(18,BJ819+IF(C820="意志",E820,0)))</x:f>
        <x:v>0</x:v>
      </x:c>
      <x:c r="BK820">
        <x:f>MAX(0,MIN(18,BK819+IF(C820="魅力",E820,0)))</x:f>
        <x:v>0</x:v>
      </x:c>
      <x:c r="BL820">
        <x:f>MAX(0,MIN(99,BL819+IF(C820="技能：非自然知识",E820,0)))</x:f>
        <x:v>0</x:v>
      </x:c>
      <x:c r="BM820">
        <x:f>MAX(0,MIN(CEILING((BF820+BG820)/2,1),BM819+IF(C820="体力",E820,0)))</x:f>
        <x:v>0</x:v>
      </x:c>
      <x:c r="BN820">
        <x:f>MAX(0,MIN(BJ820,BN819+IF(C820="毅力",E820,0)))</x:f>
        <x:v>0</x:v>
      </x:c>
      <x:c r="BO820">
        <x:f>MAX(0,MIN(99-BL820,BO819+IF(C820="理智",E820,0)))</x:f>
        <x:v>0</x:v>
      </x:c>
      <x:c r="BP820">
        <x:f>MAX(0,MIN(99,BP819+IF(C820="崩溃点",E820,0)))</x:f>
        <x:v>0</x:v>
      </x:c>
      <x:c r="BQ820">
        <x:f>MAX(0,MIN(BK820,IF(AND(H820=1,C820="重要关系1",LEFT('幕间与结算'!H727,8)="建立新的重要关系"),'幕间与结算'!E727+E820,BQ819+IF(C820="重要关系1",E820,0)+IF(AND(C820="魅力",E820&lt;0),E820,0))))</x:f>
        <x:v>0</x:v>
      </x:c>
      <x:c r="BR820">
        <x:f>MAX(0,MIN(BK820,IF(AND(H820=1,C820="重要关系2",LEFT('幕间与结算'!H727,8)="建立新的重要关系"),'幕间与结算'!E727+E820,BR819+IF(C820="重要关系2",E820,0)+IF(AND(C820="魅力",E820&lt;0),E820,0))))</x:f>
        <x:v>0</x:v>
      </x:c>
      <x:c r="BS820">
        <x:f>MAX(0,MIN(BK820,IF(AND(H820=1,C820="重要关系3",LEFT('幕间与结算'!H727,8)="建立新的重要关系"),'幕间与结算'!E727+E820,BS819+IF(C820="重要关系3",E820,0)+IF(AND(C820="魅力",E820&lt;0),E820,0))))</x:f>
        <x:v>0</x:v>
      </x:c>
      <x:c r="BT820">
        <x:f>MAX(0,MIN(BK820,IF(AND(H820=1,C820="重要关系4",LEFT('幕间与结算'!H727,8)="建立新的重要关系"),'幕间与结算'!E727+E820,BT819+IF(C820="重要关系4",E820,0)+IF(AND(C820="魅力",E820&lt;0),E820,0))))</x:f>
        <x:v>0</x:v>
      </x:c>
      <x:c r="BU820">
        <x:f>MAX(0,MIN(BK820,IF(AND(H820=1,C820="重要关系5",LEFT('幕间与结算'!H727,8)="建立新的重要关系"),'幕间与结算'!E727+E820,BU819+IF(C820="重要关系5",E820,0)+IF(AND(C820="魅力",E820&lt;0),E820,0))))</x:f>
        <x:v>0</x:v>
      </x:c>
      <x:c r="BV820">
        <x:f>MAX(0,MIN(BK820,IF(AND(H820=1,C820="重要关系6",LEFT('幕间与结算'!H727,8)="建立新的重要关系"),'幕间与结算'!E727+E820,BV819+IF(C820="重要关系6",E820,0)+IF(AND(C820="魅力",E820&lt;0),E820,0))))</x:f>
        <x:v>0</x:v>
      </x:c>
      <x:c r="BW820">
        <x:f>MAX(0,MIN(BK820,IF(AND(H820=1,C820="重要关系7",LEFT('幕间与结算'!H727,8)="建立新的重要关系"),'幕间与结算'!E727+E820,BW819+IF(C820="重要关系7",E820,0)+IF(AND(C820="魅力",E820&lt;0),E820,0))))</x:f>
        <x:v>0</x:v>
      </x:c>
    </x:row>
    <x:row r="821">
      <x:c r="A821" t="str">
        <x:f>IFERROR(TEXT(VALUE('幕间与结算'!A728),"00"),"")</x:f>
        <x:v>00</x:v>
      </x:c>
      <x:c r="B821">
        <x:f>'幕间与结算'!B728</x:f>
        <x:v>0</x:v>
      </x:c>
      <x:c r="C821">
        <x:f>'幕间与结算'!D728</x:f>
        <x:v>0</x:v>
      </x:c>
      <x:c r="D821">
        <x:f>'幕间与结算'!F728</x:f>
        <x:v>0</x:v>
      </x:c>
      <x:c r="E821">
        <x:f>IF(H821=1,MAX(-'幕间与结算'!E728,MIN(D821,IF(LEFT(C821,3)="技能：",99,IF(COUNTIF($L$2:$L$7,C821)&gt;0,18,999))-'幕间与结算'!E728)),0)</x:f>
        <x:v>0</x:v>
      </x:c>
      <x:c r="F821" t="str">
        <x:f>IF(C821=0,"",IF(G821=0,"记录不完整",IF(H821=0,"重复未计","已计入")))</x:f>
        <x:v/>
      </x:c>
      <x:c r="G821">
        <x:f>IF(AND(AND('幕间与结算'!A728&lt;&gt;"",'幕间与结算'!B728&lt;&gt;"",'幕间与结算'!I728&lt;&gt;"",OR(LEFT(C821,3)="技能：",COUNTIF($L$2:$L$19,C821)&gt;0),ISNUMBER('幕间与结算'!E728),ISNUMBER('幕间与结算'!F728),ISNUMBER('幕间与结算'!G728),'幕间与结算'!E728&gt;=0,'幕间与结算'!G728='幕间与结算'!E728+'幕间与结算'!F728),OR(B821&lt;&gt;"成长",AND(LEFT(C821,3)="技能：",C821&lt;&gt;"技能：非自然知识",'幕间与结算'!E728&gt;=1,'幕间与结算'!E728&lt;=99,'幕间与结算'!F728&gt;=0,'幕间与结算'!F728&lt;=4,'幕间与结算'!G728&lt;=99))),1,0)</x:f>
        <x:v>0</x:v>
      </x:c>
      <x:c r="H821">
        <x:f>IF(AND(G821=1,COUNTIFS($I$200:I821,I821,$G$200:G821,1)=1),1,0)</x:f>
        <x:v>0</x:v>
      </x:c>
      <x:c r="I821" t="str">
        <x:f>IF(G821=1,IF(B821="成长",A821&amp;"-成长-"&amp;C821,'幕间与结算'!I728),"")</x:f>
        <x:v/>
      </x:c>
      <x:c r="BF821">
        <x:f>MAX(0,MIN(18,BF820+IF(C821="力量",E821,0)))</x:f>
        <x:v>0</x:v>
      </x:c>
      <x:c r="BG821">
        <x:f>MAX(0,MIN(18,BG820+IF(C821="体质",E821,0)))</x:f>
        <x:v>0</x:v>
      </x:c>
      <x:c r="BH821">
        <x:f>MAX(0,MIN(18,BH820+IF(C821="敏捷",E821,0)))</x:f>
        <x:v>0</x:v>
      </x:c>
      <x:c r="BI821">
        <x:f>MAX(0,MIN(18,BI820+IF(C821="智力",E821,0)))</x:f>
        <x:v>0</x:v>
      </x:c>
      <x:c r="BJ821">
        <x:f>MAX(0,MIN(18,BJ820+IF(C821="意志",E821,0)))</x:f>
        <x:v>0</x:v>
      </x:c>
      <x:c r="BK821">
        <x:f>MAX(0,MIN(18,BK820+IF(C821="魅力",E821,0)))</x:f>
        <x:v>0</x:v>
      </x:c>
      <x:c r="BL821">
        <x:f>MAX(0,MIN(99,BL820+IF(C821="技能：非自然知识",E821,0)))</x:f>
        <x:v>0</x:v>
      </x:c>
      <x:c r="BM821">
        <x:f>MAX(0,MIN(CEILING((BF821+BG821)/2,1),BM820+IF(C821="体力",E821,0)))</x:f>
        <x:v>0</x:v>
      </x:c>
      <x:c r="BN821">
        <x:f>MAX(0,MIN(BJ821,BN820+IF(C821="毅力",E821,0)))</x:f>
        <x:v>0</x:v>
      </x:c>
      <x:c r="BO821">
        <x:f>MAX(0,MIN(99-BL821,BO820+IF(C821="理智",E821,0)))</x:f>
        <x:v>0</x:v>
      </x:c>
      <x:c r="BP821">
        <x:f>MAX(0,MIN(99,BP820+IF(C821="崩溃点",E821,0)))</x:f>
        <x:v>0</x:v>
      </x:c>
      <x:c r="BQ821">
        <x:f>MAX(0,MIN(BK821,IF(AND(H821=1,C821="重要关系1",LEFT('幕间与结算'!H728,8)="建立新的重要关系"),'幕间与结算'!E728+E821,BQ820+IF(C821="重要关系1",E821,0)+IF(AND(C821="魅力",E821&lt;0),E821,0))))</x:f>
        <x:v>0</x:v>
      </x:c>
      <x:c r="BR821">
        <x:f>MAX(0,MIN(BK821,IF(AND(H821=1,C821="重要关系2",LEFT('幕间与结算'!H728,8)="建立新的重要关系"),'幕间与结算'!E728+E821,BR820+IF(C821="重要关系2",E821,0)+IF(AND(C821="魅力",E821&lt;0),E821,0))))</x:f>
        <x:v>0</x:v>
      </x:c>
      <x:c r="BS821">
        <x:f>MAX(0,MIN(BK821,IF(AND(H821=1,C821="重要关系3",LEFT('幕间与结算'!H728,8)="建立新的重要关系"),'幕间与结算'!E728+E821,BS820+IF(C821="重要关系3",E821,0)+IF(AND(C821="魅力",E821&lt;0),E821,0))))</x:f>
        <x:v>0</x:v>
      </x:c>
      <x:c r="BT821">
        <x:f>MAX(0,MIN(BK821,IF(AND(H821=1,C821="重要关系4",LEFT('幕间与结算'!H728,8)="建立新的重要关系"),'幕间与结算'!E728+E821,BT820+IF(C821="重要关系4",E821,0)+IF(AND(C821="魅力",E821&lt;0),E821,0))))</x:f>
        <x:v>0</x:v>
      </x:c>
      <x:c r="BU821">
        <x:f>MAX(0,MIN(BK821,IF(AND(H821=1,C821="重要关系5",LEFT('幕间与结算'!H728,8)="建立新的重要关系"),'幕间与结算'!E728+E821,BU820+IF(C821="重要关系5",E821,0)+IF(AND(C821="魅力",E821&lt;0),E821,0))))</x:f>
        <x:v>0</x:v>
      </x:c>
      <x:c r="BV821">
        <x:f>MAX(0,MIN(BK821,IF(AND(H821=1,C821="重要关系6",LEFT('幕间与结算'!H728,8)="建立新的重要关系"),'幕间与结算'!E728+E821,BV820+IF(C821="重要关系6",E821,0)+IF(AND(C821="魅力",E821&lt;0),E821,0))))</x:f>
        <x:v>0</x:v>
      </x:c>
      <x:c r="BW821">
        <x:f>MAX(0,MIN(BK821,IF(AND(H821=1,C821="重要关系7",LEFT('幕间与结算'!H728,8)="建立新的重要关系"),'幕间与结算'!E728+E821,BW820+IF(C821="重要关系7",E821,0)+IF(AND(C821="魅力",E821&lt;0),E821,0))))</x:f>
        <x:v>0</x:v>
      </x:c>
    </x:row>
    <x:row r="822">
      <x:c r="A822" t="str">
        <x:f>IFERROR(TEXT(VALUE('幕间与结算'!A729),"00"),"")</x:f>
        <x:v>00</x:v>
      </x:c>
      <x:c r="B822">
        <x:f>'幕间与结算'!B729</x:f>
        <x:v>0</x:v>
      </x:c>
      <x:c r="C822">
        <x:f>'幕间与结算'!D729</x:f>
        <x:v>0</x:v>
      </x:c>
      <x:c r="D822">
        <x:f>'幕间与结算'!F729</x:f>
        <x:v>0</x:v>
      </x:c>
      <x:c r="E822">
        <x:f>IF(H822=1,MAX(-'幕间与结算'!E729,MIN(D822,IF(LEFT(C822,3)="技能：",99,IF(COUNTIF($L$2:$L$7,C822)&gt;0,18,999))-'幕间与结算'!E729)),0)</x:f>
        <x:v>0</x:v>
      </x:c>
      <x:c r="F822" t="str">
        <x:f>IF(C822=0,"",IF(G822=0,"记录不完整",IF(H822=0,"重复未计","已计入")))</x:f>
        <x:v/>
      </x:c>
      <x:c r="G822">
        <x:f>IF(AND(AND('幕间与结算'!A729&lt;&gt;"",'幕间与结算'!B729&lt;&gt;"",'幕间与结算'!I729&lt;&gt;"",OR(LEFT(C822,3)="技能：",COUNTIF($L$2:$L$19,C822)&gt;0),ISNUMBER('幕间与结算'!E729),ISNUMBER('幕间与结算'!F729),ISNUMBER('幕间与结算'!G729),'幕间与结算'!E729&gt;=0,'幕间与结算'!G729='幕间与结算'!E729+'幕间与结算'!F729),OR(B822&lt;&gt;"成长",AND(LEFT(C822,3)="技能：",C822&lt;&gt;"技能：非自然知识",'幕间与结算'!E729&gt;=1,'幕间与结算'!E729&lt;=99,'幕间与结算'!F729&gt;=0,'幕间与结算'!F729&lt;=4,'幕间与结算'!G729&lt;=99))),1,0)</x:f>
        <x:v>0</x:v>
      </x:c>
      <x:c r="H822">
        <x:f>IF(AND(G822=1,COUNTIFS($I$200:I822,I822,$G$200:G822,1)=1),1,0)</x:f>
        <x:v>0</x:v>
      </x:c>
      <x:c r="I822" t="str">
        <x:f>IF(G822=1,IF(B822="成长",A822&amp;"-成长-"&amp;C822,'幕间与结算'!I729),"")</x:f>
        <x:v/>
      </x:c>
      <x:c r="BF822">
        <x:f>MAX(0,MIN(18,BF821+IF(C822="力量",E822,0)))</x:f>
        <x:v>0</x:v>
      </x:c>
      <x:c r="BG822">
        <x:f>MAX(0,MIN(18,BG821+IF(C822="体质",E822,0)))</x:f>
        <x:v>0</x:v>
      </x:c>
      <x:c r="BH822">
        <x:f>MAX(0,MIN(18,BH821+IF(C822="敏捷",E822,0)))</x:f>
        <x:v>0</x:v>
      </x:c>
      <x:c r="BI822">
        <x:f>MAX(0,MIN(18,BI821+IF(C822="智力",E822,0)))</x:f>
        <x:v>0</x:v>
      </x:c>
      <x:c r="BJ822">
        <x:f>MAX(0,MIN(18,BJ821+IF(C822="意志",E822,0)))</x:f>
        <x:v>0</x:v>
      </x:c>
      <x:c r="BK822">
        <x:f>MAX(0,MIN(18,BK821+IF(C822="魅力",E822,0)))</x:f>
        <x:v>0</x:v>
      </x:c>
      <x:c r="BL822">
        <x:f>MAX(0,MIN(99,BL821+IF(C822="技能：非自然知识",E822,0)))</x:f>
        <x:v>0</x:v>
      </x:c>
      <x:c r="BM822">
        <x:f>MAX(0,MIN(CEILING((BF822+BG822)/2,1),BM821+IF(C822="体力",E822,0)))</x:f>
        <x:v>0</x:v>
      </x:c>
      <x:c r="BN822">
        <x:f>MAX(0,MIN(BJ822,BN821+IF(C822="毅力",E822,0)))</x:f>
        <x:v>0</x:v>
      </x:c>
      <x:c r="BO822">
        <x:f>MAX(0,MIN(99-BL822,BO821+IF(C822="理智",E822,0)))</x:f>
        <x:v>0</x:v>
      </x:c>
      <x:c r="BP822">
        <x:f>MAX(0,MIN(99,BP821+IF(C822="崩溃点",E822,0)))</x:f>
        <x:v>0</x:v>
      </x:c>
      <x:c r="BQ822">
        <x:f>MAX(0,MIN(BK822,IF(AND(H822=1,C822="重要关系1",LEFT('幕间与结算'!H729,8)="建立新的重要关系"),'幕间与结算'!E729+E822,BQ821+IF(C822="重要关系1",E822,0)+IF(AND(C822="魅力",E822&lt;0),E822,0))))</x:f>
        <x:v>0</x:v>
      </x:c>
      <x:c r="BR822">
        <x:f>MAX(0,MIN(BK822,IF(AND(H822=1,C822="重要关系2",LEFT('幕间与结算'!H729,8)="建立新的重要关系"),'幕间与结算'!E729+E822,BR821+IF(C822="重要关系2",E822,0)+IF(AND(C822="魅力",E822&lt;0),E822,0))))</x:f>
        <x:v>0</x:v>
      </x:c>
      <x:c r="BS822">
        <x:f>MAX(0,MIN(BK822,IF(AND(H822=1,C822="重要关系3",LEFT('幕间与结算'!H729,8)="建立新的重要关系"),'幕间与结算'!E729+E822,BS821+IF(C822="重要关系3",E822,0)+IF(AND(C822="魅力",E822&lt;0),E822,0))))</x:f>
        <x:v>0</x:v>
      </x:c>
      <x:c r="BT822">
        <x:f>MAX(0,MIN(BK822,IF(AND(H822=1,C822="重要关系4",LEFT('幕间与结算'!H729,8)="建立新的重要关系"),'幕间与结算'!E729+E822,BT821+IF(C822="重要关系4",E822,0)+IF(AND(C822="魅力",E822&lt;0),E822,0))))</x:f>
        <x:v>0</x:v>
      </x:c>
      <x:c r="BU822">
        <x:f>MAX(0,MIN(BK822,IF(AND(H822=1,C822="重要关系5",LEFT('幕间与结算'!H729,8)="建立新的重要关系"),'幕间与结算'!E729+E822,BU821+IF(C822="重要关系5",E822,0)+IF(AND(C822="魅力",E822&lt;0),E822,0))))</x:f>
        <x:v>0</x:v>
      </x:c>
      <x:c r="BV822">
        <x:f>MAX(0,MIN(BK822,IF(AND(H822=1,C822="重要关系6",LEFT('幕间与结算'!H729,8)="建立新的重要关系"),'幕间与结算'!E729+E822,BV821+IF(C822="重要关系6",E822,0)+IF(AND(C822="魅力",E822&lt;0),E822,0))))</x:f>
        <x:v>0</x:v>
      </x:c>
      <x:c r="BW822">
        <x:f>MAX(0,MIN(BK822,IF(AND(H822=1,C822="重要关系7",LEFT('幕间与结算'!H729,8)="建立新的重要关系"),'幕间与结算'!E729+E822,BW821+IF(C822="重要关系7",E822,0)+IF(AND(C822="魅力",E822&lt;0),E822,0))))</x:f>
        <x:v>0</x:v>
      </x:c>
    </x:row>
    <x:row r="823">
      <x:c r="A823" t="str">
        <x:f>IFERROR(TEXT(VALUE('幕间与结算'!A730),"00"),"")</x:f>
        <x:v>00</x:v>
      </x:c>
      <x:c r="B823">
        <x:f>'幕间与结算'!B730</x:f>
        <x:v>0</x:v>
      </x:c>
      <x:c r="C823">
        <x:f>'幕间与结算'!D730</x:f>
        <x:v>0</x:v>
      </x:c>
      <x:c r="D823">
        <x:f>'幕间与结算'!F730</x:f>
        <x:v>0</x:v>
      </x:c>
      <x:c r="E823">
        <x:f>IF(H823=1,MAX(-'幕间与结算'!E730,MIN(D823,IF(LEFT(C823,3)="技能：",99,IF(COUNTIF($L$2:$L$7,C823)&gt;0,18,999))-'幕间与结算'!E730)),0)</x:f>
        <x:v>0</x:v>
      </x:c>
      <x:c r="F823" t="str">
        <x:f>IF(C823=0,"",IF(G823=0,"记录不完整",IF(H823=0,"重复未计","已计入")))</x:f>
        <x:v/>
      </x:c>
      <x:c r="G823">
        <x:f>IF(AND(AND('幕间与结算'!A730&lt;&gt;"",'幕间与结算'!B730&lt;&gt;"",'幕间与结算'!I730&lt;&gt;"",OR(LEFT(C823,3)="技能：",COUNTIF($L$2:$L$19,C823)&gt;0),ISNUMBER('幕间与结算'!E730),ISNUMBER('幕间与结算'!F730),ISNUMBER('幕间与结算'!G730),'幕间与结算'!E730&gt;=0,'幕间与结算'!G730='幕间与结算'!E730+'幕间与结算'!F730),OR(B823&lt;&gt;"成长",AND(LEFT(C823,3)="技能：",C823&lt;&gt;"技能：非自然知识",'幕间与结算'!E730&gt;=1,'幕间与结算'!E730&lt;=99,'幕间与结算'!F730&gt;=0,'幕间与结算'!F730&lt;=4,'幕间与结算'!G730&lt;=99))),1,0)</x:f>
        <x:v>0</x:v>
      </x:c>
      <x:c r="H823">
        <x:f>IF(AND(G823=1,COUNTIFS($I$200:I823,I823,$G$200:G823,1)=1),1,0)</x:f>
        <x:v>0</x:v>
      </x:c>
      <x:c r="I823" t="str">
        <x:f>IF(G823=1,IF(B823="成长",A823&amp;"-成长-"&amp;C823,'幕间与结算'!I730),"")</x:f>
        <x:v/>
      </x:c>
      <x:c r="BF823">
        <x:f>MAX(0,MIN(18,BF822+IF(C823="力量",E823,0)))</x:f>
        <x:v>0</x:v>
      </x:c>
      <x:c r="BG823">
        <x:f>MAX(0,MIN(18,BG822+IF(C823="体质",E823,0)))</x:f>
        <x:v>0</x:v>
      </x:c>
      <x:c r="BH823">
        <x:f>MAX(0,MIN(18,BH822+IF(C823="敏捷",E823,0)))</x:f>
        <x:v>0</x:v>
      </x:c>
      <x:c r="BI823">
        <x:f>MAX(0,MIN(18,BI822+IF(C823="智力",E823,0)))</x:f>
        <x:v>0</x:v>
      </x:c>
      <x:c r="BJ823">
        <x:f>MAX(0,MIN(18,BJ822+IF(C823="意志",E823,0)))</x:f>
        <x:v>0</x:v>
      </x:c>
      <x:c r="BK823">
        <x:f>MAX(0,MIN(18,BK822+IF(C823="魅力",E823,0)))</x:f>
        <x:v>0</x:v>
      </x:c>
      <x:c r="BL823">
        <x:f>MAX(0,MIN(99,BL822+IF(C823="技能：非自然知识",E823,0)))</x:f>
        <x:v>0</x:v>
      </x:c>
      <x:c r="BM823">
        <x:f>MAX(0,MIN(CEILING((BF823+BG823)/2,1),BM822+IF(C823="体力",E823,0)))</x:f>
        <x:v>0</x:v>
      </x:c>
      <x:c r="BN823">
        <x:f>MAX(0,MIN(BJ823,BN822+IF(C823="毅力",E823,0)))</x:f>
        <x:v>0</x:v>
      </x:c>
      <x:c r="BO823">
        <x:f>MAX(0,MIN(99-BL823,BO822+IF(C823="理智",E823,0)))</x:f>
        <x:v>0</x:v>
      </x:c>
      <x:c r="BP823">
        <x:f>MAX(0,MIN(99,BP822+IF(C823="崩溃点",E823,0)))</x:f>
        <x:v>0</x:v>
      </x:c>
      <x:c r="BQ823">
        <x:f>MAX(0,MIN(BK823,IF(AND(H823=1,C823="重要关系1",LEFT('幕间与结算'!H730,8)="建立新的重要关系"),'幕间与结算'!E730+E823,BQ822+IF(C823="重要关系1",E823,0)+IF(AND(C823="魅力",E823&lt;0),E823,0))))</x:f>
        <x:v>0</x:v>
      </x:c>
      <x:c r="BR823">
        <x:f>MAX(0,MIN(BK823,IF(AND(H823=1,C823="重要关系2",LEFT('幕间与结算'!H730,8)="建立新的重要关系"),'幕间与结算'!E730+E823,BR822+IF(C823="重要关系2",E823,0)+IF(AND(C823="魅力",E823&lt;0),E823,0))))</x:f>
        <x:v>0</x:v>
      </x:c>
      <x:c r="BS823">
        <x:f>MAX(0,MIN(BK823,IF(AND(H823=1,C823="重要关系3",LEFT('幕间与结算'!H730,8)="建立新的重要关系"),'幕间与结算'!E730+E823,BS822+IF(C823="重要关系3",E823,0)+IF(AND(C823="魅力",E823&lt;0),E823,0))))</x:f>
        <x:v>0</x:v>
      </x:c>
      <x:c r="BT823">
        <x:f>MAX(0,MIN(BK823,IF(AND(H823=1,C823="重要关系4",LEFT('幕间与结算'!H730,8)="建立新的重要关系"),'幕间与结算'!E730+E823,BT822+IF(C823="重要关系4",E823,0)+IF(AND(C823="魅力",E823&lt;0),E823,0))))</x:f>
        <x:v>0</x:v>
      </x:c>
      <x:c r="BU823">
        <x:f>MAX(0,MIN(BK823,IF(AND(H823=1,C823="重要关系5",LEFT('幕间与结算'!H730,8)="建立新的重要关系"),'幕间与结算'!E730+E823,BU822+IF(C823="重要关系5",E823,0)+IF(AND(C823="魅力",E823&lt;0),E823,0))))</x:f>
        <x:v>0</x:v>
      </x:c>
      <x:c r="BV823">
        <x:f>MAX(0,MIN(BK823,IF(AND(H823=1,C823="重要关系6",LEFT('幕间与结算'!H730,8)="建立新的重要关系"),'幕间与结算'!E730+E823,BV822+IF(C823="重要关系6",E823,0)+IF(AND(C823="魅力",E823&lt;0),E823,0))))</x:f>
        <x:v>0</x:v>
      </x:c>
      <x:c r="BW823">
        <x:f>MAX(0,MIN(BK823,IF(AND(H823=1,C823="重要关系7",LEFT('幕间与结算'!H730,8)="建立新的重要关系"),'幕间与结算'!E730+E823,BW822+IF(C823="重要关系7",E823,0)+IF(AND(C823="魅力",E823&lt;0),E823,0))))</x:f>
        <x:v>0</x:v>
      </x:c>
    </x:row>
    <x:row r="824">
      <x:c r="A824" t="str">
        <x:f>IFERROR(TEXT(VALUE('幕间与结算'!A731),"00"),"")</x:f>
        <x:v>00</x:v>
      </x:c>
      <x:c r="B824">
        <x:f>'幕间与结算'!B731</x:f>
        <x:v>0</x:v>
      </x:c>
      <x:c r="C824">
        <x:f>'幕间与结算'!D731</x:f>
        <x:v>0</x:v>
      </x:c>
      <x:c r="D824">
        <x:f>'幕间与结算'!F731</x:f>
        <x:v>0</x:v>
      </x:c>
      <x:c r="E824">
        <x:f>IF(H824=1,MAX(-'幕间与结算'!E731,MIN(D824,IF(LEFT(C824,3)="技能：",99,IF(COUNTIF($L$2:$L$7,C824)&gt;0,18,999))-'幕间与结算'!E731)),0)</x:f>
        <x:v>0</x:v>
      </x:c>
      <x:c r="F824" t="str">
        <x:f>IF(C824=0,"",IF(G824=0,"记录不完整",IF(H824=0,"重复未计","已计入")))</x:f>
        <x:v/>
      </x:c>
      <x:c r="G824">
        <x:f>IF(AND(AND('幕间与结算'!A731&lt;&gt;"",'幕间与结算'!B731&lt;&gt;"",'幕间与结算'!I731&lt;&gt;"",OR(LEFT(C824,3)="技能：",COUNTIF($L$2:$L$19,C824)&gt;0),ISNUMBER('幕间与结算'!E731),ISNUMBER('幕间与结算'!F731),ISNUMBER('幕间与结算'!G731),'幕间与结算'!E731&gt;=0,'幕间与结算'!G731='幕间与结算'!E731+'幕间与结算'!F731),OR(B824&lt;&gt;"成长",AND(LEFT(C824,3)="技能：",C824&lt;&gt;"技能：非自然知识",'幕间与结算'!E731&gt;=1,'幕间与结算'!E731&lt;=99,'幕间与结算'!F731&gt;=0,'幕间与结算'!F731&lt;=4,'幕间与结算'!G731&lt;=99))),1,0)</x:f>
        <x:v>0</x:v>
      </x:c>
      <x:c r="H824">
        <x:f>IF(AND(G824=1,COUNTIFS($I$200:I824,I824,$G$200:G824,1)=1),1,0)</x:f>
        <x:v>0</x:v>
      </x:c>
      <x:c r="I824" t="str">
        <x:f>IF(G824=1,IF(B824="成长",A824&amp;"-成长-"&amp;C824,'幕间与结算'!I731),"")</x:f>
        <x:v/>
      </x:c>
      <x:c r="BF824">
        <x:f>MAX(0,MIN(18,BF823+IF(C824="力量",E824,0)))</x:f>
        <x:v>0</x:v>
      </x:c>
      <x:c r="BG824">
        <x:f>MAX(0,MIN(18,BG823+IF(C824="体质",E824,0)))</x:f>
        <x:v>0</x:v>
      </x:c>
      <x:c r="BH824">
        <x:f>MAX(0,MIN(18,BH823+IF(C824="敏捷",E824,0)))</x:f>
        <x:v>0</x:v>
      </x:c>
      <x:c r="BI824">
        <x:f>MAX(0,MIN(18,BI823+IF(C824="智力",E824,0)))</x:f>
        <x:v>0</x:v>
      </x:c>
      <x:c r="BJ824">
        <x:f>MAX(0,MIN(18,BJ823+IF(C824="意志",E824,0)))</x:f>
        <x:v>0</x:v>
      </x:c>
      <x:c r="BK824">
        <x:f>MAX(0,MIN(18,BK823+IF(C824="魅力",E824,0)))</x:f>
        <x:v>0</x:v>
      </x:c>
      <x:c r="BL824">
        <x:f>MAX(0,MIN(99,BL823+IF(C824="技能：非自然知识",E824,0)))</x:f>
        <x:v>0</x:v>
      </x:c>
      <x:c r="BM824">
        <x:f>MAX(0,MIN(CEILING((BF824+BG824)/2,1),BM823+IF(C824="体力",E824,0)))</x:f>
        <x:v>0</x:v>
      </x:c>
      <x:c r="BN824">
        <x:f>MAX(0,MIN(BJ824,BN823+IF(C824="毅力",E824,0)))</x:f>
        <x:v>0</x:v>
      </x:c>
      <x:c r="BO824">
        <x:f>MAX(0,MIN(99-BL824,BO823+IF(C824="理智",E824,0)))</x:f>
        <x:v>0</x:v>
      </x:c>
      <x:c r="BP824">
        <x:f>MAX(0,MIN(99,BP823+IF(C824="崩溃点",E824,0)))</x:f>
        <x:v>0</x:v>
      </x:c>
      <x:c r="BQ824">
        <x:f>MAX(0,MIN(BK824,IF(AND(H824=1,C824="重要关系1",LEFT('幕间与结算'!H731,8)="建立新的重要关系"),'幕间与结算'!E731+E824,BQ823+IF(C824="重要关系1",E824,0)+IF(AND(C824="魅力",E824&lt;0),E824,0))))</x:f>
        <x:v>0</x:v>
      </x:c>
      <x:c r="BR824">
        <x:f>MAX(0,MIN(BK824,IF(AND(H824=1,C824="重要关系2",LEFT('幕间与结算'!H731,8)="建立新的重要关系"),'幕间与结算'!E731+E824,BR823+IF(C824="重要关系2",E824,0)+IF(AND(C824="魅力",E824&lt;0),E824,0))))</x:f>
        <x:v>0</x:v>
      </x:c>
      <x:c r="BS824">
        <x:f>MAX(0,MIN(BK824,IF(AND(H824=1,C824="重要关系3",LEFT('幕间与结算'!H731,8)="建立新的重要关系"),'幕间与结算'!E731+E824,BS823+IF(C824="重要关系3",E824,0)+IF(AND(C824="魅力",E824&lt;0),E824,0))))</x:f>
        <x:v>0</x:v>
      </x:c>
      <x:c r="BT824">
        <x:f>MAX(0,MIN(BK824,IF(AND(H824=1,C824="重要关系4",LEFT('幕间与结算'!H731,8)="建立新的重要关系"),'幕间与结算'!E731+E824,BT823+IF(C824="重要关系4",E824,0)+IF(AND(C824="魅力",E824&lt;0),E824,0))))</x:f>
        <x:v>0</x:v>
      </x:c>
      <x:c r="BU824">
        <x:f>MAX(0,MIN(BK824,IF(AND(H824=1,C824="重要关系5",LEFT('幕间与结算'!H731,8)="建立新的重要关系"),'幕间与结算'!E731+E824,BU823+IF(C824="重要关系5",E824,0)+IF(AND(C824="魅力",E824&lt;0),E824,0))))</x:f>
        <x:v>0</x:v>
      </x:c>
      <x:c r="BV824">
        <x:f>MAX(0,MIN(BK824,IF(AND(H824=1,C824="重要关系6",LEFT('幕间与结算'!H731,8)="建立新的重要关系"),'幕间与结算'!E731+E824,BV823+IF(C824="重要关系6",E824,0)+IF(AND(C824="魅力",E824&lt;0),E824,0))))</x:f>
        <x:v>0</x:v>
      </x:c>
      <x:c r="BW824">
        <x:f>MAX(0,MIN(BK824,IF(AND(H824=1,C824="重要关系7",LEFT('幕间与结算'!H731,8)="建立新的重要关系"),'幕间与结算'!E731+E824,BW823+IF(C824="重要关系7",E824,0)+IF(AND(C824="魅力",E824&lt;0),E824,0))))</x:f>
        <x:v>0</x:v>
      </x:c>
    </x:row>
    <x:row r="825">
      <x:c r="A825" t="str">
        <x:f>IFERROR(TEXT(VALUE('幕间与结算'!A732),"00"),"")</x:f>
        <x:v>00</x:v>
      </x:c>
      <x:c r="B825">
        <x:f>'幕间与结算'!B732</x:f>
        <x:v>0</x:v>
      </x:c>
      <x:c r="C825">
        <x:f>'幕间与结算'!D732</x:f>
        <x:v>0</x:v>
      </x:c>
      <x:c r="D825">
        <x:f>'幕间与结算'!F732</x:f>
        <x:v>0</x:v>
      </x:c>
      <x:c r="E825">
        <x:f>IF(H825=1,MAX(-'幕间与结算'!E732,MIN(D825,IF(LEFT(C825,3)="技能：",99,IF(COUNTIF($L$2:$L$7,C825)&gt;0,18,999))-'幕间与结算'!E732)),0)</x:f>
        <x:v>0</x:v>
      </x:c>
      <x:c r="F825" t="str">
        <x:f>IF(C825=0,"",IF(G825=0,"记录不完整",IF(H825=0,"重复未计","已计入")))</x:f>
        <x:v/>
      </x:c>
      <x:c r="G825">
        <x:f>IF(AND(AND('幕间与结算'!A732&lt;&gt;"",'幕间与结算'!B732&lt;&gt;"",'幕间与结算'!I732&lt;&gt;"",OR(LEFT(C825,3)="技能：",COUNTIF($L$2:$L$19,C825)&gt;0),ISNUMBER('幕间与结算'!E732),ISNUMBER('幕间与结算'!F732),ISNUMBER('幕间与结算'!G732),'幕间与结算'!E732&gt;=0,'幕间与结算'!G732='幕间与结算'!E732+'幕间与结算'!F732),OR(B825&lt;&gt;"成长",AND(LEFT(C825,3)="技能：",C825&lt;&gt;"技能：非自然知识",'幕间与结算'!E732&gt;=1,'幕间与结算'!E732&lt;=99,'幕间与结算'!F732&gt;=0,'幕间与结算'!F732&lt;=4,'幕间与结算'!G732&lt;=99))),1,0)</x:f>
        <x:v>0</x:v>
      </x:c>
      <x:c r="H825">
        <x:f>IF(AND(G825=1,COUNTIFS($I$200:I825,I825,$G$200:G825,1)=1),1,0)</x:f>
        <x:v>0</x:v>
      </x:c>
      <x:c r="I825" t="str">
        <x:f>IF(G825=1,IF(B825="成长",A825&amp;"-成长-"&amp;C825,'幕间与结算'!I732),"")</x:f>
        <x:v/>
      </x:c>
      <x:c r="BF825">
        <x:f>MAX(0,MIN(18,BF824+IF(C825="力量",E825,0)))</x:f>
        <x:v>0</x:v>
      </x:c>
      <x:c r="BG825">
        <x:f>MAX(0,MIN(18,BG824+IF(C825="体质",E825,0)))</x:f>
        <x:v>0</x:v>
      </x:c>
      <x:c r="BH825">
        <x:f>MAX(0,MIN(18,BH824+IF(C825="敏捷",E825,0)))</x:f>
        <x:v>0</x:v>
      </x:c>
      <x:c r="BI825">
        <x:f>MAX(0,MIN(18,BI824+IF(C825="智力",E825,0)))</x:f>
        <x:v>0</x:v>
      </x:c>
      <x:c r="BJ825">
        <x:f>MAX(0,MIN(18,BJ824+IF(C825="意志",E825,0)))</x:f>
        <x:v>0</x:v>
      </x:c>
      <x:c r="BK825">
        <x:f>MAX(0,MIN(18,BK824+IF(C825="魅力",E825,0)))</x:f>
        <x:v>0</x:v>
      </x:c>
      <x:c r="BL825">
        <x:f>MAX(0,MIN(99,BL824+IF(C825="技能：非自然知识",E825,0)))</x:f>
        <x:v>0</x:v>
      </x:c>
      <x:c r="BM825">
        <x:f>MAX(0,MIN(CEILING((BF825+BG825)/2,1),BM824+IF(C825="体力",E825,0)))</x:f>
        <x:v>0</x:v>
      </x:c>
      <x:c r="BN825">
        <x:f>MAX(0,MIN(BJ825,BN824+IF(C825="毅力",E825,0)))</x:f>
        <x:v>0</x:v>
      </x:c>
      <x:c r="BO825">
        <x:f>MAX(0,MIN(99-BL825,BO824+IF(C825="理智",E825,0)))</x:f>
        <x:v>0</x:v>
      </x:c>
      <x:c r="BP825">
        <x:f>MAX(0,MIN(99,BP824+IF(C825="崩溃点",E825,0)))</x:f>
        <x:v>0</x:v>
      </x:c>
      <x:c r="BQ825">
        <x:f>MAX(0,MIN(BK825,IF(AND(H825=1,C825="重要关系1",LEFT('幕间与结算'!H732,8)="建立新的重要关系"),'幕间与结算'!E732+E825,BQ824+IF(C825="重要关系1",E825,0)+IF(AND(C825="魅力",E825&lt;0),E825,0))))</x:f>
        <x:v>0</x:v>
      </x:c>
      <x:c r="BR825">
        <x:f>MAX(0,MIN(BK825,IF(AND(H825=1,C825="重要关系2",LEFT('幕间与结算'!H732,8)="建立新的重要关系"),'幕间与结算'!E732+E825,BR824+IF(C825="重要关系2",E825,0)+IF(AND(C825="魅力",E825&lt;0),E825,0))))</x:f>
        <x:v>0</x:v>
      </x:c>
      <x:c r="BS825">
        <x:f>MAX(0,MIN(BK825,IF(AND(H825=1,C825="重要关系3",LEFT('幕间与结算'!H732,8)="建立新的重要关系"),'幕间与结算'!E732+E825,BS824+IF(C825="重要关系3",E825,0)+IF(AND(C825="魅力",E825&lt;0),E825,0))))</x:f>
        <x:v>0</x:v>
      </x:c>
      <x:c r="BT825">
        <x:f>MAX(0,MIN(BK825,IF(AND(H825=1,C825="重要关系4",LEFT('幕间与结算'!H732,8)="建立新的重要关系"),'幕间与结算'!E732+E825,BT824+IF(C825="重要关系4",E825,0)+IF(AND(C825="魅力",E825&lt;0),E825,0))))</x:f>
        <x:v>0</x:v>
      </x:c>
      <x:c r="BU825">
        <x:f>MAX(0,MIN(BK825,IF(AND(H825=1,C825="重要关系5",LEFT('幕间与结算'!H732,8)="建立新的重要关系"),'幕间与结算'!E732+E825,BU824+IF(C825="重要关系5",E825,0)+IF(AND(C825="魅力",E825&lt;0),E825,0))))</x:f>
        <x:v>0</x:v>
      </x:c>
      <x:c r="BV825">
        <x:f>MAX(0,MIN(BK825,IF(AND(H825=1,C825="重要关系6",LEFT('幕间与结算'!H732,8)="建立新的重要关系"),'幕间与结算'!E732+E825,BV824+IF(C825="重要关系6",E825,0)+IF(AND(C825="魅力",E825&lt;0),E825,0))))</x:f>
        <x:v>0</x:v>
      </x:c>
      <x:c r="BW825">
        <x:f>MAX(0,MIN(BK825,IF(AND(H825=1,C825="重要关系7",LEFT('幕间与结算'!H732,8)="建立新的重要关系"),'幕间与结算'!E732+E825,BW824+IF(C825="重要关系7",E825,0)+IF(AND(C825="魅力",E825&lt;0),E825,0))))</x:f>
        <x:v>0</x:v>
      </x:c>
    </x:row>
    <x:row r="826">
      <x:c r="A826" t="str">
        <x:f>IFERROR(TEXT(VALUE('幕间与结算'!A733),"00"),"")</x:f>
        <x:v>00</x:v>
      </x:c>
      <x:c r="B826">
        <x:f>'幕间与结算'!B733</x:f>
        <x:v>0</x:v>
      </x:c>
      <x:c r="C826">
        <x:f>'幕间与结算'!D733</x:f>
        <x:v>0</x:v>
      </x:c>
      <x:c r="D826">
        <x:f>'幕间与结算'!F733</x:f>
        <x:v>0</x:v>
      </x:c>
      <x:c r="E826">
        <x:f>IF(H826=1,MAX(-'幕间与结算'!E733,MIN(D826,IF(LEFT(C826,3)="技能：",99,IF(COUNTIF($L$2:$L$7,C826)&gt;0,18,999))-'幕间与结算'!E733)),0)</x:f>
        <x:v>0</x:v>
      </x:c>
      <x:c r="F826" t="str">
        <x:f>IF(C826=0,"",IF(G826=0,"记录不完整",IF(H826=0,"重复未计","已计入")))</x:f>
        <x:v/>
      </x:c>
      <x:c r="G826">
        <x:f>IF(AND(AND('幕间与结算'!A733&lt;&gt;"",'幕间与结算'!B733&lt;&gt;"",'幕间与结算'!I733&lt;&gt;"",OR(LEFT(C826,3)="技能：",COUNTIF($L$2:$L$19,C826)&gt;0),ISNUMBER('幕间与结算'!E733),ISNUMBER('幕间与结算'!F733),ISNUMBER('幕间与结算'!G733),'幕间与结算'!E733&gt;=0,'幕间与结算'!G733='幕间与结算'!E733+'幕间与结算'!F733),OR(B826&lt;&gt;"成长",AND(LEFT(C826,3)="技能：",C826&lt;&gt;"技能：非自然知识",'幕间与结算'!E733&gt;=1,'幕间与结算'!E733&lt;=99,'幕间与结算'!F733&gt;=0,'幕间与结算'!F733&lt;=4,'幕间与结算'!G733&lt;=99))),1,0)</x:f>
        <x:v>0</x:v>
      </x:c>
      <x:c r="H826">
        <x:f>IF(AND(G826=1,COUNTIFS($I$200:I826,I826,$G$200:G826,1)=1),1,0)</x:f>
        <x:v>0</x:v>
      </x:c>
      <x:c r="I826" t="str">
        <x:f>IF(G826=1,IF(B826="成长",A826&amp;"-成长-"&amp;C826,'幕间与结算'!I733),"")</x:f>
        <x:v/>
      </x:c>
      <x:c r="BF826">
        <x:f>MAX(0,MIN(18,BF825+IF(C826="力量",E826,0)))</x:f>
        <x:v>0</x:v>
      </x:c>
      <x:c r="BG826">
        <x:f>MAX(0,MIN(18,BG825+IF(C826="体质",E826,0)))</x:f>
        <x:v>0</x:v>
      </x:c>
      <x:c r="BH826">
        <x:f>MAX(0,MIN(18,BH825+IF(C826="敏捷",E826,0)))</x:f>
        <x:v>0</x:v>
      </x:c>
      <x:c r="BI826">
        <x:f>MAX(0,MIN(18,BI825+IF(C826="智力",E826,0)))</x:f>
        <x:v>0</x:v>
      </x:c>
      <x:c r="BJ826">
        <x:f>MAX(0,MIN(18,BJ825+IF(C826="意志",E826,0)))</x:f>
        <x:v>0</x:v>
      </x:c>
      <x:c r="BK826">
        <x:f>MAX(0,MIN(18,BK825+IF(C826="魅力",E826,0)))</x:f>
        <x:v>0</x:v>
      </x:c>
      <x:c r="BL826">
        <x:f>MAX(0,MIN(99,BL825+IF(C826="技能：非自然知识",E826,0)))</x:f>
        <x:v>0</x:v>
      </x:c>
      <x:c r="BM826">
        <x:f>MAX(0,MIN(CEILING((BF826+BG826)/2,1),BM825+IF(C826="体力",E826,0)))</x:f>
        <x:v>0</x:v>
      </x:c>
      <x:c r="BN826">
        <x:f>MAX(0,MIN(BJ826,BN825+IF(C826="毅力",E826,0)))</x:f>
        <x:v>0</x:v>
      </x:c>
      <x:c r="BO826">
        <x:f>MAX(0,MIN(99-BL826,BO825+IF(C826="理智",E826,0)))</x:f>
        <x:v>0</x:v>
      </x:c>
      <x:c r="BP826">
        <x:f>MAX(0,MIN(99,BP825+IF(C826="崩溃点",E826,0)))</x:f>
        <x:v>0</x:v>
      </x:c>
      <x:c r="BQ826">
        <x:f>MAX(0,MIN(BK826,IF(AND(H826=1,C826="重要关系1",LEFT('幕间与结算'!H733,8)="建立新的重要关系"),'幕间与结算'!E733+E826,BQ825+IF(C826="重要关系1",E826,0)+IF(AND(C826="魅力",E826&lt;0),E826,0))))</x:f>
        <x:v>0</x:v>
      </x:c>
      <x:c r="BR826">
        <x:f>MAX(0,MIN(BK826,IF(AND(H826=1,C826="重要关系2",LEFT('幕间与结算'!H733,8)="建立新的重要关系"),'幕间与结算'!E733+E826,BR825+IF(C826="重要关系2",E826,0)+IF(AND(C826="魅力",E826&lt;0),E826,0))))</x:f>
        <x:v>0</x:v>
      </x:c>
      <x:c r="BS826">
        <x:f>MAX(0,MIN(BK826,IF(AND(H826=1,C826="重要关系3",LEFT('幕间与结算'!H733,8)="建立新的重要关系"),'幕间与结算'!E733+E826,BS825+IF(C826="重要关系3",E826,0)+IF(AND(C826="魅力",E826&lt;0),E826,0))))</x:f>
        <x:v>0</x:v>
      </x:c>
      <x:c r="BT826">
        <x:f>MAX(0,MIN(BK826,IF(AND(H826=1,C826="重要关系4",LEFT('幕间与结算'!H733,8)="建立新的重要关系"),'幕间与结算'!E733+E826,BT825+IF(C826="重要关系4",E826,0)+IF(AND(C826="魅力",E826&lt;0),E826,0))))</x:f>
        <x:v>0</x:v>
      </x:c>
      <x:c r="BU826">
        <x:f>MAX(0,MIN(BK826,IF(AND(H826=1,C826="重要关系5",LEFT('幕间与结算'!H733,8)="建立新的重要关系"),'幕间与结算'!E733+E826,BU825+IF(C826="重要关系5",E826,0)+IF(AND(C826="魅力",E826&lt;0),E826,0))))</x:f>
        <x:v>0</x:v>
      </x:c>
      <x:c r="BV826">
        <x:f>MAX(0,MIN(BK826,IF(AND(H826=1,C826="重要关系6",LEFT('幕间与结算'!H733,8)="建立新的重要关系"),'幕间与结算'!E733+E826,BV825+IF(C826="重要关系6",E826,0)+IF(AND(C826="魅力",E826&lt;0),E826,0))))</x:f>
        <x:v>0</x:v>
      </x:c>
      <x:c r="BW826">
        <x:f>MAX(0,MIN(BK826,IF(AND(H826=1,C826="重要关系7",LEFT('幕间与结算'!H733,8)="建立新的重要关系"),'幕间与结算'!E733+E826,BW825+IF(C826="重要关系7",E826,0)+IF(AND(C826="魅力",E826&lt;0),E826,0))))</x:f>
        <x:v>0</x:v>
      </x:c>
    </x:row>
    <x:row r="827">
      <x:c r="A827" t="str">
        <x:f>IFERROR(TEXT(VALUE('幕间与结算'!A734),"00"),"")</x:f>
        <x:v>00</x:v>
      </x:c>
      <x:c r="B827">
        <x:f>'幕间与结算'!B734</x:f>
        <x:v>0</x:v>
      </x:c>
      <x:c r="C827">
        <x:f>'幕间与结算'!D734</x:f>
        <x:v>0</x:v>
      </x:c>
      <x:c r="D827">
        <x:f>'幕间与结算'!F734</x:f>
        <x:v>0</x:v>
      </x:c>
      <x:c r="E827">
        <x:f>IF(H827=1,MAX(-'幕间与结算'!E734,MIN(D827,IF(LEFT(C827,3)="技能：",99,IF(COUNTIF($L$2:$L$7,C827)&gt;0,18,999))-'幕间与结算'!E734)),0)</x:f>
        <x:v>0</x:v>
      </x:c>
      <x:c r="F827" t="str">
        <x:f>IF(C827=0,"",IF(G827=0,"记录不完整",IF(H827=0,"重复未计","已计入")))</x:f>
        <x:v/>
      </x:c>
      <x:c r="G827">
        <x:f>IF(AND(AND('幕间与结算'!A734&lt;&gt;"",'幕间与结算'!B734&lt;&gt;"",'幕间与结算'!I734&lt;&gt;"",OR(LEFT(C827,3)="技能：",COUNTIF($L$2:$L$19,C827)&gt;0),ISNUMBER('幕间与结算'!E734),ISNUMBER('幕间与结算'!F734),ISNUMBER('幕间与结算'!G734),'幕间与结算'!E734&gt;=0,'幕间与结算'!G734='幕间与结算'!E734+'幕间与结算'!F734),OR(B827&lt;&gt;"成长",AND(LEFT(C827,3)="技能：",C827&lt;&gt;"技能：非自然知识",'幕间与结算'!E734&gt;=1,'幕间与结算'!E734&lt;=99,'幕间与结算'!F734&gt;=0,'幕间与结算'!F734&lt;=4,'幕间与结算'!G734&lt;=99))),1,0)</x:f>
        <x:v>0</x:v>
      </x:c>
      <x:c r="H827">
        <x:f>IF(AND(G827=1,COUNTIFS($I$200:I827,I827,$G$200:G827,1)=1),1,0)</x:f>
        <x:v>0</x:v>
      </x:c>
      <x:c r="I827" t="str">
        <x:f>IF(G827=1,IF(B827="成长",A827&amp;"-成长-"&amp;C827,'幕间与结算'!I734),"")</x:f>
        <x:v/>
      </x:c>
      <x:c r="BF827">
        <x:f>MAX(0,MIN(18,BF826+IF(C827="力量",E827,0)))</x:f>
        <x:v>0</x:v>
      </x:c>
      <x:c r="BG827">
        <x:f>MAX(0,MIN(18,BG826+IF(C827="体质",E827,0)))</x:f>
        <x:v>0</x:v>
      </x:c>
      <x:c r="BH827">
        <x:f>MAX(0,MIN(18,BH826+IF(C827="敏捷",E827,0)))</x:f>
        <x:v>0</x:v>
      </x:c>
      <x:c r="BI827">
        <x:f>MAX(0,MIN(18,BI826+IF(C827="智力",E827,0)))</x:f>
        <x:v>0</x:v>
      </x:c>
      <x:c r="BJ827">
        <x:f>MAX(0,MIN(18,BJ826+IF(C827="意志",E827,0)))</x:f>
        <x:v>0</x:v>
      </x:c>
      <x:c r="BK827">
        <x:f>MAX(0,MIN(18,BK826+IF(C827="魅力",E827,0)))</x:f>
        <x:v>0</x:v>
      </x:c>
      <x:c r="BL827">
        <x:f>MAX(0,MIN(99,BL826+IF(C827="技能：非自然知识",E827,0)))</x:f>
        <x:v>0</x:v>
      </x:c>
      <x:c r="BM827">
        <x:f>MAX(0,MIN(CEILING((BF827+BG827)/2,1),BM826+IF(C827="体力",E827,0)))</x:f>
        <x:v>0</x:v>
      </x:c>
      <x:c r="BN827">
        <x:f>MAX(0,MIN(BJ827,BN826+IF(C827="毅力",E827,0)))</x:f>
        <x:v>0</x:v>
      </x:c>
      <x:c r="BO827">
        <x:f>MAX(0,MIN(99-BL827,BO826+IF(C827="理智",E827,0)))</x:f>
        <x:v>0</x:v>
      </x:c>
      <x:c r="BP827">
        <x:f>MAX(0,MIN(99,BP826+IF(C827="崩溃点",E827,0)))</x:f>
        <x:v>0</x:v>
      </x:c>
      <x:c r="BQ827">
        <x:f>MAX(0,MIN(BK827,IF(AND(H827=1,C827="重要关系1",LEFT('幕间与结算'!H734,8)="建立新的重要关系"),'幕间与结算'!E734+E827,BQ826+IF(C827="重要关系1",E827,0)+IF(AND(C827="魅力",E827&lt;0),E827,0))))</x:f>
        <x:v>0</x:v>
      </x:c>
      <x:c r="BR827">
        <x:f>MAX(0,MIN(BK827,IF(AND(H827=1,C827="重要关系2",LEFT('幕间与结算'!H734,8)="建立新的重要关系"),'幕间与结算'!E734+E827,BR826+IF(C827="重要关系2",E827,0)+IF(AND(C827="魅力",E827&lt;0),E827,0))))</x:f>
        <x:v>0</x:v>
      </x:c>
      <x:c r="BS827">
        <x:f>MAX(0,MIN(BK827,IF(AND(H827=1,C827="重要关系3",LEFT('幕间与结算'!H734,8)="建立新的重要关系"),'幕间与结算'!E734+E827,BS826+IF(C827="重要关系3",E827,0)+IF(AND(C827="魅力",E827&lt;0),E827,0))))</x:f>
        <x:v>0</x:v>
      </x:c>
      <x:c r="BT827">
        <x:f>MAX(0,MIN(BK827,IF(AND(H827=1,C827="重要关系4",LEFT('幕间与结算'!H734,8)="建立新的重要关系"),'幕间与结算'!E734+E827,BT826+IF(C827="重要关系4",E827,0)+IF(AND(C827="魅力",E827&lt;0),E827,0))))</x:f>
        <x:v>0</x:v>
      </x:c>
      <x:c r="BU827">
        <x:f>MAX(0,MIN(BK827,IF(AND(H827=1,C827="重要关系5",LEFT('幕间与结算'!H734,8)="建立新的重要关系"),'幕间与结算'!E734+E827,BU826+IF(C827="重要关系5",E827,0)+IF(AND(C827="魅力",E827&lt;0),E827,0))))</x:f>
        <x:v>0</x:v>
      </x:c>
      <x:c r="BV827">
        <x:f>MAX(0,MIN(BK827,IF(AND(H827=1,C827="重要关系6",LEFT('幕间与结算'!H734,8)="建立新的重要关系"),'幕间与结算'!E734+E827,BV826+IF(C827="重要关系6",E827,0)+IF(AND(C827="魅力",E827&lt;0),E827,0))))</x:f>
        <x:v>0</x:v>
      </x:c>
      <x:c r="BW827">
        <x:f>MAX(0,MIN(BK827,IF(AND(H827=1,C827="重要关系7",LEFT('幕间与结算'!H734,8)="建立新的重要关系"),'幕间与结算'!E734+E827,BW826+IF(C827="重要关系7",E827,0)+IF(AND(C827="魅力",E827&lt;0),E827,0))))</x:f>
        <x:v>0</x:v>
      </x:c>
    </x:row>
    <x:row r="828">
      <x:c r="A828" t="str">
        <x:f>IFERROR(TEXT(VALUE('幕间与结算'!A735),"00"),"")</x:f>
        <x:v>00</x:v>
      </x:c>
      <x:c r="B828">
        <x:f>'幕间与结算'!B735</x:f>
        <x:v>0</x:v>
      </x:c>
      <x:c r="C828">
        <x:f>'幕间与结算'!D735</x:f>
        <x:v>0</x:v>
      </x:c>
      <x:c r="D828">
        <x:f>'幕间与结算'!F735</x:f>
        <x:v>0</x:v>
      </x:c>
      <x:c r="E828">
        <x:f>IF(H828=1,MAX(-'幕间与结算'!E735,MIN(D828,IF(LEFT(C828,3)="技能：",99,IF(COUNTIF($L$2:$L$7,C828)&gt;0,18,999))-'幕间与结算'!E735)),0)</x:f>
        <x:v>0</x:v>
      </x:c>
      <x:c r="F828" t="str">
        <x:f>IF(C828=0,"",IF(G828=0,"记录不完整",IF(H828=0,"重复未计","已计入")))</x:f>
        <x:v/>
      </x:c>
      <x:c r="G828">
        <x:f>IF(AND(AND('幕间与结算'!A735&lt;&gt;"",'幕间与结算'!B735&lt;&gt;"",'幕间与结算'!I735&lt;&gt;"",OR(LEFT(C828,3)="技能：",COUNTIF($L$2:$L$19,C828)&gt;0),ISNUMBER('幕间与结算'!E735),ISNUMBER('幕间与结算'!F735),ISNUMBER('幕间与结算'!G735),'幕间与结算'!E735&gt;=0,'幕间与结算'!G735='幕间与结算'!E735+'幕间与结算'!F735),OR(B828&lt;&gt;"成长",AND(LEFT(C828,3)="技能：",C828&lt;&gt;"技能：非自然知识",'幕间与结算'!E735&gt;=1,'幕间与结算'!E735&lt;=99,'幕间与结算'!F735&gt;=0,'幕间与结算'!F735&lt;=4,'幕间与结算'!G735&lt;=99))),1,0)</x:f>
        <x:v>0</x:v>
      </x:c>
      <x:c r="H828">
        <x:f>IF(AND(G828=1,COUNTIFS($I$200:I828,I828,$G$200:G828,1)=1),1,0)</x:f>
        <x:v>0</x:v>
      </x:c>
      <x:c r="I828" t="str">
        <x:f>IF(G828=1,IF(B828="成长",A828&amp;"-成长-"&amp;C828,'幕间与结算'!I735),"")</x:f>
        <x:v/>
      </x:c>
      <x:c r="BF828">
        <x:f>MAX(0,MIN(18,BF827+IF(C828="力量",E828,0)))</x:f>
        <x:v>0</x:v>
      </x:c>
      <x:c r="BG828">
        <x:f>MAX(0,MIN(18,BG827+IF(C828="体质",E828,0)))</x:f>
        <x:v>0</x:v>
      </x:c>
      <x:c r="BH828">
        <x:f>MAX(0,MIN(18,BH827+IF(C828="敏捷",E828,0)))</x:f>
        <x:v>0</x:v>
      </x:c>
      <x:c r="BI828">
        <x:f>MAX(0,MIN(18,BI827+IF(C828="智力",E828,0)))</x:f>
        <x:v>0</x:v>
      </x:c>
      <x:c r="BJ828">
        <x:f>MAX(0,MIN(18,BJ827+IF(C828="意志",E828,0)))</x:f>
        <x:v>0</x:v>
      </x:c>
      <x:c r="BK828">
        <x:f>MAX(0,MIN(18,BK827+IF(C828="魅力",E828,0)))</x:f>
        <x:v>0</x:v>
      </x:c>
      <x:c r="BL828">
        <x:f>MAX(0,MIN(99,BL827+IF(C828="技能：非自然知识",E828,0)))</x:f>
        <x:v>0</x:v>
      </x:c>
      <x:c r="BM828">
        <x:f>MAX(0,MIN(CEILING((BF828+BG828)/2,1),BM827+IF(C828="体力",E828,0)))</x:f>
        <x:v>0</x:v>
      </x:c>
      <x:c r="BN828">
        <x:f>MAX(0,MIN(BJ828,BN827+IF(C828="毅力",E828,0)))</x:f>
        <x:v>0</x:v>
      </x:c>
      <x:c r="BO828">
        <x:f>MAX(0,MIN(99-BL828,BO827+IF(C828="理智",E828,0)))</x:f>
        <x:v>0</x:v>
      </x:c>
      <x:c r="BP828">
        <x:f>MAX(0,MIN(99,BP827+IF(C828="崩溃点",E828,0)))</x:f>
        <x:v>0</x:v>
      </x:c>
      <x:c r="BQ828">
        <x:f>MAX(0,MIN(BK828,IF(AND(H828=1,C828="重要关系1",LEFT('幕间与结算'!H735,8)="建立新的重要关系"),'幕间与结算'!E735+E828,BQ827+IF(C828="重要关系1",E828,0)+IF(AND(C828="魅力",E828&lt;0),E828,0))))</x:f>
        <x:v>0</x:v>
      </x:c>
      <x:c r="BR828">
        <x:f>MAX(0,MIN(BK828,IF(AND(H828=1,C828="重要关系2",LEFT('幕间与结算'!H735,8)="建立新的重要关系"),'幕间与结算'!E735+E828,BR827+IF(C828="重要关系2",E828,0)+IF(AND(C828="魅力",E828&lt;0),E828,0))))</x:f>
        <x:v>0</x:v>
      </x:c>
      <x:c r="BS828">
        <x:f>MAX(0,MIN(BK828,IF(AND(H828=1,C828="重要关系3",LEFT('幕间与结算'!H735,8)="建立新的重要关系"),'幕间与结算'!E735+E828,BS827+IF(C828="重要关系3",E828,0)+IF(AND(C828="魅力",E828&lt;0),E828,0))))</x:f>
        <x:v>0</x:v>
      </x:c>
      <x:c r="BT828">
        <x:f>MAX(0,MIN(BK828,IF(AND(H828=1,C828="重要关系4",LEFT('幕间与结算'!H735,8)="建立新的重要关系"),'幕间与结算'!E735+E828,BT827+IF(C828="重要关系4",E828,0)+IF(AND(C828="魅力",E828&lt;0),E828,0))))</x:f>
        <x:v>0</x:v>
      </x:c>
      <x:c r="BU828">
        <x:f>MAX(0,MIN(BK828,IF(AND(H828=1,C828="重要关系5",LEFT('幕间与结算'!H735,8)="建立新的重要关系"),'幕间与结算'!E735+E828,BU827+IF(C828="重要关系5",E828,0)+IF(AND(C828="魅力",E828&lt;0),E828,0))))</x:f>
        <x:v>0</x:v>
      </x:c>
      <x:c r="BV828">
        <x:f>MAX(0,MIN(BK828,IF(AND(H828=1,C828="重要关系6",LEFT('幕间与结算'!H735,8)="建立新的重要关系"),'幕间与结算'!E735+E828,BV827+IF(C828="重要关系6",E828,0)+IF(AND(C828="魅力",E828&lt;0),E828,0))))</x:f>
        <x:v>0</x:v>
      </x:c>
      <x:c r="BW828">
        <x:f>MAX(0,MIN(BK828,IF(AND(H828=1,C828="重要关系7",LEFT('幕间与结算'!H735,8)="建立新的重要关系"),'幕间与结算'!E735+E828,BW827+IF(C828="重要关系7",E828,0)+IF(AND(C828="魅力",E828&lt;0),E828,0))))</x:f>
        <x:v>0</x:v>
      </x:c>
    </x:row>
    <x:row r="829">
      <x:c r="A829" t="str">
        <x:f>IFERROR(TEXT(VALUE('幕间与结算'!A736),"00"),"")</x:f>
        <x:v>00</x:v>
      </x:c>
      <x:c r="B829">
        <x:f>'幕间与结算'!B736</x:f>
        <x:v>0</x:v>
      </x:c>
      <x:c r="C829">
        <x:f>'幕间与结算'!D736</x:f>
        <x:v>0</x:v>
      </x:c>
      <x:c r="D829">
        <x:f>'幕间与结算'!F736</x:f>
        <x:v>0</x:v>
      </x:c>
      <x:c r="E829">
        <x:f>IF(H829=1,MAX(-'幕间与结算'!E736,MIN(D829,IF(LEFT(C829,3)="技能：",99,IF(COUNTIF($L$2:$L$7,C829)&gt;0,18,999))-'幕间与结算'!E736)),0)</x:f>
        <x:v>0</x:v>
      </x:c>
      <x:c r="F829" t="str">
        <x:f>IF(C829=0,"",IF(G829=0,"记录不完整",IF(H829=0,"重复未计","已计入")))</x:f>
        <x:v/>
      </x:c>
      <x:c r="G829">
        <x:f>IF(AND(AND('幕间与结算'!A736&lt;&gt;"",'幕间与结算'!B736&lt;&gt;"",'幕间与结算'!I736&lt;&gt;"",OR(LEFT(C829,3)="技能：",COUNTIF($L$2:$L$19,C829)&gt;0),ISNUMBER('幕间与结算'!E736),ISNUMBER('幕间与结算'!F736),ISNUMBER('幕间与结算'!G736),'幕间与结算'!E736&gt;=0,'幕间与结算'!G736='幕间与结算'!E736+'幕间与结算'!F736),OR(B829&lt;&gt;"成长",AND(LEFT(C829,3)="技能：",C829&lt;&gt;"技能：非自然知识",'幕间与结算'!E736&gt;=1,'幕间与结算'!E736&lt;=99,'幕间与结算'!F736&gt;=0,'幕间与结算'!F736&lt;=4,'幕间与结算'!G736&lt;=99))),1,0)</x:f>
        <x:v>0</x:v>
      </x:c>
      <x:c r="H829">
        <x:f>IF(AND(G829=1,COUNTIFS($I$200:I829,I829,$G$200:G829,1)=1),1,0)</x:f>
        <x:v>0</x:v>
      </x:c>
      <x:c r="I829" t="str">
        <x:f>IF(G829=1,IF(B829="成长",A829&amp;"-成长-"&amp;C829,'幕间与结算'!I736),"")</x:f>
        <x:v/>
      </x:c>
      <x:c r="BF829">
        <x:f>MAX(0,MIN(18,BF828+IF(C829="力量",E829,0)))</x:f>
        <x:v>0</x:v>
      </x:c>
      <x:c r="BG829">
        <x:f>MAX(0,MIN(18,BG828+IF(C829="体质",E829,0)))</x:f>
        <x:v>0</x:v>
      </x:c>
      <x:c r="BH829">
        <x:f>MAX(0,MIN(18,BH828+IF(C829="敏捷",E829,0)))</x:f>
        <x:v>0</x:v>
      </x:c>
      <x:c r="BI829">
        <x:f>MAX(0,MIN(18,BI828+IF(C829="智力",E829,0)))</x:f>
        <x:v>0</x:v>
      </x:c>
      <x:c r="BJ829">
        <x:f>MAX(0,MIN(18,BJ828+IF(C829="意志",E829,0)))</x:f>
        <x:v>0</x:v>
      </x:c>
      <x:c r="BK829">
        <x:f>MAX(0,MIN(18,BK828+IF(C829="魅力",E829,0)))</x:f>
        <x:v>0</x:v>
      </x:c>
      <x:c r="BL829">
        <x:f>MAX(0,MIN(99,BL828+IF(C829="技能：非自然知识",E829,0)))</x:f>
        <x:v>0</x:v>
      </x:c>
      <x:c r="BM829">
        <x:f>MAX(0,MIN(CEILING((BF829+BG829)/2,1),BM828+IF(C829="体力",E829,0)))</x:f>
        <x:v>0</x:v>
      </x:c>
      <x:c r="BN829">
        <x:f>MAX(0,MIN(BJ829,BN828+IF(C829="毅力",E829,0)))</x:f>
        <x:v>0</x:v>
      </x:c>
      <x:c r="BO829">
        <x:f>MAX(0,MIN(99-BL829,BO828+IF(C829="理智",E829,0)))</x:f>
        <x:v>0</x:v>
      </x:c>
      <x:c r="BP829">
        <x:f>MAX(0,MIN(99,BP828+IF(C829="崩溃点",E829,0)))</x:f>
        <x:v>0</x:v>
      </x:c>
      <x:c r="BQ829">
        <x:f>MAX(0,MIN(BK829,IF(AND(H829=1,C829="重要关系1",LEFT('幕间与结算'!H736,8)="建立新的重要关系"),'幕间与结算'!E736+E829,BQ828+IF(C829="重要关系1",E829,0)+IF(AND(C829="魅力",E829&lt;0),E829,0))))</x:f>
        <x:v>0</x:v>
      </x:c>
      <x:c r="BR829">
        <x:f>MAX(0,MIN(BK829,IF(AND(H829=1,C829="重要关系2",LEFT('幕间与结算'!H736,8)="建立新的重要关系"),'幕间与结算'!E736+E829,BR828+IF(C829="重要关系2",E829,0)+IF(AND(C829="魅力",E829&lt;0),E829,0))))</x:f>
        <x:v>0</x:v>
      </x:c>
      <x:c r="BS829">
        <x:f>MAX(0,MIN(BK829,IF(AND(H829=1,C829="重要关系3",LEFT('幕间与结算'!H736,8)="建立新的重要关系"),'幕间与结算'!E736+E829,BS828+IF(C829="重要关系3",E829,0)+IF(AND(C829="魅力",E829&lt;0),E829,0))))</x:f>
        <x:v>0</x:v>
      </x:c>
      <x:c r="BT829">
        <x:f>MAX(0,MIN(BK829,IF(AND(H829=1,C829="重要关系4",LEFT('幕间与结算'!H736,8)="建立新的重要关系"),'幕间与结算'!E736+E829,BT828+IF(C829="重要关系4",E829,0)+IF(AND(C829="魅力",E829&lt;0),E829,0))))</x:f>
        <x:v>0</x:v>
      </x:c>
      <x:c r="BU829">
        <x:f>MAX(0,MIN(BK829,IF(AND(H829=1,C829="重要关系5",LEFT('幕间与结算'!H736,8)="建立新的重要关系"),'幕间与结算'!E736+E829,BU828+IF(C829="重要关系5",E829,0)+IF(AND(C829="魅力",E829&lt;0),E829,0))))</x:f>
        <x:v>0</x:v>
      </x:c>
      <x:c r="BV829">
        <x:f>MAX(0,MIN(BK829,IF(AND(H829=1,C829="重要关系6",LEFT('幕间与结算'!H736,8)="建立新的重要关系"),'幕间与结算'!E736+E829,BV828+IF(C829="重要关系6",E829,0)+IF(AND(C829="魅力",E829&lt;0),E829,0))))</x:f>
        <x:v>0</x:v>
      </x:c>
      <x:c r="BW829">
        <x:f>MAX(0,MIN(BK829,IF(AND(H829=1,C829="重要关系7",LEFT('幕间与结算'!H736,8)="建立新的重要关系"),'幕间与结算'!E736+E829,BW828+IF(C829="重要关系7",E829,0)+IF(AND(C829="魅力",E829&lt;0),E829,0))))</x:f>
        <x:v>0</x:v>
      </x:c>
    </x:row>
    <x:row r="830">
      <x:c r="A830" t="str">
        <x:f>IFERROR(TEXT(VALUE('幕间与结算'!A737),"00"),"")</x:f>
        <x:v>00</x:v>
      </x:c>
      <x:c r="B830">
        <x:f>'幕间与结算'!B737</x:f>
        <x:v>0</x:v>
      </x:c>
      <x:c r="C830">
        <x:f>'幕间与结算'!D737</x:f>
        <x:v>0</x:v>
      </x:c>
      <x:c r="D830">
        <x:f>'幕间与结算'!F737</x:f>
        <x:v>0</x:v>
      </x:c>
      <x:c r="E830">
        <x:f>IF(H830=1,MAX(-'幕间与结算'!E737,MIN(D830,IF(LEFT(C830,3)="技能：",99,IF(COUNTIF($L$2:$L$7,C830)&gt;0,18,999))-'幕间与结算'!E737)),0)</x:f>
        <x:v>0</x:v>
      </x:c>
      <x:c r="F830" t="str">
        <x:f>IF(C830=0,"",IF(G830=0,"记录不完整",IF(H830=0,"重复未计","已计入")))</x:f>
        <x:v/>
      </x:c>
      <x:c r="G830">
        <x:f>IF(AND(AND('幕间与结算'!A737&lt;&gt;"",'幕间与结算'!B737&lt;&gt;"",'幕间与结算'!I737&lt;&gt;"",OR(LEFT(C830,3)="技能：",COUNTIF($L$2:$L$19,C830)&gt;0),ISNUMBER('幕间与结算'!E737),ISNUMBER('幕间与结算'!F737),ISNUMBER('幕间与结算'!G737),'幕间与结算'!E737&gt;=0,'幕间与结算'!G737='幕间与结算'!E737+'幕间与结算'!F737),OR(B830&lt;&gt;"成长",AND(LEFT(C830,3)="技能：",C830&lt;&gt;"技能：非自然知识",'幕间与结算'!E737&gt;=1,'幕间与结算'!E737&lt;=99,'幕间与结算'!F737&gt;=0,'幕间与结算'!F737&lt;=4,'幕间与结算'!G737&lt;=99))),1,0)</x:f>
        <x:v>0</x:v>
      </x:c>
      <x:c r="H830">
        <x:f>IF(AND(G830=1,COUNTIFS($I$200:I830,I830,$G$200:G830,1)=1),1,0)</x:f>
        <x:v>0</x:v>
      </x:c>
      <x:c r="I830" t="str">
        <x:f>IF(G830=1,IF(B830="成长",A830&amp;"-成长-"&amp;C830,'幕间与结算'!I737),"")</x:f>
        <x:v/>
      </x:c>
      <x:c r="BF830">
        <x:f>MAX(0,MIN(18,BF829+IF(C830="力量",E830,0)))</x:f>
        <x:v>0</x:v>
      </x:c>
      <x:c r="BG830">
        <x:f>MAX(0,MIN(18,BG829+IF(C830="体质",E830,0)))</x:f>
        <x:v>0</x:v>
      </x:c>
      <x:c r="BH830">
        <x:f>MAX(0,MIN(18,BH829+IF(C830="敏捷",E830,0)))</x:f>
        <x:v>0</x:v>
      </x:c>
      <x:c r="BI830">
        <x:f>MAX(0,MIN(18,BI829+IF(C830="智力",E830,0)))</x:f>
        <x:v>0</x:v>
      </x:c>
      <x:c r="BJ830">
        <x:f>MAX(0,MIN(18,BJ829+IF(C830="意志",E830,0)))</x:f>
        <x:v>0</x:v>
      </x:c>
      <x:c r="BK830">
        <x:f>MAX(0,MIN(18,BK829+IF(C830="魅力",E830,0)))</x:f>
        <x:v>0</x:v>
      </x:c>
      <x:c r="BL830">
        <x:f>MAX(0,MIN(99,BL829+IF(C830="技能：非自然知识",E830,0)))</x:f>
        <x:v>0</x:v>
      </x:c>
      <x:c r="BM830">
        <x:f>MAX(0,MIN(CEILING((BF830+BG830)/2,1),BM829+IF(C830="体力",E830,0)))</x:f>
        <x:v>0</x:v>
      </x:c>
      <x:c r="BN830">
        <x:f>MAX(0,MIN(BJ830,BN829+IF(C830="毅力",E830,0)))</x:f>
        <x:v>0</x:v>
      </x:c>
      <x:c r="BO830">
        <x:f>MAX(0,MIN(99-BL830,BO829+IF(C830="理智",E830,0)))</x:f>
        <x:v>0</x:v>
      </x:c>
      <x:c r="BP830">
        <x:f>MAX(0,MIN(99,BP829+IF(C830="崩溃点",E830,0)))</x:f>
        <x:v>0</x:v>
      </x:c>
      <x:c r="BQ830">
        <x:f>MAX(0,MIN(BK830,IF(AND(H830=1,C830="重要关系1",LEFT('幕间与结算'!H737,8)="建立新的重要关系"),'幕间与结算'!E737+E830,BQ829+IF(C830="重要关系1",E830,0)+IF(AND(C830="魅力",E830&lt;0),E830,0))))</x:f>
        <x:v>0</x:v>
      </x:c>
      <x:c r="BR830">
        <x:f>MAX(0,MIN(BK830,IF(AND(H830=1,C830="重要关系2",LEFT('幕间与结算'!H737,8)="建立新的重要关系"),'幕间与结算'!E737+E830,BR829+IF(C830="重要关系2",E830,0)+IF(AND(C830="魅力",E830&lt;0),E830,0))))</x:f>
        <x:v>0</x:v>
      </x:c>
      <x:c r="BS830">
        <x:f>MAX(0,MIN(BK830,IF(AND(H830=1,C830="重要关系3",LEFT('幕间与结算'!H737,8)="建立新的重要关系"),'幕间与结算'!E737+E830,BS829+IF(C830="重要关系3",E830,0)+IF(AND(C830="魅力",E830&lt;0),E830,0))))</x:f>
        <x:v>0</x:v>
      </x:c>
      <x:c r="BT830">
        <x:f>MAX(0,MIN(BK830,IF(AND(H830=1,C830="重要关系4",LEFT('幕间与结算'!H737,8)="建立新的重要关系"),'幕间与结算'!E737+E830,BT829+IF(C830="重要关系4",E830,0)+IF(AND(C830="魅力",E830&lt;0),E830,0))))</x:f>
        <x:v>0</x:v>
      </x:c>
      <x:c r="BU830">
        <x:f>MAX(0,MIN(BK830,IF(AND(H830=1,C830="重要关系5",LEFT('幕间与结算'!H737,8)="建立新的重要关系"),'幕间与结算'!E737+E830,BU829+IF(C830="重要关系5",E830,0)+IF(AND(C830="魅力",E830&lt;0),E830,0))))</x:f>
        <x:v>0</x:v>
      </x:c>
      <x:c r="BV830">
        <x:f>MAX(0,MIN(BK830,IF(AND(H830=1,C830="重要关系6",LEFT('幕间与结算'!H737,8)="建立新的重要关系"),'幕间与结算'!E737+E830,BV829+IF(C830="重要关系6",E830,0)+IF(AND(C830="魅力",E830&lt;0),E830,0))))</x:f>
        <x:v>0</x:v>
      </x:c>
      <x:c r="BW830">
        <x:f>MAX(0,MIN(BK830,IF(AND(H830=1,C830="重要关系7",LEFT('幕间与结算'!H737,8)="建立新的重要关系"),'幕间与结算'!E737+E830,BW829+IF(C830="重要关系7",E830,0)+IF(AND(C830="魅力",E830&lt;0),E830,0))))</x:f>
        <x:v>0</x:v>
      </x:c>
    </x:row>
    <x:row r="831">
      <x:c r="A831" t="str">
        <x:f>IFERROR(TEXT(VALUE('幕间与结算'!A738),"00"),"")</x:f>
        <x:v>00</x:v>
      </x:c>
      <x:c r="B831">
        <x:f>'幕间与结算'!B738</x:f>
        <x:v>0</x:v>
      </x:c>
      <x:c r="C831">
        <x:f>'幕间与结算'!D738</x:f>
        <x:v>0</x:v>
      </x:c>
      <x:c r="D831">
        <x:f>'幕间与结算'!F738</x:f>
        <x:v>0</x:v>
      </x:c>
      <x:c r="E831">
        <x:f>IF(H831=1,MAX(-'幕间与结算'!E738,MIN(D831,IF(LEFT(C831,3)="技能：",99,IF(COUNTIF($L$2:$L$7,C831)&gt;0,18,999))-'幕间与结算'!E738)),0)</x:f>
        <x:v>0</x:v>
      </x:c>
      <x:c r="F831" t="str">
        <x:f>IF(C831=0,"",IF(G831=0,"记录不完整",IF(H831=0,"重复未计","已计入")))</x:f>
        <x:v/>
      </x:c>
      <x:c r="G831">
        <x:f>IF(AND(AND('幕间与结算'!A738&lt;&gt;"",'幕间与结算'!B738&lt;&gt;"",'幕间与结算'!I738&lt;&gt;"",OR(LEFT(C831,3)="技能：",COUNTIF($L$2:$L$19,C831)&gt;0),ISNUMBER('幕间与结算'!E738),ISNUMBER('幕间与结算'!F738),ISNUMBER('幕间与结算'!G738),'幕间与结算'!E738&gt;=0,'幕间与结算'!G738='幕间与结算'!E738+'幕间与结算'!F738),OR(B831&lt;&gt;"成长",AND(LEFT(C831,3)="技能：",C831&lt;&gt;"技能：非自然知识",'幕间与结算'!E738&gt;=1,'幕间与结算'!E738&lt;=99,'幕间与结算'!F738&gt;=0,'幕间与结算'!F738&lt;=4,'幕间与结算'!G738&lt;=99))),1,0)</x:f>
        <x:v>0</x:v>
      </x:c>
      <x:c r="H831">
        <x:f>IF(AND(G831=1,COUNTIFS($I$200:I831,I831,$G$200:G831,1)=1),1,0)</x:f>
        <x:v>0</x:v>
      </x:c>
      <x:c r="I831" t="str">
        <x:f>IF(G831=1,IF(B831="成长",A831&amp;"-成长-"&amp;C831,'幕间与结算'!I738),"")</x:f>
        <x:v/>
      </x:c>
      <x:c r="BF831">
        <x:f>MAX(0,MIN(18,BF830+IF(C831="力量",E831,0)))</x:f>
        <x:v>0</x:v>
      </x:c>
      <x:c r="BG831">
        <x:f>MAX(0,MIN(18,BG830+IF(C831="体质",E831,0)))</x:f>
        <x:v>0</x:v>
      </x:c>
      <x:c r="BH831">
        <x:f>MAX(0,MIN(18,BH830+IF(C831="敏捷",E831,0)))</x:f>
        <x:v>0</x:v>
      </x:c>
      <x:c r="BI831">
        <x:f>MAX(0,MIN(18,BI830+IF(C831="智力",E831,0)))</x:f>
        <x:v>0</x:v>
      </x:c>
      <x:c r="BJ831">
        <x:f>MAX(0,MIN(18,BJ830+IF(C831="意志",E831,0)))</x:f>
        <x:v>0</x:v>
      </x:c>
      <x:c r="BK831">
        <x:f>MAX(0,MIN(18,BK830+IF(C831="魅力",E831,0)))</x:f>
        <x:v>0</x:v>
      </x:c>
      <x:c r="BL831">
        <x:f>MAX(0,MIN(99,BL830+IF(C831="技能：非自然知识",E831,0)))</x:f>
        <x:v>0</x:v>
      </x:c>
      <x:c r="BM831">
        <x:f>MAX(0,MIN(CEILING((BF831+BG831)/2,1),BM830+IF(C831="体力",E831,0)))</x:f>
        <x:v>0</x:v>
      </x:c>
      <x:c r="BN831">
        <x:f>MAX(0,MIN(BJ831,BN830+IF(C831="毅力",E831,0)))</x:f>
        <x:v>0</x:v>
      </x:c>
      <x:c r="BO831">
        <x:f>MAX(0,MIN(99-BL831,BO830+IF(C831="理智",E831,0)))</x:f>
        <x:v>0</x:v>
      </x:c>
      <x:c r="BP831">
        <x:f>MAX(0,MIN(99,BP830+IF(C831="崩溃点",E831,0)))</x:f>
        <x:v>0</x:v>
      </x:c>
      <x:c r="BQ831">
        <x:f>MAX(0,MIN(BK831,IF(AND(H831=1,C831="重要关系1",LEFT('幕间与结算'!H738,8)="建立新的重要关系"),'幕间与结算'!E738+E831,BQ830+IF(C831="重要关系1",E831,0)+IF(AND(C831="魅力",E831&lt;0),E831,0))))</x:f>
        <x:v>0</x:v>
      </x:c>
      <x:c r="BR831">
        <x:f>MAX(0,MIN(BK831,IF(AND(H831=1,C831="重要关系2",LEFT('幕间与结算'!H738,8)="建立新的重要关系"),'幕间与结算'!E738+E831,BR830+IF(C831="重要关系2",E831,0)+IF(AND(C831="魅力",E831&lt;0),E831,0))))</x:f>
        <x:v>0</x:v>
      </x:c>
      <x:c r="BS831">
        <x:f>MAX(0,MIN(BK831,IF(AND(H831=1,C831="重要关系3",LEFT('幕间与结算'!H738,8)="建立新的重要关系"),'幕间与结算'!E738+E831,BS830+IF(C831="重要关系3",E831,0)+IF(AND(C831="魅力",E831&lt;0),E831,0))))</x:f>
        <x:v>0</x:v>
      </x:c>
      <x:c r="BT831">
        <x:f>MAX(0,MIN(BK831,IF(AND(H831=1,C831="重要关系4",LEFT('幕间与结算'!H738,8)="建立新的重要关系"),'幕间与结算'!E738+E831,BT830+IF(C831="重要关系4",E831,0)+IF(AND(C831="魅力",E831&lt;0),E831,0))))</x:f>
        <x:v>0</x:v>
      </x:c>
      <x:c r="BU831">
        <x:f>MAX(0,MIN(BK831,IF(AND(H831=1,C831="重要关系5",LEFT('幕间与结算'!H738,8)="建立新的重要关系"),'幕间与结算'!E738+E831,BU830+IF(C831="重要关系5",E831,0)+IF(AND(C831="魅力",E831&lt;0),E831,0))))</x:f>
        <x:v>0</x:v>
      </x:c>
      <x:c r="BV831">
        <x:f>MAX(0,MIN(BK831,IF(AND(H831=1,C831="重要关系6",LEFT('幕间与结算'!H738,8)="建立新的重要关系"),'幕间与结算'!E738+E831,BV830+IF(C831="重要关系6",E831,0)+IF(AND(C831="魅力",E831&lt;0),E831,0))))</x:f>
        <x:v>0</x:v>
      </x:c>
      <x:c r="BW831">
        <x:f>MAX(0,MIN(BK831,IF(AND(H831=1,C831="重要关系7",LEFT('幕间与结算'!H738,8)="建立新的重要关系"),'幕间与结算'!E738+E831,BW830+IF(C831="重要关系7",E831,0)+IF(AND(C831="魅力",E831&lt;0),E831,0))))</x:f>
        <x:v>0</x:v>
      </x:c>
    </x:row>
    <x:row r="832">
      <x:c r="A832" t="str">
        <x:f>IFERROR(TEXT(VALUE('幕间与结算'!A739),"00"),"")</x:f>
        <x:v>00</x:v>
      </x:c>
      <x:c r="B832">
        <x:f>'幕间与结算'!B739</x:f>
        <x:v>0</x:v>
      </x:c>
      <x:c r="C832">
        <x:f>'幕间与结算'!D739</x:f>
        <x:v>0</x:v>
      </x:c>
      <x:c r="D832">
        <x:f>'幕间与结算'!F739</x:f>
        <x:v>0</x:v>
      </x:c>
      <x:c r="E832">
        <x:f>IF(H832=1,MAX(-'幕间与结算'!E739,MIN(D832,IF(LEFT(C832,3)="技能：",99,IF(COUNTIF($L$2:$L$7,C832)&gt;0,18,999))-'幕间与结算'!E739)),0)</x:f>
        <x:v>0</x:v>
      </x:c>
      <x:c r="F832" t="str">
        <x:f>IF(C832=0,"",IF(G832=0,"记录不完整",IF(H832=0,"重复未计","已计入")))</x:f>
        <x:v/>
      </x:c>
      <x:c r="G832">
        <x:f>IF(AND(AND('幕间与结算'!A739&lt;&gt;"",'幕间与结算'!B739&lt;&gt;"",'幕间与结算'!I739&lt;&gt;"",OR(LEFT(C832,3)="技能：",COUNTIF($L$2:$L$19,C832)&gt;0),ISNUMBER('幕间与结算'!E739),ISNUMBER('幕间与结算'!F739),ISNUMBER('幕间与结算'!G739),'幕间与结算'!E739&gt;=0,'幕间与结算'!G739='幕间与结算'!E739+'幕间与结算'!F739),OR(B832&lt;&gt;"成长",AND(LEFT(C832,3)="技能：",C832&lt;&gt;"技能：非自然知识",'幕间与结算'!E739&gt;=1,'幕间与结算'!E739&lt;=99,'幕间与结算'!F739&gt;=0,'幕间与结算'!F739&lt;=4,'幕间与结算'!G739&lt;=99))),1,0)</x:f>
        <x:v>0</x:v>
      </x:c>
      <x:c r="H832">
        <x:f>IF(AND(G832=1,COUNTIFS($I$200:I832,I832,$G$200:G832,1)=1),1,0)</x:f>
        <x:v>0</x:v>
      </x:c>
      <x:c r="I832" t="str">
        <x:f>IF(G832=1,IF(B832="成长",A832&amp;"-成长-"&amp;C832,'幕间与结算'!I739),"")</x:f>
        <x:v/>
      </x:c>
      <x:c r="BF832">
        <x:f>MAX(0,MIN(18,BF831+IF(C832="力量",E832,0)))</x:f>
        <x:v>0</x:v>
      </x:c>
      <x:c r="BG832">
        <x:f>MAX(0,MIN(18,BG831+IF(C832="体质",E832,0)))</x:f>
        <x:v>0</x:v>
      </x:c>
      <x:c r="BH832">
        <x:f>MAX(0,MIN(18,BH831+IF(C832="敏捷",E832,0)))</x:f>
        <x:v>0</x:v>
      </x:c>
      <x:c r="BI832">
        <x:f>MAX(0,MIN(18,BI831+IF(C832="智力",E832,0)))</x:f>
        <x:v>0</x:v>
      </x:c>
      <x:c r="BJ832">
        <x:f>MAX(0,MIN(18,BJ831+IF(C832="意志",E832,0)))</x:f>
        <x:v>0</x:v>
      </x:c>
      <x:c r="BK832">
        <x:f>MAX(0,MIN(18,BK831+IF(C832="魅力",E832,0)))</x:f>
        <x:v>0</x:v>
      </x:c>
      <x:c r="BL832">
        <x:f>MAX(0,MIN(99,BL831+IF(C832="技能：非自然知识",E832,0)))</x:f>
        <x:v>0</x:v>
      </x:c>
      <x:c r="BM832">
        <x:f>MAX(0,MIN(CEILING((BF832+BG832)/2,1),BM831+IF(C832="体力",E832,0)))</x:f>
        <x:v>0</x:v>
      </x:c>
      <x:c r="BN832">
        <x:f>MAX(0,MIN(BJ832,BN831+IF(C832="毅力",E832,0)))</x:f>
        <x:v>0</x:v>
      </x:c>
      <x:c r="BO832">
        <x:f>MAX(0,MIN(99-BL832,BO831+IF(C832="理智",E832,0)))</x:f>
        <x:v>0</x:v>
      </x:c>
      <x:c r="BP832">
        <x:f>MAX(0,MIN(99,BP831+IF(C832="崩溃点",E832,0)))</x:f>
        <x:v>0</x:v>
      </x:c>
      <x:c r="BQ832">
        <x:f>MAX(0,MIN(BK832,IF(AND(H832=1,C832="重要关系1",LEFT('幕间与结算'!H739,8)="建立新的重要关系"),'幕间与结算'!E739+E832,BQ831+IF(C832="重要关系1",E832,0)+IF(AND(C832="魅力",E832&lt;0),E832,0))))</x:f>
        <x:v>0</x:v>
      </x:c>
      <x:c r="BR832">
        <x:f>MAX(0,MIN(BK832,IF(AND(H832=1,C832="重要关系2",LEFT('幕间与结算'!H739,8)="建立新的重要关系"),'幕间与结算'!E739+E832,BR831+IF(C832="重要关系2",E832,0)+IF(AND(C832="魅力",E832&lt;0),E832,0))))</x:f>
        <x:v>0</x:v>
      </x:c>
      <x:c r="BS832">
        <x:f>MAX(0,MIN(BK832,IF(AND(H832=1,C832="重要关系3",LEFT('幕间与结算'!H739,8)="建立新的重要关系"),'幕间与结算'!E739+E832,BS831+IF(C832="重要关系3",E832,0)+IF(AND(C832="魅力",E832&lt;0),E832,0))))</x:f>
        <x:v>0</x:v>
      </x:c>
      <x:c r="BT832">
        <x:f>MAX(0,MIN(BK832,IF(AND(H832=1,C832="重要关系4",LEFT('幕间与结算'!H739,8)="建立新的重要关系"),'幕间与结算'!E739+E832,BT831+IF(C832="重要关系4",E832,0)+IF(AND(C832="魅力",E832&lt;0),E832,0))))</x:f>
        <x:v>0</x:v>
      </x:c>
      <x:c r="BU832">
        <x:f>MAX(0,MIN(BK832,IF(AND(H832=1,C832="重要关系5",LEFT('幕间与结算'!H739,8)="建立新的重要关系"),'幕间与结算'!E739+E832,BU831+IF(C832="重要关系5",E832,0)+IF(AND(C832="魅力",E832&lt;0),E832,0))))</x:f>
        <x:v>0</x:v>
      </x:c>
      <x:c r="BV832">
        <x:f>MAX(0,MIN(BK832,IF(AND(H832=1,C832="重要关系6",LEFT('幕间与结算'!H739,8)="建立新的重要关系"),'幕间与结算'!E739+E832,BV831+IF(C832="重要关系6",E832,0)+IF(AND(C832="魅力",E832&lt;0),E832,0))))</x:f>
        <x:v>0</x:v>
      </x:c>
      <x:c r="BW832">
        <x:f>MAX(0,MIN(BK832,IF(AND(H832=1,C832="重要关系7",LEFT('幕间与结算'!H739,8)="建立新的重要关系"),'幕间与结算'!E739+E832,BW831+IF(C832="重要关系7",E832,0)+IF(AND(C832="魅力",E832&lt;0),E832,0))))</x:f>
        <x:v>0</x:v>
      </x:c>
    </x:row>
    <x:row r="833">
      <x:c r="A833" t="str">
        <x:f>IFERROR(TEXT(VALUE('幕间与结算'!A740),"00"),"")</x:f>
        <x:v>00</x:v>
      </x:c>
      <x:c r="B833">
        <x:f>'幕间与结算'!B740</x:f>
        <x:v>0</x:v>
      </x:c>
      <x:c r="C833">
        <x:f>'幕间与结算'!D740</x:f>
        <x:v>0</x:v>
      </x:c>
      <x:c r="D833">
        <x:f>'幕间与结算'!F740</x:f>
        <x:v>0</x:v>
      </x:c>
      <x:c r="E833">
        <x:f>IF(H833=1,MAX(-'幕间与结算'!E740,MIN(D833,IF(LEFT(C833,3)="技能：",99,IF(COUNTIF($L$2:$L$7,C833)&gt;0,18,999))-'幕间与结算'!E740)),0)</x:f>
        <x:v>0</x:v>
      </x:c>
      <x:c r="F833" t="str">
        <x:f>IF(C833=0,"",IF(G833=0,"记录不完整",IF(H833=0,"重复未计","已计入")))</x:f>
        <x:v/>
      </x:c>
      <x:c r="G833">
        <x:f>IF(AND(AND('幕间与结算'!A740&lt;&gt;"",'幕间与结算'!B740&lt;&gt;"",'幕间与结算'!I740&lt;&gt;"",OR(LEFT(C833,3)="技能：",COUNTIF($L$2:$L$19,C833)&gt;0),ISNUMBER('幕间与结算'!E740),ISNUMBER('幕间与结算'!F740),ISNUMBER('幕间与结算'!G740),'幕间与结算'!E740&gt;=0,'幕间与结算'!G740='幕间与结算'!E740+'幕间与结算'!F740),OR(B833&lt;&gt;"成长",AND(LEFT(C833,3)="技能：",C833&lt;&gt;"技能：非自然知识",'幕间与结算'!E740&gt;=1,'幕间与结算'!E740&lt;=99,'幕间与结算'!F740&gt;=0,'幕间与结算'!F740&lt;=4,'幕间与结算'!G740&lt;=99))),1,0)</x:f>
        <x:v>0</x:v>
      </x:c>
      <x:c r="H833">
        <x:f>IF(AND(G833=1,COUNTIFS($I$200:I833,I833,$G$200:G833,1)=1),1,0)</x:f>
        <x:v>0</x:v>
      </x:c>
      <x:c r="I833" t="str">
        <x:f>IF(G833=1,IF(B833="成长",A833&amp;"-成长-"&amp;C833,'幕间与结算'!I740),"")</x:f>
        <x:v/>
      </x:c>
      <x:c r="BF833">
        <x:f>MAX(0,MIN(18,BF832+IF(C833="力量",E833,0)))</x:f>
        <x:v>0</x:v>
      </x:c>
      <x:c r="BG833">
        <x:f>MAX(0,MIN(18,BG832+IF(C833="体质",E833,0)))</x:f>
        <x:v>0</x:v>
      </x:c>
      <x:c r="BH833">
        <x:f>MAX(0,MIN(18,BH832+IF(C833="敏捷",E833,0)))</x:f>
        <x:v>0</x:v>
      </x:c>
      <x:c r="BI833">
        <x:f>MAX(0,MIN(18,BI832+IF(C833="智力",E833,0)))</x:f>
        <x:v>0</x:v>
      </x:c>
      <x:c r="BJ833">
        <x:f>MAX(0,MIN(18,BJ832+IF(C833="意志",E833,0)))</x:f>
        <x:v>0</x:v>
      </x:c>
      <x:c r="BK833">
        <x:f>MAX(0,MIN(18,BK832+IF(C833="魅力",E833,0)))</x:f>
        <x:v>0</x:v>
      </x:c>
      <x:c r="BL833">
        <x:f>MAX(0,MIN(99,BL832+IF(C833="技能：非自然知识",E833,0)))</x:f>
        <x:v>0</x:v>
      </x:c>
      <x:c r="BM833">
        <x:f>MAX(0,MIN(CEILING((BF833+BG833)/2,1),BM832+IF(C833="体力",E833,0)))</x:f>
        <x:v>0</x:v>
      </x:c>
      <x:c r="BN833">
        <x:f>MAX(0,MIN(BJ833,BN832+IF(C833="毅力",E833,0)))</x:f>
        <x:v>0</x:v>
      </x:c>
      <x:c r="BO833">
        <x:f>MAX(0,MIN(99-BL833,BO832+IF(C833="理智",E833,0)))</x:f>
        <x:v>0</x:v>
      </x:c>
      <x:c r="BP833">
        <x:f>MAX(0,MIN(99,BP832+IF(C833="崩溃点",E833,0)))</x:f>
        <x:v>0</x:v>
      </x:c>
      <x:c r="BQ833">
        <x:f>MAX(0,MIN(BK833,IF(AND(H833=1,C833="重要关系1",LEFT('幕间与结算'!H740,8)="建立新的重要关系"),'幕间与结算'!E740+E833,BQ832+IF(C833="重要关系1",E833,0)+IF(AND(C833="魅力",E833&lt;0),E833,0))))</x:f>
        <x:v>0</x:v>
      </x:c>
      <x:c r="BR833">
        <x:f>MAX(0,MIN(BK833,IF(AND(H833=1,C833="重要关系2",LEFT('幕间与结算'!H740,8)="建立新的重要关系"),'幕间与结算'!E740+E833,BR832+IF(C833="重要关系2",E833,0)+IF(AND(C833="魅力",E833&lt;0),E833,0))))</x:f>
        <x:v>0</x:v>
      </x:c>
      <x:c r="BS833">
        <x:f>MAX(0,MIN(BK833,IF(AND(H833=1,C833="重要关系3",LEFT('幕间与结算'!H740,8)="建立新的重要关系"),'幕间与结算'!E740+E833,BS832+IF(C833="重要关系3",E833,0)+IF(AND(C833="魅力",E833&lt;0),E833,0))))</x:f>
        <x:v>0</x:v>
      </x:c>
      <x:c r="BT833">
        <x:f>MAX(0,MIN(BK833,IF(AND(H833=1,C833="重要关系4",LEFT('幕间与结算'!H740,8)="建立新的重要关系"),'幕间与结算'!E740+E833,BT832+IF(C833="重要关系4",E833,0)+IF(AND(C833="魅力",E833&lt;0),E833,0))))</x:f>
        <x:v>0</x:v>
      </x:c>
      <x:c r="BU833">
        <x:f>MAX(0,MIN(BK833,IF(AND(H833=1,C833="重要关系5",LEFT('幕间与结算'!H740,8)="建立新的重要关系"),'幕间与结算'!E740+E833,BU832+IF(C833="重要关系5",E833,0)+IF(AND(C833="魅力",E833&lt;0),E833,0))))</x:f>
        <x:v>0</x:v>
      </x:c>
      <x:c r="BV833">
        <x:f>MAX(0,MIN(BK833,IF(AND(H833=1,C833="重要关系6",LEFT('幕间与结算'!H740,8)="建立新的重要关系"),'幕间与结算'!E740+E833,BV832+IF(C833="重要关系6",E833,0)+IF(AND(C833="魅力",E833&lt;0),E833,0))))</x:f>
        <x:v>0</x:v>
      </x:c>
      <x:c r="BW833">
        <x:f>MAX(0,MIN(BK833,IF(AND(H833=1,C833="重要关系7",LEFT('幕间与结算'!H740,8)="建立新的重要关系"),'幕间与结算'!E740+E833,BW832+IF(C833="重要关系7",E833,0)+IF(AND(C833="魅力",E833&lt;0),E833,0))))</x:f>
        <x:v>0</x:v>
      </x:c>
    </x:row>
    <x:row r="834">
      <x:c r="A834" t="str">
        <x:f>IFERROR(TEXT(VALUE('幕间与结算'!A741),"00"),"")</x:f>
        <x:v>00</x:v>
      </x:c>
      <x:c r="B834">
        <x:f>'幕间与结算'!B741</x:f>
        <x:v>0</x:v>
      </x:c>
      <x:c r="C834">
        <x:f>'幕间与结算'!D741</x:f>
        <x:v>0</x:v>
      </x:c>
      <x:c r="D834">
        <x:f>'幕间与结算'!F741</x:f>
        <x:v>0</x:v>
      </x:c>
      <x:c r="E834">
        <x:f>IF(H834=1,MAX(-'幕间与结算'!E741,MIN(D834,IF(LEFT(C834,3)="技能：",99,IF(COUNTIF($L$2:$L$7,C834)&gt;0,18,999))-'幕间与结算'!E741)),0)</x:f>
        <x:v>0</x:v>
      </x:c>
      <x:c r="F834" t="str">
        <x:f>IF(C834=0,"",IF(G834=0,"记录不完整",IF(H834=0,"重复未计","已计入")))</x:f>
        <x:v/>
      </x:c>
      <x:c r="G834">
        <x:f>IF(AND(AND('幕间与结算'!A741&lt;&gt;"",'幕间与结算'!B741&lt;&gt;"",'幕间与结算'!I741&lt;&gt;"",OR(LEFT(C834,3)="技能：",COUNTIF($L$2:$L$19,C834)&gt;0),ISNUMBER('幕间与结算'!E741),ISNUMBER('幕间与结算'!F741),ISNUMBER('幕间与结算'!G741),'幕间与结算'!E741&gt;=0,'幕间与结算'!G741='幕间与结算'!E741+'幕间与结算'!F741),OR(B834&lt;&gt;"成长",AND(LEFT(C834,3)="技能：",C834&lt;&gt;"技能：非自然知识",'幕间与结算'!E741&gt;=1,'幕间与结算'!E741&lt;=99,'幕间与结算'!F741&gt;=0,'幕间与结算'!F741&lt;=4,'幕间与结算'!G741&lt;=99))),1,0)</x:f>
        <x:v>0</x:v>
      </x:c>
      <x:c r="H834">
        <x:f>IF(AND(G834=1,COUNTIFS($I$200:I834,I834,$G$200:G834,1)=1),1,0)</x:f>
        <x:v>0</x:v>
      </x:c>
      <x:c r="I834" t="str">
        <x:f>IF(G834=1,IF(B834="成长",A834&amp;"-成长-"&amp;C834,'幕间与结算'!I741),"")</x:f>
        <x:v/>
      </x:c>
      <x:c r="BF834">
        <x:f>MAX(0,MIN(18,BF833+IF(C834="力量",E834,0)))</x:f>
        <x:v>0</x:v>
      </x:c>
      <x:c r="BG834">
        <x:f>MAX(0,MIN(18,BG833+IF(C834="体质",E834,0)))</x:f>
        <x:v>0</x:v>
      </x:c>
      <x:c r="BH834">
        <x:f>MAX(0,MIN(18,BH833+IF(C834="敏捷",E834,0)))</x:f>
        <x:v>0</x:v>
      </x:c>
      <x:c r="BI834">
        <x:f>MAX(0,MIN(18,BI833+IF(C834="智力",E834,0)))</x:f>
        <x:v>0</x:v>
      </x:c>
      <x:c r="BJ834">
        <x:f>MAX(0,MIN(18,BJ833+IF(C834="意志",E834,0)))</x:f>
        <x:v>0</x:v>
      </x:c>
      <x:c r="BK834">
        <x:f>MAX(0,MIN(18,BK833+IF(C834="魅力",E834,0)))</x:f>
        <x:v>0</x:v>
      </x:c>
      <x:c r="BL834">
        <x:f>MAX(0,MIN(99,BL833+IF(C834="技能：非自然知识",E834,0)))</x:f>
        <x:v>0</x:v>
      </x:c>
      <x:c r="BM834">
        <x:f>MAX(0,MIN(CEILING((BF834+BG834)/2,1),BM833+IF(C834="体力",E834,0)))</x:f>
        <x:v>0</x:v>
      </x:c>
      <x:c r="BN834">
        <x:f>MAX(0,MIN(BJ834,BN833+IF(C834="毅力",E834,0)))</x:f>
        <x:v>0</x:v>
      </x:c>
      <x:c r="BO834">
        <x:f>MAX(0,MIN(99-BL834,BO833+IF(C834="理智",E834,0)))</x:f>
        <x:v>0</x:v>
      </x:c>
      <x:c r="BP834">
        <x:f>MAX(0,MIN(99,BP833+IF(C834="崩溃点",E834,0)))</x:f>
        <x:v>0</x:v>
      </x:c>
      <x:c r="BQ834">
        <x:f>MAX(0,MIN(BK834,IF(AND(H834=1,C834="重要关系1",LEFT('幕间与结算'!H741,8)="建立新的重要关系"),'幕间与结算'!E741+E834,BQ833+IF(C834="重要关系1",E834,0)+IF(AND(C834="魅力",E834&lt;0),E834,0))))</x:f>
        <x:v>0</x:v>
      </x:c>
      <x:c r="BR834">
        <x:f>MAX(0,MIN(BK834,IF(AND(H834=1,C834="重要关系2",LEFT('幕间与结算'!H741,8)="建立新的重要关系"),'幕间与结算'!E741+E834,BR833+IF(C834="重要关系2",E834,0)+IF(AND(C834="魅力",E834&lt;0),E834,0))))</x:f>
        <x:v>0</x:v>
      </x:c>
      <x:c r="BS834">
        <x:f>MAX(0,MIN(BK834,IF(AND(H834=1,C834="重要关系3",LEFT('幕间与结算'!H741,8)="建立新的重要关系"),'幕间与结算'!E741+E834,BS833+IF(C834="重要关系3",E834,0)+IF(AND(C834="魅力",E834&lt;0),E834,0))))</x:f>
        <x:v>0</x:v>
      </x:c>
      <x:c r="BT834">
        <x:f>MAX(0,MIN(BK834,IF(AND(H834=1,C834="重要关系4",LEFT('幕间与结算'!H741,8)="建立新的重要关系"),'幕间与结算'!E741+E834,BT833+IF(C834="重要关系4",E834,0)+IF(AND(C834="魅力",E834&lt;0),E834,0))))</x:f>
        <x:v>0</x:v>
      </x:c>
      <x:c r="BU834">
        <x:f>MAX(0,MIN(BK834,IF(AND(H834=1,C834="重要关系5",LEFT('幕间与结算'!H741,8)="建立新的重要关系"),'幕间与结算'!E741+E834,BU833+IF(C834="重要关系5",E834,0)+IF(AND(C834="魅力",E834&lt;0),E834,0))))</x:f>
        <x:v>0</x:v>
      </x:c>
      <x:c r="BV834">
        <x:f>MAX(0,MIN(BK834,IF(AND(H834=1,C834="重要关系6",LEFT('幕间与结算'!H741,8)="建立新的重要关系"),'幕间与结算'!E741+E834,BV833+IF(C834="重要关系6",E834,0)+IF(AND(C834="魅力",E834&lt;0),E834,0))))</x:f>
        <x:v>0</x:v>
      </x:c>
      <x:c r="BW834">
        <x:f>MAX(0,MIN(BK834,IF(AND(H834=1,C834="重要关系7",LEFT('幕间与结算'!H741,8)="建立新的重要关系"),'幕间与结算'!E741+E834,BW833+IF(C834="重要关系7",E834,0)+IF(AND(C834="魅力",E834&lt;0),E834,0))))</x:f>
        <x:v>0</x:v>
      </x:c>
    </x:row>
    <x:row r="835">
      <x:c r="A835" t="str">
        <x:f>IFERROR(TEXT(VALUE('幕间与结算'!A742),"00"),"")</x:f>
        <x:v>00</x:v>
      </x:c>
      <x:c r="B835">
        <x:f>'幕间与结算'!B742</x:f>
        <x:v>0</x:v>
      </x:c>
      <x:c r="C835">
        <x:f>'幕间与结算'!D742</x:f>
        <x:v>0</x:v>
      </x:c>
      <x:c r="D835">
        <x:f>'幕间与结算'!F742</x:f>
        <x:v>0</x:v>
      </x:c>
      <x:c r="E835">
        <x:f>IF(H835=1,MAX(-'幕间与结算'!E742,MIN(D835,IF(LEFT(C835,3)="技能：",99,IF(COUNTIF($L$2:$L$7,C835)&gt;0,18,999))-'幕间与结算'!E742)),0)</x:f>
        <x:v>0</x:v>
      </x:c>
      <x:c r="F835" t="str">
        <x:f>IF(C835=0,"",IF(G835=0,"记录不完整",IF(H835=0,"重复未计","已计入")))</x:f>
        <x:v/>
      </x:c>
      <x:c r="G835">
        <x:f>IF(AND(AND('幕间与结算'!A742&lt;&gt;"",'幕间与结算'!B742&lt;&gt;"",'幕间与结算'!I742&lt;&gt;"",OR(LEFT(C835,3)="技能：",COUNTIF($L$2:$L$19,C835)&gt;0),ISNUMBER('幕间与结算'!E742),ISNUMBER('幕间与结算'!F742),ISNUMBER('幕间与结算'!G742),'幕间与结算'!E742&gt;=0,'幕间与结算'!G742='幕间与结算'!E742+'幕间与结算'!F742),OR(B835&lt;&gt;"成长",AND(LEFT(C835,3)="技能：",C835&lt;&gt;"技能：非自然知识",'幕间与结算'!E742&gt;=1,'幕间与结算'!E742&lt;=99,'幕间与结算'!F742&gt;=0,'幕间与结算'!F742&lt;=4,'幕间与结算'!G742&lt;=99))),1,0)</x:f>
        <x:v>0</x:v>
      </x:c>
      <x:c r="H835">
        <x:f>IF(AND(G835=1,COUNTIFS($I$200:I835,I835,$G$200:G835,1)=1),1,0)</x:f>
        <x:v>0</x:v>
      </x:c>
      <x:c r="I835" t="str">
        <x:f>IF(G835=1,IF(B835="成长",A835&amp;"-成长-"&amp;C835,'幕间与结算'!I742),"")</x:f>
        <x:v/>
      </x:c>
      <x:c r="BF835">
        <x:f>MAX(0,MIN(18,BF834+IF(C835="力量",E835,0)))</x:f>
        <x:v>0</x:v>
      </x:c>
      <x:c r="BG835">
        <x:f>MAX(0,MIN(18,BG834+IF(C835="体质",E835,0)))</x:f>
        <x:v>0</x:v>
      </x:c>
      <x:c r="BH835">
        <x:f>MAX(0,MIN(18,BH834+IF(C835="敏捷",E835,0)))</x:f>
        <x:v>0</x:v>
      </x:c>
      <x:c r="BI835">
        <x:f>MAX(0,MIN(18,BI834+IF(C835="智力",E835,0)))</x:f>
        <x:v>0</x:v>
      </x:c>
      <x:c r="BJ835">
        <x:f>MAX(0,MIN(18,BJ834+IF(C835="意志",E835,0)))</x:f>
        <x:v>0</x:v>
      </x:c>
      <x:c r="BK835">
        <x:f>MAX(0,MIN(18,BK834+IF(C835="魅力",E835,0)))</x:f>
        <x:v>0</x:v>
      </x:c>
      <x:c r="BL835">
        <x:f>MAX(0,MIN(99,BL834+IF(C835="技能：非自然知识",E835,0)))</x:f>
        <x:v>0</x:v>
      </x:c>
      <x:c r="BM835">
        <x:f>MAX(0,MIN(CEILING((BF835+BG835)/2,1),BM834+IF(C835="体力",E835,0)))</x:f>
        <x:v>0</x:v>
      </x:c>
      <x:c r="BN835">
        <x:f>MAX(0,MIN(BJ835,BN834+IF(C835="毅力",E835,0)))</x:f>
        <x:v>0</x:v>
      </x:c>
      <x:c r="BO835">
        <x:f>MAX(0,MIN(99-BL835,BO834+IF(C835="理智",E835,0)))</x:f>
        <x:v>0</x:v>
      </x:c>
      <x:c r="BP835">
        <x:f>MAX(0,MIN(99,BP834+IF(C835="崩溃点",E835,0)))</x:f>
        <x:v>0</x:v>
      </x:c>
      <x:c r="BQ835">
        <x:f>MAX(0,MIN(BK835,IF(AND(H835=1,C835="重要关系1",LEFT('幕间与结算'!H742,8)="建立新的重要关系"),'幕间与结算'!E742+E835,BQ834+IF(C835="重要关系1",E835,0)+IF(AND(C835="魅力",E835&lt;0),E835,0))))</x:f>
        <x:v>0</x:v>
      </x:c>
      <x:c r="BR835">
        <x:f>MAX(0,MIN(BK835,IF(AND(H835=1,C835="重要关系2",LEFT('幕间与结算'!H742,8)="建立新的重要关系"),'幕间与结算'!E742+E835,BR834+IF(C835="重要关系2",E835,0)+IF(AND(C835="魅力",E835&lt;0),E835,0))))</x:f>
        <x:v>0</x:v>
      </x:c>
      <x:c r="BS835">
        <x:f>MAX(0,MIN(BK835,IF(AND(H835=1,C835="重要关系3",LEFT('幕间与结算'!H742,8)="建立新的重要关系"),'幕间与结算'!E742+E835,BS834+IF(C835="重要关系3",E835,0)+IF(AND(C835="魅力",E835&lt;0),E835,0))))</x:f>
        <x:v>0</x:v>
      </x:c>
      <x:c r="BT835">
        <x:f>MAX(0,MIN(BK835,IF(AND(H835=1,C835="重要关系4",LEFT('幕间与结算'!H742,8)="建立新的重要关系"),'幕间与结算'!E742+E835,BT834+IF(C835="重要关系4",E835,0)+IF(AND(C835="魅力",E835&lt;0),E835,0))))</x:f>
        <x:v>0</x:v>
      </x:c>
      <x:c r="BU835">
        <x:f>MAX(0,MIN(BK835,IF(AND(H835=1,C835="重要关系5",LEFT('幕间与结算'!H742,8)="建立新的重要关系"),'幕间与结算'!E742+E835,BU834+IF(C835="重要关系5",E835,0)+IF(AND(C835="魅力",E835&lt;0),E835,0))))</x:f>
        <x:v>0</x:v>
      </x:c>
      <x:c r="BV835">
        <x:f>MAX(0,MIN(BK835,IF(AND(H835=1,C835="重要关系6",LEFT('幕间与结算'!H742,8)="建立新的重要关系"),'幕间与结算'!E742+E835,BV834+IF(C835="重要关系6",E835,0)+IF(AND(C835="魅力",E835&lt;0),E835,0))))</x:f>
        <x:v>0</x:v>
      </x:c>
      <x:c r="BW835">
        <x:f>MAX(0,MIN(BK835,IF(AND(H835=1,C835="重要关系7",LEFT('幕间与结算'!H742,8)="建立新的重要关系"),'幕间与结算'!E742+E835,BW834+IF(C835="重要关系7",E835,0)+IF(AND(C835="魅力",E835&lt;0),E835,0))))</x:f>
        <x:v>0</x:v>
      </x:c>
    </x:row>
    <x:row r="836">
      <x:c r="A836" t="str">
        <x:f>IFERROR(TEXT(VALUE('幕间与结算'!A743),"00"),"")</x:f>
        <x:v>00</x:v>
      </x:c>
      <x:c r="B836">
        <x:f>'幕间与结算'!B743</x:f>
        <x:v>0</x:v>
      </x:c>
      <x:c r="C836">
        <x:f>'幕间与结算'!D743</x:f>
        <x:v>0</x:v>
      </x:c>
      <x:c r="D836">
        <x:f>'幕间与结算'!F743</x:f>
        <x:v>0</x:v>
      </x:c>
      <x:c r="E836">
        <x:f>IF(H836=1,MAX(-'幕间与结算'!E743,MIN(D836,IF(LEFT(C836,3)="技能：",99,IF(COUNTIF($L$2:$L$7,C836)&gt;0,18,999))-'幕间与结算'!E743)),0)</x:f>
        <x:v>0</x:v>
      </x:c>
      <x:c r="F836" t="str">
        <x:f>IF(C836=0,"",IF(G836=0,"记录不完整",IF(H836=0,"重复未计","已计入")))</x:f>
        <x:v/>
      </x:c>
      <x:c r="G836">
        <x:f>IF(AND(AND('幕间与结算'!A743&lt;&gt;"",'幕间与结算'!B743&lt;&gt;"",'幕间与结算'!I743&lt;&gt;"",OR(LEFT(C836,3)="技能：",COUNTIF($L$2:$L$19,C836)&gt;0),ISNUMBER('幕间与结算'!E743),ISNUMBER('幕间与结算'!F743),ISNUMBER('幕间与结算'!G743),'幕间与结算'!E743&gt;=0,'幕间与结算'!G743='幕间与结算'!E743+'幕间与结算'!F743),OR(B836&lt;&gt;"成长",AND(LEFT(C836,3)="技能：",C836&lt;&gt;"技能：非自然知识",'幕间与结算'!E743&gt;=1,'幕间与结算'!E743&lt;=99,'幕间与结算'!F743&gt;=0,'幕间与结算'!F743&lt;=4,'幕间与结算'!G743&lt;=99))),1,0)</x:f>
        <x:v>0</x:v>
      </x:c>
      <x:c r="H836">
        <x:f>IF(AND(G836=1,COUNTIFS($I$200:I836,I836,$G$200:G836,1)=1),1,0)</x:f>
        <x:v>0</x:v>
      </x:c>
      <x:c r="I836" t="str">
        <x:f>IF(G836=1,IF(B836="成长",A836&amp;"-成长-"&amp;C836,'幕间与结算'!I743),"")</x:f>
        <x:v/>
      </x:c>
      <x:c r="BF836">
        <x:f>MAX(0,MIN(18,BF835+IF(C836="力量",E836,0)))</x:f>
        <x:v>0</x:v>
      </x:c>
      <x:c r="BG836">
        <x:f>MAX(0,MIN(18,BG835+IF(C836="体质",E836,0)))</x:f>
        <x:v>0</x:v>
      </x:c>
      <x:c r="BH836">
        <x:f>MAX(0,MIN(18,BH835+IF(C836="敏捷",E836,0)))</x:f>
        <x:v>0</x:v>
      </x:c>
      <x:c r="BI836">
        <x:f>MAX(0,MIN(18,BI835+IF(C836="智力",E836,0)))</x:f>
        <x:v>0</x:v>
      </x:c>
      <x:c r="BJ836">
        <x:f>MAX(0,MIN(18,BJ835+IF(C836="意志",E836,0)))</x:f>
        <x:v>0</x:v>
      </x:c>
      <x:c r="BK836">
        <x:f>MAX(0,MIN(18,BK835+IF(C836="魅力",E836,0)))</x:f>
        <x:v>0</x:v>
      </x:c>
      <x:c r="BL836">
        <x:f>MAX(0,MIN(99,BL835+IF(C836="技能：非自然知识",E836,0)))</x:f>
        <x:v>0</x:v>
      </x:c>
      <x:c r="BM836">
        <x:f>MAX(0,MIN(CEILING((BF836+BG836)/2,1),BM835+IF(C836="体力",E836,0)))</x:f>
        <x:v>0</x:v>
      </x:c>
      <x:c r="BN836">
        <x:f>MAX(0,MIN(BJ836,BN835+IF(C836="毅力",E836,0)))</x:f>
        <x:v>0</x:v>
      </x:c>
      <x:c r="BO836">
        <x:f>MAX(0,MIN(99-BL836,BO835+IF(C836="理智",E836,0)))</x:f>
        <x:v>0</x:v>
      </x:c>
      <x:c r="BP836">
        <x:f>MAX(0,MIN(99,BP835+IF(C836="崩溃点",E836,0)))</x:f>
        <x:v>0</x:v>
      </x:c>
      <x:c r="BQ836">
        <x:f>MAX(0,MIN(BK836,IF(AND(H836=1,C836="重要关系1",LEFT('幕间与结算'!H743,8)="建立新的重要关系"),'幕间与结算'!E743+E836,BQ835+IF(C836="重要关系1",E836,0)+IF(AND(C836="魅力",E836&lt;0),E836,0))))</x:f>
        <x:v>0</x:v>
      </x:c>
      <x:c r="BR836">
        <x:f>MAX(0,MIN(BK836,IF(AND(H836=1,C836="重要关系2",LEFT('幕间与结算'!H743,8)="建立新的重要关系"),'幕间与结算'!E743+E836,BR835+IF(C836="重要关系2",E836,0)+IF(AND(C836="魅力",E836&lt;0),E836,0))))</x:f>
        <x:v>0</x:v>
      </x:c>
      <x:c r="BS836">
        <x:f>MAX(0,MIN(BK836,IF(AND(H836=1,C836="重要关系3",LEFT('幕间与结算'!H743,8)="建立新的重要关系"),'幕间与结算'!E743+E836,BS835+IF(C836="重要关系3",E836,0)+IF(AND(C836="魅力",E836&lt;0),E836,0))))</x:f>
        <x:v>0</x:v>
      </x:c>
      <x:c r="BT836">
        <x:f>MAX(0,MIN(BK836,IF(AND(H836=1,C836="重要关系4",LEFT('幕间与结算'!H743,8)="建立新的重要关系"),'幕间与结算'!E743+E836,BT835+IF(C836="重要关系4",E836,0)+IF(AND(C836="魅力",E836&lt;0),E836,0))))</x:f>
        <x:v>0</x:v>
      </x:c>
      <x:c r="BU836">
        <x:f>MAX(0,MIN(BK836,IF(AND(H836=1,C836="重要关系5",LEFT('幕间与结算'!H743,8)="建立新的重要关系"),'幕间与结算'!E743+E836,BU835+IF(C836="重要关系5",E836,0)+IF(AND(C836="魅力",E836&lt;0),E836,0))))</x:f>
        <x:v>0</x:v>
      </x:c>
      <x:c r="BV836">
        <x:f>MAX(0,MIN(BK836,IF(AND(H836=1,C836="重要关系6",LEFT('幕间与结算'!H743,8)="建立新的重要关系"),'幕间与结算'!E743+E836,BV835+IF(C836="重要关系6",E836,0)+IF(AND(C836="魅力",E836&lt;0),E836,0))))</x:f>
        <x:v>0</x:v>
      </x:c>
      <x:c r="BW836">
        <x:f>MAX(0,MIN(BK836,IF(AND(H836=1,C836="重要关系7",LEFT('幕间与结算'!H743,8)="建立新的重要关系"),'幕间与结算'!E743+E836,BW835+IF(C836="重要关系7",E836,0)+IF(AND(C836="魅力",E836&lt;0),E836,0))))</x:f>
        <x:v>0</x:v>
      </x:c>
    </x:row>
    <x:row r="837">
      <x:c r="A837" t="str">
        <x:f>IFERROR(TEXT(VALUE('幕间与结算'!A744),"00"),"")</x:f>
        <x:v>00</x:v>
      </x:c>
      <x:c r="B837">
        <x:f>'幕间与结算'!B744</x:f>
        <x:v>0</x:v>
      </x:c>
      <x:c r="C837">
        <x:f>'幕间与结算'!D744</x:f>
        <x:v>0</x:v>
      </x:c>
      <x:c r="D837">
        <x:f>'幕间与结算'!F744</x:f>
        <x:v>0</x:v>
      </x:c>
      <x:c r="E837">
        <x:f>IF(H837=1,MAX(-'幕间与结算'!E744,MIN(D837,IF(LEFT(C837,3)="技能：",99,IF(COUNTIF($L$2:$L$7,C837)&gt;0,18,999))-'幕间与结算'!E744)),0)</x:f>
        <x:v>0</x:v>
      </x:c>
      <x:c r="F837" t="str">
        <x:f>IF(C837=0,"",IF(G837=0,"记录不完整",IF(H837=0,"重复未计","已计入")))</x:f>
        <x:v/>
      </x:c>
      <x:c r="G837">
        <x:f>IF(AND(AND('幕间与结算'!A744&lt;&gt;"",'幕间与结算'!B744&lt;&gt;"",'幕间与结算'!I744&lt;&gt;"",OR(LEFT(C837,3)="技能：",COUNTIF($L$2:$L$19,C837)&gt;0),ISNUMBER('幕间与结算'!E744),ISNUMBER('幕间与结算'!F744),ISNUMBER('幕间与结算'!G744),'幕间与结算'!E744&gt;=0,'幕间与结算'!G744='幕间与结算'!E744+'幕间与结算'!F744),OR(B837&lt;&gt;"成长",AND(LEFT(C837,3)="技能：",C837&lt;&gt;"技能：非自然知识",'幕间与结算'!E744&gt;=1,'幕间与结算'!E744&lt;=99,'幕间与结算'!F744&gt;=0,'幕间与结算'!F744&lt;=4,'幕间与结算'!G744&lt;=99))),1,0)</x:f>
        <x:v>0</x:v>
      </x:c>
      <x:c r="H837">
        <x:f>IF(AND(G837=1,COUNTIFS($I$200:I837,I837,$G$200:G837,1)=1),1,0)</x:f>
        <x:v>0</x:v>
      </x:c>
      <x:c r="I837" t="str">
        <x:f>IF(G837=1,IF(B837="成长",A837&amp;"-成长-"&amp;C837,'幕间与结算'!I744),"")</x:f>
        <x:v/>
      </x:c>
      <x:c r="BF837">
        <x:f>MAX(0,MIN(18,BF836+IF(C837="力量",E837,0)))</x:f>
        <x:v>0</x:v>
      </x:c>
      <x:c r="BG837">
        <x:f>MAX(0,MIN(18,BG836+IF(C837="体质",E837,0)))</x:f>
        <x:v>0</x:v>
      </x:c>
      <x:c r="BH837">
        <x:f>MAX(0,MIN(18,BH836+IF(C837="敏捷",E837,0)))</x:f>
        <x:v>0</x:v>
      </x:c>
      <x:c r="BI837">
        <x:f>MAX(0,MIN(18,BI836+IF(C837="智力",E837,0)))</x:f>
        <x:v>0</x:v>
      </x:c>
      <x:c r="BJ837">
        <x:f>MAX(0,MIN(18,BJ836+IF(C837="意志",E837,0)))</x:f>
        <x:v>0</x:v>
      </x:c>
      <x:c r="BK837">
        <x:f>MAX(0,MIN(18,BK836+IF(C837="魅力",E837,0)))</x:f>
        <x:v>0</x:v>
      </x:c>
      <x:c r="BL837">
        <x:f>MAX(0,MIN(99,BL836+IF(C837="技能：非自然知识",E837,0)))</x:f>
        <x:v>0</x:v>
      </x:c>
      <x:c r="BM837">
        <x:f>MAX(0,MIN(CEILING((BF837+BG837)/2,1),BM836+IF(C837="体力",E837,0)))</x:f>
        <x:v>0</x:v>
      </x:c>
      <x:c r="BN837">
        <x:f>MAX(0,MIN(BJ837,BN836+IF(C837="毅力",E837,0)))</x:f>
        <x:v>0</x:v>
      </x:c>
      <x:c r="BO837">
        <x:f>MAX(0,MIN(99-BL837,BO836+IF(C837="理智",E837,0)))</x:f>
        <x:v>0</x:v>
      </x:c>
      <x:c r="BP837">
        <x:f>MAX(0,MIN(99,BP836+IF(C837="崩溃点",E837,0)))</x:f>
        <x:v>0</x:v>
      </x:c>
      <x:c r="BQ837">
        <x:f>MAX(0,MIN(BK837,IF(AND(H837=1,C837="重要关系1",LEFT('幕间与结算'!H744,8)="建立新的重要关系"),'幕间与结算'!E744+E837,BQ836+IF(C837="重要关系1",E837,0)+IF(AND(C837="魅力",E837&lt;0),E837,0))))</x:f>
        <x:v>0</x:v>
      </x:c>
      <x:c r="BR837">
        <x:f>MAX(0,MIN(BK837,IF(AND(H837=1,C837="重要关系2",LEFT('幕间与结算'!H744,8)="建立新的重要关系"),'幕间与结算'!E744+E837,BR836+IF(C837="重要关系2",E837,0)+IF(AND(C837="魅力",E837&lt;0),E837,0))))</x:f>
        <x:v>0</x:v>
      </x:c>
      <x:c r="BS837">
        <x:f>MAX(0,MIN(BK837,IF(AND(H837=1,C837="重要关系3",LEFT('幕间与结算'!H744,8)="建立新的重要关系"),'幕间与结算'!E744+E837,BS836+IF(C837="重要关系3",E837,0)+IF(AND(C837="魅力",E837&lt;0),E837,0))))</x:f>
        <x:v>0</x:v>
      </x:c>
      <x:c r="BT837">
        <x:f>MAX(0,MIN(BK837,IF(AND(H837=1,C837="重要关系4",LEFT('幕间与结算'!H744,8)="建立新的重要关系"),'幕间与结算'!E744+E837,BT836+IF(C837="重要关系4",E837,0)+IF(AND(C837="魅力",E837&lt;0),E837,0))))</x:f>
        <x:v>0</x:v>
      </x:c>
      <x:c r="BU837">
        <x:f>MAX(0,MIN(BK837,IF(AND(H837=1,C837="重要关系5",LEFT('幕间与结算'!H744,8)="建立新的重要关系"),'幕间与结算'!E744+E837,BU836+IF(C837="重要关系5",E837,0)+IF(AND(C837="魅力",E837&lt;0),E837,0))))</x:f>
        <x:v>0</x:v>
      </x:c>
      <x:c r="BV837">
        <x:f>MAX(0,MIN(BK837,IF(AND(H837=1,C837="重要关系6",LEFT('幕间与结算'!H744,8)="建立新的重要关系"),'幕间与结算'!E744+E837,BV836+IF(C837="重要关系6",E837,0)+IF(AND(C837="魅力",E837&lt;0),E837,0))))</x:f>
        <x:v>0</x:v>
      </x:c>
      <x:c r="BW837">
        <x:f>MAX(0,MIN(BK837,IF(AND(H837=1,C837="重要关系7",LEFT('幕间与结算'!H744,8)="建立新的重要关系"),'幕间与结算'!E744+E837,BW836+IF(C837="重要关系7",E837,0)+IF(AND(C837="魅力",E837&lt;0),E837,0))))</x:f>
        <x:v>0</x:v>
      </x:c>
    </x:row>
    <x:row r="838">
      <x:c r="A838" t="str">
        <x:f>IFERROR(TEXT(VALUE('幕间与结算'!A745),"00"),"")</x:f>
        <x:v>00</x:v>
      </x:c>
      <x:c r="B838">
        <x:f>'幕间与结算'!B745</x:f>
        <x:v>0</x:v>
      </x:c>
      <x:c r="C838">
        <x:f>'幕间与结算'!D745</x:f>
        <x:v>0</x:v>
      </x:c>
      <x:c r="D838">
        <x:f>'幕间与结算'!F745</x:f>
        <x:v>0</x:v>
      </x:c>
      <x:c r="E838">
        <x:f>IF(H838=1,MAX(-'幕间与结算'!E745,MIN(D838,IF(LEFT(C838,3)="技能：",99,IF(COUNTIF($L$2:$L$7,C838)&gt;0,18,999))-'幕间与结算'!E745)),0)</x:f>
        <x:v>0</x:v>
      </x:c>
      <x:c r="F838" t="str">
        <x:f>IF(C838=0,"",IF(G838=0,"记录不完整",IF(H838=0,"重复未计","已计入")))</x:f>
        <x:v/>
      </x:c>
      <x:c r="G838">
        <x:f>IF(AND(AND('幕间与结算'!A745&lt;&gt;"",'幕间与结算'!B745&lt;&gt;"",'幕间与结算'!I745&lt;&gt;"",OR(LEFT(C838,3)="技能：",COUNTIF($L$2:$L$19,C838)&gt;0),ISNUMBER('幕间与结算'!E745),ISNUMBER('幕间与结算'!F745),ISNUMBER('幕间与结算'!G745),'幕间与结算'!E745&gt;=0,'幕间与结算'!G745='幕间与结算'!E745+'幕间与结算'!F745),OR(B838&lt;&gt;"成长",AND(LEFT(C838,3)="技能：",C838&lt;&gt;"技能：非自然知识",'幕间与结算'!E745&gt;=1,'幕间与结算'!E745&lt;=99,'幕间与结算'!F745&gt;=0,'幕间与结算'!F745&lt;=4,'幕间与结算'!G745&lt;=99))),1,0)</x:f>
        <x:v>0</x:v>
      </x:c>
      <x:c r="H838">
        <x:f>IF(AND(G838=1,COUNTIFS($I$200:I838,I838,$G$200:G838,1)=1),1,0)</x:f>
        <x:v>0</x:v>
      </x:c>
      <x:c r="I838" t="str">
        <x:f>IF(G838=1,IF(B838="成长",A838&amp;"-成长-"&amp;C838,'幕间与结算'!I745),"")</x:f>
        <x:v/>
      </x:c>
      <x:c r="BF838">
        <x:f>MAX(0,MIN(18,BF837+IF(C838="力量",E838,0)))</x:f>
        <x:v>0</x:v>
      </x:c>
      <x:c r="BG838">
        <x:f>MAX(0,MIN(18,BG837+IF(C838="体质",E838,0)))</x:f>
        <x:v>0</x:v>
      </x:c>
      <x:c r="BH838">
        <x:f>MAX(0,MIN(18,BH837+IF(C838="敏捷",E838,0)))</x:f>
        <x:v>0</x:v>
      </x:c>
      <x:c r="BI838">
        <x:f>MAX(0,MIN(18,BI837+IF(C838="智力",E838,0)))</x:f>
        <x:v>0</x:v>
      </x:c>
      <x:c r="BJ838">
        <x:f>MAX(0,MIN(18,BJ837+IF(C838="意志",E838,0)))</x:f>
        <x:v>0</x:v>
      </x:c>
      <x:c r="BK838">
        <x:f>MAX(0,MIN(18,BK837+IF(C838="魅力",E838,0)))</x:f>
        <x:v>0</x:v>
      </x:c>
      <x:c r="BL838">
        <x:f>MAX(0,MIN(99,BL837+IF(C838="技能：非自然知识",E838,0)))</x:f>
        <x:v>0</x:v>
      </x:c>
      <x:c r="BM838">
        <x:f>MAX(0,MIN(CEILING((BF838+BG838)/2,1),BM837+IF(C838="体力",E838,0)))</x:f>
        <x:v>0</x:v>
      </x:c>
      <x:c r="BN838">
        <x:f>MAX(0,MIN(BJ838,BN837+IF(C838="毅力",E838,0)))</x:f>
        <x:v>0</x:v>
      </x:c>
      <x:c r="BO838">
        <x:f>MAX(0,MIN(99-BL838,BO837+IF(C838="理智",E838,0)))</x:f>
        <x:v>0</x:v>
      </x:c>
      <x:c r="BP838">
        <x:f>MAX(0,MIN(99,BP837+IF(C838="崩溃点",E838,0)))</x:f>
        <x:v>0</x:v>
      </x:c>
      <x:c r="BQ838">
        <x:f>MAX(0,MIN(BK838,IF(AND(H838=1,C838="重要关系1",LEFT('幕间与结算'!H745,8)="建立新的重要关系"),'幕间与结算'!E745+E838,BQ837+IF(C838="重要关系1",E838,0)+IF(AND(C838="魅力",E838&lt;0),E838,0))))</x:f>
        <x:v>0</x:v>
      </x:c>
      <x:c r="BR838">
        <x:f>MAX(0,MIN(BK838,IF(AND(H838=1,C838="重要关系2",LEFT('幕间与结算'!H745,8)="建立新的重要关系"),'幕间与结算'!E745+E838,BR837+IF(C838="重要关系2",E838,0)+IF(AND(C838="魅力",E838&lt;0),E838,0))))</x:f>
        <x:v>0</x:v>
      </x:c>
      <x:c r="BS838">
        <x:f>MAX(0,MIN(BK838,IF(AND(H838=1,C838="重要关系3",LEFT('幕间与结算'!H745,8)="建立新的重要关系"),'幕间与结算'!E745+E838,BS837+IF(C838="重要关系3",E838,0)+IF(AND(C838="魅力",E838&lt;0),E838,0))))</x:f>
        <x:v>0</x:v>
      </x:c>
      <x:c r="BT838">
        <x:f>MAX(0,MIN(BK838,IF(AND(H838=1,C838="重要关系4",LEFT('幕间与结算'!H745,8)="建立新的重要关系"),'幕间与结算'!E745+E838,BT837+IF(C838="重要关系4",E838,0)+IF(AND(C838="魅力",E838&lt;0),E838,0))))</x:f>
        <x:v>0</x:v>
      </x:c>
      <x:c r="BU838">
        <x:f>MAX(0,MIN(BK838,IF(AND(H838=1,C838="重要关系5",LEFT('幕间与结算'!H745,8)="建立新的重要关系"),'幕间与结算'!E745+E838,BU837+IF(C838="重要关系5",E838,0)+IF(AND(C838="魅力",E838&lt;0),E838,0))))</x:f>
        <x:v>0</x:v>
      </x:c>
      <x:c r="BV838">
        <x:f>MAX(0,MIN(BK838,IF(AND(H838=1,C838="重要关系6",LEFT('幕间与结算'!H745,8)="建立新的重要关系"),'幕间与结算'!E745+E838,BV837+IF(C838="重要关系6",E838,0)+IF(AND(C838="魅力",E838&lt;0),E838,0))))</x:f>
        <x:v>0</x:v>
      </x:c>
      <x:c r="BW838">
        <x:f>MAX(0,MIN(BK838,IF(AND(H838=1,C838="重要关系7",LEFT('幕间与结算'!H745,8)="建立新的重要关系"),'幕间与结算'!E745+E838,BW837+IF(C838="重要关系7",E838,0)+IF(AND(C838="魅力",E838&lt;0),E838,0))))</x:f>
        <x:v>0</x:v>
      </x:c>
    </x:row>
    <x:row r="839">
      <x:c r="A839" t="str">
        <x:f>IFERROR(TEXT(VALUE('幕间与结算'!A746),"00"),"")</x:f>
        <x:v>00</x:v>
      </x:c>
      <x:c r="B839">
        <x:f>'幕间与结算'!B746</x:f>
        <x:v>0</x:v>
      </x:c>
      <x:c r="C839">
        <x:f>'幕间与结算'!D746</x:f>
        <x:v>0</x:v>
      </x:c>
      <x:c r="D839">
        <x:f>'幕间与结算'!F746</x:f>
        <x:v>0</x:v>
      </x:c>
      <x:c r="E839">
        <x:f>IF(H839=1,MAX(-'幕间与结算'!E746,MIN(D839,IF(LEFT(C839,3)="技能：",99,IF(COUNTIF($L$2:$L$7,C839)&gt;0,18,999))-'幕间与结算'!E746)),0)</x:f>
        <x:v>0</x:v>
      </x:c>
      <x:c r="F839" t="str">
        <x:f>IF(C839=0,"",IF(G839=0,"记录不完整",IF(H839=0,"重复未计","已计入")))</x:f>
        <x:v/>
      </x:c>
      <x:c r="G839">
        <x:f>IF(AND(AND('幕间与结算'!A746&lt;&gt;"",'幕间与结算'!B746&lt;&gt;"",'幕间与结算'!I746&lt;&gt;"",OR(LEFT(C839,3)="技能：",COUNTIF($L$2:$L$19,C839)&gt;0),ISNUMBER('幕间与结算'!E746),ISNUMBER('幕间与结算'!F746),ISNUMBER('幕间与结算'!G746),'幕间与结算'!E746&gt;=0,'幕间与结算'!G746='幕间与结算'!E746+'幕间与结算'!F746),OR(B839&lt;&gt;"成长",AND(LEFT(C839,3)="技能：",C839&lt;&gt;"技能：非自然知识",'幕间与结算'!E746&gt;=1,'幕间与结算'!E746&lt;=99,'幕间与结算'!F746&gt;=0,'幕间与结算'!F746&lt;=4,'幕间与结算'!G746&lt;=99))),1,0)</x:f>
        <x:v>0</x:v>
      </x:c>
      <x:c r="H839">
        <x:f>IF(AND(G839=1,COUNTIFS($I$200:I839,I839,$G$200:G839,1)=1),1,0)</x:f>
        <x:v>0</x:v>
      </x:c>
      <x:c r="I839" t="str">
        <x:f>IF(G839=1,IF(B839="成长",A839&amp;"-成长-"&amp;C839,'幕间与结算'!I746),"")</x:f>
        <x:v/>
      </x:c>
      <x:c r="BF839">
        <x:f>MAX(0,MIN(18,BF838+IF(C839="力量",E839,0)))</x:f>
        <x:v>0</x:v>
      </x:c>
      <x:c r="BG839">
        <x:f>MAX(0,MIN(18,BG838+IF(C839="体质",E839,0)))</x:f>
        <x:v>0</x:v>
      </x:c>
      <x:c r="BH839">
        <x:f>MAX(0,MIN(18,BH838+IF(C839="敏捷",E839,0)))</x:f>
        <x:v>0</x:v>
      </x:c>
      <x:c r="BI839">
        <x:f>MAX(0,MIN(18,BI838+IF(C839="智力",E839,0)))</x:f>
        <x:v>0</x:v>
      </x:c>
      <x:c r="BJ839">
        <x:f>MAX(0,MIN(18,BJ838+IF(C839="意志",E839,0)))</x:f>
        <x:v>0</x:v>
      </x:c>
      <x:c r="BK839">
        <x:f>MAX(0,MIN(18,BK838+IF(C839="魅力",E839,0)))</x:f>
        <x:v>0</x:v>
      </x:c>
      <x:c r="BL839">
        <x:f>MAX(0,MIN(99,BL838+IF(C839="技能：非自然知识",E839,0)))</x:f>
        <x:v>0</x:v>
      </x:c>
      <x:c r="BM839">
        <x:f>MAX(0,MIN(CEILING((BF839+BG839)/2,1),BM838+IF(C839="体力",E839,0)))</x:f>
        <x:v>0</x:v>
      </x:c>
      <x:c r="BN839">
        <x:f>MAX(0,MIN(BJ839,BN838+IF(C839="毅力",E839,0)))</x:f>
        <x:v>0</x:v>
      </x:c>
      <x:c r="BO839">
        <x:f>MAX(0,MIN(99-BL839,BO838+IF(C839="理智",E839,0)))</x:f>
        <x:v>0</x:v>
      </x:c>
      <x:c r="BP839">
        <x:f>MAX(0,MIN(99,BP838+IF(C839="崩溃点",E839,0)))</x:f>
        <x:v>0</x:v>
      </x:c>
      <x:c r="BQ839">
        <x:f>MAX(0,MIN(BK839,IF(AND(H839=1,C839="重要关系1",LEFT('幕间与结算'!H746,8)="建立新的重要关系"),'幕间与结算'!E746+E839,BQ838+IF(C839="重要关系1",E839,0)+IF(AND(C839="魅力",E839&lt;0),E839,0))))</x:f>
        <x:v>0</x:v>
      </x:c>
      <x:c r="BR839">
        <x:f>MAX(0,MIN(BK839,IF(AND(H839=1,C839="重要关系2",LEFT('幕间与结算'!H746,8)="建立新的重要关系"),'幕间与结算'!E746+E839,BR838+IF(C839="重要关系2",E839,0)+IF(AND(C839="魅力",E839&lt;0),E839,0))))</x:f>
        <x:v>0</x:v>
      </x:c>
      <x:c r="BS839">
        <x:f>MAX(0,MIN(BK839,IF(AND(H839=1,C839="重要关系3",LEFT('幕间与结算'!H746,8)="建立新的重要关系"),'幕间与结算'!E746+E839,BS838+IF(C839="重要关系3",E839,0)+IF(AND(C839="魅力",E839&lt;0),E839,0))))</x:f>
        <x:v>0</x:v>
      </x:c>
      <x:c r="BT839">
        <x:f>MAX(0,MIN(BK839,IF(AND(H839=1,C839="重要关系4",LEFT('幕间与结算'!H746,8)="建立新的重要关系"),'幕间与结算'!E746+E839,BT838+IF(C839="重要关系4",E839,0)+IF(AND(C839="魅力",E839&lt;0),E839,0))))</x:f>
        <x:v>0</x:v>
      </x:c>
      <x:c r="BU839">
        <x:f>MAX(0,MIN(BK839,IF(AND(H839=1,C839="重要关系5",LEFT('幕间与结算'!H746,8)="建立新的重要关系"),'幕间与结算'!E746+E839,BU838+IF(C839="重要关系5",E839,0)+IF(AND(C839="魅力",E839&lt;0),E839,0))))</x:f>
        <x:v>0</x:v>
      </x:c>
      <x:c r="BV839">
        <x:f>MAX(0,MIN(BK839,IF(AND(H839=1,C839="重要关系6",LEFT('幕间与结算'!H746,8)="建立新的重要关系"),'幕间与结算'!E746+E839,BV838+IF(C839="重要关系6",E839,0)+IF(AND(C839="魅力",E839&lt;0),E839,0))))</x:f>
        <x:v>0</x:v>
      </x:c>
      <x:c r="BW839">
        <x:f>MAX(0,MIN(BK839,IF(AND(H839=1,C839="重要关系7",LEFT('幕间与结算'!H746,8)="建立新的重要关系"),'幕间与结算'!E746+E839,BW838+IF(C839="重要关系7",E839,0)+IF(AND(C839="魅力",E839&lt;0),E839,0))))</x:f>
        <x:v>0</x:v>
      </x:c>
    </x:row>
    <x:row r="840">
      <x:c r="A840" t="str">
        <x:f>IFERROR(TEXT(VALUE('幕间与结算'!A747),"00"),"")</x:f>
        <x:v>00</x:v>
      </x:c>
      <x:c r="B840">
        <x:f>'幕间与结算'!B747</x:f>
        <x:v>0</x:v>
      </x:c>
      <x:c r="C840">
        <x:f>'幕间与结算'!D747</x:f>
        <x:v>0</x:v>
      </x:c>
      <x:c r="D840">
        <x:f>'幕间与结算'!F747</x:f>
        <x:v>0</x:v>
      </x:c>
      <x:c r="E840">
        <x:f>IF(H840=1,MAX(-'幕间与结算'!E747,MIN(D840,IF(LEFT(C840,3)="技能：",99,IF(COUNTIF($L$2:$L$7,C840)&gt;0,18,999))-'幕间与结算'!E747)),0)</x:f>
        <x:v>0</x:v>
      </x:c>
      <x:c r="F840" t="str">
        <x:f>IF(C840=0,"",IF(G840=0,"记录不完整",IF(H840=0,"重复未计","已计入")))</x:f>
        <x:v/>
      </x:c>
      <x:c r="G840">
        <x:f>IF(AND(AND('幕间与结算'!A747&lt;&gt;"",'幕间与结算'!B747&lt;&gt;"",'幕间与结算'!I747&lt;&gt;"",OR(LEFT(C840,3)="技能：",COUNTIF($L$2:$L$19,C840)&gt;0),ISNUMBER('幕间与结算'!E747),ISNUMBER('幕间与结算'!F747),ISNUMBER('幕间与结算'!G747),'幕间与结算'!E747&gt;=0,'幕间与结算'!G747='幕间与结算'!E747+'幕间与结算'!F747),OR(B840&lt;&gt;"成长",AND(LEFT(C840,3)="技能：",C840&lt;&gt;"技能：非自然知识",'幕间与结算'!E747&gt;=1,'幕间与结算'!E747&lt;=99,'幕间与结算'!F747&gt;=0,'幕间与结算'!F747&lt;=4,'幕间与结算'!G747&lt;=99))),1,0)</x:f>
        <x:v>0</x:v>
      </x:c>
      <x:c r="H840">
        <x:f>IF(AND(G840=1,COUNTIFS($I$200:I840,I840,$G$200:G840,1)=1),1,0)</x:f>
        <x:v>0</x:v>
      </x:c>
      <x:c r="I840" t="str">
        <x:f>IF(G840=1,IF(B840="成长",A840&amp;"-成长-"&amp;C840,'幕间与结算'!I747),"")</x:f>
        <x:v/>
      </x:c>
      <x:c r="BF840">
        <x:f>MAX(0,MIN(18,BF839+IF(C840="力量",E840,0)))</x:f>
        <x:v>0</x:v>
      </x:c>
      <x:c r="BG840">
        <x:f>MAX(0,MIN(18,BG839+IF(C840="体质",E840,0)))</x:f>
        <x:v>0</x:v>
      </x:c>
      <x:c r="BH840">
        <x:f>MAX(0,MIN(18,BH839+IF(C840="敏捷",E840,0)))</x:f>
        <x:v>0</x:v>
      </x:c>
      <x:c r="BI840">
        <x:f>MAX(0,MIN(18,BI839+IF(C840="智力",E840,0)))</x:f>
        <x:v>0</x:v>
      </x:c>
      <x:c r="BJ840">
        <x:f>MAX(0,MIN(18,BJ839+IF(C840="意志",E840,0)))</x:f>
        <x:v>0</x:v>
      </x:c>
      <x:c r="BK840">
        <x:f>MAX(0,MIN(18,BK839+IF(C840="魅力",E840,0)))</x:f>
        <x:v>0</x:v>
      </x:c>
      <x:c r="BL840">
        <x:f>MAX(0,MIN(99,BL839+IF(C840="技能：非自然知识",E840,0)))</x:f>
        <x:v>0</x:v>
      </x:c>
      <x:c r="BM840">
        <x:f>MAX(0,MIN(CEILING((BF840+BG840)/2,1),BM839+IF(C840="体力",E840,0)))</x:f>
        <x:v>0</x:v>
      </x:c>
      <x:c r="BN840">
        <x:f>MAX(0,MIN(BJ840,BN839+IF(C840="毅力",E840,0)))</x:f>
        <x:v>0</x:v>
      </x:c>
      <x:c r="BO840">
        <x:f>MAX(0,MIN(99-BL840,BO839+IF(C840="理智",E840,0)))</x:f>
        <x:v>0</x:v>
      </x:c>
      <x:c r="BP840">
        <x:f>MAX(0,MIN(99,BP839+IF(C840="崩溃点",E840,0)))</x:f>
        <x:v>0</x:v>
      </x:c>
      <x:c r="BQ840">
        <x:f>MAX(0,MIN(BK840,IF(AND(H840=1,C840="重要关系1",LEFT('幕间与结算'!H747,8)="建立新的重要关系"),'幕间与结算'!E747+E840,BQ839+IF(C840="重要关系1",E840,0)+IF(AND(C840="魅力",E840&lt;0),E840,0))))</x:f>
        <x:v>0</x:v>
      </x:c>
      <x:c r="BR840">
        <x:f>MAX(0,MIN(BK840,IF(AND(H840=1,C840="重要关系2",LEFT('幕间与结算'!H747,8)="建立新的重要关系"),'幕间与结算'!E747+E840,BR839+IF(C840="重要关系2",E840,0)+IF(AND(C840="魅力",E840&lt;0),E840,0))))</x:f>
        <x:v>0</x:v>
      </x:c>
      <x:c r="BS840">
        <x:f>MAX(0,MIN(BK840,IF(AND(H840=1,C840="重要关系3",LEFT('幕间与结算'!H747,8)="建立新的重要关系"),'幕间与结算'!E747+E840,BS839+IF(C840="重要关系3",E840,0)+IF(AND(C840="魅力",E840&lt;0),E840,0))))</x:f>
        <x:v>0</x:v>
      </x:c>
      <x:c r="BT840">
        <x:f>MAX(0,MIN(BK840,IF(AND(H840=1,C840="重要关系4",LEFT('幕间与结算'!H747,8)="建立新的重要关系"),'幕间与结算'!E747+E840,BT839+IF(C840="重要关系4",E840,0)+IF(AND(C840="魅力",E840&lt;0),E840,0))))</x:f>
        <x:v>0</x:v>
      </x:c>
      <x:c r="BU840">
        <x:f>MAX(0,MIN(BK840,IF(AND(H840=1,C840="重要关系5",LEFT('幕间与结算'!H747,8)="建立新的重要关系"),'幕间与结算'!E747+E840,BU839+IF(C840="重要关系5",E840,0)+IF(AND(C840="魅力",E840&lt;0),E840,0))))</x:f>
        <x:v>0</x:v>
      </x:c>
      <x:c r="BV840">
        <x:f>MAX(0,MIN(BK840,IF(AND(H840=1,C840="重要关系6",LEFT('幕间与结算'!H747,8)="建立新的重要关系"),'幕间与结算'!E747+E840,BV839+IF(C840="重要关系6",E840,0)+IF(AND(C840="魅力",E840&lt;0),E840,0))))</x:f>
        <x:v>0</x:v>
      </x:c>
      <x:c r="BW840">
        <x:f>MAX(0,MIN(BK840,IF(AND(H840=1,C840="重要关系7",LEFT('幕间与结算'!H747,8)="建立新的重要关系"),'幕间与结算'!E747+E840,BW839+IF(C840="重要关系7",E840,0)+IF(AND(C840="魅力",E840&lt;0),E840,0))))</x:f>
        <x:v>0</x:v>
      </x:c>
    </x:row>
    <x:row r="841">
      <x:c r="A841" t="str">
        <x:f>IFERROR(TEXT(VALUE('幕间与结算'!A748),"00"),"")</x:f>
        <x:v>00</x:v>
      </x:c>
      <x:c r="B841">
        <x:f>'幕间与结算'!B748</x:f>
        <x:v>0</x:v>
      </x:c>
      <x:c r="C841">
        <x:f>'幕间与结算'!D748</x:f>
        <x:v>0</x:v>
      </x:c>
      <x:c r="D841">
        <x:f>'幕间与结算'!F748</x:f>
        <x:v>0</x:v>
      </x:c>
      <x:c r="E841">
        <x:f>IF(H841=1,MAX(-'幕间与结算'!E748,MIN(D841,IF(LEFT(C841,3)="技能：",99,IF(COUNTIF($L$2:$L$7,C841)&gt;0,18,999))-'幕间与结算'!E748)),0)</x:f>
        <x:v>0</x:v>
      </x:c>
      <x:c r="F841" t="str">
        <x:f>IF(C841=0,"",IF(G841=0,"记录不完整",IF(H841=0,"重复未计","已计入")))</x:f>
        <x:v/>
      </x:c>
      <x:c r="G841">
        <x:f>IF(AND(AND('幕间与结算'!A748&lt;&gt;"",'幕间与结算'!B748&lt;&gt;"",'幕间与结算'!I748&lt;&gt;"",OR(LEFT(C841,3)="技能：",COUNTIF($L$2:$L$19,C841)&gt;0),ISNUMBER('幕间与结算'!E748),ISNUMBER('幕间与结算'!F748),ISNUMBER('幕间与结算'!G748),'幕间与结算'!E748&gt;=0,'幕间与结算'!G748='幕间与结算'!E748+'幕间与结算'!F748),OR(B841&lt;&gt;"成长",AND(LEFT(C841,3)="技能：",C841&lt;&gt;"技能：非自然知识",'幕间与结算'!E748&gt;=1,'幕间与结算'!E748&lt;=99,'幕间与结算'!F748&gt;=0,'幕间与结算'!F748&lt;=4,'幕间与结算'!G748&lt;=99))),1,0)</x:f>
        <x:v>0</x:v>
      </x:c>
      <x:c r="H841">
        <x:f>IF(AND(G841=1,COUNTIFS($I$200:I841,I841,$G$200:G841,1)=1),1,0)</x:f>
        <x:v>0</x:v>
      </x:c>
      <x:c r="I841" t="str">
        <x:f>IF(G841=1,IF(B841="成长",A841&amp;"-成长-"&amp;C841,'幕间与结算'!I748),"")</x:f>
        <x:v/>
      </x:c>
      <x:c r="BF841">
        <x:f>MAX(0,MIN(18,BF840+IF(C841="力量",E841,0)))</x:f>
        <x:v>0</x:v>
      </x:c>
      <x:c r="BG841">
        <x:f>MAX(0,MIN(18,BG840+IF(C841="体质",E841,0)))</x:f>
        <x:v>0</x:v>
      </x:c>
      <x:c r="BH841">
        <x:f>MAX(0,MIN(18,BH840+IF(C841="敏捷",E841,0)))</x:f>
        <x:v>0</x:v>
      </x:c>
      <x:c r="BI841">
        <x:f>MAX(0,MIN(18,BI840+IF(C841="智力",E841,0)))</x:f>
        <x:v>0</x:v>
      </x:c>
      <x:c r="BJ841">
        <x:f>MAX(0,MIN(18,BJ840+IF(C841="意志",E841,0)))</x:f>
        <x:v>0</x:v>
      </x:c>
      <x:c r="BK841">
        <x:f>MAX(0,MIN(18,BK840+IF(C841="魅力",E841,0)))</x:f>
        <x:v>0</x:v>
      </x:c>
      <x:c r="BL841">
        <x:f>MAX(0,MIN(99,BL840+IF(C841="技能：非自然知识",E841,0)))</x:f>
        <x:v>0</x:v>
      </x:c>
      <x:c r="BM841">
        <x:f>MAX(0,MIN(CEILING((BF841+BG841)/2,1),BM840+IF(C841="体力",E841,0)))</x:f>
        <x:v>0</x:v>
      </x:c>
      <x:c r="BN841">
        <x:f>MAX(0,MIN(BJ841,BN840+IF(C841="毅力",E841,0)))</x:f>
        <x:v>0</x:v>
      </x:c>
      <x:c r="BO841">
        <x:f>MAX(0,MIN(99-BL841,BO840+IF(C841="理智",E841,0)))</x:f>
        <x:v>0</x:v>
      </x:c>
      <x:c r="BP841">
        <x:f>MAX(0,MIN(99,BP840+IF(C841="崩溃点",E841,0)))</x:f>
        <x:v>0</x:v>
      </x:c>
      <x:c r="BQ841">
        <x:f>MAX(0,MIN(BK841,IF(AND(H841=1,C841="重要关系1",LEFT('幕间与结算'!H748,8)="建立新的重要关系"),'幕间与结算'!E748+E841,BQ840+IF(C841="重要关系1",E841,0)+IF(AND(C841="魅力",E841&lt;0),E841,0))))</x:f>
        <x:v>0</x:v>
      </x:c>
      <x:c r="BR841">
        <x:f>MAX(0,MIN(BK841,IF(AND(H841=1,C841="重要关系2",LEFT('幕间与结算'!H748,8)="建立新的重要关系"),'幕间与结算'!E748+E841,BR840+IF(C841="重要关系2",E841,0)+IF(AND(C841="魅力",E841&lt;0),E841,0))))</x:f>
        <x:v>0</x:v>
      </x:c>
      <x:c r="BS841">
        <x:f>MAX(0,MIN(BK841,IF(AND(H841=1,C841="重要关系3",LEFT('幕间与结算'!H748,8)="建立新的重要关系"),'幕间与结算'!E748+E841,BS840+IF(C841="重要关系3",E841,0)+IF(AND(C841="魅力",E841&lt;0),E841,0))))</x:f>
        <x:v>0</x:v>
      </x:c>
      <x:c r="BT841">
        <x:f>MAX(0,MIN(BK841,IF(AND(H841=1,C841="重要关系4",LEFT('幕间与结算'!H748,8)="建立新的重要关系"),'幕间与结算'!E748+E841,BT840+IF(C841="重要关系4",E841,0)+IF(AND(C841="魅力",E841&lt;0),E841,0))))</x:f>
        <x:v>0</x:v>
      </x:c>
      <x:c r="BU841">
        <x:f>MAX(0,MIN(BK841,IF(AND(H841=1,C841="重要关系5",LEFT('幕间与结算'!H748,8)="建立新的重要关系"),'幕间与结算'!E748+E841,BU840+IF(C841="重要关系5",E841,0)+IF(AND(C841="魅力",E841&lt;0),E841,0))))</x:f>
        <x:v>0</x:v>
      </x:c>
      <x:c r="BV841">
        <x:f>MAX(0,MIN(BK841,IF(AND(H841=1,C841="重要关系6",LEFT('幕间与结算'!H748,8)="建立新的重要关系"),'幕间与结算'!E748+E841,BV840+IF(C841="重要关系6",E841,0)+IF(AND(C841="魅力",E841&lt;0),E841,0))))</x:f>
        <x:v>0</x:v>
      </x:c>
      <x:c r="BW841">
        <x:f>MAX(0,MIN(BK841,IF(AND(H841=1,C841="重要关系7",LEFT('幕间与结算'!H748,8)="建立新的重要关系"),'幕间与结算'!E748+E841,BW840+IF(C841="重要关系7",E841,0)+IF(AND(C841="魅力",E841&lt;0),E841,0))))</x:f>
        <x:v>0</x:v>
      </x:c>
    </x:row>
    <x:row r="842">
      <x:c r="A842" t="str">
        <x:f>IFERROR(TEXT(VALUE('幕间与结算'!A749),"00"),"")</x:f>
        <x:v>00</x:v>
      </x:c>
      <x:c r="B842">
        <x:f>'幕间与结算'!B749</x:f>
        <x:v>0</x:v>
      </x:c>
      <x:c r="C842">
        <x:f>'幕间与结算'!D749</x:f>
        <x:v>0</x:v>
      </x:c>
      <x:c r="D842">
        <x:f>'幕间与结算'!F749</x:f>
        <x:v>0</x:v>
      </x:c>
      <x:c r="E842">
        <x:f>IF(H842=1,MAX(-'幕间与结算'!E749,MIN(D842,IF(LEFT(C842,3)="技能：",99,IF(COUNTIF($L$2:$L$7,C842)&gt;0,18,999))-'幕间与结算'!E749)),0)</x:f>
        <x:v>0</x:v>
      </x:c>
      <x:c r="F842" t="str">
        <x:f>IF(C842=0,"",IF(G842=0,"记录不完整",IF(H842=0,"重复未计","已计入")))</x:f>
        <x:v/>
      </x:c>
      <x:c r="G842">
        <x:f>IF(AND(AND('幕间与结算'!A749&lt;&gt;"",'幕间与结算'!B749&lt;&gt;"",'幕间与结算'!I749&lt;&gt;"",OR(LEFT(C842,3)="技能：",COUNTIF($L$2:$L$19,C842)&gt;0),ISNUMBER('幕间与结算'!E749),ISNUMBER('幕间与结算'!F749),ISNUMBER('幕间与结算'!G749),'幕间与结算'!E749&gt;=0,'幕间与结算'!G749='幕间与结算'!E749+'幕间与结算'!F749),OR(B842&lt;&gt;"成长",AND(LEFT(C842,3)="技能：",C842&lt;&gt;"技能：非自然知识",'幕间与结算'!E749&gt;=1,'幕间与结算'!E749&lt;=99,'幕间与结算'!F749&gt;=0,'幕间与结算'!F749&lt;=4,'幕间与结算'!G749&lt;=99))),1,0)</x:f>
        <x:v>0</x:v>
      </x:c>
      <x:c r="H842">
        <x:f>IF(AND(G842=1,COUNTIFS($I$200:I842,I842,$G$200:G842,1)=1),1,0)</x:f>
        <x:v>0</x:v>
      </x:c>
      <x:c r="I842" t="str">
        <x:f>IF(G842=1,IF(B842="成长",A842&amp;"-成长-"&amp;C842,'幕间与结算'!I749),"")</x:f>
        <x:v/>
      </x:c>
      <x:c r="BF842">
        <x:f>MAX(0,MIN(18,BF841+IF(C842="力量",E842,0)))</x:f>
        <x:v>0</x:v>
      </x:c>
      <x:c r="BG842">
        <x:f>MAX(0,MIN(18,BG841+IF(C842="体质",E842,0)))</x:f>
        <x:v>0</x:v>
      </x:c>
      <x:c r="BH842">
        <x:f>MAX(0,MIN(18,BH841+IF(C842="敏捷",E842,0)))</x:f>
        <x:v>0</x:v>
      </x:c>
      <x:c r="BI842">
        <x:f>MAX(0,MIN(18,BI841+IF(C842="智力",E842,0)))</x:f>
        <x:v>0</x:v>
      </x:c>
      <x:c r="BJ842">
        <x:f>MAX(0,MIN(18,BJ841+IF(C842="意志",E842,0)))</x:f>
        <x:v>0</x:v>
      </x:c>
      <x:c r="BK842">
        <x:f>MAX(0,MIN(18,BK841+IF(C842="魅力",E842,0)))</x:f>
        <x:v>0</x:v>
      </x:c>
      <x:c r="BL842">
        <x:f>MAX(0,MIN(99,BL841+IF(C842="技能：非自然知识",E842,0)))</x:f>
        <x:v>0</x:v>
      </x:c>
      <x:c r="BM842">
        <x:f>MAX(0,MIN(CEILING((BF842+BG842)/2,1),BM841+IF(C842="体力",E842,0)))</x:f>
        <x:v>0</x:v>
      </x:c>
      <x:c r="BN842">
        <x:f>MAX(0,MIN(BJ842,BN841+IF(C842="毅力",E842,0)))</x:f>
        <x:v>0</x:v>
      </x:c>
      <x:c r="BO842">
        <x:f>MAX(0,MIN(99-BL842,BO841+IF(C842="理智",E842,0)))</x:f>
        <x:v>0</x:v>
      </x:c>
      <x:c r="BP842">
        <x:f>MAX(0,MIN(99,BP841+IF(C842="崩溃点",E842,0)))</x:f>
        <x:v>0</x:v>
      </x:c>
      <x:c r="BQ842">
        <x:f>MAX(0,MIN(BK842,IF(AND(H842=1,C842="重要关系1",LEFT('幕间与结算'!H749,8)="建立新的重要关系"),'幕间与结算'!E749+E842,BQ841+IF(C842="重要关系1",E842,0)+IF(AND(C842="魅力",E842&lt;0),E842,0))))</x:f>
        <x:v>0</x:v>
      </x:c>
      <x:c r="BR842">
        <x:f>MAX(0,MIN(BK842,IF(AND(H842=1,C842="重要关系2",LEFT('幕间与结算'!H749,8)="建立新的重要关系"),'幕间与结算'!E749+E842,BR841+IF(C842="重要关系2",E842,0)+IF(AND(C842="魅力",E842&lt;0),E842,0))))</x:f>
        <x:v>0</x:v>
      </x:c>
      <x:c r="BS842">
        <x:f>MAX(0,MIN(BK842,IF(AND(H842=1,C842="重要关系3",LEFT('幕间与结算'!H749,8)="建立新的重要关系"),'幕间与结算'!E749+E842,BS841+IF(C842="重要关系3",E842,0)+IF(AND(C842="魅力",E842&lt;0),E842,0))))</x:f>
        <x:v>0</x:v>
      </x:c>
      <x:c r="BT842">
        <x:f>MAX(0,MIN(BK842,IF(AND(H842=1,C842="重要关系4",LEFT('幕间与结算'!H749,8)="建立新的重要关系"),'幕间与结算'!E749+E842,BT841+IF(C842="重要关系4",E842,0)+IF(AND(C842="魅力",E842&lt;0),E842,0))))</x:f>
        <x:v>0</x:v>
      </x:c>
      <x:c r="BU842">
        <x:f>MAX(0,MIN(BK842,IF(AND(H842=1,C842="重要关系5",LEFT('幕间与结算'!H749,8)="建立新的重要关系"),'幕间与结算'!E749+E842,BU841+IF(C842="重要关系5",E842,0)+IF(AND(C842="魅力",E842&lt;0),E842,0))))</x:f>
        <x:v>0</x:v>
      </x:c>
      <x:c r="BV842">
        <x:f>MAX(0,MIN(BK842,IF(AND(H842=1,C842="重要关系6",LEFT('幕间与结算'!H749,8)="建立新的重要关系"),'幕间与结算'!E749+E842,BV841+IF(C842="重要关系6",E842,0)+IF(AND(C842="魅力",E842&lt;0),E842,0))))</x:f>
        <x:v>0</x:v>
      </x:c>
      <x:c r="BW842">
        <x:f>MAX(0,MIN(BK842,IF(AND(H842=1,C842="重要关系7",LEFT('幕间与结算'!H749,8)="建立新的重要关系"),'幕间与结算'!E749+E842,BW841+IF(C842="重要关系7",E842,0)+IF(AND(C842="魅力",E842&lt;0),E842,0))))</x:f>
        <x:v>0</x:v>
      </x:c>
    </x:row>
    <x:row r="843">
      <x:c r="A843" t="str">
        <x:f>IFERROR(TEXT(VALUE('幕间与结算'!A750),"00"),"")</x:f>
        <x:v>00</x:v>
      </x:c>
      <x:c r="B843">
        <x:f>'幕间与结算'!B750</x:f>
        <x:v>0</x:v>
      </x:c>
      <x:c r="C843">
        <x:f>'幕间与结算'!D750</x:f>
        <x:v>0</x:v>
      </x:c>
      <x:c r="D843">
        <x:f>'幕间与结算'!F750</x:f>
        <x:v>0</x:v>
      </x:c>
      <x:c r="E843">
        <x:f>IF(H843=1,MAX(-'幕间与结算'!E750,MIN(D843,IF(LEFT(C843,3)="技能：",99,IF(COUNTIF($L$2:$L$7,C843)&gt;0,18,999))-'幕间与结算'!E750)),0)</x:f>
        <x:v>0</x:v>
      </x:c>
      <x:c r="F843" t="str">
        <x:f>IF(C843=0,"",IF(G843=0,"记录不完整",IF(H843=0,"重复未计","已计入")))</x:f>
        <x:v/>
      </x:c>
      <x:c r="G843">
        <x:f>IF(AND(AND('幕间与结算'!A750&lt;&gt;"",'幕间与结算'!B750&lt;&gt;"",'幕间与结算'!I750&lt;&gt;"",OR(LEFT(C843,3)="技能：",COUNTIF($L$2:$L$19,C843)&gt;0),ISNUMBER('幕间与结算'!E750),ISNUMBER('幕间与结算'!F750),ISNUMBER('幕间与结算'!G750),'幕间与结算'!E750&gt;=0,'幕间与结算'!G750='幕间与结算'!E750+'幕间与结算'!F750),OR(B843&lt;&gt;"成长",AND(LEFT(C843,3)="技能：",C843&lt;&gt;"技能：非自然知识",'幕间与结算'!E750&gt;=1,'幕间与结算'!E750&lt;=99,'幕间与结算'!F750&gt;=0,'幕间与结算'!F750&lt;=4,'幕间与结算'!G750&lt;=99))),1,0)</x:f>
        <x:v>0</x:v>
      </x:c>
      <x:c r="H843">
        <x:f>IF(AND(G843=1,COUNTIFS($I$200:I843,I843,$G$200:G843,1)=1),1,0)</x:f>
        <x:v>0</x:v>
      </x:c>
      <x:c r="I843" t="str">
        <x:f>IF(G843=1,IF(B843="成长",A843&amp;"-成长-"&amp;C843,'幕间与结算'!I750),"")</x:f>
        <x:v/>
      </x:c>
      <x:c r="BF843">
        <x:f>MAX(0,MIN(18,BF842+IF(C843="力量",E843,0)))</x:f>
        <x:v>0</x:v>
      </x:c>
      <x:c r="BG843">
        <x:f>MAX(0,MIN(18,BG842+IF(C843="体质",E843,0)))</x:f>
        <x:v>0</x:v>
      </x:c>
      <x:c r="BH843">
        <x:f>MAX(0,MIN(18,BH842+IF(C843="敏捷",E843,0)))</x:f>
        <x:v>0</x:v>
      </x:c>
      <x:c r="BI843">
        <x:f>MAX(0,MIN(18,BI842+IF(C843="智力",E843,0)))</x:f>
        <x:v>0</x:v>
      </x:c>
      <x:c r="BJ843">
        <x:f>MAX(0,MIN(18,BJ842+IF(C843="意志",E843,0)))</x:f>
        <x:v>0</x:v>
      </x:c>
      <x:c r="BK843">
        <x:f>MAX(0,MIN(18,BK842+IF(C843="魅力",E843,0)))</x:f>
        <x:v>0</x:v>
      </x:c>
      <x:c r="BL843">
        <x:f>MAX(0,MIN(99,BL842+IF(C843="技能：非自然知识",E843,0)))</x:f>
        <x:v>0</x:v>
      </x:c>
      <x:c r="BM843">
        <x:f>MAX(0,MIN(CEILING((BF843+BG843)/2,1),BM842+IF(C843="体力",E843,0)))</x:f>
        <x:v>0</x:v>
      </x:c>
      <x:c r="BN843">
        <x:f>MAX(0,MIN(BJ843,BN842+IF(C843="毅力",E843,0)))</x:f>
        <x:v>0</x:v>
      </x:c>
      <x:c r="BO843">
        <x:f>MAX(0,MIN(99-BL843,BO842+IF(C843="理智",E843,0)))</x:f>
        <x:v>0</x:v>
      </x:c>
      <x:c r="BP843">
        <x:f>MAX(0,MIN(99,BP842+IF(C843="崩溃点",E843,0)))</x:f>
        <x:v>0</x:v>
      </x:c>
      <x:c r="BQ843">
        <x:f>MAX(0,MIN(BK843,IF(AND(H843=1,C843="重要关系1",LEFT('幕间与结算'!H750,8)="建立新的重要关系"),'幕间与结算'!E750+E843,BQ842+IF(C843="重要关系1",E843,0)+IF(AND(C843="魅力",E843&lt;0),E843,0))))</x:f>
        <x:v>0</x:v>
      </x:c>
      <x:c r="BR843">
        <x:f>MAX(0,MIN(BK843,IF(AND(H843=1,C843="重要关系2",LEFT('幕间与结算'!H750,8)="建立新的重要关系"),'幕间与结算'!E750+E843,BR842+IF(C843="重要关系2",E843,0)+IF(AND(C843="魅力",E843&lt;0),E843,0))))</x:f>
        <x:v>0</x:v>
      </x:c>
      <x:c r="BS843">
        <x:f>MAX(0,MIN(BK843,IF(AND(H843=1,C843="重要关系3",LEFT('幕间与结算'!H750,8)="建立新的重要关系"),'幕间与结算'!E750+E843,BS842+IF(C843="重要关系3",E843,0)+IF(AND(C843="魅力",E843&lt;0),E843,0))))</x:f>
        <x:v>0</x:v>
      </x:c>
      <x:c r="BT843">
        <x:f>MAX(0,MIN(BK843,IF(AND(H843=1,C843="重要关系4",LEFT('幕间与结算'!H750,8)="建立新的重要关系"),'幕间与结算'!E750+E843,BT842+IF(C843="重要关系4",E843,0)+IF(AND(C843="魅力",E843&lt;0),E843,0))))</x:f>
        <x:v>0</x:v>
      </x:c>
      <x:c r="BU843">
        <x:f>MAX(0,MIN(BK843,IF(AND(H843=1,C843="重要关系5",LEFT('幕间与结算'!H750,8)="建立新的重要关系"),'幕间与结算'!E750+E843,BU842+IF(C843="重要关系5",E843,0)+IF(AND(C843="魅力",E843&lt;0),E843,0))))</x:f>
        <x:v>0</x:v>
      </x:c>
      <x:c r="BV843">
        <x:f>MAX(0,MIN(BK843,IF(AND(H843=1,C843="重要关系6",LEFT('幕间与结算'!H750,8)="建立新的重要关系"),'幕间与结算'!E750+E843,BV842+IF(C843="重要关系6",E843,0)+IF(AND(C843="魅力",E843&lt;0),E843,0))))</x:f>
        <x:v>0</x:v>
      </x:c>
      <x:c r="BW843">
        <x:f>MAX(0,MIN(BK843,IF(AND(H843=1,C843="重要关系7",LEFT('幕间与结算'!H750,8)="建立新的重要关系"),'幕间与结算'!E750+E843,BW842+IF(C843="重要关系7",E843,0)+IF(AND(C843="魅力",E843&lt;0),E843,0))))</x:f>
        <x:v>0</x:v>
      </x:c>
    </x:row>
    <x:row r="844">
      <x:c r="A844" t="str">
        <x:f>IFERROR(TEXT(VALUE('幕间与结算'!A751),"00"),"")</x:f>
        <x:v>00</x:v>
      </x:c>
      <x:c r="B844">
        <x:f>'幕间与结算'!B751</x:f>
        <x:v>0</x:v>
      </x:c>
      <x:c r="C844">
        <x:f>'幕间与结算'!D751</x:f>
        <x:v>0</x:v>
      </x:c>
      <x:c r="D844">
        <x:f>'幕间与结算'!F751</x:f>
        <x:v>0</x:v>
      </x:c>
      <x:c r="E844">
        <x:f>IF(H844=1,MAX(-'幕间与结算'!E751,MIN(D844,IF(LEFT(C844,3)="技能：",99,IF(COUNTIF($L$2:$L$7,C844)&gt;0,18,999))-'幕间与结算'!E751)),0)</x:f>
        <x:v>0</x:v>
      </x:c>
      <x:c r="F844" t="str">
        <x:f>IF(C844=0,"",IF(G844=0,"记录不完整",IF(H844=0,"重复未计","已计入")))</x:f>
        <x:v/>
      </x:c>
      <x:c r="G844">
        <x:f>IF(AND(AND('幕间与结算'!A751&lt;&gt;"",'幕间与结算'!B751&lt;&gt;"",'幕间与结算'!I751&lt;&gt;"",OR(LEFT(C844,3)="技能：",COUNTIF($L$2:$L$19,C844)&gt;0),ISNUMBER('幕间与结算'!E751),ISNUMBER('幕间与结算'!F751),ISNUMBER('幕间与结算'!G751),'幕间与结算'!E751&gt;=0,'幕间与结算'!G751='幕间与结算'!E751+'幕间与结算'!F751),OR(B844&lt;&gt;"成长",AND(LEFT(C844,3)="技能：",C844&lt;&gt;"技能：非自然知识",'幕间与结算'!E751&gt;=1,'幕间与结算'!E751&lt;=99,'幕间与结算'!F751&gt;=0,'幕间与结算'!F751&lt;=4,'幕间与结算'!G751&lt;=99))),1,0)</x:f>
        <x:v>0</x:v>
      </x:c>
      <x:c r="H844">
        <x:f>IF(AND(G844=1,COUNTIFS($I$200:I844,I844,$G$200:G844,1)=1),1,0)</x:f>
        <x:v>0</x:v>
      </x:c>
      <x:c r="I844" t="str">
        <x:f>IF(G844=1,IF(B844="成长",A844&amp;"-成长-"&amp;C844,'幕间与结算'!I751),"")</x:f>
        <x:v/>
      </x:c>
      <x:c r="BF844">
        <x:f>MAX(0,MIN(18,BF843+IF(C844="力量",E844,0)))</x:f>
        <x:v>0</x:v>
      </x:c>
      <x:c r="BG844">
        <x:f>MAX(0,MIN(18,BG843+IF(C844="体质",E844,0)))</x:f>
        <x:v>0</x:v>
      </x:c>
      <x:c r="BH844">
        <x:f>MAX(0,MIN(18,BH843+IF(C844="敏捷",E844,0)))</x:f>
        <x:v>0</x:v>
      </x:c>
      <x:c r="BI844">
        <x:f>MAX(0,MIN(18,BI843+IF(C844="智力",E844,0)))</x:f>
        <x:v>0</x:v>
      </x:c>
      <x:c r="BJ844">
        <x:f>MAX(0,MIN(18,BJ843+IF(C844="意志",E844,0)))</x:f>
        <x:v>0</x:v>
      </x:c>
      <x:c r="BK844">
        <x:f>MAX(0,MIN(18,BK843+IF(C844="魅力",E844,0)))</x:f>
        <x:v>0</x:v>
      </x:c>
      <x:c r="BL844">
        <x:f>MAX(0,MIN(99,BL843+IF(C844="技能：非自然知识",E844,0)))</x:f>
        <x:v>0</x:v>
      </x:c>
      <x:c r="BM844">
        <x:f>MAX(0,MIN(CEILING((BF844+BG844)/2,1),BM843+IF(C844="体力",E844,0)))</x:f>
        <x:v>0</x:v>
      </x:c>
      <x:c r="BN844">
        <x:f>MAX(0,MIN(BJ844,BN843+IF(C844="毅力",E844,0)))</x:f>
        <x:v>0</x:v>
      </x:c>
      <x:c r="BO844">
        <x:f>MAX(0,MIN(99-BL844,BO843+IF(C844="理智",E844,0)))</x:f>
        <x:v>0</x:v>
      </x:c>
      <x:c r="BP844">
        <x:f>MAX(0,MIN(99,BP843+IF(C844="崩溃点",E844,0)))</x:f>
        <x:v>0</x:v>
      </x:c>
      <x:c r="BQ844">
        <x:f>MAX(0,MIN(BK844,IF(AND(H844=1,C844="重要关系1",LEFT('幕间与结算'!H751,8)="建立新的重要关系"),'幕间与结算'!E751+E844,BQ843+IF(C844="重要关系1",E844,0)+IF(AND(C844="魅力",E844&lt;0),E844,0))))</x:f>
        <x:v>0</x:v>
      </x:c>
      <x:c r="BR844">
        <x:f>MAX(0,MIN(BK844,IF(AND(H844=1,C844="重要关系2",LEFT('幕间与结算'!H751,8)="建立新的重要关系"),'幕间与结算'!E751+E844,BR843+IF(C844="重要关系2",E844,0)+IF(AND(C844="魅力",E844&lt;0),E844,0))))</x:f>
        <x:v>0</x:v>
      </x:c>
      <x:c r="BS844">
        <x:f>MAX(0,MIN(BK844,IF(AND(H844=1,C844="重要关系3",LEFT('幕间与结算'!H751,8)="建立新的重要关系"),'幕间与结算'!E751+E844,BS843+IF(C844="重要关系3",E844,0)+IF(AND(C844="魅力",E844&lt;0),E844,0))))</x:f>
        <x:v>0</x:v>
      </x:c>
      <x:c r="BT844">
        <x:f>MAX(0,MIN(BK844,IF(AND(H844=1,C844="重要关系4",LEFT('幕间与结算'!H751,8)="建立新的重要关系"),'幕间与结算'!E751+E844,BT843+IF(C844="重要关系4",E844,0)+IF(AND(C844="魅力",E844&lt;0),E844,0))))</x:f>
        <x:v>0</x:v>
      </x:c>
      <x:c r="BU844">
        <x:f>MAX(0,MIN(BK844,IF(AND(H844=1,C844="重要关系5",LEFT('幕间与结算'!H751,8)="建立新的重要关系"),'幕间与结算'!E751+E844,BU843+IF(C844="重要关系5",E844,0)+IF(AND(C844="魅力",E844&lt;0),E844,0))))</x:f>
        <x:v>0</x:v>
      </x:c>
      <x:c r="BV844">
        <x:f>MAX(0,MIN(BK844,IF(AND(H844=1,C844="重要关系6",LEFT('幕间与结算'!H751,8)="建立新的重要关系"),'幕间与结算'!E751+E844,BV843+IF(C844="重要关系6",E844,0)+IF(AND(C844="魅力",E844&lt;0),E844,0))))</x:f>
        <x:v>0</x:v>
      </x:c>
      <x:c r="BW844">
        <x:f>MAX(0,MIN(BK844,IF(AND(H844=1,C844="重要关系7",LEFT('幕间与结算'!H751,8)="建立新的重要关系"),'幕间与结算'!E751+E844,BW843+IF(C844="重要关系7",E844,0)+IF(AND(C844="魅力",E844&lt;0),E844,0))))</x:f>
        <x:v>0</x:v>
      </x:c>
    </x:row>
    <x:row r="845">
      <x:c r="A845" t="str">
        <x:f>IFERROR(TEXT(VALUE('幕间与结算'!A752),"00"),"")</x:f>
        <x:v>00</x:v>
      </x:c>
      <x:c r="B845">
        <x:f>'幕间与结算'!B752</x:f>
        <x:v>0</x:v>
      </x:c>
      <x:c r="C845">
        <x:f>'幕间与结算'!D752</x:f>
        <x:v>0</x:v>
      </x:c>
      <x:c r="D845">
        <x:f>'幕间与结算'!F752</x:f>
        <x:v>0</x:v>
      </x:c>
      <x:c r="E845">
        <x:f>IF(H845=1,MAX(-'幕间与结算'!E752,MIN(D845,IF(LEFT(C845,3)="技能：",99,IF(COUNTIF($L$2:$L$7,C845)&gt;0,18,999))-'幕间与结算'!E752)),0)</x:f>
        <x:v>0</x:v>
      </x:c>
      <x:c r="F845" t="str">
        <x:f>IF(C845=0,"",IF(G845=0,"记录不完整",IF(H845=0,"重复未计","已计入")))</x:f>
        <x:v/>
      </x:c>
      <x:c r="G845">
        <x:f>IF(AND(AND('幕间与结算'!A752&lt;&gt;"",'幕间与结算'!B752&lt;&gt;"",'幕间与结算'!I752&lt;&gt;"",OR(LEFT(C845,3)="技能：",COUNTIF($L$2:$L$19,C845)&gt;0),ISNUMBER('幕间与结算'!E752),ISNUMBER('幕间与结算'!F752),ISNUMBER('幕间与结算'!G752),'幕间与结算'!E752&gt;=0,'幕间与结算'!G752='幕间与结算'!E752+'幕间与结算'!F752),OR(B845&lt;&gt;"成长",AND(LEFT(C845,3)="技能：",C845&lt;&gt;"技能：非自然知识",'幕间与结算'!E752&gt;=1,'幕间与结算'!E752&lt;=99,'幕间与结算'!F752&gt;=0,'幕间与结算'!F752&lt;=4,'幕间与结算'!G752&lt;=99))),1,0)</x:f>
        <x:v>0</x:v>
      </x:c>
      <x:c r="H845">
        <x:f>IF(AND(G845=1,COUNTIFS($I$200:I845,I845,$G$200:G845,1)=1),1,0)</x:f>
        <x:v>0</x:v>
      </x:c>
      <x:c r="I845" t="str">
        <x:f>IF(G845=1,IF(B845="成长",A845&amp;"-成长-"&amp;C845,'幕间与结算'!I752),"")</x:f>
        <x:v/>
      </x:c>
      <x:c r="BF845">
        <x:f>MAX(0,MIN(18,BF844+IF(C845="力量",E845,0)))</x:f>
        <x:v>0</x:v>
      </x:c>
      <x:c r="BG845">
        <x:f>MAX(0,MIN(18,BG844+IF(C845="体质",E845,0)))</x:f>
        <x:v>0</x:v>
      </x:c>
      <x:c r="BH845">
        <x:f>MAX(0,MIN(18,BH844+IF(C845="敏捷",E845,0)))</x:f>
        <x:v>0</x:v>
      </x:c>
      <x:c r="BI845">
        <x:f>MAX(0,MIN(18,BI844+IF(C845="智力",E845,0)))</x:f>
        <x:v>0</x:v>
      </x:c>
      <x:c r="BJ845">
        <x:f>MAX(0,MIN(18,BJ844+IF(C845="意志",E845,0)))</x:f>
        <x:v>0</x:v>
      </x:c>
      <x:c r="BK845">
        <x:f>MAX(0,MIN(18,BK844+IF(C845="魅力",E845,0)))</x:f>
        <x:v>0</x:v>
      </x:c>
      <x:c r="BL845">
        <x:f>MAX(0,MIN(99,BL844+IF(C845="技能：非自然知识",E845,0)))</x:f>
        <x:v>0</x:v>
      </x:c>
      <x:c r="BM845">
        <x:f>MAX(0,MIN(CEILING((BF845+BG845)/2,1),BM844+IF(C845="体力",E845,0)))</x:f>
        <x:v>0</x:v>
      </x:c>
      <x:c r="BN845">
        <x:f>MAX(0,MIN(BJ845,BN844+IF(C845="毅力",E845,0)))</x:f>
        <x:v>0</x:v>
      </x:c>
      <x:c r="BO845">
        <x:f>MAX(0,MIN(99-BL845,BO844+IF(C845="理智",E845,0)))</x:f>
        <x:v>0</x:v>
      </x:c>
      <x:c r="BP845">
        <x:f>MAX(0,MIN(99,BP844+IF(C845="崩溃点",E845,0)))</x:f>
        <x:v>0</x:v>
      </x:c>
      <x:c r="BQ845">
        <x:f>MAX(0,MIN(BK845,IF(AND(H845=1,C845="重要关系1",LEFT('幕间与结算'!H752,8)="建立新的重要关系"),'幕间与结算'!E752+E845,BQ844+IF(C845="重要关系1",E845,0)+IF(AND(C845="魅力",E845&lt;0),E845,0))))</x:f>
        <x:v>0</x:v>
      </x:c>
      <x:c r="BR845">
        <x:f>MAX(0,MIN(BK845,IF(AND(H845=1,C845="重要关系2",LEFT('幕间与结算'!H752,8)="建立新的重要关系"),'幕间与结算'!E752+E845,BR844+IF(C845="重要关系2",E845,0)+IF(AND(C845="魅力",E845&lt;0),E845,0))))</x:f>
        <x:v>0</x:v>
      </x:c>
      <x:c r="BS845">
        <x:f>MAX(0,MIN(BK845,IF(AND(H845=1,C845="重要关系3",LEFT('幕间与结算'!H752,8)="建立新的重要关系"),'幕间与结算'!E752+E845,BS844+IF(C845="重要关系3",E845,0)+IF(AND(C845="魅力",E845&lt;0),E845,0))))</x:f>
        <x:v>0</x:v>
      </x:c>
      <x:c r="BT845">
        <x:f>MAX(0,MIN(BK845,IF(AND(H845=1,C845="重要关系4",LEFT('幕间与结算'!H752,8)="建立新的重要关系"),'幕间与结算'!E752+E845,BT844+IF(C845="重要关系4",E845,0)+IF(AND(C845="魅力",E845&lt;0),E845,0))))</x:f>
        <x:v>0</x:v>
      </x:c>
      <x:c r="BU845">
        <x:f>MAX(0,MIN(BK845,IF(AND(H845=1,C845="重要关系5",LEFT('幕间与结算'!H752,8)="建立新的重要关系"),'幕间与结算'!E752+E845,BU844+IF(C845="重要关系5",E845,0)+IF(AND(C845="魅力",E845&lt;0),E845,0))))</x:f>
        <x:v>0</x:v>
      </x:c>
      <x:c r="BV845">
        <x:f>MAX(0,MIN(BK845,IF(AND(H845=1,C845="重要关系6",LEFT('幕间与结算'!H752,8)="建立新的重要关系"),'幕间与结算'!E752+E845,BV844+IF(C845="重要关系6",E845,0)+IF(AND(C845="魅力",E845&lt;0),E845,0))))</x:f>
        <x:v>0</x:v>
      </x:c>
      <x:c r="BW845">
        <x:f>MAX(0,MIN(BK845,IF(AND(H845=1,C845="重要关系7",LEFT('幕间与结算'!H752,8)="建立新的重要关系"),'幕间与结算'!E752+E845,BW844+IF(C845="重要关系7",E845,0)+IF(AND(C845="魅力",E845&lt;0),E845,0))))</x:f>
        <x:v>0</x:v>
      </x:c>
    </x:row>
    <x:row r="846">
      <x:c r="A846" t="str">
        <x:f>IFERROR(TEXT(VALUE('幕间与结算'!A753),"00"),"")</x:f>
        <x:v>00</x:v>
      </x:c>
      <x:c r="B846">
        <x:f>'幕间与结算'!B753</x:f>
        <x:v>0</x:v>
      </x:c>
      <x:c r="C846">
        <x:f>'幕间与结算'!D753</x:f>
        <x:v>0</x:v>
      </x:c>
      <x:c r="D846">
        <x:f>'幕间与结算'!F753</x:f>
        <x:v>0</x:v>
      </x:c>
      <x:c r="E846">
        <x:f>IF(H846=1,MAX(-'幕间与结算'!E753,MIN(D846,IF(LEFT(C846,3)="技能：",99,IF(COUNTIF($L$2:$L$7,C846)&gt;0,18,999))-'幕间与结算'!E753)),0)</x:f>
        <x:v>0</x:v>
      </x:c>
      <x:c r="F846" t="str">
        <x:f>IF(C846=0,"",IF(G846=0,"记录不完整",IF(H846=0,"重复未计","已计入")))</x:f>
        <x:v/>
      </x:c>
      <x:c r="G846">
        <x:f>IF(AND(AND('幕间与结算'!A753&lt;&gt;"",'幕间与结算'!B753&lt;&gt;"",'幕间与结算'!I753&lt;&gt;"",OR(LEFT(C846,3)="技能：",COUNTIF($L$2:$L$19,C846)&gt;0),ISNUMBER('幕间与结算'!E753),ISNUMBER('幕间与结算'!F753),ISNUMBER('幕间与结算'!G753),'幕间与结算'!E753&gt;=0,'幕间与结算'!G753='幕间与结算'!E753+'幕间与结算'!F753),OR(B846&lt;&gt;"成长",AND(LEFT(C846,3)="技能：",C846&lt;&gt;"技能：非自然知识",'幕间与结算'!E753&gt;=1,'幕间与结算'!E753&lt;=99,'幕间与结算'!F753&gt;=0,'幕间与结算'!F753&lt;=4,'幕间与结算'!G753&lt;=99))),1,0)</x:f>
        <x:v>0</x:v>
      </x:c>
      <x:c r="H846">
        <x:f>IF(AND(G846=1,COUNTIFS($I$200:I846,I846,$G$200:G846,1)=1),1,0)</x:f>
        <x:v>0</x:v>
      </x:c>
      <x:c r="I846" t="str">
        <x:f>IF(G846=1,IF(B846="成长",A846&amp;"-成长-"&amp;C846,'幕间与结算'!I753),"")</x:f>
        <x:v/>
      </x:c>
      <x:c r="BF846">
        <x:f>MAX(0,MIN(18,BF845+IF(C846="力量",E846,0)))</x:f>
        <x:v>0</x:v>
      </x:c>
      <x:c r="BG846">
        <x:f>MAX(0,MIN(18,BG845+IF(C846="体质",E846,0)))</x:f>
        <x:v>0</x:v>
      </x:c>
      <x:c r="BH846">
        <x:f>MAX(0,MIN(18,BH845+IF(C846="敏捷",E846,0)))</x:f>
        <x:v>0</x:v>
      </x:c>
      <x:c r="BI846">
        <x:f>MAX(0,MIN(18,BI845+IF(C846="智力",E846,0)))</x:f>
        <x:v>0</x:v>
      </x:c>
      <x:c r="BJ846">
        <x:f>MAX(0,MIN(18,BJ845+IF(C846="意志",E846,0)))</x:f>
        <x:v>0</x:v>
      </x:c>
      <x:c r="BK846">
        <x:f>MAX(0,MIN(18,BK845+IF(C846="魅力",E846,0)))</x:f>
        <x:v>0</x:v>
      </x:c>
      <x:c r="BL846">
        <x:f>MAX(0,MIN(99,BL845+IF(C846="技能：非自然知识",E846,0)))</x:f>
        <x:v>0</x:v>
      </x:c>
      <x:c r="BM846">
        <x:f>MAX(0,MIN(CEILING((BF846+BG846)/2,1),BM845+IF(C846="体力",E846,0)))</x:f>
        <x:v>0</x:v>
      </x:c>
      <x:c r="BN846">
        <x:f>MAX(0,MIN(BJ846,BN845+IF(C846="毅力",E846,0)))</x:f>
        <x:v>0</x:v>
      </x:c>
      <x:c r="BO846">
        <x:f>MAX(0,MIN(99-BL846,BO845+IF(C846="理智",E846,0)))</x:f>
        <x:v>0</x:v>
      </x:c>
      <x:c r="BP846">
        <x:f>MAX(0,MIN(99,BP845+IF(C846="崩溃点",E846,0)))</x:f>
        <x:v>0</x:v>
      </x:c>
      <x:c r="BQ846">
        <x:f>MAX(0,MIN(BK846,IF(AND(H846=1,C846="重要关系1",LEFT('幕间与结算'!H753,8)="建立新的重要关系"),'幕间与结算'!E753+E846,BQ845+IF(C846="重要关系1",E846,0)+IF(AND(C846="魅力",E846&lt;0),E846,0))))</x:f>
        <x:v>0</x:v>
      </x:c>
      <x:c r="BR846">
        <x:f>MAX(0,MIN(BK846,IF(AND(H846=1,C846="重要关系2",LEFT('幕间与结算'!H753,8)="建立新的重要关系"),'幕间与结算'!E753+E846,BR845+IF(C846="重要关系2",E846,0)+IF(AND(C846="魅力",E846&lt;0),E846,0))))</x:f>
        <x:v>0</x:v>
      </x:c>
      <x:c r="BS846">
        <x:f>MAX(0,MIN(BK846,IF(AND(H846=1,C846="重要关系3",LEFT('幕间与结算'!H753,8)="建立新的重要关系"),'幕间与结算'!E753+E846,BS845+IF(C846="重要关系3",E846,0)+IF(AND(C846="魅力",E846&lt;0),E846,0))))</x:f>
        <x:v>0</x:v>
      </x:c>
      <x:c r="BT846">
        <x:f>MAX(0,MIN(BK846,IF(AND(H846=1,C846="重要关系4",LEFT('幕间与结算'!H753,8)="建立新的重要关系"),'幕间与结算'!E753+E846,BT845+IF(C846="重要关系4",E846,0)+IF(AND(C846="魅力",E846&lt;0),E846,0))))</x:f>
        <x:v>0</x:v>
      </x:c>
      <x:c r="BU846">
        <x:f>MAX(0,MIN(BK846,IF(AND(H846=1,C846="重要关系5",LEFT('幕间与结算'!H753,8)="建立新的重要关系"),'幕间与结算'!E753+E846,BU845+IF(C846="重要关系5",E846,0)+IF(AND(C846="魅力",E846&lt;0),E846,0))))</x:f>
        <x:v>0</x:v>
      </x:c>
      <x:c r="BV846">
        <x:f>MAX(0,MIN(BK846,IF(AND(H846=1,C846="重要关系6",LEFT('幕间与结算'!H753,8)="建立新的重要关系"),'幕间与结算'!E753+E846,BV845+IF(C846="重要关系6",E846,0)+IF(AND(C846="魅力",E846&lt;0),E846,0))))</x:f>
        <x:v>0</x:v>
      </x:c>
      <x:c r="BW846">
        <x:f>MAX(0,MIN(BK846,IF(AND(H846=1,C846="重要关系7",LEFT('幕间与结算'!H753,8)="建立新的重要关系"),'幕间与结算'!E753+E846,BW845+IF(C846="重要关系7",E846,0)+IF(AND(C846="魅力",E846&lt;0),E846,0))))</x:f>
        <x:v>0</x:v>
      </x:c>
    </x:row>
    <x:row r="847">
      <x:c r="A847" t="str">
        <x:f>IFERROR(TEXT(VALUE('幕间与结算'!A754),"00"),"")</x:f>
        <x:v>00</x:v>
      </x:c>
      <x:c r="B847">
        <x:f>'幕间与结算'!B754</x:f>
        <x:v>0</x:v>
      </x:c>
      <x:c r="C847">
        <x:f>'幕间与结算'!D754</x:f>
        <x:v>0</x:v>
      </x:c>
      <x:c r="D847">
        <x:f>'幕间与结算'!F754</x:f>
        <x:v>0</x:v>
      </x:c>
      <x:c r="E847">
        <x:f>IF(H847=1,MAX(-'幕间与结算'!E754,MIN(D847,IF(LEFT(C847,3)="技能：",99,IF(COUNTIF($L$2:$L$7,C847)&gt;0,18,999))-'幕间与结算'!E754)),0)</x:f>
        <x:v>0</x:v>
      </x:c>
      <x:c r="F847" t="str">
        <x:f>IF(C847=0,"",IF(G847=0,"记录不完整",IF(H847=0,"重复未计","已计入")))</x:f>
        <x:v/>
      </x:c>
      <x:c r="G847">
        <x:f>IF(AND(AND('幕间与结算'!A754&lt;&gt;"",'幕间与结算'!B754&lt;&gt;"",'幕间与结算'!I754&lt;&gt;"",OR(LEFT(C847,3)="技能：",COUNTIF($L$2:$L$19,C847)&gt;0),ISNUMBER('幕间与结算'!E754),ISNUMBER('幕间与结算'!F754),ISNUMBER('幕间与结算'!G754),'幕间与结算'!E754&gt;=0,'幕间与结算'!G754='幕间与结算'!E754+'幕间与结算'!F754),OR(B847&lt;&gt;"成长",AND(LEFT(C847,3)="技能：",C847&lt;&gt;"技能：非自然知识",'幕间与结算'!E754&gt;=1,'幕间与结算'!E754&lt;=99,'幕间与结算'!F754&gt;=0,'幕间与结算'!F754&lt;=4,'幕间与结算'!G754&lt;=99))),1,0)</x:f>
        <x:v>0</x:v>
      </x:c>
      <x:c r="H847">
        <x:f>IF(AND(G847=1,COUNTIFS($I$200:I847,I847,$G$200:G847,1)=1),1,0)</x:f>
        <x:v>0</x:v>
      </x:c>
      <x:c r="I847" t="str">
        <x:f>IF(G847=1,IF(B847="成长",A847&amp;"-成长-"&amp;C847,'幕间与结算'!I754),"")</x:f>
        <x:v/>
      </x:c>
      <x:c r="BF847">
        <x:f>MAX(0,MIN(18,BF846+IF(C847="力量",E847,0)))</x:f>
        <x:v>0</x:v>
      </x:c>
      <x:c r="BG847">
        <x:f>MAX(0,MIN(18,BG846+IF(C847="体质",E847,0)))</x:f>
        <x:v>0</x:v>
      </x:c>
      <x:c r="BH847">
        <x:f>MAX(0,MIN(18,BH846+IF(C847="敏捷",E847,0)))</x:f>
        <x:v>0</x:v>
      </x:c>
      <x:c r="BI847">
        <x:f>MAX(0,MIN(18,BI846+IF(C847="智力",E847,0)))</x:f>
        <x:v>0</x:v>
      </x:c>
      <x:c r="BJ847">
        <x:f>MAX(0,MIN(18,BJ846+IF(C847="意志",E847,0)))</x:f>
        <x:v>0</x:v>
      </x:c>
      <x:c r="BK847">
        <x:f>MAX(0,MIN(18,BK846+IF(C847="魅力",E847,0)))</x:f>
        <x:v>0</x:v>
      </x:c>
      <x:c r="BL847">
        <x:f>MAX(0,MIN(99,BL846+IF(C847="技能：非自然知识",E847,0)))</x:f>
        <x:v>0</x:v>
      </x:c>
      <x:c r="BM847">
        <x:f>MAX(0,MIN(CEILING((BF847+BG847)/2,1),BM846+IF(C847="体力",E847,0)))</x:f>
        <x:v>0</x:v>
      </x:c>
      <x:c r="BN847">
        <x:f>MAX(0,MIN(BJ847,BN846+IF(C847="毅力",E847,0)))</x:f>
        <x:v>0</x:v>
      </x:c>
      <x:c r="BO847">
        <x:f>MAX(0,MIN(99-BL847,BO846+IF(C847="理智",E847,0)))</x:f>
        <x:v>0</x:v>
      </x:c>
      <x:c r="BP847">
        <x:f>MAX(0,MIN(99,BP846+IF(C847="崩溃点",E847,0)))</x:f>
        <x:v>0</x:v>
      </x:c>
      <x:c r="BQ847">
        <x:f>MAX(0,MIN(BK847,IF(AND(H847=1,C847="重要关系1",LEFT('幕间与结算'!H754,8)="建立新的重要关系"),'幕间与结算'!E754+E847,BQ846+IF(C847="重要关系1",E847,0)+IF(AND(C847="魅力",E847&lt;0),E847,0))))</x:f>
        <x:v>0</x:v>
      </x:c>
      <x:c r="BR847">
        <x:f>MAX(0,MIN(BK847,IF(AND(H847=1,C847="重要关系2",LEFT('幕间与结算'!H754,8)="建立新的重要关系"),'幕间与结算'!E754+E847,BR846+IF(C847="重要关系2",E847,0)+IF(AND(C847="魅力",E847&lt;0),E847,0))))</x:f>
        <x:v>0</x:v>
      </x:c>
      <x:c r="BS847">
        <x:f>MAX(0,MIN(BK847,IF(AND(H847=1,C847="重要关系3",LEFT('幕间与结算'!H754,8)="建立新的重要关系"),'幕间与结算'!E754+E847,BS846+IF(C847="重要关系3",E847,0)+IF(AND(C847="魅力",E847&lt;0),E847,0))))</x:f>
        <x:v>0</x:v>
      </x:c>
      <x:c r="BT847">
        <x:f>MAX(0,MIN(BK847,IF(AND(H847=1,C847="重要关系4",LEFT('幕间与结算'!H754,8)="建立新的重要关系"),'幕间与结算'!E754+E847,BT846+IF(C847="重要关系4",E847,0)+IF(AND(C847="魅力",E847&lt;0),E847,0))))</x:f>
        <x:v>0</x:v>
      </x:c>
      <x:c r="BU847">
        <x:f>MAX(0,MIN(BK847,IF(AND(H847=1,C847="重要关系5",LEFT('幕间与结算'!H754,8)="建立新的重要关系"),'幕间与结算'!E754+E847,BU846+IF(C847="重要关系5",E847,0)+IF(AND(C847="魅力",E847&lt;0),E847,0))))</x:f>
        <x:v>0</x:v>
      </x:c>
      <x:c r="BV847">
        <x:f>MAX(0,MIN(BK847,IF(AND(H847=1,C847="重要关系6",LEFT('幕间与结算'!H754,8)="建立新的重要关系"),'幕间与结算'!E754+E847,BV846+IF(C847="重要关系6",E847,0)+IF(AND(C847="魅力",E847&lt;0),E847,0))))</x:f>
        <x:v>0</x:v>
      </x:c>
      <x:c r="BW847">
        <x:f>MAX(0,MIN(BK847,IF(AND(H847=1,C847="重要关系7",LEFT('幕间与结算'!H754,8)="建立新的重要关系"),'幕间与结算'!E754+E847,BW846+IF(C847="重要关系7",E847,0)+IF(AND(C847="魅力",E847&lt;0),E847,0))))</x:f>
        <x:v>0</x:v>
      </x:c>
    </x:row>
    <x:row r="848">
      <x:c r="A848" t="str">
        <x:f>IFERROR(TEXT(VALUE('幕间与结算'!A755),"00"),"")</x:f>
        <x:v>00</x:v>
      </x:c>
      <x:c r="B848">
        <x:f>'幕间与结算'!B755</x:f>
        <x:v>0</x:v>
      </x:c>
      <x:c r="C848">
        <x:f>'幕间与结算'!D755</x:f>
        <x:v>0</x:v>
      </x:c>
      <x:c r="D848">
        <x:f>'幕间与结算'!F755</x:f>
        <x:v>0</x:v>
      </x:c>
      <x:c r="E848">
        <x:f>IF(H848=1,MAX(-'幕间与结算'!E755,MIN(D848,IF(LEFT(C848,3)="技能：",99,IF(COUNTIF($L$2:$L$7,C848)&gt;0,18,999))-'幕间与结算'!E755)),0)</x:f>
        <x:v>0</x:v>
      </x:c>
      <x:c r="F848" t="str">
        <x:f>IF(C848=0,"",IF(G848=0,"记录不完整",IF(H848=0,"重复未计","已计入")))</x:f>
        <x:v/>
      </x:c>
      <x:c r="G848">
        <x:f>IF(AND(AND('幕间与结算'!A755&lt;&gt;"",'幕间与结算'!B755&lt;&gt;"",'幕间与结算'!I755&lt;&gt;"",OR(LEFT(C848,3)="技能：",COUNTIF($L$2:$L$19,C848)&gt;0),ISNUMBER('幕间与结算'!E755),ISNUMBER('幕间与结算'!F755),ISNUMBER('幕间与结算'!G755),'幕间与结算'!E755&gt;=0,'幕间与结算'!G755='幕间与结算'!E755+'幕间与结算'!F755),OR(B848&lt;&gt;"成长",AND(LEFT(C848,3)="技能：",C848&lt;&gt;"技能：非自然知识",'幕间与结算'!E755&gt;=1,'幕间与结算'!E755&lt;=99,'幕间与结算'!F755&gt;=0,'幕间与结算'!F755&lt;=4,'幕间与结算'!G755&lt;=99))),1,0)</x:f>
        <x:v>0</x:v>
      </x:c>
      <x:c r="H848">
        <x:f>IF(AND(G848=1,COUNTIFS($I$200:I848,I848,$G$200:G848,1)=1),1,0)</x:f>
        <x:v>0</x:v>
      </x:c>
      <x:c r="I848" t="str">
        <x:f>IF(G848=1,IF(B848="成长",A848&amp;"-成长-"&amp;C848,'幕间与结算'!I755),"")</x:f>
        <x:v/>
      </x:c>
      <x:c r="BF848">
        <x:f>MAX(0,MIN(18,BF847+IF(C848="力量",E848,0)))</x:f>
        <x:v>0</x:v>
      </x:c>
      <x:c r="BG848">
        <x:f>MAX(0,MIN(18,BG847+IF(C848="体质",E848,0)))</x:f>
        <x:v>0</x:v>
      </x:c>
      <x:c r="BH848">
        <x:f>MAX(0,MIN(18,BH847+IF(C848="敏捷",E848,0)))</x:f>
        <x:v>0</x:v>
      </x:c>
      <x:c r="BI848">
        <x:f>MAX(0,MIN(18,BI847+IF(C848="智力",E848,0)))</x:f>
        <x:v>0</x:v>
      </x:c>
      <x:c r="BJ848">
        <x:f>MAX(0,MIN(18,BJ847+IF(C848="意志",E848,0)))</x:f>
        <x:v>0</x:v>
      </x:c>
      <x:c r="BK848">
        <x:f>MAX(0,MIN(18,BK847+IF(C848="魅力",E848,0)))</x:f>
        <x:v>0</x:v>
      </x:c>
      <x:c r="BL848">
        <x:f>MAX(0,MIN(99,BL847+IF(C848="技能：非自然知识",E848,0)))</x:f>
        <x:v>0</x:v>
      </x:c>
      <x:c r="BM848">
        <x:f>MAX(0,MIN(CEILING((BF848+BG848)/2,1),BM847+IF(C848="体力",E848,0)))</x:f>
        <x:v>0</x:v>
      </x:c>
      <x:c r="BN848">
        <x:f>MAX(0,MIN(BJ848,BN847+IF(C848="毅力",E848,0)))</x:f>
        <x:v>0</x:v>
      </x:c>
      <x:c r="BO848">
        <x:f>MAX(0,MIN(99-BL848,BO847+IF(C848="理智",E848,0)))</x:f>
        <x:v>0</x:v>
      </x:c>
      <x:c r="BP848">
        <x:f>MAX(0,MIN(99,BP847+IF(C848="崩溃点",E848,0)))</x:f>
        <x:v>0</x:v>
      </x:c>
      <x:c r="BQ848">
        <x:f>MAX(0,MIN(BK848,IF(AND(H848=1,C848="重要关系1",LEFT('幕间与结算'!H755,8)="建立新的重要关系"),'幕间与结算'!E755+E848,BQ847+IF(C848="重要关系1",E848,0)+IF(AND(C848="魅力",E848&lt;0),E848,0))))</x:f>
        <x:v>0</x:v>
      </x:c>
      <x:c r="BR848">
        <x:f>MAX(0,MIN(BK848,IF(AND(H848=1,C848="重要关系2",LEFT('幕间与结算'!H755,8)="建立新的重要关系"),'幕间与结算'!E755+E848,BR847+IF(C848="重要关系2",E848,0)+IF(AND(C848="魅力",E848&lt;0),E848,0))))</x:f>
        <x:v>0</x:v>
      </x:c>
      <x:c r="BS848">
        <x:f>MAX(0,MIN(BK848,IF(AND(H848=1,C848="重要关系3",LEFT('幕间与结算'!H755,8)="建立新的重要关系"),'幕间与结算'!E755+E848,BS847+IF(C848="重要关系3",E848,0)+IF(AND(C848="魅力",E848&lt;0),E848,0))))</x:f>
        <x:v>0</x:v>
      </x:c>
      <x:c r="BT848">
        <x:f>MAX(0,MIN(BK848,IF(AND(H848=1,C848="重要关系4",LEFT('幕间与结算'!H755,8)="建立新的重要关系"),'幕间与结算'!E755+E848,BT847+IF(C848="重要关系4",E848,0)+IF(AND(C848="魅力",E848&lt;0),E848,0))))</x:f>
        <x:v>0</x:v>
      </x:c>
      <x:c r="BU848">
        <x:f>MAX(0,MIN(BK848,IF(AND(H848=1,C848="重要关系5",LEFT('幕间与结算'!H755,8)="建立新的重要关系"),'幕间与结算'!E755+E848,BU847+IF(C848="重要关系5",E848,0)+IF(AND(C848="魅力",E848&lt;0),E848,0))))</x:f>
        <x:v>0</x:v>
      </x:c>
      <x:c r="BV848">
        <x:f>MAX(0,MIN(BK848,IF(AND(H848=1,C848="重要关系6",LEFT('幕间与结算'!H755,8)="建立新的重要关系"),'幕间与结算'!E755+E848,BV847+IF(C848="重要关系6",E848,0)+IF(AND(C848="魅力",E848&lt;0),E848,0))))</x:f>
        <x:v>0</x:v>
      </x:c>
      <x:c r="BW848">
        <x:f>MAX(0,MIN(BK848,IF(AND(H848=1,C848="重要关系7",LEFT('幕间与结算'!H755,8)="建立新的重要关系"),'幕间与结算'!E755+E848,BW847+IF(C848="重要关系7",E848,0)+IF(AND(C848="魅力",E848&lt;0),E848,0))))</x:f>
        <x:v>0</x:v>
      </x:c>
    </x:row>
    <x:row r="849">
      <x:c r="A849" t="str">
        <x:f>IFERROR(TEXT(VALUE('幕间与结算'!A756),"00"),"")</x:f>
        <x:v>00</x:v>
      </x:c>
      <x:c r="B849">
        <x:f>'幕间与结算'!B756</x:f>
        <x:v>0</x:v>
      </x:c>
      <x:c r="C849">
        <x:f>'幕间与结算'!D756</x:f>
        <x:v>0</x:v>
      </x:c>
      <x:c r="D849">
        <x:f>'幕间与结算'!F756</x:f>
        <x:v>0</x:v>
      </x:c>
      <x:c r="E849">
        <x:f>IF(H849=1,MAX(-'幕间与结算'!E756,MIN(D849,IF(LEFT(C849,3)="技能：",99,IF(COUNTIF($L$2:$L$7,C849)&gt;0,18,999))-'幕间与结算'!E756)),0)</x:f>
        <x:v>0</x:v>
      </x:c>
      <x:c r="F849" t="str">
        <x:f>IF(C849=0,"",IF(G849=0,"记录不完整",IF(H849=0,"重复未计","已计入")))</x:f>
        <x:v/>
      </x:c>
      <x:c r="G849">
        <x:f>IF(AND(AND('幕间与结算'!A756&lt;&gt;"",'幕间与结算'!B756&lt;&gt;"",'幕间与结算'!I756&lt;&gt;"",OR(LEFT(C849,3)="技能：",COUNTIF($L$2:$L$19,C849)&gt;0),ISNUMBER('幕间与结算'!E756),ISNUMBER('幕间与结算'!F756),ISNUMBER('幕间与结算'!G756),'幕间与结算'!E756&gt;=0,'幕间与结算'!G756='幕间与结算'!E756+'幕间与结算'!F756),OR(B849&lt;&gt;"成长",AND(LEFT(C849,3)="技能：",C849&lt;&gt;"技能：非自然知识",'幕间与结算'!E756&gt;=1,'幕间与结算'!E756&lt;=99,'幕间与结算'!F756&gt;=0,'幕间与结算'!F756&lt;=4,'幕间与结算'!G756&lt;=99))),1,0)</x:f>
        <x:v>0</x:v>
      </x:c>
      <x:c r="H849">
        <x:f>IF(AND(G849=1,COUNTIFS($I$200:I849,I849,$G$200:G849,1)=1),1,0)</x:f>
        <x:v>0</x:v>
      </x:c>
      <x:c r="I849" t="str">
        <x:f>IF(G849=1,IF(B849="成长",A849&amp;"-成长-"&amp;C849,'幕间与结算'!I756),"")</x:f>
        <x:v/>
      </x:c>
      <x:c r="BF849">
        <x:f>MAX(0,MIN(18,BF848+IF(C849="力量",E849,0)))</x:f>
        <x:v>0</x:v>
      </x:c>
      <x:c r="BG849">
        <x:f>MAX(0,MIN(18,BG848+IF(C849="体质",E849,0)))</x:f>
        <x:v>0</x:v>
      </x:c>
      <x:c r="BH849">
        <x:f>MAX(0,MIN(18,BH848+IF(C849="敏捷",E849,0)))</x:f>
        <x:v>0</x:v>
      </x:c>
      <x:c r="BI849">
        <x:f>MAX(0,MIN(18,BI848+IF(C849="智力",E849,0)))</x:f>
        <x:v>0</x:v>
      </x:c>
      <x:c r="BJ849">
        <x:f>MAX(0,MIN(18,BJ848+IF(C849="意志",E849,0)))</x:f>
        <x:v>0</x:v>
      </x:c>
      <x:c r="BK849">
        <x:f>MAX(0,MIN(18,BK848+IF(C849="魅力",E849,0)))</x:f>
        <x:v>0</x:v>
      </x:c>
      <x:c r="BL849">
        <x:f>MAX(0,MIN(99,BL848+IF(C849="技能：非自然知识",E849,0)))</x:f>
        <x:v>0</x:v>
      </x:c>
      <x:c r="BM849">
        <x:f>MAX(0,MIN(CEILING((BF849+BG849)/2,1),BM848+IF(C849="体力",E849,0)))</x:f>
        <x:v>0</x:v>
      </x:c>
      <x:c r="BN849">
        <x:f>MAX(0,MIN(BJ849,BN848+IF(C849="毅力",E849,0)))</x:f>
        <x:v>0</x:v>
      </x:c>
      <x:c r="BO849">
        <x:f>MAX(0,MIN(99-BL849,BO848+IF(C849="理智",E849,0)))</x:f>
        <x:v>0</x:v>
      </x:c>
      <x:c r="BP849">
        <x:f>MAX(0,MIN(99,BP848+IF(C849="崩溃点",E849,0)))</x:f>
        <x:v>0</x:v>
      </x:c>
      <x:c r="BQ849">
        <x:f>MAX(0,MIN(BK849,IF(AND(H849=1,C849="重要关系1",LEFT('幕间与结算'!H756,8)="建立新的重要关系"),'幕间与结算'!E756+E849,BQ848+IF(C849="重要关系1",E849,0)+IF(AND(C849="魅力",E849&lt;0),E849,0))))</x:f>
        <x:v>0</x:v>
      </x:c>
      <x:c r="BR849">
        <x:f>MAX(0,MIN(BK849,IF(AND(H849=1,C849="重要关系2",LEFT('幕间与结算'!H756,8)="建立新的重要关系"),'幕间与结算'!E756+E849,BR848+IF(C849="重要关系2",E849,0)+IF(AND(C849="魅力",E849&lt;0),E849,0))))</x:f>
        <x:v>0</x:v>
      </x:c>
      <x:c r="BS849">
        <x:f>MAX(0,MIN(BK849,IF(AND(H849=1,C849="重要关系3",LEFT('幕间与结算'!H756,8)="建立新的重要关系"),'幕间与结算'!E756+E849,BS848+IF(C849="重要关系3",E849,0)+IF(AND(C849="魅力",E849&lt;0),E849,0))))</x:f>
        <x:v>0</x:v>
      </x:c>
      <x:c r="BT849">
        <x:f>MAX(0,MIN(BK849,IF(AND(H849=1,C849="重要关系4",LEFT('幕间与结算'!H756,8)="建立新的重要关系"),'幕间与结算'!E756+E849,BT848+IF(C849="重要关系4",E849,0)+IF(AND(C849="魅力",E849&lt;0),E849,0))))</x:f>
        <x:v>0</x:v>
      </x:c>
      <x:c r="BU849">
        <x:f>MAX(0,MIN(BK849,IF(AND(H849=1,C849="重要关系5",LEFT('幕间与结算'!H756,8)="建立新的重要关系"),'幕间与结算'!E756+E849,BU848+IF(C849="重要关系5",E849,0)+IF(AND(C849="魅力",E849&lt;0),E849,0))))</x:f>
        <x:v>0</x:v>
      </x:c>
      <x:c r="BV849">
        <x:f>MAX(0,MIN(BK849,IF(AND(H849=1,C849="重要关系6",LEFT('幕间与结算'!H756,8)="建立新的重要关系"),'幕间与结算'!E756+E849,BV848+IF(C849="重要关系6",E849,0)+IF(AND(C849="魅力",E849&lt;0),E849,0))))</x:f>
        <x:v>0</x:v>
      </x:c>
      <x:c r="BW849">
        <x:f>MAX(0,MIN(BK849,IF(AND(H849=1,C849="重要关系7",LEFT('幕间与结算'!H756,8)="建立新的重要关系"),'幕间与结算'!E756+E849,BW848+IF(C849="重要关系7",E849,0)+IF(AND(C849="魅力",E849&lt;0),E849,0))))</x:f>
        <x:v>0</x:v>
      </x:c>
    </x:row>
    <x:row r="850">
      <x:c r="A850" t="str">
        <x:f>IFERROR(TEXT(VALUE('幕间与结算'!A757),"00"),"")</x:f>
        <x:v>00</x:v>
      </x:c>
      <x:c r="B850">
        <x:f>'幕间与结算'!B757</x:f>
        <x:v>0</x:v>
      </x:c>
      <x:c r="C850">
        <x:f>'幕间与结算'!D757</x:f>
        <x:v>0</x:v>
      </x:c>
      <x:c r="D850">
        <x:f>'幕间与结算'!F757</x:f>
        <x:v>0</x:v>
      </x:c>
      <x:c r="E850">
        <x:f>IF(H850=1,MAX(-'幕间与结算'!E757,MIN(D850,IF(LEFT(C850,3)="技能：",99,IF(COUNTIF($L$2:$L$7,C850)&gt;0,18,999))-'幕间与结算'!E757)),0)</x:f>
        <x:v>0</x:v>
      </x:c>
      <x:c r="F850" t="str">
        <x:f>IF(C850=0,"",IF(G850=0,"记录不完整",IF(H850=0,"重复未计","已计入")))</x:f>
        <x:v/>
      </x:c>
      <x:c r="G850">
        <x:f>IF(AND(AND('幕间与结算'!A757&lt;&gt;"",'幕间与结算'!B757&lt;&gt;"",'幕间与结算'!I757&lt;&gt;"",OR(LEFT(C850,3)="技能：",COUNTIF($L$2:$L$19,C850)&gt;0),ISNUMBER('幕间与结算'!E757),ISNUMBER('幕间与结算'!F757),ISNUMBER('幕间与结算'!G757),'幕间与结算'!E757&gt;=0,'幕间与结算'!G757='幕间与结算'!E757+'幕间与结算'!F757),OR(B850&lt;&gt;"成长",AND(LEFT(C850,3)="技能：",C850&lt;&gt;"技能：非自然知识",'幕间与结算'!E757&gt;=1,'幕间与结算'!E757&lt;=99,'幕间与结算'!F757&gt;=0,'幕间与结算'!F757&lt;=4,'幕间与结算'!G757&lt;=99))),1,0)</x:f>
        <x:v>0</x:v>
      </x:c>
      <x:c r="H850">
        <x:f>IF(AND(G850=1,COUNTIFS($I$200:I850,I850,$G$200:G850,1)=1),1,0)</x:f>
        <x:v>0</x:v>
      </x:c>
      <x:c r="I850" t="str">
        <x:f>IF(G850=1,IF(B850="成长",A850&amp;"-成长-"&amp;C850,'幕间与结算'!I757),"")</x:f>
        <x:v/>
      </x:c>
      <x:c r="BF850">
        <x:f>MAX(0,MIN(18,BF849+IF(C850="力量",E850,0)))</x:f>
        <x:v>0</x:v>
      </x:c>
      <x:c r="BG850">
        <x:f>MAX(0,MIN(18,BG849+IF(C850="体质",E850,0)))</x:f>
        <x:v>0</x:v>
      </x:c>
      <x:c r="BH850">
        <x:f>MAX(0,MIN(18,BH849+IF(C850="敏捷",E850,0)))</x:f>
        <x:v>0</x:v>
      </x:c>
      <x:c r="BI850">
        <x:f>MAX(0,MIN(18,BI849+IF(C850="智力",E850,0)))</x:f>
        <x:v>0</x:v>
      </x:c>
      <x:c r="BJ850">
        <x:f>MAX(0,MIN(18,BJ849+IF(C850="意志",E850,0)))</x:f>
        <x:v>0</x:v>
      </x:c>
      <x:c r="BK850">
        <x:f>MAX(0,MIN(18,BK849+IF(C850="魅力",E850,0)))</x:f>
        <x:v>0</x:v>
      </x:c>
      <x:c r="BL850">
        <x:f>MAX(0,MIN(99,BL849+IF(C850="技能：非自然知识",E850,0)))</x:f>
        <x:v>0</x:v>
      </x:c>
      <x:c r="BM850">
        <x:f>MAX(0,MIN(CEILING((BF850+BG850)/2,1),BM849+IF(C850="体力",E850,0)))</x:f>
        <x:v>0</x:v>
      </x:c>
      <x:c r="BN850">
        <x:f>MAX(0,MIN(BJ850,BN849+IF(C850="毅力",E850,0)))</x:f>
        <x:v>0</x:v>
      </x:c>
      <x:c r="BO850">
        <x:f>MAX(0,MIN(99-BL850,BO849+IF(C850="理智",E850,0)))</x:f>
        <x:v>0</x:v>
      </x:c>
      <x:c r="BP850">
        <x:f>MAX(0,MIN(99,BP849+IF(C850="崩溃点",E850,0)))</x:f>
        <x:v>0</x:v>
      </x:c>
      <x:c r="BQ850">
        <x:f>MAX(0,MIN(BK850,IF(AND(H850=1,C850="重要关系1",LEFT('幕间与结算'!H757,8)="建立新的重要关系"),'幕间与结算'!E757+E850,BQ849+IF(C850="重要关系1",E850,0)+IF(AND(C850="魅力",E850&lt;0),E850,0))))</x:f>
        <x:v>0</x:v>
      </x:c>
      <x:c r="BR850">
        <x:f>MAX(0,MIN(BK850,IF(AND(H850=1,C850="重要关系2",LEFT('幕间与结算'!H757,8)="建立新的重要关系"),'幕间与结算'!E757+E850,BR849+IF(C850="重要关系2",E850,0)+IF(AND(C850="魅力",E850&lt;0),E850,0))))</x:f>
        <x:v>0</x:v>
      </x:c>
      <x:c r="BS850">
        <x:f>MAX(0,MIN(BK850,IF(AND(H850=1,C850="重要关系3",LEFT('幕间与结算'!H757,8)="建立新的重要关系"),'幕间与结算'!E757+E850,BS849+IF(C850="重要关系3",E850,0)+IF(AND(C850="魅力",E850&lt;0),E850,0))))</x:f>
        <x:v>0</x:v>
      </x:c>
      <x:c r="BT850">
        <x:f>MAX(0,MIN(BK850,IF(AND(H850=1,C850="重要关系4",LEFT('幕间与结算'!H757,8)="建立新的重要关系"),'幕间与结算'!E757+E850,BT849+IF(C850="重要关系4",E850,0)+IF(AND(C850="魅力",E850&lt;0),E850,0))))</x:f>
        <x:v>0</x:v>
      </x:c>
      <x:c r="BU850">
        <x:f>MAX(0,MIN(BK850,IF(AND(H850=1,C850="重要关系5",LEFT('幕间与结算'!H757,8)="建立新的重要关系"),'幕间与结算'!E757+E850,BU849+IF(C850="重要关系5",E850,0)+IF(AND(C850="魅力",E850&lt;0),E850,0))))</x:f>
        <x:v>0</x:v>
      </x:c>
      <x:c r="BV850">
        <x:f>MAX(0,MIN(BK850,IF(AND(H850=1,C850="重要关系6",LEFT('幕间与结算'!H757,8)="建立新的重要关系"),'幕间与结算'!E757+E850,BV849+IF(C850="重要关系6",E850,0)+IF(AND(C850="魅力",E850&lt;0),E850,0))))</x:f>
        <x:v>0</x:v>
      </x:c>
      <x:c r="BW850">
        <x:f>MAX(0,MIN(BK850,IF(AND(H850=1,C850="重要关系7",LEFT('幕间与结算'!H757,8)="建立新的重要关系"),'幕间与结算'!E757+E850,BW849+IF(C850="重要关系7",E850,0)+IF(AND(C850="魅力",E850&lt;0),E850,0))))</x:f>
        <x:v>0</x:v>
      </x:c>
    </x:row>
    <x:row r="851">
      <x:c r="A851" t="str">
        <x:f>IFERROR(TEXT(VALUE('幕间与结算'!A758),"00"),"")</x:f>
        <x:v>00</x:v>
      </x:c>
      <x:c r="B851">
        <x:f>'幕间与结算'!B758</x:f>
        <x:v>0</x:v>
      </x:c>
      <x:c r="C851">
        <x:f>'幕间与结算'!D758</x:f>
        <x:v>0</x:v>
      </x:c>
      <x:c r="D851">
        <x:f>'幕间与结算'!F758</x:f>
        <x:v>0</x:v>
      </x:c>
      <x:c r="E851">
        <x:f>IF(H851=1,MAX(-'幕间与结算'!E758,MIN(D851,IF(LEFT(C851,3)="技能：",99,IF(COUNTIF($L$2:$L$7,C851)&gt;0,18,999))-'幕间与结算'!E758)),0)</x:f>
        <x:v>0</x:v>
      </x:c>
      <x:c r="F851" t="str">
        <x:f>IF(C851=0,"",IF(G851=0,"记录不完整",IF(H851=0,"重复未计","已计入")))</x:f>
        <x:v/>
      </x:c>
      <x:c r="G851">
        <x:f>IF(AND(AND('幕间与结算'!A758&lt;&gt;"",'幕间与结算'!B758&lt;&gt;"",'幕间与结算'!I758&lt;&gt;"",OR(LEFT(C851,3)="技能：",COUNTIF($L$2:$L$19,C851)&gt;0),ISNUMBER('幕间与结算'!E758),ISNUMBER('幕间与结算'!F758),ISNUMBER('幕间与结算'!G758),'幕间与结算'!E758&gt;=0,'幕间与结算'!G758='幕间与结算'!E758+'幕间与结算'!F758),OR(B851&lt;&gt;"成长",AND(LEFT(C851,3)="技能：",C851&lt;&gt;"技能：非自然知识",'幕间与结算'!E758&gt;=1,'幕间与结算'!E758&lt;=99,'幕间与结算'!F758&gt;=0,'幕间与结算'!F758&lt;=4,'幕间与结算'!G758&lt;=99))),1,0)</x:f>
        <x:v>0</x:v>
      </x:c>
      <x:c r="H851">
        <x:f>IF(AND(G851=1,COUNTIFS($I$200:I851,I851,$G$200:G851,1)=1),1,0)</x:f>
        <x:v>0</x:v>
      </x:c>
      <x:c r="I851" t="str">
        <x:f>IF(G851=1,IF(B851="成长",A851&amp;"-成长-"&amp;C851,'幕间与结算'!I758),"")</x:f>
        <x:v/>
      </x:c>
      <x:c r="BF851">
        <x:f>MAX(0,MIN(18,BF850+IF(C851="力量",E851,0)))</x:f>
        <x:v>0</x:v>
      </x:c>
      <x:c r="BG851">
        <x:f>MAX(0,MIN(18,BG850+IF(C851="体质",E851,0)))</x:f>
        <x:v>0</x:v>
      </x:c>
      <x:c r="BH851">
        <x:f>MAX(0,MIN(18,BH850+IF(C851="敏捷",E851,0)))</x:f>
        <x:v>0</x:v>
      </x:c>
      <x:c r="BI851">
        <x:f>MAX(0,MIN(18,BI850+IF(C851="智力",E851,0)))</x:f>
        <x:v>0</x:v>
      </x:c>
      <x:c r="BJ851">
        <x:f>MAX(0,MIN(18,BJ850+IF(C851="意志",E851,0)))</x:f>
        <x:v>0</x:v>
      </x:c>
      <x:c r="BK851">
        <x:f>MAX(0,MIN(18,BK850+IF(C851="魅力",E851,0)))</x:f>
        <x:v>0</x:v>
      </x:c>
      <x:c r="BL851">
        <x:f>MAX(0,MIN(99,BL850+IF(C851="技能：非自然知识",E851,0)))</x:f>
        <x:v>0</x:v>
      </x:c>
      <x:c r="BM851">
        <x:f>MAX(0,MIN(CEILING((BF851+BG851)/2,1),BM850+IF(C851="体力",E851,0)))</x:f>
        <x:v>0</x:v>
      </x:c>
      <x:c r="BN851">
        <x:f>MAX(0,MIN(BJ851,BN850+IF(C851="毅力",E851,0)))</x:f>
        <x:v>0</x:v>
      </x:c>
      <x:c r="BO851">
        <x:f>MAX(0,MIN(99-BL851,BO850+IF(C851="理智",E851,0)))</x:f>
        <x:v>0</x:v>
      </x:c>
      <x:c r="BP851">
        <x:f>MAX(0,MIN(99,BP850+IF(C851="崩溃点",E851,0)))</x:f>
        <x:v>0</x:v>
      </x:c>
      <x:c r="BQ851">
        <x:f>MAX(0,MIN(BK851,IF(AND(H851=1,C851="重要关系1",LEFT('幕间与结算'!H758,8)="建立新的重要关系"),'幕间与结算'!E758+E851,BQ850+IF(C851="重要关系1",E851,0)+IF(AND(C851="魅力",E851&lt;0),E851,0))))</x:f>
        <x:v>0</x:v>
      </x:c>
      <x:c r="BR851">
        <x:f>MAX(0,MIN(BK851,IF(AND(H851=1,C851="重要关系2",LEFT('幕间与结算'!H758,8)="建立新的重要关系"),'幕间与结算'!E758+E851,BR850+IF(C851="重要关系2",E851,0)+IF(AND(C851="魅力",E851&lt;0),E851,0))))</x:f>
        <x:v>0</x:v>
      </x:c>
      <x:c r="BS851">
        <x:f>MAX(0,MIN(BK851,IF(AND(H851=1,C851="重要关系3",LEFT('幕间与结算'!H758,8)="建立新的重要关系"),'幕间与结算'!E758+E851,BS850+IF(C851="重要关系3",E851,0)+IF(AND(C851="魅力",E851&lt;0),E851,0))))</x:f>
        <x:v>0</x:v>
      </x:c>
      <x:c r="BT851">
        <x:f>MAX(0,MIN(BK851,IF(AND(H851=1,C851="重要关系4",LEFT('幕间与结算'!H758,8)="建立新的重要关系"),'幕间与结算'!E758+E851,BT850+IF(C851="重要关系4",E851,0)+IF(AND(C851="魅力",E851&lt;0),E851,0))))</x:f>
        <x:v>0</x:v>
      </x:c>
      <x:c r="BU851">
        <x:f>MAX(0,MIN(BK851,IF(AND(H851=1,C851="重要关系5",LEFT('幕间与结算'!H758,8)="建立新的重要关系"),'幕间与结算'!E758+E851,BU850+IF(C851="重要关系5",E851,0)+IF(AND(C851="魅力",E851&lt;0),E851,0))))</x:f>
        <x:v>0</x:v>
      </x:c>
      <x:c r="BV851">
        <x:f>MAX(0,MIN(BK851,IF(AND(H851=1,C851="重要关系6",LEFT('幕间与结算'!H758,8)="建立新的重要关系"),'幕间与结算'!E758+E851,BV850+IF(C851="重要关系6",E851,0)+IF(AND(C851="魅力",E851&lt;0),E851,0))))</x:f>
        <x:v>0</x:v>
      </x:c>
      <x:c r="BW851">
        <x:f>MAX(0,MIN(BK851,IF(AND(H851=1,C851="重要关系7",LEFT('幕间与结算'!H758,8)="建立新的重要关系"),'幕间与结算'!E758+E851,BW850+IF(C851="重要关系7",E851,0)+IF(AND(C851="魅力",E851&lt;0),E851,0))))</x:f>
        <x:v>0</x:v>
      </x:c>
    </x:row>
    <x:row r="852">
      <x:c r="A852" t="str">
        <x:f>IFERROR(TEXT(VALUE('幕间与结算'!A759),"00"),"")</x:f>
        <x:v>00</x:v>
      </x:c>
      <x:c r="B852">
        <x:f>'幕间与结算'!B759</x:f>
        <x:v>0</x:v>
      </x:c>
      <x:c r="C852">
        <x:f>'幕间与结算'!D759</x:f>
        <x:v>0</x:v>
      </x:c>
      <x:c r="D852">
        <x:f>'幕间与结算'!F759</x:f>
        <x:v>0</x:v>
      </x:c>
      <x:c r="E852">
        <x:f>IF(H852=1,MAX(-'幕间与结算'!E759,MIN(D852,IF(LEFT(C852,3)="技能：",99,IF(COUNTIF($L$2:$L$7,C852)&gt;0,18,999))-'幕间与结算'!E759)),0)</x:f>
        <x:v>0</x:v>
      </x:c>
      <x:c r="F852" t="str">
        <x:f>IF(C852=0,"",IF(G852=0,"记录不完整",IF(H852=0,"重复未计","已计入")))</x:f>
        <x:v/>
      </x:c>
      <x:c r="G852">
        <x:f>IF(AND(AND('幕间与结算'!A759&lt;&gt;"",'幕间与结算'!B759&lt;&gt;"",'幕间与结算'!I759&lt;&gt;"",OR(LEFT(C852,3)="技能：",COUNTIF($L$2:$L$19,C852)&gt;0),ISNUMBER('幕间与结算'!E759),ISNUMBER('幕间与结算'!F759),ISNUMBER('幕间与结算'!G759),'幕间与结算'!E759&gt;=0,'幕间与结算'!G759='幕间与结算'!E759+'幕间与结算'!F759),OR(B852&lt;&gt;"成长",AND(LEFT(C852,3)="技能：",C852&lt;&gt;"技能：非自然知识",'幕间与结算'!E759&gt;=1,'幕间与结算'!E759&lt;=99,'幕间与结算'!F759&gt;=0,'幕间与结算'!F759&lt;=4,'幕间与结算'!G759&lt;=99))),1,0)</x:f>
        <x:v>0</x:v>
      </x:c>
      <x:c r="H852">
        <x:f>IF(AND(G852=1,COUNTIFS($I$200:I852,I852,$G$200:G852,1)=1),1,0)</x:f>
        <x:v>0</x:v>
      </x:c>
      <x:c r="I852" t="str">
        <x:f>IF(G852=1,IF(B852="成长",A852&amp;"-成长-"&amp;C852,'幕间与结算'!I759),"")</x:f>
        <x:v/>
      </x:c>
      <x:c r="BF852">
        <x:f>MAX(0,MIN(18,BF851+IF(C852="力量",E852,0)))</x:f>
        <x:v>0</x:v>
      </x:c>
      <x:c r="BG852">
        <x:f>MAX(0,MIN(18,BG851+IF(C852="体质",E852,0)))</x:f>
        <x:v>0</x:v>
      </x:c>
      <x:c r="BH852">
        <x:f>MAX(0,MIN(18,BH851+IF(C852="敏捷",E852,0)))</x:f>
        <x:v>0</x:v>
      </x:c>
      <x:c r="BI852">
        <x:f>MAX(0,MIN(18,BI851+IF(C852="智力",E852,0)))</x:f>
        <x:v>0</x:v>
      </x:c>
      <x:c r="BJ852">
        <x:f>MAX(0,MIN(18,BJ851+IF(C852="意志",E852,0)))</x:f>
        <x:v>0</x:v>
      </x:c>
      <x:c r="BK852">
        <x:f>MAX(0,MIN(18,BK851+IF(C852="魅力",E852,0)))</x:f>
        <x:v>0</x:v>
      </x:c>
      <x:c r="BL852">
        <x:f>MAX(0,MIN(99,BL851+IF(C852="技能：非自然知识",E852,0)))</x:f>
        <x:v>0</x:v>
      </x:c>
      <x:c r="BM852">
        <x:f>MAX(0,MIN(CEILING((BF852+BG852)/2,1),BM851+IF(C852="体力",E852,0)))</x:f>
        <x:v>0</x:v>
      </x:c>
      <x:c r="BN852">
        <x:f>MAX(0,MIN(BJ852,BN851+IF(C852="毅力",E852,0)))</x:f>
        <x:v>0</x:v>
      </x:c>
      <x:c r="BO852">
        <x:f>MAX(0,MIN(99-BL852,BO851+IF(C852="理智",E852,0)))</x:f>
        <x:v>0</x:v>
      </x:c>
      <x:c r="BP852">
        <x:f>MAX(0,MIN(99,BP851+IF(C852="崩溃点",E852,0)))</x:f>
        <x:v>0</x:v>
      </x:c>
      <x:c r="BQ852">
        <x:f>MAX(0,MIN(BK852,IF(AND(H852=1,C852="重要关系1",LEFT('幕间与结算'!H759,8)="建立新的重要关系"),'幕间与结算'!E759+E852,BQ851+IF(C852="重要关系1",E852,0)+IF(AND(C852="魅力",E852&lt;0),E852,0))))</x:f>
        <x:v>0</x:v>
      </x:c>
      <x:c r="BR852">
        <x:f>MAX(0,MIN(BK852,IF(AND(H852=1,C852="重要关系2",LEFT('幕间与结算'!H759,8)="建立新的重要关系"),'幕间与结算'!E759+E852,BR851+IF(C852="重要关系2",E852,0)+IF(AND(C852="魅力",E852&lt;0),E852,0))))</x:f>
        <x:v>0</x:v>
      </x:c>
      <x:c r="BS852">
        <x:f>MAX(0,MIN(BK852,IF(AND(H852=1,C852="重要关系3",LEFT('幕间与结算'!H759,8)="建立新的重要关系"),'幕间与结算'!E759+E852,BS851+IF(C852="重要关系3",E852,0)+IF(AND(C852="魅力",E852&lt;0),E852,0))))</x:f>
        <x:v>0</x:v>
      </x:c>
      <x:c r="BT852">
        <x:f>MAX(0,MIN(BK852,IF(AND(H852=1,C852="重要关系4",LEFT('幕间与结算'!H759,8)="建立新的重要关系"),'幕间与结算'!E759+E852,BT851+IF(C852="重要关系4",E852,0)+IF(AND(C852="魅力",E852&lt;0),E852,0))))</x:f>
        <x:v>0</x:v>
      </x:c>
      <x:c r="BU852">
        <x:f>MAX(0,MIN(BK852,IF(AND(H852=1,C852="重要关系5",LEFT('幕间与结算'!H759,8)="建立新的重要关系"),'幕间与结算'!E759+E852,BU851+IF(C852="重要关系5",E852,0)+IF(AND(C852="魅力",E852&lt;0),E852,0))))</x:f>
        <x:v>0</x:v>
      </x:c>
      <x:c r="BV852">
        <x:f>MAX(0,MIN(BK852,IF(AND(H852=1,C852="重要关系6",LEFT('幕间与结算'!H759,8)="建立新的重要关系"),'幕间与结算'!E759+E852,BV851+IF(C852="重要关系6",E852,0)+IF(AND(C852="魅力",E852&lt;0),E852,0))))</x:f>
        <x:v>0</x:v>
      </x:c>
      <x:c r="BW852">
        <x:f>MAX(0,MIN(BK852,IF(AND(H852=1,C852="重要关系7",LEFT('幕间与结算'!H759,8)="建立新的重要关系"),'幕间与结算'!E759+E852,BW851+IF(C852="重要关系7",E852,0)+IF(AND(C852="魅力",E852&lt;0),E852,0))))</x:f>
        <x:v>0</x:v>
      </x:c>
    </x:row>
    <x:row r="853">
      <x:c r="A853" t="str">
        <x:f>IFERROR(TEXT(VALUE('幕间与结算'!A760),"00"),"")</x:f>
        <x:v>00</x:v>
      </x:c>
      <x:c r="B853">
        <x:f>'幕间与结算'!B760</x:f>
        <x:v>0</x:v>
      </x:c>
      <x:c r="C853">
        <x:f>'幕间与结算'!D760</x:f>
        <x:v>0</x:v>
      </x:c>
      <x:c r="D853">
        <x:f>'幕间与结算'!F760</x:f>
        <x:v>0</x:v>
      </x:c>
      <x:c r="E853">
        <x:f>IF(H853=1,MAX(-'幕间与结算'!E760,MIN(D853,IF(LEFT(C853,3)="技能：",99,IF(COUNTIF($L$2:$L$7,C853)&gt;0,18,999))-'幕间与结算'!E760)),0)</x:f>
        <x:v>0</x:v>
      </x:c>
      <x:c r="F853" t="str">
        <x:f>IF(C853=0,"",IF(G853=0,"记录不完整",IF(H853=0,"重复未计","已计入")))</x:f>
        <x:v/>
      </x:c>
      <x:c r="G853">
        <x:f>IF(AND(AND('幕间与结算'!A760&lt;&gt;"",'幕间与结算'!B760&lt;&gt;"",'幕间与结算'!I760&lt;&gt;"",OR(LEFT(C853,3)="技能：",COUNTIF($L$2:$L$19,C853)&gt;0),ISNUMBER('幕间与结算'!E760),ISNUMBER('幕间与结算'!F760),ISNUMBER('幕间与结算'!G760),'幕间与结算'!E760&gt;=0,'幕间与结算'!G760='幕间与结算'!E760+'幕间与结算'!F760),OR(B853&lt;&gt;"成长",AND(LEFT(C853,3)="技能：",C853&lt;&gt;"技能：非自然知识",'幕间与结算'!E760&gt;=1,'幕间与结算'!E760&lt;=99,'幕间与结算'!F760&gt;=0,'幕间与结算'!F760&lt;=4,'幕间与结算'!G760&lt;=99))),1,0)</x:f>
        <x:v>0</x:v>
      </x:c>
      <x:c r="H853">
        <x:f>IF(AND(G853=1,COUNTIFS($I$200:I853,I853,$G$200:G853,1)=1),1,0)</x:f>
        <x:v>0</x:v>
      </x:c>
      <x:c r="I853" t="str">
        <x:f>IF(G853=1,IF(B853="成长",A853&amp;"-成长-"&amp;C853,'幕间与结算'!I760),"")</x:f>
        <x:v/>
      </x:c>
      <x:c r="BF853">
        <x:f>MAX(0,MIN(18,BF852+IF(C853="力量",E853,0)))</x:f>
        <x:v>0</x:v>
      </x:c>
      <x:c r="BG853">
        <x:f>MAX(0,MIN(18,BG852+IF(C853="体质",E853,0)))</x:f>
        <x:v>0</x:v>
      </x:c>
      <x:c r="BH853">
        <x:f>MAX(0,MIN(18,BH852+IF(C853="敏捷",E853,0)))</x:f>
        <x:v>0</x:v>
      </x:c>
      <x:c r="BI853">
        <x:f>MAX(0,MIN(18,BI852+IF(C853="智力",E853,0)))</x:f>
        <x:v>0</x:v>
      </x:c>
      <x:c r="BJ853">
        <x:f>MAX(0,MIN(18,BJ852+IF(C853="意志",E853,0)))</x:f>
        <x:v>0</x:v>
      </x:c>
      <x:c r="BK853">
        <x:f>MAX(0,MIN(18,BK852+IF(C853="魅力",E853,0)))</x:f>
        <x:v>0</x:v>
      </x:c>
      <x:c r="BL853">
        <x:f>MAX(0,MIN(99,BL852+IF(C853="技能：非自然知识",E853,0)))</x:f>
        <x:v>0</x:v>
      </x:c>
      <x:c r="BM853">
        <x:f>MAX(0,MIN(CEILING((BF853+BG853)/2,1),BM852+IF(C853="体力",E853,0)))</x:f>
        <x:v>0</x:v>
      </x:c>
      <x:c r="BN853">
        <x:f>MAX(0,MIN(BJ853,BN852+IF(C853="毅力",E853,0)))</x:f>
        <x:v>0</x:v>
      </x:c>
      <x:c r="BO853">
        <x:f>MAX(0,MIN(99-BL853,BO852+IF(C853="理智",E853,0)))</x:f>
        <x:v>0</x:v>
      </x:c>
      <x:c r="BP853">
        <x:f>MAX(0,MIN(99,BP852+IF(C853="崩溃点",E853,0)))</x:f>
        <x:v>0</x:v>
      </x:c>
      <x:c r="BQ853">
        <x:f>MAX(0,MIN(BK853,IF(AND(H853=1,C853="重要关系1",LEFT('幕间与结算'!H760,8)="建立新的重要关系"),'幕间与结算'!E760+E853,BQ852+IF(C853="重要关系1",E853,0)+IF(AND(C853="魅力",E853&lt;0),E853,0))))</x:f>
        <x:v>0</x:v>
      </x:c>
      <x:c r="BR853">
        <x:f>MAX(0,MIN(BK853,IF(AND(H853=1,C853="重要关系2",LEFT('幕间与结算'!H760,8)="建立新的重要关系"),'幕间与结算'!E760+E853,BR852+IF(C853="重要关系2",E853,0)+IF(AND(C853="魅力",E853&lt;0),E853,0))))</x:f>
        <x:v>0</x:v>
      </x:c>
      <x:c r="BS853">
        <x:f>MAX(0,MIN(BK853,IF(AND(H853=1,C853="重要关系3",LEFT('幕间与结算'!H760,8)="建立新的重要关系"),'幕间与结算'!E760+E853,BS852+IF(C853="重要关系3",E853,0)+IF(AND(C853="魅力",E853&lt;0),E853,0))))</x:f>
        <x:v>0</x:v>
      </x:c>
      <x:c r="BT853">
        <x:f>MAX(0,MIN(BK853,IF(AND(H853=1,C853="重要关系4",LEFT('幕间与结算'!H760,8)="建立新的重要关系"),'幕间与结算'!E760+E853,BT852+IF(C853="重要关系4",E853,0)+IF(AND(C853="魅力",E853&lt;0),E853,0))))</x:f>
        <x:v>0</x:v>
      </x:c>
      <x:c r="BU853">
        <x:f>MAX(0,MIN(BK853,IF(AND(H853=1,C853="重要关系5",LEFT('幕间与结算'!H760,8)="建立新的重要关系"),'幕间与结算'!E760+E853,BU852+IF(C853="重要关系5",E853,0)+IF(AND(C853="魅力",E853&lt;0),E853,0))))</x:f>
        <x:v>0</x:v>
      </x:c>
      <x:c r="BV853">
        <x:f>MAX(0,MIN(BK853,IF(AND(H853=1,C853="重要关系6",LEFT('幕间与结算'!H760,8)="建立新的重要关系"),'幕间与结算'!E760+E853,BV852+IF(C853="重要关系6",E853,0)+IF(AND(C853="魅力",E853&lt;0),E853,0))))</x:f>
        <x:v>0</x:v>
      </x:c>
      <x:c r="BW853">
        <x:f>MAX(0,MIN(BK853,IF(AND(H853=1,C853="重要关系7",LEFT('幕间与结算'!H760,8)="建立新的重要关系"),'幕间与结算'!E760+E853,BW852+IF(C853="重要关系7",E853,0)+IF(AND(C853="魅力",E853&lt;0),E853,0))))</x:f>
        <x:v>0</x:v>
      </x:c>
    </x:row>
    <x:row r="854">
      <x:c r="A854" t="str">
        <x:f>IFERROR(TEXT(VALUE('幕间与结算'!A761),"00"),"")</x:f>
        <x:v>00</x:v>
      </x:c>
      <x:c r="B854">
        <x:f>'幕间与结算'!B761</x:f>
        <x:v>0</x:v>
      </x:c>
      <x:c r="C854">
        <x:f>'幕间与结算'!D761</x:f>
        <x:v>0</x:v>
      </x:c>
      <x:c r="D854">
        <x:f>'幕间与结算'!F761</x:f>
        <x:v>0</x:v>
      </x:c>
      <x:c r="E854">
        <x:f>IF(H854=1,MAX(-'幕间与结算'!E761,MIN(D854,IF(LEFT(C854,3)="技能：",99,IF(COUNTIF($L$2:$L$7,C854)&gt;0,18,999))-'幕间与结算'!E761)),0)</x:f>
        <x:v>0</x:v>
      </x:c>
      <x:c r="F854" t="str">
        <x:f>IF(C854=0,"",IF(G854=0,"记录不完整",IF(H854=0,"重复未计","已计入")))</x:f>
        <x:v/>
      </x:c>
      <x:c r="G854">
        <x:f>IF(AND(AND('幕间与结算'!A761&lt;&gt;"",'幕间与结算'!B761&lt;&gt;"",'幕间与结算'!I761&lt;&gt;"",OR(LEFT(C854,3)="技能：",COUNTIF($L$2:$L$19,C854)&gt;0),ISNUMBER('幕间与结算'!E761),ISNUMBER('幕间与结算'!F761),ISNUMBER('幕间与结算'!G761),'幕间与结算'!E761&gt;=0,'幕间与结算'!G761='幕间与结算'!E761+'幕间与结算'!F761),OR(B854&lt;&gt;"成长",AND(LEFT(C854,3)="技能：",C854&lt;&gt;"技能：非自然知识",'幕间与结算'!E761&gt;=1,'幕间与结算'!E761&lt;=99,'幕间与结算'!F761&gt;=0,'幕间与结算'!F761&lt;=4,'幕间与结算'!G761&lt;=99))),1,0)</x:f>
        <x:v>0</x:v>
      </x:c>
      <x:c r="H854">
        <x:f>IF(AND(G854=1,COUNTIFS($I$200:I854,I854,$G$200:G854,1)=1),1,0)</x:f>
        <x:v>0</x:v>
      </x:c>
      <x:c r="I854" t="str">
        <x:f>IF(G854=1,IF(B854="成长",A854&amp;"-成长-"&amp;C854,'幕间与结算'!I761),"")</x:f>
        <x:v/>
      </x:c>
      <x:c r="BF854">
        <x:f>MAX(0,MIN(18,BF853+IF(C854="力量",E854,0)))</x:f>
        <x:v>0</x:v>
      </x:c>
      <x:c r="BG854">
        <x:f>MAX(0,MIN(18,BG853+IF(C854="体质",E854,0)))</x:f>
        <x:v>0</x:v>
      </x:c>
      <x:c r="BH854">
        <x:f>MAX(0,MIN(18,BH853+IF(C854="敏捷",E854,0)))</x:f>
        <x:v>0</x:v>
      </x:c>
      <x:c r="BI854">
        <x:f>MAX(0,MIN(18,BI853+IF(C854="智力",E854,0)))</x:f>
        <x:v>0</x:v>
      </x:c>
      <x:c r="BJ854">
        <x:f>MAX(0,MIN(18,BJ853+IF(C854="意志",E854,0)))</x:f>
        <x:v>0</x:v>
      </x:c>
      <x:c r="BK854">
        <x:f>MAX(0,MIN(18,BK853+IF(C854="魅力",E854,0)))</x:f>
        <x:v>0</x:v>
      </x:c>
      <x:c r="BL854">
        <x:f>MAX(0,MIN(99,BL853+IF(C854="技能：非自然知识",E854,0)))</x:f>
        <x:v>0</x:v>
      </x:c>
      <x:c r="BM854">
        <x:f>MAX(0,MIN(CEILING((BF854+BG854)/2,1),BM853+IF(C854="体力",E854,0)))</x:f>
        <x:v>0</x:v>
      </x:c>
      <x:c r="BN854">
        <x:f>MAX(0,MIN(BJ854,BN853+IF(C854="毅力",E854,0)))</x:f>
        <x:v>0</x:v>
      </x:c>
      <x:c r="BO854">
        <x:f>MAX(0,MIN(99-BL854,BO853+IF(C854="理智",E854,0)))</x:f>
        <x:v>0</x:v>
      </x:c>
      <x:c r="BP854">
        <x:f>MAX(0,MIN(99,BP853+IF(C854="崩溃点",E854,0)))</x:f>
        <x:v>0</x:v>
      </x:c>
      <x:c r="BQ854">
        <x:f>MAX(0,MIN(BK854,IF(AND(H854=1,C854="重要关系1",LEFT('幕间与结算'!H761,8)="建立新的重要关系"),'幕间与结算'!E761+E854,BQ853+IF(C854="重要关系1",E854,0)+IF(AND(C854="魅力",E854&lt;0),E854,0))))</x:f>
        <x:v>0</x:v>
      </x:c>
      <x:c r="BR854">
        <x:f>MAX(0,MIN(BK854,IF(AND(H854=1,C854="重要关系2",LEFT('幕间与结算'!H761,8)="建立新的重要关系"),'幕间与结算'!E761+E854,BR853+IF(C854="重要关系2",E854,0)+IF(AND(C854="魅力",E854&lt;0),E854,0))))</x:f>
        <x:v>0</x:v>
      </x:c>
      <x:c r="BS854">
        <x:f>MAX(0,MIN(BK854,IF(AND(H854=1,C854="重要关系3",LEFT('幕间与结算'!H761,8)="建立新的重要关系"),'幕间与结算'!E761+E854,BS853+IF(C854="重要关系3",E854,0)+IF(AND(C854="魅力",E854&lt;0),E854,0))))</x:f>
        <x:v>0</x:v>
      </x:c>
      <x:c r="BT854">
        <x:f>MAX(0,MIN(BK854,IF(AND(H854=1,C854="重要关系4",LEFT('幕间与结算'!H761,8)="建立新的重要关系"),'幕间与结算'!E761+E854,BT853+IF(C854="重要关系4",E854,0)+IF(AND(C854="魅力",E854&lt;0),E854,0))))</x:f>
        <x:v>0</x:v>
      </x:c>
      <x:c r="BU854">
        <x:f>MAX(0,MIN(BK854,IF(AND(H854=1,C854="重要关系5",LEFT('幕间与结算'!H761,8)="建立新的重要关系"),'幕间与结算'!E761+E854,BU853+IF(C854="重要关系5",E854,0)+IF(AND(C854="魅力",E854&lt;0),E854,0))))</x:f>
        <x:v>0</x:v>
      </x:c>
      <x:c r="BV854">
        <x:f>MAX(0,MIN(BK854,IF(AND(H854=1,C854="重要关系6",LEFT('幕间与结算'!H761,8)="建立新的重要关系"),'幕间与结算'!E761+E854,BV853+IF(C854="重要关系6",E854,0)+IF(AND(C854="魅力",E854&lt;0),E854,0))))</x:f>
        <x:v>0</x:v>
      </x:c>
      <x:c r="BW854">
        <x:f>MAX(0,MIN(BK854,IF(AND(H854=1,C854="重要关系7",LEFT('幕间与结算'!H761,8)="建立新的重要关系"),'幕间与结算'!E761+E854,BW853+IF(C854="重要关系7",E854,0)+IF(AND(C854="魅力",E854&lt;0),E854,0))))</x:f>
        <x:v>0</x:v>
      </x:c>
    </x:row>
    <x:row r="855">
      <x:c r="A855" t="str">
        <x:f>IFERROR(TEXT(VALUE('幕间与结算'!A762),"00"),"")</x:f>
        <x:v>00</x:v>
      </x:c>
      <x:c r="B855">
        <x:f>'幕间与结算'!B762</x:f>
        <x:v>0</x:v>
      </x:c>
      <x:c r="C855">
        <x:f>'幕间与结算'!D762</x:f>
        <x:v>0</x:v>
      </x:c>
      <x:c r="D855">
        <x:f>'幕间与结算'!F762</x:f>
        <x:v>0</x:v>
      </x:c>
      <x:c r="E855">
        <x:f>IF(H855=1,MAX(-'幕间与结算'!E762,MIN(D855,IF(LEFT(C855,3)="技能：",99,IF(COUNTIF($L$2:$L$7,C855)&gt;0,18,999))-'幕间与结算'!E762)),0)</x:f>
        <x:v>0</x:v>
      </x:c>
      <x:c r="F855" t="str">
        <x:f>IF(C855=0,"",IF(G855=0,"记录不完整",IF(H855=0,"重复未计","已计入")))</x:f>
        <x:v/>
      </x:c>
      <x:c r="G855">
        <x:f>IF(AND(AND('幕间与结算'!A762&lt;&gt;"",'幕间与结算'!B762&lt;&gt;"",'幕间与结算'!I762&lt;&gt;"",OR(LEFT(C855,3)="技能：",COUNTIF($L$2:$L$19,C855)&gt;0),ISNUMBER('幕间与结算'!E762),ISNUMBER('幕间与结算'!F762),ISNUMBER('幕间与结算'!G762),'幕间与结算'!E762&gt;=0,'幕间与结算'!G762='幕间与结算'!E762+'幕间与结算'!F762),OR(B855&lt;&gt;"成长",AND(LEFT(C855,3)="技能：",C855&lt;&gt;"技能：非自然知识",'幕间与结算'!E762&gt;=1,'幕间与结算'!E762&lt;=99,'幕间与结算'!F762&gt;=0,'幕间与结算'!F762&lt;=4,'幕间与结算'!G762&lt;=99))),1,0)</x:f>
        <x:v>0</x:v>
      </x:c>
      <x:c r="H855">
        <x:f>IF(AND(G855=1,COUNTIFS($I$200:I855,I855,$G$200:G855,1)=1),1,0)</x:f>
        <x:v>0</x:v>
      </x:c>
      <x:c r="I855" t="str">
        <x:f>IF(G855=1,IF(B855="成长",A855&amp;"-成长-"&amp;C855,'幕间与结算'!I762),"")</x:f>
        <x:v/>
      </x:c>
      <x:c r="BF855">
        <x:f>MAX(0,MIN(18,BF854+IF(C855="力量",E855,0)))</x:f>
        <x:v>0</x:v>
      </x:c>
      <x:c r="BG855">
        <x:f>MAX(0,MIN(18,BG854+IF(C855="体质",E855,0)))</x:f>
        <x:v>0</x:v>
      </x:c>
      <x:c r="BH855">
        <x:f>MAX(0,MIN(18,BH854+IF(C855="敏捷",E855,0)))</x:f>
        <x:v>0</x:v>
      </x:c>
      <x:c r="BI855">
        <x:f>MAX(0,MIN(18,BI854+IF(C855="智力",E855,0)))</x:f>
        <x:v>0</x:v>
      </x:c>
      <x:c r="BJ855">
        <x:f>MAX(0,MIN(18,BJ854+IF(C855="意志",E855,0)))</x:f>
        <x:v>0</x:v>
      </x:c>
      <x:c r="BK855">
        <x:f>MAX(0,MIN(18,BK854+IF(C855="魅力",E855,0)))</x:f>
        <x:v>0</x:v>
      </x:c>
      <x:c r="BL855">
        <x:f>MAX(0,MIN(99,BL854+IF(C855="技能：非自然知识",E855,0)))</x:f>
        <x:v>0</x:v>
      </x:c>
      <x:c r="BM855">
        <x:f>MAX(0,MIN(CEILING((BF855+BG855)/2,1),BM854+IF(C855="体力",E855,0)))</x:f>
        <x:v>0</x:v>
      </x:c>
      <x:c r="BN855">
        <x:f>MAX(0,MIN(BJ855,BN854+IF(C855="毅力",E855,0)))</x:f>
        <x:v>0</x:v>
      </x:c>
      <x:c r="BO855">
        <x:f>MAX(0,MIN(99-BL855,BO854+IF(C855="理智",E855,0)))</x:f>
        <x:v>0</x:v>
      </x:c>
      <x:c r="BP855">
        <x:f>MAX(0,MIN(99,BP854+IF(C855="崩溃点",E855,0)))</x:f>
        <x:v>0</x:v>
      </x:c>
      <x:c r="BQ855">
        <x:f>MAX(0,MIN(BK855,IF(AND(H855=1,C855="重要关系1",LEFT('幕间与结算'!H762,8)="建立新的重要关系"),'幕间与结算'!E762+E855,BQ854+IF(C855="重要关系1",E855,0)+IF(AND(C855="魅力",E855&lt;0),E855,0))))</x:f>
        <x:v>0</x:v>
      </x:c>
      <x:c r="BR855">
        <x:f>MAX(0,MIN(BK855,IF(AND(H855=1,C855="重要关系2",LEFT('幕间与结算'!H762,8)="建立新的重要关系"),'幕间与结算'!E762+E855,BR854+IF(C855="重要关系2",E855,0)+IF(AND(C855="魅力",E855&lt;0),E855,0))))</x:f>
        <x:v>0</x:v>
      </x:c>
      <x:c r="BS855">
        <x:f>MAX(0,MIN(BK855,IF(AND(H855=1,C855="重要关系3",LEFT('幕间与结算'!H762,8)="建立新的重要关系"),'幕间与结算'!E762+E855,BS854+IF(C855="重要关系3",E855,0)+IF(AND(C855="魅力",E855&lt;0),E855,0))))</x:f>
        <x:v>0</x:v>
      </x:c>
      <x:c r="BT855">
        <x:f>MAX(0,MIN(BK855,IF(AND(H855=1,C855="重要关系4",LEFT('幕间与结算'!H762,8)="建立新的重要关系"),'幕间与结算'!E762+E855,BT854+IF(C855="重要关系4",E855,0)+IF(AND(C855="魅力",E855&lt;0),E855,0))))</x:f>
        <x:v>0</x:v>
      </x:c>
      <x:c r="BU855">
        <x:f>MAX(0,MIN(BK855,IF(AND(H855=1,C855="重要关系5",LEFT('幕间与结算'!H762,8)="建立新的重要关系"),'幕间与结算'!E762+E855,BU854+IF(C855="重要关系5",E855,0)+IF(AND(C855="魅力",E855&lt;0),E855,0))))</x:f>
        <x:v>0</x:v>
      </x:c>
      <x:c r="BV855">
        <x:f>MAX(0,MIN(BK855,IF(AND(H855=1,C855="重要关系6",LEFT('幕间与结算'!H762,8)="建立新的重要关系"),'幕间与结算'!E762+E855,BV854+IF(C855="重要关系6",E855,0)+IF(AND(C855="魅力",E855&lt;0),E855,0))))</x:f>
        <x:v>0</x:v>
      </x:c>
      <x:c r="BW855">
        <x:f>MAX(0,MIN(BK855,IF(AND(H855=1,C855="重要关系7",LEFT('幕间与结算'!H762,8)="建立新的重要关系"),'幕间与结算'!E762+E855,BW854+IF(C855="重要关系7",E855,0)+IF(AND(C855="魅力",E855&lt;0),E855,0))))</x:f>
        <x:v>0</x:v>
      </x:c>
    </x:row>
    <x:row r="856">
      <x:c r="A856" t="str">
        <x:f>IFERROR(TEXT(VALUE('幕间与结算'!A763),"00"),"")</x:f>
        <x:v>00</x:v>
      </x:c>
      <x:c r="B856">
        <x:f>'幕间与结算'!B763</x:f>
        <x:v>0</x:v>
      </x:c>
      <x:c r="C856">
        <x:f>'幕间与结算'!D763</x:f>
        <x:v>0</x:v>
      </x:c>
      <x:c r="D856">
        <x:f>'幕间与结算'!F763</x:f>
        <x:v>0</x:v>
      </x:c>
      <x:c r="E856">
        <x:f>IF(H856=1,MAX(-'幕间与结算'!E763,MIN(D856,IF(LEFT(C856,3)="技能：",99,IF(COUNTIF($L$2:$L$7,C856)&gt;0,18,999))-'幕间与结算'!E763)),0)</x:f>
        <x:v>0</x:v>
      </x:c>
      <x:c r="F856" t="str">
        <x:f>IF(C856=0,"",IF(G856=0,"记录不完整",IF(H856=0,"重复未计","已计入")))</x:f>
        <x:v/>
      </x:c>
      <x:c r="G856">
        <x:f>IF(AND(AND('幕间与结算'!A763&lt;&gt;"",'幕间与结算'!B763&lt;&gt;"",'幕间与结算'!I763&lt;&gt;"",OR(LEFT(C856,3)="技能：",COUNTIF($L$2:$L$19,C856)&gt;0),ISNUMBER('幕间与结算'!E763),ISNUMBER('幕间与结算'!F763),ISNUMBER('幕间与结算'!G763),'幕间与结算'!E763&gt;=0,'幕间与结算'!G763='幕间与结算'!E763+'幕间与结算'!F763),OR(B856&lt;&gt;"成长",AND(LEFT(C856,3)="技能：",C856&lt;&gt;"技能：非自然知识",'幕间与结算'!E763&gt;=1,'幕间与结算'!E763&lt;=99,'幕间与结算'!F763&gt;=0,'幕间与结算'!F763&lt;=4,'幕间与结算'!G763&lt;=99))),1,0)</x:f>
        <x:v>0</x:v>
      </x:c>
      <x:c r="H856">
        <x:f>IF(AND(G856=1,COUNTIFS($I$200:I856,I856,$G$200:G856,1)=1),1,0)</x:f>
        <x:v>0</x:v>
      </x:c>
      <x:c r="I856" t="str">
        <x:f>IF(G856=1,IF(B856="成长",A856&amp;"-成长-"&amp;C856,'幕间与结算'!I763),"")</x:f>
        <x:v/>
      </x:c>
      <x:c r="BF856">
        <x:f>MAX(0,MIN(18,BF855+IF(C856="力量",E856,0)))</x:f>
        <x:v>0</x:v>
      </x:c>
      <x:c r="BG856">
        <x:f>MAX(0,MIN(18,BG855+IF(C856="体质",E856,0)))</x:f>
        <x:v>0</x:v>
      </x:c>
      <x:c r="BH856">
        <x:f>MAX(0,MIN(18,BH855+IF(C856="敏捷",E856,0)))</x:f>
        <x:v>0</x:v>
      </x:c>
      <x:c r="BI856">
        <x:f>MAX(0,MIN(18,BI855+IF(C856="智力",E856,0)))</x:f>
        <x:v>0</x:v>
      </x:c>
      <x:c r="BJ856">
        <x:f>MAX(0,MIN(18,BJ855+IF(C856="意志",E856,0)))</x:f>
        <x:v>0</x:v>
      </x:c>
      <x:c r="BK856">
        <x:f>MAX(0,MIN(18,BK855+IF(C856="魅力",E856,0)))</x:f>
        <x:v>0</x:v>
      </x:c>
      <x:c r="BL856">
        <x:f>MAX(0,MIN(99,BL855+IF(C856="技能：非自然知识",E856,0)))</x:f>
        <x:v>0</x:v>
      </x:c>
      <x:c r="BM856">
        <x:f>MAX(0,MIN(CEILING((BF856+BG856)/2,1),BM855+IF(C856="体力",E856,0)))</x:f>
        <x:v>0</x:v>
      </x:c>
      <x:c r="BN856">
        <x:f>MAX(0,MIN(BJ856,BN855+IF(C856="毅力",E856,0)))</x:f>
        <x:v>0</x:v>
      </x:c>
      <x:c r="BO856">
        <x:f>MAX(0,MIN(99-BL856,BO855+IF(C856="理智",E856,0)))</x:f>
        <x:v>0</x:v>
      </x:c>
      <x:c r="BP856">
        <x:f>MAX(0,MIN(99,BP855+IF(C856="崩溃点",E856,0)))</x:f>
        <x:v>0</x:v>
      </x:c>
      <x:c r="BQ856">
        <x:f>MAX(0,MIN(BK856,IF(AND(H856=1,C856="重要关系1",LEFT('幕间与结算'!H763,8)="建立新的重要关系"),'幕间与结算'!E763+E856,BQ855+IF(C856="重要关系1",E856,0)+IF(AND(C856="魅力",E856&lt;0),E856,0))))</x:f>
        <x:v>0</x:v>
      </x:c>
      <x:c r="BR856">
        <x:f>MAX(0,MIN(BK856,IF(AND(H856=1,C856="重要关系2",LEFT('幕间与结算'!H763,8)="建立新的重要关系"),'幕间与结算'!E763+E856,BR855+IF(C856="重要关系2",E856,0)+IF(AND(C856="魅力",E856&lt;0),E856,0))))</x:f>
        <x:v>0</x:v>
      </x:c>
      <x:c r="BS856">
        <x:f>MAX(0,MIN(BK856,IF(AND(H856=1,C856="重要关系3",LEFT('幕间与结算'!H763,8)="建立新的重要关系"),'幕间与结算'!E763+E856,BS855+IF(C856="重要关系3",E856,0)+IF(AND(C856="魅力",E856&lt;0),E856,0))))</x:f>
        <x:v>0</x:v>
      </x:c>
      <x:c r="BT856">
        <x:f>MAX(0,MIN(BK856,IF(AND(H856=1,C856="重要关系4",LEFT('幕间与结算'!H763,8)="建立新的重要关系"),'幕间与结算'!E763+E856,BT855+IF(C856="重要关系4",E856,0)+IF(AND(C856="魅力",E856&lt;0),E856,0))))</x:f>
        <x:v>0</x:v>
      </x:c>
      <x:c r="BU856">
        <x:f>MAX(0,MIN(BK856,IF(AND(H856=1,C856="重要关系5",LEFT('幕间与结算'!H763,8)="建立新的重要关系"),'幕间与结算'!E763+E856,BU855+IF(C856="重要关系5",E856,0)+IF(AND(C856="魅力",E856&lt;0),E856,0))))</x:f>
        <x:v>0</x:v>
      </x:c>
      <x:c r="BV856">
        <x:f>MAX(0,MIN(BK856,IF(AND(H856=1,C856="重要关系6",LEFT('幕间与结算'!H763,8)="建立新的重要关系"),'幕间与结算'!E763+E856,BV855+IF(C856="重要关系6",E856,0)+IF(AND(C856="魅力",E856&lt;0),E856,0))))</x:f>
        <x:v>0</x:v>
      </x:c>
      <x:c r="BW856">
        <x:f>MAX(0,MIN(BK856,IF(AND(H856=1,C856="重要关系7",LEFT('幕间与结算'!H763,8)="建立新的重要关系"),'幕间与结算'!E763+E856,BW855+IF(C856="重要关系7",E856,0)+IF(AND(C856="魅力",E856&lt;0),E856,0))))</x:f>
        <x:v>0</x:v>
      </x:c>
    </x:row>
    <x:row r="857">
      <x:c r="A857" t="str">
        <x:f>IFERROR(TEXT(VALUE('幕间与结算'!A764),"00"),"")</x:f>
        <x:v>00</x:v>
      </x:c>
      <x:c r="B857">
        <x:f>'幕间与结算'!B764</x:f>
        <x:v>0</x:v>
      </x:c>
      <x:c r="C857">
        <x:f>'幕间与结算'!D764</x:f>
        <x:v>0</x:v>
      </x:c>
      <x:c r="D857">
        <x:f>'幕间与结算'!F764</x:f>
        <x:v>0</x:v>
      </x:c>
      <x:c r="E857">
        <x:f>IF(H857=1,MAX(-'幕间与结算'!E764,MIN(D857,IF(LEFT(C857,3)="技能：",99,IF(COUNTIF($L$2:$L$7,C857)&gt;0,18,999))-'幕间与结算'!E764)),0)</x:f>
        <x:v>0</x:v>
      </x:c>
      <x:c r="F857" t="str">
        <x:f>IF(C857=0,"",IF(G857=0,"记录不完整",IF(H857=0,"重复未计","已计入")))</x:f>
        <x:v/>
      </x:c>
      <x:c r="G857">
        <x:f>IF(AND(AND('幕间与结算'!A764&lt;&gt;"",'幕间与结算'!B764&lt;&gt;"",'幕间与结算'!I764&lt;&gt;"",OR(LEFT(C857,3)="技能：",COUNTIF($L$2:$L$19,C857)&gt;0),ISNUMBER('幕间与结算'!E764),ISNUMBER('幕间与结算'!F764),ISNUMBER('幕间与结算'!G764),'幕间与结算'!E764&gt;=0,'幕间与结算'!G764='幕间与结算'!E764+'幕间与结算'!F764),OR(B857&lt;&gt;"成长",AND(LEFT(C857,3)="技能：",C857&lt;&gt;"技能：非自然知识",'幕间与结算'!E764&gt;=1,'幕间与结算'!E764&lt;=99,'幕间与结算'!F764&gt;=0,'幕间与结算'!F764&lt;=4,'幕间与结算'!G764&lt;=99))),1,0)</x:f>
        <x:v>0</x:v>
      </x:c>
      <x:c r="H857">
        <x:f>IF(AND(G857=1,COUNTIFS($I$200:I857,I857,$G$200:G857,1)=1),1,0)</x:f>
        <x:v>0</x:v>
      </x:c>
      <x:c r="I857" t="str">
        <x:f>IF(G857=1,IF(B857="成长",A857&amp;"-成长-"&amp;C857,'幕间与结算'!I764),"")</x:f>
        <x:v/>
      </x:c>
      <x:c r="BF857">
        <x:f>MAX(0,MIN(18,BF856+IF(C857="力量",E857,0)))</x:f>
        <x:v>0</x:v>
      </x:c>
      <x:c r="BG857">
        <x:f>MAX(0,MIN(18,BG856+IF(C857="体质",E857,0)))</x:f>
        <x:v>0</x:v>
      </x:c>
      <x:c r="BH857">
        <x:f>MAX(0,MIN(18,BH856+IF(C857="敏捷",E857,0)))</x:f>
        <x:v>0</x:v>
      </x:c>
      <x:c r="BI857">
        <x:f>MAX(0,MIN(18,BI856+IF(C857="智力",E857,0)))</x:f>
        <x:v>0</x:v>
      </x:c>
      <x:c r="BJ857">
        <x:f>MAX(0,MIN(18,BJ856+IF(C857="意志",E857,0)))</x:f>
        <x:v>0</x:v>
      </x:c>
      <x:c r="BK857">
        <x:f>MAX(0,MIN(18,BK856+IF(C857="魅力",E857,0)))</x:f>
        <x:v>0</x:v>
      </x:c>
      <x:c r="BL857">
        <x:f>MAX(0,MIN(99,BL856+IF(C857="技能：非自然知识",E857,0)))</x:f>
        <x:v>0</x:v>
      </x:c>
      <x:c r="BM857">
        <x:f>MAX(0,MIN(CEILING((BF857+BG857)/2,1),BM856+IF(C857="体力",E857,0)))</x:f>
        <x:v>0</x:v>
      </x:c>
      <x:c r="BN857">
        <x:f>MAX(0,MIN(BJ857,BN856+IF(C857="毅力",E857,0)))</x:f>
        <x:v>0</x:v>
      </x:c>
      <x:c r="BO857">
        <x:f>MAX(0,MIN(99-BL857,BO856+IF(C857="理智",E857,0)))</x:f>
        <x:v>0</x:v>
      </x:c>
      <x:c r="BP857">
        <x:f>MAX(0,MIN(99,BP856+IF(C857="崩溃点",E857,0)))</x:f>
        <x:v>0</x:v>
      </x:c>
      <x:c r="BQ857">
        <x:f>MAX(0,MIN(BK857,IF(AND(H857=1,C857="重要关系1",LEFT('幕间与结算'!H764,8)="建立新的重要关系"),'幕间与结算'!E764+E857,BQ856+IF(C857="重要关系1",E857,0)+IF(AND(C857="魅力",E857&lt;0),E857,0))))</x:f>
        <x:v>0</x:v>
      </x:c>
      <x:c r="BR857">
        <x:f>MAX(0,MIN(BK857,IF(AND(H857=1,C857="重要关系2",LEFT('幕间与结算'!H764,8)="建立新的重要关系"),'幕间与结算'!E764+E857,BR856+IF(C857="重要关系2",E857,0)+IF(AND(C857="魅力",E857&lt;0),E857,0))))</x:f>
        <x:v>0</x:v>
      </x:c>
      <x:c r="BS857">
        <x:f>MAX(0,MIN(BK857,IF(AND(H857=1,C857="重要关系3",LEFT('幕间与结算'!H764,8)="建立新的重要关系"),'幕间与结算'!E764+E857,BS856+IF(C857="重要关系3",E857,0)+IF(AND(C857="魅力",E857&lt;0),E857,0))))</x:f>
        <x:v>0</x:v>
      </x:c>
      <x:c r="BT857">
        <x:f>MAX(0,MIN(BK857,IF(AND(H857=1,C857="重要关系4",LEFT('幕间与结算'!H764,8)="建立新的重要关系"),'幕间与结算'!E764+E857,BT856+IF(C857="重要关系4",E857,0)+IF(AND(C857="魅力",E857&lt;0),E857,0))))</x:f>
        <x:v>0</x:v>
      </x:c>
      <x:c r="BU857">
        <x:f>MAX(0,MIN(BK857,IF(AND(H857=1,C857="重要关系5",LEFT('幕间与结算'!H764,8)="建立新的重要关系"),'幕间与结算'!E764+E857,BU856+IF(C857="重要关系5",E857,0)+IF(AND(C857="魅力",E857&lt;0),E857,0))))</x:f>
        <x:v>0</x:v>
      </x:c>
      <x:c r="BV857">
        <x:f>MAX(0,MIN(BK857,IF(AND(H857=1,C857="重要关系6",LEFT('幕间与结算'!H764,8)="建立新的重要关系"),'幕间与结算'!E764+E857,BV856+IF(C857="重要关系6",E857,0)+IF(AND(C857="魅力",E857&lt;0),E857,0))))</x:f>
        <x:v>0</x:v>
      </x:c>
      <x:c r="BW857">
        <x:f>MAX(0,MIN(BK857,IF(AND(H857=1,C857="重要关系7",LEFT('幕间与结算'!H764,8)="建立新的重要关系"),'幕间与结算'!E764+E857,BW856+IF(C857="重要关系7",E857,0)+IF(AND(C857="魅力",E857&lt;0),E857,0))))</x:f>
        <x:v>0</x:v>
      </x:c>
    </x:row>
    <x:row r="858">
      <x:c r="A858" t="str">
        <x:f>IFERROR(TEXT(VALUE('幕间与结算'!A765),"00"),"")</x:f>
        <x:v>00</x:v>
      </x:c>
      <x:c r="B858">
        <x:f>'幕间与结算'!B765</x:f>
        <x:v>0</x:v>
      </x:c>
      <x:c r="C858">
        <x:f>'幕间与结算'!D765</x:f>
        <x:v>0</x:v>
      </x:c>
      <x:c r="D858">
        <x:f>'幕间与结算'!F765</x:f>
        <x:v>0</x:v>
      </x:c>
      <x:c r="E858">
        <x:f>IF(H858=1,MAX(-'幕间与结算'!E765,MIN(D858,IF(LEFT(C858,3)="技能：",99,IF(COUNTIF($L$2:$L$7,C858)&gt;0,18,999))-'幕间与结算'!E765)),0)</x:f>
        <x:v>0</x:v>
      </x:c>
      <x:c r="F858" t="str">
        <x:f>IF(C858=0,"",IF(G858=0,"记录不完整",IF(H858=0,"重复未计","已计入")))</x:f>
        <x:v/>
      </x:c>
      <x:c r="G858">
        <x:f>IF(AND(AND('幕间与结算'!A765&lt;&gt;"",'幕间与结算'!B765&lt;&gt;"",'幕间与结算'!I765&lt;&gt;"",OR(LEFT(C858,3)="技能：",COUNTIF($L$2:$L$19,C858)&gt;0),ISNUMBER('幕间与结算'!E765),ISNUMBER('幕间与结算'!F765),ISNUMBER('幕间与结算'!G765),'幕间与结算'!E765&gt;=0,'幕间与结算'!G765='幕间与结算'!E765+'幕间与结算'!F765),OR(B858&lt;&gt;"成长",AND(LEFT(C858,3)="技能：",C858&lt;&gt;"技能：非自然知识",'幕间与结算'!E765&gt;=1,'幕间与结算'!E765&lt;=99,'幕间与结算'!F765&gt;=0,'幕间与结算'!F765&lt;=4,'幕间与结算'!G765&lt;=99))),1,0)</x:f>
        <x:v>0</x:v>
      </x:c>
      <x:c r="H858">
        <x:f>IF(AND(G858=1,COUNTIFS($I$200:I858,I858,$G$200:G858,1)=1),1,0)</x:f>
        <x:v>0</x:v>
      </x:c>
      <x:c r="I858" t="str">
        <x:f>IF(G858=1,IF(B858="成长",A858&amp;"-成长-"&amp;C858,'幕间与结算'!I765),"")</x:f>
        <x:v/>
      </x:c>
      <x:c r="BF858">
        <x:f>MAX(0,MIN(18,BF857+IF(C858="力量",E858,0)))</x:f>
        <x:v>0</x:v>
      </x:c>
      <x:c r="BG858">
        <x:f>MAX(0,MIN(18,BG857+IF(C858="体质",E858,0)))</x:f>
        <x:v>0</x:v>
      </x:c>
      <x:c r="BH858">
        <x:f>MAX(0,MIN(18,BH857+IF(C858="敏捷",E858,0)))</x:f>
        <x:v>0</x:v>
      </x:c>
      <x:c r="BI858">
        <x:f>MAX(0,MIN(18,BI857+IF(C858="智力",E858,0)))</x:f>
        <x:v>0</x:v>
      </x:c>
      <x:c r="BJ858">
        <x:f>MAX(0,MIN(18,BJ857+IF(C858="意志",E858,0)))</x:f>
        <x:v>0</x:v>
      </x:c>
      <x:c r="BK858">
        <x:f>MAX(0,MIN(18,BK857+IF(C858="魅力",E858,0)))</x:f>
        <x:v>0</x:v>
      </x:c>
      <x:c r="BL858">
        <x:f>MAX(0,MIN(99,BL857+IF(C858="技能：非自然知识",E858,0)))</x:f>
        <x:v>0</x:v>
      </x:c>
      <x:c r="BM858">
        <x:f>MAX(0,MIN(CEILING((BF858+BG858)/2,1),BM857+IF(C858="体力",E858,0)))</x:f>
        <x:v>0</x:v>
      </x:c>
      <x:c r="BN858">
        <x:f>MAX(0,MIN(BJ858,BN857+IF(C858="毅力",E858,0)))</x:f>
        <x:v>0</x:v>
      </x:c>
      <x:c r="BO858">
        <x:f>MAX(0,MIN(99-BL858,BO857+IF(C858="理智",E858,0)))</x:f>
        <x:v>0</x:v>
      </x:c>
      <x:c r="BP858">
        <x:f>MAX(0,MIN(99,BP857+IF(C858="崩溃点",E858,0)))</x:f>
        <x:v>0</x:v>
      </x:c>
      <x:c r="BQ858">
        <x:f>MAX(0,MIN(BK858,IF(AND(H858=1,C858="重要关系1",LEFT('幕间与结算'!H765,8)="建立新的重要关系"),'幕间与结算'!E765+E858,BQ857+IF(C858="重要关系1",E858,0)+IF(AND(C858="魅力",E858&lt;0),E858,0))))</x:f>
        <x:v>0</x:v>
      </x:c>
      <x:c r="BR858">
        <x:f>MAX(0,MIN(BK858,IF(AND(H858=1,C858="重要关系2",LEFT('幕间与结算'!H765,8)="建立新的重要关系"),'幕间与结算'!E765+E858,BR857+IF(C858="重要关系2",E858,0)+IF(AND(C858="魅力",E858&lt;0),E858,0))))</x:f>
        <x:v>0</x:v>
      </x:c>
      <x:c r="BS858">
        <x:f>MAX(0,MIN(BK858,IF(AND(H858=1,C858="重要关系3",LEFT('幕间与结算'!H765,8)="建立新的重要关系"),'幕间与结算'!E765+E858,BS857+IF(C858="重要关系3",E858,0)+IF(AND(C858="魅力",E858&lt;0),E858,0))))</x:f>
        <x:v>0</x:v>
      </x:c>
      <x:c r="BT858">
        <x:f>MAX(0,MIN(BK858,IF(AND(H858=1,C858="重要关系4",LEFT('幕间与结算'!H765,8)="建立新的重要关系"),'幕间与结算'!E765+E858,BT857+IF(C858="重要关系4",E858,0)+IF(AND(C858="魅力",E858&lt;0),E858,0))))</x:f>
        <x:v>0</x:v>
      </x:c>
      <x:c r="BU858">
        <x:f>MAX(0,MIN(BK858,IF(AND(H858=1,C858="重要关系5",LEFT('幕间与结算'!H765,8)="建立新的重要关系"),'幕间与结算'!E765+E858,BU857+IF(C858="重要关系5",E858,0)+IF(AND(C858="魅力",E858&lt;0),E858,0))))</x:f>
        <x:v>0</x:v>
      </x:c>
      <x:c r="BV858">
        <x:f>MAX(0,MIN(BK858,IF(AND(H858=1,C858="重要关系6",LEFT('幕间与结算'!H765,8)="建立新的重要关系"),'幕间与结算'!E765+E858,BV857+IF(C858="重要关系6",E858,0)+IF(AND(C858="魅力",E858&lt;0),E858,0))))</x:f>
        <x:v>0</x:v>
      </x:c>
      <x:c r="BW858">
        <x:f>MAX(0,MIN(BK858,IF(AND(H858=1,C858="重要关系7",LEFT('幕间与结算'!H765,8)="建立新的重要关系"),'幕间与结算'!E765+E858,BW857+IF(C858="重要关系7",E858,0)+IF(AND(C858="魅力",E858&lt;0),E858,0))))</x:f>
        <x:v>0</x:v>
      </x:c>
    </x:row>
    <x:row r="859">
      <x:c r="A859" t="str">
        <x:f>IFERROR(TEXT(VALUE('幕间与结算'!A766),"00"),"")</x:f>
        <x:v>00</x:v>
      </x:c>
      <x:c r="B859">
        <x:f>'幕间与结算'!B766</x:f>
        <x:v>0</x:v>
      </x:c>
      <x:c r="C859">
        <x:f>'幕间与结算'!D766</x:f>
        <x:v>0</x:v>
      </x:c>
      <x:c r="D859">
        <x:f>'幕间与结算'!F766</x:f>
        <x:v>0</x:v>
      </x:c>
      <x:c r="E859">
        <x:f>IF(H859=1,MAX(-'幕间与结算'!E766,MIN(D859,IF(LEFT(C859,3)="技能：",99,IF(COUNTIF($L$2:$L$7,C859)&gt;0,18,999))-'幕间与结算'!E766)),0)</x:f>
        <x:v>0</x:v>
      </x:c>
      <x:c r="F859" t="str">
        <x:f>IF(C859=0,"",IF(G859=0,"记录不完整",IF(H859=0,"重复未计","已计入")))</x:f>
        <x:v/>
      </x:c>
      <x:c r="G859">
        <x:f>IF(AND(AND('幕间与结算'!A766&lt;&gt;"",'幕间与结算'!B766&lt;&gt;"",'幕间与结算'!I766&lt;&gt;"",OR(LEFT(C859,3)="技能：",COUNTIF($L$2:$L$19,C859)&gt;0),ISNUMBER('幕间与结算'!E766),ISNUMBER('幕间与结算'!F766),ISNUMBER('幕间与结算'!G766),'幕间与结算'!E766&gt;=0,'幕间与结算'!G766='幕间与结算'!E766+'幕间与结算'!F766),OR(B859&lt;&gt;"成长",AND(LEFT(C859,3)="技能：",C859&lt;&gt;"技能：非自然知识",'幕间与结算'!E766&gt;=1,'幕间与结算'!E766&lt;=99,'幕间与结算'!F766&gt;=0,'幕间与结算'!F766&lt;=4,'幕间与结算'!G766&lt;=99))),1,0)</x:f>
        <x:v>0</x:v>
      </x:c>
      <x:c r="H859">
        <x:f>IF(AND(G859=1,COUNTIFS($I$200:I859,I859,$G$200:G859,1)=1),1,0)</x:f>
        <x:v>0</x:v>
      </x:c>
      <x:c r="I859" t="str">
        <x:f>IF(G859=1,IF(B859="成长",A859&amp;"-成长-"&amp;C859,'幕间与结算'!I766),"")</x:f>
        <x:v/>
      </x:c>
      <x:c r="BF859">
        <x:f>MAX(0,MIN(18,BF858+IF(C859="力量",E859,0)))</x:f>
        <x:v>0</x:v>
      </x:c>
      <x:c r="BG859">
        <x:f>MAX(0,MIN(18,BG858+IF(C859="体质",E859,0)))</x:f>
        <x:v>0</x:v>
      </x:c>
      <x:c r="BH859">
        <x:f>MAX(0,MIN(18,BH858+IF(C859="敏捷",E859,0)))</x:f>
        <x:v>0</x:v>
      </x:c>
      <x:c r="BI859">
        <x:f>MAX(0,MIN(18,BI858+IF(C859="智力",E859,0)))</x:f>
        <x:v>0</x:v>
      </x:c>
      <x:c r="BJ859">
        <x:f>MAX(0,MIN(18,BJ858+IF(C859="意志",E859,0)))</x:f>
        <x:v>0</x:v>
      </x:c>
      <x:c r="BK859">
        <x:f>MAX(0,MIN(18,BK858+IF(C859="魅力",E859,0)))</x:f>
        <x:v>0</x:v>
      </x:c>
      <x:c r="BL859">
        <x:f>MAX(0,MIN(99,BL858+IF(C859="技能：非自然知识",E859,0)))</x:f>
        <x:v>0</x:v>
      </x:c>
      <x:c r="BM859">
        <x:f>MAX(0,MIN(CEILING((BF859+BG859)/2,1),BM858+IF(C859="体力",E859,0)))</x:f>
        <x:v>0</x:v>
      </x:c>
      <x:c r="BN859">
        <x:f>MAX(0,MIN(BJ859,BN858+IF(C859="毅力",E859,0)))</x:f>
        <x:v>0</x:v>
      </x:c>
      <x:c r="BO859">
        <x:f>MAX(0,MIN(99-BL859,BO858+IF(C859="理智",E859,0)))</x:f>
        <x:v>0</x:v>
      </x:c>
      <x:c r="BP859">
        <x:f>MAX(0,MIN(99,BP858+IF(C859="崩溃点",E859,0)))</x:f>
        <x:v>0</x:v>
      </x:c>
      <x:c r="BQ859">
        <x:f>MAX(0,MIN(BK859,IF(AND(H859=1,C859="重要关系1",LEFT('幕间与结算'!H766,8)="建立新的重要关系"),'幕间与结算'!E766+E859,BQ858+IF(C859="重要关系1",E859,0)+IF(AND(C859="魅力",E859&lt;0),E859,0))))</x:f>
        <x:v>0</x:v>
      </x:c>
      <x:c r="BR859">
        <x:f>MAX(0,MIN(BK859,IF(AND(H859=1,C859="重要关系2",LEFT('幕间与结算'!H766,8)="建立新的重要关系"),'幕间与结算'!E766+E859,BR858+IF(C859="重要关系2",E859,0)+IF(AND(C859="魅力",E859&lt;0),E859,0))))</x:f>
        <x:v>0</x:v>
      </x:c>
      <x:c r="BS859">
        <x:f>MAX(0,MIN(BK859,IF(AND(H859=1,C859="重要关系3",LEFT('幕间与结算'!H766,8)="建立新的重要关系"),'幕间与结算'!E766+E859,BS858+IF(C859="重要关系3",E859,0)+IF(AND(C859="魅力",E859&lt;0),E859,0))))</x:f>
        <x:v>0</x:v>
      </x:c>
      <x:c r="BT859">
        <x:f>MAX(0,MIN(BK859,IF(AND(H859=1,C859="重要关系4",LEFT('幕间与结算'!H766,8)="建立新的重要关系"),'幕间与结算'!E766+E859,BT858+IF(C859="重要关系4",E859,0)+IF(AND(C859="魅力",E859&lt;0),E859,0))))</x:f>
        <x:v>0</x:v>
      </x:c>
      <x:c r="BU859">
        <x:f>MAX(0,MIN(BK859,IF(AND(H859=1,C859="重要关系5",LEFT('幕间与结算'!H766,8)="建立新的重要关系"),'幕间与结算'!E766+E859,BU858+IF(C859="重要关系5",E859,0)+IF(AND(C859="魅力",E859&lt;0),E859,0))))</x:f>
        <x:v>0</x:v>
      </x:c>
      <x:c r="BV859">
        <x:f>MAX(0,MIN(BK859,IF(AND(H859=1,C859="重要关系6",LEFT('幕间与结算'!H766,8)="建立新的重要关系"),'幕间与结算'!E766+E859,BV858+IF(C859="重要关系6",E859,0)+IF(AND(C859="魅力",E859&lt;0),E859,0))))</x:f>
        <x:v>0</x:v>
      </x:c>
      <x:c r="BW859">
        <x:f>MAX(0,MIN(BK859,IF(AND(H859=1,C859="重要关系7",LEFT('幕间与结算'!H766,8)="建立新的重要关系"),'幕间与结算'!E766+E859,BW858+IF(C859="重要关系7",E859,0)+IF(AND(C859="魅力",E859&lt;0),E859,0))))</x:f>
        <x:v>0</x:v>
      </x:c>
    </x:row>
    <x:row r="860">
      <x:c r="A860" t="str">
        <x:f>IFERROR(TEXT(VALUE('幕间与结算'!A767),"00"),"")</x:f>
        <x:v>00</x:v>
      </x:c>
      <x:c r="B860">
        <x:f>'幕间与结算'!B767</x:f>
        <x:v>0</x:v>
      </x:c>
      <x:c r="C860">
        <x:f>'幕间与结算'!D767</x:f>
        <x:v>0</x:v>
      </x:c>
      <x:c r="D860">
        <x:f>'幕间与结算'!F767</x:f>
        <x:v>0</x:v>
      </x:c>
      <x:c r="E860">
        <x:f>IF(H860=1,MAX(-'幕间与结算'!E767,MIN(D860,IF(LEFT(C860,3)="技能：",99,IF(COUNTIF($L$2:$L$7,C860)&gt;0,18,999))-'幕间与结算'!E767)),0)</x:f>
        <x:v>0</x:v>
      </x:c>
      <x:c r="F860" t="str">
        <x:f>IF(C860=0,"",IF(G860=0,"记录不完整",IF(H860=0,"重复未计","已计入")))</x:f>
        <x:v/>
      </x:c>
      <x:c r="G860">
        <x:f>IF(AND(AND('幕间与结算'!A767&lt;&gt;"",'幕间与结算'!B767&lt;&gt;"",'幕间与结算'!I767&lt;&gt;"",OR(LEFT(C860,3)="技能：",COUNTIF($L$2:$L$19,C860)&gt;0),ISNUMBER('幕间与结算'!E767),ISNUMBER('幕间与结算'!F767),ISNUMBER('幕间与结算'!G767),'幕间与结算'!E767&gt;=0,'幕间与结算'!G767='幕间与结算'!E767+'幕间与结算'!F767),OR(B860&lt;&gt;"成长",AND(LEFT(C860,3)="技能：",C860&lt;&gt;"技能：非自然知识",'幕间与结算'!E767&gt;=1,'幕间与结算'!E767&lt;=99,'幕间与结算'!F767&gt;=0,'幕间与结算'!F767&lt;=4,'幕间与结算'!G767&lt;=99))),1,0)</x:f>
        <x:v>0</x:v>
      </x:c>
      <x:c r="H860">
        <x:f>IF(AND(G860=1,COUNTIFS($I$200:I860,I860,$G$200:G860,1)=1),1,0)</x:f>
        <x:v>0</x:v>
      </x:c>
      <x:c r="I860" t="str">
        <x:f>IF(G860=1,IF(B860="成长",A860&amp;"-成长-"&amp;C860,'幕间与结算'!I767),"")</x:f>
        <x:v/>
      </x:c>
      <x:c r="BF860">
        <x:f>MAX(0,MIN(18,BF859+IF(C860="力量",E860,0)))</x:f>
        <x:v>0</x:v>
      </x:c>
      <x:c r="BG860">
        <x:f>MAX(0,MIN(18,BG859+IF(C860="体质",E860,0)))</x:f>
        <x:v>0</x:v>
      </x:c>
      <x:c r="BH860">
        <x:f>MAX(0,MIN(18,BH859+IF(C860="敏捷",E860,0)))</x:f>
        <x:v>0</x:v>
      </x:c>
      <x:c r="BI860">
        <x:f>MAX(0,MIN(18,BI859+IF(C860="智力",E860,0)))</x:f>
        <x:v>0</x:v>
      </x:c>
      <x:c r="BJ860">
        <x:f>MAX(0,MIN(18,BJ859+IF(C860="意志",E860,0)))</x:f>
        <x:v>0</x:v>
      </x:c>
      <x:c r="BK860">
        <x:f>MAX(0,MIN(18,BK859+IF(C860="魅力",E860,0)))</x:f>
        <x:v>0</x:v>
      </x:c>
      <x:c r="BL860">
        <x:f>MAX(0,MIN(99,BL859+IF(C860="技能：非自然知识",E860,0)))</x:f>
        <x:v>0</x:v>
      </x:c>
      <x:c r="BM860">
        <x:f>MAX(0,MIN(CEILING((BF860+BG860)/2,1),BM859+IF(C860="体力",E860,0)))</x:f>
        <x:v>0</x:v>
      </x:c>
      <x:c r="BN860">
        <x:f>MAX(0,MIN(BJ860,BN859+IF(C860="毅力",E860,0)))</x:f>
        <x:v>0</x:v>
      </x:c>
      <x:c r="BO860">
        <x:f>MAX(0,MIN(99-BL860,BO859+IF(C860="理智",E860,0)))</x:f>
        <x:v>0</x:v>
      </x:c>
      <x:c r="BP860">
        <x:f>MAX(0,MIN(99,BP859+IF(C860="崩溃点",E860,0)))</x:f>
        <x:v>0</x:v>
      </x:c>
      <x:c r="BQ860">
        <x:f>MAX(0,MIN(BK860,IF(AND(H860=1,C860="重要关系1",LEFT('幕间与结算'!H767,8)="建立新的重要关系"),'幕间与结算'!E767+E860,BQ859+IF(C860="重要关系1",E860,0)+IF(AND(C860="魅力",E860&lt;0),E860,0))))</x:f>
        <x:v>0</x:v>
      </x:c>
      <x:c r="BR860">
        <x:f>MAX(0,MIN(BK860,IF(AND(H860=1,C860="重要关系2",LEFT('幕间与结算'!H767,8)="建立新的重要关系"),'幕间与结算'!E767+E860,BR859+IF(C860="重要关系2",E860,0)+IF(AND(C860="魅力",E860&lt;0),E860,0))))</x:f>
        <x:v>0</x:v>
      </x:c>
      <x:c r="BS860">
        <x:f>MAX(0,MIN(BK860,IF(AND(H860=1,C860="重要关系3",LEFT('幕间与结算'!H767,8)="建立新的重要关系"),'幕间与结算'!E767+E860,BS859+IF(C860="重要关系3",E860,0)+IF(AND(C860="魅力",E860&lt;0),E860,0))))</x:f>
        <x:v>0</x:v>
      </x:c>
      <x:c r="BT860">
        <x:f>MAX(0,MIN(BK860,IF(AND(H860=1,C860="重要关系4",LEFT('幕间与结算'!H767,8)="建立新的重要关系"),'幕间与结算'!E767+E860,BT859+IF(C860="重要关系4",E860,0)+IF(AND(C860="魅力",E860&lt;0),E860,0))))</x:f>
        <x:v>0</x:v>
      </x:c>
      <x:c r="BU860">
        <x:f>MAX(0,MIN(BK860,IF(AND(H860=1,C860="重要关系5",LEFT('幕间与结算'!H767,8)="建立新的重要关系"),'幕间与结算'!E767+E860,BU859+IF(C860="重要关系5",E860,0)+IF(AND(C860="魅力",E860&lt;0),E860,0))))</x:f>
        <x:v>0</x:v>
      </x:c>
      <x:c r="BV860">
        <x:f>MAX(0,MIN(BK860,IF(AND(H860=1,C860="重要关系6",LEFT('幕间与结算'!H767,8)="建立新的重要关系"),'幕间与结算'!E767+E860,BV859+IF(C860="重要关系6",E860,0)+IF(AND(C860="魅力",E860&lt;0),E860,0))))</x:f>
        <x:v>0</x:v>
      </x:c>
      <x:c r="BW860">
        <x:f>MAX(0,MIN(BK860,IF(AND(H860=1,C860="重要关系7",LEFT('幕间与结算'!H767,8)="建立新的重要关系"),'幕间与结算'!E767+E860,BW859+IF(C860="重要关系7",E860,0)+IF(AND(C860="魅力",E860&lt;0),E860,0))))</x:f>
        <x:v>0</x:v>
      </x:c>
    </x:row>
    <x:row r="861">
      <x:c r="A861" t="str">
        <x:f>IFERROR(TEXT(VALUE('幕间与结算'!A768),"00"),"")</x:f>
        <x:v>00</x:v>
      </x:c>
      <x:c r="B861">
        <x:f>'幕间与结算'!B768</x:f>
        <x:v>0</x:v>
      </x:c>
      <x:c r="C861">
        <x:f>'幕间与结算'!D768</x:f>
        <x:v>0</x:v>
      </x:c>
      <x:c r="D861">
        <x:f>'幕间与结算'!F768</x:f>
        <x:v>0</x:v>
      </x:c>
      <x:c r="E861">
        <x:f>IF(H861=1,MAX(-'幕间与结算'!E768,MIN(D861,IF(LEFT(C861,3)="技能：",99,IF(COUNTIF($L$2:$L$7,C861)&gt;0,18,999))-'幕间与结算'!E768)),0)</x:f>
        <x:v>0</x:v>
      </x:c>
      <x:c r="F861" t="str">
        <x:f>IF(C861=0,"",IF(G861=0,"记录不完整",IF(H861=0,"重复未计","已计入")))</x:f>
        <x:v/>
      </x:c>
      <x:c r="G861">
        <x:f>IF(AND(AND('幕间与结算'!A768&lt;&gt;"",'幕间与结算'!B768&lt;&gt;"",'幕间与结算'!I768&lt;&gt;"",OR(LEFT(C861,3)="技能：",COUNTIF($L$2:$L$19,C861)&gt;0),ISNUMBER('幕间与结算'!E768),ISNUMBER('幕间与结算'!F768),ISNUMBER('幕间与结算'!G768),'幕间与结算'!E768&gt;=0,'幕间与结算'!G768='幕间与结算'!E768+'幕间与结算'!F768),OR(B861&lt;&gt;"成长",AND(LEFT(C861,3)="技能：",C861&lt;&gt;"技能：非自然知识",'幕间与结算'!E768&gt;=1,'幕间与结算'!E768&lt;=99,'幕间与结算'!F768&gt;=0,'幕间与结算'!F768&lt;=4,'幕间与结算'!G768&lt;=99))),1,0)</x:f>
        <x:v>0</x:v>
      </x:c>
      <x:c r="H861">
        <x:f>IF(AND(G861=1,COUNTIFS($I$200:I861,I861,$G$200:G861,1)=1),1,0)</x:f>
        <x:v>0</x:v>
      </x:c>
      <x:c r="I861" t="str">
        <x:f>IF(G861=1,IF(B861="成长",A861&amp;"-成长-"&amp;C861,'幕间与结算'!I768),"")</x:f>
        <x:v/>
      </x:c>
      <x:c r="BF861">
        <x:f>MAX(0,MIN(18,BF860+IF(C861="力量",E861,0)))</x:f>
        <x:v>0</x:v>
      </x:c>
      <x:c r="BG861">
        <x:f>MAX(0,MIN(18,BG860+IF(C861="体质",E861,0)))</x:f>
        <x:v>0</x:v>
      </x:c>
      <x:c r="BH861">
        <x:f>MAX(0,MIN(18,BH860+IF(C861="敏捷",E861,0)))</x:f>
        <x:v>0</x:v>
      </x:c>
      <x:c r="BI861">
        <x:f>MAX(0,MIN(18,BI860+IF(C861="智力",E861,0)))</x:f>
        <x:v>0</x:v>
      </x:c>
      <x:c r="BJ861">
        <x:f>MAX(0,MIN(18,BJ860+IF(C861="意志",E861,0)))</x:f>
        <x:v>0</x:v>
      </x:c>
      <x:c r="BK861">
        <x:f>MAX(0,MIN(18,BK860+IF(C861="魅力",E861,0)))</x:f>
        <x:v>0</x:v>
      </x:c>
      <x:c r="BL861">
        <x:f>MAX(0,MIN(99,BL860+IF(C861="技能：非自然知识",E861,0)))</x:f>
        <x:v>0</x:v>
      </x:c>
      <x:c r="BM861">
        <x:f>MAX(0,MIN(CEILING((BF861+BG861)/2,1),BM860+IF(C861="体力",E861,0)))</x:f>
        <x:v>0</x:v>
      </x:c>
      <x:c r="BN861">
        <x:f>MAX(0,MIN(BJ861,BN860+IF(C861="毅力",E861,0)))</x:f>
        <x:v>0</x:v>
      </x:c>
      <x:c r="BO861">
        <x:f>MAX(0,MIN(99-BL861,BO860+IF(C861="理智",E861,0)))</x:f>
        <x:v>0</x:v>
      </x:c>
      <x:c r="BP861">
        <x:f>MAX(0,MIN(99,BP860+IF(C861="崩溃点",E861,0)))</x:f>
        <x:v>0</x:v>
      </x:c>
      <x:c r="BQ861">
        <x:f>MAX(0,MIN(BK861,IF(AND(H861=1,C861="重要关系1",LEFT('幕间与结算'!H768,8)="建立新的重要关系"),'幕间与结算'!E768+E861,BQ860+IF(C861="重要关系1",E861,0)+IF(AND(C861="魅力",E861&lt;0),E861,0))))</x:f>
        <x:v>0</x:v>
      </x:c>
      <x:c r="BR861">
        <x:f>MAX(0,MIN(BK861,IF(AND(H861=1,C861="重要关系2",LEFT('幕间与结算'!H768,8)="建立新的重要关系"),'幕间与结算'!E768+E861,BR860+IF(C861="重要关系2",E861,0)+IF(AND(C861="魅力",E861&lt;0),E861,0))))</x:f>
        <x:v>0</x:v>
      </x:c>
      <x:c r="BS861">
        <x:f>MAX(0,MIN(BK861,IF(AND(H861=1,C861="重要关系3",LEFT('幕间与结算'!H768,8)="建立新的重要关系"),'幕间与结算'!E768+E861,BS860+IF(C861="重要关系3",E861,0)+IF(AND(C861="魅力",E861&lt;0),E861,0))))</x:f>
        <x:v>0</x:v>
      </x:c>
      <x:c r="BT861">
        <x:f>MAX(0,MIN(BK861,IF(AND(H861=1,C861="重要关系4",LEFT('幕间与结算'!H768,8)="建立新的重要关系"),'幕间与结算'!E768+E861,BT860+IF(C861="重要关系4",E861,0)+IF(AND(C861="魅力",E861&lt;0),E861,0))))</x:f>
        <x:v>0</x:v>
      </x:c>
      <x:c r="BU861">
        <x:f>MAX(0,MIN(BK861,IF(AND(H861=1,C861="重要关系5",LEFT('幕间与结算'!H768,8)="建立新的重要关系"),'幕间与结算'!E768+E861,BU860+IF(C861="重要关系5",E861,0)+IF(AND(C861="魅力",E861&lt;0),E861,0))))</x:f>
        <x:v>0</x:v>
      </x:c>
      <x:c r="BV861">
        <x:f>MAX(0,MIN(BK861,IF(AND(H861=1,C861="重要关系6",LEFT('幕间与结算'!H768,8)="建立新的重要关系"),'幕间与结算'!E768+E861,BV860+IF(C861="重要关系6",E861,0)+IF(AND(C861="魅力",E861&lt;0),E861,0))))</x:f>
        <x:v>0</x:v>
      </x:c>
      <x:c r="BW861">
        <x:f>MAX(0,MIN(BK861,IF(AND(H861=1,C861="重要关系7",LEFT('幕间与结算'!H768,8)="建立新的重要关系"),'幕间与结算'!E768+E861,BW860+IF(C861="重要关系7",E861,0)+IF(AND(C861="魅力",E861&lt;0),E861,0))))</x:f>
        <x:v>0</x:v>
      </x:c>
    </x:row>
    <x:row r="862">
      <x:c r="A862" t="str">
        <x:f>IFERROR(TEXT(VALUE('幕间与结算'!A769),"00"),"")</x:f>
        <x:v>00</x:v>
      </x:c>
      <x:c r="B862">
        <x:f>'幕间与结算'!B769</x:f>
        <x:v>0</x:v>
      </x:c>
      <x:c r="C862">
        <x:f>'幕间与结算'!D769</x:f>
        <x:v>0</x:v>
      </x:c>
      <x:c r="D862">
        <x:f>'幕间与结算'!F769</x:f>
        <x:v>0</x:v>
      </x:c>
      <x:c r="E862">
        <x:f>IF(H862=1,MAX(-'幕间与结算'!E769,MIN(D862,IF(LEFT(C862,3)="技能：",99,IF(COUNTIF($L$2:$L$7,C862)&gt;0,18,999))-'幕间与结算'!E769)),0)</x:f>
        <x:v>0</x:v>
      </x:c>
      <x:c r="F862" t="str">
        <x:f>IF(C862=0,"",IF(G862=0,"记录不完整",IF(H862=0,"重复未计","已计入")))</x:f>
        <x:v/>
      </x:c>
      <x:c r="G862">
        <x:f>IF(AND(AND('幕间与结算'!A769&lt;&gt;"",'幕间与结算'!B769&lt;&gt;"",'幕间与结算'!I769&lt;&gt;"",OR(LEFT(C862,3)="技能：",COUNTIF($L$2:$L$19,C862)&gt;0),ISNUMBER('幕间与结算'!E769),ISNUMBER('幕间与结算'!F769),ISNUMBER('幕间与结算'!G769),'幕间与结算'!E769&gt;=0,'幕间与结算'!G769='幕间与结算'!E769+'幕间与结算'!F769),OR(B862&lt;&gt;"成长",AND(LEFT(C862,3)="技能：",C862&lt;&gt;"技能：非自然知识",'幕间与结算'!E769&gt;=1,'幕间与结算'!E769&lt;=99,'幕间与结算'!F769&gt;=0,'幕间与结算'!F769&lt;=4,'幕间与结算'!G769&lt;=99))),1,0)</x:f>
        <x:v>0</x:v>
      </x:c>
      <x:c r="H862">
        <x:f>IF(AND(G862=1,COUNTIFS($I$200:I862,I862,$G$200:G862,1)=1),1,0)</x:f>
        <x:v>0</x:v>
      </x:c>
      <x:c r="I862" t="str">
        <x:f>IF(G862=1,IF(B862="成长",A862&amp;"-成长-"&amp;C862,'幕间与结算'!I769),"")</x:f>
        <x:v/>
      </x:c>
      <x:c r="BF862">
        <x:f>MAX(0,MIN(18,BF861+IF(C862="力量",E862,0)))</x:f>
        <x:v>0</x:v>
      </x:c>
      <x:c r="BG862">
        <x:f>MAX(0,MIN(18,BG861+IF(C862="体质",E862,0)))</x:f>
        <x:v>0</x:v>
      </x:c>
      <x:c r="BH862">
        <x:f>MAX(0,MIN(18,BH861+IF(C862="敏捷",E862,0)))</x:f>
        <x:v>0</x:v>
      </x:c>
      <x:c r="BI862">
        <x:f>MAX(0,MIN(18,BI861+IF(C862="智力",E862,0)))</x:f>
        <x:v>0</x:v>
      </x:c>
      <x:c r="BJ862">
        <x:f>MAX(0,MIN(18,BJ861+IF(C862="意志",E862,0)))</x:f>
        <x:v>0</x:v>
      </x:c>
      <x:c r="BK862">
        <x:f>MAX(0,MIN(18,BK861+IF(C862="魅力",E862,0)))</x:f>
        <x:v>0</x:v>
      </x:c>
      <x:c r="BL862">
        <x:f>MAX(0,MIN(99,BL861+IF(C862="技能：非自然知识",E862,0)))</x:f>
        <x:v>0</x:v>
      </x:c>
      <x:c r="BM862">
        <x:f>MAX(0,MIN(CEILING((BF862+BG862)/2,1),BM861+IF(C862="体力",E862,0)))</x:f>
        <x:v>0</x:v>
      </x:c>
      <x:c r="BN862">
        <x:f>MAX(0,MIN(BJ862,BN861+IF(C862="毅力",E862,0)))</x:f>
        <x:v>0</x:v>
      </x:c>
      <x:c r="BO862">
        <x:f>MAX(0,MIN(99-BL862,BO861+IF(C862="理智",E862,0)))</x:f>
        <x:v>0</x:v>
      </x:c>
      <x:c r="BP862">
        <x:f>MAX(0,MIN(99,BP861+IF(C862="崩溃点",E862,0)))</x:f>
        <x:v>0</x:v>
      </x:c>
      <x:c r="BQ862">
        <x:f>MAX(0,MIN(BK862,IF(AND(H862=1,C862="重要关系1",LEFT('幕间与结算'!H769,8)="建立新的重要关系"),'幕间与结算'!E769+E862,BQ861+IF(C862="重要关系1",E862,0)+IF(AND(C862="魅力",E862&lt;0),E862,0))))</x:f>
        <x:v>0</x:v>
      </x:c>
      <x:c r="BR862">
        <x:f>MAX(0,MIN(BK862,IF(AND(H862=1,C862="重要关系2",LEFT('幕间与结算'!H769,8)="建立新的重要关系"),'幕间与结算'!E769+E862,BR861+IF(C862="重要关系2",E862,0)+IF(AND(C862="魅力",E862&lt;0),E862,0))))</x:f>
        <x:v>0</x:v>
      </x:c>
      <x:c r="BS862">
        <x:f>MAX(0,MIN(BK862,IF(AND(H862=1,C862="重要关系3",LEFT('幕间与结算'!H769,8)="建立新的重要关系"),'幕间与结算'!E769+E862,BS861+IF(C862="重要关系3",E862,0)+IF(AND(C862="魅力",E862&lt;0),E862,0))))</x:f>
        <x:v>0</x:v>
      </x:c>
      <x:c r="BT862">
        <x:f>MAX(0,MIN(BK862,IF(AND(H862=1,C862="重要关系4",LEFT('幕间与结算'!H769,8)="建立新的重要关系"),'幕间与结算'!E769+E862,BT861+IF(C862="重要关系4",E862,0)+IF(AND(C862="魅力",E862&lt;0),E862,0))))</x:f>
        <x:v>0</x:v>
      </x:c>
      <x:c r="BU862">
        <x:f>MAX(0,MIN(BK862,IF(AND(H862=1,C862="重要关系5",LEFT('幕间与结算'!H769,8)="建立新的重要关系"),'幕间与结算'!E769+E862,BU861+IF(C862="重要关系5",E862,0)+IF(AND(C862="魅力",E862&lt;0),E862,0))))</x:f>
        <x:v>0</x:v>
      </x:c>
      <x:c r="BV862">
        <x:f>MAX(0,MIN(BK862,IF(AND(H862=1,C862="重要关系6",LEFT('幕间与结算'!H769,8)="建立新的重要关系"),'幕间与结算'!E769+E862,BV861+IF(C862="重要关系6",E862,0)+IF(AND(C862="魅力",E862&lt;0),E862,0))))</x:f>
        <x:v>0</x:v>
      </x:c>
      <x:c r="BW862">
        <x:f>MAX(0,MIN(BK862,IF(AND(H862=1,C862="重要关系7",LEFT('幕间与结算'!H769,8)="建立新的重要关系"),'幕间与结算'!E769+E862,BW861+IF(C862="重要关系7",E862,0)+IF(AND(C862="魅力",E862&lt;0),E862,0))))</x:f>
        <x:v>0</x:v>
      </x:c>
    </x:row>
    <x:row r="863">
      <x:c r="A863" t="str">
        <x:f>IFERROR(TEXT(VALUE('幕间与结算'!A770),"00"),"")</x:f>
        <x:v>00</x:v>
      </x:c>
      <x:c r="B863">
        <x:f>'幕间与结算'!B770</x:f>
        <x:v>0</x:v>
      </x:c>
      <x:c r="C863">
        <x:f>'幕间与结算'!D770</x:f>
        <x:v>0</x:v>
      </x:c>
      <x:c r="D863">
        <x:f>'幕间与结算'!F770</x:f>
        <x:v>0</x:v>
      </x:c>
      <x:c r="E863">
        <x:f>IF(H863=1,MAX(-'幕间与结算'!E770,MIN(D863,IF(LEFT(C863,3)="技能：",99,IF(COUNTIF($L$2:$L$7,C863)&gt;0,18,999))-'幕间与结算'!E770)),0)</x:f>
        <x:v>0</x:v>
      </x:c>
      <x:c r="F863" t="str">
        <x:f>IF(C863=0,"",IF(G863=0,"记录不完整",IF(H863=0,"重复未计","已计入")))</x:f>
        <x:v/>
      </x:c>
      <x:c r="G863">
        <x:f>IF(AND(AND('幕间与结算'!A770&lt;&gt;"",'幕间与结算'!B770&lt;&gt;"",'幕间与结算'!I770&lt;&gt;"",OR(LEFT(C863,3)="技能：",COUNTIF($L$2:$L$19,C863)&gt;0),ISNUMBER('幕间与结算'!E770),ISNUMBER('幕间与结算'!F770),ISNUMBER('幕间与结算'!G770),'幕间与结算'!E770&gt;=0,'幕间与结算'!G770='幕间与结算'!E770+'幕间与结算'!F770),OR(B863&lt;&gt;"成长",AND(LEFT(C863,3)="技能：",C863&lt;&gt;"技能：非自然知识",'幕间与结算'!E770&gt;=1,'幕间与结算'!E770&lt;=99,'幕间与结算'!F770&gt;=0,'幕间与结算'!F770&lt;=4,'幕间与结算'!G770&lt;=99))),1,0)</x:f>
        <x:v>0</x:v>
      </x:c>
      <x:c r="H863">
        <x:f>IF(AND(G863=1,COUNTIFS($I$200:I863,I863,$G$200:G863,1)=1),1,0)</x:f>
        <x:v>0</x:v>
      </x:c>
      <x:c r="I863" t="str">
        <x:f>IF(G863=1,IF(B863="成长",A863&amp;"-成长-"&amp;C863,'幕间与结算'!I770),"")</x:f>
        <x:v/>
      </x:c>
      <x:c r="BF863">
        <x:f>MAX(0,MIN(18,BF862+IF(C863="力量",E863,0)))</x:f>
        <x:v>0</x:v>
      </x:c>
      <x:c r="BG863">
        <x:f>MAX(0,MIN(18,BG862+IF(C863="体质",E863,0)))</x:f>
        <x:v>0</x:v>
      </x:c>
      <x:c r="BH863">
        <x:f>MAX(0,MIN(18,BH862+IF(C863="敏捷",E863,0)))</x:f>
        <x:v>0</x:v>
      </x:c>
      <x:c r="BI863">
        <x:f>MAX(0,MIN(18,BI862+IF(C863="智力",E863,0)))</x:f>
        <x:v>0</x:v>
      </x:c>
      <x:c r="BJ863">
        <x:f>MAX(0,MIN(18,BJ862+IF(C863="意志",E863,0)))</x:f>
        <x:v>0</x:v>
      </x:c>
      <x:c r="BK863">
        <x:f>MAX(0,MIN(18,BK862+IF(C863="魅力",E863,0)))</x:f>
        <x:v>0</x:v>
      </x:c>
      <x:c r="BL863">
        <x:f>MAX(0,MIN(99,BL862+IF(C863="技能：非自然知识",E863,0)))</x:f>
        <x:v>0</x:v>
      </x:c>
      <x:c r="BM863">
        <x:f>MAX(0,MIN(CEILING((BF863+BG863)/2,1),BM862+IF(C863="体力",E863,0)))</x:f>
        <x:v>0</x:v>
      </x:c>
      <x:c r="BN863">
        <x:f>MAX(0,MIN(BJ863,BN862+IF(C863="毅力",E863,0)))</x:f>
        <x:v>0</x:v>
      </x:c>
      <x:c r="BO863">
        <x:f>MAX(0,MIN(99-BL863,BO862+IF(C863="理智",E863,0)))</x:f>
        <x:v>0</x:v>
      </x:c>
      <x:c r="BP863">
        <x:f>MAX(0,MIN(99,BP862+IF(C863="崩溃点",E863,0)))</x:f>
        <x:v>0</x:v>
      </x:c>
      <x:c r="BQ863">
        <x:f>MAX(0,MIN(BK863,IF(AND(H863=1,C863="重要关系1",LEFT('幕间与结算'!H770,8)="建立新的重要关系"),'幕间与结算'!E770+E863,BQ862+IF(C863="重要关系1",E863,0)+IF(AND(C863="魅力",E863&lt;0),E863,0))))</x:f>
        <x:v>0</x:v>
      </x:c>
      <x:c r="BR863">
        <x:f>MAX(0,MIN(BK863,IF(AND(H863=1,C863="重要关系2",LEFT('幕间与结算'!H770,8)="建立新的重要关系"),'幕间与结算'!E770+E863,BR862+IF(C863="重要关系2",E863,0)+IF(AND(C863="魅力",E863&lt;0),E863,0))))</x:f>
        <x:v>0</x:v>
      </x:c>
      <x:c r="BS863">
        <x:f>MAX(0,MIN(BK863,IF(AND(H863=1,C863="重要关系3",LEFT('幕间与结算'!H770,8)="建立新的重要关系"),'幕间与结算'!E770+E863,BS862+IF(C863="重要关系3",E863,0)+IF(AND(C863="魅力",E863&lt;0),E863,0))))</x:f>
        <x:v>0</x:v>
      </x:c>
      <x:c r="BT863">
        <x:f>MAX(0,MIN(BK863,IF(AND(H863=1,C863="重要关系4",LEFT('幕间与结算'!H770,8)="建立新的重要关系"),'幕间与结算'!E770+E863,BT862+IF(C863="重要关系4",E863,0)+IF(AND(C863="魅力",E863&lt;0),E863,0))))</x:f>
        <x:v>0</x:v>
      </x:c>
      <x:c r="BU863">
        <x:f>MAX(0,MIN(BK863,IF(AND(H863=1,C863="重要关系5",LEFT('幕间与结算'!H770,8)="建立新的重要关系"),'幕间与结算'!E770+E863,BU862+IF(C863="重要关系5",E863,0)+IF(AND(C863="魅力",E863&lt;0),E863,0))))</x:f>
        <x:v>0</x:v>
      </x:c>
      <x:c r="BV863">
        <x:f>MAX(0,MIN(BK863,IF(AND(H863=1,C863="重要关系6",LEFT('幕间与结算'!H770,8)="建立新的重要关系"),'幕间与结算'!E770+E863,BV862+IF(C863="重要关系6",E863,0)+IF(AND(C863="魅力",E863&lt;0),E863,0))))</x:f>
        <x:v>0</x:v>
      </x:c>
      <x:c r="BW863">
        <x:f>MAX(0,MIN(BK863,IF(AND(H863=1,C863="重要关系7",LEFT('幕间与结算'!H770,8)="建立新的重要关系"),'幕间与结算'!E770+E863,BW862+IF(C863="重要关系7",E863,0)+IF(AND(C863="魅力",E863&lt;0),E863,0))))</x:f>
        <x:v>0</x:v>
      </x:c>
    </x:row>
    <x:row r="864">
      <x:c r="A864" t="str">
        <x:f>IFERROR(TEXT(VALUE('幕间与结算'!A771),"00"),"")</x:f>
        <x:v>00</x:v>
      </x:c>
      <x:c r="B864">
        <x:f>'幕间与结算'!B771</x:f>
        <x:v>0</x:v>
      </x:c>
      <x:c r="C864">
        <x:f>'幕间与结算'!D771</x:f>
        <x:v>0</x:v>
      </x:c>
      <x:c r="D864">
        <x:f>'幕间与结算'!F771</x:f>
        <x:v>0</x:v>
      </x:c>
      <x:c r="E864">
        <x:f>IF(H864=1,MAX(-'幕间与结算'!E771,MIN(D864,IF(LEFT(C864,3)="技能：",99,IF(COUNTIF($L$2:$L$7,C864)&gt;0,18,999))-'幕间与结算'!E771)),0)</x:f>
        <x:v>0</x:v>
      </x:c>
      <x:c r="F864" t="str">
        <x:f>IF(C864=0,"",IF(G864=0,"记录不完整",IF(H864=0,"重复未计","已计入")))</x:f>
        <x:v/>
      </x:c>
      <x:c r="G864">
        <x:f>IF(AND(AND('幕间与结算'!A771&lt;&gt;"",'幕间与结算'!B771&lt;&gt;"",'幕间与结算'!I771&lt;&gt;"",OR(LEFT(C864,3)="技能：",COUNTIF($L$2:$L$19,C864)&gt;0),ISNUMBER('幕间与结算'!E771),ISNUMBER('幕间与结算'!F771),ISNUMBER('幕间与结算'!G771),'幕间与结算'!E771&gt;=0,'幕间与结算'!G771='幕间与结算'!E771+'幕间与结算'!F771),OR(B864&lt;&gt;"成长",AND(LEFT(C864,3)="技能：",C864&lt;&gt;"技能：非自然知识",'幕间与结算'!E771&gt;=1,'幕间与结算'!E771&lt;=99,'幕间与结算'!F771&gt;=0,'幕间与结算'!F771&lt;=4,'幕间与结算'!G771&lt;=99))),1,0)</x:f>
        <x:v>0</x:v>
      </x:c>
      <x:c r="H864">
        <x:f>IF(AND(G864=1,COUNTIFS($I$200:I864,I864,$G$200:G864,1)=1),1,0)</x:f>
        <x:v>0</x:v>
      </x:c>
      <x:c r="I864" t="str">
        <x:f>IF(G864=1,IF(B864="成长",A864&amp;"-成长-"&amp;C864,'幕间与结算'!I771),"")</x:f>
        <x:v/>
      </x:c>
      <x:c r="BF864">
        <x:f>MAX(0,MIN(18,BF863+IF(C864="力量",E864,0)))</x:f>
        <x:v>0</x:v>
      </x:c>
      <x:c r="BG864">
        <x:f>MAX(0,MIN(18,BG863+IF(C864="体质",E864,0)))</x:f>
        <x:v>0</x:v>
      </x:c>
      <x:c r="BH864">
        <x:f>MAX(0,MIN(18,BH863+IF(C864="敏捷",E864,0)))</x:f>
        <x:v>0</x:v>
      </x:c>
      <x:c r="BI864">
        <x:f>MAX(0,MIN(18,BI863+IF(C864="智力",E864,0)))</x:f>
        <x:v>0</x:v>
      </x:c>
      <x:c r="BJ864">
        <x:f>MAX(0,MIN(18,BJ863+IF(C864="意志",E864,0)))</x:f>
        <x:v>0</x:v>
      </x:c>
      <x:c r="BK864">
        <x:f>MAX(0,MIN(18,BK863+IF(C864="魅力",E864,0)))</x:f>
        <x:v>0</x:v>
      </x:c>
      <x:c r="BL864">
        <x:f>MAX(0,MIN(99,BL863+IF(C864="技能：非自然知识",E864,0)))</x:f>
        <x:v>0</x:v>
      </x:c>
      <x:c r="BM864">
        <x:f>MAX(0,MIN(CEILING((BF864+BG864)/2,1),BM863+IF(C864="体力",E864,0)))</x:f>
        <x:v>0</x:v>
      </x:c>
      <x:c r="BN864">
        <x:f>MAX(0,MIN(BJ864,BN863+IF(C864="毅力",E864,0)))</x:f>
        <x:v>0</x:v>
      </x:c>
      <x:c r="BO864">
        <x:f>MAX(0,MIN(99-BL864,BO863+IF(C864="理智",E864,0)))</x:f>
        <x:v>0</x:v>
      </x:c>
      <x:c r="BP864">
        <x:f>MAX(0,MIN(99,BP863+IF(C864="崩溃点",E864,0)))</x:f>
        <x:v>0</x:v>
      </x:c>
      <x:c r="BQ864">
        <x:f>MAX(0,MIN(BK864,IF(AND(H864=1,C864="重要关系1",LEFT('幕间与结算'!H771,8)="建立新的重要关系"),'幕间与结算'!E771+E864,BQ863+IF(C864="重要关系1",E864,0)+IF(AND(C864="魅力",E864&lt;0),E864,0))))</x:f>
        <x:v>0</x:v>
      </x:c>
      <x:c r="BR864">
        <x:f>MAX(0,MIN(BK864,IF(AND(H864=1,C864="重要关系2",LEFT('幕间与结算'!H771,8)="建立新的重要关系"),'幕间与结算'!E771+E864,BR863+IF(C864="重要关系2",E864,0)+IF(AND(C864="魅力",E864&lt;0),E864,0))))</x:f>
        <x:v>0</x:v>
      </x:c>
      <x:c r="BS864">
        <x:f>MAX(0,MIN(BK864,IF(AND(H864=1,C864="重要关系3",LEFT('幕间与结算'!H771,8)="建立新的重要关系"),'幕间与结算'!E771+E864,BS863+IF(C864="重要关系3",E864,0)+IF(AND(C864="魅力",E864&lt;0),E864,0))))</x:f>
        <x:v>0</x:v>
      </x:c>
      <x:c r="BT864">
        <x:f>MAX(0,MIN(BK864,IF(AND(H864=1,C864="重要关系4",LEFT('幕间与结算'!H771,8)="建立新的重要关系"),'幕间与结算'!E771+E864,BT863+IF(C864="重要关系4",E864,0)+IF(AND(C864="魅力",E864&lt;0),E864,0))))</x:f>
        <x:v>0</x:v>
      </x:c>
      <x:c r="BU864">
        <x:f>MAX(0,MIN(BK864,IF(AND(H864=1,C864="重要关系5",LEFT('幕间与结算'!H771,8)="建立新的重要关系"),'幕间与结算'!E771+E864,BU863+IF(C864="重要关系5",E864,0)+IF(AND(C864="魅力",E864&lt;0),E864,0))))</x:f>
        <x:v>0</x:v>
      </x:c>
      <x:c r="BV864">
        <x:f>MAX(0,MIN(BK864,IF(AND(H864=1,C864="重要关系6",LEFT('幕间与结算'!H771,8)="建立新的重要关系"),'幕间与结算'!E771+E864,BV863+IF(C864="重要关系6",E864,0)+IF(AND(C864="魅力",E864&lt;0),E864,0))))</x:f>
        <x:v>0</x:v>
      </x:c>
      <x:c r="BW864">
        <x:f>MAX(0,MIN(BK864,IF(AND(H864=1,C864="重要关系7",LEFT('幕间与结算'!H771,8)="建立新的重要关系"),'幕间与结算'!E771+E864,BW863+IF(C864="重要关系7",E864,0)+IF(AND(C864="魅力",E864&lt;0),E864,0))))</x:f>
        <x:v>0</x:v>
      </x:c>
    </x:row>
    <x:row r="865">
      <x:c r="A865" t="str">
        <x:f>IFERROR(TEXT(VALUE('幕间与结算'!A772),"00"),"")</x:f>
        <x:v>00</x:v>
      </x:c>
      <x:c r="B865">
        <x:f>'幕间与结算'!B772</x:f>
        <x:v>0</x:v>
      </x:c>
      <x:c r="C865">
        <x:f>'幕间与结算'!D772</x:f>
        <x:v>0</x:v>
      </x:c>
      <x:c r="D865">
        <x:f>'幕间与结算'!F772</x:f>
        <x:v>0</x:v>
      </x:c>
      <x:c r="E865">
        <x:f>IF(H865=1,MAX(-'幕间与结算'!E772,MIN(D865,IF(LEFT(C865,3)="技能：",99,IF(COUNTIF($L$2:$L$7,C865)&gt;0,18,999))-'幕间与结算'!E772)),0)</x:f>
        <x:v>0</x:v>
      </x:c>
      <x:c r="F865" t="str">
        <x:f>IF(C865=0,"",IF(G865=0,"记录不完整",IF(H865=0,"重复未计","已计入")))</x:f>
        <x:v/>
      </x:c>
      <x:c r="G865">
        <x:f>IF(AND(AND('幕间与结算'!A772&lt;&gt;"",'幕间与结算'!B772&lt;&gt;"",'幕间与结算'!I772&lt;&gt;"",OR(LEFT(C865,3)="技能：",COUNTIF($L$2:$L$19,C865)&gt;0),ISNUMBER('幕间与结算'!E772),ISNUMBER('幕间与结算'!F772),ISNUMBER('幕间与结算'!G772),'幕间与结算'!E772&gt;=0,'幕间与结算'!G772='幕间与结算'!E772+'幕间与结算'!F772),OR(B865&lt;&gt;"成长",AND(LEFT(C865,3)="技能：",C865&lt;&gt;"技能：非自然知识",'幕间与结算'!E772&gt;=1,'幕间与结算'!E772&lt;=99,'幕间与结算'!F772&gt;=0,'幕间与结算'!F772&lt;=4,'幕间与结算'!G772&lt;=99))),1,0)</x:f>
        <x:v>0</x:v>
      </x:c>
      <x:c r="H865">
        <x:f>IF(AND(G865=1,COUNTIFS($I$200:I865,I865,$G$200:G865,1)=1),1,0)</x:f>
        <x:v>0</x:v>
      </x:c>
      <x:c r="I865" t="str">
        <x:f>IF(G865=1,IF(B865="成长",A865&amp;"-成长-"&amp;C865,'幕间与结算'!I772),"")</x:f>
        <x:v/>
      </x:c>
      <x:c r="BF865">
        <x:f>MAX(0,MIN(18,BF864+IF(C865="力量",E865,0)))</x:f>
        <x:v>0</x:v>
      </x:c>
      <x:c r="BG865">
        <x:f>MAX(0,MIN(18,BG864+IF(C865="体质",E865,0)))</x:f>
        <x:v>0</x:v>
      </x:c>
      <x:c r="BH865">
        <x:f>MAX(0,MIN(18,BH864+IF(C865="敏捷",E865,0)))</x:f>
        <x:v>0</x:v>
      </x:c>
      <x:c r="BI865">
        <x:f>MAX(0,MIN(18,BI864+IF(C865="智力",E865,0)))</x:f>
        <x:v>0</x:v>
      </x:c>
      <x:c r="BJ865">
        <x:f>MAX(0,MIN(18,BJ864+IF(C865="意志",E865,0)))</x:f>
        <x:v>0</x:v>
      </x:c>
      <x:c r="BK865">
        <x:f>MAX(0,MIN(18,BK864+IF(C865="魅力",E865,0)))</x:f>
        <x:v>0</x:v>
      </x:c>
      <x:c r="BL865">
        <x:f>MAX(0,MIN(99,BL864+IF(C865="技能：非自然知识",E865,0)))</x:f>
        <x:v>0</x:v>
      </x:c>
      <x:c r="BM865">
        <x:f>MAX(0,MIN(CEILING((BF865+BG865)/2,1),BM864+IF(C865="体力",E865,0)))</x:f>
        <x:v>0</x:v>
      </x:c>
      <x:c r="BN865">
        <x:f>MAX(0,MIN(BJ865,BN864+IF(C865="毅力",E865,0)))</x:f>
        <x:v>0</x:v>
      </x:c>
      <x:c r="BO865">
        <x:f>MAX(0,MIN(99-BL865,BO864+IF(C865="理智",E865,0)))</x:f>
        <x:v>0</x:v>
      </x:c>
      <x:c r="BP865">
        <x:f>MAX(0,MIN(99,BP864+IF(C865="崩溃点",E865,0)))</x:f>
        <x:v>0</x:v>
      </x:c>
      <x:c r="BQ865">
        <x:f>MAX(0,MIN(BK865,IF(AND(H865=1,C865="重要关系1",LEFT('幕间与结算'!H772,8)="建立新的重要关系"),'幕间与结算'!E772+E865,BQ864+IF(C865="重要关系1",E865,0)+IF(AND(C865="魅力",E865&lt;0),E865,0))))</x:f>
        <x:v>0</x:v>
      </x:c>
      <x:c r="BR865">
        <x:f>MAX(0,MIN(BK865,IF(AND(H865=1,C865="重要关系2",LEFT('幕间与结算'!H772,8)="建立新的重要关系"),'幕间与结算'!E772+E865,BR864+IF(C865="重要关系2",E865,0)+IF(AND(C865="魅力",E865&lt;0),E865,0))))</x:f>
        <x:v>0</x:v>
      </x:c>
      <x:c r="BS865">
        <x:f>MAX(0,MIN(BK865,IF(AND(H865=1,C865="重要关系3",LEFT('幕间与结算'!H772,8)="建立新的重要关系"),'幕间与结算'!E772+E865,BS864+IF(C865="重要关系3",E865,0)+IF(AND(C865="魅力",E865&lt;0),E865,0))))</x:f>
        <x:v>0</x:v>
      </x:c>
      <x:c r="BT865">
        <x:f>MAX(0,MIN(BK865,IF(AND(H865=1,C865="重要关系4",LEFT('幕间与结算'!H772,8)="建立新的重要关系"),'幕间与结算'!E772+E865,BT864+IF(C865="重要关系4",E865,0)+IF(AND(C865="魅力",E865&lt;0),E865,0))))</x:f>
        <x:v>0</x:v>
      </x:c>
      <x:c r="BU865">
        <x:f>MAX(0,MIN(BK865,IF(AND(H865=1,C865="重要关系5",LEFT('幕间与结算'!H772,8)="建立新的重要关系"),'幕间与结算'!E772+E865,BU864+IF(C865="重要关系5",E865,0)+IF(AND(C865="魅力",E865&lt;0),E865,0))))</x:f>
        <x:v>0</x:v>
      </x:c>
      <x:c r="BV865">
        <x:f>MAX(0,MIN(BK865,IF(AND(H865=1,C865="重要关系6",LEFT('幕间与结算'!H772,8)="建立新的重要关系"),'幕间与结算'!E772+E865,BV864+IF(C865="重要关系6",E865,0)+IF(AND(C865="魅力",E865&lt;0),E865,0))))</x:f>
        <x:v>0</x:v>
      </x:c>
      <x:c r="BW865">
        <x:f>MAX(0,MIN(BK865,IF(AND(H865=1,C865="重要关系7",LEFT('幕间与结算'!H772,8)="建立新的重要关系"),'幕间与结算'!E772+E865,BW864+IF(C865="重要关系7",E865,0)+IF(AND(C865="魅力",E865&lt;0),E865,0))))</x:f>
        <x:v>0</x:v>
      </x:c>
    </x:row>
    <x:row r="866">
      <x:c r="A866" t="str">
        <x:f>IFERROR(TEXT(VALUE('幕间与结算'!A773),"00"),"")</x:f>
        <x:v>00</x:v>
      </x:c>
      <x:c r="B866">
        <x:f>'幕间与结算'!B773</x:f>
        <x:v>0</x:v>
      </x:c>
      <x:c r="C866">
        <x:f>'幕间与结算'!D773</x:f>
        <x:v>0</x:v>
      </x:c>
      <x:c r="D866">
        <x:f>'幕间与结算'!F773</x:f>
        <x:v>0</x:v>
      </x:c>
      <x:c r="E866">
        <x:f>IF(H866=1,MAX(-'幕间与结算'!E773,MIN(D866,IF(LEFT(C866,3)="技能：",99,IF(COUNTIF($L$2:$L$7,C866)&gt;0,18,999))-'幕间与结算'!E773)),0)</x:f>
        <x:v>0</x:v>
      </x:c>
      <x:c r="F866" t="str">
        <x:f>IF(C866=0,"",IF(G866=0,"记录不完整",IF(H866=0,"重复未计","已计入")))</x:f>
        <x:v/>
      </x:c>
      <x:c r="G866">
        <x:f>IF(AND(AND('幕间与结算'!A773&lt;&gt;"",'幕间与结算'!B773&lt;&gt;"",'幕间与结算'!I773&lt;&gt;"",OR(LEFT(C866,3)="技能：",COUNTIF($L$2:$L$19,C866)&gt;0),ISNUMBER('幕间与结算'!E773),ISNUMBER('幕间与结算'!F773),ISNUMBER('幕间与结算'!G773),'幕间与结算'!E773&gt;=0,'幕间与结算'!G773='幕间与结算'!E773+'幕间与结算'!F773),OR(B866&lt;&gt;"成长",AND(LEFT(C866,3)="技能：",C866&lt;&gt;"技能：非自然知识",'幕间与结算'!E773&gt;=1,'幕间与结算'!E773&lt;=99,'幕间与结算'!F773&gt;=0,'幕间与结算'!F773&lt;=4,'幕间与结算'!G773&lt;=99))),1,0)</x:f>
        <x:v>0</x:v>
      </x:c>
      <x:c r="H866">
        <x:f>IF(AND(G866=1,COUNTIFS($I$200:I866,I866,$G$200:G866,1)=1),1,0)</x:f>
        <x:v>0</x:v>
      </x:c>
      <x:c r="I866" t="str">
        <x:f>IF(G866=1,IF(B866="成长",A866&amp;"-成长-"&amp;C866,'幕间与结算'!I773),"")</x:f>
        <x:v/>
      </x:c>
      <x:c r="BF866">
        <x:f>MAX(0,MIN(18,BF865+IF(C866="力量",E866,0)))</x:f>
        <x:v>0</x:v>
      </x:c>
      <x:c r="BG866">
        <x:f>MAX(0,MIN(18,BG865+IF(C866="体质",E866,0)))</x:f>
        <x:v>0</x:v>
      </x:c>
      <x:c r="BH866">
        <x:f>MAX(0,MIN(18,BH865+IF(C866="敏捷",E866,0)))</x:f>
        <x:v>0</x:v>
      </x:c>
      <x:c r="BI866">
        <x:f>MAX(0,MIN(18,BI865+IF(C866="智力",E866,0)))</x:f>
        <x:v>0</x:v>
      </x:c>
      <x:c r="BJ866">
        <x:f>MAX(0,MIN(18,BJ865+IF(C866="意志",E866,0)))</x:f>
        <x:v>0</x:v>
      </x:c>
      <x:c r="BK866">
        <x:f>MAX(0,MIN(18,BK865+IF(C866="魅力",E866,0)))</x:f>
        <x:v>0</x:v>
      </x:c>
      <x:c r="BL866">
        <x:f>MAX(0,MIN(99,BL865+IF(C866="技能：非自然知识",E866,0)))</x:f>
        <x:v>0</x:v>
      </x:c>
      <x:c r="BM866">
        <x:f>MAX(0,MIN(CEILING((BF866+BG866)/2,1),BM865+IF(C866="体力",E866,0)))</x:f>
        <x:v>0</x:v>
      </x:c>
      <x:c r="BN866">
        <x:f>MAX(0,MIN(BJ866,BN865+IF(C866="毅力",E866,0)))</x:f>
        <x:v>0</x:v>
      </x:c>
      <x:c r="BO866">
        <x:f>MAX(0,MIN(99-BL866,BO865+IF(C866="理智",E866,0)))</x:f>
        <x:v>0</x:v>
      </x:c>
      <x:c r="BP866">
        <x:f>MAX(0,MIN(99,BP865+IF(C866="崩溃点",E866,0)))</x:f>
        <x:v>0</x:v>
      </x:c>
      <x:c r="BQ866">
        <x:f>MAX(0,MIN(BK866,IF(AND(H866=1,C866="重要关系1",LEFT('幕间与结算'!H773,8)="建立新的重要关系"),'幕间与结算'!E773+E866,BQ865+IF(C866="重要关系1",E866,0)+IF(AND(C866="魅力",E866&lt;0),E866,0))))</x:f>
        <x:v>0</x:v>
      </x:c>
      <x:c r="BR866">
        <x:f>MAX(0,MIN(BK866,IF(AND(H866=1,C866="重要关系2",LEFT('幕间与结算'!H773,8)="建立新的重要关系"),'幕间与结算'!E773+E866,BR865+IF(C866="重要关系2",E866,0)+IF(AND(C866="魅力",E866&lt;0),E866,0))))</x:f>
        <x:v>0</x:v>
      </x:c>
      <x:c r="BS866">
        <x:f>MAX(0,MIN(BK866,IF(AND(H866=1,C866="重要关系3",LEFT('幕间与结算'!H773,8)="建立新的重要关系"),'幕间与结算'!E773+E866,BS865+IF(C866="重要关系3",E866,0)+IF(AND(C866="魅力",E866&lt;0),E866,0))))</x:f>
        <x:v>0</x:v>
      </x:c>
      <x:c r="BT866">
        <x:f>MAX(0,MIN(BK866,IF(AND(H866=1,C866="重要关系4",LEFT('幕间与结算'!H773,8)="建立新的重要关系"),'幕间与结算'!E773+E866,BT865+IF(C866="重要关系4",E866,0)+IF(AND(C866="魅力",E866&lt;0),E866,0))))</x:f>
        <x:v>0</x:v>
      </x:c>
      <x:c r="BU866">
        <x:f>MAX(0,MIN(BK866,IF(AND(H866=1,C866="重要关系5",LEFT('幕间与结算'!H773,8)="建立新的重要关系"),'幕间与结算'!E773+E866,BU865+IF(C866="重要关系5",E866,0)+IF(AND(C866="魅力",E866&lt;0),E866,0))))</x:f>
        <x:v>0</x:v>
      </x:c>
      <x:c r="BV866">
        <x:f>MAX(0,MIN(BK866,IF(AND(H866=1,C866="重要关系6",LEFT('幕间与结算'!H773,8)="建立新的重要关系"),'幕间与结算'!E773+E866,BV865+IF(C866="重要关系6",E866,0)+IF(AND(C866="魅力",E866&lt;0),E866,0))))</x:f>
        <x:v>0</x:v>
      </x:c>
      <x:c r="BW866">
        <x:f>MAX(0,MIN(BK866,IF(AND(H866=1,C866="重要关系7",LEFT('幕间与结算'!H773,8)="建立新的重要关系"),'幕间与结算'!E773+E866,BW865+IF(C866="重要关系7",E866,0)+IF(AND(C866="魅力",E866&lt;0),E866,0))))</x:f>
        <x:v>0</x:v>
      </x:c>
    </x:row>
    <x:row r="867">
      <x:c r="A867" t="str">
        <x:f>IFERROR(TEXT(VALUE('幕间与结算'!A774),"00"),"")</x:f>
        <x:v>00</x:v>
      </x:c>
      <x:c r="B867">
        <x:f>'幕间与结算'!B774</x:f>
        <x:v>0</x:v>
      </x:c>
      <x:c r="C867">
        <x:f>'幕间与结算'!D774</x:f>
        <x:v>0</x:v>
      </x:c>
      <x:c r="D867">
        <x:f>'幕间与结算'!F774</x:f>
        <x:v>0</x:v>
      </x:c>
      <x:c r="E867">
        <x:f>IF(H867=1,MAX(-'幕间与结算'!E774,MIN(D867,IF(LEFT(C867,3)="技能：",99,IF(COUNTIF($L$2:$L$7,C867)&gt;0,18,999))-'幕间与结算'!E774)),0)</x:f>
        <x:v>0</x:v>
      </x:c>
      <x:c r="F867" t="str">
        <x:f>IF(C867=0,"",IF(G867=0,"记录不完整",IF(H867=0,"重复未计","已计入")))</x:f>
        <x:v/>
      </x:c>
      <x:c r="G867">
        <x:f>IF(AND(AND('幕间与结算'!A774&lt;&gt;"",'幕间与结算'!B774&lt;&gt;"",'幕间与结算'!I774&lt;&gt;"",OR(LEFT(C867,3)="技能：",COUNTIF($L$2:$L$19,C867)&gt;0),ISNUMBER('幕间与结算'!E774),ISNUMBER('幕间与结算'!F774),ISNUMBER('幕间与结算'!G774),'幕间与结算'!E774&gt;=0,'幕间与结算'!G774='幕间与结算'!E774+'幕间与结算'!F774),OR(B867&lt;&gt;"成长",AND(LEFT(C867,3)="技能：",C867&lt;&gt;"技能：非自然知识",'幕间与结算'!E774&gt;=1,'幕间与结算'!E774&lt;=99,'幕间与结算'!F774&gt;=0,'幕间与结算'!F774&lt;=4,'幕间与结算'!G774&lt;=99))),1,0)</x:f>
        <x:v>0</x:v>
      </x:c>
      <x:c r="H867">
        <x:f>IF(AND(G867=1,COUNTIFS($I$200:I867,I867,$G$200:G867,1)=1),1,0)</x:f>
        <x:v>0</x:v>
      </x:c>
      <x:c r="I867" t="str">
        <x:f>IF(G867=1,IF(B867="成长",A867&amp;"-成长-"&amp;C867,'幕间与结算'!I774),"")</x:f>
        <x:v/>
      </x:c>
      <x:c r="BF867">
        <x:f>MAX(0,MIN(18,BF866+IF(C867="力量",E867,0)))</x:f>
        <x:v>0</x:v>
      </x:c>
      <x:c r="BG867">
        <x:f>MAX(0,MIN(18,BG866+IF(C867="体质",E867,0)))</x:f>
        <x:v>0</x:v>
      </x:c>
      <x:c r="BH867">
        <x:f>MAX(0,MIN(18,BH866+IF(C867="敏捷",E867,0)))</x:f>
        <x:v>0</x:v>
      </x:c>
      <x:c r="BI867">
        <x:f>MAX(0,MIN(18,BI866+IF(C867="智力",E867,0)))</x:f>
        <x:v>0</x:v>
      </x:c>
      <x:c r="BJ867">
        <x:f>MAX(0,MIN(18,BJ866+IF(C867="意志",E867,0)))</x:f>
        <x:v>0</x:v>
      </x:c>
      <x:c r="BK867">
        <x:f>MAX(0,MIN(18,BK866+IF(C867="魅力",E867,0)))</x:f>
        <x:v>0</x:v>
      </x:c>
      <x:c r="BL867">
        <x:f>MAX(0,MIN(99,BL866+IF(C867="技能：非自然知识",E867,0)))</x:f>
        <x:v>0</x:v>
      </x:c>
      <x:c r="BM867">
        <x:f>MAX(0,MIN(CEILING((BF867+BG867)/2,1),BM866+IF(C867="体力",E867,0)))</x:f>
        <x:v>0</x:v>
      </x:c>
      <x:c r="BN867">
        <x:f>MAX(0,MIN(BJ867,BN866+IF(C867="毅力",E867,0)))</x:f>
        <x:v>0</x:v>
      </x:c>
      <x:c r="BO867">
        <x:f>MAX(0,MIN(99-BL867,BO866+IF(C867="理智",E867,0)))</x:f>
        <x:v>0</x:v>
      </x:c>
      <x:c r="BP867">
        <x:f>MAX(0,MIN(99,BP866+IF(C867="崩溃点",E867,0)))</x:f>
        <x:v>0</x:v>
      </x:c>
      <x:c r="BQ867">
        <x:f>MAX(0,MIN(BK867,IF(AND(H867=1,C867="重要关系1",LEFT('幕间与结算'!H774,8)="建立新的重要关系"),'幕间与结算'!E774+E867,BQ866+IF(C867="重要关系1",E867,0)+IF(AND(C867="魅力",E867&lt;0),E867,0))))</x:f>
        <x:v>0</x:v>
      </x:c>
      <x:c r="BR867">
        <x:f>MAX(0,MIN(BK867,IF(AND(H867=1,C867="重要关系2",LEFT('幕间与结算'!H774,8)="建立新的重要关系"),'幕间与结算'!E774+E867,BR866+IF(C867="重要关系2",E867,0)+IF(AND(C867="魅力",E867&lt;0),E867,0))))</x:f>
        <x:v>0</x:v>
      </x:c>
      <x:c r="BS867">
        <x:f>MAX(0,MIN(BK867,IF(AND(H867=1,C867="重要关系3",LEFT('幕间与结算'!H774,8)="建立新的重要关系"),'幕间与结算'!E774+E867,BS866+IF(C867="重要关系3",E867,0)+IF(AND(C867="魅力",E867&lt;0),E867,0))))</x:f>
        <x:v>0</x:v>
      </x:c>
      <x:c r="BT867">
        <x:f>MAX(0,MIN(BK867,IF(AND(H867=1,C867="重要关系4",LEFT('幕间与结算'!H774,8)="建立新的重要关系"),'幕间与结算'!E774+E867,BT866+IF(C867="重要关系4",E867,0)+IF(AND(C867="魅力",E867&lt;0),E867,0))))</x:f>
        <x:v>0</x:v>
      </x:c>
      <x:c r="BU867">
        <x:f>MAX(0,MIN(BK867,IF(AND(H867=1,C867="重要关系5",LEFT('幕间与结算'!H774,8)="建立新的重要关系"),'幕间与结算'!E774+E867,BU866+IF(C867="重要关系5",E867,0)+IF(AND(C867="魅力",E867&lt;0),E867,0))))</x:f>
        <x:v>0</x:v>
      </x:c>
      <x:c r="BV867">
        <x:f>MAX(0,MIN(BK867,IF(AND(H867=1,C867="重要关系6",LEFT('幕间与结算'!H774,8)="建立新的重要关系"),'幕间与结算'!E774+E867,BV866+IF(C867="重要关系6",E867,0)+IF(AND(C867="魅力",E867&lt;0),E867,0))))</x:f>
        <x:v>0</x:v>
      </x:c>
      <x:c r="BW867">
        <x:f>MAX(0,MIN(BK867,IF(AND(H867=1,C867="重要关系7",LEFT('幕间与结算'!H774,8)="建立新的重要关系"),'幕间与结算'!E774+E867,BW866+IF(C867="重要关系7",E867,0)+IF(AND(C867="魅力",E867&lt;0),E867,0))))</x:f>
        <x:v>0</x:v>
      </x:c>
    </x:row>
    <x:row r="868">
      <x:c r="A868" t="str">
        <x:f>IFERROR(TEXT(VALUE('幕间与结算'!A775),"00"),"")</x:f>
        <x:v>00</x:v>
      </x:c>
      <x:c r="B868">
        <x:f>'幕间与结算'!B775</x:f>
        <x:v>0</x:v>
      </x:c>
      <x:c r="C868">
        <x:f>'幕间与结算'!D775</x:f>
        <x:v>0</x:v>
      </x:c>
      <x:c r="D868">
        <x:f>'幕间与结算'!F775</x:f>
        <x:v>0</x:v>
      </x:c>
      <x:c r="E868">
        <x:f>IF(H868=1,MAX(-'幕间与结算'!E775,MIN(D868,IF(LEFT(C868,3)="技能：",99,IF(COUNTIF($L$2:$L$7,C868)&gt;0,18,999))-'幕间与结算'!E775)),0)</x:f>
        <x:v>0</x:v>
      </x:c>
      <x:c r="F868" t="str">
        <x:f>IF(C868=0,"",IF(G868=0,"记录不完整",IF(H868=0,"重复未计","已计入")))</x:f>
        <x:v/>
      </x:c>
      <x:c r="G868">
        <x:f>IF(AND(AND('幕间与结算'!A775&lt;&gt;"",'幕间与结算'!B775&lt;&gt;"",'幕间与结算'!I775&lt;&gt;"",OR(LEFT(C868,3)="技能：",COUNTIF($L$2:$L$19,C868)&gt;0),ISNUMBER('幕间与结算'!E775),ISNUMBER('幕间与结算'!F775),ISNUMBER('幕间与结算'!G775),'幕间与结算'!E775&gt;=0,'幕间与结算'!G775='幕间与结算'!E775+'幕间与结算'!F775),OR(B868&lt;&gt;"成长",AND(LEFT(C868,3)="技能：",C868&lt;&gt;"技能：非自然知识",'幕间与结算'!E775&gt;=1,'幕间与结算'!E775&lt;=99,'幕间与结算'!F775&gt;=0,'幕间与结算'!F775&lt;=4,'幕间与结算'!G775&lt;=99))),1,0)</x:f>
        <x:v>0</x:v>
      </x:c>
      <x:c r="H868">
        <x:f>IF(AND(G868=1,COUNTIFS($I$200:I868,I868,$G$200:G868,1)=1),1,0)</x:f>
        <x:v>0</x:v>
      </x:c>
      <x:c r="I868" t="str">
        <x:f>IF(G868=1,IF(B868="成长",A868&amp;"-成长-"&amp;C868,'幕间与结算'!I775),"")</x:f>
        <x:v/>
      </x:c>
      <x:c r="BF868">
        <x:f>MAX(0,MIN(18,BF867+IF(C868="力量",E868,0)))</x:f>
        <x:v>0</x:v>
      </x:c>
      <x:c r="BG868">
        <x:f>MAX(0,MIN(18,BG867+IF(C868="体质",E868,0)))</x:f>
        <x:v>0</x:v>
      </x:c>
      <x:c r="BH868">
        <x:f>MAX(0,MIN(18,BH867+IF(C868="敏捷",E868,0)))</x:f>
        <x:v>0</x:v>
      </x:c>
      <x:c r="BI868">
        <x:f>MAX(0,MIN(18,BI867+IF(C868="智力",E868,0)))</x:f>
        <x:v>0</x:v>
      </x:c>
      <x:c r="BJ868">
        <x:f>MAX(0,MIN(18,BJ867+IF(C868="意志",E868,0)))</x:f>
        <x:v>0</x:v>
      </x:c>
      <x:c r="BK868">
        <x:f>MAX(0,MIN(18,BK867+IF(C868="魅力",E868,0)))</x:f>
        <x:v>0</x:v>
      </x:c>
      <x:c r="BL868">
        <x:f>MAX(0,MIN(99,BL867+IF(C868="技能：非自然知识",E868,0)))</x:f>
        <x:v>0</x:v>
      </x:c>
      <x:c r="BM868">
        <x:f>MAX(0,MIN(CEILING((BF868+BG868)/2,1),BM867+IF(C868="体力",E868,0)))</x:f>
        <x:v>0</x:v>
      </x:c>
      <x:c r="BN868">
        <x:f>MAX(0,MIN(BJ868,BN867+IF(C868="毅力",E868,0)))</x:f>
        <x:v>0</x:v>
      </x:c>
      <x:c r="BO868">
        <x:f>MAX(0,MIN(99-BL868,BO867+IF(C868="理智",E868,0)))</x:f>
        <x:v>0</x:v>
      </x:c>
      <x:c r="BP868">
        <x:f>MAX(0,MIN(99,BP867+IF(C868="崩溃点",E868,0)))</x:f>
        <x:v>0</x:v>
      </x:c>
      <x:c r="BQ868">
        <x:f>MAX(0,MIN(BK868,IF(AND(H868=1,C868="重要关系1",LEFT('幕间与结算'!H775,8)="建立新的重要关系"),'幕间与结算'!E775+E868,BQ867+IF(C868="重要关系1",E868,0)+IF(AND(C868="魅力",E868&lt;0),E868,0))))</x:f>
        <x:v>0</x:v>
      </x:c>
      <x:c r="BR868">
        <x:f>MAX(0,MIN(BK868,IF(AND(H868=1,C868="重要关系2",LEFT('幕间与结算'!H775,8)="建立新的重要关系"),'幕间与结算'!E775+E868,BR867+IF(C868="重要关系2",E868,0)+IF(AND(C868="魅力",E868&lt;0),E868,0))))</x:f>
        <x:v>0</x:v>
      </x:c>
      <x:c r="BS868">
        <x:f>MAX(0,MIN(BK868,IF(AND(H868=1,C868="重要关系3",LEFT('幕间与结算'!H775,8)="建立新的重要关系"),'幕间与结算'!E775+E868,BS867+IF(C868="重要关系3",E868,0)+IF(AND(C868="魅力",E868&lt;0),E868,0))))</x:f>
        <x:v>0</x:v>
      </x:c>
      <x:c r="BT868">
        <x:f>MAX(0,MIN(BK868,IF(AND(H868=1,C868="重要关系4",LEFT('幕间与结算'!H775,8)="建立新的重要关系"),'幕间与结算'!E775+E868,BT867+IF(C868="重要关系4",E868,0)+IF(AND(C868="魅力",E868&lt;0),E868,0))))</x:f>
        <x:v>0</x:v>
      </x:c>
      <x:c r="BU868">
        <x:f>MAX(0,MIN(BK868,IF(AND(H868=1,C868="重要关系5",LEFT('幕间与结算'!H775,8)="建立新的重要关系"),'幕间与结算'!E775+E868,BU867+IF(C868="重要关系5",E868,0)+IF(AND(C868="魅力",E868&lt;0),E868,0))))</x:f>
        <x:v>0</x:v>
      </x:c>
      <x:c r="BV868">
        <x:f>MAX(0,MIN(BK868,IF(AND(H868=1,C868="重要关系6",LEFT('幕间与结算'!H775,8)="建立新的重要关系"),'幕间与结算'!E775+E868,BV867+IF(C868="重要关系6",E868,0)+IF(AND(C868="魅力",E868&lt;0),E868,0))))</x:f>
        <x:v>0</x:v>
      </x:c>
      <x:c r="BW868">
        <x:f>MAX(0,MIN(BK868,IF(AND(H868=1,C868="重要关系7",LEFT('幕间与结算'!H775,8)="建立新的重要关系"),'幕间与结算'!E775+E868,BW867+IF(C868="重要关系7",E868,0)+IF(AND(C868="魅力",E868&lt;0),E868,0))))</x:f>
        <x:v>0</x:v>
      </x:c>
    </x:row>
    <x:row r="869">
      <x:c r="A869" t="str">
        <x:f>IFERROR(TEXT(VALUE('幕间与结算'!A776),"00"),"")</x:f>
        <x:v>00</x:v>
      </x:c>
      <x:c r="B869">
        <x:f>'幕间与结算'!B776</x:f>
        <x:v>0</x:v>
      </x:c>
      <x:c r="C869">
        <x:f>'幕间与结算'!D776</x:f>
        <x:v>0</x:v>
      </x:c>
      <x:c r="D869">
        <x:f>'幕间与结算'!F776</x:f>
        <x:v>0</x:v>
      </x:c>
      <x:c r="E869">
        <x:f>IF(H869=1,MAX(-'幕间与结算'!E776,MIN(D869,IF(LEFT(C869,3)="技能：",99,IF(COUNTIF($L$2:$L$7,C869)&gt;0,18,999))-'幕间与结算'!E776)),0)</x:f>
        <x:v>0</x:v>
      </x:c>
      <x:c r="F869" t="str">
        <x:f>IF(C869=0,"",IF(G869=0,"记录不完整",IF(H869=0,"重复未计","已计入")))</x:f>
        <x:v/>
      </x:c>
      <x:c r="G869">
        <x:f>IF(AND(AND('幕间与结算'!A776&lt;&gt;"",'幕间与结算'!B776&lt;&gt;"",'幕间与结算'!I776&lt;&gt;"",OR(LEFT(C869,3)="技能：",COUNTIF($L$2:$L$19,C869)&gt;0),ISNUMBER('幕间与结算'!E776),ISNUMBER('幕间与结算'!F776),ISNUMBER('幕间与结算'!G776),'幕间与结算'!E776&gt;=0,'幕间与结算'!G776='幕间与结算'!E776+'幕间与结算'!F776),OR(B869&lt;&gt;"成长",AND(LEFT(C869,3)="技能：",C869&lt;&gt;"技能：非自然知识",'幕间与结算'!E776&gt;=1,'幕间与结算'!E776&lt;=99,'幕间与结算'!F776&gt;=0,'幕间与结算'!F776&lt;=4,'幕间与结算'!G776&lt;=99))),1,0)</x:f>
        <x:v>0</x:v>
      </x:c>
      <x:c r="H869">
        <x:f>IF(AND(G869=1,COUNTIFS($I$200:I869,I869,$G$200:G869,1)=1),1,0)</x:f>
        <x:v>0</x:v>
      </x:c>
      <x:c r="I869" t="str">
        <x:f>IF(G869=1,IF(B869="成长",A869&amp;"-成长-"&amp;C869,'幕间与结算'!I776),"")</x:f>
        <x:v/>
      </x:c>
      <x:c r="BF869">
        <x:f>MAX(0,MIN(18,BF868+IF(C869="力量",E869,0)))</x:f>
        <x:v>0</x:v>
      </x:c>
      <x:c r="BG869">
        <x:f>MAX(0,MIN(18,BG868+IF(C869="体质",E869,0)))</x:f>
        <x:v>0</x:v>
      </x:c>
      <x:c r="BH869">
        <x:f>MAX(0,MIN(18,BH868+IF(C869="敏捷",E869,0)))</x:f>
        <x:v>0</x:v>
      </x:c>
      <x:c r="BI869">
        <x:f>MAX(0,MIN(18,BI868+IF(C869="智力",E869,0)))</x:f>
        <x:v>0</x:v>
      </x:c>
      <x:c r="BJ869">
        <x:f>MAX(0,MIN(18,BJ868+IF(C869="意志",E869,0)))</x:f>
        <x:v>0</x:v>
      </x:c>
      <x:c r="BK869">
        <x:f>MAX(0,MIN(18,BK868+IF(C869="魅力",E869,0)))</x:f>
        <x:v>0</x:v>
      </x:c>
      <x:c r="BL869">
        <x:f>MAX(0,MIN(99,BL868+IF(C869="技能：非自然知识",E869,0)))</x:f>
        <x:v>0</x:v>
      </x:c>
      <x:c r="BM869">
        <x:f>MAX(0,MIN(CEILING((BF869+BG869)/2,1),BM868+IF(C869="体力",E869,0)))</x:f>
        <x:v>0</x:v>
      </x:c>
      <x:c r="BN869">
        <x:f>MAX(0,MIN(BJ869,BN868+IF(C869="毅力",E869,0)))</x:f>
        <x:v>0</x:v>
      </x:c>
      <x:c r="BO869">
        <x:f>MAX(0,MIN(99-BL869,BO868+IF(C869="理智",E869,0)))</x:f>
        <x:v>0</x:v>
      </x:c>
      <x:c r="BP869">
        <x:f>MAX(0,MIN(99,BP868+IF(C869="崩溃点",E869,0)))</x:f>
        <x:v>0</x:v>
      </x:c>
      <x:c r="BQ869">
        <x:f>MAX(0,MIN(BK869,IF(AND(H869=1,C869="重要关系1",LEFT('幕间与结算'!H776,8)="建立新的重要关系"),'幕间与结算'!E776+E869,BQ868+IF(C869="重要关系1",E869,0)+IF(AND(C869="魅力",E869&lt;0),E869,0))))</x:f>
        <x:v>0</x:v>
      </x:c>
      <x:c r="BR869">
        <x:f>MAX(0,MIN(BK869,IF(AND(H869=1,C869="重要关系2",LEFT('幕间与结算'!H776,8)="建立新的重要关系"),'幕间与结算'!E776+E869,BR868+IF(C869="重要关系2",E869,0)+IF(AND(C869="魅力",E869&lt;0),E869,0))))</x:f>
        <x:v>0</x:v>
      </x:c>
      <x:c r="BS869">
        <x:f>MAX(0,MIN(BK869,IF(AND(H869=1,C869="重要关系3",LEFT('幕间与结算'!H776,8)="建立新的重要关系"),'幕间与结算'!E776+E869,BS868+IF(C869="重要关系3",E869,0)+IF(AND(C869="魅力",E869&lt;0),E869,0))))</x:f>
        <x:v>0</x:v>
      </x:c>
      <x:c r="BT869">
        <x:f>MAX(0,MIN(BK869,IF(AND(H869=1,C869="重要关系4",LEFT('幕间与结算'!H776,8)="建立新的重要关系"),'幕间与结算'!E776+E869,BT868+IF(C869="重要关系4",E869,0)+IF(AND(C869="魅力",E869&lt;0),E869,0))))</x:f>
        <x:v>0</x:v>
      </x:c>
      <x:c r="BU869">
        <x:f>MAX(0,MIN(BK869,IF(AND(H869=1,C869="重要关系5",LEFT('幕间与结算'!H776,8)="建立新的重要关系"),'幕间与结算'!E776+E869,BU868+IF(C869="重要关系5",E869,0)+IF(AND(C869="魅力",E869&lt;0),E869,0))))</x:f>
        <x:v>0</x:v>
      </x:c>
      <x:c r="BV869">
        <x:f>MAX(0,MIN(BK869,IF(AND(H869=1,C869="重要关系6",LEFT('幕间与结算'!H776,8)="建立新的重要关系"),'幕间与结算'!E776+E869,BV868+IF(C869="重要关系6",E869,0)+IF(AND(C869="魅力",E869&lt;0),E869,0))))</x:f>
        <x:v>0</x:v>
      </x:c>
      <x:c r="BW869">
        <x:f>MAX(0,MIN(BK869,IF(AND(H869=1,C869="重要关系7",LEFT('幕间与结算'!H776,8)="建立新的重要关系"),'幕间与结算'!E776+E869,BW868+IF(C869="重要关系7",E869,0)+IF(AND(C869="魅力",E869&lt;0),E869,0))))</x:f>
        <x:v>0</x:v>
      </x:c>
    </x:row>
    <x:row r="870">
      <x:c r="A870" t="str">
        <x:f>IFERROR(TEXT(VALUE('幕间与结算'!A777),"00"),"")</x:f>
        <x:v>00</x:v>
      </x:c>
      <x:c r="B870">
        <x:f>'幕间与结算'!B777</x:f>
        <x:v>0</x:v>
      </x:c>
      <x:c r="C870">
        <x:f>'幕间与结算'!D777</x:f>
        <x:v>0</x:v>
      </x:c>
      <x:c r="D870">
        <x:f>'幕间与结算'!F777</x:f>
        <x:v>0</x:v>
      </x:c>
      <x:c r="E870">
        <x:f>IF(H870=1,MAX(-'幕间与结算'!E777,MIN(D870,IF(LEFT(C870,3)="技能：",99,IF(COUNTIF($L$2:$L$7,C870)&gt;0,18,999))-'幕间与结算'!E777)),0)</x:f>
        <x:v>0</x:v>
      </x:c>
      <x:c r="F870" t="str">
        <x:f>IF(C870=0,"",IF(G870=0,"记录不完整",IF(H870=0,"重复未计","已计入")))</x:f>
        <x:v/>
      </x:c>
      <x:c r="G870">
        <x:f>IF(AND(AND('幕间与结算'!A777&lt;&gt;"",'幕间与结算'!B777&lt;&gt;"",'幕间与结算'!I777&lt;&gt;"",OR(LEFT(C870,3)="技能：",COUNTIF($L$2:$L$19,C870)&gt;0),ISNUMBER('幕间与结算'!E777),ISNUMBER('幕间与结算'!F777),ISNUMBER('幕间与结算'!G777),'幕间与结算'!E777&gt;=0,'幕间与结算'!G777='幕间与结算'!E777+'幕间与结算'!F777),OR(B870&lt;&gt;"成长",AND(LEFT(C870,3)="技能：",C870&lt;&gt;"技能：非自然知识",'幕间与结算'!E777&gt;=1,'幕间与结算'!E777&lt;=99,'幕间与结算'!F777&gt;=0,'幕间与结算'!F777&lt;=4,'幕间与结算'!G777&lt;=99))),1,0)</x:f>
        <x:v>0</x:v>
      </x:c>
      <x:c r="H870">
        <x:f>IF(AND(G870=1,COUNTIFS($I$200:I870,I870,$G$200:G870,1)=1),1,0)</x:f>
        <x:v>0</x:v>
      </x:c>
      <x:c r="I870" t="str">
        <x:f>IF(G870=1,IF(B870="成长",A870&amp;"-成长-"&amp;C870,'幕间与结算'!I777),"")</x:f>
        <x:v/>
      </x:c>
      <x:c r="BF870">
        <x:f>MAX(0,MIN(18,BF869+IF(C870="力量",E870,0)))</x:f>
        <x:v>0</x:v>
      </x:c>
      <x:c r="BG870">
        <x:f>MAX(0,MIN(18,BG869+IF(C870="体质",E870,0)))</x:f>
        <x:v>0</x:v>
      </x:c>
      <x:c r="BH870">
        <x:f>MAX(0,MIN(18,BH869+IF(C870="敏捷",E870,0)))</x:f>
        <x:v>0</x:v>
      </x:c>
      <x:c r="BI870">
        <x:f>MAX(0,MIN(18,BI869+IF(C870="智力",E870,0)))</x:f>
        <x:v>0</x:v>
      </x:c>
      <x:c r="BJ870">
        <x:f>MAX(0,MIN(18,BJ869+IF(C870="意志",E870,0)))</x:f>
        <x:v>0</x:v>
      </x:c>
      <x:c r="BK870">
        <x:f>MAX(0,MIN(18,BK869+IF(C870="魅力",E870,0)))</x:f>
        <x:v>0</x:v>
      </x:c>
      <x:c r="BL870">
        <x:f>MAX(0,MIN(99,BL869+IF(C870="技能：非自然知识",E870,0)))</x:f>
        <x:v>0</x:v>
      </x:c>
      <x:c r="BM870">
        <x:f>MAX(0,MIN(CEILING((BF870+BG870)/2,1),BM869+IF(C870="体力",E870,0)))</x:f>
        <x:v>0</x:v>
      </x:c>
      <x:c r="BN870">
        <x:f>MAX(0,MIN(BJ870,BN869+IF(C870="毅力",E870,0)))</x:f>
        <x:v>0</x:v>
      </x:c>
      <x:c r="BO870">
        <x:f>MAX(0,MIN(99-BL870,BO869+IF(C870="理智",E870,0)))</x:f>
        <x:v>0</x:v>
      </x:c>
      <x:c r="BP870">
        <x:f>MAX(0,MIN(99,BP869+IF(C870="崩溃点",E870,0)))</x:f>
        <x:v>0</x:v>
      </x:c>
      <x:c r="BQ870">
        <x:f>MAX(0,MIN(BK870,IF(AND(H870=1,C870="重要关系1",LEFT('幕间与结算'!H777,8)="建立新的重要关系"),'幕间与结算'!E777+E870,BQ869+IF(C870="重要关系1",E870,0)+IF(AND(C870="魅力",E870&lt;0),E870,0))))</x:f>
        <x:v>0</x:v>
      </x:c>
      <x:c r="BR870">
        <x:f>MAX(0,MIN(BK870,IF(AND(H870=1,C870="重要关系2",LEFT('幕间与结算'!H777,8)="建立新的重要关系"),'幕间与结算'!E777+E870,BR869+IF(C870="重要关系2",E870,0)+IF(AND(C870="魅力",E870&lt;0),E870,0))))</x:f>
        <x:v>0</x:v>
      </x:c>
      <x:c r="BS870">
        <x:f>MAX(0,MIN(BK870,IF(AND(H870=1,C870="重要关系3",LEFT('幕间与结算'!H777,8)="建立新的重要关系"),'幕间与结算'!E777+E870,BS869+IF(C870="重要关系3",E870,0)+IF(AND(C870="魅力",E870&lt;0),E870,0))))</x:f>
        <x:v>0</x:v>
      </x:c>
      <x:c r="BT870">
        <x:f>MAX(0,MIN(BK870,IF(AND(H870=1,C870="重要关系4",LEFT('幕间与结算'!H777,8)="建立新的重要关系"),'幕间与结算'!E777+E870,BT869+IF(C870="重要关系4",E870,0)+IF(AND(C870="魅力",E870&lt;0),E870,0))))</x:f>
        <x:v>0</x:v>
      </x:c>
      <x:c r="BU870">
        <x:f>MAX(0,MIN(BK870,IF(AND(H870=1,C870="重要关系5",LEFT('幕间与结算'!H777,8)="建立新的重要关系"),'幕间与结算'!E777+E870,BU869+IF(C870="重要关系5",E870,0)+IF(AND(C870="魅力",E870&lt;0),E870,0))))</x:f>
        <x:v>0</x:v>
      </x:c>
      <x:c r="BV870">
        <x:f>MAX(0,MIN(BK870,IF(AND(H870=1,C870="重要关系6",LEFT('幕间与结算'!H777,8)="建立新的重要关系"),'幕间与结算'!E777+E870,BV869+IF(C870="重要关系6",E870,0)+IF(AND(C870="魅力",E870&lt;0),E870,0))))</x:f>
        <x:v>0</x:v>
      </x:c>
      <x:c r="BW870">
        <x:f>MAX(0,MIN(BK870,IF(AND(H870=1,C870="重要关系7",LEFT('幕间与结算'!H777,8)="建立新的重要关系"),'幕间与结算'!E777+E870,BW869+IF(C870="重要关系7",E870,0)+IF(AND(C870="魅力",E870&lt;0),E870,0))))</x:f>
        <x:v>0</x:v>
      </x:c>
    </x:row>
    <x:row r="871">
      <x:c r="A871" t="str">
        <x:f>IFERROR(TEXT(VALUE('幕间与结算'!A778),"00"),"")</x:f>
        <x:v>00</x:v>
      </x:c>
      <x:c r="B871">
        <x:f>'幕间与结算'!B778</x:f>
        <x:v>0</x:v>
      </x:c>
      <x:c r="C871">
        <x:f>'幕间与结算'!D778</x:f>
        <x:v>0</x:v>
      </x:c>
      <x:c r="D871">
        <x:f>'幕间与结算'!F778</x:f>
        <x:v>0</x:v>
      </x:c>
      <x:c r="E871">
        <x:f>IF(H871=1,MAX(-'幕间与结算'!E778,MIN(D871,IF(LEFT(C871,3)="技能：",99,IF(COUNTIF($L$2:$L$7,C871)&gt;0,18,999))-'幕间与结算'!E778)),0)</x:f>
        <x:v>0</x:v>
      </x:c>
      <x:c r="F871" t="str">
        <x:f>IF(C871=0,"",IF(G871=0,"记录不完整",IF(H871=0,"重复未计","已计入")))</x:f>
        <x:v/>
      </x:c>
      <x:c r="G871">
        <x:f>IF(AND(AND('幕间与结算'!A778&lt;&gt;"",'幕间与结算'!B778&lt;&gt;"",'幕间与结算'!I778&lt;&gt;"",OR(LEFT(C871,3)="技能：",COUNTIF($L$2:$L$19,C871)&gt;0),ISNUMBER('幕间与结算'!E778),ISNUMBER('幕间与结算'!F778),ISNUMBER('幕间与结算'!G778),'幕间与结算'!E778&gt;=0,'幕间与结算'!G778='幕间与结算'!E778+'幕间与结算'!F778),OR(B871&lt;&gt;"成长",AND(LEFT(C871,3)="技能：",C871&lt;&gt;"技能：非自然知识",'幕间与结算'!E778&gt;=1,'幕间与结算'!E778&lt;=99,'幕间与结算'!F778&gt;=0,'幕间与结算'!F778&lt;=4,'幕间与结算'!G778&lt;=99))),1,0)</x:f>
        <x:v>0</x:v>
      </x:c>
      <x:c r="H871">
        <x:f>IF(AND(G871=1,COUNTIFS($I$200:I871,I871,$G$200:G871,1)=1),1,0)</x:f>
        <x:v>0</x:v>
      </x:c>
      <x:c r="I871" t="str">
        <x:f>IF(G871=1,IF(B871="成长",A871&amp;"-成长-"&amp;C871,'幕间与结算'!I778),"")</x:f>
        <x:v/>
      </x:c>
      <x:c r="BF871">
        <x:f>MAX(0,MIN(18,BF870+IF(C871="力量",E871,0)))</x:f>
        <x:v>0</x:v>
      </x:c>
      <x:c r="BG871">
        <x:f>MAX(0,MIN(18,BG870+IF(C871="体质",E871,0)))</x:f>
        <x:v>0</x:v>
      </x:c>
      <x:c r="BH871">
        <x:f>MAX(0,MIN(18,BH870+IF(C871="敏捷",E871,0)))</x:f>
        <x:v>0</x:v>
      </x:c>
      <x:c r="BI871">
        <x:f>MAX(0,MIN(18,BI870+IF(C871="智力",E871,0)))</x:f>
        <x:v>0</x:v>
      </x:c>
      <x:c r="BJ871">
        <x:f>MAX(0,MIN(18,BJ870+IF(C871="意志",E871,0)))</x:f>
        <x:v>0</x:v>
      </x:c>
      <x:c r="BK871">
        <x:f>MAX(0,MIN(18,BK870+IF(C871="魅力",E871,0)))</x:f>
        <x:v>0</x:v>
      </x:c>
      <x:c r="BL871">
        <x:f>MAX(0,MIN(99,BL870+IF(C871="技能：非自然知识",E871,0)))</x:f>
        <x:v>0</x:v>
      </x:c>
      <x:c r="BM871">
        <x:f>MAX(0,MIN(CEILING((BF871+BG871)/2,1),BM870+IF(C871="体力",E871,0)))</x:f>
        <x:v>0</x:v>
      </x:c>
      <x:c r="BN871">
        <x:f>MAX(0,MIN(BJ871,BN870+IF(C871="毅力",E871,0)))</x:f>
        <x:v>0</x:v>
      </x:c>
      <x:c r="BO871">
        <x:f>MAX(0,MIN(99-BL871,BO870+IF(C871="理智",E871,0)))</x:f>
        <x:v>0</x:v>
      </x:c>
      <x:c r="BP871">
        <x:f>MAX(0,MIN(99,BP870+IF(C871="崩溃点",E871,0)))</x:f>
        <x:v>0</x:v>
      </x:c>
      <x:c r="BQ871">
        <x:f>MAX(0,MIN(BK871,IF(AND(H871=1,C871="重要关系1",LEFT('幕间与结算'!H778,8)="建立新的重要关系"),'幕间与结算'!E778+E871,BQ870+IF(C871="重要关系1",E871,0)+IF(AND(C871="魅力",E871&lt;0),E871,0))))</x:f>
        <x:v>0</x:v>
      </x:c>
      <x:c r="BR871">
        <x:f>MAX(0,MIN(BK871,IF(AND(H871=1,C871="重要关系2",LEFT('幕间与结算'!H778,8)="建立新的重要关系"),'幕间与结算'!E778+E871,BR870+IF(C871="重要关系2",E871,0)+IF(AND(C871="魅力",E871&lt;0),E871,0))))</x:f>
        <x:v>0</x:v>
      </x:c>
      <x:c r="BS871">
        <x:f>MAX(0,MIN(BK871,IF(AND(H871=1,C871="重要关系3",LEFT('幕间与结算'!H778,8)="建立新的重要关系"),'幕间与结算'!E778+E871,BS870+IF(C871="重要关系3",E871,0)+IF(AND(C871="魅力",E871&lt;0),E871,0))))</x:f>
        <x:v>0</x:v>
      </x:c>
      <x:c r="BT871">
        <x:f>MAX(0,MIN(BK871,IF(AND(H871=1,C871="重要关系4",LEFT('幕间与结算'!H778,8)="建立新的重要关系"),'幕间与结算'!E778+E871,BT870+IF(C871="重要关系4",E871,0)+IF(AND(C871="魅力",E871&lt;0),E871,0))))</x:f>
        <x:v>0</x:v>
      </x:c>
      <x:c r="BU871">
        <x:f>MAX(0,MIN(BK871,IF(AND(H871=1,C871="重要关系5",LEFT('幕间与结算'!H778,8)="建立新的重要关系"),'幕间与结算'!E778+E871,BU870+IF(C871="重要关系5",E871,0)+IF(AND(C871="魅力",E871&lt;0),E871,0))))</x:f>
        <x:v>0</x:v>
      </x:c>
      <x:c r="BV871">
        <x:f>MAX(0,MIN(BK871,IF(AND(H871=1,C871="重要关系6",LEFT('幕间与结算'!H778,8)="建立新的重要关系"),'幕间与结算'!E778+E871,BV870+IF(C871="重要关系6",E871,0)+IF(AND(C871="魅力",E871&lt;0),E871,0))))</x:f>
        <x:v>0</x:v>
      </x:c>
      <x:c r="BW871">
        <x:f>MAX(0,MIN(BK871,IF(AND(H871=1,C871="重要关系7",LEFT('幕间与结算'!H778,8)="建立新的重要关系"),'幕间与结算'!E778+E871,BW870+IF(C871="重要关系7",E871,0)+IF(AND(C871="魅力",E871&lt;0),E871,0))))</x:f>
        <x:v>0</x:v>
      </x:c>
    </x:row>
    <x:row r="872">
      <x:c r="A872" t="str">
        <x:f>IFERROR(TEXT(VALUE('幕间与结算'!A779),"00"),"")</x:f>
        <x:v>00</x:v>
      </x:c>
      <x:c r="B872">
        <x:f>'幕间与结算'!B779</x:f>
        <x:v>0</x:v>
      </x:c>
      <x:c r="C872">
        <x:f>'幕间与结算'!D779</x:f>
        <x:v>0</x:v>
      </x:c>
      <x:c r="D872">
        <x:f>'幕间与结算'!F779</x:f>
        <x:v>0</x:v>
      </x:c>
      <x:c r="E872">
        <x:f>IF(H872=1,MAX(-'幕间与结算'!E779,MIN(D872,IF(LEFT(C872,3)="技能：",99,IF(COUNTIF($L$2:$L$7,C872)&gt;0,18,999))-'幕间与结算'!E779)),0)</x:f>
        <x:v>0</x:v>
      </x:c>
      <x:c r="F872" t="str">
        <x:f>IF(C872=0,"",IF(G872=0,"记录不完整",IF(H872=0,"重复未计","已计入")))</x:f>
        <x:v/>
      </x:c>
      <x:c r="G872">
        <x:f>IF(AND(AND('幕间与结算'!A779&lt;&gt;"",'幕间与结算'!B779&lt;&gt;"",'幕间与结算'!I779&lt;&gt;"",OR(LEFT(C872,3)="技能：",COUNTIF($L$2:$L$19,C872)&gt;0),ISNUMBER('幕间与结算'!E779),ISNUMBER('幕间与结算'!F779),ISNUMBER('幕间与结算'!G779),'幕间与结算'!E779&gt;=0,'幕间与结算'!G779='幕间与结算'!E779+'幕间与结算'!F779),OR(B872&lt;&gt;"成长",AND(LEFT(C872,3)="技能：",C872&lt;&gt;"技能：非自然知识",'幕间与结算'!E779&gt;=1,'幕间与结算'!E779&lt;=99,'幕间与结算'!F779&gt;=0,'幕间与结算'!F779&lt;=4,'幕间与结算'!G779&lt;=99))),1,0)</x:f>
        <x:v>0</x:v>
      </x:c>
      <x:c r="H872">
        <x:f>IF(AND(G872=1,COUNTIFS($I$200:I872,I872,$G$200:G872,1)=1),1,0)</x:f>
        <x:v>0</x:v>
      </x:c>
      <x:c r="I872" t="str">
        <x:f>IF(G872=1,IF(B872="成长",A872&amp;"-成长-"&amp;C872,'幕间与结算'!I779),"")</x:f>
        <x:v/>
      </x:c>
      <x:c r="BF872">
        <x:f>MAX(0,MIN(18,BF871+IF(C872="力量",E872,0)))</x:f>
        <x:v>0</x:v>
      </x:c>
      <x:c r="BG872">
        <x:f>MAX(0,MIN(18,BG871+IF(C872="体质",E872,0)))</x:f>
        <x:v>0</x:v>
      </x:c>
      <x:c r="BH872">
        <x:f>MAX(0,MIN(18,BH871+IF(C872="敏捷",E872,0)))</x:f>
        <x:v>0</x:v>
      </x:c>
      <x:c r="BI872">
        <x:f>MAX(0,MIN(18,BI871+IF(C872="智力",E872,0)))</x:f>
        <x:v>0</x:v>
      </x:c>
      <x:c r="BJ872">
        <x:f>MAX(0,MIN(18,BJ871+IF(C872="意志",E872,0)))</x:f>
        <x:v>0</x:v>
      </x:c>
      <x:c r="BK872">
        <x:f>MAX(0,MIN(18,BK871+IF(C872="魅力",E872,0)))</x:f>
        <x:v>0</x:v>
      </x:c>
      <x:c r="BL872">
        <x:f>MAX(0,MIN(99,BL871+IF(C872="技能：非自然知识",E872,0)))</x:f>
        <x:v>0</x:v>
      </x:c>
      <x:c r="BM872">
        <x:f>MAX(0,MIN(CEILING((BF872+BG872)/2,1),BM871+IF(C872="体力",E872,0)))</x:f>
        <x:v>0</x:v>
      </x:c>
      <x:c r="BN872">
        <x:f>MAX(0,MIN(BJ872,BN871+IF(C872="毅力",E872,0)))</x:f>
        <x:v>0</x:v>
      </x:c>
      <x:c r="BO872">
        <x:f>MAX(0,MIN(99-BL872,BO871+IF(C872="理智",E872,0)))</x:f>
        <x:v>0</x:v>
      </x:c>
      <x:c r="BP872">
        <x:f>MAX(0,MIN(99,BP871+IF(C872="崩溃点",E872,0)))</x:f>
        <x:v>0</x:v>
      </x:c>
      <x:c r="BQ872">
        <x:f>MAX(0,MIN(BK872,IF(AND(H872=1,C872="重要关系1",LEFT('幕间与结算'!H779,8)="建立新的重要关系"),'幕间与结算'!E779+E872,BQ871+IF(C872="重要关系1",E872,0)+IF(AND(C872="魅力",E872&lt;0),E872,0))))</x:f>
        <x:v>0</x:v>
      </x:c>
      <x:c r="BR872">
        <x:f>MAX(0,MIN(BK872,IF(AND(H872=1,C872="重要关系2",LEFT('幕间与结算'!H779,8)="建立新的重要关系"),'幕间与结算'!E779+E872,BR871+IF(C872="重要关系2",E872,0)+IF(AND(C872="魅力",E872&lt;0),E872,0))))</x:f>
        <x:v>0</x:v>
      </x:c>
      <x:c r="BS872">
        <x:f>MAX(0,MIN(BK872,IF(AND(H872=1,C872="重要关系3",LEFT('幕间与结算'!H779,8)="建立新的重要关系"),'幕间与结算'!E779+E872,BS871+IF(C872="重要关系3",E872,0)+IF(AND(C872="魅力",E872&lt;0),E872,0))))</x:f>
        <x:v>0</x:v>
      </x:c>
      <x:c r="BT872">
        <x:f>MAX(0,MIN(BK872,IF(AND(H872=1,C872="重要关系4",LEFT('幕间与结算'!H779,8)="建立新的重要关系"),'幕间与结算'!E779+E872,BT871+IF(C872="重要关系4",E872,0)+IF(AND(C872="魅力",E872&lt;0),E872,0))))</x:f>
        <x:v>0</x:v>
      </x:c>
      <x:c r="BU872">
        <x:f>MAX(0,MIN(BK872,IF(AND(H872=1,C872="重要关系5",LEFT('幕间与结算'!H779,8)="建立新的重要关系"),'幕间与结算'!E779+E872,BU871+IF(C872="重要关系5",E872,0)+IF(AND(C872="魅力",E872&lt;0),E872,0))))</x:f>
        <x:v>0</x:v>
      </x:c>
      <x:c r="BV872">
        <x:f>MAX(0,MIN(BK872,IF(AND(H872=1,C872="重要关系6",LEFT('幕间与结算'!H779,8)="建立新的重要关系"),'幕间与结算'!E779+E872,BV871+IF(C872="重要关系6",E872,0)+IF(AND(C872="魅力",E872&lt;0),E872,0))))</x:f>
        <x:v>0</x:v>
      </x:c>
      <x:c r="BW872">
        <x:f>MAX(0,MIN(BK872,IF(AND(H872=1,C872="重要关系7",LEFT('幕间与结算'!H779,8)="建立新的重要关系"),'幕间与结算'!E779+E872,BW871+IF(C872="重要关系7",E872,0)+IF(AND(C872="魅力",E872&lt;0),E872,0))))</x:f>
        <x:v>0</x:v>
      </x:c>
    </x:row>
    <x:row r="873">
      <x:c r="A873" t="str">
        <x:f>IFERROR(TEXT(VALUE('幕间与结算'!A780),"00"),"")</x:f>
        <x:v>00</x:v>
      </x:c>
      <x:c r="B873">
        <x:f>'幕间与结算'!B780</x:f>
        <x:v>0</x:v>
      </x:c>
      <x:c r="C873">
        <x:f>'幕间与结算'!D780</x:f>
        <x:v>0</x:v>
      </x:c>
      <x:c r="D873">
        <x:f>'幕间与结算'!F780</x:f>
        <x:v>0</x:v>
      </x:c>
      <x:c r="E873">
        <x:f>IF(H873=1,MAX(-'幕间与结算'!E780,MIN(D873,IF(LEFT(C873,3)="技能：",99,IF(COUNTIF($L$2:$L$7,C873)&gt;0,18,999))-'幕间与结算'!E780)),0)</x:f>
        <x:v>0</x:v>
      </x:c>
      <x:c r="F873" t="str">
        <x:f>IF(C873=0,"",IF(G873=0,"记录不完整",IF(H873=0,"重复未计","已计入")))</x:f>
        <x:v/>
      </x:c>
      <x:c r="G873">
        <x:f>IF(AND(AND('幕间与结算'!A780&lt;&gt;"",'幕间与结算'!B780&lt;&gt;"",'幕间与结算'!I780&lt;&gt;"",OR(LEFT(C873,3)="技能：",COUNTIF($L$2:$L$19,C873)&gt;0),ISNUMBER('幕间与结算'!E780),ISNUMBER('幕间与结算'!F780),ISNUMBER('幕间与结算'!G780),'幕间与结算'!E780&gt;=0,'幕间与结算'!G780='幕间与结算'!E780+'幕间与结算'!F780),OR(B873&lt;&gt;"成长",AND(LEFT(C873,3)="技能：",C873&lt;&gt;"技能：非自然知识",'幕间与结算'!E780&gt;=1,'幕间与结算'!E780&lt;=99,'幕间与结算'!F780&gt;=0,'幕间与结算'!F780&lt;=4,'幕间与结算'!G780&lt;=99))),1,0)</x:f>
        <x:v>0</x:v>
      </x:c>
      <x:c r="H873">
        <x:f>IF(AND(G873=1,COUNTIFS($I$200:I873,I873,$G$200:G873,1)=1),1,0)</x:f>
        <x:v>0</x:v>
      </x:c>
      <x:c r="I873" t="str">
        <x:f>IF(G873=1,IF(B873="成长",A873&amp;"-成长-"&amp;C873,'幕间与结算'!I780),"")</x:f>
        <x:v/>
      </x:c>
      <x:c r="BF873">
        <x:f>MAX(0,MIN(18,BF872+IF(C873="力量",E873,0)))</x:f>
        <x:v>0</x:v>
      </x:c>
      <x:c r="BG873">
        <x:f>MAX(0,MIN(18,BG872+IF(C873="体质",E873,0)))</x:f>
        <x:v>0</x:v>
      </x:c>
      <x:c r="BH873">
        <x:f>MAX(0,MIN(18,BH872+IF(C873="敏捷",E873,0)))</x:f>
        <x:v>0</x:v>
      </x:c>
      <x:c r="BI873">
        <x:f>MAX(0,MIN(18,BI872+IF(C873="智力",E873,0)))</x:f>
        <x:v>0</x:v>
      </x:c>
      <x:c r="BJ873">
        <x:f>MAX(0,MIN(18,BJ872+IF(C873="意志",E873,0)))</x:f>
        <x:v>0</x:v>
      </x:c>
      <x:c r="BK873">
        <x:f>MAX(0,MIN(18,BK872+IF(C873="魅力",E873,0)))</x:f>
        <x:v>0</x:v>
      </x:c>
      <x:c r="BL873">
        <x:f>MAX(0,MIN(99,BL872+IF(C873="技能：非自然知识",E873,0)))</x:f>
        <x:v>0</x:v>
      </x:c>
      <x:c r="BM873">
        <x:f>MAX(0,MIN(CEILING((BF873+BG873)/2,1),BM872+IF(C873="体力",E873,0)))</x:f>
        <x:v>0</x:v>
      </x:c>
      <x:c r="BN873">
        <x:f>MAX(0,MIN(BJ873,BN872+IF(C873="毅力",E873,0)))</x:f>
        <x:v>0</x:v>
      </x:c>
      <x:c r="BO873">
        <x:f>MAX(0,MIN(99-BL873,BO872+IF(C873="理智",E873,0)))</x:f>
        <x:v>0</x:v>
      </x:c>
      <x:c r="BP873">
        <x:f>MAX(0,MIN(99,BP872+IF(C873="崩溃点",E873,0)))</x:f>
        <x:v>0</x:v>
      </x:c>
      <x:c r="BQ873">
        <x:f>MAX(0,MIN(BK873,IF(AND(H873=1,C873="重要关系1",LEFT('幕间与结算'!H780,8)="建立新的重要关系"),'幕间与结算'!E780+E873,BQ872+IF(C873="重要关系1",E873,0)+IF(AND(C873="魅力",E873&lt;0),E873,0))))</x:f>
        <x:v>0</x:v>
      </x:c>
      <x:c r="BR873">
        <x:f>MAX(0,MIN(BK873,IF(AND(H873=1,C873="重要关系2",LEFT('幕间与结算'!H780,8)="建立新的重要关系"),'幕间与结算'!E780+E873,BR872+IF(C873="重要关系2",E873,0)+IF(AND(C873="魅力",E873&lt;0),E873,0))))</x:f>
        <x:v>0</x:v>
      </x:c>
      <x:c r="BS873">
        <x:f>MAX(0,MIN(BK873,IF(AND(H873=1,C873="重要关系3",LEFT('幕间与结算'!H780,8)="建立新的重要关系"),'幕间与结算'!E780+E873,BS872+IF(C873="重要关系3",E873,0)+IF(AND(C873="魅力",E873&lt;0),E873,0))))</x:f>
        <x:v>0</x:v>
      </x:c>
      <x:c r="BT873">
        <x:f>MAX(0,MIN(BK873,IF(AND(H873=1,C873="重要关系4",LEFT('幕间与结算'!H780,8)="建立新的重要关系"),'幕间与结算'!E780+E873,BT872+IF(C873="重要关系4",E873,0)+IF(AND(C873="魅力",E873&lt;0),E873,0))))</x:f>
        <x:v>0</x:v>
      </x:c>
      <x:c r="BU873">
        <x:f>MAX(0,MIN(BK873,IF(AND(H873=1,C873="重要关系5",LEFT('幕间与结算'!H780,8)="建立新的重要关系"),'幕间与结算'!E780+E873,BU872+IF(C873="重要关系5",E873,0)+IF(AND(C873="魅力",E873&lt;0),E873,0))))</x:f>
        <x:v>0</x:v>
      </x:c>
      <x:c r="BV873">
        <x:f>MAX(0,MIN(BK873,IF(AND(H873=1,C873="重要关系6",LEFT('幕间与结算'!H780,8)="建立新的重要关系"),'幕间与结算'!E780+E873,BV872+IF(C873="重要关系6",E873,0)+IF(AND(C873="魅力",E873&lt;0),E873,0))))</x:f>
        <x:v>0</x:v>
      </x:c>
      <x:c r="BW873">
        <x:f>MAX(0,MIN(BK873,IF(AND(H873=1,C873="重要关系7",LEFT('幕间与结算'!H780,8)="建立新的重要关系"),'幕间与结算'!E780+E873,BW872+IF(C873="重要关系7",E873,0)+IF(AND(C873="魅力",E873&lt;0),E873,0))))</x:f>
        <x:v>0</x:v>
      </x:c>
    </x:row>
    <x:row r="874">
      <x:c r="A874" t="str">
        <x:f>IFERROR(TEXT(VALUE('幕间与结算'!A781),"00"),"")</x:f>
        <x:v>00</x:v>
      </x:c>
      <x:c r="B874">
        <x:f>'幕间与结算'!B781</x:f>
        <x:v>0</x:v>
      </x:c>
      <x:c r="C874">
        <x:f>'幕间与结算'!D781</x:f>
        <x:v>0</x:v>
      </x:c>
      <x:c r="D874">
        <x:f>'幕间与结算'!F781</x:f>
        <x:v>0</x:v>
      </x:c>
      <x:c r="E874">
        <x:f>IF(H874=1,MAX(-'幕间与结算'!E781,MIN(D874,IF(LEFT(C874,3)="技能：",99,IF(COUNTIF($L$2:$L$7,C874)&gt;0,18,999))-'幕间与结算'!E781)),0)</x:f>
        <x:v>0</x:v>
      </x:c>
      <x:c r="F874" t="str">
        <x:f>IF(C874=0,"",IF(G874=0,"记录不完整",IF(H874=0,"重复未计","已计入")))</x:f>
        <x:v/>
      </x:c>
      <x:c r="G874">
        <x:f>IF(AND(AND('幕间与结算'!A781&lt;&gt;"",'幕间与结算'!B781&lt;&gt;"",'幕间与结算'!I781&lt;&gt;"",OR(LEFT(C874,3)="技能：",COUNTIF($L$2:$L$19,C874)&gt;0),ISNUMBER('幕间与结算'!E781),ISNUMBER('幕间与结算'!F781),ISNUMBER('幕间与结算'!G781),'幕间与结算'!E781&gt;=0,'幕间与结算'!G781='幕间与结算'!E781+'幕间与结算'!F781),OR(B874&lt;&gt;"成长",AND(LEFT(C874,3)="技能：",C874&lt;&gt;"技能：非自然知识",'幕间与结算'!E781&gt;=1,'幕间与结算'!E781&lt;=99,'幕间与结算'!F781&gt;=0,'幕间与结算'!F781&lt;=4,'幕间与结算'!G781&lt;=99))),1,0)</x:f>
        <x:v>0</x:v>
      </x:c>
      <x:c r="H874">
        <x:f>IF(AND(G874=1,COUNTIFS($I$200:I874,I874,$G$200:G874,1)=1),1,0)</x:f>
        <x:v>0</x:v>
      </x:c>
      <x:c r="I874" t="str">
        <x:f>IF(G874=1,IF(B874="成长",A874&amp;"-成长-"&amp;C874,'幕间与结算'!I781),"")</x:f>
        <x:v/>
      </x:c>
      <x:c r="BF874">
        <x:f>MAX(0,MIN(18,BF873+IF(C874="力量",E874,0)))</x:f>
        <x:v>0</x:v>
      </x:c>
      <x:c r="BG874">
        <x:f>MAX(0,MIN(18,BG873+IF(C874="体质",E874,0)))</x:f>
        <x:v>0</x:v>
      </x:c>
      <x:c r="BH874">
        <x:f>MAX(0,MIN(18,BH873+IF(C874="敏捷",E874,0)))</x:f>
        <x:v>0</x:v>
      </x:c>
      <x:c r="BI874">
        <x:f>MAX(0,MIN(18,BI873+IF(C874="智力",E874,0)))</x:f>
        <x:v>0</x:v>
      </x:c>
      <x:c r="BJ874">
        <x:f>MAX(0,MIN(18,BJ873+IF(C874="意志",E874,0)))</x:f>
        <x:v>0</x:v>
      </x:c>
      <x:c r="BK874">
        <x:f>MAX(0,MIN(18,BK873+IF(C874="魅力",E874,0)))</x:f>
        <x:v>0</x:v>
      </x:c>
      <x:c r="BL874">
        <x:f>MAX(0,MIN(99,BL873+IF(C874="技能：非自然知识",E874,0)))</x:f>
        <x:v>0</x:v>
      </x:c>
      <x:c r="BM874">
        <x:f>MAX(0,MIN(CEILING((BF874+BG874)/2,1),BM873+IF(C874="体力",E874,0)))</x:f>
        <x:v>0</x:v>
      </x:c>
      <x:c r="BN874">
        <x:f>MAX(0,MIN(BJ874,BN873+IF(C874="毅力",E874,0)))</x:f>
        <x:v>0</x:v>
      </x:c>
      <x:c r="BO874">
        <x:f>MAX(0,MIN(99-BL874,BO873+IF(C874="理智",E874,0)))</x:f>
        <x:v>0</x:v>
      </x:c>
      <x:c r="BP874">
        <x:f>MAX(0,MIN(99,BP873+IF(C874="崩溃点",E874,0)))</x:f>
        <x:v>0</x:v>
      </x:c>
      <x:c r="BQ874">
        <x:f>MAX(0,MIN(BK874,IF(AND(H874=1,C874="重要关系1",LEFT('幕间与结算'!H781,8)="建立新的重要关系"),'幕间与结算'!E781+E874,BQ873+IF(C874="重要关系1",E874,0)+IF(AND(C874="魅力",E874&lt;0),E874,0))))</x:f>
        <x:v>0</x:v>
      </x:c>
      <x:c r="BR874">
        <x:f>MAX(0,MIN(BK874,IF(AND(H874=1,C874="重要关系2",LEFT('幕间与结算'!H781,8)="建立新的重要关系"),'幕间与结算'!E781+E874,BR873+IF(C874="重要关系2",E874,0)+IF(AND(C874="魅力",E874&lt;0),E874,0))))</x:f>
        <x:v>0</x:v>
      </x:c>
      <x:c r="BS874">
        <x:f>MAX(0,MIN(BK874,IF(AND(H874=1,C874="重要关系3",LEFT('幕间与结算'!H781,8)="建立新的重要关系"),'幕间与结算'!E781+E874,BS873+IF(C874="重要关系3",E874,0)+IF(AND(C874="魅力",E874&lt;0),E874,0))))</x:f>
        <x:v>0</x:v>
      </x:c>
      <x:c r="BT874">
        <x:f>MAX(0,MIN(BK874,IF(AND(H874=1,C874="重要关系4",LEFT('幕间与结算'!H781,8)="建立新的重要关系"),'幕间与结算'!E781+E874,BT873+IF(C874="重要关系4",E874,0)+IF(AND(C874="魅力",E874&lt;0),E874,0))))</x:f>
        <x:v>0</x:v>
      </x:c>
      <x:c r="BU874">
        <x:f>MAX(0,MIN(BK874,IF(AND(H874=1,C874="重要关系5",LEFT('幕间与结算'!H781,8)="建立新的重要关系"),'幕间与结算'!E781+E874,BU873+IF(C874="重要关系5",E874,0)+IF(AND(C874="魅力",E874&lt;0),E874,0))))</x:f>
        <x:v>0</x:v>
      </x:c>
      <x:c r="BV874">
        <x:f>MAX(0,MIN(BK874,IF(AND(H874=1,C874="重要关系6",LEFT('幕间与结算'!H781,8)="建立新的重要关系"),'幕间与结算'!E781+E874,BV873+IF(C874="重要关系6",E874,0)+IF(AND(C874="魅力",E874&lt;0),E874,0))))</x:f>
        <x:v>0</x:v>
      </x:c>
      <x:c r="BW874">
        <x:f>MAX(0,MIN(BK874,IF(AND(H874=1,C874="重要关系7",LEFT('幕间与结算'!H781,8)="建立新的重要关系"),'幕间与结算'!E781+E874,BW873+IF(C874="重要关系7",E874,0)+IF(AND(C874="魅力",E874&lt;0),E874,0))))</x:f>
        <x:v>0</x:v>
      </x:c>
    </x:row>
    <x:row r="875">
      <x:c r="A875" t="str">
        <x:f>IFERROR(TEXT(VALUE('幕间与结算'!A782),"00"),"")</x:f>
        <x:v>00</x:v>
      </x:c>
      <x:c r="B875">
        <x:f>'幕间与结算'!B782</x:f>
        <x:v>0</x:v>
      </x:c>
      <x:c r="C875">
        <x:f>'幕间与结算'!D782</x:f>
        <x:v>0</x:v>
      </x:c>
      <x:c r="D875">
        <x:f>'幕间与结算'!F782</x:f>
        <x:v>0</x:v>
      </x:c>
      <x:c r="E875">
        <x:f>IF(H875=1,MAX(-'幕间与结算'!E782,MIN(D875,IF(LEFT(C875,3)="技能：",99,IF(COUNTIF($L$2:$L$7,C875)&gt;0,18,999))-'幕间与结算'!E782)),0)</x:f>
        <x:v>0</x:v>
      </x:c>
      <x:c r="F875" t="str">
        <x:f>IF(C875=0,"",IF(G875=0,"记录不完整",IF(H875=0,"重复未计","已计入")))</x:f>
        <x:v/>
      </x:c>
      <x:c r="G875">
        <x:f>IF(AND(AND('幕间与结算'!A782&lt;&gt;"",'幕间与结算'!B782&lt;&gt;"",'幕间与结算'!I782&lt;&gt;"",OR(LEFT(C875,3)="技能：",COUNTIF($L$2:$L$19,C875)&gt;0),ISNUMBER('幕间与结算'!E782),ISNUMBER('幕间与结算'!F782),ISNUMBER('幕间与结算'!G782),'幕间与结算'!E782&gt;=0,'幕间与结算'!G782='幕间与结算'!E782+'幕间与结算'!F782),OR(B875&lt;&gt;"成长",AND(LEFT(C875,3)="技能：",C875&lt;&gt;"技能：非自然知识",'幕间与结算'!E782&gt;=1,'幕间与结算'!E782&lt;=99,'幕间与结算'!F782&gt;=0,'幕间与结算'!F782&lt;=4,'幕间与结算'!G782&lt;=99))),1,0)</x:f>
        <x:v>0</x:v>
      </x:c>
      <x:c r="H875">
        <x:f>IF(AND(G875=1,COUNTIFS($I$200:I875,I875,$G$200:G875,1)=1),1,0)</x:f>
        <x:v>0</x:v>
      </x:c>
      <x:c r="I875" t="str">
        <x:f>IF(G875=1,IF(B875="成长",A875&amp;"-成长-"&amp;C875,'幕间与结算'!I782),"")</x:f>
        <x:v/>
      </x:c>
      <x:c r="BF875">
        <x:f>MAX(0,MIN(18,BF874+IF(C875="力量",E875,0)))</x:f>
        <x:v>0</x:v>
      </x:c>
      <x:c r="BG875">
        <x:f>MAX(0,MIN(18,BG874+IF(C875="体质",E875,0)))</x:f>
        <x:v>0</x:v>
      </x:c>
      <x:c r="BH875">
        <x:f>MAX(0,MIN(18,BH874+IF(C875="敏捷",E875,0)))</x:f>
        <x:v>0</x:v>
      </x:c>
      <x:c r="BI875">
        <x:f>MAX(0,MIN(18,BI874+IF(C875="智力",E875,0)))</x:f>
        <x:v>0</x:v>
      </x:c>
      <x:c r="BJ875">
        <x:f>MAX(0,MIN(18,BJ874+IF(C875="意志",E875,0)))</x:f>
        <x:v>0</x:v>
      </x:c>
      <x:c r="BK875">
        <x:f>MAX(0,MIN(18,BK874+IF(C875="魅力",E875,0)))</x:f>
        <x:v>0</x:v>
      </x:c>
      <x:c r="BL875">
        <x:f>MAX(0,MIN(99,BL874+IF(C875="技能：非自然知识",E875,0)))</x:f>
        <x:v>0</x:v>
      </x:c>
      <x:c r="BM875">
        <x:f>MAX(0,MIN(CEILING((BF875+BG875)/2,1),BM874+IF(C875="体力",E875,0)))</x:f>
        <x:v>0</x:v>
      </x:c>
      <x:c r="BN875">
        <x:f>MAX(0,MIN(BJ875,BN874+IF(C875="毅力",E875,0)))</x:f>
        <x:v>0</x:v>
      </x:c>
      <x:c r="BO875">
        <x:f>MAX(0,MIN(99-BL875,BO874+IF(C875="理智",E875,0)))</x:f>
        <x:v>0</x:v>
      </x:c>
      <x:c r="BP875">
        <x:f>MAX(0,MIN(99,BP874+IF(C875="崩溃点",E875,0)))</x:f>
        <x:v>0</x:v>
      </x:c>
      <x:c r="BQ875">
        <x:f>MAX(0,MIN(BK875,IF(AND(H875=1,C875="重要关系1",LEFT('幕间与结算'!H782,8)="建立新的重要关系"),'幕间与结算'!E782+E875,BQ874+IF(C875="重要关系1",E875,0)+IF(AND(C875="魅力",E875&lt;0),E875,0))))</x:f>
        <x:v>0</x:v>
      </x:c>
      <x:c r="BR875">
        <x:f>MAX(0,MIN(BK875,IF(AND(H875=1,C875="重要关系2",LEFT('幕间与结算'!H782,8)="建立新的重要关系"),'幕间与结算'!E782+E875,BR874+IF(C875="重要关系2",E875,0)+IF(AND(C875="魅力",E875&lt;0),E875,0))))</x:f>
        <x:v>0</x:v>
      </x:c>
      <x:c r="BS875">
        <x:f>MAX(0,MIN(BK875,IF(AND(H875=1,C875="重要关系3",LEFT('幕间与结算'!H782,8)="建立新的重要关系"),'幕间与结算'!E782+E875,BS874+IF(C875="重要关系3",E875,0)+IF(AND(C875="魅力",E875&lt;0),E875,0))))</x:f>
        <x:v>0</x:v>
      </x:c>
      <x:c r="BT875">
        <x:f>MAX(0,MIN(BK875,IF(AND(H875=1,C875="重要关系4",LEFT('幕间与结算'!H782,8)="建立新的重要关系"),'幕间与结算'!E782+E875,BT874+IF(C875="重要关系4",E875,0)+IF(AND(C875="魅力",E875&lt;0),E875,0))))</x:f>
        <x:v>0</x:v>
      </x:c>
      <x:c r="BU875">
        <x:f>MAX(0,MIN(BK875,IF(AND(H875=1,C875="重要关系5",LEFT('幕间与结算'!H782,8)="建立新的重要关系"),'幕间与结算'!E782+E875,BU874+IF(C875="重要关系5",E875,0)+IF(AND(C875="魅力",E875&lt;0),E875,0))))</x:f>
        <x:v>0</x:v>
      </x:c>
      <x:c r="BV875">
        <x:f>MAX(0,MIN(BK875,IF(AND(H875=1,C875="重要关系6",LEFT('幕间与结算'!H782,8)="建立新的重要关系"),'幕间与结算'!E782+E875,BV874+IF(C875="重要关系6",E875,0)+IF(AND(C875="魅力",E875&lt;0),E875,0))))</x:f>
        <x:v>0</x:v>
      </x:c>
      <x:c r="BW875">
        <x:f>MAX(0,MIN(BK875,IF(AND(H875=1,C875="重要关系7",LEFT('幕间与结算'!H782,8)="建立新的重要关系"),'幕间与结算'!E782+E875,BW874+IF(C875="重要关系7",E875,0)+IF(AND(C875="魅力",E875&lt;0),E875,0))))</x:f>
        <x:v>0</x:v>
      </x:c>
    </x:row>
    <x:row r="876">
      <x:c r="A876" t="str">
        <x:f>IFERROR(TEXT(VALUE('幕间与结算'!A783),"00"),"")</x:f>
        <x:v>00</x:v>
      </x:c>
      <x:c r="B876">
        <x:f>'幕间与结算'!B783</x:f>
        <x:v>0</x:v>
      </x:c>
      <x:c r="C876">
        <x:f>'幕间与结算'!D783</x:f>
        <x:v>0</x:v>
      </x:c>
      <x:c r="D876">
        <x:f>'幕间与结算'!F783</x:f>
        <x:v>0</x:v>
      </x:c>
      <x:c r="E876">
        <x:f>IF(H876=1,MAX(-'幕间与结算'!E783,MIN(D876,IF(LEFT(C876,3)="技能：",99,IF(COUNTIF($L$2:$L$7,C876)&gt;0,18,999))-'幕间与结算'!E783)),0)</x:f>
        <x:v>0</x:v>
      </x:c>
      <x:c r="F876" t="str">
        <x:f>IF(C876=0,"",IF(G876=0,"记录不完整",IF(H876=0,"重复未计","已计入")))</x:f>
        <x:v/>
      </x:c>
      <x:c r="G876">
        <x:f>IF(AND(AND('幕间与结算'!A783&lt;&gt;"",'幕间与结算'!B783&lt;&gt;"",'幕间与结算'!I783&lt;&gt;"",OR(LEFT(C876,3)="技能：",COUNTIF($L$2:$L$19,C876)&gt;0),ISNUMBER('幕间与结算'!E783),ISNUMBER('幕间与结算'!F783),ISNUMBER('幕间与结算'!G783),'幕间与结算'!E783&gt;=0,'幕间与结算'!G783='幕间与结算'!E783+'幕间与结算'!F783),OR(B876&lt;&gt;"成长",AND(LEFT(C876,3)="技能：",C876&lt;&gt;"技能：非自然知识",'幕间与结算'!E783&gt;=1,'幕间与结算'!E783&lt;=99,'幕间与结算'!F783&gt;=0,'幕间与结算'!F783&lt;=4,'幕间与结算'!G783&lt;=99))),1,0)</x:f>
        <x:v>0</x:v>
      </x:c>
      <x:c r="H876">
        <x:f>IF(AND(G876=1,COUNTIFS($I$200:I876,I876,$G$200:G876,1)=1),1,0)</x:f>
        <x:v>0</x:v>
      </x:c>
      <x:c r="I876" t="str">
        <x:f>IF(G876=1,IF(B876="成长",A876&amp;"-成长-"&amp;C876,'幕间与结算'!I783),"")</x:f>
        <x:v/>
      </x:c>
      <x:c r="BF876">
        <x:f>MAX(0,MIN(18,BF875+IF(C876="力量",E876,0)))</x:f>
        <x:v>0</x:v>
      </x:c>
      <x:c r="BG876">
        <x:f>MAX(0,MIN(18,BG875+IF(C876="体质",E876,0)))</x:f>
        <x:v>0</x:v>
      </x:c>
      <x:c r="BH876">
        <x:f>MAX(0,MIN(18,BH875+IF(C876="敏捷",E876,0)))</x:f>
        <x:v>0</x:v>
      </x:c>
      <x:c r="BI876">
        <x:f>MAX(0,MIN(18,BI875+IF(C876="智力",E876,0)))</x:f>
        <x:v>0</x:v>
      </x:c>
      <x:c r="BJ876">
        <x:f>MAX(0,MIN(18,BJ875+IF(C876="意志",E876,0)))</x:f>
        <x:v>0</x:v>
      </x:c>
      <x:c r="BK876">
        <x:f>MAX(0,MIN(18,BK875+IF(C876="魅力",E876,0)))</x:f>
        <x:v>0</x:v>
      </x:c>
      <x:c r="BL876">
        <x:f>MAX(0,MIN(99,BL875+IF(C876="技能：非自然知识",E876,0)))</x:f>
        <x:v>0</x:v>
      </x:c>
      <x:c r="BM876">
        <x:f>MAX(0,MIN(CEILING((BF876+BG876)/2,1),BM875+IF(C876="体力",E876,0)))</x:f>
        <x:v>0</x:v>
      </x:c>
      <x:c r="BN876">
        <x:f>MAX(0,MIN(BJ876,BN875+IF(C876="毅力",E876,0)))</x:f>
        <x:v>0</x:v>
      </x:c>
      <x:c r="BO876">
        <x:f>MAX(0,MIN(99-BL876,BO875+IF(C876="理智",E876,0)))</x:f>
        <x:v>0</x:v>
      </x:c>
      <x:c r="BP876">
        <x:f>MAX(0,MIN(99,BP875+IF(C876="崩溃点",E876,0)))</x:f>
        <x:v>0</x:v>
      </x:c>
      <x:c r="BQ876">
        <x:f>MAX(0,MIN(BK876,IF(AND(H876=1,C876="重要关系1",LEFT('幕间与结算'!H783,8)="建立新的重要关系"),'幕间与结算'!E783+E876,BQ875+IF(C876="重要关系1",E876,0)+IF(AND(C876="魅力",E876&lt;0),E876,0))))</x:f>
        <x:v>0</x:v>
      </x:c>
      <x:c r="BR876">
        <x:f>MAX(0,MIN(BK876,IF(AND(H876=1,C876="重要关系2",LEFT('幕间与结算'!H783,8)="建立新的重要关系"),'幕间与结算'!E783+E876,BR875+IF(C876="重要关系2",E876,0)+IF(AND(C876="魅力",E876&lt;0),E876,0))))</x:f>
        <x:v>0</x:v>
      </x:c>
      <x:c r="BS876">
        <x:f>MAX(0,MIN(BK876,IF(AND(H876=1,C876="重要关系3",LEFT('幕间与结算'!H783,8)="建立新的重要关系"),'幕间与结算'!E783+E876,BS875+IF(C876="重要关系3",E876,0)+IF(AND(C876="魅力",E876&lt;0),E876,0))))</x:f>
        <x:v>0</x:v>
      </x:c>
      <x:c r="BT876">
        <x:f>MAX(0,MIN(BK876,IF(AND(H876=1,C876="重要关系4",LEFT('幕间与结算'!H783,8)="建立新的重要关系"),'幕间与结算'!E783+E876,BT875+IF(C876="重要关系4",E876,0)+IF(AND(C876="魅力",E876&lt;0),E876,0))))</x:f>
        <x:v>0</x:v>
      </x:c>
      <x:c r="BU876">
        <x:f>MAX(0,MIN(BK876,IF(AND(H876=1,C876="重要关系5",LEFT('幕间与结算'!H783,8)="建立新的重要关系"),'幕间与结算'!E783+E876,BU875+IF(C876="重要关系5",E876,0)+IF(AND(C876="魅力",E876&lt;0),E876,0))))</x:f>
        <x:v>0</x:v>
      </x:c>
      <x:c r="BV876">
        <x:f>MAX(0,MIN(BK876,IF(AND(H876=1,C876="重要关系6",LEFT('幕间与结算'!H783,8)="建立新的重要关系"),'幕间与结算'!E783+E876,BV875+IF(C876="重要关系6",E876,0)+IF(AND(C876="魅力",E876&lt;0),E876,0))))</x:f>
        <x:v>0</x:v>
      </x:c>
      <x:c r="BW876">
        <x:f>MAX(0,MIN(BK876,IF(AND(H876=1,C876="重要关系7",LEFT('幕间与结算'!H783,8)="建立新的重要关系"),'幕间与结算'!E783+E876,BW875+IF(C876="重要关系7",E876,0)+IF(AND(C876="魅力",E876&lt;0),E876,0))))</x:f>
        <x:v>0</x:v>
      </x:c>
    </x:row>
    <x:row r="877">
      <x:c r="A877" t="str">
        <x:f>IFERROR(TEXT(VALUE('幕间与结算'!A784),"00"),"")</x:f>
        <x:v>00</x:v>
      </x:c>
      <x:c r="B877">
        <x:f>'幕间与结算'!B784</x:f>
        <x:v>0</x:v>
      </x:c>
      <x:c r="C877">
        <x:f>'幕间与结算'!D784</x:f>
        <x:v>0</x:v>
      </x:c>
      <x:c r="D877">
        <x:f>'幕间与结算'!F784</x:f>
        <x:v>0</x:v>
      </x:c>
      <x:c r="E877">
        <x:f>IF(H877=1,MAX(-'幕间与结算'!E784,MIN(D877,IF(LEFT(C877,3)="技能：",99,IF(COUNTIF($L$2:$L$7,C877)&gt;0,18,999))-'幕间与结算'!E784)),0)</x:f>
        <x:v>0</x:v>
      </x:c>
      <x:c r="F877" t="str">
        <x:f>IF(C877=0,"",IF(G877=0,"记录不完整",IF(H877=0,"重复未计","已计入")))</x:f>
        <x:v/>
      </x:c>
      <x:c r="G877">
        <x:f>IF(AND(AND('幕间与结算'!A784&lt;&gt;"",'幕间与结算'!B784&lt;&gt;"",'幕间与结算'!I784&lt;&gt;"",OR(LEFT(C877,3)="技能：",COUNTIF($L$2:$L$19,C877)&gt;0),ISNUMBER('幕间与结算'!E784),ISNUMBER('幕间与结算'!F784),ISNUMBER('幕间与结算'!G784),'幕间与结算'!E784&gt;=0,'幕间与结算'!G784='幕间与结算'!E784+'幕间与结算'!F784),OR(B877&lt;&gt;"成长",AND(LEFT(C877,3)="技能：",C877&lt;&gt;"技能：非自然知识",'幕间与结算'!E784&gt;=1,'幕间与结算'!E784&lt;=99,'幕间与结算'!F784&gt;=0,'幕间与结算'!F784&lt;=4,'幕间与结算'!G784&lt;=99))),1,0)</x:f>
        <x:v>0</x:v>
      </x:c>
      <x:c r="H877">
        <x:f>IF(AND(G877=1,COUNTIFS($I$200:I877,I877,$G$200:G877,1)=1),1,0)</x:f>
        <x:v>0</x:v>
      </x:c>
      <x:c r="I877" t="str">
        <x:f>IF(G877=1,IF(B877="成长",A877&amp;"-成长-"&amp;C877,'幕间与结算'!I784),"")</x:f>
        <x:v/>
      </x:c>
      <x:c r="BF877">
        <x:f>MAX(0,MIN(18,BF876+IF(C877="力量",E877,0)))</x:f>
        <x:v>0</x:v>
      </x:c>
      <x:c r="BG877">
        <x:f>MAX(0,MIN(18,BG876+IF(C877="体质",E877,0)))</x:f>
        <x:v>0</x:v>
      </x:c>
      <x:c r="BH877">
        <x:f>MAX(0,MIN(18,BH876+IF(C877="敏捷",E877,0)))</x:f>
        <x:v>0</x:v>
      </x:c>
      <x:c r="BI877">
        <x:f>MAX(0,MIN(18,BI876+IF(C877="智力",E877,0)))</x:f>
        <x:v>0</x:v>
      </x:c>
      <x:c r="BJ877">
        <x:f>MAX(0,MIN(18,BJ876+IF(C877="意志",E877,0)))</x:f>
        <x:v>0</x:v>
      </x:c>
      <x:c r="BK877">
        <x:f>MAX(0,MIN(18,BK876+IF(C877="魅力",E877,0)))</x:f>
        <x:v>0</x:v>
      </x:c>
      <x:c r="BL877">
        <x:f>MAX(0,MIN(99,BL876+IF(C877="技能：非自然知识",E877,0)))</x:f>
        <x:v>0</x:v>
      </x:c>
      <x:c r="BM877">
        <x:f>MAX(0,MIN(CEILING((BF877+BG877)/2,1),BM876+IF(C877="体力",E877,0)))</x:f>
        <x:v>0</x:v>
      </x:c>
      <x:c r="BN877">
        <x:f>MAX(0,MIN(BJ877,BN876+IF(C877="毅力",E877,0)))</x:f>
        <x:v>0</x:v>
      </x:c>
      <x:c r="BO877">
        <x:f>MAX(0,MIN(99-BL877,BO876+IF(C877="理智",E877,0)))</x:f>
        <x:v>0</x:v>
      </x:c>
      <x:c r="BP877">
        <x:f>MAX(0,MIN(99,BP876+IF(C877="崩溃点",E877,0)))</x:f>
        <x:v>0</x:v>
      </x:c>
      <x:c r="BQ877">
        <x:f>MAX(0,MIN(BK877,IF(AND(H877=1,C877="重要关系1",LEFT('幕间与结算'!H784,8)="建立新的重要关系"),'幕间与结算'!E784+E877,BQ876+IF(C877="重要关系1",E877,0)+IF(AND(C877="魅力",E877&lt;0),E877,0))))</x:f>
        <x:v>0</x:v>
      </x:c>
      <x:c r="BR877">
        <x:f>MAX(0,MIN(BK877,IF(AND(H877=1,C877="重要关系2",LEFT('幕间与结算'!H784,8)="建立新的重要关系"),'幕间与结算'!E784+E877,BR876+IF(C877="重要关系2",E877,0)+IF(AND(C877="魅力",E877&lt;0),E877,0))))</x:f>
        <x:v>0</x:v>
      </x:c>
      <x:c r="BS877">
        <x:f>MAX(0,MIN(BK877,IF(AND(H877=1,C877="重要关系3",LEFT('幕间与结算'!H784,8)="建立新的重要关系"),'幕间与结算'!E784+E877,BS876+IF(C877="重要关系3",E877,0)+IF(AND(C877="魅力",E877&lt;0),E877,0))))</x:f>
        <x:v>0</x:v>
      </x:c>
      <x:c r="BT877">
        <x:f>MAX(0,MIN(BK877,IF(AND(H877=1,C877="重要关系4",LEFT('幕间与结算'!H784,8)="建立新的重要关系"),'幕间与结算'!E784+E877,BT876+IF(C877="重要关系4",E877,0)+IF(AND(C877="魅力",E877&lt;0),E877,0))))</x:f>
        <x:v>0</x:v>
      </x:c>
      <x:c r="BU877">
        <x:f>MAX(0,MIN(BK877,IF(AND(H877=1,C877="重要关系5",LEFT('幕间与结算'!H784,8)="建立新的重要关系"),'幕间与结算'!E784+E877,BU876+IF(C877="重要关系5",E877,0)+IF(AND(C877="魅力",E877&lt;0),E877,0))))</x:f>
        <x:v>0</x:v>
      </x:c>
      <x:c r="BV877">
        <x:f>MAX(0,MIN(BK877,IF(AND(H877=1,C877="重要关系6",LEFT('幕间与结算'!H784,8)="建立新的重要关系"),'幕间与结算'!E784+E877,BV876+IF(C877="重要关系6",E877,0)+IF(AND(C877="魅力",E877&lt;0),E877,0))))</x:f>
        <x:v>0</x:v>
      </x:c>
      <x:c r="BW877">
        <x:f>MAX(0,MIN(BK877,IF(AND(H877=1,C877="重要关系7",LEFT('幕间与结算'!H784,8)="建立新的重要关系"),'幕间与结算'!E784+E877,BW876+IF(C877="重要关系7",E877,0)+IF(AND(C877="魅力",E877&lt;0),E877,0))))</x:f>
        <x:v>0</x:v>
      </x:c>
    </x:row>
    <x:row r="878">
      <x:c r="A878" t="str">
        <x:f>IFERROR(TEXT(VALUE('幕间与结算'!A785),"00"),"")</x:f>
        <x:v>00</x:v>
      </x:c>
      <x:c r="B878">
        <x:f>'幕间与结算'!B785</x:f>
        <x:v>0</x:v>
      </x:c>
      <x:c r="C878">
        <x:f>'幕间与结算'!D785</x:f>
        <x:v>0</x:v>
      </x:c>
      <x:c r="D878">
        <x:f>'幕间与结算'!F785</x:f>
        <x:v>0</x:v>
      </x:c>
      <x:c r="E878">
        <x:f>IF(H878=1,MAX(-'幕间与结算'!E785,MIN(D878,IF(LEFT(C878,3)="技能：",99,IF(COUNTIF($L$2:$L$7,C878)&gt;0,18,999))-'幕间与结算'!E785)),0)</x:f>
        <x:v>0</x:v>
      </x:c>
      <x:c r="F878" t="str">
        <x:f>IF(C878=0,"",IF(G878=0,"记录不完整",IF(H878=0,"重复未计","已计入")))</x:f>
        <x:v/>
      </x:c>
      <x:c r="G878">
        <x:f>IF(AND(AND('幕间与结算'!A785&lt;&gt;"",'幕间与结算'!B785&lt;&gt;"",'幕间与结算'!I785&lt;&gt;"",OR(LEFT(C878,3)="技能：",COUNTIF($L$2:$L$19,C878)&gt;0),ISNUMBER('幕间与结算'!E785),ISNUMBER('幕间与结算'!F785),ISNUMBER('幕间与结算'!G785),'幕间与结算'!E785&gt;=0,'幕间与结算'!G785='幕间与结算'!E785+'幕间与结算'!F785),OR(B878&lt;&gt;"成长",AND(LEFT(C878,3)="技能：",C878&lt;&gt;"技能：非自然知识",'幕间与结算'!E785&gt;=1,'幕间与结算'!E785&lt;=99,'幕间与结算'!F785&gt;=0,'幕间与结算'!F785&lt;=4,'幕间与结算'!G785&lt;=99))),1,0)</x:f>
        <x:v>0</x:v>
      </x:c>
      <x:c r="H878">
        <x:f>IF(AND(G878=1,COUNTIFS($I$200:I878,I878,$G$200:G878,1)=1),1,0)</x:f>
        <x:v>0</x:v>
      </x:c>
      <x:c r="I878" t="str">
        <x:f>IF(G878=1,IF(B878="成长",A878&amp;"-成长-"&amp;C878,'幕间与结算'!I785),"")</x:f>
        <x:v/>
      </x:c>
      <x:c r="BF878">
        <x:f>MAX(0,MIN(18,BF877+IF(C878="力量",E878,0)))</x:f>
        <x:v>0</x:v>
      </x:c>
      <x:c r="BG878">
        <x:f>MAX(0,MIN(18,BG877+IF(C878="体质",E878,0)))</x:f>
        <x:v>0</x:v>
      </x:c>
      <x:c r="BH878">
        <x:f>MAX(0,MIN(18,BH877+IF(C878="敏捷",E878,0)))</x:f>
        <x:v>0</x:v>
      </x:c>
      <x:c r="BI878">
        <x:f>MAX(0,MIN(18,BI877+IF(C878="智力",E878,0)))</x:f>
        <x:v>0</x:v>
      </x:c>
      <x:c r="BJ878">
        <x:f>MAX(0,MIN(18,BJ877+IF(C878="意志",E878,0)))</x:f>
        <x:v>0</x:v>
      </x:c>
      <x:c r="BK878">
        <x:f>MAX(0,MIN(18,BK877+IF(C878="魅力",E878,0)))</x:f>
        <x:v>0</x:v>
      </x:c>
      <x:c r="BL878">
        <x:f>MAX(0,MIN(99,BL877+IF(C878="技能：非自然知识",E878,0)))</x:f>
        <x:v>0</x:v>
      </x:c>
      <x:c r="BM878">
        <x:f>MAX(0,MIN(CEILING((BF878+BG878)/2,1),BM877+IF(C878="体力",E878,0)))</x:f>
        <x:v>0</x:v>
      </x:c>
      <x:c r="BN878">
        <x:f>MAX(0,MIN(BJ878,BN877+IF(C878="毅力",E878,0)))</x:f>
        <x:v>0</x:v>
      </x:c>
      <x:c r="BO878">
        <x:f>MAX(0,MIN(99-BL878,BO877+IF(C878="理智",E878,0)))</x:f>
        <x:v>0</x:v>
      </x:c>
      <x:c r="BP878">
        <x:f>MAX(0,MIN(99,BP877+IF(C878="崩溃点",E878,0)))</x:f>
        <x:v>0</x:v>
      </x:c>
      <x:c r="BQ878">
        <x:f>MAX(0,MIN(BK878,IF(AND(H878=1,C878="重要关系1",LEFT('幕间与结算'!H785,8)="建立新的重要关系"),'幕间与结算'!E785+E878,BQ877+IF(C878="重要关系1",E878,0)+IF(AND(C878="魅力",E878&lt;0),E878,0))))</x:f>
        <x:v>0</x:v>
      </x:c>
      <x:c r="BR878">
        <x:f>MAX(0,MIN(BK878,IF(AND(H878=1,C878="重要关系2",LEFT('幕间与结算'!H785,8)="建立新的重要关系"),'幕间与结算'!E785+E878,BR877+IF(C878="重要关系2",E878,0)+IF(AND(C878="魅力",E878&lt;0),E878,0))))</x:f>
        <x:v>0</x:v>
      </x:c>
      <x:c r="BS878">
        <x:f>MAX(0,MIN(BK878,IF(AND(H878=1,C878="重要关系3",LEFT('幕间与结算'!H785,8)="建立新的重要关系"),'幕间与结算'!E785+E878,BS877+IF(C878="重要关系3",E878,0)+IF(AND(C878="魅力",E878&lt;0),E878,0))))</x:f>
        <x:v>0</x:v>
      </x:c>
      <x:c r="BT878">
        <x:f>MAX(0,MIN(BK878,IF(AND(H878=1,C878="重要关系4",LEFT('幕间与结算'!H785,8)="建立新的重要关系"),'幕间与结算'!E785+E878,BT877+IF(C878="重要关系4",E878,0)+IF(AND(C878="魅力",E878&lt;0),E878,0))))</x:f>
        <x:v>0</x:v>
      </x:c>
      <x:c r="BU878">
        <x:f>MAX(0,MIN(BK878,IF(AND(H878=1,C878="重要关系5",LEFT('幕间与结算'!H785,8)="建立新的重要关系"),'幕间与结算'!E785+E878,BU877+IF(C878="重要关系5",E878,0)+IF(AND(C878="魅力",E878&lt;0),E878,0))))</x:f>
        <x:v>0</x:v>
      </x:c>
      <x:c r="BV878">
        <x:f>MAX(0,MIN(BK878,IF(AND(H878=1,C878="重要关系6",LEFT('幕间与结算'!H785,8)="建立新的重要关系"),'幕间与结算'!E785+E878,BV877+IF(C878="重要关系6",E878,0)+IF(AND(C878="魅力",E878&lt;0),E878,0))))</x:f>
        <x:v>0</x:v>
      </x:c>
      <x:c r="BW878">
        <x:f>MAX(0,MIN(BK878,IF(AND(H878=1,C878="重要关系7",LEFT('幕间与结算'!H785,8)="建立新的重要关系"),'幕间与结算'!E785+E878,BW877+IF(C878="重要关系7",E878,0)+IF(AND(C878="魅力",E878&lt;0),E878,0))))</x:f>
        <x:v>0</x:v>
      </x:c>
    </x:row>
    <x:row r="879">
      <x:c r="A879" t="str">
        <x:f>IFERROR(TEXT(VALUE('幕间与结算'!A786),"00"),"")</x:f>
        <x:v>00</x:v>
      </x:c>
      <x:c r="B879">
        <x:f>'幕间与结算'!B786</x:f>
        <x:v>0</x:v>
      </x:c>
      <x:c r="C879">
        <x:f>'幕间与结算'!D786</x:f>
        <x:v>0</x:v>
      </x:c>
      <x:c r="D879">
        <x:f>'幕间与结算'!F786</x:f>
        <x:v>0</x:v>
      </x:c>
      <x:c r="E879">
        <x:f>IF(H879=1,MAX(-'幕间与结算'!E786,MIN(D879,IF(LEFT(C879,3)="技能：",99,IF(COUNTIF($L$2:$L$7,C879)&gt;0,18,999))-'幕间与结算'!E786)),0)</x:f>
        <x:v>0</x:v>
      </x:c>
      <x:c r="F879" t="str">
        <x:f>IF(C879=0,"",IF(G879=0,"记录不完整",IF(H879=0,"重复未计","已计入")))</x:f>
        <x:v/>
      </x:c>
      <x:c r="G879">
        <x:f>IF(AND(AND('幕间与结算'!A786&lt;&gt;"",'幕间与结算'!B786&lt;&gt;"",'幕间与结算'!I786&lt;&gt;"",OR(LEFT(C879,3)="技能：",COUNTIF($L$2:$L$19,C879)&gt;0),ISNUMBER('幕间与结算'!E786),ISNUMBER('幕间与结算'!F786),ISNUMBER('幕间与结算'!G786),'幕间与结算'!E786&gt;=0,'幕间与结算'!G786='幕间与结算'!E786+'幕间与结算'!F786),OR(B879&lt;&gt;"成长",AND(LEFT(C879,3)="技能：",C879&lt;&gt;"技能：非自然知识",'幕间与结算'!E786&gt;=1,'幕间与结算'!E786&lt;=99,'幕间与结算'!F786&gt;=0,'幕间与结算'!F786&lt;=4,'幕间与结算'!G786&lt;=99))),1,0)</x:f>
        <x:v>0</x:v>
      </x:c>
      <x:c r="H879">
        <x:f>IF(AND(G879=1,COUNTIFS($I$200:I879,I879,$G$200:G879,1)=1),1,0)</x:f>
        <x:v>0</x:v>
      </x:c>
      <x:c r="I879" t="str">
        <x:f>IF(G879=1,IF(B879="成长",A879&amp;"-成长-"&amp;C879,'幕间与结算'!I786),"")</x:f>
        <x:v/>
      </x:c>
      <x:c r="BF879">
        <x:f>MAX(0,MIN(18,BF878+IF(C879="力量",E879,0)))</x:f>
        <x:v>0</x:v>
      </x:c>
      <x:c r="BG879">
        <x:f>MAX(0,MIN(18,BG878+IF(C879="体质",E879,0)))</x:f>
        <x:v>0</x:v>
      </x:c>
      <x:c r="BH879">
        <x:f>MAX(0,MIN(18,BH878+IF(C879="敏捷",E879,0)))</x:f>
        <x:v>0</x:v>
      </x:c>
      <x:c r="BI879">
        <x:f>MAX(0,MIN(18,BI878+IF(C879="智力",E879,0)))</x:f>
        <x:v>0</x:v>
      </x:c>
      <x:c r="BJ879">
        <x:f>MAX(0,MIN(18,BJ878+IF(C879="意志",E879,0)))</x:f>
        <x:v>0</x:v>
      </x:c>
      <x:c r="BK879">
        <x:f>MAX(0,MIN(18,BK878+IF(C879="魅力",E879,0)))</x:f>
        <x:v>0</x:v>
      </x:c>
      <x:c r="BL879">
        <x:f>MAX(0,MIN(99,BL878+IF(C879="技能：非自然知识",E879,0)))</x:f>
        <x:v>0</x:v>
      </x:c>
      <x:c r="BM879">
        <x:f>MAX(0,MIN(CEILING((BF879+BG879)/2,1),BM878+IF(C879="体力",E879,0)))</x:f>
        <x:v>0</x:v>
      </x:c>
      <x:c r="BN879">
        <x:f>MAX(0,MIN(BJ879,BN878+IF(C879="毅力",E879,0)))</x:f>
        <x:v>0</x:v>
      </x:c>
      <x:c r="BO879">
        <x:f>MAX(0,MIN(99-BL879,BO878+IF(C879="理智",E879,0)))</x:f>
        <x:v>0</x:v>
      </x:c>
      <x:c r="BP879">
        <x:f>MAX(0,MIN(99,BP878+IF(C879="崩溃点",E879,0)))</x:f>
        <x:v>0</x:v>
      </x:c>
      <x:c r="BQ879">
        <x:f>MAX(0,MIN(BK879,IF(AND(H879=1,C879="重要关系1",LEFT('幕间与结算'!H786,8)="建立新的重要关系"),'幕间与结算'!E786+E879,BQ878+IF(C879="重要关系1",E879,0)+IF(AND(C879="魅力",E879&lt;0),E879,0))))</x:f>
        <x:v>0</x:v>
      </x:c>
      <x:c r="BR879">
        <x:f>MAX(0,MIN(BK879,IF(AND(H879=1,C879="重要关系2",LEFT('幕间与结算'!H786,8)="建立新的重要关系"),'幕间与结算'!E786+E879,BR878+IF(C879="重要关系2",E879,0)+IF(AND(C879="魅力",E879&lt;0),E879,0))))</x:f>
        <x:v>0</x:v>
      </x:c>
      <x:c r="BS879">
        <x:f>MAX(0,MIN(BK879,IF(AND(H879=1,C879="重要关系3",LEFT('幕间与结算'!H786,8)="建立新的重要关系"),'幕间与结算'!E786+E879,BS878+IF(C879="重要关系3",E879,0)+IF(AND(C879="魅力",E879&lt;0),E879,0))))</x:f>
        <x:v>0</x:v>
      </x:c>
      <x:c r="BT879">
        <x:f>MAX(0,MIN(BK879,IF(AND(H879=1,C879="重要关系4",LEFT('幕间与结算'!H786,8)="建立新的重要关系"),'幕间与结算'!E786+E879,BT878+IF(C879="重要关系4",E879,0)+IF(AND(C879="魅力",E879&lt;0),E879,0))))</x:f>
        <x:v>0</x:v>
      </x:c>
      <x:c r="BU879">
        <x:f>MAX(0,MIN(BK879,IF(AND(H879=1,C879="重要关系5",LEFT('幕间与结算'!H786,8)="建立新的重要关系"),'幕间与结算'!E786+E879,BU878+IF(C879="重要关系5",E879,0)+IF(AND(C879="魅力",E879&lt;0),E879,0))))</x:f>
        <x:v>0</x:v>
      </x:c>
      <x:c r="BV879">
        <x:f>MAX(0,MIN(BK879,IF(AND(H879=1,C879="重要关系6",LEFT('幕间与结算'!H786,8)="建立新的重要关系"),'幕间与结算'!E786+E879,BV878+IF(C879="重要关系6",E879,0)+IF(AND(C879="魅力",E879&lt;0),E879,0))))</x:f>
        <x:v>0</x:v>
      </x:c>
      <x:c r="BW879">
        <x:f>MAX(0,MIN(BK879,IF(AND(H879=1,C879="重要关系7",LEFT('幕间与结算'!H786,8)="建立新的重要关系"),'幕间与结算'!E786+E879,BW878+IF(C879="重要关系7",E879,0)+IF(AND(C879="魅力",E879&lt;0),E879,0))))</x:f>
        <x:v>0</x:v>
      </x:c>
    </x:row>
    <x:row r="880">
      <x:c r="A880" t="str">
        <x:f>IFERROR(TEXT(VALUE('幕间与结算'!A787),"00"),"")</x:f>
        <x:v>00</x:v>
      </x:c>
      <x:c r="B880">
        <x:f>'幕间与结算'!B787</x:f>
        <x:v>0</x:v>
      </x:c>
      <x:c r="C880">
        <x:f>'幕间与结算'!D787</x:f>
        <x:v>0</x:v>
      </x:c>
      <x:c r="D880">
        <x:f>'幕间与结算'!F787</x:f>
        <x:v>0</x:v>
      </x:c>
      <x:c r="E880">
        <x:f>IF(H880=1,MAX(-'幕间与结算'!E787,MIN(D880,IF(LEFT(C880,3)="技能：",99,IF(COUNTIF($L$2:$L$7,C880)&gt;0,18,999))-'幕间与结算'!E787)),0)</x:f>
        <x:v>0</x:v>
      </x:c>
      <x:c r="F880" t="str">
        <x:f>IF(C880=0,"",IF(G880=0,"记录不完整",IF(H880=0,"重复未计","已计入")))</x:f>
        <x:v/>
      </x:c>
      <x:c r="G880">
        <x:f>IF(AND(AND('幕间与结算'!A787&lt;&gt;"",'幕间与结算'!B787&lt;&gt;"",'幕间与结算'!I787&lt;&gt;"",OR(LEFT(C880,3)="技能：",COUNTIF($L$2:$L$19,C880)&gt;0),ISNUMBER('幕间与结算'!E787),ISNUMBER('幕间与结算'!F787),ISNUMBER('幕间与结算'!G787),'幕间与结算'!E787&gt;=0,'幕间与结算'!G787='幕间与结算'!E787+'幕间与结算'!F787),OR(B880&lt;&gt;"成长",AND(LEFT(C880,3)="技能：",C880&lt;&gt;"技能：非自然知识",'幕间与结算'!E787&gt;=1,'幕间与结算'!E787&lt;=99,'幕间与结算'!F787&gt;=0,'幕间与结算'!F787&lt;=4,'幕间与结算'!G787&lt;=99))),1,0)</x:f>
        <x:v>0</x:v>
      </x:c>
      <x:c r="H880">
        <x:f>IF(AND(G880=1,COUNTIFS($I$200:I880,I880,$G$200:G880,1)=1),1,0)</x:f>
        <x:v>0</x:v>
      </x:c>
      <x:c r="I880" t="str">
        <x:f>IF(G880=1,IF(B880="成长",A880&amp;"-成长-"&amp;C880,'幕间与结算'!I787),"")</x:f>
        <x:v/>
      </x:c>
      <x:c r="BF880">
        <x:f>MAX(0,MIN(18,BF879+IF(C880="力量",E880,0)))</x:f>
        <x:v>0</x:v>
      </x:c>
      <x:c r="BG880">
        <x:f>MAX(0,MIN(18,BG879+IF(C880="体质",E880,0)))</x:f>
        <x:v>0</x:v>
      </x:c>
      <x:c r="BH880">
        <x:f>MAX(0,MIN(18,BH879+IF(C880="敏捷",E880,0)))</x:f>
        <x:v>0</x:v>
      </x:c>
      <x:c r="BI880">
        <x:f>MAX(0,MIN(18,BI879+IF(C880="智力",E880,0)))</x:f>
        <x:v>0</x:v>
      </x:c>
      <x:c r="BJ880">
        <x:f>MAX(0,MIN(18,BJ879+IF(C880="意志",E880,0)))</x:f>
        <x:v>0</x:v>
      </x:c>
      <x:c r="BK880">
        <x:f>MAX(0,MIN(18,BK879+IF(C880="魅力",E880,0)))</x:f>
        <x:v>0</x:v>
      </x:c>
      <x:c r="BL880">
        <x:f>MAX(0,MIN(99,BL879+IF(C880="技能：非自然知识",E880,0)))</x:f>
        <x:v>0</x:v>
      </x:c>
      <x:c r="BM880">
        <x:f>MAX(0,MIN(CEILING((BF880+BG880)/2,1),BM879+IF(C880="体力",E880,0)))</x:f>
        <x:v>0</x:v>
      </x:c>
      <x:c r="BN880">
        <x:f>MAX(0,MIN(BJ880,BN879+IF(C880="毅力",E880,0)))</x:f>
        <x:v>0</x:v>
      </x:c>
      <x:c r="BO880">
        <x:f>MAX(0,MIN(99-BL880,BO879+IF(C880="理智",E880,0)))</x:f>
        <x:v>0</x:v>
      </x:c>
      <x:c r="BP880">
        <x:f>MAX(0,MIN(99,BP879+IF(C880="崩溃点",E880,0)))</x:f>
        <x:v>0</x:v>
      </x:c>
      <x:c r="BQ880">
        <x:f>MAX(0,MIN(BK880,IF(AND(H880=1,C880="重要关系1",LEFT('幕间与结算'!H787,8)="建立新的重要关系"),'幕间与结算'!E787+E880,BQ879+IF(C880="重要关系1",E880,0)+IF(AND(C880="魅力",E880&lt;0),E880,0))))</x:f>
        <x:v>0</x:v>
      </x:c>
      <x:c r="BR880">
        <x:f>MAX(0,MIN(BK880,IF(AND(H880=1,C880="重要关系2",LEFT('幕间与结算'!H787,8)="建立新的重要关系"),'幕间与结算'!E787+E880,BR879+IF(C880="重要关系2",E880,0)+IF(AND(C880="魅力",E880&lt;0),E880,0))))</x:f>
        <x:v>0</x:v>
      </x:c>
      <x:c r="BS880">
        <x:f>MAX(0,MIN(BK880,IF(AND(H880=1,C880="重要关系3",LEFT('幕间与结算'!H787,8)="建立新的重要关系"),'幕间与结算'!E787+E880,BS879+IF(C880="重要关系3",E880,0)+IF(AND(C880="魅力",E880&lt;0),E880,0))))</x:f>
        <x:v>0</x:v>
      </x:c>
      <x:c r="BT880">
        <x:f>MAX(0,MIN(BK880,IF(AND(H880=1,C880="重要关系4",LEFT('幕间与结算'!H787,8)="建立新的重要关系"),'幕间与结算'!E787+E880,BT879+IF(C880="重要关系4",E880,0)+IF(AND(C880="魅力",E880&lt;0),E880,0))))</x:f>
        <x:v>0</x:v>
      </x:c>
      <x:c r="BU880">
        <x:f>MAX(0,MIN(BK880,IF(AND(H880=1,C880="重要关系5",LEFT('幕间与结算'!H787,8)="建立新的重要关系"),'幕间与结算'!E787+E880,BU879+IF(C880="重要关系5",E880,0)+IF(AND(C880="魅力",E880&lt;0),E880,0))))</x:f>
        <x:v>0</x:v>
      </x:c>
      <x:c r="BV880">
        <x:f>MAX(0,MIN(BK880,IF(AND(H880=1,C880="重要关系6",LEFT('幕间与结算'!H787,8)="建立新的重要关系"),'幕间与结算'!E787+E880,BV879+IF(C880="重要关系6",E880,0)+IF(AND(C880="魅力",E880&lt;0),E880,0))))</x:f>
        <x:v>0</x:v>
      </x:c>
      <x:c r="BW880">
        <x:f>MAX(0,MIN(BK880,IF(AND(H880=1,C880="重要关系7",LEFT('幕间与结算'!H787,8)="建立新的重要关系"),'幕间与结算'!E787+E880,BW879+IF(C880="重要关系7",E880,0)+IF(AND(C880="魅力",E880&lt;0),E880,0))))</x:f>
        <x:v>0</x:v>
      </x:c>
    </x:row>
    <x:row r="881">
      <x:c r="A881" t="str">
        <x:f>IFERROR(TEXT(VALUE('幕间与结算'!A788),"00"),"")</x:f>
        <x:v>00</x:v>
      </x:c>
      <x:c r="B881">
        <x:f>'幕间与结算'!B788</x:f>
        <x:v>0</x:v>
      </x:c>
      <x:c r="C881">
        <x:f>'幕间与结算'!D788</x:f>
        <x:v>0</x:v>
      </x:c>
      <x:c r="D881">
        <x:f>'幕间与结算'!F788</x:f>
        <x:v>0</x:v>
      </x:c>
      <x:c r="E881">
        <x:f>IF(H881=1,MAX(-'幕间与结算'!E788,MIN(D881,IF(LEFT(C881,3)="技能：",99,IF(COUNTIF($L$2:$L$7,C881)&gt;0,18,999))-'幕间与结算'!E788)),0)</x:f>
        <x:v>0</x:v>
      </x:c>
      <x:c r="F881" t="str">
        <x:f>IF(C881=0,"",IF(G881=0,"记录不完整",IF(H881=0,"重复未计","已计入")))</x:f>
        <x:v/>
      </x:c>
      <x:c r="G881">
        <x:f>IF(AND(AND('幕间与结算'!A788&lt;&gt;"",'幕间与结算'!B788&lt;&gt;"",'幕间与结算'!I788&lt;&gt;"",OR(LEFT(C881,3)="技能：",COUNTIF($L$2:$L$19,C881)&gt;0),ISNUMBER('幕间与结算'!E788),ISNUMBER('幕间与结算'!F788),ISNUMBER('幕间与结算'!G788),'幕间与结算'!E788&gt;=0,'幕间与结算'!G788='幕间与结算'!E788+'幕间与结算'!F788),OR(B881&lt;&gt;"成长",AND(LEFT(C881,3)="技能：",C881&lt;&gt;"技能：非自然知识",'幕间与结算'!E788&gt;=1,'幕间与结算'!E788&lt;=99,'幕间与结算'!F788&gt;=0,'幕间与结算'!F788&lt;=4,'幕间与结算'!G788&lt;=99))),1,0)</x:f>
        <x:v>0</x:v>
      </x:c>
      <x:c r="H881">
        <x:f>IF(AND(G881=1,COUNTIFS($I$200:I881,I881,$G$200:G881,1)=1),1,0)</x:f>
        <x:v>0</x:v>
      </x:c>
      <x:c r="I881" t="str">
        <x:f>IF(G881=1,IF(B881="成长",A881&amp;"-成长-"&amp;C881,'幕间与结算'!I788),"")</x:f>
        <x:v/>
      </x:c>
      <x:c r="BF881">
        <x:f>MAX(0,MIN(18,BF880+IF(C881="力量",E881,0)))</x:f>
        <x:v>0</x:v>
      </x:c>
      <x:c r="BG881">
        <x:f>MAX(0,MIN(18,BG880+IF(C881="体质",E881,0)))</x:f>
        <x:v>0</x:v>
      </x:c>
      <x:c r="BH881">
        <x:f>MAX(0,MIN(18,BH880+IF(C881="敏捷",E881,0)))</x:f>
        <x:v>0</x:v>
      </x:c>
      <x:c r="BI881">
        <x:f>MAX(0,MIN(18,BI880+IF(C881="智力",E881,0)))</x:f>
        <x:v>0</x:v>
      </x:c>
      <x:c r="BJ881">
        <x:f>MAX(0,MIN(18,BJ880+IF(C881="意志",E881,0)))</x:f>
        <x:v>0</x:v>
      </x:c>
      <x:c r="BK881">
        <x:f>MAX(0,MIN(18,BK880+IF(C881="魅力",E881,0)))</x:f>
        <x:v>0</x:v>
      </x:c>
      <x:c r="BL881">
        <x:f>MAX(0,MIN(99,BL880+IF(C881="技能：非自然知识",E881,0)))</x:f>
        <x:v>0</x:v>
      </x:c>
      <x:c r="BM881">
        <x:f>MAX(0,MIN(CEILING((BF881+BG881)/2,1),BM880+IF(C881="体力",E881,0)))</x:f>
        <x:v>0</x:v>
      </x:c>
      <x:c r="BN881">
        <x:f>MAX(0,MIN(BJ881,BN880+IF(C881="毅力",E881,0)))</x:f>
        <x:v>0</x:v>
      </x:c>
      <x:c r="BO881">
        <x:f>MAX(0,MIN(99-BL881,BO880+IF(C881="理智",E881,0)))</x:f>
        <x:v>0</x:v>
      </x:c>
      <x:c r="BP881">
        <x:f>MAX(0,MIN(99,BP880+IF(C881="崩溃点",E881,0)))</x:f>
        <x:v>0</x:v>
      </x:c>
      <x:c r="BQ881">
        <x:f>MAX(0,MIN(BK881,IF(AND(H881=1,C881="重要关系1",LEFT('幕间与结算'!H788,8)="建立新的重要关系"),'幕间与结算'!E788+E881,BQ880+IF(C881="重要关系1",E881,0)+IF(AND(C881="魅力",E881&lt;0),E881,0))))</x:f>
        <x:v>0</x:v>
      </x:c>
      <x:c r="BR881">
        <x:f>MAX(0,MIN(BK881,IF(AND(H881=1,C881="重要关系2",LEFT('幕间与结算'!H788,8)="建立新的重要关系"),'幕间与结算'!E788+E881,BR880+IF(C881="重要关系2",E881,0)+IF(AND(C881="魅力",E881&lt;0),E881,0))))</x:f>
        <x:v>0</x:v>
      </x:c>
      <x:c r="BS881">
        <x:f>MAX(0,MIN(BK881,IF(AND(H881=1,C881="重要关系3",LEFT('幕间与结算'!H788,8)="建立新的重要关系"),'幕间与结算'!E788+E881,BS880+IF(C881="重要关系3",E881,0)+IF(AND(C881="魅力",E881&lt;0),E881,0))))</x:f>
        <x:v>0</x:v>
      </x:c>
      <x:c r="BT881">
        <x:f>MAX(0,MIN(BK881,IF(AND(H881=1,C881="重要关系4",LEFT('幕间与结算'!H788,8)="建立新的重要关系"),'幕间与结算'!E788+E881,BT880+IF(C881="重要关系4",E881,0)+IF(AND(C881="魅力",E881&lt;0),E881,0))))</x:f>
        <x:v>0</x:v>
      </x:c>
      <x:c r="BU881">
        <x:f>MAX(0,MIN(BK881,IF(AND(H881=1,C881="重要关系5",LEFT('幕间与结算'!H788,8)="建立新的重要关系"),'幕间与结算'!E788+E881,BU880+IF(C881="重要关系5",E881,0)+IF(AND(C881="魅力",E881&lt;0),E881,0))))</x:f>
        <x:v>0</x:v>
      </x:c>
      <x:c r="BV881">
        <x:f>MAX(0,MIN(BK881,IF(AND(H881=1,C881="重要关系6",LEFT('幕间与结算'!H788,8)="建立新的重要关系"),'幕间与结算'!E788+E881,BV880+IF(C881="重要关系6",E881,0)+IF(AND(C881="魅力",E881&lt;0),E881,0))))</x:f>
        <x:v>0</x:v>
      </x:c>
      <x:c r="BW881">
        <x:f>MAX(0,MIN(BK881,IF(AND(H881=1,C881="重要关系7",LEFT('幕间与结算'!H788,8)="建立新的重要关系"),'幕间与结算'!E788+E881,BW880+IF(C881="重要关系7",E881,0)+IF(AND(C881="魅力",E881&lt;0),E881,0))))</x:f>
        <x:v>0</x:v>
      </x:c>
    </x:row>
    <x:row r="882">
      <x:c r="A882" t="str">
        <x:f>IFERROR(TEXT(VALUE('幕间与结算'!A789),"00"),"")</x:f>
        <x:v>00</x:v>
      </x:c>
      <x:c r="B882">
        <x:f>'幕间与结算'!B789</x:f>
        <x:v>0</x:v>
      </x:c>
      <x:c r="C882">
        <x:f>'幕间与结算'!D789</x:f>
        <x:v>0</x:v>
      </x:c>
      <x:c r="D882">
        <x:f>'幕间与结算'!F789</x:f>
        <x:v>0</x:v>
      </x:c>
      <x:c r="E882">
        <x:f>IF(H882=1,MAX(-'幕间与结算'!E789,MIN(D882,IF(LEFT(C882,3)="技能：",99,IF(COUNTIF($L$2:$L$7,C882)&gt;0,18,999))-'幕间与结算'!E789)),0)</x:f>
        <x:v>0</x:v>
      </x:c>
      <x:c r="F882" t="str">
        <x:f>IF(C882=0,"",IF(G882=0,"记录不完整",IF(H882=0,"重复未计","已计入")))</x:f>
        <x:v/>
      </x:c>
      <x:c r="G882">
        <x:f>IF(AND(AND('幕间与结算'!A789&lt;&gt;"",'幕间与结算'!B789&lt;&gt;"",'幕间与结算'!I789&lt;&gt;"",OR(LEFT(C882,3)="技能：",COUNTIF($L$2:$L$19,C882)&gt;0),ISNUMBER('幕间与结算'!E789),ISNUMBER('幕间与结算'!F789),ISNUMBER('幕间与结算'!G789),'幕间与结算'!E789&gt;=0,'幕间与结算'!G789='幕间与结算'!E789+'幕间与结算'!F789),OR(B882&lt;&gt;"成长",AND(LEFT(C882,3)="技能：",C882&lt;&gt;"技能：非自然知识",'幕间与结算'!E789&gt;=1,'幕间与结算'!E789&lt;=99,'幕间与结算'!F789&gt;=0,'幕间与结算'!F789&lt;=4,'幕间与结算'!G789&lt;=99))),1,0)</x:f>
        <x:v>0</x:v>
      </x:c>
      <x:c r="H882">
        <x:f>IF(AND(G882=1,COUNTIFS($I$200:I882,I882,$G$200:G882,1)=1),1,0)</x:f>
        <x:v>0</x:v>
      </x:c>
      <x:c r="I882" t="str">
        <x:f>IF(G882=1,IF(B882="成长",A882&amp;"-成长-"&amp;C882,'幕间与结算'!I789),"")</x:f>
        <x:v/>
      </x:c>
      <x:c r="BF882">
        <x:f>MAX(0,MIN(18,BF881+IF(C882="力量",E882,0)))</x:f>
        <x:v>0</x:v>
      </x:c>
      <x:c r="BG882">
        <x:f>MAX(0,MIN(18,BG881+IF(C882="体质",E882,0)))</x:f>
        <x:v>0</x:v>
      </x:c>
      <x:c r="BH882">
        <x:f>MAX(0,MIN(18,BH881+IF(C882="敏捷",E882,0)))</x:f>
        <x:v>0</x:v>
      </x:c>
      <x:c r="BI882">
        <x:f>MAX(0,MIN(18,BI881+IF(C882="智力",E882,0)))</x:f>
        <x:v>0</x:v>
      </x:c>
      <x:c r="BJ882">
        <x:f>MAX(0,MIN(18,BJ881+IF(C882="意志",E882,0)))</x:f>
        <x:v>0</x:v>
      </x:c>
      <x:c r="BK882">
        <x:f>MAX(0,MIN(18,BK881+IF(C882="魅力",E882,0)))</x:f>
        <x:v>0</x:v>
      </x:c>
      <x:c r="BL882">
        <x:f>MAX(0,MIN(99,BL881+IF(C882="技能：非自然知识",E882,0)))</x:f>
        <x:v>0</x:v>
      </x:c>
      <x:c r="BM882">
        <x:f>MAX(0,MIN(CEILING((BF882+BG882)/2,1),BM881+IF(C882="体力",E882,0)))</x:f>
        <x:v>0</x:v>
      </x:c>
      <x:c r="BN882">
        <x:f>MAX(0,MIN(BJ882,BN881+IF(C882="毅力",E882,0)))</x:f>
        <x:v>0</x:v>
      </x:c>
      <x:c r="BO882">
        <x:f>MAX(0,MIN(99-BL882,BO881+IF(C882="理智",E882,0)))</x:f>
        <x:v>0</x:v>
      </x:c>
      <x:c r="BP882">
        <x:f>MAX(0,MIN(99,BP881+IF(C882="崩溃点",E882,0)))</x:f>
        <x:v>0</x:v>
      </x:c>
      <x:c r="BQ882">
        <x:f>MAX(0,MIN(BK882,IF(AND(H882=1,C882="重要关系1",LEFT('幕间与结算'!H789,8)="建立新的重要关系"),'幕间与结算'!E789+E882,BQ881+IF(C882="重要关系1",E882,0)+IF(AND(C882="魅力",E882&lt;0),E882,0))))</x:f>
        <x:v>0</x:v>
      </x:c>
      <x:c r="BR882">
        <x:f>MAX(0,MIN(BK882,IF(AND(H882=1,C882="重要关系2",LEFT('幕间与结算'!H789,8)="建立新的重要关系"),'幕间与结算'!E789+E882,BR881+IF(C882="重要关系2",E882,0)+IF(AND(C882="魅力",E882&lt;0),E882,0))))</x:f>
        <x:v>0</x:v>
      </x:c>
      <x:c r="BS882">
        <x:f>MAX(0,MIN(BK882,IF(AND(H882=1,C882="重要关系3",LEFT('幕间与结算'!H789,8)="建立新的重要关系"),'幕间与结算'!E789+E882,BS881+IF(C882="重要关系3",E882,0)+IF(AND(C882="魅力",E882&lt;0),E882,0))))</x:f>
        <x:v>0</x:v>
      </x:c>
      <x:c r="BT882">
        <x:f>MAX(0,MIN(BK882,IF(AND(H882=1,C882="重要关系4",LEFT('幕间与结算'!H789,8)="建立新的重要关系"),'幕间与结算'!E789+E882,BT881+IF(C882="重要关系4",E882,0)+IF(AND(C882="魅力",E882&lt;0),E882,0))))</x:f>
        <x:v>0</x:v>
      </x:c>
      <x:c r="BU882">
        <x:f>MAX(0,MIN(BK882,IF(AND(H882=1,C882="重要关系5",LEFT('幕间与结算'!H789,8)="建立新的重要关系"),'幕间与结算'!E789+E882,BU881+IF(C882="重要关系5",E882,0)+IF(AND(C882="魅力",E882&lt;0),E882,0))))</x:f>
        <x:v>0</x:v>
      </x:c>
      <x:c r="BV882">
        <x:f>MAX(0,MIN(BK882,IF(AND(H882=1,C882="重要关系6",LEFT('幕间与结算'!H789,8)="建立新的重要关系"),'幕间与结算'!E789+E882,BV881+IF(C882="重要关系6",E882,0)+IF(AND(C882="魅力",E882&lt;0),E882,0))))</x:f>
        <x:v>0</x:v>
      </x:c>
      <x:c r="BW882">
        <x:f>MAX(0,MIN(BK882,IF(AND(H882=1,C882="重要关系7",LEFT('幕间与结算'!H789,8)="建立新的重要关系"),'幕间与结算'!E789+E882,BW881+IF(C882="重要关系7",E882,0)+IF(AND(C882="魅力",E882&lt;0),E882,0))))</x:f>
        <x:v>0</x:v>
      </x:c>
    </x:row>
    <x:row r="883">
      <x:c r="A883" t="str">
        <x:f>IFERROR(TEXT(VALUE('幕间与结算'!A790),"00"),"")</x:f>
        <x:v>00</x:v>
      </x:c>
      <x:c r="B883">
        <x:f>'幕间与结算'!B790</x:f>
        <x:v>0</x:v>
      </x:c>
      <x:c r="C883">
        <x:f>'幕间与结算'!D790</x:f>
        <x:v>0</x:v>
      </x:c>
      <x:c r="D883">
        <x:f>'幕间与结算'!F790</x:f>
        <x:v>0</x:v>
      </x:c>
      <x:c r="E883">
        <x:f>IF(H883=1,MAX(-'幕间与结算'!E790,MIN(D883,IF(LEFT(C883,3)="技能：",99,IF(COUNTIF($L$2:$L$7,C883)&gt;0,18,999))-'幕间与结算'!E790)),0)</x:f>
        <x:v>0</x:v>
      </x:c>
      <x:c r="F883" t="str">
        <x:f>IF(C883=0,"",IF(G883=0,"记录不完整",IF(H883=0,"重复未计","已计入")))</x:f>
        <x:v/>
      </x:c>
      <x:c r="G883">
        <x:f>IF(AND(AND('幕间与结算'!A790&lt;&gt;"",'幕间与结算'!B790&lt;&gt;"",'幕间与结算'!I790&lt;&gt;"",OR(LEFT(C883,3)="技能：",COUNTIF($L$2:$L$19,C883)&gt;0),ISNUMBER('幕间与结算'!E790),ISNUMBER('幕间与结算'!F790),ISNUMBER('幕间与结算'!G790),'幕间与结算'!E790&gt;=0,'幕间与结算'!G790='幕间与结算'!E790+'幕间与结算'!F790),OR(B883&lt;&gt;"成长",AND(LEFT(C883,3)="技能：",C883&lt;&gt;"技能：非自然知识",'幕间与结算'!E790&gt;=1,'幕间与结算'!E790&lt;=99,'幕间与结算'!F790&gt;=0,'幕间与结算'!F790&lt;=4,'幕间与结算'!G790&lt;=99))),1,0)</x:f>
        <x:v>0</x:v>
      </x:c>
      <x:c r="H883">
        <x:f>IF(AND(G883=1,COUNTIFS($I$200:I883,I883,$G$200:G883,1)=1),1,0)</x:f>
        <x:v>0</x:v>
      </x:c>
      <x:c r="I883" t="str">
        <x:f>IF(G883=1,IF(B883="成长",A883&amp;"-成长-"&amp;C883,'幕间与结算'!I790),"")</x:f>
        <x:v/>
      </x:c>
      <x:c r="BF883">
        <x:f>MAX(0,MIN(18,BF882+IF(C883="力量",E883,0)))</x:f>
        <x:v>0</x:v>
      </x:c>
      <x:c r="BG883">
        <x:f>MAX(0,MIN(18,BG882+IF(C883="体质",E883,0)))</x:f>
        <x:v>0</x:v>
      </x:c>
      <x:c r="BH883">
        <x:f>MAX(0,MIN(18,BH882+IF(C883="敏捷",E883,0)))</x:f>
        <x:v>0</x:v>
      </x:c>
      <x:c r="BI883">
        <x:f>MAX(0,MIN(18,BI882+IF(C883="智力",E883,0)))</x:f>
        <x:v>0</x:v>
      </x:c>
      <x:c r="BJ883">
        <x:f>MAX(0,MIN(18,BJ882+IF(C883="意志",E883,0)))</x:f>
        <x:v>0</x:v>
      </x:c>
      <x:c r="BK883">
        <x:f>MAX(0,MIN(18,BK882+IF(C883="魅力",E883,0)))</x:f>
        <x:v>0</x:v>
      </x:c>
      <x:c r="BL883">
        <x:f>MAX(0,MIN(99,BL882+IF(C883="技能：非自然知识",E883,0)))</x:f>
        <x:v>0</x:v>
      </x:c>
      <x:c r="BM883">
        <x:f>MAX(0,MIN(CEILING((BF883+BG883)/2,1),BM882+IF(C883="体力",E883,0)))</x:f>
        <x:v>0</x:v>
      </x:c>
      <x:c r="BN883">
        <x:f>MAX(0,MIN(BJ883,BN882+IF(C883="毅力",E883,0)))</x:f>
        <x:v>0</x:v>
      </x:c>
      <x:c r="BO883">
        <x:f>MAX(0,MIN(99-BL883,BO882+IF(C883="理智",E883,0)))</x:f>
        <x:v>0</x:v>
      </x:c>
      <x:c r="BP883">
        <x:f>MAX(0,MIN(99,BP882+IF(C883="崩溃点",E883,0)))</x:f>
        <x:v>0</x:v>
      </x:c>
      <x:c r="BQ883">
        <x:f>MAX(0,MIN(BK883,IF(AND(H883=1,C883="重要关系1",LEFT('幕间与结算'!H790,8)="建立新的重要关系"),'幕间与结算'!E790+E883,BQ882+IF(C883="重要关系1",E883,0)+IF(AND(C883="魅力",E883&lt;0),E883,0))))</x:f>
        <x:v>0</x:v>
      </x:c>
      <x:c r="BR883">
        <x:f>MAX(0,MIN(BK883,IF(AND(H883=1,C883="重要关系2",LEFT('幕间与结算'!H790,8)="建立新的重要关系"),'幕间与结算'!E790+E883,BR882+IF(C883="重要关系2",E883,0)+IF(AND(C883="魅力",E883&lt;0),E883,0))))</x:f>
        <x:v>0</x:v>
      </x:c>
      <x:c r="BS883">
        <x:f>MAX(0,MIN(BK883,IF(AND(H883=1,C883="重要关系3",LEFT('幕间与结算'!H790,8)="建立新的重要关系"),'幕间与结算'!E790+E883,BS882+IF(C883="重要关系3",E883,0)+IF(AND(C883="魅力",E883&lt;0),E883,0))))</x:f>
        <x:v>0</x:v>
      </x:c>
      <x:c r="BT883">
        <x:f>MAX(0,MIN(BK883,IF(AND(H883=1,C883="重要关系4",LEFT('幕间与结算'!H790,8)="建立新的重要关系"),'幕间与结算'!E790+E883,BT882+IF(C883="重要关系4",E883,0)+IF(AND(C883="魅力",E883&lt;0),E883,0))))</x:f>
        <x:v>0</x:v>
      </x:c>
      <x:c r="BU883">
        <x:f>MAX(0,MIN(BK883,IF(AND(H883=1,C883="重要关系5",LEFT('幕间与结算'!H790,8)="建立新的重要关系"),'幕间与结算'!E790+E883,BU882+IF(C883="重要关系5",E883,0)+IF(AND(C883="魅力",E883&lt;0),E883,0))))</x:f>
        <x:v>0</x:v>
      </x:c>
      <x:c r="BV883">
        <x:f>MAX(0,MIN(BK883,IF(AND(H883=1,C883="重要关系6",LEFT('幕间与结算'!H790,8)="建立新的重要关系"),'幕间与结算'!E790+E883,BV882+IF(C883="重要关系6",E883,0)+IF(AND(C883="魅力",E883&lt;0),E883,0))))</x:f>
        <x:v>0</x:v>
      </x:c>
      <x:c r="BW883">
        <x:f>MAX(0,MIN(BK883,IF(AND(H883=1,C883="重要关系7",LEFT('幕间与结算'!H790,8)="建立新的重要关系"),'幕间与结算'!E790+E883,BW882+IF(C883="重要关系7",E883,0)+IF(AND(C883="魅力",E883&lt;0),E883,0))))</x:f>
        <x:v>0</x:v>
      </x:c>
    </x:row>
    <x:row r="884">
      <x:c r="A884" t="str">
        <x:f>IFERROR(TEXT(VALUE('幕间与结算'!A791),"00"),"")</x:f>
        <x:v>00</x:v>
      </x:c>
      <x:c r="B884">
        <x:f>'幕间与结算'!B791</x:f>
        <x:v>0</x:v>
      </x:c>
      <x:c r="C884">
        <x:f>'幕间与结算'!D791</x:f>
        <x:v>0</x:v>
      </x:c>
      <x:c r="D884">
        <x:f>'幕间与结算'!F791</x:f>
        <x:v>0</x:v>
      </x:c>
      <x:c r="E884">
        <x:f>IF(H884=1,MAX(-'幕间与结算'!E791,MIN(D884,IF(LEFT(C884,3)="技能：",99,IF(COUNTIF($L$2:$L$7,C884)&gt;0,18,999))-'幕间与结算'!E791)),0)</x:f>
        <x:v>0</x:v>
      </x:c>
      <x:c r="F884" t="str">
        <x:f>IF(C884=0,"",IF(G884=0,"记录不完整",IF(H884=0,"重复未计","已计入")))</x:f>
        <x:v/>
      </x:c>
      <x:c r="G884">
        <x:f>IF(AND(AND('幕间与结算'!A791&lt;&gt;"",'幕间与结算'!B791&lt;&gt;"",'幕间与结算'!I791&lt;&gt;"",OR(LEFT(C884,3)="技能：",COUNTIF($L$2:$L$19,C884)&gt;0),ISNUMBER('幕间与结算'!E791),ISNUMBER('幕间与结算'!F791),ISNUMBER('幕间与结算'!G791),'幕间与结算'!E791&gt;=0,'幕间与结算'!G791='幕间与结算'!E791+'幕间与结算'!F791),OR(B884&lt;&gt;"成长",AND(LEFT(C884,3)="技能：",C884&lt;&gt;"技能：非自然知识",'幕间与结算'!E791&gt;=1,'幕间与结算'!E791&lt;=99,'幕间与结算'!F791&gt;=0,'幕间与结算'!F791&lt;=4,'幕间与结算'!G791&lt;=99))),1,0)</x:f>
        <x:v>0</x:v>
      </x:c>
      <x:c r="H884">
        <x:f>IF(AND(G884=1,COUNTIFS($I$200:I884,I884,$G$200:G884,1)=1),1,0)</x:f>
        <x:v>0</x:v>
      </x:c>
      <x:c r="I884" t="str">
        <x:f>IF(G884=1,IF(B884="成长",A884&amp;"-成长-"&amp;C884,'幕间与结算'!I791),"")</x:f>
        <x:v/>
      </x:c>
      <x:c r="BF884">
        <x:f>MAX(0,MIN(18,BF883+IF(C884="力量",E884,0)))</x:f>
        <x:v>0</x:v>
      </x:c>
      <x:c r="BG884">
        <x:f>MAX(0,MIN(18,BG883+IF(C884="体质",E884,0)))</x:f>
        <x:v>0</x:v>
      </x:c>
      <x:c r="BH884">
        <x:f>MAX(0,MIN(18,BH883+IF(C884="敏捷",E884,0)))</x:f>
        <x:v>0</x:v>
      </x:c>
      <x:c r="BI884">
        <x:f>MAX(0,MIN(18,BI883+IF(C884="智力",E884,0)))</x:f>
        <x:v>0</x:v>
      </x:c>
      <x:c r="BJ884">
        <x:f>MAX(0,MIN(18,BJ883+IF(C884="意志",E884,0)))</x:f>
        <x:v>0</x:v>
      </x:c>
      <x:c r="BK884">
        <x:f>MAX(0,MIN(18,BK883+IF(C884="魅力",E884,0)))</x:f>
        <x:v>0</x:v>
      </x:c>
      <x:c r="BL884">
        <x:f>MAX(0,MIN(99,BL883+IF(C884="技能：非自然知识",E884,0)))</x:f>
        <x:v>0</x:v>
      </x:c>
      <x:c r="BM884">
        <x:f>MAX(0,MIN(CEILING((BF884+BG884)/2,1),BM883+IF(C884="体力",E884,0)))</x:f>
        <x:v>0</x:v>
      </x:c>
      <x:c r="BN884">
        <x:f>MAX(0,MIN(BJ884,BN883+IF(C884="毅力",E884,0)))</x:f>
        <x:v>0</x:v>
      </x:c>
      <x:c r="BO884">
        <x:f>MAX(0,MIN(99-BL884,BO883+IF(C884="理智",E884,0)))</x:f>
        <x:v>0</x:v>
      </x:c>
      <x:c r="BP884">
        <x:f>MAX(0,MIN(99,BP883+IF(C884="崩溃点",E884,0)))</x:f>
        <x:v>0</x:v>
      </x:c>
      <x:c r="BQ884">
        <x:f>MAX(0,MIN(BK884,IF(AND(H884=1,C884="重要关系1",LEFT('幕间与结算'!H791,8)="建立新的重要关系"),'幕间与结算'!E791+E884,BQ883+IF(C884="重要关系1",E884,0)+IF(AND(C884="魅力",E884&lt;0),E884,0))))</x:f>
        <x:v>0</x:v>
      </x:c>
      <x:c r="BR884">
        <x:f>MAX(0,MIN(BK884,IF(AND(H884=1,C884="重要关系2",LEFT('幕间与结算'!H791,8)="建立新的重要关系"),'幕间与结算'!E791+E884,BR883+IF(C884="重要关系2",E884,0)+IF(AND(C884="魅力",E884&lt;0),E884,0))))</x:f>
        <x:v>0</x:v>
      </x:c>
      <x:c r="BS884">
        <x:f>MAX(0,MIN(BK884,IF(AND(H884=1,C884="重要关系3",LEFT('幕间与结算'!H791,8)="建立新的重要关系"),'幕间与结算'!E791+E884,BS883+IF(C884="重要关系3",E884,0)+IF(AND(C884="魅力",E884&lt;0),E884,0))))</x:f>
        <x:v>0</x:v>
      </x:c>
      <x:c r="BT884">
        <x:f>MAX(0,MIN(BK884,IF(AND(H884=1,C884="重要关系4",LEFT('幕间与结算'!H791,8)="建立新的重要关系"),'幕间与结算'!E791+E884,BT883+IF(C884="重要关系4",E884,0)+IF(AND(C884="魅力",E884&lt;0),E884,0))))</x:f>
        <x:v>0</x:v>
      </x:c>
      <x:c r="BU884">
        <x:f>MAX(0,MIN(BK884,IF(AND(H884=1,C884="重要关系5",LEFT('幕间与结算'!H791,8)="建立新的重要关系"),'幕间与结算'!E791+E884,BU883+IF(C884="重要关系5",E884,0)+IF(AND(C884="魅力",E884&lt;0),E884,0))))</x:f>
        <x:v>0</x:v>
      </x:c>
      <x:c r="BV884">
        <x:f>MAX(0,MIN(BK884,IF(AND(H884=1,C884="重要关系6",LEFT('幕间与结算'!H791,8)="建立新的重要关系"),'幕间与结算'!E791+E884,BV883+IF(C884="重要关系6",E884,0)+IF(AND(C884="魅力",E884&lt;0),E884,0))))</x:f>
        <x:v>0</x:v>
      </x:c>
      <x:c r="BW884">
        <x:f>MAX(0,MIN(BK884,IF(AND(H884=1,C884="重要关系7",LEFT('幕间与结算'!H791,8)="建立新的重要关系"),'幕间与结算'!E791+E884,BW883+IF(C884="重要关系7",E884,0)+IF(AND(C884="魅力",E884&lt;0),E884,0))))</x:f>
        <x:v>0</x:v>
      </x:c>
    </x:row>
    <x:row r="885">
      <x:c r="A885" t="str">
        <x:f>IFERROR(TEXT(VALUE('幕间与结算'!A792),"00"),"")</x:f>
        <x:v>00</x:v>
      </x:c>
      <x:c r="B885">
        <x:f>'幕间与结算'!B792</x:f>
        <x:v>0</x:v>
      </x:c>
      <x:c r="C885">
        <x:f>'幕间与结算'!D792</x:f>
        <x:v>0</x:v>
      </x:c>
      <x:c r="D885">
        <x:f>'幕间与结算'!F792</x:f>
        <x:v>0</x:v>
      </x:c>
      <x:c r="E885">
        <x:f>IF(H885=1,MAX(-'幕间与结算'!E792,MIN(D885,IF(LEFT(C885,3)="技能：",99,IF(COUNTIF($L$2:$L$7,C885)&gt;0,18,999))-'幕间与结算'!E792)),0)</x:f>
        <x:v>0</x:v>
      </x:c>
      <x:c r="F885" t="str">
        <x:f>IF(C885=0,"",IF(G885=0,"记录不完整",IF(H885=0,"重复未计","已计入")))</x:f>
        <x:v/>
      </x:c>
      <x:c r="G885">
        <x:f>IF(AND(AND('幕间与结算'!A792&lt;&gt;"",'幕间与结算'!B792&lt;&gt;"",'幕间与结算'!I792&lt;&gt;"",OR(LEFT(C885,3)="技能：",COUNTIF($L$2:$L$19,C885)&gt;0),ISNUMBER('幕间与结算'!E792),ISNUMBER('幕间与结算'!F792),ISNUMBER('幕间与结算'!G792),'幕间与结算'!E792&gt;=0,'幕间与结算'!G792='幕间与结算'!E792+'幕间与结算'!F792),OR(B885&lt;&gt;"成长",AND(LEFT(C885,3)="技能：",C885&lt;&gt;"技能：非自然知识",'幕间与结算'!E792&gt;=1,'幕间与结算'!E792&lt;=99,'幕间与结算'!F792&gt;=0,'幕间与结算'!F792&lt;=4,'幕间与结算'!G792&lt;=99))),1,0)</x:f>
        <x:v>0</x:v>
      </x:c>
      <x:c r="H885">
        <x:f>IF(AND(G885=1,COUNTIFS($I$200:I885,I885,$G$200:G885,1)=1),1,0)</x:f>
        <x:v>0</x:v>
      </x:c>
      <x:c r="I885" t="str">
        <x:f>IF(G885=1,IF(B885="成长",A885&amp;"-成长-"&amp;C885,'幕间与结算'!I792),"")</x:f>
        <x:v/>
      </x:c>
      <x:c r="BF885">
        <x:f>MAX(0,MIN(18,BF884+IF(C885="力量",E885,0)))</x:f>
        <x:v>0</x:v>
      </x:c>
      <x:c r="BG885">
        <x:f>MAX(0,MIN(18,BG884+IF(C885="体质",E885,0)))</x:f>
        <x:v>0</x:v>
      </x:c>
      <x:c r="BH885">
        <x:f>MAX(0,MIN(18,BH884+IF(C885="敏捷",E885,0)))</x:f>
        <x:v>0</x:v>
      </x:c>
      <x:c r="BI885">
        <x:f>MAX(0,MIN(18,BI884+IF(C885="智力",E885,0)))</x:f>
        <x:v>0</x:v>
      </x:c>
      <x:c r="BJ885">
        <x:f>MAX(0,MIN(18,BJ884+IF(C885="意志",E885,0)))</x:f>
        <x:v>0</x:v>
      </x:c>
      <x:c r="BK885">
        <x:f>MAX(0,MIN(18,BK884+IF(C885="魅力",E885,0)))</x:f>
        <x:v>0</x:v>
      </x:c>
      <x:c r="BL885">
        <x:f>MAX(0,MIN(99,BL884+IF(C885="技能：非自然知识",E885,0)))</x:f>
        <x:v>0</x:v>
      </x:c>
      <x:c r="BM885">
        <x:f>MAX(0,MIN(CEILING((BF885+BG885)/2,1),BM884+IF(C885="体力",E885,0)))</x:f>
        <x:v>0</x:v>
      </x:c>
      <x:c r="BN885">
        <x:f>MAX(0,MIN(BJ885,BN884+IF(C885="毅力",E885,0)))</x:f>
        <x:v>0</x:v>
      </x:c>
      <x:c r="BO885">
        <x:f>MAX(0,MIN(99-BL885,BO884+IF(C885="理智",E885,0)))</x:f>
        <x:v>0</x:v>
      </x:c>
      <x:c r="BP885">
        <x:f>MAX(0,MIN(99,BP884+IF(C885="崩溃点",E885,0)))</x:f>
        <x:v>0</x:v>
      </x:c>
      <x:c r="BQ885">
        <x:f>MAX(0,MIN(BK885,IF(AND(H885=1,C885="重要关系1",LEFT('幕间与结算'!H792,8)="建立新的重要关系"),'幕间与结算'!E792+E885,BQ884+IF(C885="重要关系1",E885,0)+IF(AND(C885="魅力",E885&lt;0),E885,0))))</x:f>
        <x:v>0</x:v>
      </x:c>
      <x:c r="BR885">
        <x:f>MAX(0,MIN(BK885,IF(AND(H885=1,C885="重要关系2",LEFT('幕间与结算'!H792,8)="建立新的重要关系"),'幕间与结算'!E792+E885,BR884+IF(C885="重要关系2",E885,0)+IF(AND(C885="魅力",E885&lt;0),E885,0))))</x:f>
        <x:v>0</x:v>
      </x:c>
      <x:c r="BS885">
        <x:f>MAX(0,MIN(BK885,IF(AND(H885=1,C885="重要关系3",LEFT('幕间与结算'!H792,8)="建立新的重要关系"),'幕间与结算'!E792+E885,BS884+IF(C885="重要关系3",E885,0)+IF(AND(C885="魅力",E885&lt;0),E885,0))))</x:f>
        <x:v>0</x:v>
      </x:c>
      <x:c r="BT885">
        <x:f>MAX(0,MIN(BK885,IF(AND(H885=1,C885="重要关系4",LEFT('幕间与结算'!H792,8)="建立新的重要关系"),'幕间与结算'!E792+E885,BT884+IF(C885="重要关系4",E885,0)+IF(AND(C885="魅力",E885&lt;0),E885,0))))</x:f>
        <x:v>0</x:v>
      </x:c>
      <x:c r="BU885">
        <x:f>MAX(0,MIN(BK885,IF(AND(H885=1,C885="重要关系5",LEFT('幕间与结算'!H792,8)="建立新的重要关系"),'幕间与结算'!E792+E885,BU884+IF(C885="重要关系5",E885,0)+IF(AND(C885="魅力",E885&lt;0),E885,0))))</x:f>
        <x:v>0</x:v>
      </x:c>
      <x:c r="BV885">
        <x:f>MAX(0,MIN(BK885,IF(AND(H885=1,C885="重要关系6",LEFT('幕间与结算'!H792,8)="建立新的重要关系"),'幕间与结算'!E792+E885,BV884+IF(C885="重要关系6",E885,0)+IF(AND(C885="魅力",E885&lt;0),E885,0))))</x:f>
        <x:v>0</x:v>
      </x:c>
      <x:c r="BW885">
        <x:f>MAX(0,MIN(BK885,IF(AND(H885=1,C885="重要关系7",LEFT('幕间与结算'!H792,8)="建立新的重要关系"),'幕间与结算'!E792+E885,BW884+IF(C885="重要关系7",E885,0)+IF(AND(C885="魅力",E885&lt;0),E885,0))))</x:f>
        <x:v>0</x:v>
      </x:c>
    </x:row>
    <x:row r="886">
      <x:c r="A886" t="str">
        <x:f>IFERROR(TEXT(VALUE('幕间与结算'!A793),"00"),"")</x:f>
        <x:v>00</x:v>
      </x:c>
      <x:c r="B886">
        <x:f>'幕间与结算'!B793</x:f>
        <x:v>0</x:v>
      </x:c>
      <x:c r="C886">
        <x:f>'幕间与结算'!D793</x:f>
        <x:v>0</x:v>
      </x:c>
      <x:c r="D886">
        <x:f>'幕间与结算'!F793</x:f>
        <x:v>0</x:v>
      </x:c>
      <x:c r="E886">
        <x:f>IF(H886=1,MAX(-'幕间与结算'!E793,MIN(D886,IF(LEFT(C886,3)="技能：",99,IF(COUNTIF($L$2:$L$7,C886)&gt;0,18,999))-'幕间与结算'!E793)),0)</x:f>
        <x:v>0</x:v>
      </x:c>
      <x:c r="F886" t="str">
        <x:f>IF(C886=0,"",IF(G886=0,"记录不完整",IF(H886=0,"重复未计","已计入")))</x:f>
        <x:v/>
      </x:c>
      <x:c r="G886">
        <x:f>IF(AND(AND('幕间与结算'!A793&lt;&gt;"",'幕间与结算'!B793&lt;&gt;"",'幕间与结算'!I793&lt;&gt;"",OR(LEFT(C886,3)="技能：",COUNTIF($L$2:$L$19,C886)&gt;0),ISNUMBER('幕间与结算'!E793),ISNUMBER('幕间与结算'!F793),ISNUMBER('幕间与结算'!G793),'幕间与结算'!E793&gt;=0,'幕间与结算'!G793='幕间与结算'!E793+'幕间与结算'!F793),OR(B886&lt;&gt;"成长",AND(LEFT(C886,3)="技能：",C886&lt;&gt;"技能：非自然知识",'幕间与结算'!E793&gt;=1,'幕间与结算'!E793&lt;=99,'幕间与结算'!F793&gt;=0,'幕间与结算'!F793&lt;=4,'幕间与结算'!G793&lt;=99))),1,0)</x:f>
        <x:v>0</x:v>
      </x:c>
      <x:c r="H886">
        <x:f>IF(AND(G886=1,COUNTIFS($I$200:I886,I886,$G$200:G886,1)=1),1,0)</x:f>
        <x:v>0</x:v>
      </x:c>
      <x:c r="I886" t="str">
        <x:f>IF(G886=1,IF(B886="成长",A886&amp;"-成长-"&amp;C886,'幕间与结算'!I793),"")</x:f>
        <x:v/>
      </x:c>
      <x:c r="BF886">
        <x:f>MAX(0,MIN(18,BF885+IF(C886="力量",E886,0)))</x:f>
        <x:v>0</x:v>
      </x:c>
      <x:c r="BG886">
        <x:f>MAX(0,MIN(18,BG885+IF(C886="体质",E886,0)))</x:f>
        <x:v>0</x:v>
      </x:c>
      <x:c r="BH886">
        <x:f>MAX(0,MIN(18,BH885+IF(C886="敏捷",E886,0)))</x:f>
        <x:v>0</x:v>
      </x:c>
      <x:c r="BI886">
        <x:f>MAX(0,MIN(18,BI885+IF(C886="智力",E886,0)))</x:f>
        <x:v>0</x:v>
      </x:c>
      <x:c r="BJ886">
        <x:f>MAX(0,MIN(18,BJ885+IF(C886="意志",E886,0)))</x:f>
        <x:v>0</x:v>
      </x:c>
      <x:c r="BK886">
        <x:f>MAX(0,MIN(18,BK885+IF(C886="魅力",E886,0)))</x:f>
        <x:v>0</x:v>
      </x:c>
      <x:c r="BL886">
        <x:f>MAX(0,MIN(99,BL885+IF(C886="技能：非自然知识",E886,0)))</x:f>
        <x:v>0</x:v>
      </x:c>
      <x:c r="BM886">
        <x:f>MAX(0,MIN(CEILING((BF886+BG886)/2,1),BM885+IF(C886="体力",E886,0)))</x:f>
        <x:v>0</x:v>
      </x:c>
      <x:c r="BN886">
        <x:f>MAX(0,MIN(BJ886,BN885+IF(C886="毅力",E886,0)))</x:f>
        <x:v>0</x:v>
      </x:c>
      <x:c r="BO886">
        <x:f>MAX(0,MIN(99-BL886,BO885+IF(C886="理智",E886,0)))</x:f>
        <x:v>0</x:v>
      </x:c>
      <x:c r="BP886">
        <x:f>MAX(0,MIN(99,BP885+IF(C886="崩溃点",E886,0)))</x:f>
        <x:v>0</x:v>
      </x:c>
      <x:c r="BQ886">
        <x:f>MAX(0,MIN(BK886,IF(AND(H886=1,C886="重要关系1",LEFT('幕间与结算'!H793,8)="建立新的重要关系"),'幕间与结算'!E793+E886,BQ885+IF(C886="重要关系1",E886,0)+IF(AND(C886="魅力",E886&lt;0),E886,0))))</x:f>
        <x:v>0</x:v>
      </x:c>
      <x:c r="BR886">
        <x:f>MAX(0,MIN(BK886,IF(AND(H886=1,C886="重要关系2",LEFT('幕间与结算'!H793,8)="建立新的重要关系"),'幕间与结算'!E793+E886,BR885+IF(C886="重要关系2",E886,0)+IF(AND(C886="魅力",E886&lt;0),E886,0))))</x:f>
        <x:v>0</x:v>
      </x:c>
      <x:c r="BS886">
        <x:f>MAX(0,MIN(BK886,IF(AND(H886=1,C886="重要关系3",LEFT('幕间与结算'!H793,8)="建立新的重要关系"),'幕间与结算'!E793+E886,BS885+IF(C886="重要关系3",E886,0)+IF(AND(C886="魅力",E886&lt;0),E886,0))))</x:f>
        <x:v>0</x:v>
      </x:c>
      <x:c r="BT886">
        <x:f>MAX(0,MIN(BK886,IF(AND(H886=1,C886="重要关系4",LEFT('幕间与结算'!H793,8)="建立新的重要关系"),'幕间与结算'!E793+E886,BT885+IF(C886="重要关系4",E886,0)+IF(AND(C886="魅力",E886&lt;0),E886,0))))</x:f>
        <x:v>0</x:v>
      </x:c>
      <x:c r="BU886">
        <x:f>MAX(0,MIN(BK886,IF(AND(H886=1,C886="重要关系5",LEFT('幕间与结算'!H793,8)="建立新的重要关系"),'幕间与结算'!E793+E886,BU885+IF(C886="重要关系5",E886,0)+IF(AND(C886="魅力",E886&lt;0),E886,0))))</x:f>
        <x:v>0</x:v>
      </x:c>
      <x:c r="BV886">
        <x:f>MAX(0,MIN(BK886,IF(AND(H886=1,C886="重要关系6",LEFT('幕间与结算'!H793,8)="建立新的重要关系"),'幕间与结算'!E793+E886,BV885+IF(C886="重要关系6",E886,0)+IF(AND(C886="魅力",E886&lt;0),E886,0))))</x:f>
        <x:v>0</x:v>
      </x:c>
      <x:c r="BW886">
        <x:f>MAX(0,MIN(BK886,IF(AND(H886=1,C886="重要关系7",LEFT('幕间与结算'!H793,8)="建立新的重要关系"),'幕间与结算'!E793+E886,BW885+IF(C886="重要关系7",E886,0)+IF(AND(C886="魅力",E886&lt;0),E886,0))))</x:f>
        <x:v>0</x:v>
      </x:c>
    </x:row>
    <x:row r="887">
      <x:c r="A887" t="str">
        <x:f>IFERROR(TEXT(VALUE('幕间与结算'!A794),"00"),"")</x:f>
        <x:v>00</x:v>
      </x:c>
      <x:c r="B887">
        <x:f>'幕间与结算'!B794</x:f>
        <x:v>0</x:v>
      </x:c>
      <x:c r="C887">
        <x:f>'幕间与结算'!D794</x:f>
        <x:v>0</x:v>
      </x:c>
      <x:c r="D887">
        <x:f>'幕间与结算'!F794</x:f>
        <x:v>0</x:v>
      </x:c>
      <x:c r="E887">
        <x:f>IF(H887=1,MAX(-'幕间与结算'!E794,MIN(D887,IF(LEFT(C887,3)="技能：",99,IF(COUNTIF($L$2:$L$7,C887)&gt;0,18,999))-'幕间与结算'!E794)),0)</x:f>
        <x:v>0</x:v>
      </x:c>
      <x:c r="F887" t="str">
        <x:f>IF(C887=0,"",IF(G887=0,"记录不完整",IF(H887=0,"重复未计","已计入")))</x:f>
        <x:v/>
      </x:c>
      <x:c r="G887">
        <x:f>IF(AND(AND('幕间与结算'!A794&lt;&gt;"",'幕间与结算'!B794&lt;&gt;"",'幕间与结算'!I794&lt;&gt;"",OR(LEFT(C887,3)="技能：",COUNTIF($L$2:$L$19,C887)&gt;0),ISNUMBER('幕间与结算'!E794),ISNUMBER('幕间与结算'!F794),ISNUMBER('幕间与结算'!G794),'幕间与结算'!E794&gt;=0,'幕间与结算'!G794='幕间与结算'!E794+'幕间与结算'!F794),OR(B887&lt;&gt;"成长",AND(LEFT(C887,3)="技能：",C887&lt;&gt;"技能：非自然知识",'幕间与结算'!E794&gt;=1,'幕间与结算'!E794&lt;=99,'幕间与结算'!F794&gt;=0,'幕间与结算'!F794&lt;=4,'幕间与结算'!G794&lt;=99))),1,0)</x:f>
        <x:v>0</x:v>
      </x:c>
      <x:c r="H887">
        <x:f>IF(AND(G887=1,COUNTIFS($I$200:I887,I887,$G$200:G887,1)=1),1,0)</x:f>
        <x:v>0</x:v>
      </x:c>
      <x:c r="I887" t="str">
        <x:f>IF(G887=1,IF(B887="成长",A887&amp;"-成长-"&amp;C887,'幕间与结算'!I794),"")</x:f>
        <x:v/>
      </x:c>
      <x:c r="BF887">
        <x:f>MAX(0,MIN(18,BF886+IF(C887="力量",E887,0)))</x:f>
        <x:v>0</x:v>
      </x:c>
      <x:c r="BG887">
        <x:f>MAX(0,MIN(18,BG886+IF(C887="体质",E887,0)))</x:f>
        <x:v>0</x:v>
      </x:c>
      <x:c r="BH887">
        <x:f>MAX(0,MIN(18,BH886+IF(C887="敏捷",E887,0)))</x:f>
        <x:v>0</x:v>
      </x:c>
      <x:c r="BI887">
        <x:f>MAX(0,MIN(18,BI886+IF(C887="智力",E887,0)))</x:f>
        <x:v>0</x:v>
      </x:c>
      <x:c r="BJ887">
        <x:f>MAX(0,MIN(18,BJ886+IF(C887="意志",E887,0)))</x:f>
        <x:v>0</x:v>
      </x:c>
      <x:c r="BK887">
        <x:f>MAX(0,MIN(18,BK886+IF(C887="魅力",E887,0)))</x:f>
        <x:v>0</x:v>
      </x:c>
      <x:c r="BL887">
        <x:f>MAX(0,MIN(99,BL886+IF(C887="技能：非自然知识",E887,0)))</x:f>
        <x:v>0</x:v>
      </x:c>
      <x:c r="BM887">
        <x:f>MAX(0,MIN(CEILING((BF887+BG887)/2,1),BM886+IF(C887="体力",E887,0)))</x:f>
        <x:v>0</x:v>
      </x:c>
      <x:c r="BN887">
        <x:f>MAX(0,MIN(BJ887,BN886+IF(C887="毅力",E887,0)))</x:f>
        <x:v>0</x:v>
      </x:c>
      <x:c r="BO887">
        <x:f>MAX(0,MIN(99-BL887,BO886+IF(C887="理智",E887,0)))</x:f>
        <x:v>0</x:v>
      </x:c>
      <x:c r="BP887">
        <x:f>MAX(0,MIN(99,BP886+IF(C887="崩溃点",E887,0)))</x:f>
        <x:v>0</x:v>
      </x:c>
      <x:c r="BQ887">
        <x:f>MAX(0,MIN(BK887,IF(AND(H887=1,C887="重要关系1",LEFT('幕间与结算'!H794,8)="建立新的重要关系"),'幕间与结算'!E794+E887,BQ886+IF(C887="重要关系1",E887,0)+IF(AND(C887="魅力",E887&lt;0),E887,0))))</x:f>
        <x:v>0</x:v>
      </x:c>
      <x:c r="BR887">
        <x:f>MAX(0,MIN(BK887,IF(AND(H887=1,C887="重要关系2",LEFT('幕间与结算'!H794,8)="建立新的重要关系"),'幕间与结算'!E794+E887,BR886+IF(C887="重要关系2",E887,0)+IF(AND(C887="魅力",E887&lt;0),E887,0))))</x:f>
        <x:v>0</x:v>
      </x:c>
      <x:c r="BS887">
        <x:f>MAX(0,MIN(BK887,IF(AND(H887=1,C887="重要关系3",LEFT('幕间与结算'!H794,8)="建立新的重要关系"),'幕间与结算'!E794+E887,BS886+IF(C887="重要关系3",E887,0)+IF(AND(C887="魅力",E887&lt;0),E887,0))))</x:f>
        <x:v>0</x:v>
      </x:c>
      <x:c r="BT887">
        <x:f>MAX(0,MIN(BK887,IF(AND(H887=1,C887="重要关系4",LEFT('幕间与结算'!H794,8)="建立新的重要关系"),'幕间与结算'!E794+E887,BT886+IF(C887="重要关系4",E887,0)+IF(AND(C887="魅力",E887&lt;0),E887,0))))</x:f>
        <x:v>0</x:v>
      </x:c>
      <x:c r="BU887">
        <x:f>MAX(0,MIN(BK887,IF(AND(H887=1,C887="重要关系5",LEFT('幕间与结算'!H794,8)="建立新的重要关系"),'幕间与结算'!E794+E887,BU886+IF(C887="重要关系5",E887,0)+IF(AND(C887="魅力",E887&lt;0),E887,0))))</x:f>
        <x:v>0</x:v>
      </x:c>
      <x:c r="BV887">
        <x:f>MAX(0,MIN(BK887,IF(AND(H887=1,C887="重要关系6",LEFT('幕间与结算'!H794,8)="建立新的重要关系"),'幕间与结算'!E794+E887,BV886+IF(C887="重要关系6",E887,0)+IF(AND(C887="魅力",E887&lt;0),E887,0))))</x:f>
        <x:v>0</x:v>
      </x:c>
      <x:c r="BW887">
        <x:f>MAX(0,MIN(BK887,IF(AND(H887=1,C887="重要关系7",LEFT('幕间与结算'!H794,8)="建立新的重要关系"),'幕间与结算'!E794+E887,BW886+IF(C887="重要关系7",E887,0)+IF(AND(C887="魅力",E887&lt;0),E887,0))))</x:f>
        <x:v>0</x:v>
      </x:c>
    </x:row>
    <x:row r="888">
      <x:c r="A888" t="str">
        <x:f>IFERROR(TEXT(VALUE('幕间与结算'!A795),"00"),"")</x:f>
        <x:v>00</x:v>
      </x:c>
      <x:c r="B888">
        <x:f>'幕间与结算'!B795</x:f>
        <x:v>0</x:v>
      </x:c>
      <x:c r="C888">
        <x:f>'幕间与结算'!D795</x:f>
        <x:v>0</x:v>
      </x:c>
      <x:c r="D888">
        <x:f>'幕间与结算'!F795</x:f>
        <x:v>0</x:v>
      </x:c>
      <x:c r="E888">
        <x:f>IF(H888=1,MAX(-'幕间与结算'!E795,MIN(D888,IF(LEFT(C888,3)="技能：",99,IF(COUNTIF($L$2:$L$7,C888)&gt;0,18,999))-'幕间与结算'!E795)),0)</x:f>
        <x:v>0</x:v>
      </x:c>
      <x:c r="F888" t="str">
        <x:f>IF(C888=0,"",IF(G888=0,"记录不完整",IF(H888=0,"重复未计","已计入")))</x:f>
        <x:v/>
      </x:c>
      <x:c r="G888">
        <x:f>IF(AND(AND('幕间与结算'!A795&lt;&gt;"",'幕间与结算'!B795&lt;&gt;"",'幕间与结算'!I795&lt;&gt;"",OR(LEFT(C888,3)="技能：",COUNTIF($L$2:$L$19,C888)&gt;0),ISNUMBER('幕间与结算'!E795),ISNUMBER('幕间与结算'!F795),ISNUMBER('幕间与结算'!G795),'幕间与结算'!E795&gt;=0,'幕间与结算'!G795='幕间与结算'!E795+'幕间与结算'!F795),OR(B888&lt;&gt;"成长",AND(LEFT(C888,3)="技能：",C888&lt;&gt;"技能：非自然知识",'幕间与结算'!E795&gt;=1,'幕间与结算'!E795&lt;=99,'幕间与结算'!F795&gt;=0,'幕间与结算'!F795&lt;=4,'幕间与结算'!G795&lt;=99))),1,0)</x:f>
        <x:v>0</x:v>
      </x:c>
      <x:c r="H888">
        <x:f>IF(AND(G888=1,COUNTIFS($I$200:I888,I888,$G$200:G888,1)=1),1,0)</x:f>
        <x:v>0</x:v>
      </x:c>
      <x:c r="I888" t="str">
        <x:f>IF(G888=1,IF(B888="成长",A888&amp;"-成长-"&amp;C888,'幕间与结算'!I795),"")</x:f>
        <x:v/>
      </x:c>
      <x:c r="BF888">
        <x:f>MAX(0,MIN(18,BF887+IF(C888="力量",E888,0)))</x:f>
        <x:v>0</x:v>
      </x:c>
      <x:c r="BG888">
        <x:f>MAX(0,MIN(18,BG887+IF(C888="体质",E888,0)))</x:f>
        <x:v>0</x:v>
      </x:c>
      <x:c r="BH888">
        <x:f>MAX(0,MIN(18,BH887+IF(C888="敏捷",E888,0)))</x:f>
        <x:v>0</x:v>
      </x:c>
      <x:c r="BI888">
        <x:f>MAX(0,MIN(18,BI887+IF(C888="智力",E888,0)))</x:f>
        <x:v>0</x:v>
      </x:c>
      <x:c r="BJ888">
        <x:f>MAX(0,MIN(18,BJ887+IF(C888="意志",E888,0)))</x:f>
        <x:v>0</x:v>
      </x:c>
      <x:c r="BK888">
        <x:f>MAX(0,MIN(18,BK887+IF(C888="魅力",E888,0)))</x:f>
        <x:v>0</x:v>
      </x:c>
      <x:c r="BL888">
        <x:f>MAX(0,MIN(99,BL887+IF(C888="技能：非自然知识",E888,0)))</x:f>
        <x:v>0</x:v>
      </x:c>
      <x:c r="BM888">
        <x:f>MAX(0,MIN(CEILING((BF888+BG888)/2,1),BM887+IF(C888="体力",E888,0)))</x:f>
        <x:v>0</x:v>
      </x:c>
      <x:c r="BN888">
        <x:f>MAX(0,MIN(BJ888,BN887+IF(C888="毅力",E888,0)))</x:f>
        <x:v>0</x:v>
      </x:c>
      <x:c r="BO888">
        <x:f>MAX(0,MIN(99-BL888,BO887+IF(C888="理智",E888,0)))</x:f>
        <x:v>0</x:v>
      </x:c>
      <x:c r="BP888">
        <x:f>MAX(0,MIN(99,BP887+IF(C888="崩溃点",E888,0)))</x:f>
        <x:v>0</x:v>
      </x:c>
      <x:c r="BQ888">
        <x:f>MAX(0,MIN(BK888,IF(AND(H888=1,C888="重要关系1",LEFT('幕间与结算'!H795,8)="建立新的重要关系"),'幕间与结算'!E795+E888,BQ887+IF(C888="重要关系1",E888,0)+IF(AND(C888="魅力",E888&lt;0),E888,0))))</x:f>
        <x:v>0</x:v>
      </x:c>
      <x:c r="BR888">
        <x:f>MAX(0,MIN(BK888,IF(AND(H888=1,C888="重要关系2",LEFT('幕间与结算'!H795,8)="建立新的重要关系"),'幕间与结算'!E795+E888,BR887+IF(C888="重要关系2",E888,0)+IF(AND(C888="魅力",E888&lt;0),E888,0))))</x:f>
        <x:v>0</x:v>
      </x:c>
      <x:c r="BS888">
        <x:f>MAX(0,MIN(BK888,IF(AND(H888=1,C888="重要关系3",LEFT('幕间与结算'!H795,8)="建立新的重要关系"),'幕间与结算'!E795+E888,BS887+IF(C888="重要关系3",E888,0)+IF(AND(C888="魅力",E888&lt;0),E888,0))))</x:f>
        <x:v>0</x:v>
      </x:c>
      <x:c r="BT888">
        <x:f>MAX(0,MIN(BK888,IF(AND(H888=1,C888="重要关系4",LEFT('幕间与结算'!H795,8)="建立新的重要关系"),'幕间与结算'!E795+E888,BT887+IF(C888="重要关系4",E888,0)+IF(AND(C888="魅力",E888&lt;0),E888,0))))</x:f>
        <x:v>0</x:v>
      </x:c>
      <x:c r="BU888">
        <x:f>MAX(0,MIN(BK888,IF(AND(H888=1,C888="重要关系5",LEFT('幕间与结算'!H795,8)="建立新的重要关系"),'幕间与结算'!E795+E888,BU887+IF(C888="重要关系5",E888,0)+IF(AND(C888="魅力",E888&lt;0),E888,0))))</x:f>
        <x:v>0</x:v>
      </x:c>
      <x:c r="BV888">
        <x:f>MAX(0,MIN(BK888,IF(AND(H888=1,C888="重要关系6",LEFT('幕间与结算'!H795,8)="建立新的重要关系"),'幕间与结算'!E795+E888,BV887+IF(C888="重要关系6",E888,0)+IF(AND(C888="魅力",E888&lt;0),E888,0))))</x:f>
        <x:v>0</x:v>
      </x:c>
      <x:c r="BW888">
        <x:f>MAX(0,MIN(BK888,IF(AND(H888=1,C888="重要关系7",LEFT('幕间与结算'!H795,8)="建立新的重要关系"),'幕间与结算'!E795+E888,BW887+IF(C888="重要关系7",E888,0)+IF(AND(C888="魅力",E888&lt;0),E888,0))))</x:f>
        <x:v>0</x:v>
      </x:c>
    </x:row>
    <x:row r="889">
      <x:c r="A889" t="str">
        <x:f>IFERROR(TEXT(VALUE('幕间与结算'!A796),"00"),"")</x:f>
        <x:v>00</x:v>
      </x:c>
      <x:c r="B889">
        <x:f>'幕间与结算'!B796</x:f>
        <x:v>0</x:v>
      </x:c>
      <x:c r="C889">
        <x:f>'幕间与结算'!D796</x:f>
        <x:v>0</x:v>
      </x:c>
      <x:c r="D889">
        <x:f>'幕间与结算'!F796</x:f>
        <x:v>0</x:v>
      </x:c>
      <x:c r="E889">
        <x:f>IF(H889=1,MAX(-'幕间与结算'!E796,MIN(D889,IF(LEFT(C889,3)="技能：",99,IF(COUNTIF($L$2:$L$7,C889)&gt;0,18,999))-'幕间与结算'!E796)),0)</x:f>
        <x:v>0</x:v>
      </x:c>
      <x:c r="F889" t="str">
        <x:f>IF(C889=0,"",IF(G889=0,"记录不完整",IF(H889=0,"重复未计","已计入")))</x:f>
        <x:v/>
      </x:c>
      <x:c r="G889">
        <x:f>IF(AND(AND('幕间与结算'!A796&lt;&gt;"",'幕间与结算'!B796&lt;&gt;"",'幕间与结算'!I796&lt;&gt;"",OR(LEFT(C889,3)="技能：",COUNTIF($L$2:$L$19,C889)&gt;0),ISNUMBER('幕间与结算'!E796),ISNUMBER('幕间与结算'!F796),ISNUMBER('幕间与结算'!G796),'幕间与结算'!E796&gt;=0,'幕间与结算'!G796='幕间与结算'!E796+'幕间与结算'!F796),OR(B889&lt;&gt;"成长",AND(LEFT(C889,3)="技能：",C889&lt;&gt;"技能：非自然知识",'幕间与结算'!E796&gt;=1,'幕间与结算'!E796&lt;=99,'幕间与结算'!F796&gt;=0,'幕间与结算'!F796&lt;=4,'幕间与结算'!G796&lt;=99))),1,0)</x:f>
        <x:v>0</x:v>
      </x:c>
      <x:c r="H889">
        <x:f>IF(AND(G889=1,COUNTIFS($I$200:I889,I889,$G$200:G889,1)=1),1,0)</x:f>
        <x:v>0</x:v>
      </x:c>
      <x:c r="I889" t="str">
        <x:f>IF(G889=1,IF(B889="成长",A889&amp;"-成长-"&amp;C889,'幕间与结算'!I796),"")</x:f>
        <x:v/>
      </x:c>
      <x:c r="BF889">
        <x:f>MAX(0,MIN(18,BF888+IF(C889="力量",E889,0)))</x:f>
        <x:v>0</x:v>
      </x:c>
      <x:c r="BG889">
        <x:f>MAX(0,MIN(18,BG888+IF(C889="体质",E889,0)))</x:f>
        <x:v>0</x:v>
      </x:c>
      <x:c r="BH889">
        <x:f>MAX(0,MIN(18,BH888+IF(C889="敏捷",E889,0)))</x:f>
        <x:v>0</x:v>
      </x:c>
      <x:c r="BI889">
        <x:f>MAX(0,MIN(18,BI888+IF(C889="智力",E889,0)))</x:f>
        <x:v>0</x:v>
      </x:c>
      <x:c r="BJ889">
        <x:f>MAX(0,MIN(18,BJ888+IF(C889="意志",E889,0)))</x:f>
        <x:v>0</x:v>
      </x:c>
      <x:c r="BK889">
        <x:f>MAX(0,MIN(18,BK888+IF(C889="魅力",E889,0)))</x:f>
        <x:v>0</x:v>
      </x:c>
      <x:c r="BL889">
        <x:f>MAX(0,MIN(99,BL888+IF(C889="技能：非自然知识",E889,0)))</x:f>
        <x:v>0</x:v>
      </x:c>
      <x:c r="BM889">
        <x:f>MAX(0,MIN(CEILING((BF889+BG889)/2,1),BM888+IF(C889="体力",E889,0)))</x:f>
        <x:v>0</x:v>
      </x:c>
      <x:c r="BN889">
        <x:f>MAX(0,MIN(BJ889,BN888+IF(C889="毅力",E889,0)))</x:f>
        <x:v>0</x:v>
      </x:c>
      <x:c r="BO889">
        <x:f>MAX(0,MIN(99-BL889,BO888+IF(C889="理智",E889,0)))</x:f>
        <x:v>0</x:v>
      </x:c>
      <x:c r="BP889">
        <x:f>MAX(0,MIN(99,BP888+IF(C889="崩溃点",E889,0)))</x:f>
        <x:v>0</x:v>
      </x:c>
      <x:c r="BQ889">
        <x:f>MAX(0,MIN(BK889,IF(AND(H889=1,C889="重要关系1",LEFT('幕间与结算'!H796,8)="建立新的重要关系"),'幕间与结算'!E796+E889,BQ888+IF(C889="重要关系1",E889,0)+IF(AND(C889="魅力",E889&lt;0),E889,0))))</x:f>
        <x:v>0</x:v>
      </x:c>
      <x:c r="BR889">
        <x:f>MAX(0,MIN(BK889,IF(AND(H889=1,C889="重要关系2",LEFT('幕间与结算'!H796,8)="建立新的重要关系"),'幕间与结算'!E796+E889,BR888+IF(C889="重要关系2",E889,0)+IF(AND(C889="魅力",E889&lt;0),E889,0))))</x:f>
        <x:v>0</x:v>
      </x:c>
      <x:c r="BS889">
        <x:f>MAX(0,MIN(BK889,IF(AND(H889=1,C889="重要关系3",LEFT('幕间与结算'!H796,8)="建立新的重要关系"),'幕间与结算'!E796+E889,BS888+IF(C889="重要关系3",E889,0)+IF(AND(C889="魅力",E889&lt;0),E889,0))))</x:f>
        <x:v>0</x:v>
      </x:c>
      <x:c r="BT889">
        <x:f>MAX(0,MIN(BK889,IF(AND(H889=1,C889="重要关系4",LEFT('幕间与结算'!H796,8)="建立新的重要关系"),'幕间与结算'!E796+E889,BT888+IF(C889="重要关系4",E889,0)+IF(AND(C889="魅力",E889&lt;0),E889,0))))</x:f>
        <x:v>0</x:v>
      </x:c>
      <x:c r="BU889">
        <x:f>MAX(0,MIN(BK889,IF(AND(H889=1,C889="重要关系5",LEFT('幕间与结算'!H796,8)="建立新的重要关系"),'幕间与结算'!E796+E889,BU888+IF(C889="重要关系5",E889,0)+IF(AND(C889="魅力",E889&lt;0),E889,0))))</x:f>
        <x:v>0</x:v>
      </x:c>
      <x:c r="BV889">
        <x:f>MAX(0,MIN(BK889,IF(AND(H889=1,C889="重要关系6",LEFT('幕间与结算'!H796,8)="建立新的重要关系"),'幕间与结算'!E796+E889,BV888+IF(C889="重要关系6",E889,0)+IF(AND(C889="魅力",E889&lt;0),E889,0))))</x:f>
        <x:v>0</x:v>
      </x:c>
      <x:c r="BW889">
        <x:f>MAX(0,MIN(BK889,IF(AND(H889=1,C889="重要关系7",LEFT('幕间与结算'!H796,8)="建立新的重要关系"),'幕间与结算'!E796+E889,BW888+IF(C889="重要关系7",E889,0)+IF(AND(C889="魅力",E889&lt;0),E889,0))))</x:f>
        <x:v>0</x:v>
      </x:c>
    </x:row>
    <x:row r="890">
      <x:c r="A890" t="str">
        <x:f>IFERROR(TEXT(VALUE('幕间与结算'!A797),"00"),"")</x:f>
        <x:v>00</x:v>
      </x:c>
      <x:c r="B890">
        <x:f>'幕间与结算'!B797</x:f>
        <x:v>0</x:v>
      </x:c>
      <x:c r="C890">
        <x:f>'幕间与结算'!D797</x:f>
        <x:v>0</x:v>
      </x:c>
      <x:c r="D890">
        <x:f>'幕间与结算'!F797</x:f>
        <x:v>0</x:v>
      </x:c>
      <x:c r="E890">
        <x:f>IF(H890=1,MAX(-'幕间与结算'!E797,MIN(D890,IF(LEFT(C890,3)="技能：",99,IF(COUNTIF($L$2:$L$7,C890)&gt;0,18,999))-'幕间与结算'!E797)),0)</x:f>
        <x:v>0</x:v>
      </x:c>
      <x:c r="F890" t="str">
        <x:f>IF(C890=0,"",IF(G890=0,"记录不完整",IF(H890=0,"重复未计","已计入")))</x:f>
        <x:v/>
      </x:c>
      <x:c r="G890">
        <x:f>IF(AND(AND('幕间与结算'!A797&lt;&gt;"",'幕间与结算'!B797&lt;&gt;"",'幕间与结算'!I797&lt;&gt;"",OR(LEFT(C890,3)="技能：",COUNTIF($L$2:$L$19,C890)&gt;0),ISNUMBER('幕间与结算'!E797),ISNUMBER('幕间与结算'!F797),ISNUMBER('幕间与结算'!G797),'幕间与结算'!E797&gt;=0,'幕间与结算'!G797='幕间与结算'!E797+'幕间与结算'!F797),OR(B890&lt;&gt;"成长",AND(LEFT(C890,3)="技能：",C890&lt;&gt;"技能：非自然知识",'幕间与结算'!E797&gt;=1,'幕间与结算'!E797&lt;=99,'幕间与结算'!F797&gt;=0,'幕间与结算'!F797&lt;=4,'幕间与结算'!G797&lt;=99))),1,0)</x:f>
        <x:v>0</x:v>
      </x:c>
      <x:c r="H890">
        <x:f>IF(AND(G890=1,COUNTIFS($I$200:I890,I890,$G$200:G890,1)=1),1,0)</x:f>
        <x:v>0</x:v>
      </x:c>
      <x:c r="I890" t="str">
        <x:f>IF(G890=1,IF(B890="成长",A890&amp;"-成长-"&amp;C890,'幕间与结算'!I797),"")</x:f>
        <x:v/>
      </x:c>
      <x:c r="BF890">
        <x:f>MAX(0,MIN(18,BF889+IF(C890="力量",E890,0)))</x:f>
        <x:v>0</x:v>
      </x:c>
      <x:c r="BG890">
        <x:f>MAX(0,MIN(18,BG889+IF(C890="体质",E890,0)))</x:f>
        <x:v>0</x:v>
      </x:c>
      <x:c r="BH890">
        <x:f>MAX(0,MIN(18,BH889+IF(C890="敏捷",E890,0)))</x:f>
        <x:v>0</x:v>
      </x:c>
      <x:c r="BI890">
        <x:f>MAX(0,MIN(18,BI889+IF(C890="智力",E890,0)))</x:f>
        <x:v>0</x:v>
      </x:c>
      <x:c r="BJ890">
        <x:f>MAX(0,MIN(18,BJ889+IF(C890="意志",E890,0)))</x:f>
        <x:v>0</x:v>
      </x:c>
      <x:c r="BK890">
        <x:f>MAX(0,MIN(18,BK889+IF(C890="魅力",E890,0)))</x:f>
        <x:v>0</x:v>
      </x:c>
      <x:c r="BL890">
        <x:f>MAX(0,MIN(99,BL889+IF(C890="技能：非自然知识",E890,0)))</x:f>
        <x:v>0</x:v>
      </x:c>
      <x:c r="BM890">
        <x:f>MAX(0,MIN(CEILING((BF890+BG890)/2,1),BM889+IF(C890="体力",E890,0)))</x:f>
        <x:v>0</x:v>
      </x:c>
      <x:c r="BN890">
        <x:f>MAX(0,MIN(BJ890,BN889+IF(C890="毅力",E890,0)))</x:f>
        <x:v>0</x:v>
      </x:c>
      <x:c r="BO890">
        <x:f>MAX(0,MIN(99-BL890,BO889+IF(C890="理智",E890,0)))</x:f>
        <x:v>0</x:v>
      </x:c>
      <x:c r="BP890">
        <x:f>MAX(0,MIN(99,BP889+IF(C890="崩溃点",E890,0)))</x:f>
        <x:v>0</x:v>
      </x:c>
      <x:c r="BQ890">
        <x:f>MAX(0,MIN(BK890,IF(AND(H890=1,C890="重要关系1",LEFT('幕间与结算'!H797,8)="建立新的重要关系"),'幕间与结算'!E797+E890,BQ889+IF(C890="重要关系1",E890,0)+IF(AND(C890="魅力",E890&lt;0),E890,0))))</x:f>
        <x:v>0</x:v>
      </x:c>
      <x:c r="BR890">
        <x:f>MAX(0,MIN(BK890,IF(AND(H890=1,C890="重要关系2",LEFT('幕间与结算'!H797,8)="建立新的重要关系"),'幕间与结算'!E797+E890,BR889+IF(C890="重要关系2",E890,0)+IF(AND(C890="魅力",E890&lt;0),E890,0))))</x:f>
        <x:v>0</x:v>
      </x:c>
      <x:c r="BS890">
        <x:f>MAX(0,MIN(BK890,IF(AND(H890=1,C890="重要关系3",LEFT('幕间与结算'!H797,8)="建立新的重要关系"),'幕间与结算'!E797+E890,BS889+IF(C890="重要关系3",E890,0)+IF(AND(C890="魅力",E890&lt;0),E890,0))))</x:f>
        <x:v>0</x:v>
      </x:c>
      <x:c r="BT890">
        <x:f>MAX(0,MIN(BK890,IF(AND(H890=1,C890="重要关系4",LEFT('幕间与结算'!H797,8)="建立新的重要关系"),'幕间与结算'!E797+E890,BT889+IF(C890="重要关系4",E890,0)+IF(AND(C890="魅力",E890&lt;0),E890,0))))</x:f>
        <x:v>0</x:v>
      </x:c>
      <x:c r="BU890">
        <x:f>MAX(0,MIN(BK890,IF(AND(H890=1,C890="重要关系5",LEFT('幕间与结算'!H797,8)="建立新的重要关系"),'幕间与结算'!E797+E890,BU889+IF(C890="重要关系5",E890,0)+IF(AND(C890="魅力",E890&lt;0),E890,0))))</x:f>
        <x:v>0</x:v>
      </x:c>
      <x:c r="BV890">
        <x:f>MAX(0,MIN(BK890,IF(AND(H890=1,C890="重要关系6",LEFT('幕间与结算'!H797,8)="建立新的重要关系"),'幕间与结算'!E797+E890,BV889+IF(C890="重要关系6",E890,0)+IF(AND(C890="魅力",E890&lt;0),E890,0))))</x:f>
        <x:v>0</x:v>
      </x:c>
      <x:c r="BW890">
        <x:f>MAX(0,MIN(BK890,IF(AND(H890=1,C890="重要关系7",LEFT('幕间与结算'!H797,8)="建立新的重要关系"),'幕间与结算'!E797+E890,BW889+IF(C890="重要关系7",E890,0)+IF(AND(C890="魅力",E890&lt;0),E890,0))))</x:f>
        <x:v>0</x:v>
      </x:c>
    </x:row>
    <x:row r="891">
      <x:c r="A891" t="str">
        <x:f>IFERROR(TEXT(VALUE('幕间与结算'!A798),"00"),"")</x:f>
        <x:v>00</x:v>
      </x:c>
      <x:c r="B891">
        <x:f>'幕间与结算'!B798</x:f>
        <x:v>0</x:v>
      </x:c>
      <x:c r="C891">
        <x:f>'幕间与结算'!D798</x:f>
        <x:v>0</x:v>
      </x:c>
      <x:c r="D891">
        <x:f>'幕间与结算'!F798</x:f>
        <x:v>0</x:v>
      </x:c>
      <x:c r="E891">
        <x:f>IF(H891=1,MAX(-'幕间与结算'!E798,MIN(D891,IF(LEFT(C891,3)="技能：",99,IF(COUNTIF($L$2:$L$7,C891)&gt;0,18,999))-'幕间与结算'!E798)),0)</x:f>
        <x:v>0</x:v>
      </x:c>
      <x:c r="F891" t="str">
        <x:f>IF(C891=0,"",IF(G891=0,"记录不完整",IF(H891=0,"重复未计","已计入")))</x:f>
        <x:v/>
      </x:c>
      <x:c r="G891">
        <x:f>IF(AND(AND('幕间与结算'!A798&lt;&gt;"",'幕间与结算'!B798&lt;&gt;"",'幕间与结算'!I798&lt;&gt;"",OR(LEFT(C891,3)="技能：",COUNTIF($L$2:$L$19,C891)&gt;0),ISNUMBER('幕间与结算'!E798),ISNUMBER('幕间与结算'!F798),ISNUMBER('幕间与结算'!G798),'幕间与结算'!E798&gt;=0,'幕间与结算'!G798='幕间与结算'!E798+'幕间与结算'!F798),OR(B891&lt;&gt;"成长",AND(LEFT(C891,3)="技能：",C891&lt;&gt;"技能：非自然知识",'幕间与结算'!E798&gt;=1,'幕间与结算'!E798&lt;=99,'幕间与结算'!F798&gt;=0,'幕间与结算'!F798&lt;=4,'幕间与结算'!G798&lt;=99))),1,0)</x:f>
        <x:v>0</x:v>
      </x:c>
      <x:c r="H891">
        <x:f>IF(AND(G891=1,COUNTIFS($I$200:I891,I891,$G$200:G891,1)=1),1,0)</x:f>
        <x:v>0</x:v>
      </x:c>
      <x:c r="I891" t="str">
        <x:f>IF(G891=1,IF(B891="成长",A891&amp;"-成长-"&amp;C891,'幕间与结算'!I798),"")</x:f>
        <x:v/>
      </x:c>
      <x:c r="BF891">
        <x:f>MAX(0,MIN(18,BF890+IF(C891="力量",E891,0)))</x:f>
        <x:v>0</x:v>
      </x:c>
      <x:c r="BG891">
        <x:f>MAX(0,MIN(18,BG890+IF(C891="体质",E891,0)))</x:f>
        <x:v>0</x:v>
      </x:c>
      <x:c r="BH891">
        <x:f>MAX(0,MIN(18,BH890+IF(C891="敏捷",E891,0)))</x:f>
        <x:v>0</x:v>
      </x:c>
      <x:c r="BI891">
        <x:f>MAX(0,MIN(18,BI890+IF(C891="智力",E891,0)))</x:f>
        <x:v>0</x:v>
      </x:c>
      <x:c r="BJ891">
        <x:f>MAX(0,MIN(18,BJ890+IF(C891="意志",E891,0)))</x:f>
        <x:v>0</x:v>
      </x:c>
      <x:c r="BK891">
        <x:f>MAX(0,MIN(18,BK890+IF(C891="魅力",E891,0)))</x:f>
        <x:v>0</x:v>
      </x:c>
      <x:c r="BL891">
        <x:f>MAX(0,MIN(99,BL890+IF(C891="技能：非自然知识",E891,0)))</x:f>
        <x:v>0</x:v>
      </x:c>
      <x:c r="BM891">
        <x:f>MAX(0,MIN(CEILING((BF891+BG891)/2,1),BM890+IF(C891="体力",E891,0)))</x:f>
        <x:v>0</x:v>
      </x:c>
      <x:c r="BN891">
        <x:f>MAX(0,MIN(BJ891,BN890+IF(C891="毅力",E891,0)))</x:f>
        <x:v>0</x:v>
      </x:c>
      <x:c r="BO891">
        <x:f>MAX(0,MIN(99-BL891,BO890+IF(C891="理智",E891,0)))</x:f>
        <x:v>0</x:v>
      </x:c>
      <x:c r="BP891">
        <x:f>MAX(0,MIN(99,BP890+IF(C891="崩溃点",E891,0)))</x:f>
        <x:v>0</x:v>
      </x:c>
      <x:c r="BQ891">
        <x:f>MAX(0,MIN(BK891,IF(AND(H891=1,C891="重要关系1",LEFT('幕间与结算'!H798,8)="建立新的重要关系"),'幕间与结算'!E798+E891,BQ890+IF(C891="重要关系1",E891,0)+IF(AND(C891="魅力",E891&lt;0),E891,0))))</x:f>
        <x:v>0</x:v>
      </x:c>
      <x:c r="BR891">
        <x:f>MAX(0,MIN(BK891,IF(AND(H891=1,C891="重要关系2",LEFT('幕间与结算'!H798,8)="建立新的重要关系"),'幕间与结算'!E798+E891,BR890+IF(C891="重要关系2",E891,0)+IF(AND(C891="魅力",E891&lt;0),E891,0))))</x:f>
        <x:v>0</x:v>
      </x:c>
      <x:c r="BS891">
        <x:f>MAX(0,MIN(BK891,IF(AND(H891=1,C891="重要关系3",LEFT('幕间与结算'!H798,8)="建立新的重要关系"),'幕间与结算'!E798+E891,BS890+IF(C891="重要关系3",E891,0)+IF(AND(C891="魅力",E891&lt;0),E891,0))))</x:f>
        <x:v>0</x:v>
      </x:c>
      <x:c r="BT891">
        <x:f>MAX(0,MIN(BK891,IF(AND(H891=1,C891="重要关系4",LEFT('幕间与结算'!H798,8)="建立新的重要关系"),'幕间与结算'!E798+E891,BT890+IF(C891="重要关系4",E891,0)+IF(AND(C891="魅力",E891&lt;0),E891,0))))</x:f>
        <x:v>0</x:v>
      </x:c>
      <x:c r="BU891">
        <x:f>MAX(0,MIN(BK891,IF(AND(H891=1,C891="重要关系5",LEFT('幕间与结算'!H798,8)="建立新的重要关系"),'幕间与结算'!E798+E891,BU890+IF(C891="重要关系5",E891,0)+IF(AND(C891="魅力",E891&lt;0),E891,0))))</x:f>
        <x:v>0</x:v>
      </x:c>
      <x:c r="BV891">
        <x:f>MAX(0,MIN(BK891,IF(AND(H891=1,C891="重要关系6",LEFT('幕间与结算'!H798,8)="建立新的重要关系"),'幕间与结算'!E798+E891,BV890+IF(C891="重要关系6",E891,0)+IF(AND(C891="魅力",E891&lt;0),E891,0))))</x:f>
        <x:v>0</x:v>
      </x:c>
      <x:c r="BW891">
        <x:f>MAX(0,MIN(BK891,IF(AND(H891=1,C891="重要关系7",LEFT('幕间与结算'!H798,8)="建立新的重要关系"),'幕间与结算'!E798+E891,BW890+IF(C891="重要关系7",E891,0)+IF(AND(C891="魅力",E891&lt;0),E891,0))))</x:f>
        <x:v>0</x:v>
      </x:c>
    </x:row>
    <x:row r="892">
      <x:c r="A892" t="str">
        <x:f>IFERROR(TEXT(VALUE('幕间与结算'!A799),"00"),"")</x:f>
        <x:v>00</x:v>
      </x:c>
      <x:c r="B892">
        <x:f>'幕间与结算'!B799</x:f>
        <x:v>0</x:v>
      </x:c>
      <x:c r="C892">
        <x:f>'幕间与结算'!D799</x:f>
        <x:v>0</x:v>
      </x:c>
      <x:c r="D892">
        <x:f>'幕间与结算'!F799</x:f>
        <x:v>0</x:v>
      </x:c>
      <x:c r="E892">
        <x:f>IF(H892=1,MAX(-'幕间与结算'!E799,MIN(D892,IF(LEFT(C892,3)="技能：",99,IF(COUNTIF($L$2:$L$7,C892)&gt;0,18,999))-'幕间与结算'!E799)),0)</x:f>
        <x:v>0</x:v>
      </x:c>
      <x:c r="F892" t="str">
        <x:f>IF(C892=0,"",IF(G892=0,"记录不完整",IF(H892=0,"重复未计","已计入")))</x:f>
        <x:v/>
      </x:c>
      <x:c r="G892">
        <x:f>IF(AND(AND('幕间与结算'!A799&lt;&gt;"",'幕间与结算'!B799&lt;&gt;"",'幕间与结算'!I799&lt;&gt;"",OR(LEFT(C892,3)="技能：",COUNTIF($L$2:$L$19,C892)&gt;0),ISNUMBER('幕间与结算'!E799),ISNUMBER('幕间与结算'!F799),ISNUMBER('幕间与结算'!G799),'幕间与结算'!E799&gt;=0,'幕间与结算'!G799='幕间与结算'!E799+'幕间与结算'!F799),OR(B892&lt;&gt;"成长",AND(LEFT(C892,3)="技能：",C892&lt;&gt;"技能：非自然知识",'幕间与结算'!E799&gt;=1,'幕间与结算'!E799&lt;=99,'幕间与结算'!F799&gt;=0,'幕间与结算'!F799&lt;=4,'幕间与结算'!G799&lt;=99))),1,0)</x:f>
        <x:v>0</x:v>
      </x:c>
      <x:c r="H892">
        <x:f>IF(AND(G892=1,COUNTIFS($I$200:I892,I892,$G$200:G892,1)=1),1,0)</x:f>
        <x:v>0</x:v>
      </x:c>
      <x:c r="I892" t="str">
        <x:f>IF(G892=1,IF(B892="成长",A892&amp;"-成长-"&amp;C892,'幕间与结算'!I799),"")</x:f>
        <x:v/>
      </x:c>
      <x:c r="BF892">
        <x:f>MAX(0,MIN(18,BF891+IF(C892="力量",E892,0)))</x:f>
        <x:v>0</x:v>
      </x:c>
      <x:c r="BG892">
        <x:f>MAX(0,MIN(18,BG891+IF(C892="体质",E892,0)))</x:f>
        <x:v>0</x:v>
      </x:c>
      <x:c r="BH892">
        <x:f>MAX(0,MIN(18,BH891+IF(C892="敏捷",E892,0)))</x:f>
        <x:v>0</x:v>
      </x:c>
      <x:c r="BI892">
        <x:f>MAX(0,MIN(18,BI891+IF(C892="智力",E892,0)))</x:f>
        <x:v>0</x:v>
      </x:c>
      <x:c r="BJ892">
        <x:f>MAX(0,MIN(18,BJ891+IF(C892="意志",E892,0)))</x:f>
        <x:v>0</x:v>
      </x:c>
      <x:c r="BK892">
        <x:f>MAX(0,MIN(18,BK891+IF(C892="魅力",E892,0)))</x:f>
        <x:v>0</x:v>
      </x:c>
      <x:c r="BL892">
        <x:f>MAX(0,MIN(99,BL891+IF(C892="技能：非自然知识",E892,0)))</x:f>
        <x:v>0</x:v>
      </x:c>
      <x:c r="BM892">
        <x:f>MAX(0,MIN(CEILING((BF892+BG892)/2,1),BM891+IF(C892="体力",E892,0)))</x:f>
        <x:v>0</x:v>
      </x:c>
      <x:c r="BN892">
        <x:f>MAX(0,MIN(BJ892,BN891+IF(C892="毅力",E892,0)))</x:f>
        <x:v>0</x:v>
      </x:c>
      <x:c r="BO892">
        <x:f>MAX(0,MIN(99-BL892,BO891+IF(C892="理智",E892,0)))</x:f>
        <x:v>0</x:v>
      </x:c>
      <x:c r="BP892">
        <x:f>MAX(0,MIN(99,BP891+IF(C892="崩溃点",E892,0)))</x:f>
        <x:v>0</x:v>
      </x:c>
      <x:c r="BQ892">
        <x:f>MAX(0,MIN(BK892,IF(AND(H892=1,C892="重要关系1",LEFT('幕间与结算'!H799,8)="建立新的重要关系"),'幕间与结算'!E799+E892,BQ891+IF(C892="重要关系1",E892,0)+IF(AND(C892="魅力",E892&lt;0),E892,0))))</x:f>
        <x:v>0</x:v>
      </x:c>
      <x:c r="BR892">
        <x:f>MAX(0,MIN(BK892,IF(AND(H892=1,C892="重要关系2",LEFT('幕间与结算'!H799,8)="建立新的重要关系"),'幕间与结算'!E799+E892,BR891+IF(C892="重要关系2",E892,0)+IF(AND(C892="魅力",E892&lt;0),E892,0))))</x:f>
        <x:v>0</x:v>
      </x:c>
      <x:c r="BS892">
        <x:f>MAX(0,MIN(BK892,IF(AND(H892=1,C892="重要关系3",LEFT('幕间与结算'!H799,8)="建立新的重要关系"),'幕间与结算'!E799+E892,BS891+IF(C892="重要关系3",E892,0)+IF(AND(C892="魅力",E892&lt;0),E892,0))))</x:f>
        <x:v>0</x:v>
      </x:c>
      <x:c r="BT892">
        <x:f>MAX(0,MIN(BK892,IF(AND(H892=1,C892="重要关系4",LEFT('幕间与结算'!H799,8)="建立新的重要关系"),'幕间与结算'!E799+E892,BT891+IF(C892="重要关系4",E892,0)+IF(AND(C892="魅力",E892&lt;0),E892,0))))</x:f>
        <x:v>0</x:v>
      </x:c>
      <x:c r="BU892">
        <x:f>MAX(0,MIN(BK892,IF(AND(H892=1,C892="重要关系5",LEFT('幕间与结算'!H799,8)="建立新的重要关系"),'幕间与结算'!E799+E892,BU891+IF(C892="重要关系5",E892,0)+IF(AND(C892="魅力",E892&lt;0),E892,0))))</x:f>
        <x:v>0</x:v>
      </x:c>
      <x:c r="BV892">
        <x:f>MAX(0,MIN(BK892,IF(AND(H892=1,C892="重要关系6",LEFT('幕间与结算'!H799,8)="建立新的重要关系"),'幕间与结算'!E799+E892,BV891+IF(C892="重要关系6",E892,0)+IF(AND(C892="魅力",E892&lt;0),E892,0))))</x:f>
        <x:v>0</x:v>
      </x:c>
      <x:c r="BW892">
        <x:f>MAX(0,MIN(BK892,IF(AND(H892=1,C892="重要关系7",LEFT('幕间与结算'!H799,8)="建立新的重要关系"),'幕间与结算'!E799+E892,BW891+IF(C892="重要关系7",E892,0)+IF(AND(C892="魅力",E892&lt;0),E892,0))))</x:f>
        <x:v>0</x:v>
      </x:c>
    </x:row>
    <x:row r="893">
      <x:c r="A893" t="str">
        <x:f>IFERROR(TEXT(VALUE('幕间与结算'!A800),"00"),"")</x:f>
        <x:v>00</x:v>
      </x:c>
      <x:c r="B893">
        <x:f>'幕间与结算'!B800</x:f>
        <x:v>0</x:v>
      </x:c>
      <x:c r="C893">
        <x:f>'幕间与结算'!D800</x:f>
        <x:v>0</x:v>
      </x:c>
      <x:c r="D893">
        <x:f>'幕间与结算'!F800</x:f>
        <x:v>0</x:v>
      </x:c>
      <x:c r="E893">
        <x:f>IF(H893=1,MAX(-'幕间与结算'!E800,MIN(D893,IF(LEFT(C893,3)="技能：",99,IF(COUNTIF($L$2:$L$7,C893)&gt;0,18,999))-'幕间与结算'!E800)),0)</x:f>
        <x:v>0</x:v>
      </x:c>
      <x:c r="F893" t="str">
        <x:f>IF(C893=0,"",IF(G893=0,"记录不完整",IF(H893=0,"重复未计","已计入")))</x:f>
        <x:v/>
      </x:c>
      <x:c r="G893">
        <x:f>IF(AND(AND('幕间与结算'!A800&lt;&gt;"",'幕间与结算'!B800&lt;&gt;"",'幕间与结算'!I800&lt;&gt;"",OR(LEFT(C893,3)="技能：",COUNTIF($L$2:$L$19,C893)&gt;0),ISNUMBER('幕间与结算'!E800),ISNUMBER('幕间与结算'!F800),ISNUMBER('幕间与结算'!G800),'幕间与结算'!E800&gt;=0,'幕间与结算'!G800='幕间与结算'!E800+'幕间与结算'!F800),OR(B893&lt;&gt;"成长",AND(LEFT(C893,3)="技能：",C893&lt;&gt;"技能：非自然知识",'幕间与结算'!E800&gt;=1,'幕间与结算'!E800&lt;=99,'幕间与结算'!F800&gt;=0,'幕间与结算'!F800&lt;=4,'幕间与结算'!G800&lt;=99))),1,0)</x:f>
        <x:v>0</x:v>
      </x:c>
      <x:c r="H893">
        <x:f>IF(AND(G893=1,COUNTIFS($I$200:I893,I893,$G$200:G893,1)=1),1,0)</x:f>
        <x:v>0</x:v>
      </x:c>
      <x:c r="I893" t="str">
        <x:f>IF(G893=1,IF(B893="成长",A893&amp;"-成长-"&amp;C893,'幕间与结算'!I800),"")</x:f>
        <x:v/>
      </x:c>
      <x:c r="BF893">
        <x:f>MAX(0,MIN(18,BF892+IF(C893="力量",E893,0)))</x:f>
        <x:v>0</x:v>
      </x:c>
      <x:c r="BG893">
        <x:f>MAX(0,MIN(18,BG892+IF(C893="体质",E893,0)))</x:f>
        <x:v>0</x:v>
      </x:c>
      <x:c r="BH893">
        <x:f>MAX(0,MIN(18,BH892+IF(C893="敏捷",E893,0)))</x:f>
        <x:v>0</x:v>
      </x:c>
      <x:c r="BI893">
        <x:f>MAX(0,MIN(18,BI892+IF(C893="智力",E893,0)))</x:f>
        <x:v>0</x:v>
      </x:c>
      <x:c r="BJ893">
        <x:f>MAX(0,MIN(18,BJ892+IF(C893="意志",E893,0)))</x:f>
        <x:v>0</x:v>
      </x:c>
      <x:c r="BK893">
        <x:f>MAX(0,MIN(18,BK892+IF(C893="魅力",E893,0)))</x:f>
        <x:v>0</x:v>
      </x:c>
      <x:c r="BL893">
        <x:f>MAX(0,MIN(99,BL892+IF(C893="技能：非自然知识",E893,0)))</x:f>
        <x:v>0</x:v>
      </x:c>
      <x:c r="BM893">
        <x:f>MAX(0,MIN(CEILING((BF893+BG893)/2,1),BM892+IF(C893="体力",E893,0)))</x:f>
        <x:v>0</x:v>
      </x:c>
      <x:c r="BN893">
        <x:f>MAX(0,MIN(BJ893,BN892+IF(C893="毅力",E893,0)))</x:f>
        <x:v>0</x:v>
      </x:c>
      <x:c r="BO893">
        <x:f>MAX(0,MIN(99-BL893,BO892+IF(C893="理智",E893,0)))</x:f>
        <x:v>0</x:v>
      </x:c>
      <x:c r="BP893">
        <x:f>MAX(0,MIN(99,BP892+IF(C893="崩溃点",E893,0)))</x:f>
        <x:v>0</x:v>
      </x:c>
      <x:c r="BQ893">
        <x:f>MAX(0,MIN(BK893,IF(AND(H893=1,C893="重要关系1",LEFT('幕间与结算'!H800,8)="建立新的重要关系"),'幕间与结算'!E800+E893,BQ892+IF(C893="重要关系1",E893,0)+IF(AND(C893="魅力",E893&lt;0),E893,0))))</x:f>
        <x:v>0</x:v>
      </x:c>
      <x:c r="BR893">
        <x:f>MAX(0,MIN(BK893,IF(AND(H893=1,C893="重要关系2",LEFT('幕间与结算'!H800,8)="建立新的重要关系"),'幕间与结算'!E800+E893,BR892+IF(C893="重要关系2",E893,0)+IF(AND(C893="魅力",E893&lt;0),E893,0))))</x:f>
        <x:v>0</x:v>
      </x:c>
      <x:c r="BS893">
        <x:f>MAX(0,MIN(BK893,IF(AND(H893=1,C893="重要关系3",LEFT('幕间与结算'!H800,8)="建立新的重要关系"),'幕间与结算'!E800+E893,BS892+IF(C893="重要关系3",E893,0)+IF(AND(C893="魅力",E893&lt;0),E893,0))))</x:f>
        <x:v>0</x:v>
      </x:c>
      <x:c r="BT893">
        <x:f>MAX(0,MIN(BK893,IF(AND(H893=1,C893="重要关系4",LEFT('幕间与结算'!H800,8)="建立新的重要关系"),'幕间与结算'!E800+E893,BT892+IF(C893="重要关系4",E893,0)+IF(AND(C893="魅力",E893&lt;0),E893,0))))</x:f>
        <x:v>0</x:v>
      </x:c>
      <x:c r="BU893">
        <x:f>MAX(0,MIN(BK893,IF(AND(H893=1,C893="重要关系5",LEFT('幕间与结算'!H800,8)="建立新的重要关系"),'幕间与结算'!E800+E893,BU892+IF(C893="重要关系5",E893,0)+IF(AND(C893="魅力",E893&lt;0),E893,0))))</x:f>
        <x:v>0</x:v>
      </x:c>
      <x:c r="BV893">
        <x:f>MAX(0,MIN(BK893,IF(AND(H893=1,C893="重要关系6",LEFT('幕间与结算'!H800,8)="建立新的重要关系"),'幕间与结算'!E800+E893,BV892+IF(C893="重要关系6",E893,0)+IF(AND(C893="魅力",E893&lt;0),E893,0))))</x:f>
        <x:v>0</x:v>
      </x:c>
      <x:c r="BW893">
        <x:f>MAX(0,MIN(BK893,IF(AND(H893=1,C893="重要关系7",LEFT('幕间与结算'!H800,8)="建立新的重要关系"),'幕间与结算'!E800+E893,BW892+IF(C893="重要关系7",E893,0)+IF(AND(C893="魅力",E893&lt;0),E893,0))))</x:f>
        <x:v>0</x:v>
      </x:c>
    </x:row>
    <x:row r="894">
      <x:c r="A894" t="str">
        <x:f>IFERROR(TEXT(VALUE('幕间与结算'!A801),"00"),"")</x:f>
        <x:v>00</x:v>
      </x:c>
      <x:c r="B894">
        <x:f>'幕间与结算'!B801</x:f>
        <x:v>0</x:v>
      </x:c>
      <x:c r="C894">
        <x:f>'幕间与结算'!D801</x:f>
        <x:v>0</x:v>
      </x:c>
      <x:c r="D894">
        <x:f>'幕间与结算'!F801</x:f>
        <x:v>0</x:v>
      </x:c>
      <x:c r="E894">
        <x:f>IF(H894=1,MAX(-'幕间与结算'!E801,MIN(D894,IF(LEFT(C894,3)="技能：",99,IF(COUNTIF($L$2:$L$7,C894)&gt;0,18,999))-'幕间与结算'!E801)),0)</x:f>
        <x:v>0</x:v>
      </x:c>
      <x:c r="F894" t="str">
        <x:f>IF(C894=0,"",IF(G894=0,"记录不完整",IF(H894=0,"重复未计","已计入")))</x:f>
        <x:v/>
      </x:c>
      <x:c r="G894">
        <x:f>IF(AND(AND('幕间与结算'!A801&lt;&gt;"",'幕间与结算'!B801&lt;&gt;"",'幕间与结算'!I801&lt;&gt;"",OR(LEFT(C894,3)="技能：",COUNTIF($L$2:$L$19,C894)&gt;0),ISNUMBER('幕间与结算'!E801),ISNUMBER('幕间与结算'!F801),ISNUMBER('幕间与结算'!G801),'幕间与结算'!E801&gt;=0,'幕间与结算'!G801='幕间与结算'!E801+'幕间与结算'!F801),OR(B894&lt;&gt;"成长",AND(LEFT(C894,3)="技能：",C894&lt;&gt;"技能：非自然知识",'幕间与结算'!E801&gt;=1,'幕间与结算'!E801&lt;=99,'幕间与结算'!F801&gt;=0,'幕间与结算'!F801&lt;=4,'幕间与结算'!G801&lt;=99))),1,0)</x:f>
        <x:v>0</x:v>
      </x:c>
      <x:c r="H894">
        <x:f>IF(AND(G894=1,COUNTIFS($I$200:I894,I894,$G$200:G894,1)=1),1,0)</x:f>
        <x:v>0</x:v>
      </x:c>
      <x:c r="I894" t="str">
        <x:f>IF(G894=1,IF(B894="成长",A894&amp;"-成长-"&amp;C894,'幕间与结算'!I801),"")</x:f>
        <x:v/>
      </x:c>
      <x:c r="BF894">
        <x:f>MAX(0,MIN(18,BF893+IF(C894="力量",E894,0)))</x:f>
        <x:v>0</x:v>
      </x:c>
      <x:c r="BG894">
        <x:f>MAX(0,MIN(18,BG893+IF(C894="体质",E894,0)))</x:f>
        <x:v>0</x:v>
      </x:c>
      <x:c r="BH894">
        <x:f>MAX(0,MIN(18,BH893+IF(C894="敏捷",E894,0)))</x:f>
        <x:v>0</x:v>
      </x:c>
      <x:c r="BI894">
        <x:f>MAX(0,MIN(18,BI893+IF(C894="智力",E894,0)))</x:f>
        <x:v>0</x:v>
      </x:c>
      <x:c r="BJ894">
        <x:f>MAX(0,MIN(18,BJ893+IF(C894="意志",E894,0)))</x:f>
        <x:v>0</x:v>
      </x:c>
      <x:c r="BK894">
        <x:f>MAX(0,MIN(18,BK893+IF(C894="魅力",E894,0)))</x:f>
        <x:v>0</x:v>
      </x:c>
      <x:c r="BL894">
        <x:f>MAX(0,MIN(99,BL893+IF(C894="技能：非自然知识",E894,0)))</x:f>
        <x:v>0</x:v>
      </x:c>
      <x:c r="BM894">
        <x:f>MAX(0,MIN(CEILING((BF894+BG894)/2,1),BM893+IF(C894="体力",E894,0)))</x:f>
        <x:v>0</x:v>
      </x:c>
      <x:c r="BN894">
        <x:f>MAX(0,MIN(BJ894,BN893+IF(C894="毅力",E894,0)))</x:f>
        <x:v>0</x:v>
      </x:c>
      <x:c r="BO894">
        <x:f>MAX(0,MIN(99-BL894,BO893+IF(C894="理智",E894,0)))</x:f>
        <x:v>0</x:v>
      </x:c>
      <x:c r="BP894">
        <x:f>MAX(0,MIN(99,BP893+IF(C894="崩溃点",E894,0)))</x:f>
        <x:v>0</x:v>
      </x:c>
      <x:c r="BQ894">
        <x:f>MAX(0,MIN(BK894,IF(AND(H894=1,C894="重要关系1",LEFT('幕间与结算'!H801,8)="建立新的重要关系"),'幕间与结算'!E801+E894,BQ893+IF(C894="重要关系1",E894,0)+IF(AND(C894="魅力",E894&lt;0),E894,0))))</x:f>
        <x:v>0</x:v>
      </x:c>
      <x:c r="BR894">
        <x:f>MAX(0,MIN(BK894,IF(AND(H894=1,C894="重要关系2",LEFT('幕间与结算'!H801,8)="建立新的重要关系"),'幕间与结算'!E801+E894,BR893+IF(C894="重要关系2",E894,0)+IF(AND(C894="魅力",E894&lt;0),E894,0))))</x:f>
        <x:v>0</x:v>
      </x:c>
      <x:c r="BS894">
        <x:f>MAX(0,MIN(BK894,IF(AND(H894=1,C894="重要关系3",LEFT('幕间与结算'!H801,8)="建立新的重要关系"),'幕间与结算'!E801+E894,BS893+IF(C894="重要关系3",E894,0)+IF(AND(C894="魅力",E894&lt;0),E894,0))))</x:f>
        <x:v>0</x:v>
      </x:c>
      <x:c r="BT894">
        <x:f>MAX(0,MIN(BK894,IF(AND(H894=1,C894="重要关系4",LEFT('幕间与结算'!H801,8)="建立新的重要关系"),'幕间与结算'!E801+E894,BT893+IF(C894="重要关系4",E894,0)+IF(AND(C894="魅力",E894&lt;0),E894,0))))</x:f>
        <x:v>0</x:v>
      </x:c>
      <x:c r="BU894">
        <x:f>MAX(0,MIN(BK894,IF(AND(H894=1,C894="重要关系5",LEFT('幕间与结算'!H801,8)="建立新的重要关系"),'幕间与结算'!E801+E894,BU893+IF(C894="重要关系5",E894,0)+IF(AND(C894="魅力",E894&lt;0),E894,0))))</x:f>
        <x:v>0</x:v>
      </x:c>
      <x:c r="BV894">
        <x:f>MAX(0,MIN(BK894,IF(AND(H894=1,C894="重要关系6",LEFT('幕间与结算'!H801,8)="建立新的重要关系"),'幕间与结算'!E801+E894,BV893+IF(C894="重要关系6",E894,0)+IF(AND(C894="魅力",E894&lt;0),E894,0))))</x:f>
        <x:v>0</x:v>
      </x:c>
      <x:c r="BW894">
        <x:f>MAX(0,MIN(BK894,IF(AND(H894=1,C894="重要关系7",LEFT('幕间与结算'!H801,8)="建立新的重要关系"),'幕间与结算'!E801+E894,BW893+IF(C894="重要关系7",E894,0)+IF(AND(C894="魅力",E894&lt;0),E894,0))))</x:f>
        <x:v>0</x:v>
      </x:c>
    </x:row>
    <x:row r="895">
      <x:c r="A895" t="str">
        <x:f>IFERROR(TEXT(VALUE('幕间与结算'!A802),"00"),"")</x:f>
        <x:v>00</x:v>
      </x:c>
      <x:c r="B895">
        <x:f>'幕间与结算'!B802</x:f>
        <x:v>0</x:v>
      </x:c>
      <x:c r="C895">
        <x:f>'幕间与结算'!D802</x:f>
        <x:v>0</x:v>
      </x:c>
      <x:c r="D895">
        <x:f>'幕间与结算'!F802</x:f>
        <x:v>0</x:v>
      </x:c>
      <x:c r="E895">
        <x:f>IF(H895=1,MAX(-'幕间与结算'!E802,MIN(D895,IF(LEFT(C895,3)="技能：",99,IF(COUNTIF($L$2:$L$7,C895)&gt;0,18,999))-'幕间与结算'!E802)),0)</x:f>
        <x:v>0</x:v>
      </x:c>
      <x:c r="F895" t="str">
        <x:f>IF(C895=0,"",IF(G895=0,"记录不完整",IF(H895=0,"重复未计","已计入")))</x:f>
        <x:v/>
      </x:c>
      <x:c r="G895">
        <x:f>IF(AND(AND('幕间与结算'!A802&lt;&gt;"",'幕间与结算'!B802&lt;&gt;"",'幕间与结算'!I802&lt;&gt;"",OR(LEFT(C895,3)="技能：",COUNTIF($L$2:$L$19,C895)&gt;0),ISNUMBER('幕间与结算'!E802),ISNUMBER('幕间与结算'!F802),ISNUMBER('幕间与结算'!G802),'幕间与结算'!E802&gt;=0,'幕间与结算'!G802='幕间与结算'!E802+'幕间与结算'!F802),OR(B895&lt;&gt;"成长",AND(LEFT(C895,3)="技能：",C895&lt;&gt;"技能：非自然知识",'幕间与结算'!E802&gt;=1,'幕间与结算'!E802&lt;=99,'幕间与结算'!F802&gt;=0,'幕间与结算'!F802&lt;=4,'幕间与结算'!G802&lt;=99))),1,0)</x:f>
        <x:v>0</x:v>
      </x:c>
      <x:c r="H895">
        <x:f>IF(AND(G895=1,COUNTIFS($I$200:I895,I895,$G$200:G895,1)=1),1,0)</x:f>
        <x:v>0</x:v>
      </x:c>
      <x:c r="I895" t="str">
        <x:f>IF(G895=1,IF(B895="成长",A895&amp;"-成长-"&amp;C895,'幕间与结算'!I802),"")</x:f>
        <x:v/>
      </x:c>
      <x:c r="BF895">
        <x:f>MAX(0,MIN(18,BF894+IF(C895="力量",E895,0)))</x:f>
        <x:v>0</x:v>
      </x:c>
      <x:c r="BG895">
        <x:f>MAX(0,MIN(18,BG894+IF(C895="体质",E895,0)))</x:f>
        <x:v>0</x:v>
      </x:c>
      <x:c r="BH895">
        <x:f>MAX(0,MIN(18,BH894+IF(C895="敏捷",E895,0)))</x:f>
        <x:v>0</x:v>
      </x:c>
      <x:c r="BI895">
        <x:f>MAX(0,MIN(18,BI894+IF(C895="智力",E895,0)))</x:f>
        <x:v>0</x:v>
      </x:c>
      <x:c r="BJ895">
        <x:f>MAX(0,MIN(18,BJ894+IF(C895="意志",E895,0)))</x:f>
        <x:v>0</x:v>
      </x:c>
      <x:c r="BK895">
        <x:f>MAX(0,MIN(18,BK894+IF(C895="魅力",E895,0)))</x:f>
        <x:v>0</x:v>
      </x:c>
      <x:c r="BL895">
        <x:f>MAX(0,MIN(99,BL894+IF(C895="技能：非自然知识",E895,0)))</x:f>
        <x:v>0</x:v>
      </x:c>
      <x:c r="BM895">
        <x:f>MAX(0,MIN(CEILING((BF895+BG895)/2,1),BM894+IF(C895="体力",E895,0)))</x:f>
        <x:v>0</x:v>
      </x:c>
      <x:c r="BN895">
        <x:f>MAX(0,MIN(BJ895,BN894+IF(C895="毅力",E895,0)))</x:f>
        <x:v>0</x:v>
      </x:c>
      <x:c r="BO895">
        <x:f>MAX(0,MIN(99-BL895,BO894+IF(C895="理智",E895,0)))</x:f>
        <x:v>0</x:v>
      </x:c>
      <x:c r="BP895">
        <x:f>MAX(0,MIN(99,BP894+IF(C895="崩溃点",E895,0)))</x:f>
        <x:v>0</x:v>
      </x:c>
      <x:c r="BQ895">
        <x:f>MAX(0,MIN(BK895,IF(AND(H895=1,C895="重要关系1",LEFT('幕间与结算'!H802,8)="建立新的重要关系"),'幕间与结算'!E802+E895,BQ894+IF(C895="重要关系1",E895,0)+IF(AND(C895="魅力",E895&lt;0),E895,0))))</x:f>
        <x:v>0</x:v>
      </x:c>
      <x:c r="BR895">
        <x:f>MAX(0,MIN(BK895,IF(AND(H895=1,C895="重要关系2",LEFT('幕间与结算'!H802,8)="建立新的重要关系"),'幕间与结算'!E802+E895,BR894+IF(C895="重要关系2",E895,0)+IF(AND(C895="魅力",E895&lt;0),E895,0))))</x:f>
        <x:v>0</x:v>
      </x:c>
      <x:c r="BS895">
        <x:f>MAX(0,MIN(BK895,IF(AND(H895=1,C895="重要关系3",LEFT('幕间与结算'!H802,8)="建立新的重要关系"),'幕间与结算'!E802+E895,BS894+IF(C895="重要关系3",E895,0)+IF(AND(C895="魅力",E895&lt;0),E895,0))))</x:f>
        <x:v>0</x:v>
      </x:c>
      <x:c r="BT895">
        <x:f>MAX(0,MIN(BK895,IF(AND(H895=1,C895="重要关系4",LEFT('幕间与结算'!H802,8)="建立新的重要关系"),'幕间与结算'!E802+E895,BT894+IF(C895="重要关系4",E895,0)+IF(AND(C895="魅力",E895&lt;0),E895,0))))</x:f>
        <x:v>0</x:v>
      </x:c>
      <x:c r="BU895">
        <x:f>MAX(0,MIN(BK895,IF(AND(H895=1,C895="重要关系5",LEFT('幕间与结算'!H802,8)="建立新的重要关系"),'幕间与结算'!E802+E895,BU894+IF(C895="重要关系5",E895,0)+IF(AND(C895="魅力",E895&lt;0),E895,0))))</x:f>
        <x:v>0</x:v>
      </x:c>
      <x:c r="BV895">
        <x:f>MAX(0,MIN(BK895,IF(AND(H895=1,C895="重要关系6",LEFT('幕间与结算'!H802,8)="建立新的重要关系"),'幕间与结算'!E802+E895,BV894+IF(C895="重要关系6",E895,0)+IF(AND(C895="魅力",E895&lt;0),E895,0))))</x:f>
        <x:v>0</x:v>
      </x:c>
      <x:c r="BW895">
        <x:f>MAX(0,MIN(BK895,IF(AND(H895=1,C895="重要关系7",LEFT('幕间与结算'!H802,8)="建立新的重要关系"),'幕间与结算'!E802+E895,BW894+IF(C895="重要关系7",E895,0)+IF(AND(C895="魅力",E895&lt;0),E895,0))))</x:f>
        <x:v>0</x:v>
      </x:c>
    </x:row>
    <x:row r="896">
      <x:c r="A896" t="str">
        <x:f>IFERROR(TEXT(VALUE('幕间与结算'!A803),"00"),"")</x:f>
        <x:v>00</x:v>
      </x:c>
      <x:c r="B896">
        <x:f>'幕间与结算'!B803</x:f>
        <x:v>0</x:v>
      </x:c>
      <x:c r="C896">
        <x:f>'幕间与结算'!D803</x:f>
        <x:v>0</x:v>
      </x:c>
      <x:c r="D896">
        <x:f>'幕间与结算'!F803</x:f>
        <x:v>0</x:v>
      </x:c>
      <x:c r="E896">
        <x:f>IF(H896=1,MAX(-'幕间与结算'!E803,MIN(D896,IF(LEFT(C896,3)="技能：",99,IF(COUNTIF($L$2:$L$7,C896)&gt;0,18,999))-'幕间与结算'!E803)),0)</x:f>
        <x:v>0</x:v>
      </x:c>
      <x:c r="F896" t="str">
        <x:f>IF(C896=0,"",IF(G896=0,"记录不完整",IF(H896=0,"重复未计","已计入")))</x:f>
        <x:v/>
      </x:c>
      <x:c r="G896">
        <x:f>IF(AND(AND('幕间与结算'!A803&lt;&gt;"",'幕间与结算'!B803&lt;&gt;"",'幕间与结算'!I803&lt;&gt;"",OR(LEFT(C896,3)="技能：",COUNTIF($L$2:$L$19,C896)&gt;0),ISNUMBER('幕间与结算'!E803),ISNUMBER('幕间与结算'!F803),ISNUMBER('幕间与结算'!G803),'幕间与结算'!E803&gt;=0,'幕间与结算'!G803='幕间与结算'!E803+'幕间与结算'!F803),OR(B896&lt;&gt;"成长",AND(LEFT(C896,3)="技能：",C896&lt;&gt;"技能：非自然知识",'幕间与结算'!E803&gt;=1,'幕间与结算'!E803&lt;=99,'幕间与结算'!F803&gt;=0,'幕间与结算'!F803&lt;=4,'幕间与结算'!G803&lt;=99))),1,0)</x:f>
        <x:v>0</x:v>
      </x:c>
      <x:c r="H896">
        <x:f>IF(AND(G896=1,COUNTIFS($I$200:I896,I896,$G$200:G896,1)=1),1,0)</x:f>
        <x:v>0</x:v>
      </x:c>
      <x:c r="I896" t="str">
        <x:f>IF(G896=1,IF(B896="成长",A896&amp;"-成长-"&amp;C896,'幕间与结算'!I803),"")</x:f>
        <x:v/>
      </x:c>
      <x:c r="BF896">
        <x:f>MAX(0,MIN(18,BF895+IF(C896="力量",E896,0)))</x:f>
        <x:v>0</x:v>
      </x:c>
      <x:c r="BG896">
        <x:f>MAX(0,MIN(18,BG895+IF(C896="体质",E896,0)))</x:f>
        <x:v>0</x:v>
      </x:c>
      <x:c r="BH896">
        <x:f>MAX(0,MIN(18,BH895+IF(C896="敏捷",E896,0)))</x:f>
        <x:v>0</x:v>
      </x:c>
      <x:c r="BI896">
        <x:f>MAX(0,MIN(18,BI895+IF(C896="智力",E896,0)))</x:f>
        <x:v>0</x:v>
      </x:c>
      <x:c r="BJ896">
        <x:f>MAX(0,MIN(18,BJ895+IF(C896="意志",E896,0)))</x:f>
        <x:v>0</x:v>
      </x:c>
      <x:c r="BK896">
        <x:f>MAX(0,MIN(18,BK895+IF(C896="魅力",E896,0)))</x:f>
        <x:v>0</x:v>
      </x:c>
      <x:c r="BL896">
        <x:f>MAX(0,MIN(99,BL895+IF(C896="技能：非自然知识",E896,0)))</x:f>
        <x:v>0</x:v>
      </x:c>
      <x:c r="BM896">
        <x:f>MAX(0,MIN(CEILING((BF896+BG896)/2,1),BM895+IF(C896="体力",E896,0)))</x:f>
        <x:v>0</x:v>
      </x:c>
      <x:c r="BN896">
        <x:f>MAX(0,MIN(BJ896,BN895+IF(C896="毅力",E896,0)))</x:f>
        <x:v>0</x:v>
      </x:c>
      <x:c r="BO896">
        <x:f>MAX(0,MIN(99-BL896,BO895+IF(C896="理智",E896,0)))</x:f>
        <x:v>0</x:v>
      </x:c>
      <x:c r="BP896">
        <x:f>MAX(0,MIN(99,BP895+IF(C896="崩溃点",E896,0)))</x:f>
        <x:v>0</x:v>
      </x:c>
      <x:c r="BQ896">
        <x:f>MAX(0,MIN(BK896,IF(AND(H896=1,C896="重要关系1",LEFT('幕间与结算'!H803,8)="建立新的重要关系"),'幕间与结算'!E803+E896,BQ895+IF(C896="重要关系1",E896,0)+IF(AND(C896="魅力",E896&lt;0),E896,0))))</x:f>
        <x:v>0</x:v>
      </x:c>
      <x:c r="BR896">
        <x:f>MAX(0,MIN(BK896,IF(AND(H896=1,C896="重要关系2",LEFT('幕间与结算'!H803,8)="建立新的重要关系"),'幕间与结算'!E803+E896,BR895+IF(C896="重要关系2",E896,0)+IF(AND(C896="魅力",E896&lt;0),E896,0))))</x:f>
        <x:v>0</x:v>
      </x:c>
      <x:c r="BS896">
        <x:f>MAX(0,MIN(BK896,IF(AND(H896=1,C896="重要关系3",LEFT('幕间与结算'!H803,8)="建立新的重要关系"),'幕间与结算'!E803+E896,BS895+IF(C896="重要关系3",E896,0)+IF(AND(C896="魅力",E896&lt;0),E896,0))))</x:f>
        <x:v>0</x:v>
      </x:c>
      <x:c r="BT896">
        <x:f>MAX(0,MIN(BK896,IF(AND(H896=1,C896="重要关系4",LEFT('幕间与结算'!H803,8)="建立新的重要关系"),'幕间与结算'!E803+E896,BT895+IF(C896="重要关系4",E896,0)+IF(AND(C896="魅力",E896&lt;0),E896,0))))</x:f>
        <x:v>0</x:v>
      </x:c>
      <x:c r="BU896">
        <x:f>MAX(0,MIN(BK896,IF(AND(H896=1,C896="重要关系5",LEFT('幕间与结算'!H803,8)="建立新的重要关系"),'幕间与结算'!E803+E896,BU895+IF(C896="重要关系5",E896,0)+IF(AND(C896="魅力",E896&lt;0),E896,0))))</x:f>
        <x:v>0</x:v>
      </x:c>
      <x:c r="BV896">
        <x:f>MAX(0,MIN(BK896,IF(AND(H896=1,C896="重要关系6",LEFT('幕间与结算'!H803,8)="建立新的重要关系"),'幕间与结算'!E803+E896,BV895+IF(C896="重要关系6",E896,0)+IF(AND(C896="魅力",E896&lt;0),E896,0))))</x:f>
        <x:v>0</x:v>
      </x:c>
      <x:c r="BW896">
        <x:f>MAX(0,MIN(BK896,IF(AND(H896=1,C896="重要关系7",LEFT('幕间与结算'!H803,8)="建立新的重要关系"),'幕间与结算'!E803+E896,BW895+IF(C896="重要关系7",E896,0)+IF(AND(C896="魅力",E896&lt;0),E896,0))))</x:f>
        <x:v>0</x:v>
      </x:c>
    </x:row>
    <x:row r="897">
      <x:c r="A897" t="str">
        <x:f>IFERROR(TEXT(VALUE('幕间与结算'!A804),"00"),"")</x:f>
        <x:v>00</x:v>
      </x:c>
      <x:c r="B897">
        <x:f>'幕间与结算'!B804</x:f>
        <x:v>0</x:v>
      </x:c>
      <x:c r="C897">
        <x:f>'幕间与结算'!D804</x:f>
        <x:v>0</x:v>
      </x:c>
      <x:c r="D897">
        <x:f>'幕间与结算'!F804</x:f>
        <x:v>0</x:v>
      </x:c>
      <x:c r="E897">
        <x:f>IF(H897=1,MAX(-'幕间与结算'!E804,MIN(D897,IF(LEFT(C897,3)="技能：",99,IF(COUNTIF($L$2:$L$7,C897)&gt;0,18,999))-'幕间与结算'!E804)),0)</x:f>
        <x:v>0</x:v>
      </x:c>
      <x:c r="F897" t="str">
        <x:f>IF(C897=0,"",IF(G897=0,"记录不完整",IF(H897=0,"重复未计","已计入")))</x:f>
        <x:v/>
      </x:c>
      <x:c r="G897">
        <x:f>IF(AND(AND('幕间与结算'!A804&lt;&gt;"",'幕间与结算'!B804&lt;&gt;"",'幕间与结算'!I804&lt;&gt;"",OR(LEFT(C897,3)="技能：",COUNTIF($L$2:$L$19,C897)&gt;0),ISNUMBER('幕间与结算'!E804),ISNUMBER('幕间与结算'!F804),ISNUMBER('幕间与结算'!G804),'幕间与结算'!E804&gt;=0,'幕间与结算'!G804='幕间与结算'!E804+'幕间与结算'!F804),OR(B897&lt;&gt;"成长",AND(LEFT(C897,3)="技能：",C897&lt;&gt;"技能：非自然知识",'幕间与结算'!E804&gt;=1,'幕间与结算'!E804&lt;=99,'幕间与结算'!F804&gt;=0,'幕间与结算'!F804&lt;=4,'幕间与结算'!G804&lt;=99))),1,0)</x:f>
        <x:v>0</x:v>
      </x:c>
      <x:c r="H897">
        <x:f>IF(AND(G897=1,COUNTIFS($I$200:I897,I897,$G$200:G897,1)=1),1,0)</x:f>
        <x:v>0</x:v>
      </x:c>
      <x:c r="I897" t="str">
        <x:f>IF(G897=1,IF(B897="成长",A897&amp;"-成长-"&amp;C897,'幕间与结算'!I804),"")</x:f>
        <x:v/>
      </x:c>
      <x:c r="BF897">
        <x:f>MAX(0,MIN(18,BF896+IF(C897="力量",E897,0)))</x:f>
        <x:v>0</x:v>
      </x:c>
      <x:c r="BG897">
        <x:f>MAX(0,MIN(18,BG896+IF(C897="体质",E897,0)))</x:f>
        <x:v>0</x:v>
      </x:c>
      <x:c r="BH897">
        <x:f>MAX(0,MIN(18,BH896+IF(C897="敏捷",E897,0)))</x:f>
        <x:v>0</x:v>
      </x:c>
      <x:c r="BI897">
        <x:f>MAX(0,MIN(18,BI896+IF(C897="智力",E897,0)))</x:f>
        <x:v>0</x:v>
      </x:c>
      <x:c r="BJ897">
        <x:f>MAX(0,MIN(18,BJ896+IF(C897="意志",E897,0)))</x:f>
        <x:v>0</x:v>
      </x:c>
      <x:c r="BK897">
        <x:f>MAX(0,MIN(18,BK896+IF(C897="魅力",E897,0)))</x:f>
        <x:v>0</x:v>
      </x:c>
      <x:c r="BL897">
        <x:f>MAX(0,MIN(99,BL896+IF(C897="技能：非自然知识",E897,0)))</x:f>
        <x:v>0</x:v>
      </x:c>
      <x:c r="BM897">
        <x:f>MAX(0,MIN(CEILING((BF897+BG897)/2,1),BM896+IF(C897="体力",E897,0)))</x:f>
        <x:v>0</x:v>
      </x:c>
      <x:c r="BN897">
        <x:f>MAX(0,MIN(BJ897,BN896+IF(C897="毅力",E897,0)))</x:f>
        <x:v>0</x:v>
      </x:c>
      <x:c r="BO897">
        <x:f>MAX(0,MIN(99-BL897,BO896+IF(C897="理智",E897,0)))</x:f>
        <x:v>0</x:v>
      </x:c>
      <x:c r="BP897">
        <x:f>MAX(0,MIN(99,BP896+IF(C897="崩溃点",E897,0)))</x:f>
        <x:v>0</x:v>
      </x:c>
      <x:c r="BQ897">
        <x:f>MAX(0,MIN(BK897,IF(AND(H897=1,C897="重要关系1",LEFT('幕间与结算'!H804,8)="建立新的重要关系"),'幕间与结算'!E804+E897,BQ896+IF(C897="重要关系1",E897,0)+IF(AND(C897="魅力",E897&lt;0),E897,0))))</x:f>
        <x:v>0</x:v>
      </x:c>
      <x:c r="BR897">
        <x:f>MAX(0,MIN(BK897,IF(AND(H897=1,C897="重要关系2",LEFT('幕间与结算'!H804,8)="建立新的重要关系"),'幕间与结算'!E804+E897,BR896+IF(C897="重要关系2",E897,0)+IF(AND(C897="魅力",E897&lt;0),E897,0))))</x:f>
        <x:v>0</x:v>
      </x:c>
      <x:c r="BS897">
        <x:f>MAX(0,MIN(BK897,IF(AND(H897=1,C897="重要关系3",LEFT('幕间与结算'!H804,8)="建立新的重要关系"),'幕间与结算'!E804+E897,BS896+IF(C897="重要关系3",E897,0)+IF(AND(C897="魅力",E897&lt;0),E897,0))))</x:f>
        <x:v>0</x:v>
      </x:c>
      <x:c r="BT897">
        <x:f>MAX(0,MIN(BK897,IF(AND(H897=1,C897="重要关系4",LEFT('幕间与结算'!H804,8)="建立新的重要关系"),'幕间与结算'!E804+E897,BT896+IF(C897="重要关系4",E897,0)+IF(AND(C897="魅力",E897&lt;0),E897,0))))</x:f>
        <x:v>0</x:v>
      </x:c>
      <x:c r="BU897">
        <x:f>MAX(0,MIN(BK897,IF(AND(H897=1,C897="重要关系5",LEFT('幕间与结算'!H804,8)="建立新的重要关系"),'幕间与结算'!E804+E897,BU896+IF(C897="重要关系5",E897,0)+IF(AND(C897="魅力",E897&lt;0),E897,0))))</x:f>
        <x:v>0</x:v>
      </x:c>
      <x:c r="BV897">
        <x:f>MAX(0,MIN(BK897,IF(AND(H897=1,C897="重要关系6",LEFT('幕间与结算'!H804,8)="建立新的重要关系"),'幕间与结算'!E804+E897,BV896+IF(C897="重要关系6",E897,0)+IF(AND(C897="魅力",E897&lt;0),E897,0))))</x:f>
        <x:v>0</x:v>
      </x:c>
      <x:c r="BW897">
        <x:f>MAX(0,MIN(BK897,IF(AND(H897=1,C897="重要关系7",LEFT('幕间与结算'!H804,8)="建立新的重要关系"),'幕间与结算'!E804+E897,BW896+IF(C897="重要关系7",E897,0)+IF(AND(C897="魅力",E897&lt;0),E897,0))))</x:f>
        <x:v>0</x:v>
      </x:c>
    </x:row>
    <x:row r="898">
      <x:c r="A898" t="str">
        <x:f>IFERROR(TEXT(VALUE('幕间与结算'!A805),"00"),"")</x:f>
        <x:v>00</x:v>
      </x:c>
      <x:c r="B898">
        <x:f>'幕间与结算'!B805</x:f>
        <x:v>0</x:v>
      </x:c>
      <x:c r="C898">
        <x:f>'幕间与结算'!D805</x:f>
        <x:v>0</x:v>
      </x:c>
      <x:c r="D898">
        <x:f>'幕间与结算'!F805</x:f>
        <x:v>0</x:v>
      </x:c>
      <x:c r="E898">
        <x:f>IF(H898=1,MAX(-'幕间与结算'!E805,MIN(D898,IF(LEFT(C898,3)="技能：",99,IF(COUNTIF($L$2:$L$7,C898)&gt;0,18,999))-'幕间与结算'!E805)),0)</x:f>
        <x:v>0</x:v>
      </x:c>
      <x:c r="F898" t="str">
        <x:f>IF(C898=0,"",IF(G898=0,"记录不完整",IF(H898=0,"重复未计","已计入")))</x:f>
        <x:v/>
      </x:c>
      <x:c r="G898">
        <x:f>IF(AND(AND('幕间与结算'!A805&lt;&gt;"",'幕间与结算'!B805&lt;&gt;"",'幕间与结算'!I805&lt;&gt;"",OR(LEFT(C898,3)="技能：",COUNTIF($L$2:$L$19,C898)&gt;0),ISNUMBER('幕间与结算'!E805),ISNUMBER('幕间与结算'!F805),ISNUMBER('幕间与结算'!G805),'幕间与结算'!E805&gt;=0,'幕间与结算'!G805='幕间与结算'!E805+'幕间与结算'!F805),OR(B898&lt;&gt;"成长",AND(LEFT(C898,3)="技能：",C898&lt;&gt;"技能：非自然知识",'幕间与结算'!E805&gt;=1,'幕间与结算'!E805&lt;=99,'幕间与结算'!F805&gt;=0,'幕间与结算'!F805&lt;=4,'幕间与结算'!G805&lt;=99))),1,0)</x:f>
        <x:v>0</x:v>
      </x:c>
      <x:c r="H898">
        <x:f>IF(AND(G898=1,COUNTIFS($I$200:I898,I898,$G$200:G898,1)=1),1,0)</x:f>
        <x:v>0</x:v>
      </x:c>
      <x:c r="I898" t="str">
        <x:f>IF(G898=1,IF(B898="成长",A898&amp;"-成长-"&amp;C898,'幕间与结算'!I805),"")</x:f>
        <x:v/>
      </x:c>
      <x:c r="BF898">
        <x:f>MAX(0,MIN(18,BF897+IF(C898="力量",E898,0)))</x:f>
        <x:v>0</x:v>
      </x:c>
      <x:c r="BG898">
        <x:f>MAX(0,MIN(18,BG897+IF(C898="体质",E898,0)))</x:f>
        <x:v>0</x:v>
      </x:c>
      <x:c r="BH898">
        <x:f>MAX(0,MIN(18,BH897+IF(C898="敏捷",E898,0)))</x:f>
        <x:v>0</x:v>
      </x:c>
      <x:c r="BI898">
        <x:f>MAX(0,MIN(18,BI897+IF(C898="智力",E898,0)))</x:f>
        <x:v>0</x:v>
      </x:c>
      <x:c r="BJ898">
        <x:f>MAX(0,MIN(18,BJ897+IF(C898="意志",E898,0)))</x:f>
        <x:v>0</x:v>
      </x:c>
      <x:c r="BK898">
        <x:f>MAX(0,MIN(18,BK897+IF(C898="魅力",E898,0)))</x:f>
        <x:v>0</x:v>
      </x:c>
      <x:c r="BL898">
        <x:f>MAX(0,MIN(99,BL897+IF(C898="技能：非自然知识",E898,0)))</x:f>
        <x:v>0</x:v>
      </x:c>
      <x:c r="BM898">
        <x:f>MAX(0,MIN(CEILING((BF898+BG898)/2,1),BM897+IF(C898="体力",E898,0)))</x:f>
        <x:v>0</x:v>
      </x:c>
      <x:c r="BN898">
        <x:f>MAX(0,MIN(BJ898,BN897+IF(C898="毅力",E898,0)))</x:f>
        <x:v>0</x:v>
      </x:c>
      <x:c r="BO898">
        <x:f>MAX(0,MIN(99-BL898,BO897+IF(C898="理智",E898,0)))</x:f>
        <x:v>0</x:v>
      </x:c>
      <x:c r="BP898">
        <x:f>MAX(0,MIN(99,BP897+IF(C898="崩溃点",E898,0)))</x:f>
        <x:v>0</x:v>
      </x:c>
      <x:c r="BQ898">
        <x:f>MAX(0,MIN(BK898,IF(AND(H898=1,C898="重要关系1",LEFT('幕间与结算'!H805,8)="建立新的重要关系"),'幕间与结算'!E805+E898,BQ897+IF(C898="重要关系1",E898,0)+IF(AND(C898="魅力",E898&lt;0),E898,0))))</x:f>
        <x:v>0</x:v>
      </x:c>
      <x:c r="BR898">
        <x:f>MAX(0,MIN(BK898,IF(AND(H898=1,C898="重要关系2",LEFT('幕间与结算'!H805,8)="建立新的重要关系"),'幕间与结算'!E805+E898,BR897+IF(C898="重要关系2",E898,0)+IF(AND(C898="魅力",E898&lt;0),E898,0))))</x:f>
        <x:v>0</x:v>
      </x:c>
      <x:c r="BS898">
        <x:f>MAX(0,MIN(BK898,IF(AND(H898=1,C898="重要关系3",LEFT('幕间与结算'!H805,8)="建立新的重要关系"),'幕间与结算'!E805+E898,BS897+IF(C898="重要关系3",E898,0)+IF(AND(C898="魅力",E898&lt;0),E898,0))))</x:f>
        <x:v>0</x:v>
      </x:c>
      <x:c r="BT898">
        <x:f>MAX(0,MIN(BK898,IF(AND(H898=1,C898="重要关系4",LEFT('幕间与结算'!H805,8)="建立新的重要关系"),'幕间与结算'!E805+E898,BT897+IF(C898="重要关系4",E898,0)+IF(AND(C898="魅力",E898&lt;0),E898,0))))</x:f>
        <x:v>0</x:v>
      </x:c>
      <x:c r="BU898">
        <x:f>MAX(0,MIN(BK898,IF(AND(H898=1,C898="重要关系5",LEFT('幕间与结算'!H805,8)="建立新的重要关系"),'幕间与结算'!E805+E898,BU897+IF(C898="重要关系5",E898,0)+IF(AND(C898="魅力",E898&lt;0),E898,0))))</x:f>
        <x:v>0</x:v>
      </x:c>
      <x:c r="BV898">
        <x:f>MAX(0,MIN(BK898,IF(AND(H898=1,C898="重要关系6",LEFT('幕间与结算'!H805,8)="建立新的重要关系"),'幕间与结算'!E805+E898,BV897+IF(C898="重要关系6",E898,0)+IF(AND(C898="魅力",E898&lt;0),E898,0))))</x:f>
        <x:v>0</x:v>
      </x:c>
      <x:c r="BW898">
        <x:f>MAX(0,MIN(BK898,IF(AND(H898=1,C898="重要关系7",LEFT('幕间与结算'!H805,8)="建立新的重要关系"),'幕间与结算'!E805+E898,BW897+IF(C898="重要关系7",E898,0)+IF(AND(C898="魅力",E898&lt;0),E898,0))))</x:f>
        <x:v>0</x:v>
      </x:c>
    </x:row>
    <x:row r="899">
      <x:c r="A899" t="str">
        <x:f>IFERROR(TEXT(VALUE('幕间与结算'!A806),"00"),"")</x:f>
        <x:v>00</x:v>
      </x:c>
      <x:c r="B899">
        <x:f>'幕间与结算'!B806</x:f>
        <x:v>0</x:v>
      </x:c>
      <x:c r="C899">
        <x:f>'幕间与结算'!D806</x:f>
        <x:v>0</x:v>
      </x:c>
      <x:c r="D899">
        <x:f>'幕间与结算'!F806</x:f>
        <x:v>0</x:v>
      </x:c>
      <x:c r="E899">
        <x:f>IF(H899=1,MAX(-'幕间与结算'!E806,MIN(D899,IF(LEFT(C899,3)="技能：",99,IF(COUNTIF($L$2:$L$7,C899)&gt;0,18,999))-'幕间与结算'!E806)),0)</x:f>
        <x:v>0</x:v>
      </x:c>
      <x:c r="F899" t="str">
        <x:f>IF(C899=0,"",IF(G899=0,"记录不完整",IF(H899=0,"重复未计","已计入")))</x:f>
        <x:v/>
      </x:c>
      <x:c r="G899">
        <x:f>IF(AND(AND('幕间与结算'!A806&lt;&gt;"",'幕间与结算'!B806&lt;&gt;"",'幕间与结算'!I806&lt;&gt;"",OR(LEFT(C899,3)="技能：",COUNTIF($L$2:$L$19,C899)&gt;0),ISNUMBER('幕间与结算'!E806),ISNUMBER('幕间与结算'!F806),ISNUMBER('幕间与结算'!G806),'幕间与结算'!E806&gt;=0,'幕间与结算'!G806='幕间与结算'!E806+'幕间与结算'!F806),OR(B899&lt;&gt;"成长",AND(LEFT(C899,3)="技能：",C899&lt;&gt;"技能：非自然知识",'幕间与结算'!E806&gt;=1,'幕间与结算'!E806&lt;=99,'幕间与结算'!F806&gt;=0,'幕间与结算'!F806&lt;=4,'幕间与结算'!G806&lt;=99))),1,0)</x:f>
        <x:v>0</x:v>
      </x:c>
      <x:c r="H899">
        <x:f>IF(AND(G899=1,COUNTIFS($I$200:I899,I899,$G$200:G899,1)=1),1,0)</x:f>
        <x:v>0</x:v>
      </x:c>
      <x:c r="I899" t="str">
        <x:f>IF(G899=1,IF(B899="成长",A899&amp;"-成长-"&amp;C899,'幕间与结算'!I806),"")</x:f>
        <x:v/>
      </x:c>
      <x:c r="BF899">
        <x:f>MAX(0,MIN(18,BF898+IF(C899="力量",E899,0)))</x:f>
        <x:v>0</x:v>
      </x:c>
      <x:c r="BG899">
        <x:f>MAX(0,MIN(18,BG898+IF(C899="体质",E899,0)))</x:f>
        <x:v>0</x:v>
      </x:c>
      <x:c r="BH899">
        <x:f>MAX(0,MIN(18,BH898+IF(C899="敏捷",E899,0)))</x:f>
        <x:v>0</x:v>
      </x:c>
      <x:c r="BI899">
        <x:f>MAX(0,MIN(18,BI898+IF(C899="智力",E899,0)))</x:f>
        <x:v>0</x:v>
      </x:c>
      <x:c r="BJ899">
        <x:f>MAX(0,MIN(18,BJ898+IF(C899="意志",E899,0)))</x:f>
        <x:v>0</x:v>
      </x:c>
      <x:c r="BK899">
        <x:f>MAX(0,MIN(18,BK898+IF(C899="魅力",E899,0)))</x:f>
        <x:v>0</x:v>
      </x:c>
      <x:c r="BL899">
        <x:f>MAX(0,MIN(99,BL898+IF(C899="技能：非自然知识",E899,0)))</x:f>
        <x:v>0</x:v>
      </x:c>
      <x:c r="BM899">
        <x:f>MAX(0,MIN(CEILING((BF899+BG899)/2,1),BM898+IF(C899="体力",E899,0)))</x:f>
        <x:v>0</x:v>
      </x:c>
      <x:c r="BN899">
        <x:f>MAX(0,MIN(BJ899,BN898+IF(C899="毅力",E899,0)))</x:f>
        <x:v>0</x:v>
      </x:c>
      <x:c r="BO899">
        <x:f>MAX(0,MIN(99-BL899,BO898+IF(C899="理智",E899,0)))</x:f>
        <x:v>0</x:v>
      </x:c>
      <x:c r="BP899">
        <x:f>MAX(0,MIN(99,BP898+IF(C899="崩溃点",E899,0)))</x:f>
        <x:v>0</x:v>
      </x:c>
      <x:c r="BQ899">
        <x:f>MAX(0,MIN(BK899,IF(AND(H899=1,C899="重要关系1",LEFT('幕间与结算'!H806,8)="建立新的重要关系"),'幕间与结算'!E806+E899,BQ898+IF(C899="重要关系1",E899,0)+IF(AND(C899="魅力",E899&lt;0),E899,0))))</x:f>
        <x:v>0</x:v>
      </x:c>
      <x:c r="BR899">
        <x:f>MAX(0,MIN(BK899,IF(AND(H899=1,C899="重要关系2",LEFT('幕间与结算'!H806,8)="建立新的重要关系"),'幕间与结算'!E806+E899,BR898+IF(C899="重要关系2",E899,0)+IF(AND(C899="魅力",E899&lt;0),E899,0))))</x:f>
        <x:v>0</x:v>
      </x:c>
      <x:c r="BS899">
        <x:f>MAX(0,MIN(BK899,IF(AND(H899=1,C899="重要关系3",LEFT('幕间与结算'!H806,8)="建立新的重要关系"),'幕间与结算'!E806+E899,BS898+IF(C899="重要关系3",E899,0)+IF(AND(C899="魅力",E899&lt;0),E899,0))))</x:f>
        <x:v>0</x:v>
      </x:c>
      <x:c r="BT899">
        <x:f>MAX(0,MIN(BK899,IF(AND(H899=1,C899="重要关系4",LEFT('幕间与结算'!H806,8)="建立新的重要关系"),'幕间与结算'!E806+E899,BT898+IF(C899="重要关系4",E899,0)+IF(AND(C899="魅力",E899&lt;0),E899,0))))</x:f>
        <x:v>0</x:v>
      </x:c>
      <x:c r="BU899">
        <x:f>MAX(0,MIN(BK899,IF(AND(H899=1,C899="重要关系5",LEFT('幕间与结算'!H806,8)="建立新的重要关系"),'幕间与结算'!E806+E899,BU898+IF(C899="重要关系5",E899,0)+IF(AND(C899="魅力",E899&lt;0),E899,0))))</x:f>
        <x:v>0</x:v>
      </x:c>
      <x:c r="BV899">
        <x:f>MAX(0,MIN(BK899,IF(AND(H899=1,C899="重要关系6",LEFT('幕间与结算'!H806,8)="建立新的重要关系"),'幕间与结算'!E806+E899,BV898+IF(C899="重要关系6",E899,0)+IF(AND(C899="魅力",E899&lt;0),E899,0))))</x:f>
        <x:v>0</x:v>
      </x:c>
      <x:c r="BW899">
        <x:f>MAX(0,MIN(BK899,IF(AND(H899=1,C899="重要关系7",LEFT('幕间与结算'!H806,8)="建立新的重要关系"),'幕间与结算'!E806+E899,BW898+IF(C899="重要关系7",E899,0)+IF(AND(C899="魅力",E899&lt;0),E899,0))))</x:f>
        <x:v>0</x:v>
      </x:c>
    </x:row>
    <x:row r="900">
      <x:c r="A900" t="str">
        <x:f>IFERROR(TEXT(VALUE('幕间与结算'!A807),"00"),"")</x:f>
        <x:v>00</x:v>
      </x:c>
      <x:c r="B900">
        <x:f>'幕间与结算'!B807</x:f>
        <x:v>0</x:v>
      </x:c>
      <x:c r="C900">
        <x:f>'幕间与结算'!D807</x:f>
        <x:v>0</x:v>
      </x:c>
      <x:c r="D900">
        <x:f>'幕间与结算'!F807</x:f>
        <x:v>0</x:v>
      </x:c>
      <x:c r="E900">
        <x:f>IF(H900=1,MAX(-'幕间与结算'!E807,MIN(D900,IF(LEFT(C900,3)="技能：",99,IF(COUNTIF($L$2:$L$7,C900)&gt;0,18,999))-'幕间与结算'!E807)),0)</x:f>
        <x:v>0</x:v>
      </x:c>
      <x:c r="F900" t="str">
        <x:f>IF(C900=0,"",IF(G900=0,"记录不完整",IF(H900=0,"重复未计","已计入")))</x:f>
        <x:v/>
      </x:c>
      <x:c r="G900">
        <x:f>IF(AND(AND('幕间与结算'!A807&lt;&gt;"",'幕间与结算'!B807&lt;&gt;"",'幕间与结算'!I807&lt;&gt;"",OR(LEFT(C900,3)="技能：",COUNTIF($L$2:$L$19,C900)&gt;0),ISNUMBER('幕间与结算'!E807),ISNUMBER('幕间与结算'!F807),ISNUMBER('幕间与结算'!G807),'幕间与结算'!E807&gt;=0,'幕间与结算'!G807='幕间与结算'!E807+'幕间与结算'!F807),OR(B900&lt;&gt;"成长",AND(LEFT(C900,3)="技能：",C900&lt;&gt;"技能：非自然知识",'幕间与结算'!E807&gt;=1,'幕间与结算'!E807&lt;=99,'幕间与结算'!F807&gt;=0,'幕间与结算'!F807&lt;=4,'幕间与结算'!G807&lt;=99))),1,0)</x:f>
        <x:v>0</x:v>
      </x:c>
      <x:c r="H900">
        <x:f>IF(AND(G900=1,COUNTIFS($I$200:I900,I900,$G$200:G900,1)=1),1,0)</x:f>
        <x:v>0</x:v>
      </x:c>
      <x:c r="I900" t="str">
        <x:f>IF(G900=1,IF(B900="成长",A900&amp;"-成长-"&amp;C900,'幕间与结算'!I807),"")</x:f>
        <x:v/>
      </x:c>
      <x:c r="BF900">
        <x:f>MAX(0,MIN(18,BF899+IF(C900="力量",E900,0)))</x:f>
        <x:v>0</x:v>
      </x:c>
      <x:c r="BG900">
        <x:f>MAX(0,MIN(18,BG899+IF(C900="体质",E900,0)))</x:f>
        <x:v>0</x:v>
      </x:c>
      <x:c r="BH900">
        <x:f>MAX(0,MIN(18,BH899+IF(C900="敏捷",E900,0)))</x:f>
        <x:v>0</x:v>
      </x:c>
      <x:c r="BI900">
        <x:f>MAX(0,MIN(18,BI899+IF(C900="智力",E900,0)))</x:f>
        <x:v>0</x:v>
      </x:c>
      <x:c r="BJ900">
        <x:f>MAX(0,MIN(18,BJ899+IF(C900="意志",E900,0)))</x:f>
        <x:v>0</x:v>
      </x:c>
      <x:c r="BK900">
        <x:f>MAX(0,MIN(18,BK899+IF(C900="魅力",E900,0)))</x:f>
        <x:v>0</x:v>
      </x:c>
      <x:c r="BL900">
        <x:f>MAX(0,MIN(99,BL899+IF(C900="技能：非自然知识",E900,0)))</x:f>
        <x:v>0</x:v>
      </x:c>
      <x:c r="BM900">
        <x:f>MAX(0,MIN(CEILING((BF900+BG900)/2,1),BM899+IF(C900="体力",E900,0)))</x:f>
        <x:v>0</x:v>
      </x:c>
      <x:c r="BN900">
        <x:f>MAX(0,MIN(BJ900,BN899+IF(C900="毅力",E900,0)))</x:f>
        <x:v>0</x:v>
      </x:c>
      <x:c r="BO900">
        <x:f>MAX(0,MIN(99-BL900,BO899+IF(C900="理智",E900,0)))</x:f>
        <x:v>0</x:v>
      </x:c>
      <x:c r="BP900">
        <x:f>MAX(0,MIN(99,BP899+IF(C900="崩溃点",E900,0)))</x:f>
        <x:v>0</x:v>
      </x:c>
      <x:c r="BQ900">
        <x:f>MAX(0,MIN(BK900,IF(AND(H900=1,C900="重要关系1",LEFT('幕间与结算'!H807,8)="建立新的重要关系"),'幕间与结算'!E807+E900,BQ899+IF(C900="重要关系1",E900,0)+IF(AND(C900="魅力",E900&lt;0),E900,0))))</x:f>
        <x:v>0</x:v>
      </x:c>
      <x:c r="BR900">
        <x:f>MAX(0,MIN(BK900,IF(AND(H900=1,C900="重要关系2",LEFT('幕间与结算'!H807,8)="建立新的重要关系"),'幕间与结算'!E807+E900,BR899+IF(C900="重要关系2",E900,0)+IF(AND(C900="魅力",E900&lt;0),E900,0))))</x:f>
        <x:v>0</x:v>
      </x:c>
      <x:c r="BS900">
        <x:f>MAX(0,MIN(BK900,IF(AND(H900=1,C900="重要关系3",LEFT('幕间与结算'!H807,8)="建立新的重要关系"),'幕间与结算'!E807+E900,BS899+IF(C900="重要关系3",E900,0)+IF(AND(C900="魅力",E900&lt;0),E900,0))))</x:f>
        <x:v>0</x:v>
      </x:c>
      <x:c r="BT900">
        <x:f>MAX(0,MIN(BK900,IF(AND(H900=1,C900="重要关系4",LEFT('幕间与结算'!H807,8)="建立新的重要关系"),'幕间与结算'!E807+E900,BT899+IF(C900="重要关系4",E900,0)+IF(AND(C900="魅力",E900&lt;0),E900,0))))</x:f>
        <x:v>0</x:v>
      </x:c>
      <x:c r="BU900">
        <x:f>MAX(0,MIN(BK900,IF(AND(H900=1,C900="重要关系5",LEFT('幕间与结算'!H807,8)="建立新的重要关系"),'幕间与结算'!E807+E900,BU899+IF(C900="重要关系5",E900,0)+IF(AND(C900="魅力",E900&lt;0),E900,0))))</x:f>
        <x:v>0</x:v>
      </x:c>
      <x:c r="BV900">
        <x:f>MAX(0,MIN(BK900,IF(AND(H900=1,C900="重要关系6",LEFT('幕间与结算'!H807,8)="建立新的重要关系"),'幕间与结算'!E807+E900,BV899+IF(C900="重要关系6",E900,0)+IF(AND(C900="魅力",E900&lt;0),E900,0))))</x:f>
        <x:v>0</x:v>
      </x:c>
      <x:c r="BW900">
        <x:f>MAX(0,MIN(BK900,IF(AND(H900=1,C900="重要关系7",LEFT('幕间与结算'!H807,8)="建立新的重要关系"),'幕间与结算'!E807+E900,BW899+IF(C900="重要关系7",E900,0)+IF(AND(C900="魅力",E900&lt;0),E900,0))))</x:f>
        <x:v>0</x:v>
      </x:c>
    </x:row>
    <x:row r="901">
      <x:c r="A901" t="str">
        <x:f>IFERROR(TEXT(VALUE('幕间与结算'!A808),"00"),"")</x:f>
        <x:v>00</x:v>
      </x:c>
      <x:c r="B901">
        <x:f>'幕间与结算'!B808</x:f>
        <x:v>0</x:v>
      </x:c>
      <x:c r="C901">
        <x:f>'幕间与结算'!D808</x:f>
        <x:v>0</x:v>
      </x:c>
      <x:c r="D901">
        <x:f>'幕间与结算'!F808</x:f>
        <x:v>0</x:v>
      </x:c>
      <x:c r="E901">
        <x:f>IF(H901=1,MAX(-'幕间与结算'!E808,MIN(D901,IF(LEFT(C901,3)="技能：",99,IF(COUNTIF($L$2:$L$7,C901)&gt;0,18,999))-'幕间与结算'!E808)),0)</x:f>
        <x:v>0</x:v>
      </x:c>
      <x:c r="F901" t="str">
        <x:f>IF(C901=0,"",IF(G901=0,"记录不完整",IF(H901=0,"重复未计","已计入")))</x:f>
        <x:v/>
      </x:c>
      <x:c r="G901">
        <x:f>IF(AND(AND('幕间与结算'!A808&lt;&gt;"",'幕间与结算'!B808&lt;&gt;"",'幕间与结算'!I808&lt;&gt;"",OR(LEFT(C901,3)="技能：",COUNTIF($L$2:$L$19,C901)&gt;0),ISNUMBER('幕间与结算'!E808),ISNUMBER('幕间与结算'!F808),ISNUMBER('幕间与结算'!G808),'幕间与结算'!E808&gt;=0,'幕间与结算'!G808='幕间与结算'!E808+'幕间与结算'!F808),OR(B901&lt;&gt;"成长",AND(LEFT(C901,3)="技能：",C901&lt;&gt;"技能：非自然知识",'幕间与结算'!E808&gt;=1,'幕间与结算'!E808&lt;=99,'幕间与结算'!F808&gt;=0,'幕间与结算'!F808&lt;=4,'幕间与结算'!G808&lt;=99))),1,0)</x:f>
        <x:v>0</x:v>
      </x:c>
      <x:c r="H901">
        <x:f>IF(AND(G901=1,COUNTIFS($I$200:I901,I901,$G$200:G901,1)=1),1,0)</x:f>
        <x:v>0</x:v>
      </x:c>
      <x:c r="I901" t="str">
        <x:f>IF(G901=1,IF(B901="成长",A901&amp;"-成长-"&amp;C901,'幕间与结算'!I808),"")</x:f>
        <x:v/>
      </x:c>
      <x:c r="BF901">
        <x:f>MAX(0,MIN(18,BF900+IF(C901="力量",E901,0)))</x:f>
        <x:v>0</x:v>
      </x:c>
      <x:c r="BG901">
        <x:f>MAX(0,MIN(18,BG900+IF(C901="体质",E901,0)))</x:f>
        <x:v>0</x:v>
      </x:c>
      <x:c r="BH901">
        <x:f>MAX(0,MIN(18,BH900+IF(C901="敏捷",E901,0)))</x:f>
        <x:v>0</x:v>
      </x:c>
      <x:c r="BI901">
        <x:f>MAX(0,MIN(18,BI900+IF(C901="智力",E901,0)))</x:f>
        <x:v>0</x:v>
      </x:c>
      <x:c r="BJ901">
        <x:f>MAX(0,MIN(18,BJ900+IF(C901="意志",E901,0)))</x:f>
        <x:v>0</x:v>
      </x:c>
      <x:c r="BK901">
        <x:f>MAX(0,MIN(18,BK900+IF(C901="魅力",E901,0)))</x:f>
        <x:v>0</x:v>
      </x:c>
      <x:c r="BL901">
        <x:f>MAX(0,MIN(99,BL900+IF(C901="技能：非自然知识",E901,0)))</x:f>
        <x:v>0</x:v>
      </x:c>
      <x:c r="BM901">
        <x:f>MAX(0,MIN(CEILING((BF901+BG901)/2,1),BM900+IF(C901="体力",E901,0)))</x:f>
        <x:v>0</x:v>
      </x:c>
      <x:c r="BN901">
        <x:f>MAX(0,MIN(BJ901,BN900+IF(C901="毅力",E901,0)))</x:f>
        <x:v>0</x:v>
      </x:c>
      <x:c r="BO901">
        <x:f>MAX(0,MIN(99-BL901,BO900+IF(C901="理智",E901,0)))</x:f>
        <x:v>0</x:v>
      </x:c>
      <x:c r="BP901">
        <x:f>MAX(0,MIN(99,BP900+IF(C901="崩溃点",E901,0)))</x:f>
        <x:v>0</x:v>
      </x:c>
      <x:c r="BQ901">
        <x:f>MAX(0,MIN(BK901,IF(AND(H901=1,C901="重要关系1",LEFT('幕间与结算'!H808,8)="建立新的重要关系"),'幕间与结算'!E808+E901,BQ900+IF(C901="重要关系1",E901,0)+IF(AND(C901="魅力",E901&lt;0),E901,0))))</x:f>
        <x:v>0</x:v>
      </x:c>
      <x:c r="BR901">
        <x:f>MAX(0,MIN(BK901,IF(AND(H901=1,C901="重要关系2",LEFT('幕间与结算'!H808,8)="建立新的重要关系"),'幕间与结算'!E808+E901,BR900+IF(C901="重要关系2",E901,0)+IF(AND(C901="魅力",E901&lt;0),E901,0))))</x:f>
        <x:v>0</x:v>
      </x:c>
      <x:c r="BS901">
        <x:f>MAX(0,MIN(BK901,IF(AND(H901=1,C901="重要关系3",LEFT('幕间与结算'!H808,8)="建立新的重要关系"),'幕间与结算'!E808+E901,BS900+IF(C901="重要关系3",E901,0)+IF(AND(C901="魅力",E901&lt;0),E901,0))))</x:f>
        <x:v>0</x:v>
      </x:c>
      <x:c r="BT901">
        <x:f>MAX(0,MIN(BK901,IF(AND(H901=1,C901="重要关系4",LEFT('幕间与结算'!H808,8)="建立新的重要关系"),'幕间与结算'!E808+E901,BT900+IF(C901="重要关系4",E901,0)+IF(AND(C901="魅力",E901&lt;0),E901,0))))</x:f>
        <x:v>0</x:v>
      </x:c>
      <x:c r="BU901">
        <x:f>MAX(0,MIN(BK901,IF(AND(H901=1,C901="重要关系5",LEFT('幕间与结算'!H808,8)="建立新的重要关系"),'幕间与结算'!E808+E901,BU900+IF(C901="重要关系5",E901,0)+IF(AND(C901="魅力",E901&lt;0),E901,0))))</x:f>
        <x:v>0</x:v>
      </x:c>
      <x:c r="BV901">
        <x:f>MAX(0,MIN(BK901,IF(AND(H901=1,C901="重要关系6",LEFT('幕间与结算'!H808,8)="建立新的重要关系"),'幕间与结算'!E808+E901,BV900+IF(C901="重要关系6",E901,0)+IF(AND(C901="魅力",E901&lt;0),E901,0))))</x:f>
        <x:v>0</x:v>
      </x:c>
      <x:c r="BW901">
        <x:f>MAX(0,MIN(BK901,IF(AND(H901=1,C901="重要关系7",LEFT('幕间与结算'!H808,8)="建立新的重要关系"),'幕间与结算'!E808+E901,BW900+IF(C901="重要关系7",E901,0)+IF(AND(C901="魅力",E901&lt;0),E901,0))))</x:f>
        <x:v>0</x:v>
      </x:c>
    </x:row>
    <x:row r="902">
      <x:c r="A902" t="str">
        <x:f>IFERROR(TEXT(VALUE('幕间与结算'!A809),"00"),"")</x:f>
        <x:v>00</x:v>
      </x:c>
      <x:c r="B902">
        <x:f>'幕间与结算'!B809</x:f>
        <x:v>0</x:v>
      </x:c>
      <x:c r="C902">
        <x:f>'幕间与结算'!D809</x:f>
        <x:v>0</x:v>
      </x:c>
      <x:c r="D902">
        <x:f>'幕间与结算'!F809</x:f>
        <x:v>0</x:v>
      </x:c>
      <x:c r="E902">
        <x:f>IF(H902=1,MAX(-'幕间与结算'!E809,MIN(D902,IF(LEFT(C902,3)="技能：",99,IF(COUNTIF($L$2:$L$7,C902)&gt;0,18,999))-'幕间与结算'!E809)),0)</x:f>
        <x:v>0</x:v>
      </x:c>
      <x:c r="F902" t="str">
        <x:f>IF(C902=0,"",IF(G902=0,"记录不完整",IF(H902=0,"重复未计","已计入")))</x:f>
        <x:v/>
      </x:c>
      <x:c r="G902">
        <x:f>IF(AND(AND('幕间与结算'!A809&lt;&gt;"",'幕间与结算'!B809&lt;&gt;"",'幕间与结算'!I809&lt;&gt;"",OR(LEFT(C902,3)="技能：",COUNTIF($L$2:$L$19,C902)&gt;0),ISNUMBER('幕间与结算'!E809),ISNUMBER('幕间与结算'!F809),ISNUMBER('幕间与结算'!G809),'幕间与结算'!E809&gt;=0,'幕间与结算'!G809='幕间与结算'!E809+'幕间与结算'!F809),OR(B902&lt;&gt;"成长",AND(LEFT(C902,3)="技能：",C902&lt;&gt;"技能：非自然知识",'幕间与结算'!E809&gt;=1,'幕间与结算'!E809&lt;=99,'幕间与结算'!F809&gt;=0,'幕间与结算'!F809&lt;=4,'幕间与结算'!G809&lt;=99))),1,0)</x:f>
        <x:v>0</x:v>
      </x:c>
      <x:c r="H902">
        <x:f>IF(AND(G902=1,COUNTIFS($I$200:I902,I902,$G$200:G902,1)=1),1,0)</x:f>
        <x:v>0</x:v>
      </x:c>
      <x:c r="I902" t="str">
        <x:f>IF(G902=1,IF(B902="成长",A902&amp;"-成长-"&amp;C902,'幕间与结算'!I809),"")</x:f>
        <x:v/>
      </x:c>
      <x:c r="BF902">
        <x:f>MAX(0,MIN(18,BF901+IF(C902="力量",E902,0)))</x:f>
        <x:v>0</x:v>
      </x:c>
      <x:c r="BG902">
        <x:f>MAX(0,MIN(18,BG901+IF(C902="体质",E902,0)))</x:f>
        <x:v>0</x:v>
      </x:c>
      <x:c r="BH902">
        <x:f>MAX(0,MIN(18,BH901+IF(C902="敏捷",E902,0)))</x:f>
        <x:v>0</x:v>
      </x:c>
      <x:c r="BI902">
        <x:f>MAX(0,MIN(18,BI901+IF(C902="智力",E902,0)))</x:f>
        <x:v>0</x:v>
      </x:c>
      <x:c r="BJ902">
        <x:f>MAX(0,MIN(18,BJ901+IF(C902="意志",E902,0)))</x:f>
        <x:v>0</x:v>
      </x:c>
      <x:c r="BK902">
        <x:f>MAX(0,MIN(18,BK901+IF(C902="魅力",E902,0)))</x:f>
        <x:v>0</x:v>
      </x:c>
      <x:c r="BL902">
        <x:f>MAX(0,MIN(99,BL901+IF(C902="技能：非自然知识",E902,0)))</x:f>
        <x:v>0</x:v>
      </x:c>
      <x:c r="BM902">
        <x:f>MAX(0,MIN(CEILING((BF902+BG902)/2,1),BM901+IF(C902="体力",E902,0)))</x:f>
        <x:v>0</x:v>
      </x:c>
      <x:c r="BN902">
        <x:f>MAX(0,MIN(BJ902,BN901+IF(C902="毅力",E902,0)))</x:f>
        <x:v>0</x:v>
      </x:c>
      <x:c r="BO902">
        <x:f>MAX(0,MIN(99-BL902,BO901+IF(C902="理智",E902,0)))</x:f>
        <x:v>0</x:v>
      </x:c>
      <x:c r="BP902">
        <x:f>MAX(0,MIN(99,BP901+IF(C902="崩溃点",E902,0)))</x:f>
        <x:v>0</x:v>
      </x:c>
      <x:c r="BQ902">
        <x:f>MAX(0,MIN(BK902,IF(AND(H902=1,C902="重要关系1",LEFT('幕间与结算'!H809,8)="建立新的重要关系"),'幕间与结算'!E809+E902,BQ901+IF(C902="重要关系1",E902,0)+IF(AND(C902="魅力",E902&lt;0),E902,0))))</x:f>
        <x:v>0</x:v>
      </x:c>
      <x:c r="BR902">
        <x:f>MAX(0,MIN(BK902,IF(AND(H902=1,C902="重要关系2",LEFT('幕间与结算'!H809,8)="建立新的重要关系"),'幕间与结算'!E809+E902,BR901+IF(C902="重要关系2",E902,0)+IF(AND(C902="魅力",E902&lt;0),E902,0))))</x:f>
        <x:v>0</x:v>
      </x:c>
      <x:c r="BS902">
        <x:f>MAX(0,MIN(BK902,IF(AND(H902=1,C902="重要关系3",LEFT('幕间与结算'!H809,8)="建立新的重要关系"),'幕间与结算'!E809+E902,BS901+IF(C902="重要关系3",E902,0)+IF(AND(C902="魅力",E902&lt;0),E902,0))))</x:f>
        <x:v>0</x:v>
      </x:c>
      <x:c r="BT902">
        <x:f>MAX(0,MIN(BK902,IF(AND(H902=1,C902="重要关系4",LEFT('幕间与结算'!H809,8)="建立新的重要关系"),'幕间与结算'!E809+E902,BT901+IF(C902="重要关系4",E902,0)+IF(AND(C902="魅力",E902&lt;0),E902,0))))</x:f>
        <x:v>0</x:v>
      </x:c>
      <x:c r="BU902">
        <x:f>MAX(0,MIN(BK902,IF(AND(H902=1,C902="重要关系5",LEFT('幕间与结算'!H809,8)="建立新的重要关系"),'幕间与结算'!E809+E902,BU901+IF(C902="重要关系5",E902,0)+IF(AND(C902="魅力",E902&lt;0),E902,0))))</x:f>
        <x:v>0</x:v>
      </x:c>
      <x:c r="BV902">
        <x:f>MAX(0,MIN(BK902,IF(AND(H902=1,C902="重要关系6",LEFT('幕间与结算'!H809,8)="建立新的重要关系"),'幕间与结算'!E809+E902,BV901+IF(C902="重要关系6",E902,0)+IF(AND(C902="魅力",E902&lt;0),E902,0))))</x:f>
        <x:v>0</x:v>
      </x:c>
      <x:c r="BW902">
        <x:f>MAX(0,MIN(BK902,IF(AND(H902=1,C902="重要关系7",LEFT('幕间与结算'!H809,8)="建立新的重要关系"),'幕间与结算'!E809+E902,BW901+IF(C902="重要关系7",E902,0)+IF(AND(C902="魅力",E902&lt;0),E902,0))))</x:f>
        <x:v>0</x:v>
      </x:c>
    </x:row>
    <x:row r="903">
      <x:c r="A903" t="str">
        <x:f>IFERROR(TEXT(VALUE('幕间与结算'!A810),"00"),"")</x:f>
        <x:v>00</x:v>
      </x:c>
      <x:c r="B903">
        <x:f>'幕间与结算'!B810</x:f>
        <x:v>0</x:v>
      </x:c>
      <x:c r="C903">
        <x:f>'幕间与结算'!D810</x:f>
        <x:v>0</x:v>
      </x:c>
      <x:c r="D903">
        <x:f>'幕间与结算'!F810</x:f>
        <x:v>0</x:v>
      </x:c>
      <x:c r="E903">
        <x:f>IF(H903=1,MAX(-'幕间与结算'!E810,MIN(D903,IF(LEFT(C903,3)="技能：",99,IF(COUNTIF($L$2:$L$7,C903)&gt;0,18,999))-'幕间与结算'!E810)),0)</x:f>
        <x:v>0</x:v>
      </x:c>
      <x:c r="F903" t="str">
        <x:f>IF(C903=0,"",IF(G903=0,"记录不完整",IF(H903=0,"重复未计","已计入")))</x:f>
        <x:v/>
      </x:c>
      <x:c r="G903">
        <x:f>IF(AND(AND('幕间与结算'!A810&lt;&gt;"",'幕间与结算'!B810&lt;&gt;"",'幕间与结算'!I810&lt;&gt;"",OR(LEFT(C903,3)="技能：",COUNTIF($L$2:$L$19,C903)&gt;0),ISNUMBER('幕间与结算'!E810),ISNUMBER('幕间与结算'!F810),ISNUMBER('幕间与结算'!G810),'幕间与结算'!E810&gt;=0,'幕间与结算'!G810='幕间与结算'!E810+'幕间与结算'!F810),OR(B903&lt;&gt;"成长",AND(LEFT(C903,3)="技能：",C903&lt;&gt;"技能：非自然知识",'幕间与结算'!E810&gt;=1,'幕间与结算'!E810&lt;=99,'幕间与结算'!F810&gt;=0,'幕间与结算'!F810&lt;=4,'幕间与结算'!G810&lt;=99))),1,0)</x:f>
        <x:v>0</x:v>
      </x:c>
      <x:c r="H903">
        <x:f>IF(AND(G903=1,COUNTIFS($I$200:I903,I903,$G$200:G903,1)=1),1,0)</x:f>
        <x:v>0</x:v>
      </x:c>
      <x:c r="I903" t="str">
        <x:f>IF(G903=1,IF(B903="成长",A903&amp;"-成长-"&amp;C903,'幕间与结算'!I810),"")</x:f>
        <x:v/>
      </x:c>
      <x:c r="BF903">
        <x:f>MAX(0,MIN(18,BF902+IF(C903="力量",E903,0)))</x:f>
        <x:v>0</x:v>
      </x:c>
      <x:c r="BG903">
        <x:f>MAX(0,MIN(18,BG902+IF(C903="体质",E903,0)))</x:f>
        <x:v>0</x:v>
      </x:c>
      <x:c r="BH903">
        <x:f>MAX(0,MIN(18,BH902+IF(C903="敏捷",E903,0)))</x:f>
        <x:v>0</x:v>
      </x:c>
      <x:c r="BI903">
        <x:f>MAX(0,MIN(18,BI902+IF(C903="智力",E903,0)))</x:f>
        <x:v>0</x:v>
      </x:c>
      <x:c r="BJ903">
        <x:f>MAX(0,MIN(18,BJ902+IF(C903="意志",E903,0)))</x:f>
        <x:v>0</x:v>
      </x:c>
      <x:c r="BK903">
        <x:f>MAX(0,MIN(18,BK902+IF(C903="魅力",E903,0)))</x:f>
        <x:v>0</x:v>
      </x:c>
      <x:c r="BL903">
        <x:f>MAX(0,MIN(99,BL902+IF(C903="技能：非自然知识",E903,0)))</x:f>
        <x:v>0</x:v>
      </x:c>
      <x:c r="BM903">
        <x:f>MAX(0,MIN(CEILING((BF903+BG903)/2,1),BM902+IF(C903="体力",E903,0)))</x:f>
        <x:v>0</x:v>
      </x:c>
      <x:c r="BN903">
        <x:f>MAX(0,MIN(BJ903,BN902+IF(C903="毅力",E903,0)))</x:f>
        <x:v>0</x:v>
      </x:c>
      <x:c r="BO903">
        <x:f>MAX(0,MIN(99-BL903,BO902+IF(C903="理智",E903,0)))</x:f>
        <x:v>0</x:v>
      </x:c>
      <x:c r="BP903">
        <x:f>MAX(0,MIN(99,BP902+IF(C903="崩溃点",E903,0)))</x:f>
        <x:v>0</x:v>
      </x:c>
      <x:c r="BQ903">
        <x:f>MAX(0,MIN(BK903,IF(AND(H903=1,C903="重要关系1",LEFT('幕间与结算'!H810,8)="建立新的重要关系"),'幕间与结算'!E810+E903,BQ902+IF(C903="重要关系1",E903,0)+IF(AND(C903="魅力",E903&lt;0),E903,0))))</x:f>
        <x:v>0</x:v>
      </x:c>
      <x:c r="BR903">
        <x:f>MAX(0,MIN(BK903,IF(AND(H903=1,C903="重要关系2",LEFT('幕间与结算'!H810,8)="建立新的重要关系"),'幕间与结算'!E810+E903,BR902+IF(C903="重要关系2",E903,0)+IF(AND(C903="魅力",E903&lt;0),E903,0))))</x:f>
        <x:v>0</x:v>
      </x:c>
      <x:c r="BS903">
        <x:f>MAX(0,MIN(BK903,IF(AND(H903=1,C903="重要关系3",LEFT('幕间与结算'!H810,8)="建立新的重要关系"),'幕间与结算'!E810+E903,BS902+IF(C903="重要关系3",E903,0)+IF(AND(C903="魅力",E903&lt;0),E903,0))))</x:f>
        <x:v>0</x:v>
      </x:c>
      <x:c r="BT903">
        <x:f>MAX(0,MIN(BK903,IF(AND(H903=1,C903="重要关系4",LEFT('幕间与结算'!H810,8)="建立新的重要关系"),'幕间与结算'!E810+E903,BT902+IF(C903="重要关系4",E903,0)+IF(AND(C903="魅力",E903&lt;0),E903,0))))</x:f>
        <x:v>0</x:v>
      </x:c>
      <x:c r="BU903">
        <x:f>MAX(0,MIN(BK903,IF(AND(H903=1,C903="重要关系5",LEFT('幕间与结算'!H810,8)="建立新的重要关系"),'幕间与结算'!E810+E903,BU902+IF(C903="重要关系5",E903,0)+IF(AND(C903="魅力",E903&lt;0),E903,0))))</x:f>
        <x:v>0</x:v>
      </x:c>
      <x:c r="BV903">
        <x:f>MAX(0,MIN(BK903,IF(AND(H903=1,C903="重要关系6",LEFT('幕间与结算'!H810,8)="建立新的重要关系"),'幕间与结算'!E810+E903,BV902+IF(C903="重要关系6",E903,0)+IF(AND(C903="魅力",E903&lt;0),E903,0))))</x:f>
        <x:v>0</x:v>
      </x:c>
      <x:c r="BW903">
        <x:f>MAX(0,MIN(BK903,IF(AND(H903=1,C903="重要关系7",LEFT('幕间与结算'!H810,8)="建立新的重要关系"),'幕间与结算'!E810+E903,BW902+IF(C903="重要关系7",E903,0)+IF(AND(C903="魅力",E903&lt;0),E903,0))))</x:f>
        <x:v>0</x:v>
      </x:c>
    </x:row>
    <x:row r="904">
      <x:c r="A904" t="str">
        <x:f>IFERROR(TEXT(VALUE('幕间与结算'!A811),"00"),"")</x:f>
        <x:v>00</x:v>
      </x:c>
      <x:c r="B904">
        <x:f>'幕间与结算'!B811</x:f>
        <x:v>0</x:v>
      </x:c>
      <x:c r="C904">
        <x:f>'幕间与结算'!D811</x:f>
        <x:v>0</x:v>
      </x:c>
      <x:c r="D904">
        <x:f>'幕间与结算'!F811</x:f>
        <x:v>0</x:v>
      </x:c>
      <x:c r="E904">
        <x:f>IF(H904=1,MAX(-'幕间与结算'!E811,MIN(D904,IF(LEFT(C904,3)="技能：",99,IF(COUNTIF($L$2:$L$7,C904)&gt;0,18,999))-'幕间与结算'!E811)),0)</x:f>
        <x:v>0</x:v>
      </x:c>
      <x:c r="F904" t="str">
        <x:f>IF(C904=0,"",IF(G904=0,"记录不完整",IF(H904=0,"重复未计","已计入")))</x:f>
        <x:v/>
      </x:c>
      <x:c r="G904">
        <x:f>IF(AND(AND('幕间与结算'!A811&lt;&gt;"",'幕间与结算'!B811&lt;&gt;"",'幕间与结算'!I811&lt;&gt;"",OR(LEFT(C904,3)="技能：",COUNTIF($L$2:$L$19,C904)&gt;0),ISNUMBER('幕间与结算'!E811),ISNUMBER('幕间与结算'!F811),ISNUMBER('幕间与结算'!G811),'幕间与结算'!E811&gt;=0,'幕间与结算'!G811='幕间与结算'!E811+'幕间与结算'!F811),OR(B904&lt;&gt;"成长",AND(LEFT(C904,3)="技能：",C904&lt;&gt;"技能：非自然知识",'幕间与结算'!E811&gt;=1,'幕间与结算'!E811&lt;=99,'幕间与结算'!F811&gt;=0,'幕间与结算'!F811&lt;=4,'幕间与结算'!G811&lt;=99))),1,0)</x:f>
        <x:v>0</x:v>
      </x:c>
      <x:c r="H904">
        <x:f>IF(AND(G904=1,COUNTIFS($I$200:I904,I904,$G$200:G904,1)=1),1,0)</x:f>
        <x:v>0</x:v>
      </x:c>
      <x:c r="I904" t="str">
        <x:f>IF(G904=1,IF(B904="成长",A904&amp;"-成长-"&amp;C904,'幕间与结算'!I811),"")</x:f>
        <x:v/>
      </x:c>
      <x:c r="BF904">
        <x:f>MAX(0,MIN(18,BF903+IF(C904="力量",E904,0)))</x:f>
        <x:v>0</x:v>
      </x:c>
      <x:c r="BG904">
        <x:f>MAX(0,MIN(18,BG903+IF(C904="体质",E904,0)))</x:f>
        <x:v>0</x:v>
      </x:c>
      <x:c r="BH904">
        <x:f>MAX(0,MIN(18,BH903+IF(C904="敏捷",E904,0)))</x:f>
        <x:v>0</x:v>
      </x:c>
      <x:c r="BI904">
        <x:f>MAX(0,MIN(18,BI903+IF(C904="智力",E904,0)))</x:f>
        <x:v>0</x:v>
      </x:c>
      <x:c r="BJ904">
        <x:f>MAX(0,MIN(18,BJ903+IF(C904="意志",E904,0)))</x:f>
        <x:v>0</x:v>
      </x:c>
      <x:c r="BK904">
        <x:f>MAX(0,MIN(18,BK903+IF(C904="魅力",E904,0)))</x:f>
        <x:v>0</x:v>
      </x:c>
      <x:c r="BL904">
        <x:f>MAX(0,MIN(99,BL903+IF(C904="技能：非自然知识",E904,0)))</x:f>
        <x:v>0</x:v>
      </x:c>
      <x:c r="BM904">
        <x:f>MAX(0,MIN(CEILING((BF904+BG904)/2,1),BM903+IF(C904="体力",E904,0)))</x:f>
        <x:v>0</x:v>
      </x:c>
      <x:c r="BN904">
        <x:f>MAX(0,MIN(BJ904,BN903+IF(C904="毅力",E904,0)))</x:f>
        <x:v>0</x:v>
      </x:c>
      <x:c r="BO904">
        <x:f>MAX(0,MIN(99-BL904,BO903+IF(C904="理智",E904,0)))</x:f>
        <x:v>0</x:v>
      </x:c>
      <x:c r="BP904">
        <x:f>MAX(0,MIN(99,BP903+IF(C904="崩溃点",E904,0)))</x:f>
        <x:v>0</x:v>
      </x:c>
      <x:c r="BQ904">
        <x:f>MAX(0,MIN(BK904,IF(AND(H904=1,C904="重要关系1",LEFT('幕间与结算'!H811,8)="建立新的重要关系"),'幕间与结算'!E811+E904,BQ903+IF(C904="重要关系1",E904,0)+IF(AND(C904="魅力",E904&lt;0),E904,0))))</x:f>
        <x:v>0</x:v>
      </x:c>
      <x:c r="BR904">
        <x:f>MAX(0,MIN(BK904,IF(AND(H904=1,C904="重要关系2",LEFT('幕间与结算'!H811,8)="建立新的重要关系"),'幕间与结算'!E811+E904,BR903+IF(C904="重要关系2",E904,0)+IF(AND(C904="魅力",E904&lt;0),E904,0))))</x:f>
        <x:v>0</x:v>
      </x:c>
      <x:c r="BS904">
        <x:f>MAX(0,MIN(BK904,IF(AND(H904=1,C904="重要关系3",LEFT('幕间与结算'!H811,8)="建立新的重要关系"),'幕间与结算'!E811+E904,BS903+IF(C904="重要关系3",E904,0)+IF(AND(C904="魅力",E904&lt;0),E904,0))))</x:f>
        <x:v>0</x:v>
      </x:c>
      <x:c r="BT904">
        <x:f>MAX(0,MIN(BK904,IF(AND(H904=1,C904="重要关系4",LEFT('幕间与结算'!H811,8)="建立新的重要关系"),'幕间与结算'!E811+E904,BT903+IF(C904="重要关系4",E904,0)+IF(AND(C904="魅力",E904&lt;0),E904,0))))</x:f>
        <x:v>0</x:v>
      </x:c>
      <x:c r="BU904">
        <x:f>MAX(0,MIN(BK904,IF(AND(H904=1,C904="重要关系5",LEFT('幕间与结算'!H811,8)="建立新的重要关系"),'幕间与结算'!E811+E904,BU903+IF(C904="重要关系5",E904,0)+IF(AND(C904="魅力",E904&lt;0),E904,0))))</x:f>
        <x:v>0</x:v>
      </x:c>
      <x:c r="BV904">
        <x:f>MAX(0,MIN(BK904,IF(AND(H904=1,C904="重要关系6",LEFT('幕间与结算'!H811,8)="建立新的重要关系"),'幕间与结算'!E811+E904,BV903+IF(C904="重要关系6",E904,0)+IF(AND(C904="魅力",E904&lt;0),E904,0))))</x:f>
        <x:v>0</x:v>
      </x:c>
      <x:c r="BW904">
        <x:f>MAX(0,MIN(BK904,IF(AND(H904=1,C904="重要关系7",LEFT('幕间与结算'!H811,8)="建立新的重要关系"),'幕间与结算'!E811+E904,BW903+IF(C904="重要关系7",E904,0)+IF(AND(C904="魅力",E904&lt;0),E904,0))))</x:f>
        <x:v>0</x:v>
      </x:c>
    </x:row>
    <x:row r="905">
      <x:c r="A905" t="str">
        <x:f>IFERROR(TEXT(VALUE('幕间与结算'!A812),"00"),"")</x:f>
        <x:v>00</x:v>
      </x:c>
      <x:c r="B905">
        <x:f>'幕间与结算'!B812</x:f>
        <x:v>0</x:v>
      </x:c>
      <x:c r="C905">
        <x:f>'幕间与结算'!D812</x:f>
        <x:v>0</x:v>
      </x:c>
      <x:c r="D905">
        <x:f>'幕间与结算'!F812</x:f>
        <x:v>0</x:v>
      </x:c>
      <x:c r="E905">
        <x:f>IF(H905=1,MAX(-'幕间与结算'!E812,MIN(D905,IF(LEFT(C905,3)="技能：",99,IF(COUNTIF($L$2:$L$7,C905)&gt;0,18,999))-'幕间与结算'!E812)),0)</x:f>
        <x:v>0</x:v>
      </x:c>
      <x:c r="F905" t="str">
        <x:f>IF(C905=0,"",IF(G905=0,"记录不完整",IF(H905=0,"重复未计","已计入")))</x:f>
        <x:v/>
      </x:c>
      <x:c r="G905">
        <x:f>IF(AND(AND('幕间与结算'!A812&lt;&gt;"",'幕间与结算'!B812&lt;&gt;"",'幕间与结算'!I812&lt;&gt;"",OR(LEFT(C905,3)="技能：",COUNTIF($L$2:$L$19,C905)&gt;0),ISNUMBER('幕间与结算'!E812),ISNUMBER('幕间与结算'!F812),ISNUMBER('幕间与结算'!G812),'幕间与结算'!E812&gt;=0,'幕间与结算'!G812='幕间与结算'!E812+'幕间与结算'!F812),OR(B905&lt;&gt;"成长",AND(LEFT(C905,3)="技能：",C905&lt;&gt;"技能：非自然知识",'幕间与结算'!E812&gt;=1,'幕间与结算'!E812&lt;=99,'幕间与结算'!F812&gt;=0,'幕间与结算'!F812&lt;=4,'幕间与结算'!G812&lt;=99))),1,0)</x:f>
        <x:v>0</x:v>
      </x:c>
      <x:c r="H905">
        <x:f>IF(AND(G905=1,COUNTIFS($I$200:I905,I905,$G$200:G905,1)=1),1,0)</x:f>
        <x:v>0</x:v>
      </x:c>
      <x:c r="I905" t="str">
        <x:f>IF(G905=1,IF(B905="成长",A905&amp;"-成长-"&amp;C905,'幕间与结算'!I812),"")</x:f>
        <x:v/>
      </x:c>
      <x:c r="BF905">
        <x:f>MAX(0,MIN(18,BF904+IF(C905="力量",E905,0)))</x:f>
        <x:v>0</x:v>
      </x:c>
      <x:c r="BG905">
        <x:f>MAX(0,MIN(18,BG904+IF(C905="体质",E905,0)))</x:f>
        <x:v>0</x:v>
      </x:c>
      <x:c r="BH905">
        <x:f>MAX(0,MIN(18,BH904+IF(C905="敏捷",E905,0)))</x:f>
        <x:v>0</x:v>
      </x:c>
      <x:c r="BI905">
        <x:f>MAX(0,MIN(18,BI904+IF(C905="智力",E905,0)))</x:f>
        <x:v>0</x:v>
      </x:c>
      <x:c r="BJ905">
        <x:f>MAX(0,MIN(18,BJ904+IF(C905="意志",E905,0)))</x:f>
        <x:v>0</x:v>
      </x:c>
      <x:c r="BK905">
        <x:f>MAX(0,MIN(18,BK904+IF(C905="魅力",E905,0)))</x:f>
        <x:v>0</x:v>
      </x:c>
      <x:c r="BL905">
        <x:f>MAX(0,MIN(99,BL904+IF(C905="技能：非自然知识",E905,0)))</x:f>
        <x:v>0</x:v>
      </x:c>
      <x:c r="BM905">
        <x:f>MAX(0,MIN(CEILING((BF905+BG905)/2,1),BM904+IF(C905="体力",E905,0)))</x:f>
        <x:v>0</x:v>
      </x:c>
      <x:c r="BN905">
        <x:f>MAX(0,MIN(BJ905,BN904+IF(C905="毅力",E905,0)))</x:f>
        <x:v>0</x:v>
      </x:c>
      <x:c r="BO905">
        <x:f>MAX(0,MIN(99-BL905,BO904+IF(C905="理智",E905,0)))</x:f>
        <x:v>0</x:v>
      </x:c>
      <x:c r="BP905">
        <x:f>MAX(0,MIN(99,BP904+IF(C905="崩溃点",E905,0)))</x:f>
        <x:v>0</x:v>
      </x:c>
      <x:c r="BQ905">
        <x:f>MAX(0,MIN(BK905,IF(AND(H905=1,C905="重要关系1",LEFT('幕间与结算'!H812,8)="建立新的重要关系"),'幕间与结算'!E812+E905,BQ904+IF(C905="重要关系1",E905,0)+IF(AND(C905="魅力",E905&lt;0),E905,0))))</x:f>
        <x:v>0</x:v>
      </x:c>
      <x:c r="BR905">
        <x:f>MAX(0,MIN(BK905,IF(AND(H905=1,C905="重要关系2",LEFT('幕间与结算'!H812,8)="建立新的重要关系"),'幕间与结算'!E812+E905,BR904+IF(C905="重要关系2",E905,0)+IF(AND(C905="魅力",E905&lt;0),E905,0))))</x:f>
        <x:v>0</x:v>
      </x:c>
      <x:c r="BS905">
        <x:f>MAX(0,MIN(BK905,IF(AND(H905=1,C905="重要关系3",LEFT('幕间与结算'!H812,8)="建立新的重要关系"),'幕间与结算'!E812+E905,BS904+IF(C905="重要关系3",E905,0)+IF(AND(C905="魅力",E905&lt;0),E905,0))))</x:f>
        <x:v>0</x:v>
      </x:c>
      <x:c r="BT905">
        <x:f>MAX(0,MIN(BK905,IF(AND(H905=1,C905="重要关系4",LEFT('幕间与结算'!H812,8)="建立新的重要关系"),'幕间与结算'!E812+E905,BT904+IF(C905="重要关系4",E905,0)+IF(AND(C905="魅力",E905&lt;0),E905,0))))</x:f>
        <x:v>0</x:v>
      </x:c>
      <x:c r="BU905">
        <x:f>MAX(0,MIN(BK905,IF(AND(H905=1,C905="重要关系5",LEFT('幕间与结算'!H812,8)="建立新的重要关系"),'幕间与结算'!E812+E905,BU904+IF(C905="重要关系5",E905,0)+IF(AND(C905="魅力",E905&lt;0),E905,0))))</x:f>
        <x:v>0</x:v>
      </x:c>
      <x:c r="BV905">
        <x:f>MAX(0,MIN(BK905,IF(AND(H905=1,C905="重要关系6",LEFT('幕间与结算'!H812,8)="建立新的重要关系"),'幕间与结算'!E812+E905,BV904+IF(C905="重要关系6",E905,0)+IF(AND(C905="魅力",E905&lt;0),E905,0))))</x:f>
        <x:v>0</x:v>
      </x:c>
      <x:c r="BW905">
        <x:f>MAX(0,MIN(BK905,IF(AND(H905=1,C905="重要关系7",LEFT('幕间与结算'!H812,8)="建立新的重要关系"),'幕间与结算'!E812+E905,BW904+IF(C905="重要关系7",E905,0)+IF(AND(C905="魅力",E905&lt;0),E905,0))))</x:f>
        <x:v>0</x:v>
      </x:c>
    </x:row>
    <x:row r="906">
      <x:c r="A906" t="str">
        <x:f>IFERROR(TEXT(VALUE('幕间与结算'!A813),"00"),"")</x:f>
        <x:v>00</x:v>
      </x:c>
      <x:c r="B906">
        <x:f>'幕间与结算'!B813</x:f>
        <x:v>0</x:v>
      </x:c>
      <x:c r="C906">
        <x:f>'幕间与结算'!D813</x:f>
        <x:v>0</x:v>
      </x:c>
      <x:c r="D906">
        <x:f>'幕间与结算'!F813</x:f>
        <x:v>0</x:v>
      </x:c>
      <x:c r="E906">
        <x:f>IF(H906=1,MAX(-'幕间与结算'!E813,MIN(D906,IF(LEFT(C906,3)="技能：",99,IF(COUNTIF($L$2:$L$7,C906)&gt;0,18,999))-'幕间与结算'!E813)),0)</x:f>
        <x:v>0</x:v>
      </x:c>
      <x:c r="F906" t="str">
        <x:f>IF(C906=0,"",IF(G906=0,"记录不完整",IF(H906=0,"重复未计","已计入")))</x:f>
        <x:v/>
      </x:c>
      <x:c r="G906">
        <x:f>IF(AND(AND('幕间与结算'!A813&lt;&gt;"",'幕间与结算'!B813&lt;&gt;"",'幕间与结算'!I813&lt;&gt;"",OR(LEFT(C906,3)="技能：",COUNTIF($L$2:$L$19,C906)&gt;0),ISNUMBER('幕间与结算'!E813),ISNUMBER('幕间与结算'!F813),ISNUMBER('幕间与结算'!G813),'幕间与结算'!E813&gt;=0,'幕间与结算'!G813='幕间与结算'!E813+'幕间与结算'!F813),OR(B906&lt;&gt;"成长",AND(LEFT(C906,3)="技能：",C906&lt;&gt;"技能：非自然知识",'幕间与结算'!E813&gt;=1,'幕间与结算'!E813&lt;=99,'幕间与结算'!F813&gt;=0,'幕间与结算'!F813&lt;=4,'幕间与结算'!G813&lt;=99))),1,0)</x:f>
        <x:v>0</x:v>
      </x:c>
      <x:c r="H906">
        <x:f>IF(AND(G906=1,COUNTIFS($I$200:I906,I906,$G$200:G906,1)=1),1,0)</x:f>
        <x:v>0</x:v>
      </x:c>
      <x:c r="I906" t="str">
        <x:f>IF(G906=1,IF(B906="成长",A906&amp;"-成长-"&amp;C906,'幕间与结算'!I813),"")</x:f>
        <x:v/>
      </x:c>
      <x:c r="BF906">
        <x:f>MAX(0,MIN(18,BF905+IF(C906="力量",E906,0)))</x:f>
        <x:v>0</x:v>
      </x:c>
      <x:c r="BG906">
        <x:f>MAX(0,MIN(18,BG905+IF(C906="体质",E906,0)))</x:f>
        <x:v>0</x:v>
      </x:c>
      <x:c r="BH906">
        <x:f>MAX(0,MIN(18,BH905+IF(C906="敏捷",E906,0)))</x:f>
        <x:v>0</x:v>
      </x:c>
      <x:c r="BI906">
        <x:f>MAX(0,MIN(18,BI905+IF(C906="智力",E906,0)))</x:f>
        <x:v>0</x:v>
      </x:c>
      <x:c r="BJ906">
        <x:f>MAX(0,MIN(18,BJ905+IF(C906="意志",E906,0)))</x:f>
        <x:v>0</x:v>
      </x:c>
      <x:c r="BK906">
        <x:f>MAX(0,MIN(18,BK905+IF(C906="魅力",E906,0)))</x:f>
        <x:v>0</x:v>
      </x:c>
      <x:c r="BL906">
        <x:f>MAX(0,MIN(99,BL905+IF(C906="技能：非自然知识",E906,0)))</x:f>
        <x:v>0</x:v>
      </x:c>
      <x:c r="BM906">
        <x:f>MAX(0,MIN(CEILING((BF906+BG906)/2,1),BM905+IF(C906="体力",E906,0)))</x:f>
        <x:v>0</x:v>
      </x:c>
      <x:c r="BN906">
        <x:f>MAX(0,MIN(BJ906,BN905+IF(C906="毅力",E906,0)))</x:f>
        <x:v>0</x:v>
      </x:c>
      <x:c r="BO906">
        <x:f>MAX(0,MIN(99-BL906,BO905+IF(C906="理智",E906,0)))</x:f>
        <x:v>0</x:v>
      </x:c>
      <x:c r="BP906">
        <x:f>MAX(0,MIN(99,BP905+IF(C906="崩溃点",E906,0)))</x:f>
        <x:v>0</x:v>
      </x:c>
      <x:c r="BQ906">
        <x:f>MAX(0,MIN(BK906,IF(AND(H906=1,C906="重要关系1",LEFT('幕间与结算'!H813,8)="建立新的重要关系"),'幕间与结算'!E813+E906,BQ905+IF(C906="重要关系1",E906,0)+IF(AND(C906="魅力",E906&lt;0),E906,0))))</x:f>
        <x:v>0</x:v>
      </x:c>
      <x:c r="BR906">
        <x:f>MAX(0,MIN(BK906,IF(AND(H906=1,C906="重要关系2",LEFT('幕间与结算'!H813,8)="建立新的重要关系"),'幕间与结算'!E813+E906,BR905+IF(C906="重要关系2",E906,0)+IF(AND(C906="魅力",E906&lt;0),E906,0))))</x:f>
        <x:v>0</x:v>
      </x:c>
      <x:c r="BS906">
        <x:f>MAX(0,MIN(BK906,IF(AND(H906=1,C906="重要关系3",LEFT('幕间与结算'!H813,8)="建立新的重要关系"),'幕间与结算'!E813+E906,BS905+IF(C906="重要关系3",E906,0)+IF(AND(C906="魅力",E906&lt;0),E906,0))))</x:f>
        <x:v>0</x:v>
      </x:c>
      <x:c r="BT906">
        <x:f>MAX(0,MIN(BK906,IF(AND(H906=1,C906="重要关系4",LEFT('幕间与结算'!H813,8)="建立新的重要关系"),'幕间与结算'!E813+E906,BT905+IF(C906="重要关系4",E906,0)+IF(AND(C906="魅力",E906&lt;0),E906,0))))</x:f>
        <x:v>0</x:v>
      </x:c>
      <x:c r="BU906">
        <x:f>MAX(0,MIN(BK906,IF(AND(H906=1,C906="重要关系5",LEFT('幕间与结算'!H813,8)="建立新的重要关系"),'幕间与结算'!E813+E906,BU905+IF(C906="重要关系5",E906,0)+IF(AND(C906="魅力",E906&lt;0),E906,0))))</x:f>
        <x:v>0</x:v>
      </x:c>
      <x:c r="BV906">
        <x:f>MAX(0,MIN(BK906,IF(AND(H906=1,C906="重要关系6",LEFT('幕间与结算'!H813,8)="建立新的重要关系"),'幕间与结算'!E813+E906,BV905+IF(C906="重要关系6",E906,0)+IF(AND(C906="魅力",E906&lt;0),E906,0))))</x:f>
        <x:v>0</x:v>
      </x:c>
      <x:c r="BW906">
        <x:f>MAX(0,MIN(BK906,IF(AND(H906=1,C906="重要关系7",LEFT('幕间与结算'!H813,8)="建立新的重要关系"),'幕间与结算'!E813+E906,BW905+IF(C906="重要关系7",E906,0)+IF(AND(C906="魅力",E906&lt;0),E906,0))))</x:f>
        <x:v>0</x:v>
      </x:c>
    </x:row>
    <x:row r="907">
      <x:c r="A907" t="str">
        <x:f>IFERROR(TEXT(VALUE('幕间与结算'!A814),"00"),"")</x:f>
        <x:v>00</x:v>
      </x:c>
      <x:c r="B907">
        <x:f>'幕间与结算'!B814</x:f>
        <x:v>0</x:v>
      </x:c>
      <x:c r="C907">
        <x:f>'幕间与结算'!D814</x:f>
        <x:v>0</x:v>
      </x:c>
      <x:c r="D907">
        <x:f>'幕间与结算'!F814</x:f>
        <x:v>0</x:v>
      </x:c>
      <x:c r="E907">
        <x:f>IF(H907=1,MAX(-'幕间与结算'!E814,MIN(D907,IF(LEFT(C907,3)="技能：",99,IF(COUNTIF($L$2:$L$7,C907)&gt;0,18,999))-'幕间与结算'!E814)),0)</x:f>
        <x:v>0</x:v>
      </x:c>
      <x:c r="F907" t="str">
        <x:f>IF(C907=0,"",IF(G907=0,"记录不完整",IF(H907=0,"重复未计","已计入")))</x:f>
        <x:v/>
      </x:c>
      <x:c r="G907">
        <x:f>IF(AND(AND('幕间与结算'!A814&lt;&gt;"",'幕间与结算'!B814&lt;&gt;"",'幕间与结算'!I814&lt;&gt;"",OR(LEFT(C907,3)="技能：",COUNTIF($L$2:$L$19,C907)&gt;0),ISNUMBER('幕间与结算'!E814),ISNUMBER('幕间与结算'!F814),ISNUMBER('幕间与结算'!G814),'幕间与结算'!E814&gt;=0,'幕间与结算'!G814='幕间与结算'!E814+'幕间与结算'!F814),OR(B907&lt;&gt;"成长",AND(LEFT(C907,3)="技能：",C907&lt;&gt;"技能：非自然知识",'幕间与结算'!E814&gt;=1,'幕间与结算'!E814&lt;=99,'幕间与结算'!F814&gt;=0,'幕间与结算'!F814&lt;=4,'幕间与结算'!G814&lt;=99))),1,0)</x:f>
        <x:v>0</x:v>
      </x:c>
      <x:c r="H907">
        <x:f>IF(AND(G907=1,COUNTIFS($I$200:I907,I907,$G$200:G907,1)=1),1,0)</x:f>
        <x:v>0</x:v>
      </x:c>
      <x:c r="I907" t="str">
        <x:f>IF(G907=1,IF(B907="成长",A907&amp;"-成长-"&amp;C907,'幕间与结算'!I814),"")</x:f>
        <x:v/>
      </x:c>
      <x:c r="BF907">
        <x:f>MAX(0,MIN(18,BF906+IF(C907="力量",E907,0)))</x:f>
        <x:v>0</x:v>
      </x:c>
      <x:c r="BG907">
        <x:f>MAX(0,MIN(18,BG906+IF(C907="体质",E907,0)))</x:f>
        <x:v>0</x:v>
      </x:c>
      <x:c r="BH907">
        <x:f>MAX(0,MIN(18,BH906+IF(C907="敏捷",E907,0)))</x:f>
        <x:v>0</x:v>
      </x:c>
      <x:c r="BI907">
        <x:f>MAX(0,MIN(18,BI906+IF(C907="智力",E907,0)))</x:f>
        <x:v>0</x:v>
      </x:c>
      <x:c r="BJ907">
        <x:f>MAX(0,MIN(18,BJ906+IF(C907="意志",E907,0)))</x:f>
        <x:v>0</x:v>
      </x:c>
      <x:c r="BK907">
        <x:f>MAX(0,MIN(18,BK906+IF(C907="魅力",E907,0)))</x:f>
        <x:v>0</x:v>
      </x:c>
      <x:c r="BL907">
        <x:f>MAX(0,MIN(99,BL906+IF(C907="技能：非自然知识",E907,0)))</x:f>
        <x:v>0</x:v>
      </x:c>
      <x:c r="BM907">
        <x:f>MAX(0,MIN(CEILING((BF907+BG907)/2,1),BM906+IF(C907="体力",E907,0)))</x:f>
        <x:v>0</x:v>
      </x:c>
      <x:c r="BN907">
        <x:f>MAX(0,MIN(BJ907,BN906+IF(C907="毅力",E907,0)))</x:f>
        <x:v>0</x:v>
      </x:c>
      <x:c r="BO907">
        <x:f>MAX(0,MIN(99-BL907,BO906+IF(C907="理智",E907,0)))</x:f>
        <x:v>0</x:v>
      </x:c>
      <x:c r="BP907">
        <x:f>MAX(0,MIN(99,BP906+IF(C907="崩溃点",E907,0)))</x:f>
        <x:v>0</x:v>
      </x:c>
      <x:c r="BQ907">
        <x:f>MAX(0,MIN(BK907,IF(AND(H907=1,C907="重要关系1",LEFT('幕间与结算'!H814,8)="建立新的重要关系"),'幕间与结算'!E814+E907,BQ906+IF(C907="重要关系1",E907,0)+IF(AND(C907="魅力",E907&lt;0),E907,0))))</x:f>
        <x:v>0</x:v>
      </x:c>
      <x:c r="BR907">
        <x:f>MAX(0,MIN(BK907,IF(AND(H907=1,C907="重要关系2",LEFT('幕间与结算'!H814,8)="建立新的重要关系"),'幕间与结算'!E814+E907,BR906+IF(C907="重要关系2",E907,0)+IF(AND(C907="魅力",E907&lt;0),E907,0))))</x:f>
        <x:v>0</x:v>
      </x:c>
      <x:c r="BS907">
        <x:f>MAX(0,MIN(BK907,IF(AND(H907=1,C907="重要关系3",LEFT('幕间与结算'!H814,8)="建立新的重要关系"),'幕间与结算'!E814+E907,BS906+IF(C907="重要关系3",E907,0)+IF(AND(C907="魅力",E907&lt;0),E907,0))))</x:f>
        <x:v>0</x:v>
      </x:c>
      <x:c r="BT907">
        <x:f>MAX(0,MIN(BK907,IF(AND(H907=1,C907="重要关系4",LEFT('幕间与结算'!H814,8)="建立新的重要关系"),'幕间与结算'!E814+E907,BT906+IF(C907="重要关系4",E907,0)+IF(AND(C907="魅力",E907&lt;0),E907,0))))</x:f>
        <x:v>0</x:v>
      </x:c>
      <x:c r="BU907">
        <x:f>MAX(0,MIN(BK907,IF(AND(H907=1,C907="重要关系5",LEFT('幕间与结算'!H814,8)="建立新的重要关系"),'幕间与结算'!E814+E907,BU906+IF(C907="重要关系5",E907,0)+IF(AND(C907="魅力",E907&lt;0),E907,0))))</x:f>
        <x:v>0</x:v>
      </x:c>
      <x:c r="BV907">
        <x:f>MAX(0,MIN(BK907,IF(AND(H907=1,C907="重要关系6",LEFT('幕间与结算'!H814,8)="建立新的重要关系"),'幕间与结算'!E814+E907,BV906+IF(C907="重要关系6",E907,0)+IF(AND(C907="魅力",E907&lt;0),E907,0))))</x:f>
        <x:v>0</x:v>
      </x:c>
      <x:c r="BW907">
        <x:f>MAX(0,MIN(BK907,IF(AND(H907=1,C907="重要关系7",LEFT('幕间与结算'!H814,8)="建立新的重要关系"),'幕间与结算'!E814+E907,BW906+IF(C907="重要关系7",E907,0)+IF(AND(C907="魅力",E907&lt;0),E907,0))))</x:f>
        <x:v>0</x:v>
      </x:c>
    </x:row>
    <x:row r="908">
      <x:c r="A908" t="str">
        <x:f>IFERROR(TEXT(VALUE('幕间与结算'!A815),"00"),"")</x:f>
        <x:v>00</x:v>
      </x:c>
      <x:c r="B908">
        <x:f>'幕间与结算'!B815</x:f>
        <x:v>0</x:v>
      </x:c>
      <x:c r="C908">
        <x:f>'幕间与结算'!D815</x:f>
        <x:v>0</x:v>
      </x:c>
      <x:c r="D908">
        <x:f>'幕间与结算'!F815</x:f>
        <x:v>0</x:v>
      </x:c>
      <x:c r="E908">
        <x:f>IF(H908=1,MAX(-'幕间与结算'!E815,MIN(D908,IF(LEFT(C908,3)="技能：",99,IF(COUNTIF($L$2:$L$7,C908)&gt;0,18,999))-'幕间与结算'!E815)),0)</x:f>
        <x:v>0</x:v>
      </x:c>
      <x:c r="F908" t="str">
        <x:f>IF(C908=0,"",IF(G908=0,"记录不完整",IF(H908=0,"重复未计","已计入")))</x:f>
        <x:v/>
      </x:c>
      <x:c r="G908">
        <x:f>IF(AND(AND('幕间与结算'!A815&lt;&gt;"",'幕间与结算'!B815&lt;&gt;"",'幕间与结算'!I815&lt;&gt;"",OR(LEFT(C908,3)="技能：",COUNTIF($L$2:$L$19,C908)&gt;0),ISNUMBER('幕间与结算'!E815),ISNUMBER('幕间与结算'!F815),ISNUMBER('幕间与结算'!G815),'幕间与结算'!E815&gt;=0,'幕间与结算'!G815='幕间与结算'!E815+'幕间与结算'!F815),OR(B908&lt;&gt;"成长",AND(LEFT(C908,3)="技能：",C908&lt;&gt;"技能：非自然知识",'幕间与结算'!E815&gt;=1,'幕间与结算'!E815&lt;=99,'幕间与结算'!F815&gt;=0,'幕间与结算'!F815&lt;=4,'幕间与结算'!G815&lt;=99))),1,0)</x:f>
        <x:v>0</x:v>
      </x:c>
      <x:c r="H908">
        <x:f>IF(AND(G908=1,COUNTIFS($I$200:I908,I908,$G$200:G908,1)=1),1,0)</x:f>
        <x:v>0</x:v>
      </x:c>
      <x:c r="I908" t="str">
        <x:f>IF(G908=1,IF(B908="成长",A908&amp;"-成长-"&amp;C908,'幕间与结算'!I815),"")</x:f>
        <x:v/>
      </x:c>
      <x:c r="BF908">
        <x:f>MAX(0,MIN(18,BF907+IF(C908="力量",E908,0)))</x:f>
        <x:v>0</x:v>
      </x:c>
      <x:c r="BG908">
        <x:f>MAX(0,MIN(18,BG907+IF(C908="体质",E908,0)))</x:f>
        <x:v>0</x:v>
      </x:c>
      <x:c r="BH908">
        <x:f>MAX(0,MIN(18,BH907+IF(C908="敏捷",E908,0)))</x:f>
        <x:v>0</x:v>
      </x:c>
      <x:c r="BI908">
        <x:f>MAX(0,MIN(18,BI907+IF(C908="智力",E908,0)))</x:f>
        <x:v>0</x:v>
      </x:c>
      <x:c r="BJ908">
        <x:f>MAX(0,MIN(18,BJ907+IF(C908="意志",E908,0)))</x:f>
        <x:v>0</x:v>
      </x:c>
      <x:c r="BK908">
        <x:f>MAX(0,MIN(18,BK907+IF(C908="魅力",E908,0)))</x:f>
        <x:v>0</x:v>
      </x:c>
      <x:c r="BL908">
        <x:f>MAX(0,MIN(99,BL907+IF(C908="技能：非自然知识",E908,0)))</x:f>
        <x:v>0</x:v>
      </x:c>
      <x:c r="BM908">
        <x:f>MAX(0,MIN(CEILING((BF908+BG908)/2,1),BM907+IF(C908="体力",E908,0)))</x:f>
        <x:v>0</x:v>
      </x:c>
      <x:c r="BN908">
        <x:f>MAX(0,MIN(BJ908,BN907+IF(C908="毅力",E908,0)))</x:f>
        <x:v>0</x:v>
      </x:c>
      <x:c r="BO908">
        <x:f>MAX(0,MIN(99-BL908,BO907+IF(C908="理智",E908,0)))</x:f>
        <x:v>0</x:v>
      </x:c>
      <x:c r="BP908">
        <x:f>MAX(0,MIN(99,BP907+IF(C908="崩溃点",E908,0)))</x:f>
        <x:v>0</x:v>
      </x:c>
      <x:c r="BQ908">
        <x:f>MAX(0,MIN(BK908,IF(AND(H908=1,C908="重要关系1",LEFT('幕间与结算'!H815,8)="建立新的重要关系"),'幕间与结算'!E815+E908,BQ907+IF(C908="重要关系1",E908,0)+IF(AND(C908="魅力",E908&lt;0),E908,0))))</x:f>
        <x:v>0</x:v>
      </x:c>
      <x:c r="BR908">
        <x:f>MAX(0,MIN(BK908,IF(AND(H908=1,C908="重要关系2",LEFT('幕间与结算'!H815,8)="建立新的重要关系"),'幕间与结算'!E815+E908,BR907+IF(C908="重要关系2",E908,0)+IF(AND(C908="魅力",E908&lt;0),E908,0))))</x:f>
        <x:v>0</x:v>
      </x:c>
      <x:c r="BS908">
        <x:f>MAX(0,MIN(BK908,IF(AND(H908=1,C908="重要关系3",LEFT('幕间与结算'!H815,8)="建立新的重要关系"),'幕间与结算'!E815+E908,BS907+IF(C908="重要关系3",E908,0)+IF(AND(C908="魅力",E908&lt;0),E908,0))))</x:f>
        <x:v>0</x:v>
      </x:c>
      <x:c r="BT908">
        <x:f>MAX(0,MIN(BK908,IF(AND(H908=1,C908="重要关系4",LEFT('幕间与结算'!H815,8)="建立新的重要关系"),'幕间与结算'!E815+E908,BT907+IF(C908="重要关系4",E908,0)+IF(AND(C908="魅力",E908&lt;0),E908,0))))</x:f>
        <x:v>0</x:v>
      </x:c>
      <x:c r="BU908">
        <x:f>MAX(0,MIN(BK908,IF(AND(H908=1,C908="重要关系5",LEFT('幕间与结算'!H815,8)="建立新的重要关系"),'幕间与结算'!E815+E908,BU907+IF(C908="重要关系5",E908,0)+IF(AND(C908="魅力",E908&lt;0),E908,0))))</x:f>
        <x:v>0</x:v>
      </x:c>
      <x:c r="BV908">
        <x:f>MAX(0,MIN(BK908,IF(AND(H908=1,C908="重要关系6",LEFT('幕间与结算'!H815,8)="建立新的重要关系"),'幕间与结算'!E815+E908,BV907+IF(C908="重要关系6",E908,0)+IF(AND(C908="魅力",E908&lt;0),E908,0))))</x:f>
        <x:v>0</x:v>
      </x:c>
      <x:c r="BW908">
        <x:f>MAX(0,MIN(BK908,IF(AND(H908=1,C908="重要关系7",LEFT('幕间与结算'!H815,8)="建立新的重要关系"),'幕间与结算'!E815+E908,BW907+IF(C908="重要关系7",E908,0)+IF(AND(C908="魅力",E908&lt;0),E908,0))))</x:f>
        <x:v>0</x:v>
      </x:c>
    </x:row>
    <x:row r="909">
      <x:c r="A909" t="str">
        <x:f>IFERROR(TEXT(VALUE('幕间与结算'!A816),"00"),"")</x:f>
        <x:v>00</x:v>
      </x:c>
      <x:c r="B909">
        <x:f>'幕间与结算'!B816</x:f>
        <x:v>0</x:v>
      </x:c>
      <x:c r="C909">
        <x:f>'幕间与结算'!D816</x:f>
        <x:v>0</x:v>
      </x:c>
      <x:c r="D909">
        <x:f>'幕间与结算'!F816</x:f>
        <x:v>0</x:v>
      </x:c>
      <x:c r="E909">
        <x:f>IF(H909=1,MAX(-'幕间与结算'!E816,MIN(D909,IF(LEFT(C909,3)="技能：",99,IF(COUNTIF($L$2:$L$7,C909)&gt;0,18,999))-'幕间与结算'!E816)),0)</x:f>
        <x:v>0</x:v>
      </x:c>
      <x:c r="F909" t="str">
        <x:f>IF(C909=0,"",IF(G909=0,"记录不完整",IF(H909=0,"重复未计","已计入")))</x:f>
        <x:v/>
      </x:c>
      <x:c r="G909">
        <x:f>IF(AND(AND('幕间与结算'!A816&lt;&gt;"",'幕间与结算'!B816&lt;&gt;"",'幕间与结算'!I816&lt;&gt;"",OR(LEFT(C909,3)="技能：",COUNTIF($L$2:$L$19,C909)&gt;0),ISNUMBER('幕间与结算'!E816),ISNUMBER('幕间与结算'!F816),ISNUMBER('幕间与结算'!G816),'幕间与结算'!E816&gt;=0,'幕间与结算'!G816='幕间与结算'!E816+'幕间与结算'!F816),OR(B909&lt;&gt;"成长",AND(LEFT(C909,3)="技能：",C909&lt;&gt;"技能：非自然知识",'幕间与结算'!E816&gt;=1,'幕间与结算'!E816&lt;=99,'幕间与结算'!F816&gt;=0,'幕间与结算'!F816&lt;=4,'幕间与结算'!G816&lt;=99))),1,0)</x:f>
        <x:v>0</x:v>
      </x:c>
      <x:c r="H909">
        <x:f>IF(AND(G909=1,COUNTIFS($I$200:I909,I909,$G$200:G909,1)=1),1,0)</x:f>
        <x:v>0</x:v>
      </x:c>
      <x:c r="I909" t="str">
        <x:f>IF(G909=1,IF(B909="成长",A909&amp;"-成长-"&amp;C909,'幕间与结算'!I816),"")</x:f>
        <x:v/>
      </x:c>
      <x:c r="BF909">
        <x:f>MAX(0,MIN(18,BF908+IF(C909="力量",E909,0)))</x:f>
        <x:v>0</x:v>
      </x:c>
      <x:c r="BG909">
        <x:f>MAX(0,MIN(18,BG908+IF(C909="体质",E909,0)))</x:f>
        <x:v>0</x:v>
      </x:c>
      <x:c r="BH909">
        <x:f>MAX(0,MIN(18,BH908+IF(C909="敏捷",E909,0)))</x:f>
        <x:v>0</x:v>
      </x:c>
      <x:c r="BI909">
        <x:f>MAX(0,MIN(18,BI908+IF(C909="智力",E909,0)))</x:f>
        <x:v>0</x:v>
      </x:c>
      <x:c r="BJ909">
        <x:f>MAX(0,MIN(18,BJ908+IF(C909="意志",E909,0)))</x:f>
        <x:v>0</x:v>
      </x:c>
      <x:c r="BK909">
        <x:f>MAX(0,MIN(18,BK908+IF(C909="魅力",E909,0)))</x:f>
        <x:v>0</x:v>
      </x:c>
      <x:c r="BL909">
        <x:f>MAX(0,MIN(99,BL908+IF(C909="技能：非自然知识",E909,0)))</x:f>
        <x:v>0</x:v>
      </x:c>
      <x:c r="BM909">
        <x:f>MAX(0,MIN(CEILING((BF909+BG909)/2,1),BM908+IF(C909="体力",E909,0)))</x:f>
        <x:v>0</x:v>
      </x:c>
      <x:c r="BN909">
        <x:f>MAX(0,MIN(BJ909,BN908+IF(C909="毅力",E909,0)))</x:f>
        <x:v>0</x:v>
      </x:c>
      <x:c r="BO909">
        <x:f>MAX(0,MIN(99-BL909,BO908+IF(C909="理智",E909,0)))</x:f>
        <x:v>0</x:v>
      </x:c>
      <x:c r="BP909">
        <x:f>MAX(0,MIN(99,BP908+IF(C909="崩溃点",E909,0)))</x:f>
        <x:v>0</x:v>
      </x:c>
      <x:c r="BQ909">
        <x:f>MAX(0,MIN(BK909,IF(AND(H909=1,C909="重要关系1",LEFT('幕间与结算'!H816,8)="建立新的重要关系"),'幕间与结算'!E816+E909,BQ908+IF(C909="重要关系1",E909,0)+IF(AND(C909="魅力",E909&lt;0),E909,0))))</x:f>
        <x:v>0</x:v>
      </x:c>
      <x:c r="BR909">
        <x:f>MAX(0,MIN(BK909,IF(AND(H909=1,C909="重要关系2",LEFT('幕间与结算'!H816,8)="建立新的重要关系"),'幕间与结算'!E816+E909,BR908+IF(C909="重要关系2",E909,0)+IF(AND(C909="魅力",E909&lt;0),E909,0))))</x:f>
        <x:v>0</x:v>
      </x:c>
      <x:c r="BS909">
        <x:f>MAX(0,MIN(BK909,IF(AND(H909=1,C909="重要关系3",LEFT('幕间与结算'!H816,8)="建立新的重要关系"),'幕间与结算'!E816+E909,BS908+IF(C909="重要关系3",E909,0)+IF(AND(C909="魅力",E909&lt;0),E909,0))))</x:f>
        <x:v>0</x:v>
      </x:c>
      <x:c r="BT909">
        <x:f>MAX(0,MIN(BK909,IF(AND(H909=1,C909="重要关系4",LEFT('幕间与结算'!H816,8)="建立新的重要关系"),'幕间与结算'!E816+E909,BT908+IF(C909="重要关系4",E909,0)+IF(AND(C909="魅力",E909&lt;0),E909,0))))</x:f>
        <x:v>0</x:v>
      </x:c>
      <x:c r="BU909">
        <x:f>MAX(0,MIN(BK909,IF(AND(H909=1,C909="重要关系5",LEFT('幕间与结算'!H816,8)="建立新的重要关系"),'幕间与结算'!E816+E909,BU908+IF(C909="重要关系5",E909,0)+IF(AND(C909="魅力",E909&lt;0),E909,0))))</x:f>
        <x:v>0</x:v>
      </x:c>
      <x:c r="BV909">
        <x:f>MAX(0,MIN(BK909,IF(AND(H909=1,C909="重要关系6",LEFT('幕间与结算'!H816,8)="建立新的重要关系"),'幕间与结算'!E816+E909,BV908+IF(C909="重要关系6",E909,0)+IF(AND(C909="魅力",E909&lt;0),E909,0))))</x:f>
        <x:v>0</x:v>
      </x:c>
      <x:c r="BW909">
        <x:f>MAX(0,MIN(BK909,IF(AND(H909=1,C909="重要关系7",LEFT('幕间与结算'!H816,8)="建立新的重要关系"),'幕间与结算'!E816+E909,BW908+IF(C909="重要关系7",E909,0)+IF(AND(C909="魅力",E909&lt;0),E909,0))))</x:f>
        <x:v>0</x:v>
      </x:c>
    </x:row>
    <x:row r="910">
      <x:c r="A910" t="str">
        <x:f>IFERROR(TEXT(VALUE('幕间与结算'!A817),"00"),"")</x:f>
        <x:v>00</x:v>
      </x:c>
      <x:c r="B910">
        <x:f>'幕间与结算'!B817</x:f>
        <x:v>0</x:v>
      </x:c>
      <x:c r="C910">
        <x:f>'幕间与结算'!D817</x:f>
        <x:v>0</x:v>
      </x:c>
      <x:c r="D910">
        <x:f>'幕间与结算'!F817</x:f>
        <x:v>0</x:v>
      </x:c>
      <x:c r="E910">
        <x:f>IF(H910=1,MAX(-'幕间与结算'!E817,MIN(D910,IF(LEFT(C910,3)="技能：",99,IF(COUNTIF($L$2:$L$7,C910)&gt;0,18,999))-'幕间与结算'!E817)),0)</x:f>
        <x:v>0</x:v>
      </x:c>
      <x:c r="F910" t="str">
        <x:f>IF(C910=0,"",IF(G910=0,"记录不完整",IF(H910=0,"重复未计","已计入")))</x:f>
        <x:v/>
      </x:c>
      <x:c r="G910">
        <x:f>IF(AND(AND('幕间与结算'!A817&lt;&gt;"",'幕间与结算'!B817&lt;&gt;"",'幕间与结算'!I817&lt;&gt;"",OR(LEFT(C910,3)="技能：",COUNTIF($L$2:$L$19,C910)&gt;0),ISNUMBER('幕间与结算'!E817),ISNUMBER('幕间与结算'!F817),ISNUMBER('幕间与结算'!G817),'幕间与结算'!E817&gt;=0,'幕间与结算'!G817='幕间与结算'!E817+'幕间与结算'!F817),OR(B910&lt;&gt;"成长",AND(LEFT(C910,3)="技能：",C910&lt;&gt;"技能：非自然知识",'幕间与结算'!E817&gt;=1,'幕间与结算'!E817&lt;=99,'幕间与结算'!F817&gt;=0,'幕间与结算'!F817&lt;=4,'幕间与结算'!G817&lt;=99))),1,0)</x:f>
        <x:v>0</x:v>
      </x:c>
      <x:c r="H910">
        <x:f>IF(AND(G910=1,COUNTIFS($I$200:I910,I910,$G$200:G910,1)=1),1,0)</x:f>
        <x:v>0</x:v>
      </x:c>
      <x:c r="I910" t="str">
        <x:f>IF(G910=1,IF(B910="成长",A910&amp;"-成长-"&amp;C910,'幕间与结算'!I817),"")</x:f>
        <x:v/>
      </x:c>
      <x:c r="BF910">
        <x:f>MAX(0,MIN(18,BF909+IF(C910="力量",E910,0)))</x:f>
        <x:v>0</x:v>
      </x:c>
      <x:c r="BG910">
        <x:f>MAX(0,MIN(18,BG909+IF(C910="体质",E910,0)))</x:f>
        <x:v>0</x:v>
      </x:c>
      <x:c r="BH910">
        <x:f>MAX(0,MIN(18,BH909+IF(C910="敏捷",E910,0)))</x:f>
        <x:v>0</x:v>
      </x:c>
      <x:c r="BI910">
        <x:f>MAX(0,MIN(18,BI909+IF(C910="智力",E910,0)))</x:f>
        <x:v>0</x:v>
      </x:c>
      <x:c r="BJ910">
        <x:f>MAX(0,MIN(18,BJ909+IF(C910="意志",E910,0)))</x:f>
        <x:v>0</x:v>
      </x:c>
      <x:c r="BK910">
        <x:f>MAX(0,MIN(18,BK909+IF(C910="魅力",E910,0)))</x:f>
        <x:v>0</x:v>
      </x:c>
      <x:c r="BL910">
        <x:f>MAX(0,MIN(99,BL909+IF(C910="技能：非自然知识",E910,0)))</x:f>
        <x:v>0</x:v>
      </x:c>
      <x:c r="BM910">
        <x:f>MAX(0,MIN(CEILING((BF910+BG910)/2,1),BM909+IF(C910="体力",E910,0)))</x:f>
        <x:v>0</x:v>
      </x:c>
      <x:c r="BN910">
        <x:f>MAX(0,MIN(BJ910,BN909+IF(C910="毅力",E910,0)))</x:f>
        <x:v>0</x:v>
      </x:c>
      <x:c r="BO910">
        <x:f>MAX(0,MIN(99-BL910,BO909+IF(C910="理智",E910,0)))</x:f>
        <x:v>0</x:v>
      </x:c>
      <x:c r="BP910">
        <x:f>MAX(0,MIN(99,BP909+IF(C910="崩溃点",E910,0)))</x:f>
        <x:v>0</x:v>
      </x:c>
      <x:c r="BQ910">
        <x:f>MAX(0,MIN(BK910,IF(AND(H910=1,C910="重要关系1",LEFT('幕间与结算'!H817,8)="建立新的重要关系"),'幕间与结算'!E817+E910,BQ909+IF(C910="重要关系1",E910,0)+IF(AND(C910="魅力",E910&lt;0),E910,0))))</x:f>
        <x:v>0</x:v>
      </x:c>
      <x:c r="BR910">
        <x:f>MAX(0,MIN(BK910,IF(AND(H910=1,C910="重要关系2",LEFT('幕间与结算'!H817,8)="建立新的重要关系"),'幕间与结算'!E817+E910,BR909+IF(C910="重要关系2",E910,0)+IF(AND(C910="魅力",E910&lt;0),E910,0))))</x:f>
        <x:v>0</x:v>
      </x:c>
      <x:c r="BS910">
        <x:f>MAX(0,MIN(BK910,IF(AND(H910=1,C910="重要关系3",LEFT('幕间与结算'!H817,8)="建立新的重要关系"),'幕间与结算'!E817+E910,BS909+IF(C910="重要关系3",E910,0)+IF(AND(C910="魅力",E910&lt;0),E910,0))))</x:f>
        <x:v>0</x:v>
      </x:c>
      <x:c r="BT910">
        <x:f>MAX(0,MIN(BK910,IF(AND(H910=1,C910="重要关系4",LEFT('幕间与结算'!H817,8)="建立新的重要关系"),'幕间与结算'!E817+E910,BT909+IF(C910="重要关系4",E910,0)+IF(AND(C910="魅力",E910&lt;0),E910,0))))</x:f>
        <x:v>0</x:v>
      </x:c>
      <x:c r="BU910">
        <x:f>MAX(0,MIN(BK910,IF(AND(H910=1,C910="重要关系5",LEFT('幕间与结算'!H817,8)="建立新的重要关系"),'幕间与结算'!E817+E910,BU909+IF(C910="重要关系5",E910,0)+IF(AND(C910="魅力",E910&lt;0),E910,0))))</x:f>
        <x:v>0</x:v>
      </x:c>
      <x:c r="BV910">
        <x:f>MAX(0,MIN(BK910,IF(AND(H910=1,C910="重要关系6",LEFT('幕间与结算'!H817,8)="建立新的重要关系"),'幕间与结算'!E817+E910,BV909+IF(C910="重要关系6",E910,0)+IF(AND(C910="魅力",E910&lt;0),E910,0))))</x:f>
        <x:v>0</x:v>
      </x:c>
      <x:c r="BW910">
        <x:f>MAX(0,MIN(BK910,IF(AND(H910=1,C910="重要关系7",LEFT('幕间与结算'!H817,8)="建立新的重要关系"),'幕间与结算'!E817+E910,BW909+IF(C910="重要关系7",E910,0)+IF(AND(C910="魅力",E910&lt;0),E910,0))))</x:f>
        <x:v>0</x:v>
      </x:c>
    </x:row>
    <x:row r="911">
      <x:c r="A911" t="str">
        <x:f>IFERROR(TEXT(VALUE('幕间与结算'!A818),"00"),"")</x:f>
        <x:v>00</x:v>
      </x:c>
      <x:c r="B911">
        <x:f>'幕间与结算'!B818</x:f>
        <x:v>0</x:v>
      </x:c>
      <x:c r="C911">
        <x:f>'幕间与结算'!D818</x:f>
        <x:v>0</x:v>
      </x:c>
      <x:c r="D911">
        <x:f>'幕间与结算'!F818</x:f>
        <x:v>0</x:v>
      </x:c>
      <x:c r="E911">
        <x:f>IF(H911=1,MAX(-'幕间与结算'!E818,MIN(D911,IF(LEFT(C911,3)="技能：",99,IF(COUNTIF($L$2:$L$7,C911)&gt;0,18,999))-'幕间与结算'!E818)),0)</x:f>
        <x:v>0</x:v>
      </x:c>
      <x:c r="F911" t="str">
        <x:f>IF(C911=0,"",IF(G911=0,"记录不完整",IF(H911=0,"重复未计","已计入")))</x:f>
        <x:v/>
      </x:c>
      <x:c r="G911">
        <x:f>IF(AND(AND('幕间与结算'!A818&lt;&gt;"",'幕间与结算'!B818&lt;&gt;"",'幕间与结算'!I818&lt;&gt;"",OR(LEFT(C911,3)="技能：",COUNTIF($L$2:$L$19,C911)&gt;0),ISNUMBER('幕间与结算'!E818),ISNUMBER('幕间与结算'!F818),ISNUMBER('幕间与结算'!G818),'幕间与结算'!E818&gt;=0,'幕间与结算'!G818='幕间与结算'!E818+'幕间与结算'!F818),OR(B911&lt;&gt;"成长",AND(LEFT(C911,3)="技能：",C911&lt;&gt;"技能：非自然知识",'幕间与结算'!E818&gt;=1,'幕间与结算'!E818&lt;=99,'幕间与结算'!F818&gt;=0,'幕间与结算'!F818&lt;=4,'幕间与结算'!G818&lt;=99))),1,0)</x:f>
        <x:v>0</x:v>
      </x:c>
      <x:c r="H911">
        <x:f>IF(AND(G911=1,COUNTIFS($I$200:I911,I911,$G$200:G911,1)=1),1,0)</x:f>
        <x:v>0</x:v>
      </x:c>
      <x:c r="I911" t="str">
        <x:f>IF(G911=1,IF(B911="成长",A911&amp;"-成长-"&amp;C911,'幕间与结算'!I818),"")</x:f>
        <x:v/>
      </x:c>
      <x:c r="BF911">
        <x:f>MAX(0,MIN(18,BF910+IF(C911="力量",E911,0)))</x:f>
        <x:v>0</x:v>
      </x:c>
      <x:c r="BG911">
        <x:f>MAX(0,MIN(18,BG910+IF(C911="体质",E911,0)))</x:f>
        <x:v>0</x:v>
      </x:c>
      <x:c r="BH911">
        <x:f>MAX(0,MIN(18,BH910+IF(C911="敏捷",E911,0)))</x:f>
        <x:v>0</x:v>
      </x:c>
      <x:c r="BI911">
        <x:f>MAX(0,MIN(18,BI910+IF(C911="智力",E911,0)))</x:f>
        <x:v>0</x:v>
      </x:c>
      <x:c r="BJ911">
        <x:f>MAX(0,MIN(18,BJ910+IF(C911="意志",E911,0)))</x:f>
        <x:v>0</x:v>
      </x:c>
      <x:c r="BK911">
        <x:f>MAX(0,MIN(18,BK910+IF(C911="魅力",E911,0)))</x:f>
        <x:v>0</x:v>
      </x:c>
      <x:c r="BL911">
        <x:f>MAX(0,MIN(99,BL910+IF(C911="技能：非自然知识",E911,0)))</x:f>
        <x:v>0</x:v>
      </x:c>
      <x:c r="BM911">
        <x:f>MAX(0,MIN(CEILING((BF911+BG911)/2,1),BM910+IF(C911="体力",E911,0)))</x:f>
        <x:v>0</x:v>
      </x:c>
      <x:c r="BN911">
        <x:f>MAX(0,MIN(BJ911,BN910+IF(C911="毅力",E911,0)))</x:f>
        <x:v>0</x:v>
      </x:c>
      <x:c r="BO911">
        <x:f>MAX(0,MIN(99-BL911,BO910+IF(C911="理智",E911,0)))</x:f>
        <x:v>0</x:v>
      </x:c>
      <x:c r="BP911">
        <x:f>MAX(0,MIN(99,BP910+IF(C911="崩溃点",E911,0)))</x:f>
        <x:v>0</x:v>
      </x:c>
      <x:c r="BQ911">
        <x:f>MAX(0,MIN(BK911,IF(AND(H911=1,C911="重要关系1",LEFT('幕间与结算'!H818,8)="建立新的重要关系"),'幕间与结算'!E818+E911,BQ910+IF(C911="重要关系1",E911,0)+IF(AND(C911="魅力",E911&lt;0),E911,0))))</x:f>
        <x:v>0</x:v>
      </x:c>
      <x:c r="BR911">
        <x:f>MAX(0,MIN(BK911,IF(AND(H911=1,C911="重要关系2",LEFT('幕间与结算'!H818,8)="建立新的重要关系"),'幕间与结算'!E818+E911,BR910+IF(C911="重要关系2",E911,0)+IF(AND(C911="魅力",E911&lt;0),E911,0))))</x:f>
        <x:v>0</x:v>
      </x:c>
      <x:c r="BS911">
        <x:f>MAX(0,MIN(BK911,IF(AND(H911=1,C911="重要关系3",LEFT('幕间与结算'!H818,8)="建立新的重要关系"),'幕间与结算'!E818+E911,BS910+IF(C911="重要关系3",E911,0)+IF(AND(C911="魅力",E911&lt;0),E911,0))))</x:f>
        <x:v>0</x:v>
      </x:c>
      <x:c r="BT911">
        <x:f>MAX(0,MIN(BK911,IF(AND(H911=1,C911="重要关系4",LEFT('幕间与结算'!H818,8)="建立新的重要关系"),'幕间与结算'!E818+E911,BT910+IF(C911="重要关系4",E911,0)+IF(AND(C911="魅力",E911&lt;0),E911,0))))</x:f>
        <x:v>0</x:v>
      </x:c>
      <x:c r="BU911">
        <x:f>MAX(0,MIN(BK911,IF(AND(H911=1,C911="重要关系5",LEFT('幕间与结算'!H818,8)="建立新的重要关系"),'幕间与结算'!E818+E911,BU910+IF(C911="重要关系5",E911,0)+IF(AND(C911="魅力",E911&lt;0),E911,0))))</x:f>
        <x:v>0</x:v>
      </x:c>
      <x:c r="BV911">
        <x:f>MAX(0,MIN(BK911,IF(AND(H911=1,C911="重要关系6",LEFT('幕间与结算'!H818,8)="建立新的重要关系"),'幕间与结算'!E818+E911,BV910+IF(C911="重要关系6",E911,0)+IF(AND(C911="魅力",E911&lt;0),E911,0))))</x:f>
        <x:v>0</x:v>
      </x:c>
      <x:c r="BW911">
        <x:f>MAX(0,MIN(BK911,IF(AND(H911=1,C911="重要关系7",LEFT('幕间与结算'!H818,8)="建立新的重要关系"),'幕间与结算'!E818+E911,BW910+IF(C911="重要关系7",E911,0)+IF(AND(C911="魅力",E911&lt;0),E911,0))))</x:f>
        <x:v>0</x:v>
      </x:c>
    </x:row>
    <x:row r="912">
      <x:c r="A912" t="str">
        <x:f>IFERROR(TEXT(VALUE('幕间与结算'!A819),"00"),"")</x:f>
        <x:v>00</x:v>
      </x:c>
      <x:c r="B912">
        <x:f>'幕间与结算'!B819</x:f>
        <x:v>0</x:v>
      </x:c>
      <x:c r="C912">
        <x:f>'幕间与结算'!D819</x:f>
        <x:v>0</x:v>
      </x:c>
      <x:c r="D912">
        <x:f>'幕间与结算'!F819</x:f>
        <x:v>0</x:v>
      </x:c>
      <x:c r="E912">
        <x:f>IF(H912=1,MAX(-'幕间与结算'!E819,MIN(D912,IF(LEFT(C912,3)="技能：",99,IF(COUNTIF($L$2:$L$7,C912)&gt;0,18,999))-'幕间与结算'!E819)),0)</x:f>
        <x:v>0</x:v>
      </x:c>
      <x:c r="F912" t="str">
        <x:f>IF(C912=0,"",IF(G912=0,"记录不完整",IF(H912=0,"重复未计","已计入")))</x:f>
        <x:v/>
      </x:c>
      <x:c r="G912">
        <x:f>IF(AND(AND('幕间与结算'!A819&lt;&gt;"",'幕间与结算'!B819&lt;&gt;"",'幕间与结算'!I819&lt;&gt;"",OR(LEFT(C912,3)="技能：",COUNTIF($L$2:$L$19,C912)&gt;0),ISNUMBER('幕间与结算'!E819),ISNUMBER('幕间与结算'!F819),ISNUMBER('幕间与结算'!G819),'幕间与结算'!E819&gt;=0,'幕间与结算'!G819='幕间与结算'!E819+'幕间与结算'!F819),OR(B912&lt;&gt;"成长",AND(LEFT(C912,3)="技能：",C912&lt;&gt;"技能：非自然知识",'幕间与结算'!E819&gt;=1,'幕间与结算'!E819&lt;=99,'幕间与结算'!F819&gt;=0,'幕间与结算'!F819&lt;=4,'幕间与结算'!G819&lt;=99))),1,0)</x:f>
        <x:v>0</x:v>
      </x:c>
      <x:c r="H912">
        <x:f>IF(AND(G912=1,COUNTIFS($I$200:I912,I912,$G$200:G912,1)=1),1,0)</x:f>
        <x:v>0</x:v>
      </x:c>
      <x:c r="I912" t="str">
        <x:f>IF(G912=1,IF(B912="成长",A912&amp;"-成长-"&amp;C912,'幕间与结算'!I819),"")</x:f>
        <x:v/>
      </x:c>
      <x:c r="BF912">
        <x:f>MAX(0,MIN(18,BF911+IF(C912="力量",E912,0)))</x:f>
        <x:v>0</x:v>
      </x:c>
      <x:c r="BG912">
        <x:f>MAX(0,MIN(18,BG911+IF(C912="体质",E912,0)))</x:f>
        <x:v>0</x:v>
      </x:c>
      <x:c r="BH912">
        <x:f>MAX(0,MIN(18,BH911+IF(C912="敏捷",E912,0)))</x:f>
        <x:v>0</x:v>
      </x:c>
      <x:c r="BI912">
        <x:f>MAX(0,MIN(18,BI911+IF(C912="智力",E912,0)))</x:f>
        <x:v>0</x:v>
      </x:c>
      <x:c r="BJ912">
        <x:f>MAX(0,MIN(18,BJ911+IF(C912="意志",E912,0)))</x:f>
        <x:v>0</x:v>
      </x:c>
      <x:c r="BK912">
        <x:f>MAX(0,MIN(18,BK911+IF(C912="魅力",E912,0)))</x:f>
        <x:v>0</x:v>
      </x:c>
      <x:c r="BL912">
        <x:f>MAX(0,MIN(99,BL911+IF(C912="技能：非自然知识",E912,0)))</x:f>
        <x:v>0</x:v>
      </x:c>
      <x:c r="BM912">
        <x:f>MAX(0,MIN(CEILING((BF912+BG912)/2,1),BM911+IF(C912="体力",E912,0)))</x:f>
        <x:v>0</x:v>
      </x:c>
      <x:c r="BN912">
        <x:f>MAX(0,MIN(BJ912,BN911+IF(C912="毅力",E912,0)))</x:f>
        <x:v>0</x:v>
      </x:c>
      <x:c r="BO912">
        <x:f>MAX(0,MIN(99-BL912,BO911+IF(C912="理智",E912,0)))</x:f>
        <x:v>0</x:v>
      </x:c>
      <x:c r="BP912">
        <x:f>MAX(0,MIN(99,BP911+IF(C912="崩溃点",E912,0)))</x:f>
        <x:v>0</x:v>
      </x:c>
      <x:c r="BQ912">
        <x:f>MAX(0,MIN(BK912,IF(AND(H912=1,C912="重要关系1",LEFT('幕间与结算'!H819,8)="建立新的重要关系"),'幕间与结算'!E819+E912,BQ911+IF(C912="重要关系1",E912,0)+IF(AND(C912="魅力",E912&lt;0),E912,0))))</x:f>
        <x:v>0</x:v>
      </x:c>
      <x:c r="BR912">
        <x:f>MAX(0,MIN(BK912,IF(AND(H912=1,C912="重要关系2",LEFT('幕间与结算'!H819,8)="建立新的重要关系"),'幕间与结算'!E819+E912,BR911+IF(C912="重要关系2",E912,0)+IF(AND(C912="魅力",E912&lt;0),E912,0))))</x:f>
        <x:v>0</x:v>
      </x:c>
      <x:c r="BS912">
        <x:f>MAX(0,MIN(BK912,IF(AND(H912=1,C912="重要关系3",LEFT('幕间与结算'!H819,8)="建立新的重要关系"),'幕间与结算'!E819+E912,BS911+IF(C912="重要关系3",E912,0)+IF(AND(C912="魅力",E912&lt;0),E912,0))))</x:f>
        <x:v>0</x:v>
      </x:c>
      <x:c r="BT912">
        <x:f>MAX(0,MIN(BK912,IF(AND(H912=1,C912="重要关系4",LEFT('幕间与结算'!H819,8)="建立新的重要关系"),'幕间与结算'!E819+E912,BT911+IF(C912="重要关系4",E912,0)+IF(AND(C912="魅力",E912&lt;0),E912,0))))</x:f>
        <x:v>0</x:v>
      </x:c>
      <x:c r="BU912">
        <x:f>MAX(0,MIN(BK912,IF(AND(H912=1,C912="重要关系5",LEFT('幕间与结算'!H819,8)="建立新的重要关系"),'幕间与结算'!E819+E912,BU911+IF(C912="重要关系5",E912,0)+IF(AND(C912="魅力",E912&lt;0),E912,0))))</x:f>
        <x:v>0</x:v>
      </x:c>
      <x:c r="BV912">
        <x:f>MAX(0,MIN(BK912,IF(AND(H912=1,C912="重要关系6",LEFT('幕间与结算'!H819,8)="建立新的重要关系"),'幕间与结算'!E819+E912,BV911+IF(C912="重要关系6",E912,0)+IF(AND(C912="魅力",E912&lt;0),E912,0))))</x:f>
        <x:v>0</x:v>
      </x:c>
      <x:c r="BW912">
        <x:f>MAX(0,MIN(BK912,IF(AND(H912=1,C912="重要关系7",LEFT('幕间与结算'!H819,8)="建立新的重要关系"),'幕间与结算'!E819+E912,BW911+IF(C912="重要关系7",E912,0)+IF(AND(C912="魅力",E912&lt;0),E912,0))))</x:f>
        <x:v>0</x:v>
      </x:c>
    </x:row>
    <x:row r="913">
      <x:c r="A913" t="str">
        <x:f>IFERROR(TEXT(VALUE('幕间与结算'!A820),"00"),"")</x:f>
        <x:v>00</x:v>
      </x:c>
      <x:c r="B913">
        <x:f>'幕间与结算'!B820</x:f>
        <x:v>0</x:v>
      </x:c>
      <x:c r="C913">
        <x:f>'幕间与结算'!D820</x:f>
        <x:v>0</x:v>
      </x:c>
      <x:c r="D913">
        <x:f>'幕间与结算'!F820</x:f>
        <x:v>0</x:v>
      </x:c>
      <x:c r="E913">
        <x:f>IF(H913=1,MAX(-'幕间与结算'!E820,MIN(D913,IF(LEFT(C913,3)="技能：",99,IF(COUNTIF($L$2:$L$7,C913)&gt;0,18,999))-'幕间与结算'!E820)),0)</x:f>
        <x:v>0</x:v>
      </x:c>
      <x:c r="F913" t="str">
        <x:f>IF(C913=0,"",IF(G913=0,"记录不完整",IF(H913=0,"重复未计","已计入")))</x:f>
        <x:v/>
      </x:c>
      <x:c r="G913">
        <x:f>IF(AND(AND('幕间与结算'!A820&lt;&gt;"",'幕间与结算'!B820&lt;&gt;"",'幕间与结算'!I820&lt;&gt;"",OR(LEFT(C913,3)="技能：",COUNTIF($L$2:$L$19,C913)&gt;0),ISNUMBER('幕间与结算'!E820),ISNUMBER('幕间与结算'!F820),ISNUMBER('幕间与结算'!G820),'幕间与结算'!E820&gt;=0,'幕间与结算'!G820='幕间与结算'!E820+'幕间与结算'!F820),OR(B913&lt;&gt;"成长",AND(LEFT(C913,3)="技能：",C913&lt;&gt;"技能：非自然知识",'幕间与结算'!E820&gt;=1,'幕间与结算'!E820&lt;=99,'幕间与结算'!F820&gt;=0,'幕间与结算'!F820&lt;=4,'幕间与结算'!G820&lt;=99))),1,0)</x:f>
        <x:v>0</x:v>
      </x:c>
      <x:c r="H913">
        <x:f>IF(AND(G913=1,COUNTIFS($I$200:I913,I913,$G$200:G913,1)=1),1,0)</x:f>
        <x:v>0</x:v>
      </x:c>
      <x:c r="I913" t="str">
        <x:f>IF(G913=1,IF(B913="成长",A913&amp;"-成长-"&amp;C913,'幕间与结算'!I820),"")</x:f>
        <x:v/>
      </x:c>
      <x:c r="BF913">
        <x:f>MAX(0,MIN(18,BF912+IF(C913="力量",E913,0)))</x:f>
        <x:v>0</x:v>
      </x:c>
      <x:c r="BG913">
        <x:f>MAX(0,MIN(18,BG912+IF(C913="体质",E913,0)))</x:f>
        <x:v>0</x:v>
      </x:c>
      <x:c r="BH913">
        <x:f>MAX(0,MIN(18,BH912+IF(C913="敏捷",E913,0)))</x:f>
        <x:v>0</x:v>
      </x:c>
      <x:c r="BI913">
        <x:f>MAX(0,MIN(18,BI912+IF(C913="智力",E913,0)))</x:f>
        <x:v>0</x:v>
      </x:c>
      <x:c r="BJ913">
        <x:f>MAX(0,MIN(18,BJ912+IF(C913="意志",E913,0)))</x:f>
        <x:v>0</x:v>
      </x:c>
      <x:c r="BK913">
        <x:f>MAX(0,MIN(18,BK912+IF(C913="魅力",E913,0)))</x:f>
        <x:v>0</x:v>
      </x:c>
      <x:c r="BL913">
        <x:f>MAX(0,MIN(99,BL912+IF(C913="技能：非自然知识",E913,0)))</x:f>
        <x:v>0</x:v>
      </x:c>
      <x:c r="BM913">
        <x:f>MAX(0,MIN(CEILING((BF913+BG913)/2,1),BM912+IF(C913="体力",E913,0)))</x:f>
        <x:v>0</x:v>
      </x:c>
      <x:c r="BN913">
        <x:f>MAX(0,MIN(BJ913,BN912+IF(C913="毅力",E913,0)))</x:f>
        <x:v>0</x:v>
      </x:c>
      <x:c r="BO913">
        <x:f>MAX(0,MIN(99-BL913,BO912+IF(C913="理智",E913,0)))</x:f>
        <x:v>0</x:v>
      </x:c>
      <x:c r="BP913">
        <x:f>MAX(0,MIN(99,BP912+IF(C913="崩溃点",E913,0)))</x:f>
        <x:v>0</x:v>
      </x:c>
      <x:c r="BQ913">
        <x:f>MAX(0,MIN(BK913,IF(AND(H913=1,C913="重要关系1",LEFT('幕间与结算'!H820,8)="建立新的重要关系"),'幕间与结算'!E820+E913,BQ912+IF(C913="重要关系1",E913,0)+IF(AND(C913="魅力",E913&lt;0),E913,0))))</x:f>
        <x:v>0</x:v>
      </x:c>
      <x:c r="BR913">
        <x:f>MAX(0,MIN(BK913,IF(AND(H913=1,C913="重要关系2",LEFT('幕间与结算'!H820,8)="建立新的重要关系"),'幕间与结算'!E820+E913,BR912+IF(C913="重要关系2",E913,0)+IF(AND(C913="魅力",E913&lt;0),E913,0))))</x:f>
        <x:v>0</x:v>
      </x:c>
      <x:c r="BS913">
        <x:f>MAX(0,MIN(BK913,IF(AND(H913=1,C913="重要关系3",LEFT('幕间与结算'!H820,8)="建立新的重要关系"),'幕间与结算'!E820+E913,BS912+IF(C913="重要关系3",E913,0)+IF(AND(C913="魅力",E913&lt;0),E913,0))))</x:f>
        <x:v>0</x:v>
      </x:c>
      <x:c r="BT913">
        <x:f>MAX(0,MIN(BK913,IF(AND(H913=1,C913="重要关系4",LEFT('幕间与结算'!H820,8)="建立新的重要关系"),'幕间与结算'!E820+E913,BT912+IF(C913="重要关系4",E913,0)+IF(AND(C913="魅力",E913&lt;0),E913,0))))</x:f>
        <x:v>0</x:v>
      </x:c>
      <x:c r="BU913">
        <x:f>MAX(0,MIN(BK913,IF(AND(H913=1,C913="重要关系5",LEFT('幕间与结算'!H820,8)="建立新的重要关系"),'幕间与结算'!E820+E913,BU912+IF(C913="重要关系5",E913,0)+IF(AND(C913="魅力",E913&lt;0),E913,0))))</x:f>
        <x:v>0</x:v>
      </x:c>
      <x:c r="BV913">
        <x:f>MAX(0,MIN(BK913,IF(AND(H913=1,C913="重要关系6",LEFT('幕间与结算'!H820,8)="建立新的重要关系"),'幕间与结算'!E820+E913,BV912+IF(C913="重要关系6",E913,0)+IF(AND(C913="魅力",E913&lt;0),E913,0))))</x:f>
        <x:v>0</x:v>
      </x:c>
      <x:c r="BW913">
        <x:f>MAX(0,MIN(BK913,IF(AND(H913=1,C913="重要关系7",LEFT('幕间与结算'!H820,8)="建立新的重要关系"),'幕间与结算'!E820+E913,BW912+IF(C913="重要关系7",E913,0)+IF(AND(C913="魅力",E913&lt;0),E913,0))))</x:f>
        <x:v>0</x:v>
      </x:c>
    </x:row>
    <x:row r="914">
      <x:c r="A914" t="str">
        <x:f>IFERROR(TEXT(VALUE('幕间与结算'!A821),"00"),"")</x:f>
        <x:v>00</x:v>
      </x:c>
      <x:c r="B914">
        <x:f>'幕间与结算'!B821</x:f>
        <x:v>0</x:v>
      </x:c>
      <x:c r="C914">
        <x:f>'幕间与结算'!D821</x:f>
        <x:v>0</x:v>
      </x:c>
      <x:c r="D914">
        <x:f>'幕间与结算'!F821</x:f>
        <x:v>0</x:v>
      </x:c>
      <x:c r="E914">
        <x:f>IF(H914=1,MAX(-'幕间与结算'!E821,MIN(D914,IF(LEFT(C914,3)="技能：",99,IF(COUNTIF($L$2:$L$7,C914)&gt;0,18,999))-'幕间与结算'!E821)),0)</x:f>
        <x:v>0</x:v>
      </x:c>
      <x:c r="F914" t="str">
        <x:f>IF(C914=0,"",IF(G914=0,"记录不完整",IF(H914=0,"重复未计","已计入")))</x:f>
        <x:v/>
      </x:c>
      <x:c r="G914">
        <x:f>IF(AND(AND('幕间与结算'!A821&lt;&gt;"",'幕间与结算'!B821&lt;&gt;"",'幕间与结算'!I821&lt;&gt;"",OR(LEFT(C914,3)="技能：",COUNTIF($L$2:$L$19,C914)&gt;0),ISNUMBER('幕间与结算'!E821),ISNUMBER('幕间与结算'!F821),ISNUMBER('幕间与结算'!G821),'幕间与结算'!E821&gt;=0,'幕间与结算'!G821='幕间与结算'!E821+'幕间与结算'!F821),OR(B914&lt;&gt;"成长",AND(LEFT(C914,3)="技能：",C914&lt;&gt;"技能：非自然知识",'幕间与结算'!E821&gt;=1,'幕间与结算'!E821&lt;=99,'幕间与结算'!F821&gt;=0,'幕间与结算'!F821&lt;=4,'幕间与结算'!G821&lt;=99))),1,0)</x:f>
        <x:v>0</x:v>
      </x:c>
      <x:c r="H914">
        <x:f>IF(AND(G914=1,COUNTIFS($I$200:I914,I914,$G$200:G914,1)=1),1,0)</x:f>
        <x:v>0</x:v>
      </x:c>
      <x:c r="I914" t="str">
        <x:f>IF(G914=1,IF(B914="成长",A914&amp;"-成长-"&amp;C914,'幕间与结算'!I821),"")</x:f>
        <x:v/>
      </x:c>
      <x:c r="BF914">
        <x:f>MAX(0,MIN(18,BF913+IF(C914="力量",E914,0)))</x:f>
        <x:v>0</x:v>
      </x:c>
      <x:c r="BG914">
        <x:f>MAX(0,MIN(18,BG913+IF(C914="体质",E914,0)))</x:f>
        <x:v>0</x:v>
      </x:c>
      <x:c r="BH914">
        <x:f>MAX(0,MIN(18,BH913+IF(C914="敏捷",E914,0)))</x:f>
        <x:v>0</x:v>
      </x:c>
      <x:c r="BI914">
        <x:f>MAX(0,MIN(18,BI913+IF(C914="智力",E914,0)))</x:f>
        <x:v>0</x:v>
      </x:c>
      <x:c r="BJ914">
        <x:f>MAX(0,MIN(18,BJ913+IF(C914="意志",E914,0)))</x:f>
        <x:v>0</x:v>
      </x:c>
      <x:c r="BK914">
        <x:f>MAX(0,MIN(18,BK913+IF(C914="魅力",E914,0)))</x:f>
        <x:v>0</x:v>
      </x:c>
      <x:c r="BL914">
        <x:f>MAX(0,MIN(99,BL913+IF(C914="技能：非自然知识",E914,0)))</x:f>
        <x:v>0</x:v>
      </x:c>
      <x:c r="BM914">
        <x:f>MAX(0,MIN(CEILING((BF914+BG914)/2,1),BM913+IF(C914="体力",E914,0)))</x:f>
        <x:v>0</x:v>
      </x:c>
      <x:c r="BN914">
        <x:f>MAX(0,MIN(BJ914,BN913+IF(C914="毅力",E914,0)))</x:f>
        <x:v>0</x:v>
      </x:c>
      <x:c r="BO914">
        <x:f>MAX(0,MIN(99-BL914,BO913+IF(C914="理智",E914,0)))</x:f>
        <x:v>0</x:v>
      </x:c>
      <x:c r="BP914">
        <x:f>MAX(0,MIN(99,BP913+IF(C914="崩溃点",E914,0)))</x:f>
        <x:v>0</x:v>
      </x:c>
      <x:c r="BQ914">
        <x:f>MAX(0,MIN(BK914,IF(AND(H914=1,C914="重要关系1",LEFT('幕间与结算'!H821,8)="建立新的重要关系"),'幕间与结算'!E821+E914,BQ913+IF(C914="重要关系1",E914,0)+IF(AND(C914="魅力",E914&lt;0),E914,0))))</x:f>
        <x:v>0</x:v>
      </x:c>
      <x:c r="BR914">
        <x:f>MAX(0,MIN(BK914,IF(AND(H914=1,C914="重要关系2",LEFT('幕间与结算'!H821,8)="建立新的重要关系"),'幕间与结算'!E821+E914,BR913+IF(C914="重要关系2",E914,0)+IF(AND(C914="魅力",E914&lt;0),E914,0))))</x:f>
        <x:v>0</x:v>
      </x:c>
      <x:c r="BS914">
        <x:f>MAX(0,MIN(BK914,IF(AND(H914=1,C914="重要关系3",LEFT('幕间与结算'!H821,8)="建立新的重要关系"),'幕间与结算'!E821+E914,BS913+IF(C914="重要关系3",E914,0)+IF(AND(C914="魅力",E914&lt;0),E914,0))))</x:f>
        <x:v>0</x:v>
      </x:c>
      <x:c r="BT914">
        <x:f>MAX(0,MIN(BK914,IF(AND(H914=1,C914="重要关系4",LEFT('幕间与结算'!H821,8)="建立新的重要关系"),'幕间与结算'!E821+E914,BT913+IF(C914="重要关系4",E914,0)+IF(AND(C914="魅力",E914&lt;0),E914,0))))</x:f>
        <x:v>0</x:v>
      </x:c>
      <x:c r="BU914">
        <x:f>MAX(0,MIN(BK914,IF(AND(H914=1,C914="重要关系5",LEFT('幕间与结算'!H821,8)="建立新的重要关系"),'幕间与结算'!E821+E914,BU913+IF(C914="重要关系5",E914,0)+IF(AND(C914="魅力",E914&lt;0),E914,0))))</x:f>
        <x:v>0</x:v>
      </x:c>
      <x:c r="BV914">
        <x:f>MAX(0,MIN(BK914,IF(AND(H914=1,C914="重要关系6",LEFT('幕间与结算'!H821,8)="建立新的重要关系"),'幕间与结算'!E821+E914,BV913+IF(C914="重要关系6",E914,0)+IF(AND(C914="魅力",E914&lt;0),E914,0))))</x:f>
        <x:v>0</x:v>
      </x:c>
      <x:c r="BW914">
        <x:f>MAX(0,MIN(BK914,IF(AND(H914=1,C914="重要关系7",LEFT('幕间与结算'!H821,8)="建立新的重要关系"),'幕间与结算'!E821+E914,BW913+IF(C914="重要关系7",E914,0)+IF(AND(C914="魅力",E914&lt;0),E914,0))))</x:f>
        <x:v>0</x:v>
      </x:c>
    </x:row>
    <x:row r="915">
      <x:c r="A915" t="str">
        <x:f>IFERROR(TEXT(VALUE('幕间与结算'!A822),"00"),"")</x:f>
        <x:v>00</x:v>
      </x:c>
      <x:c r="B915">
        <x:f>'幕间与结算'!B822</x:f>
        <x:v>0</x:v>
      </x:c>
      <x:c r="C915">
        <x:f>'幕间与结算'!D822</x:f>
        <x:v>0</x:v>
      </x:c>
      <x:c r="D915">
        <x:f>'幕间与结算'!F822</x:f>
        <x:v>0</x:v>
      </x:c>
      <x:c r="E915">
        <x:f>IF(H915=1,MAX(-'幕间与结算'!E822,MIN(D915,IF(LEFT(C915,3)="技能：",99,IF(COUNTIF($L$2:$L$7,C915)&gt;0,18,999))-'幕间与结算'!E822)),0)</x:f>
        <x:v>0</x:v>
      </x:c>
      <x:c r="F915" t="str">
        <x:f>IF(C915=0,"",IF(G915=0,"记录不完整",IF(H915=0,"重复未计","已计入")))</x:f>
        <x:v/>
      </x:c>
      <x:c r="G915">
        <x:f>IF(AND(AND('幕间与结算'!A822&lt;&gt;"",'幕间与结算'!B822&lt;&gt;"",'幕间与结算'!I822&lt;&gt;"",OR(LEFT(C915,3)="技能：",COUNTIF($L$2:$L$19,C915)&gt;0),ISNUMBER('幕间与结算'!E822),ISNUMBER('幕间与结算'!F822),ISNUMBER('幕间与结算'!G822),'幕间与结算'!E822&gt;=0,'幕间与结算'!G822='幕间与结算'!E822+'幕间与结算'!F822),OR(B915&lt;&gt;"成长",AND(LEFT(C915,3)="技能：",C915&lt;&gt;"技能：非自然知识",'幕间与结算'!E822&gt;=1,'幕间与结算'!E822&lt;=99,'幕间与结算'!F822&gt;=0,'幕间与结算'!F822&lt;=4,'幕间与结算'!G822&lt;=99))),1,0)</x:f>
        <x:v>0</x:v>
      </x:c>
      <x:c r="H915">
        <x:f>IF(AND(G915=1,COUNTIFS($I$200:I915,I915,$G$200:G915,1)=1),1,0)</x:f>
        <x:v>0</x:v>
      </x:c>
      <x:c r="I915" t="str">
        <x:f>IF(G915=1,IF(B915="成长",A915&amp;"-成长-"&amp;C915,'幕间与结算'!I822),"")</x:f>
        <x:v/>
      </x:c>
      <x:c r="BF915">
        <x:f>MAX(0,MIN(18,BF914+IF(C915="力量",E915,0)))</x:f>
        <x:v>0</x:v>
      </x:c>
      <x:c r="BG915">
        <x:f>MAX(0,MIN(18,BG914+IF(C915="体质",E915,0)))</x:f>
        <x:v>0</x:v>
      </x:c>
      <x:c r="BH915">
        <x:f>MAX(0,MIN(18,BH914+IF(C915="敏捷",E915,0)))</x:f>
        <x:v>0</x:v>
      </x:c>
      <x:c r="BI915">
        <x:f>MAX(0,MIN(18,BI914+IF(C915="智力",E915,0)))</x:f>
        <x:v>0</x:v>
      </x:c>
      <x:c r="BJ915">
        <x:f>MAX(0,MIN(18,BJ914+IF(C915="意志",E915,0)))</x:f>
        <x:v>0</x:v>
      </x:c>
      <x:c r="BK915">
        <x:f>MAX(0,MIN(18,BK914+IF(C915="魅力",E915,0)))</x:f>
        <x:v>0</x:v>
      </x:c>
      <x:c r="BL915">
        <x:f>MAX(0,MIN(99,BL914+IF(C915="技能：非自然知识",E915,0)))</x:f>
        <x:v>0</x:v>
      </x:c>
      <x:c r="BM915">
        <x:f>MAX(0,MIN(CEILING((BF915+BG915)/2,1),BM914+IF(C915="体力",E915,0)))</x:f>
        <x:v>0</x:v>
      </x:c>
      <x:c r="BN915">
        <x:f>MAX(0,MIN(BJ915,BN914+IF(C915="毅力",E915,0)))</x:f>
        <x:v>0</x:v>
      </x:c>
      <x:c r="BO915">
        <x:f>MAX(0,MIN(99-BL915,BO914+IF(C915="理智",E915,0)))</x:f>
        <x:v>0</x:v>
      </x:c>
      <x:c r="BP915">
        <x:f>MAX(0,MIN(99,BP914+IF(C915="崩溃点",E915,0)))</x:f>
        <x:v>0</x:v>
      </x:c>
      <x:c r="BQ915">
        <x:f>MAX(0,MIN(BK915,IF(AND(H915=1,C915="重要关系1",LEFT('幕间与结算'!H822,8)="建立新的重要关系"),'幕间与结算'!E822+E915,BQ914+IF(C915="重要关系1",E915,0)+IF(AND(C915="魅力",E915&lt;0),E915,0))))</x:f>
        <x:v>0</x:v>
      </x:c>
      <x:c r="BR915">
        <x:f>MAX(0,MIN(BK915,IF(AND(H915=1,C915="重要关系2",LEFT('幕间与结算'!H822,8)="建立新的重要关系"),'幕间与结算'!E822+E915,BR914+IF(C915="重要关系2",E915,0)+IF(AND(C915="魅力",E915&lt;0),E915,0))))</x:f>
        <x:v>0</x:v>
      </x:c>
      <x:c r="BS915">
        <x:f>MAX(0,MIN(BK915,IF(AND(H915=1,C915="重要关系3",LEFT('幕间与结算'!H822,8)="建立新的重要关系"),'幕间与结算'!E822+E915,BS914+IF(C915="重要关系3",E915,0)+IF(AND(C915="魅力",E915&lt;0),E915,0))))</x:f>
        <x:v>0</x:v>
      </x:c>
      <x:c r="BT915">
        <x:f>MAX(0,MIN(BK915,IF(AND(H915=1,C915="重要关系4",LEFT('幕间与结算'!H822,8)="建立新的重要关系"),'幕间与结算'!E822+E915,BT914+IF(C915="重要关系4",E915,0)+IF(AND(C915="魅力",E915&lt;0),E915,0))))</x:f>
        <x:v>0</x:v>
      </x:c>
      <x:c r="BU915">
        <x:f>MAX(0,MIN(BK915,IF(AND(H915=1,C915="重要关系5",LEFT('幕间与结算'!H822,8)="建立新的重要关系"),'幕间与结算'!E822+E915,BU914+IF(C915="重要关系5",E915,0)+IF(AND(C915="魅力",E915&lt;0),E915,0))))</x:f>
        <x:v>0</x:v>
      </x:c>
      <x:c r="BV915">
        <x:f>MAX(0,MIN(BK915,IF(AND(H915=1,C915="重要关系6",LEFT('幕间与结算'!H822,8)="建立新的重要关系"),'幕间与结算'!E822+E915,BV914+IF(C915="重要关系6",E915,0)+IF(AND(C915="魅力",E915&lt;0),E915,0))))</x:f>
        <x:v>0</x:v>
      </x:c>
      <x:c r="BW915">
        <x:f>MAX(0,MIN(BK915,IF(AND(H915=1,C915="重要关系7",LEFT('幕间与结算'!H822,8)="建立新的重要关系"),'幕间与结算'!E822+E915,BW914+IF(C915="重要关系7",E915,0)+IF(AND(C915="魅力",E915&lt;0),E915,0))))</x:f>
        <x:v>0</x:v>
      </x:c>
    </x:row>
    <x:row r="916">
      <x:c r="A916" t="str">
        <x:f>IFERROR(TEXT(VALUE('幕间与结算'!A823),"00"),"")</x:f>
        <x:v>00</x:v>
      </x:c>
      <x:c r="B916">
        <x:f>'幕间与结算'!B823</x:f>
        <x:v>0</x:v>
      </x:c>
      <x:c r="C916">
        <x:f>'幕间与结算'!D823</x:f>
        <x:v>0</x:v>
      </x:c>
      <x:c r="D916">
        <x:f>'幕间与结算'!F823</x:f>
        <x:v>0</x:v>
      </x:c>
      <x:c r="E916">
        <x:f>IF(H916=1,MAX(-'幕间与结算'!E823,MIN(D916,IF(LEFT(C916,3)="技能：",99,IF(COUNTIF($L$2:$L$7,C916)&gt;0,18,999))-'幕间与结算'!E823)),0)</x:f>
        <x:v>0</x:v>
      </x:c>
      <x:c r="F916" t="str">
        <x:f>IF(C916=0,"",IF(G916=0,"记录不完整",IF(H916=0,"重复未计","已计入")))</x:f>
        <x:v/>
      </x:c>
      <x:c r="G916">
        <x:f>IF(AND(AND('幕间与结算'!A823&lt;&gt;"",'幕间与结算'!B823&lt;&gt;"",'幕间与结算'!I823&lt;&gt;"",OR(LEFT(C916,3)="技能：",COUNTIF($L$2:$L$19,C916)&gt;0),ISNUMBER('幕间与结算'!E823),ISNUMBER('幕间与结算'!F823),ISNUMBER('幕间与结算'!G823),'幕间与结算'!E823&gt;=0,'幕间与结算'!G823='幕间与结算'!E823+'幕间与结算'!F823),OR(B916&lt;&gt;"成长",AND(LEFT(C916,3)="技能：",C916&lt;&gt;"技能：非自然知识",'幕间与结算'!E823&gt;=1,'幕间与结算'!E823&lt;=99,'幕间与结算'!F823&gt;=0,'幕间与结算'!F823&lt;=4,'幕间与结算'!G823&lt;=99))),1,0)</x:f>
        <x:v>0</x:v>
      </x:c>
      <x:c r="H916">
        <x:f>IF(AND(G916=1,COUNTIFS($I$200:I916,I916,$G$200:G916,1)=1),1,0)</x:f>
        <x:v>0</x:v>
      </x:c>
      <x:c r="I916" t="str">
        <x:f>IF(G916=1,IF(B916="成长",A916&amp;"-成长-"&amp;C916,'幕间与结算'!I823),"")</x:f>
        <x:v/>
      </x:c>
      <x:c r="BF916">
        <x:f>MAX(0,MIN(18,BF915+IF(C916="力量",E916,0)))</x:f>
        <x:v>0</x:v>
      </x:c>
      <x:c r="BG916">
        <x:f>MAX(0,MIN(18,BG915+IF(C916="体质",E916,0)))</x:f>
        <x:v>0</x:v>
      </x:c>
      <x:c r="BH916">
        <x:f>MAX(0,MIN(18,BH915+IF(C916="敏捷",E916,0)))</x:f>
        <x:v>0</x:v>
      </x:c>
      <x:c r="BI916">
        <x:f>MAX(0,MIN(18,BI915+IF(C916="智力",E916,0)))</x:f>
        <x:v>0</x:v>
      </x:c>
      <x:c r="BJ916">
        <x:f>MAX(0,MIN(18,BJ915+IF(C916="意志",E916,0)))</x:f>
        <x:v>0</x:v>
      </x:c>
      <x:c r="BK916">
        <x:f>MAX(0,MIN(18,BK915+IF(C916="魅力",E916,0)))</x:f>
        <x:v>0</x:v>
      </x:c>
      <x:c r="BL916">
        <x:f>MAX(0,MIN(99,BL915+IF(C916="技能：非自然知识",E916,0)))</x:f>
        <x:v>0</x:v>
      </x:c>
      <x:c r="BM916">
        <x:f>MAX(0,MIN(CEILING((BF916+BG916)/2,1),BM915+IF(C916="体力",E916,0)))</x:f>
        <x:v>0</x:v>
      </x:c>
      <x:c r="BN916">
        <x:f>MAX(0,MIN(BJ916,BN915+IF(C916="毅力",E916,0)))</x:f>
        <x:v>0</x:v>
      </x:c>
      <x:c r="BO916">
        <x:f>MAX(0,MIN(99-BL916,BO915+IF(C916="理智",E916,0)))</x:f>
        <x:v>0</x:v>
      </x:c>
      <x:c r="BP916">
        <x:f>MAX(0,MIN(99,BP915+IF(C916="崩溃点",E916,0)))</x:f>
        <x:v>0</x:v>
      </x:c>
      <x:c r="BQ916">
        <x:f>MAX(0,MIN(BK916,IF(AND(H916=1,C916="重要关系1",LEFT('幕间与结算'!H823,8)="建立新的重要关系"),'幕间与结算'!E823+E916,BQ915+IF(C916="重要关系1",E916,0)+IF(AND(C916="魅力",E916&lt;0),E916,0))))</x:f>
        <x:v>0</x:v>
      </x:c>
      <x:c r="BR916">
        <x:f>MAX(0,MIN(BK916,IF(AND(H916=1,C916="重要关系2",LEFT('幕间与结算'!H823,8)="建立新的重要关系"),'幕间与结算'!E823+E916,BR915+IF(C916="重要关系2",E916,0)+IF(AND(C916="魅力",E916&lt;0),E916,0))))</x:f>
        <x:v>0</x:v>
      </x:c>
      <x:c r="BS916">
        <x:f>MAX(0,MIN(BK916,IF(AND(H916=1,C916="重要关系3",LEFT('幕间与结算'!H823,8)="建立新的重要关系"),'幕间与结算'!E823+E916,BS915+IF(C916="重要关系3",E916,0)+IF(AND(C916="魅力",E916&lt;0),E916,0))))</x:f>
        <x:v>0</x:v>
      </x:c>
      <x:c r="BT916">
        <x:f>MAX(0,MIN(BK916,IF(AND(H916=1,C916="重要关系4",LEFT('幕间与结算'!H823,8)="建立新的重要关系"),'幕间与结算'!E823+E916,BT915+IF(C916="重要关系4",E916,0)+IF(AND(C916="魅力",E916&lt;0),E916,0))))</x:f>
        <x:v>0</x:v>
      </x:c>
      <x:c r="BU916">
        <x:f>MAX(0,MIN(BK916,IF(AND(H916=1,C916="重要关系5",LEFT('幕间与结算'!H823,8)="建立新的重要关系"),'幕间与结算'!E823+E916,BU915+IF(C916="重要关系5",E916,0)+IF(AND(C916="魅力",E916&lt;0),E916,0))))</x:f>
        <x:v>0</x:v>
      </x:c>
      <x:c r="BV916">
        <x:f>MAX(0,MIN(BK916,IF(AND(H916=1,C916="重要关系6",LEFT('幕间与结算'!H823,8)="建立新的重要关系"),'幕间与结算'!E823+E916,BV915+IF(C916="重要关系6",E916,0)+IF(AND(C916="魅力",E916&lt;0),E916,0))))</x:f>
        <x:v>0</x:v>
      </x:c>
      <x:c r="BW916">
        <x:f>MAX(0,MIN(BK916,IF(AND(H916=1,C916="重要关系7",LEFT('幕间与结算'!H823,8)="建立新的重要关系"),'幕间与结算'!E823+E916,BW915+IF(C916="重要关系7",E916,0)+IF(AND(C916="魅力",E916&lt;0),E916,0))))</x:f>
        <x:v>0</x:v>
      </x:c>
    </x:row>
    <x:row r="917">
      <x:c r="A917" t="str">
        <x:f>IFERROR(TEXT(VALUE('幕间与结算'!A824),"00"),"")</x:f>
        <x:v>00</x:v>
      </x:c>
      <x:c r="B917">
        <x:f>'幕间与结算'!B824</x:f>
        <x:v>0</x:v>
      </x:c>
      <x:c r="C917">
        <x:f>'幕间与结算'!D824</x:f>
        <x:v>0</x:v>
      </x:c>
      <x:c r="D917">
        <x:f>'幕间与结算'!F824</x:f>
        <x:v>0</x:v>
      </x:c>
      <x:c r="E917">
        <x:f>IF(H917=1,MAX(-'幕间与结算'!E824,MIN(D917,IF(LEFT(C917,3)="技能：",99,IF(COUNTIF($L$2:$L$7,C917)&gt;0,18,999))-'幕间与结算'!E824)),0)</x:f>
        <x:v>0</x:v>
      </x:c>
      <x:c r="F917" t="str">
        <x:f>IF(C917=0,"",IF(G917=0,"记录不完整",IF(H917=0,"重复未计","已计入")))</x:f>
        <x:v/>
      </x:c>
      <x:c r="G917">
        <x:f>IF(AND(AND('幕间与结算'!A824&lt;&gt;"",'幕间与结算'!B824&lt;&gt;"",'幕间与结算'!I824&lt;&gt;"",OR(LEFT(C917,3)="技能：",COUNTIF($L$2:$L$19,C917)&gt;0),ISNUMBER('幕间与结算'!E824),ISNUMBER('幕间与结算'!F824),ISNUMBER('幕间与结算'!G824),'幕间与结算'!E824&gt;=0,'幕间与结算'!G824='幕间与结算'!E824+'幕间与结算'!F824),OR(B917&lt;&gt;"成长",AND(LEFT(C917,3)="技能：",C917&lt;&gt;"技能：非自然知识",'幕间与结算'!E824&gt;=1,'幕间与结算'!E824&lt;=99,'幕间与结算'!F824&gt;=0,'幕间与结算'!F824&lt;=4,'幕间与结算'!G824&lt;=99))),1,0)</x:f>
        <x:v>0</x:v>
      </x:c>
      <x:c r="H917">
        <x:f>IF(AND(G917=1,COUNTIFS($I$200:I917,I917,$G$200:G917,1)=1),1,0)</x:f>
        <x:v>0</x:v>
      </x:c>
      <x:c r="I917" t="str">
        <x:f>IF(G917=1,IF(B917="成长",A917&amp;"-成长-"&amp;C917,'幕间与结算'!I824),"")</x:f>
        <x:v/>
      </x:c>
      <x:c r="BF917">
        <x:f>MAX(0,MIN(18,BF916+IF(C917="力量",E917,0)))</x:f>
        <x:v>0</x:v>
      </x:c>
      <x:c r="BG917">
        <x:f>MAX(0,MIN(18,BG916+IF(C917="体质",E917,0)))</x:f>
        <x:v>0</x:v>
      </x:c>
      <x:c r="BH917">
        <x:f>MAX(0,MIN(18,BH916+IF(C917="敏捷",E917,0)))</x:f>
        <x:v>0</x:v>
      </x:c>
      <x:c r="BI917">
        <x:f>MAX(0,MIN(18,BI916+IF(C917="智力",E917,0)))</x:f>
        <x:v>0</x:v>
      </x:c>
      <x:c r="BJ917">
        <x:f>MAX(0,MIN(18,BJ916+IF(C917="意志",E917,0)))</x:f>
        <x:v>0</x:v>
      </x:c>
      <x:c r="BK917">
        <x:f>MAX(0,MIN(18,BK916+IF(C917="魅力",E917,0)))</x:f>
        <x:v>0</x:v>
      </x:c>
      <x:c r="BL917">
        <x:f>MAX(0,MIN(99,BL916+IF(C917="技能：非自然知识",E917,0)))</x:f>
        <x:v>0</x:v>
      </x:c>
      <x:c r="BM917">
        <x:f>MAX(0,MIN(CEILING((BF917+BG917)/2,1),BM916+IF(C917="体力",E917,0)))</x:f>
        <x:v>0</x:v>
      </x:c>
      <x:c r="BN917">
        <x:f>MAX(0,MIN(BJ917,BN916+IF(C917="毅力",E917,0)))</x:f>
        <x:v>0</x:v>
      </x:c>
      <x:c r="BO917">
        <x:f>MAX(0,MIN(99-BL917,BO916+IF(C917="理智",E917,0)))</x:f>
        <x:v>0</x:v>
      </x:c>
      <x:c r="BP917">
        <x:f>MAX(0,MIN(99,BP916+IF(C917="崩溃点",E917,0)))</x:f>
        <x:v>0</x:v>
      </x:c>
      <x:c r="BQ917">
        <x:f>MAX(0,MIN(BK917,IF(AND(H917=1,C917="重要关系1",LEFT('幕间与结算'!H824,8)="建立新的重要关系"),'幕间与结算'!E824+E917,BQ916+IF(C917="重要关系1",E917,0)+IF(AND(C917="魅力",E917&lt;0),E917,0))))</x:f>
        <x:v>0</x:v>
      </x:c>
      <x:c r="BR917">
        <x:f>MAX(0,MIN(BK917,IF(AND(H917=1,C917="重要关系2",LEFT('幕间与结算'!H824,8)="建立新的重要关系"),'幕间与结算'!E824+E917,BR916+IF(C917="重要关系2",E917,0)+IF(AND(C917="魅力",E917&lt;0),E917,0))))</x:f>
        <x:v>0</x:v>
      </x:c>
      <x:c r="BS917">
        <x:f>MAX(0,MIN(BK917,IF(AND(H917=1,C917="重要关系3",LEFT('幕间与结算'!H824,8)="建立新的重要关系"),'幕间与结算'!E824+E917,BS916+IF(C917="重要关系3",E917,0)+IF(AND(C917="魅力",E917&lt;0),E917,0))))</x:f>
        <x:v>0</x:v>
      </x:c>
      <x:c r="BT917">
        <x:f>MAX(0,MIN(BK917,IF(AND(H917=1,C917="重要关系4",LEFT('幕间与结算'!H824,8)="建立新的重要关系"),'幕间与结算'!E824+E917,BT916+IF(C917="重要关系4",E917,0)+IF(AND(C917="魅力",E917&lt;0),E917,0))))</x:f>
        <x:v>0</x:v>
      </x:c>
      <x:c r="BU917">
        <x:f>MAX(0,MIN(BK917,IF(AND(H917=1,C917="重要关系5",LEFT('幕间与结算'!H824,8)="建立新的重要关系"),'幕间与结算'!E824+E917,BU916+IF(C917="重要关系5",E917,0)+IF(AND(C917="魅力",E917&lt;0),E917,0))))</x:f>
        <x:v>0</x:v>
      </x:c>
      <x:c r="BV917">
        <x:f>MAX(0,MIN(BK917,IF(AND(H917=1,C917="重要关系6",LEFT('幕间与结算'!H824,8)="建立新的重要关系"),'幕间与结算'!E824+E917,BV916+IF(C917="重要关系6",E917,0)+IF(AND(C917="魅力",E917&lt;0),E917,0))))</x:f>
        <x:v>0</x:v>
      </x:c>
      <x:c r="BW917">
        <x:f>MAX(0,MIN(BK917,IF(AND(H917=1,C917="重要关系7",LEFT('幕间与结算'!H824,8)="建立新的重要关系"),'幕间与结算'!E824+E917,BW916+IF(C917="重要关系7",E917,0)+IF(AND(C917="魅力",E917&lt;0),E917,0))))</x:f>
        <x:v>0</x:v>
      </x:c>
    </x:row>
    <x:row r="918">
      <x:c r="A918" t="str">
        <x:f>IFERROR(TEXT(VALUE('幕间与结算'!A825),"00"),"")</x:f>
        <x:v>00</x:v>
      </x:c>
      <x:c r="B918">
        <x:f>'幕间与结算'!B825</x:f>
        <x:v>0</x:v>
      </x:c>
      <x:c r="C918">
        <x:f>'幕间与结算'!D825</x:f>
        <x:v>0</x:v>
      </x:c>
      <x:c r="D918">
        <x:f>'幕间与结算'!F825</x:f>
        <x:v>0</x:v>
      </x:c>
      <x:c r="E918">
        <x:f>IF(H918=1,MAX(-'幕间与结算'!E825,MIN(D918,IF(LEFT(C918,3)="技能：",99,IF(COUNTIF($L$2:$L$7,C918)&gt;0,18,999))-'幕间与结算'!E825)),0)</x:f>
        <x:v>0</x:v>
      </x:c>
      <x:c r="F918" t="str">
        <x:f>IF(C918=0,"",IF(G918=0,"记录不完整",IF(H918=0,"重复未计","已计入")))</x:f>
        <x:v/>
      </x:c>
      <x:c r="G918">
        <x:f>IF(AND(AND('幕间与结算'!A825&lt;&gt;"",'幕间与结算'!B825&lt;&gt;"",'幕间与结算'!I825&lt;&gt;"",OR(LEFT(C918,3)="技能：",COUNTIF($L$2:$L$19,C918)&gt;0),ISNUMBER('幕间与结算'!E825),ISNUMBER('幕间与结算'!F825),ISNUMBER('幕间与结算'!G825),'幕间与结算'!E825&gt;=0,'幕间与结算'!G825='幕间与结算'!E825+'幕间与结算'!F825),OR(B918&lt;&gt;"成长",AND(LEFT(C918,3)="技能：",C918&lt;&gt;"技能：非自然知识",'幕间与结算'!E825&gt;=1,'幕间与结算'!E825&lt;=99,'幕间与结算'!F825&gt;=0,'幕间与结算'!F825&lt;=4,'幕间与结算'!G825&lt;=99))),1,0)</x:f>
        <x:v>0</x:v>
      </x:c>
      <x:c r="H918">
        <x:f>IF(AND(G918=1,COUNTIFS($I$200:I918,I918,$G$200:G918,1)=1),1,0)</x:f>
        <x:v>0</x:v>
      </x:c>
      <x:c r="I918" t="str">
        <x:f>IF(G918=1,IF(B918="成长",A918&amp;"-成长-"&amp;C918,'幕间与结算'!I825),"")</x:f>
        <x:v/>
      </x:c>
      <x:c r="BF918">
        <x:f>MAX(0,MIN(18,BF917+IF(C918="力量",E918,0)))</x:f>
        <x:v>0</x:v>
      </x:c>
      <x:c r="BG918">
        <x:f>MAX(0,MIN(18,BG917+IF(C918="体质",E918,0)))</x:f>
        <x:v>0</x:v>
      </x:c>
      <x:c r="BH918">
        <x:f>MAX(0,MIN(18,BH917+IF(C918="敏捷",E918,0)))</x:f>
        <x:v>0</x:v>
      </x:c>
      <x:c r="BI918">
        <x:f>MAX(0,MIN(18,BI917+IF(C918="智力",E918,0)))</x:f>
        <x:v>0</x:v>
      </x:c>
      <x:c r="BJ918">
        <x:f>MAX(0,MIN(18,BJ917+IF(C918="意志",E918,0)))</x:f>
        <x:v>0</x:v>
      </x:c>
      <x:c r="BK918">
        <x:f>MAX(0,MIN(18,BK917+IF(C918="魅力",E918,0)))</x:f>
        <x:v>0</x:v>
      </x:c>
      <x:c r="BL918">
        <x:f>MAX(0,MIN(99,BL917+IF(C918="技能：非自然知识",E918,0)))</x:f>
        <x:v>0</x:v>
      </x:c>
      <x:c r="BM918">
        <x:f>MAX(0,MIN(CEILING((BF918+BG918)/2,1),BM917+IF(C918="体力",E918,0)))</x:f>
        <x:v>0</x:v>
      </x:c>
      <x:c r="BN918">
        <x:f>MAX(0,MIN(BJ918,BN917+IF(C918="毅力",E918,0)))</x:f>
        <x:v>0</x:v>
      </x:c>
      <x:c r="BO918">
        <x:f>MAX(0,MIN(99-BL918,BO917+IF(C918="理智",E918,0)))</x:f>
        <x:v>0</x:v>
      </x:c>
      <x:c r="BP918">
        <x:f>MAX(0,MIN(99,BP917+IF(C918="崩溃点",E918,0)))</x:f>
        <x:v>0</x:v>
      </x:c>
      <x:c r="BQ918">
        <x:f>MAX(0,MIN(BK918,IF(AND(H918=1,C918="重要关系1",LEFT('幕间与结算'!H825,8)="建立新的重要关系"),'幕间与结算'!E825+E918,BQ917+IF(C918="重要关系1",E918,0)+IF(AND(C918="魅力",E918&lt;0),E918,0))))</x:f>
        <x:v>0</x:v>
      </x:c>
      <x:c r="BR918">
        <x:f>MAX(0,MIN(BK918,IF(AND(H918=1,C918="重要关系2",LEFT('幕间与结算'!H825,8)="建立新的重要关系"),'幕间与结算'!E825+E918,BR917+IF(C918="重要关系2",E918,0)+IF(AND(C918="魅力",E918&lt;0),E918,0))))</x:f>
        <x:v>0</x:v>
      </x:c>
      <x:c r="BS918">
        <x:f>MAX(0,MIN(BK918,IF(AND(H918=1,C918="重要关系3",LEFT('幕间与结算'!H825,8)="建立新的重要关系"),'幕间与结算'!E825+E918,BS917+IF(C918="重要关系3",E918,0)+IF(AND(C918="魅力",E918&lt;0),E918,0))))</x:f>
        <x:v>0</x:v>
      </x:c>
      <x:c r="BT918">
        <x:f>MAX(0,MIN(BK918,IF(AND(H918=1,C918="重要关系4",LEFT('幕间与结算'!H825,8)="建立新的重要关系"),'幕间与结算'!E825+E918,BT917+IF(C918="重要关系4",E918,0)+IF(AND(C918="魅力",E918&lt;0),E918,0))))</x:f>
        <x:v>0</x:v>
      </x:c>
      <x:c r="BU918">
        <x:f>MAX(0,MIN(BK918,IF(AND(H918=1,C918="重要关系5",LEFT('幕间与结算'!H825,8)="建立新的重要关系"),'幕间与结算'!E825+E918,BU917+IF(C918="重要关系5",E918,0)+IF(AND(C918="魅力",E918&lt;0),E918,0))))</x:f>
        <x:v>0</x:v>
      </x:c>
      <x:c r="BV918">
        <x:f>MAX(0,MIN(BK918,IF(AND(H918=1,C918="重要关系6",LEFT('幕间与结算'!H825,8)="建立新的重要关系"),'幕间与结算'!E825+E918,BV917+IF(C918="重要关系6",E918,0)+IF(AND(C918="魅力",E918&lt;0),E918,0))))</x:f>
        <x:v>0</x:v>
      </x:c>
      <x:c r="BW918">
        <x:f>MAX(0,MIN(BK918,IF(AND(H918=1,C918="重要关系7",LEFT('幕间与结算'!H825,8)="建立新的重要关系"),'幕间与结算'!E825+E918,BW917+IF(C918="重要关系7",E918,0)+IF(AND(C918="魅力",E918&lt;0),E918,0))))</x:f>
        <x:v>0</x:v>
      </x:c>
    </x:row>
    <x:row r="919">
      <x:c r="A919" t="str">
        <x:f>IFERROR(TEXT(VALUE('幕间与结算'!A826),"00"),"")</x:f>
        <x:v>00</x:v>
      </x:c>
      <x:c r="B919">
        <x:f>'幕间与结算'!B826</x:f>
        <x:v>0</x:v>
      </x:c>
      <x:c r="C919">
        <x:f>'幕间与结算'!D826</x:f>
        <x:v>0</x:v>
      </x:c>
      <x:c r="D919">
        <x:f>'幕间与结算'!F826</x:f>
        <x:v>0</x:v>
      </x:c>
      <x:c r="E919">
        <x:f>IF(H919=1,MAX(-'幕间与结算'!E826,MIN(D919,IF(LEFT(C919,3)="技能：",99,IF(COUNTIF($L$2:$L$7,C919)&gt;0,18,999))-'幕间与结算'!E826)),0)</x:f>
        <x:v>0</x:v>
      </x:c>
      <x:c r="F919" t="str">
        <x:f>IF(C919=0,"",IF(G919=0,"记录不完整",IF(H919=0,"重复未计","已计入")))</x:f>
        <x:v/>
      </x:c>
      <x:c r="G919">
        <x:f>IF(AND(AND('幕间与结算'!A826&lt;&gt;"",'幕间与结算'!B826&lt;&gt;"",'幕间与结算'!I826&lt;&gt;"",OR(LEFT(C919,3)="技能：",COUNTIF($L$2:$L$19,C919)&gt;0),ISNUMBER('幕间与结算'!E826),ISNUMBER('幕间与结算'!F826),ISNUMBER('幕间与结算'!G826),'幕间与结算'!E826&gt;=0,'幕间与结算'!G826='幕间与结算'!E826+'幕间与结算'!F826),OR(B919&lt;&gt;"成长",AND(LEFT(C919,3)="技能：",C919&lt;&gt;"技能：非自然知识",'幕间与结算'!E826&gt;=1,'幕间与结算'!E826&lt;=99,'幕间与结算'!F826&gt;=0,'幕间与结算'!F826&lt;=4,'幕间与结算'!G826&lt;=99))),1,0)</x:f>
        <x:v>0</x:v>
      </x:c>
      <x:c r="H919">
        <x:f>IF(AND(G919=1,COUNTIFS($I$200:I919,I919,$G$200:G919,1)=1),1,0)</x:f>
        <x:v>0</x:v>
      </x:c>
      <x:c r="I919" t="str">
        <x:f>IF(G919=1,IF(B919="成长",A919&amp;"-成长-"&amp;C919,'幕间与结算'!I826),"")</x:f>
        <x:v/>
      </x:c>
      <x:c r="BF919">
        <x:f>MAX(0,MIN(18,BF918+IF(C919="力量",E919,0)))</x:f>
        <x:v>0</x:v>
      </x:c>
      <x:c r="BG919">
        <x:f>MAX(0,MIN(18,BG918+IF(C919="体质",E919,0)))</x:f>
        <x:v>0</x:v>
      </x:c>
      <x:c r="BH919">
        <x:f>MAX(0,MIN(18,BH918+IF(C919="敏捷",E919,0)))</x:f>
        <x:v>0</x:v>
      </x:c>
      <x:c r="BI919">
        <x:f>MAX(0,MIN(18,BI918+IF(C919="智力",E919,0)))</x:f>
        <x:v>0</x:v>
      </x:c>
      <x:c r="BJ919">
        <x:f>MAX(0,MIN(18,BJ918+IF(C919="意志",E919,0)))</x:f>
        <x:v>0</x:v>
      </x:c>
      <x:c r="BK919">
        <x:f>MAX(0,MIN(18,BK918+IF(C919="魅力",E919,0)))</x:f>
        <x:v>0</x:v>
      </x:c>
      <x:c r="BL919">
        <x:f>MAX(0,MIN(99,BL918+IF(C919="技能：非自然知识",E919,0)))</x:f>
        <x:v>0</x:v>
      </x:c>
      <x:c r="BM919">
        <x:f>MAX(0,MIN(CEILING((BF919+BG919)/2,1),BM918+IF(C919="体力",E919,0)))</x:f>
        <x:v>0</x:v>
      </x:c>
      <x:c r="BN919">
        <x:f>MAX(0,MIN(BJ919,BN918+IF(C919="毅力",E919,0)))</x:f>
        <x:v>0</x:v>
      </x:c>
      <x:c r="BO919">
        <x:f>MAX(0,MIN(99-BL919,BO918+IF(C919="理智",E919,0)))</x:f>
        <x:v>0</x:v>
      </x:c>
      <x:c r="BP919">
        <x:f>MAX(0,MIN(99,BP918+IF(C919="崩溃点",E919,0)))</x:f>
        <x:v>0</x:v>
      </x:c>
      <x:c r="BQ919">
        <x:f>MAX(0,MIN(BK919,IF(AND(H919=1,C919="重要关系1",LEFT('幕间与结算'!H826,8)="建立新的重要关系"),'幕间与结算'!E826+E919,BQ918+IF(C919="重要关系1",E919,0)+IF(AND(C919="魅力",E919&lt;0),E919,0))))</x:f>
        <x:v>0</x:v>
      </x:c>
      <x:c r="BR919">
        <x:f>MAX(0,MIN(BK919,IF(AND(H919=1,C919="重要关系2",LEFT('幕间与结算'!H826,8)="建立新的重要关系"),'幕间与结算'!E826+E919,BR918+IF(C919="重要关系2",E919,0)+IF(AND(C919="魅力",E919&lt;0),E919,0))))</x:f>
        <x:v>0</x:v>
      </x:c>
      <x:c r="BS919">
        <x:f>MAX(0,MIN(BK919,IF(AND(H919=1,C919="重要关系3",LEFT('幕间与结算'!H826,8)="建立新的重要关系"),'幕间与结算'!E826+E919,BS918+IF(C919="重要关系3",E919,0)+IF(AND(C919="魅力",E919&lt;0),E919,0))))</x:f>
        <x:v>0</x:v>
      </x:c>
      <x:c r="BT919">
        <x:f>MAX(0,MIN(BK919,IF(AND(H919=1,C919="重要关系4",LEFT('幕间与结算'!H826,8)="建立新的重要关系"),'幕间与结算'!E826+E919,BT918+IF(C919="重要关系4",E919,0)+IF(AND(C919="魅力",E919&lt;0),E919,0))))</x:f>
        <x:v>0</x:v>
      </x:c>
      <x:c r="BU919">
        <x:f>MAX(0,MIN(BK919,IF(AND(H919=1,C919="重要关系5",LEFT('幕间与结算'!H826,8)="建立新的重要关系"),'幕间与结算'!E826+E919,BU918+IF(C919="重要关系5",E919,0)+IF(AND(C919="魅力",E919&lt;0),E919,0))))</x:f>
        <x:v>0</x:v>
      </x:c>
      <x:c r="BV919">
        <x:f>MAX(0,MIN(BK919,IF(AND(H919=1,C919="重要关系6",LEFT('幕间与结算'!H826,8)="建立新的重要关系"),'幕间与结算'!E826+E919,BV918+IF(C919="重要关系6",E919,0)+IF(AND(C919="魅力",E919&lt;0),E919,0))))</x:f>
        <x:v>0</x:v>
      </x:c>
      <x:c r="BW919">
        <x:f>MAX(0,MIN(BK919,IF(AND(H919=1,C919="重要关系7",LEFT('幕间与结算'!H826,8)="建立新的重要关系"),'幕间与结算'!E826+E919,BW918+IF(C919="重要关系7",E919,0)+IF(AND(C919="魅力",E919&lt;0),E919,0))))</x:f>
        <x:v>0</x:v>
      </x:c>
    </x:row>
    <x:row r="920">
      <x:c r="A920" t="str">
        <x:f>IFERROR(TEXT(VALUE('幕间与结算'!A827),"00"),"")</x:f>
        <x:v>00</x:v>
      </x:c>
      <x:c r="B920">
        <x:f>'幕间与结算'!B827</x:f>
        <x:v>0</x:v>
      </x:c>
      <x:c r="C920">
        <x:f>'幕间与结算'!D827</x:f>
        <x:v>0</x:v>
      </x:c>
      <x:c r="D920">
        <x:f>'幕间与结算'!F827</x:f>
        <x:v>0</x:v>
      </x:c>
      <x:c r="E920">
        <x:f>IF(H920=1,MAX(-'幕间与结算'!E827,MIN(D920,IF(LEFT(C920,3)="技能：",99,IF(COUNTIF($L$2:$L$7,C920)&gt;0,18,999))-'幕间与结算'!E827)),0)</x:f>
        <x:v>0</x:v>
      </x:c>
      <x:c r="F920" t="str">
        <x:f>IF(C920=0,"",IF(G920=0,"记录不完整",IF(H920=0,"重复未计","已计入")))</x:f>
        <x:v/>
      </x:c>
      <x:c r="G920">
        <x:f>IF(AND(AND('幕间与结算'!A827&lt;&gt;"",'幕间与结算'!B827&lt;&gt;"",'幕间与结算'!I827&lt;&gt;"",OR(LEFT(C920,3)="技能：",COUNTIF($L$2:$L$19,C920)&gt;0),ISNUMBER('幕间与结算'!E827),ISNUMBER('幕间与结算'!F827),ISNUMBER('幕间与结算'!G827),'幕间与结算'!E827&gt;=0,'幕间与结算'!G827='幕间与结算'!E827+'幕间与结算'!F827),OR(B920&lt;&gt;"成长",AND(LEFT(C920,3)="技能：",C920&lt;&gt;"技能：非自然知识",'幕间与结算'!E827&gt;=1,'幕间与结算'!E827&lt;=99,'幕间与结算'!F827&gt;=0,'幕间与结算'!F827&lt;=4,'幕间与结算'!G827&lt;=99))),1,0)</x:f>
        <x:v>0</x:v>
      </x:c>
      <x:c r="H920">
        <x:f>IF(AND(G920=1,COUNTIFS($I$200:I920,I920,$G$200:G920,1)=1),1,0)</x:f>
        <x:v>0</x:v>
      </x:c>
      <x:c r="I920" t="str">
        <x:f>IF(G920=1,IF(B920="成长",A920&amp;"-成长-"&amp;C920,'幕间与结算'!I827),"")</x:f>
        <x:v/>
      </x:c>
      <x:c r="BF920">
        <x:f>MAX(0,MIN(18,BF919+IF(C920="力量",E920,0)))</x:f>
        <x:v>0</x:v>
      </x:c>
      <x:c r="BG920">
        <x:f>MAX(0,MIN(18,BG919+IF(C920="体质",E920,0)))</x:f>
        <x:v>0</x:v>
      </x:c>
      <x:c r="BH920">
        <x:f>MAX(0,MIN(18,BH919+IF(C920="敏捷",E920,0)))</x:f>
        <x:v>0</x:v>
      </x:c>
      <x:c r="BI920">
        <x:f>MAX(0,MIN(18,BI919+IF(C920="智力",E920,0)))</x:f>
        <x:v>0</x:v>
      </x:c>
      <x:c r="BJ920">
        <x:f>MAX(0,MIN(18,BJ919+IF(C920="意志",E920,0)))</x:f>
        <x:v>0</x:v>
      </x:c>
      <x:c r="BK920">
        <x:f>MAX(0,MIN(18,BK919+IF(C920="魅力",E920,0)))</x:f>
        <x:v>0</x:v>
      </x:c>
      <x:c r="BL920">
        <x:f>MAX(0,MIN(99,BL919+IF(C920="技能：非自然知识",E920,0)))</x:f>
        <x:v>0</x:v>
      </x:c>
      <x:c r="BM920">
        <x:f>MAX(0,MIN(CEILING((BF920+BG920)/2,1),BM919+IF(C920="体力",E920,0)))</x:f>
        <x:v>0</x:v>
      </x:c>
      <x:c r="BN920">
        <x:f>MAX(0,MIN(BJ920,BN919+IF(C920="毅力",E920,0)))</x:f>
        <x:v>0</x:v>
      </x:c>
      <x:c r="BO920">
        <x:f>MAX(0,MIN(99-BL920,BO919+IF(C920="理智",E920,0)))</x:f>
        <x:v>0</x:v>
      </x:c>
      <x:c r="BP920">
        <x:f>MAX(0,MIN(99,BP919+IF(C920="崩溃点",E920,0)))</x:f>
        <x:v>0</x:v>
      </x:c>
      <x:c r="BQ920">
        <x:f>MAX(0,MIN(BK920,IF(AND(H920=1,C920="重要关系1",LEFT('幕间与结算'!H827,8)="建立新的重要关系"),'幕间与结算'!E827+E920,BQ919+IF(C920="重要关系1",E920,0)+IF(AND(C920="魅力",E920&lt;0),E920,0))))</x:f>
        <x:v>0</x:v>
      </x:c>
      <x:c r="BR920">
        <x:f>MAX(0,MIN(BK920,IF(AND(H920=1,C920="重要关系2",LEFT('幕间与结算'!H827,8)="建立新的重要关系"),'幕间与结算'!E827+E920,BR919+IF(C920="重要关系2",E920,0)+IF(AND(C920="魅力",E920&lt;0),E920,0))))</x:f>
        <x:v>0</x:v>
      </x:c>
      <x:c r="BS920">
        <x:f>MAX(0,MIN(BK920,IF(AND(H920=1,C920="重要关系3",LEFT('幕间与结算'!H827,8)="建立新的重要关系"),'幕间与结算'!E827+E920,BS919+IF(C920="重要关系3",E920,0)+IF(AND(C920="魅力",E920&lt;0),E920,0))))</x:f>
        <x:v>0</x:v>
      </x:c>
      <x:c r="BT920">
        <x:f>MAX(0,MIN(BK920,IF(AND(H920=1,C920="重要关系4",LEFT('幕间与结算'!H827,8)="建立新的重要关系"),'幕间与结算'!E827+E920,BT919+IF(C920="重要关系4",E920,0)+IF(AND(C920="魅力",E920&lt;0),E920,0))))</x:f>
        <x:v>0</x:v>
      </x:c>
      <x:c r="BU920">
        <x:f>MAX(0,MIN(BK920,IF(AND(H920=1,C920="重要关系5",LEFT('幕间与结算'!H827,8)="建立新的重要关系"),'幕间与结算'!E827+E920,BU919+IF(C920="重要关系5",E920,0)+IF(AND(C920="魅力",E920&lt;0),E920,0))))</x:f>
        <x:v>0</x:v>
      </x:c>
      <x:c r="BV920">
        <x:f>MAX(0,MIN(BK920,IF(AND(H920=1,C920="重要关系6",LEFT('幕间与结算'!H827,8)="建立新的重要关系"),'幕间与结算'!E827+E920,BV919+IF(C920="重要关系6",E920,0)+IF(AND(C920="魅力",E920&lt;0),E920,0))))</x:f>
        <x:v>0</x:v>
      </x:c>
      <x:c r="BW920">
        <x:f>MAX(0,MIN(BK920,IF(AND(H920=1,C920="重要关系7",LEFT('幕间与结算'!H827,8)="建立新的重要关系"),'幕间与结算'!E827+E920,BW919+IF(C920="重要关系7",E920,0)+IF(AND(C920="魅力",E920&lt;0),E920,0))))</x:f>
        <x:v>0</x:v>
      </x:c>
    </x:row>
    <x:row r="921">
      <x:c r="A921" t="str">
        <x:f>IFERROR(TEXT(VALUE('幕间与结算'!A828),"00"),"")</x:f>
        <x:v>00</x:v>
      </x:c>
      <x:c r="B921">
        <x:f>'幕间与结算'!B828</x:f>
        <x:v>0</x:v>
      </x:c>
      <x:c r="C921">
        <x:f>'幕间与结算'!D828</x:f>
        <x:v>0</x:v>
      </x:c>
      <x:c r="D921">
        <x:f>'幕间与结算'!F828</x:f>
        <x:v>0</x:v>
      </x:c>
      <x:c r="E921">
        <x:f>IF(H921=1,MAX(-'幕间与结算'!E828,MIN(D921,IF(LEFT(C921,3)="技能：",99,IF(COUNTIF($L$2:$L$7,C921)&gt;0,18,999))-'幕间与结算'!E828)),0)</x:f>
        <x:v>0</x:v>
      </x:c>
      <x:c r="F921" t="str">
        <x:f>IF(C921=0,"",IF(G921=0,"记录不完整",IF(H921=0,"重复未计","已计入")))</x:f>
        <x:v/>
      </x:c>
      <x:c r="G921">
        <x:f>IF(AND(AND('幕间与结算'!A828&lt;&gt;"",'幕间与结算'!B828&lt;&gt;"",'幕间与结算'!I828&lt;&gt;"",OR(LEFT(C921,3)="技能：",COUNTIF($L$2:$L$19,C921)&gt;0),ISNUMBER('幕间与结算'!E828),ISNUMBER('幕间与结算'!F828),ISNUMBER('幕间与结算'!G828),'幕间与结算'!E828&gt;=0,'幕间与结算'!G828='幕间与结算'!E828+'幕间与结算'!F828),OR(B921&lt;&gt;"成长",AND(LEFT(C921,3)="技能：",C921&lt;&gt;"技能：非自然知识",'幕间与结算'!E828&gt;=1,'幕间与结算'!E828&lt;=99,'幕间与结算'!F828&gt;=0,'幕间与结算'!F828&lt;=4,'幕间与结算'!G828&lt;=99))),1,0)</x:f>
        <x:v>0</x:v>
      </x:c>
      <x:c r="H921">
        <x:f>IF(AND(G921=1,COUNTIFS($I$200:I921,I921,$G$200:G921,1)=1),1,0)</x:f>
        <x:v>0</x:v>
      </x:c>
      <x:c r="I921" t="str">
        <x:f>IF(G921=1,IF(B921="成长",A921&amp;"-成长-"&amp;C921,'幕间与结算'!I828),"")</x:f>
        <x:v/>
      </x:c>
      <x:c r="BF921">
        <x:f>MAX(0,MIN(18,BF920+IF(C921="力量",E921,0)))</x:f>
        <x:v>0</x:v>
      </x:c>
      <x:c r="BG921">
        <x:f>MAX(0,MIN(18,BG920+IF(C921="体质",E921,0)))</x:f>
        <x:v>0</x:v>
      </x:c>
      <x:c r="BH921">
        <x:f>MAX(0,MIN(18,BH920+IF(C921="敏捷",E921,0)))</x:f>
        <x:v>0</x:v>
      </x:c>
      <x:c r="BI921">
        <x:f>MAX(0,MIN(18,BI920+IF(C921="智力",E921,0)))</x:f>
        <x:v>0</x:v>
      </x:c>
      <x:c r="BJ921">
        <x:f>MAX(0,MIN(18,BJ920+IF(C921="意志",E921,0)))</x:f>
        <x:v>0</x:v>
      </x:c>
      <x:c r="BK921">
        <x:f>MAX(0,MIN(18,BK920+IF(C921="魅力",E921,0)))</x:f>
        <x:v>0</x:v>
      </x:c>
      <x:c r="BL921">
        <x:f>MAX(0,MIN(99,BL920+IF(C921="技能：非自然知识",E921,0)))</x:f>
        <x:v>0</x:v>
      </x:c>
      <x:c r="BM921">
        <x:f>MAX(0,MIN(CEILING((BF921+BG921)/2,1),BM920+IF(C921="体力",E921,0)))</x:f>
        <x:v>0</x:v>
      </x:c>
      <x:c r="BN921">
        <x:f>MAX(0,MIN(BJ921,BN920+IF(C921="毅力",E921,0)))</x:f>
        <x:v>0</x:v>
      </x:c>
      <x:c r="BO921">
        <x:f>MAX(0,MIN(99-BL921,BO920+IF(C921="理智",E921,0)))</x:f>
        <x:v>0</x:v>
      </x:c>
      <x:c r="BP921">
        <x:f>MAX(0,MIN(99,BP920+IF(C921="崩溃点",E921,0)))</x:f>
        <x:v>0</x:v>
      </x:c>
      <x:c r="BQ921">
        <x:f>MAX(0,MIN(BK921,IF(AND(H921=1,C921="重要关系1",LEFT('幕间与结算'!H828,8)="建立新的重要关系"),'幕间与结算'!E828+E921,BQ920+IF(C921="重要关系1",E921,0)+IF(AND(C921="魅力",E921&lt;0),E921,0))))</x:f>
        <x:v>0</x:v>
      </x:c>
      <x:c r="BR921">
        <x:f>MAX(0,MIN(BK921,IF(AND(H921=1,C921="重要关系2",LEFT('幕间与结算'!H828,8)="建立新的重要关系"),'幕间与结算'!E828+E921,BR920+IF(C921="重要关系2",E921,0)+IF(AND(C921="魅力",E921&lt;0),E921,0))))</x:f>
        <x:v>0</x:v>
      </x:c>
      <x:c r="BS921">
        <x:f>MAX(0,MIN(BK921,IF(AND(H921=1,C921="重要关系3",LEFT('幕间与结算'!H828,8)="建立新的重要关系"),'幕间与结算'!E828+E921,BS920+IF(C921="重要关系3",E921,0)+IF(AND(C921="魅力",E921&lt;0),E921,0))))</x:f>
        <x:v>0</x:v>
      </x:c>
      <x:c r="BT921">
        <x:f>MAX(0,MIN(BK921,IF(AND(H921=1,C921="重要关系4",LEFT('幕间与结算'!H828,8)="建立新的重要关系"),'幕间与结算'!E828+E921,BT920+IF(C921="重要关系4",E921,0)+IF(AND(C921="魅力",E921&lt;0),E921,0))))</x:f>
        <x:v>0</x:v>
      </x:c>
      <x:c r="BU921">
        <x:f>MAX(0,MIN(BK921,IF(AND(H921=1,C921="重要关系5",LEFT('幕间与结算'!H828,8)="建立新的重要关系"),'幕间与结算'!E828+E921,BU920+IF(C921="重要关系5",E921,0)+IF(AND(C921="魅力",E921&lt;0),E921,0))))</x:f>
        <x:v>0</x:v>
      </x:c>
      <x:c r="BV921">
        <x:f>MAX(0,MIN(BK921,IF(AND(H921=1,C921="重要关系6",LEFT('幕间与结算'!H828,8)="建立新的重要关系"),'幕间与结算'!E828+E921,BV920+IF(C921="重要关系6",E921,0)+IF(AND(C921="魅力",E921&lt;0),E921,0))))</x:f>
        <x:v>0</x:v>
      </x:c>
      <x:c r="BW921">
        <x:f>MAX(0,MIN(BK921,IF(AND(H921=1,C921="重要关系7",LEFT('幕间与结算'!H828,8)="建立新的重要关系"),'幕间与结算'!E828+E921,BW920+IF(C921="重要关系7",E921,0)+IF(AND(C921="魅力",E921&lt;0),E921,0))))</x:f>
        <x:v>0</x:v>
      </x:c>
    </x:row>
    <x:row r="922">
      <x:c r="A922" t="str">
        <x:f>IFERROR(TEXT(VALUE('幕间与结算'!A829),"00"),"")</x:f>
        <x:v>00</x:v>
      </x:c>
      <x:c r="B922">
        <x:f>'幕间与结算'!B829</x:f>
        <x:v>0</x:v>
      </x:c>
      <x:c r="C922">
        <x:f>'幕间与结算'!D829</x:f>
        <x:v>0</x:v>
      </x:c>
      <x:c r="D922">
        <x:f>'幕间与结算'!F829</x:f>
        <x:v>0</x:v>
      </x:c>
      <x:c r="E922">
        <x:f>IF(H922=1,MAX(-'幕间与结算'!E829,MIN(D922,IF(LEFT(C922,3)="技能：",99,IF(COUNTIF($L$2:$L$7,C922)&gt;0,18,999))-'幕间与结算'!E829)),0)</x:f>
        <x:v>0</x:v>
      </x:c>
      <x:c r="F922" t="str">
        <x:f>IF(C922=0,"",IF(G922=0,"记录不完整",IF(H922=0,"重复未计","已计入")))</x:f>
        <x:v/>
      </x:c>
      <x:c r="G922">
        <x:f>IF(AND(AND('幕间与结算'!A829&lt;&gt;"",'幕间与结算'!B829&lt;&gt;"",'幕间与结算'!I829&lt;&gt;"",OR(LEFT(C922,3)="技能：",COUNTIF($L$2:$L$19,C922)&gt;0),ISNUMBER('幕间与结算'!E829),ISNUMBER('幕间与结算'!F829),ISNUMBER('幕间与结算'!G829),'幕间与结算'!E829&gt;=0,'幕间与结算'!G829='幕间与结算'!E829+'幕间与结算'!F829),OR(B922&lt;&gt;"成长",AND(LEFT(C922,3)="技能：",C922&lt;&gt;"技能：非自然知识",'幕间与结算'!E829&gt;=1,'幕间与结算'!E829&lt;=99,'幕间与结算'!F829&gt;=0,'幕间与结算'!F829&lt;=4,'幕间与结算'!G829&lt;=99))),1,0)</x:f>
        <x:v>0</x:v>
      </x:c>
      <x:c r="H922">
        <x:f>IF(AND(G922=1,COUNTIFS($I$200:I922,I922,$G$200:G922,1)=1),1,0)</x:f>
        <x:v>0</x:v>
      </x:c>
      <x:c r="I922" t="str">
        <x:f>IF(G922=1,IF(B922="成长",A922&amp;"-成长-"&amp;C922,'幕间与结算'!I829),"")</x:f>
        <x:v/>
      </x:c>
      <x:c r="BF922">
        <x:f>MAX(0,MIN(18,BF921+IF(C922="力量",E922,0)))</x:f>
        <x:v>0</x:v>
      </x:c>
      <x:c r="BG922">
        <x:f>MAX(0,MIN(18,BG921+IF(C922="体质",E922,0)))</x:f>
        <x:v>0</x:v>
      </x:c>
      <x:c r="BH922">
        <x:f>MAX(0,MIN(18,BH921+IF(C922="敏捷",E922,0)))</x:f>
        <x:v>0</x:v>
      </x:c>
      <x:c r="BI922">
        <x:f>MAX(0,MIN(18,BI921+IF(C922="智力",E922,0)))</x:f>
        <x:v>0</x:v>
      </x:c>
      <x:c r="BJ922">
        <x:f>MAX(0,MIN(18,BJ921+IF(C922="意志",E922,0)))</x:f>
        <x:v>0</x:v>
      </x:c>
      <x:c r="BK922">
        <x:f>MAX(0,MIN(18,BK921+IF(C922="魅力",E922,0)))</x:f>
        <x:v>0</x:v>
      </x:c>
      <x:c r="BL922">
        <x:f>MAX(0,MIN(99,BL921+IF(C922="技能：非自然知识",E922,0)))</x:f>
        <x:v>0</x:v>
      </x:c>
      <x:c r="BM922">
        <x:f>MAX(0,MIN(CEILING((BF922+BG922)/2,1),BM921+IF(C922="体力",E922,0)))</x:f>
        <x:v>0</x:v>
      </x:c>
      <x:c r="BN922">
        <x:f>MAX(0,MIN(BJ922,BN921+IF(C922="毅力",E922,0)))</x:f>
        <x:v>0</x:v>
      </x:c>
      <x:c r="BO922">
        <x:f>MAX(0,MIN(99-BL922,BO921+IF(C922="理智",E922,0)))</x:f>
        <x:v>0</x:v>
      </x:c>
      <x:c r="BP922">
        <x:f>MAX(0,MIN(99,BP921+IF(C922="崩溃点",E922,0)))</x:f>
        <x:v>0</x:v>
      </x:c>
      <x:c r="BQ922">
        <x:f>MAX(0,MIN(BK922,IF(AND(H922=1,C922="重要关系1",LEFT('幕间与结算'!H829,8)="建立新的重要关系"),'幕间与结算'!E829+E922,BQ921+IF(C922="重要关系1",E922,0)+IF(AND(C922="魅力",E922&lt;0),E922,0))))</x:f>
        <x:v>0</x:v>
      </x:c>
      <x:c r="BR922">
        <x:f>MAX(0,MIN(BK922,IF(AND(H922=1,C922="重要关系2",LEFT('幕间与结算'!H829,8)="建立新的重要关系"),'幕间与结算'!E829+E922,BR921+IF(C922="重要关系2",E922,0)+IF(AND(C922="魅力",E922&lt;0),E922,0))))</x:f>
        <x:v>0</x:v>
      </x:c>
      <x:c r="BS922">
        <x:f>MAX(0,MIN(BK922,IF(AND(H922=1,C922="重要关系3",LEFT('幕间与结算'!H829,8)="建立新的重要关系"),'幕间与结算'!E829+E922,BS921+IF(C922="重要关系3",E922,0)+IF(AND(C922="魅力",E922&lt;0),E922,0))))</x:f>
        <x:v>0</x:v>
      </x:c>
      <x:c r="BT922">
        <x:f>MAX(0,MIN(BK922,IF(AND(H922=1,C922="重要关系4",LEFT('幕间与结算'!H829,8)="建立新的重要关系"),'幕间与结算'!E829+E922,BT921+IF(C922="重要关系4",E922,0)+IF(AND(C922="魅力",E922&lt;0),E922,0))))</x:f>
        <x:v>0</x:v>
      </x:c>
      <x:c r="BU922">
        <x:f>MAX(0,MIN(BK922,IF(AND(H922=1,C922="重要关系5",LEFT('幕间与结算'!H829,8)="建立新的重要关系"),'幕间与结算'!E829+E922,BU921+IF(C922="重要关系5",E922,0)+IF(AND(C922="魅力",E922&lt;0),E922,0))))</x:f>
        <x:v>0</x:v>
      </x:c>
      <x:c r="BV922">
        <x:f>MAX(0,MIN(BK922,IF(AND(H922=1,C922="重要关系6",LEFT('幕间与结算'!H829,8)="建立新的重要关系"),'幕间与结算'!E829+E922,BV921+IF(C922="重要关系6",E922,0)+IF(AND(C922="魅力",E922&lt;0),E922,0))))</x:f>
        <x:v>0</x:v>
      </x:c>
      <x:c r="BW922">
        <x:f>MAX(0,MIN(BK922,IF(AND(H922=1,C922="重要关系7",LEFT('幕间与结算'!H829,8)="建立新的重要关系"),'幕间与结算'!E829+E922,BW921+IF(C922="重要关系7",E922,0)+IF(AND(C922="魅力",E922&lt;0),E922,0))))</x:f>
        <x:v>0</x:v>
      </x:c>
    </x:row>
    <x:row r="923">
      <x:c r="A923" t="str">
        <x:f>IFERROR(TEXT(VALUE('幕间与结算'!A830),"00"),"")</x:f>
        <x:v>00</x:v>
      </x:c>
      <x:c r="B923">
        <x:f>'幕间与结算'!B830</x:f>
        <x:v>0</x:v>
      </x:c>
      <x:c r="C923">
        <x:f>'幕间与结算'!D830</x:f>
        <x:v>0</x:v>
      </x:c>
      <x:c r="D923">
        <x:f>'幕间与结算'!F830</x:f>
        <x:v>0</x:v>
      </x:c>
      <x:c r="E923">
        <x:f>IF(H923=1,MAX(-'幕间与结算'!E830,MIN(D923,IF(LEFT(C923,3)="技能：",99,IF(COUNTIF($L$2:$L$7,C923)&gt;0,18,999))-'幕间与结算'!E830)),0)</x:f>
        <x:v>0</x:v>
      </x:c>
      <x:c r="F923" t="str">
        <x:f>IF(C923=0,"",IF(G923=0,"记录不完整",IF(H923=0,"重复未计","已计入")))</x:f>
        <x:v/>
      </x:c>
      <x:c r="G923">
        <x:f>IF(AND(AND('幕间与结算'!A830&lt;&gt;"",'幕间与结算'!B830&lt;&gt;"",'幕间与结算'!I830&lt;&gt;"",OR(LEFT(C923,3)="技能：",COUNTIF($L$2:$L$19,C923)&gt;0),ISNUMBER('幕间与结算'!E830),ISNUMBER('幕间与结算'!F830),ISNUMBER('幕间与结算'!G830),'幕间与结算'!E830&gt;=0,'幕间与结算'!G830='幕间与结算'!E830+'幕间与结算'!F830),OR(B923&lt;&gt;"成长",AND(LEFT(C923,3)="技能：",C923&lt;&gt;"技能：非自然知识",'幕间与结算'!E830&gt;=1,'幕间与结算'!E830&lt;=99,'幕间与结算'!F830&gt;=0,'幕间与结算'!F830&lt;=4,'幕间与结算'!G830&lt;=99))),1,0)</x:f>
        <x:v>0</x:v>
      </x:c>
      <x:c r="H923">
        <x:f>IF(AND(G923=1,COUNTIFS($I$200:I923,I923,$G$200:G923,1)=1),1,0)</x:f>
        <x:v>0</x:v>
      </x:c>
      <x:c r="I923" t="str">
        <x:f>IF(G923=1,IF(B923="成长",A923&amp;"-成长-"&amp;C923,'幕间与结算'!I830),"")</x:f>
        <x:v/>
      </x:c>
      <x:c r="BF923">
        <x:f>MAX(0,MIN(18,BF922+IF(C923="力量",E923,0)))</x:f>
        <x:v>0</x:v>
      </x:c>
      <x:c r="BG923">
        <x:f>MAX(0,MIN(18,BG922+IF(C923="体质",E923,0)))</x:f>
        <x:v>0</x:v>
      </x:c>
      <x:c r="BH923">
        <x:f>MAX(0,MIN(18,BH922+IF(C923="敏捷",E923,0)))</x:f>
        <x:v>0</x:v>
      </x:c>
      <x:c r="BI923">
        <x:f>MAX(0,MIN(18,BI922+IF(C923="智力",E923,0)))</x:f>
        <x:v>0</x:v>
      </x:c>
      <x:c r="BJ923">
        <x:f>MAX(0,MIN(18,BJ922+IF(C923="意志",E923,0)))</x:f>
        <x:v>0</x:v>
      </x:c>
      <x:c r="BK923">
        <x:f>MAX(0,MIN(18,BK922+IF(C923="魅力",E923,0)))</x:f>
        <x:v>0</x:v>
      </x:c>
      <x:c r="BL923">
        <x:f>MAX(0,MIN(99,BL922+IF(C923="技能：非自然知识",E923,0)))</x:f>
        <x:v>0</x:v>
      </x:c>
      <x:c r="BM923">
        <x:f>MAX(0,MIN(CEILING((BF923+BG923)/2,1),BM922+IF(C923="体力",E923,0)))</x:f>
        <x:v>0</x:v>
      </x:c>
      <x:c r="BN923">
        <x:f>MAX(0,MIN(BJ923,BN922+IF(C923="毅力",E923,0)))</x:f>
        <x:v>0</x:v>
      </x:c>
      <x:c r="BO923">
        <x:f>MAX(0,MIN(99-BL923,BO922+IF(C923="理智",E923,0)))</x:f>
        <x:v>0</x:v>
      </x:c>
      <x:c r="BP923">
        <x:f>MAX(0,MIN(99,BP922+IF(C923="崩溃点",E923,0)))</x:f>
        <x:v>0</x:v>
      </x:c>
      <x:c r="BQ923">
        <x:f>MAX(0,MIN(BK923,IF(AND(H923=1,C923="重要关系1",LEFT('幕间与结算'!H830,8)="建立新的重要关系"),'幕间与结算'!E830+E923,BQ922+IF(C923="重要关系1",E923,0)+IF(AND(C923="魅力",E923&lt;0),E923,0))))</x:f>
        <x:v>0</x:v>
      </x:c>
      <x:c r="BR923">
        <x:f>MAX(0,MIN(BK923,IF(AND(H923=1,C923="重要关系2",LEFT('幕间与结算'!H830,8)="建立新的重要关系"),'幕间与结算'!E830+E923,BR922+IF(C923="重要关系2",E923,0)+IF(AND(C923="魅力",E923&lt;0),E923,0))))</x:f>
        <x:v>0</x:v>
      </x:c>
      <x:c r="BS923">
        <x:f>MAX(0,MIN(BK923,IF(AND(H923=1,C923="重要关系3",LEFT('幕间与结算'!H830,8)="建立新的重要关系"),'幕间与结算'!E830+E923,BS922+IF(C923="重要关系3",E923,0)+IF(AND(C923="魅力",E923&lt;0),E923,0))))</x:f>
        <x:v>0</x:v>
      </x:c>
      <x:c r="BT923">
        <x:f>MAX(0,MIN(BK923,IF(AND(H923=1,C923="重要关系4",LEFT('幕间与结算'!H830,8)="建立新的重要关系"),'幕间与结算'!E830+E923,BT922+IF(C923="重要关系4",E923,0)+IF(AND(C923="魅力",E923&lt;0),E923,0))))</x:f>
        <x:v>0</x:v>
      </x:c>
      <x:c r="BU923">
        <x:f>MAX(0,MIN(BK923,IF(AND(H923=1,C923="重要关系5",LEFT('幕间与结算'!H830,8)="建立新的重要关系"),'幕间与结算'!E830+E923,BU922+IF(C923="重要关系5",E923,0)+IF(AND(C923="魅力",E923&lt;0),E923,0))))</x:f>
        <x:v>0</x:v>
      </x:c>
      <x:c r="BV923">
        <x:f>MAX(0,MIN(BK923,IF(AND(H923=1,C923="重要关系6",LEFT('幕间与结算'!H830,8)="建立新的重要关系"),'幕间与结算'!E830+E923,BV922+IF(C923="重要关系6",E923,0)+IF(AND(C923="魅力",E923&lt;0),E923,0))))</x:f>
        <x:v>0</x:v>
      </x:c>
      <x:c r="BW923">
        <x:f>MAX(0,MIN(BK923,IF(AND(H923=1,C923="重要关系7",LEFT('幕间与结算'!H830,8)="建立新的重要关系"),'幕间与结算'!E830+E923,BW922+IF(C923="重要关系7",E923,0)+IF(AND(C923="魅力",E923&lt;0),E923,0))))</x:f>
        <x:v>0</x:v>
      </x:c>
    </x:row>
    <x:row r="924">
      <x:c r="A924" t="str">
        <x:f>IFERROR(TEXT(VALUE('幕间与结算'!A831),"00"),"")</x:f>
        <x:v>00</x:v>
      </x:c>
      <x:c r="B924">
        <x:f>'幕间与结算'!B831</x:f>
        <x:v>0</x:v>
      </x:c>
      <x:c r="C924">
        <x:f>'幕间与结算'!D831</x:f>
        <x:v>0</x:v>
      </x:c>
      <x:c r="D924">
        <x:f>'幕间与结算'!F831</x:f>
        <x:v>0</x:v>
      </x:c>
      <x:c r="E924">
        <x:f>IF(H924=1,MAX(-'幕间与结算'!E831,MIN(D924,IF(LEFT(C924,3)="技能：",99,IF(COUNTIF($L$2:$L$7,C924)&gt;0,18,999))-'幕间与结算'!E831)),0)</x:f>
        <x:v>0</x:v>
      </x:c>
      <x:c r="F924" t="str">
        <x:f>IF(C924=0,"",IF(G924=0,"记录不完整",IF(H924=0,"重复未计","已计入")))</x:f>
        <x:v/>
      </x:c>
      <x:c r="G924">
        <x:f>IF(AND(AND('幕间与结算'!A831&lt;&gt;"",'幕间与结算'!B831&lt;&gt;"",'幕间与结算'!I831&lt;&gt;"",OR(LEFT(C924,3)="技能：",COUNTIF($L$2:$L$19,C924)&gt;0),ISNUMBER('幕间与结算'!E831),ISNUMBER('幕间与结算'!F831),ISNUMBER('幕间与结算'!G831),'幕间与结算'!E831&gt;=0,'幕间与结算'!G831='幕间与结算'!E831+'幕间与结算'!F831),OR(B924&lt;&gt;"成长",AND(LEFT(C924,3)="技能：",C924&lt;&gt;"技能：非自然知识",'幕间与结算'!E831&gt;=1,'幕间与结算'!E831&lt;=99,'幕间与结算'!F831&gt;=0,'幕间与结算'!F831&lt;=4,'幕间与结算'!G831&lt;=99))),1,0)</x:f>
        <x:v>0</x:v>
      </x:c>
      <x:c r="H924">
        <x:f>IF(AND(G924=1,COUNTIFS($I$200:I924,I924,$G$200:G924,1)=1),1,0)</x:f>
        <x:v>0</x:v>
      </x:c>
      <x:c r="I924" t="str">
        <x:f>IF(G924=1,IF(B924="成长",A924&amp;"-成长-"&amp;C924,'幕间与结算'!I831),"")</x:f>
        <x:v/>
      </x:c>
      <x:c r="BF924">
        <x:f>MAX(0,MIN(18,BF923+IF(C924="力量",E924,0)))</x:f>
        <x:v>0</x:v>
      </x:c>
      <x:c r="BG924">
        <x:f>MAX(0,MIN(18,BG923+IF(C924="体质",E924,0)))</x:f>
        <x:v>0</x:v>
      </x:c>
      <x:c r="BH924">
        <x:f>MAX(0,MIN(18,BH923+IF(C924="敏捷",E924,0)))</x:f>
        <x:v>0</x:v>
      </x:c>
      <x:c r="BI924">
        <x:f>MAX(0,MIN(18,BI923+IF(C924="智力",E924,0)))</x:f>
        <x:v>0</x:v>
      </x:c>
      <x:c r="BJ924">
        <x:f>MAX(0,MIN(18,BJ923+IF(C924="意志",E924,0)))</x:f>
        <x:v>0</x:v>
      </x:c>
      <x:c r="BK924">
        <x:f>MAX(0,MIN(18,BK923+IF(C924="魅力",E924,0)))</x:f>
        <x:v>0</x:v>
      </x:c>
      <x:c r="BL924">
        <x:f>MAX(0,MIN(99,BL923+IF(C924="技能：非自然知识",E924,0)))</x:f>
        <x:v>0</x:v>
      </x:c>
      <x:c r="BM924">
        <x:f>MAX(0,MIN(CEILING((BF924+BG924)/2,1),BM923+IF(C924="体力",E924,0)))</x:f>
        <x:v>0</x:v>
      </x:c>
      <x:c r="BN924">
        <x:f>MAX(0,MIN(BJ924,BN923+IF(C924="毅力",E924,0)))</x:f>
        <x:v>0</x:v>
      </x:c>
      <x:c r="BO924">
        <x:f>MAX(0,MIN(99-BL924,BO923+IF(C924="理智",E924,0)))</x:f>
        <x:v>0</x:v>
      </x:c>
      <x:c r="BP924">
        <x:f>MAX(0,MIN(99,BP923+IF(C924="崩溃点",E924,0)))</x:f>
        <x:v>0</x:v>
      </x:c>
      <x:c r="BQ924">
        <x:f>MAX(0,MIN(BK924,IF(AND(H924=1,C924="重要关系1",LEFT('幕间与结算'!H831,8)="建立新的重要关系"),'幕间与结算'!E831+E924,BQ923+IF(C924="重要关系1",E924,0)+IF(AND(C924="魅力",E924&lt;0),E924,0))))</x:f>
        <x:v>0</x:v>
      </x:c>
      <x:c r="BR924">
        <x:f>MAX(0,MIN(BK924,IF(AND(H924=1,C924="重要关系2",LEFT('幕间与结算'!H831,8)="建立新的重要关系"),'幕间与结算'!E831+E924,BR923+IF(C924="重要关系2",E924,0)+IF(AND(C924="魅力",E924&lt;0),E924,0))))</x:f>
        <x:v>0</x:v>
      </x:c>
      <x:c r="BS924">
        <x:f>MAX(0,MIN(BK924,IF(AND(H924=1,C924="重要关系3",LEFT('幕间与结算'!H831,8)="建立新的重要关系"),'幕间与结算'!E831+E924,BS923+IF(C924="重要关系3",E924,0)+IF(AND(C924="魅力",E924&lt;0),E924,0))))</x:f>
        <x:v>0</x:v>
      </x:c>
      <x:c r="BT924">
        <x:f>MAX(0,MIN(BK924,IF(AND(H924=1,C924="重要关系4",LEFT('幕间与结算'!H831,8)="建立新的重要关系"),'幕间与结算'!E831+E924,BT923+IF(C924="重要关系4",E924,0)+IF(AND(C924="魅力",E924&lt;0),E924,0))))</x:f>
        <x:v>0</x:v>
      </x:c>
      <x:c r="BU924">
        <x:f>MAX(0,MIN(BK924,IF(AND(H924=1,C924="重要关系5",LEFT('幕间与结算'!H831,8)="建立新的重要关系"),'幕间与结算'!E831+E924,BU923+IF(C924="重要关系5",E924,0)+IF(AND(C924="魅力",E924&lt;0),E924,0))))</x:f>
        <x:v>0</x:v>
      </x:c>
      <x:c r="BV924">
        <x:f>MAX(0,MIN(BK924,IF(AND(H924=1,C924="重要关系6",LEFT('幕间与结算'!H831,8)="建立新的重要关系"),'幕间与结算'!E831+E924,BV923+IF(C924="重要关系6",E924,0)+IF(AND(C924="魅力",E924&lt;0),E924,0))))</x:f>
        <x:v>0</x:v>
      </x:c>
      <x:c r="BW924">
        <x:f>MAX(0,MIN(BK924,IF(AND(H924=1,C924="重要关系7",LEFT('幕间与结算'!H831,8)="建立新的重要关系"),'幕间与结算'!E831+E924,BW923+IF(C924="重要关系7",E924,0)+IF(AND(C924="魅力",E924&lt;0),E924,0))))</x:f>
        <x:v>0</x:v>
      </x:c>
    </x:row>
    <x:row r="925">
      <x:c r="A925" t="str">
        <x:f>IFERROR(TEXT(VALUE('幕间与结算'!A832),"00"),"")</x:f>
        <x:v>00</x:v>
      </x:c>
      <x:c r="B925">
        <x:f>'幕间与结算'!B832</x:f>
        <x:v>0</x:v>
      </x:c>
      <x:c r="C925">
        <x:f>'幕间与结算'!D832</x:f>
        <x:v>0</x:v>
      </x:c>
      <x:c r="D925">
        <x:f>'幕间与结算'!F832</x:f>
        <x:v>0</x:v>
      </x:c>
      <x:c r="E925">
        <x:f>IF(H925=1,MAX(-'幕间与结算'!E832,MIN(D925,IF(LEFT(C925,3)="技能：",99,IF(COUNTIF($L$2:$L$7,C925)&gt;0,18,999))-'幕间与结算'!E832)),0)</x:f>
        <x:v>0</x:v>
      </x:c>
      <x:c r="F925" t="str">
        <x:f>IF(C925=0,"",IF(G925=0,"记录不完整",IF(H925=0,"重复未计","已计入")))</x:f>
        <x:v/>
      </x:c>
      <x:c r="G925">
        <x:f>IF(AND(AND('幕间与结算'!A832&lt;&gt;"",'幕间与结算'!B832&lt;&gt;"",'幕间与结算'!I832&lt;&gt;"",OR(LEFT(C925,3)="技能：",COUNTIF($L$2:$L$19,C925)&gt;0),ISNUMBER('幕间与结算'!E832),ISNUMBER('幕间与结算'!F832),ISNUMBER('幕间与结算'!G832),'幕间与结算'!E832&gt;=0,'幕间与结算'!G832='幕间与结算'!E832+'幕间与结算'!F832),OR(B925&lt;&gt;"成长",AND(LEFT(C925,3)="技能：",C925&lt;&gt;"技能：非自然知识",'幕间与结算'!E832&gt;=1,'幕间与结算'!E832&lt;=99,'幕间与结算'!F832&gt;=0,'幕间与结算'!F832&lt;=4,'幕间与结算'!G832&lt;=99))),1,0)</x:f>
        <x:v>0</x:v>
      </x:c>
      <x:c r="H925">
        <x:f>IF(AND(G925=1,COUNTIFS($I$200:I925,I925,$G$200:G925,1)=1),1,0)</x:f>
        <x:v>0</x:v>
      </x:c>
      <x:c r="I925" t="str">
        <x:f>IF(G925=1,IF(B925="成长",A925&amp;"-成长-"&amp;C925,'幕间与结算'!I832),"")</x:f>
        <x:v/>
      </x:c>
      <x:c r="BF925">
        <x:f>MAX(0,MIN(18,BF924+IF(C925="力量",E925,0)))</x:f>
        <x:v>0</x:v>
      </x:c>
      <x:c r="BG925">
        <x:f>MAX(0,MIN(18,BG924+IF(C925="体质",E925,0)))</x:f>
        <x:v>0</x:v>
      </x:c>
      <x:c r="BH925">
        <x:f>MAX(0,MIN(18,BH924+IF(C925="敏捷",E925,0)))</x:f>
        <x:v>0</x:v>
      </x:c>
      <x:c r="BI925">
        <x:f>MAX(0,MIN(18,BI924+IF(C925="智力",E925,0)))</x:f>
        <x:v>0</x:v>
      </x:c>
      <x:c r="BJ925">
        <x:f>MAX(0,MIN(18,BJ924+IF(C925="意志",E925,0)))</x:f>
        <x:v>0</x:v>
      </x:c>
      <x:c r="BK925">
        <x:f>MAX(0,MIN(18,BK924+IF(C925="魅力",E925,0)))</x:f>
        <x:v>0</x:v>
      </x:c>
      <x:c r="BL925">
        <x:f>MAX(0,MIN(99,BL924+IF(C925="技能：非自然知识",E925,0)))</x:f>
        <x:v>0</x:v>
      </x:c>
      <x:c r="BM925">
        <x:f>MAX(0,MIN(CEILING((BF925+BG925)/2,1),BM924+IF(C925="体力",E925,0)))</x:f>
        <x:v>0</x:v>
      </x:c>
      <x:c r="BN925">
        <x:f>MAX(0,MIN(BJ925,BN924+IF(C925="毅力",E925,0)))</x:f>
        <x:v>0</x:v>
      </x:c>
      <x:c r="BO925">
        <x:f>MAX(0,MIN(99-BL925,BO924+IF(C925="理智",E925,0)))</x:f>
        <x:v>0</x:v>
      </x:c>
      <x:c r="BP925">
        <x:f>MAX(0,MIN(99,BP924+IF(C925="崩溃点",E925,0)))</x:f>
        <x:v>0</x:v>
      </x:c>
      <x:c r="BQ925">
        <x:f>MAX(0,MIN(BK925,IF(AND(H925=1,C925="重要关系1",LEFT('幕间与结算'!H832,8)="建立新的重要关系"),'幕间与结算'!E832+E925,BQ924+IF(C925="重要关系1",E925,0)+IF(AND(C925="魅力",E925&lt;0),E925,0))))</x:f>
        <x:v>0</x:v>
      </x:c>
      <x:c r="BR925">
        <x:f>MAX(0,MIN(BK925,IF(AND(H925=1,C925="重要关系2",LEFT('幕间与结算'!H832,8)="建立新的重要关系"),'幕间与结算'!E832+E925,BR924+IF(C925="重要关系2",E925,0)+IF(AND(C925="魅力",E925&lt;0),E925,0))))</x:f>
        <x:v>0</x:v>
      </x:c>
      <x:c r="BS925">
        <x:f>MAX(0,MIN(BK925,IF(AND(H925=1,C925="重要关系3",LEFT('幕间与结算'!H832,8)="建立新的重要关系"),'幕间与结算'!E832+E925,BS924+IF(C925="重要关系3",E925,0)+IF(AND(C925="魅力",E925&lt;0),E925,0))))</x:f>
        <x:v>0</x:v>
      </x:c>
      <x:c r="BT925">
        <x:f>MAX(0,MIN(BK925,IF(AND(H925=1,C925="重要关系4",LEFT('幕间与结算'!H832,8)="建立新的重要关系"),'幕间与结算'!E832+E925,BT924+IF(C925="重要关系4",E925,0)+IF(AND(C925="魅力",E925&lt;0),E925,0))))</x:f>
        <x:v>0</x:v>
      </x:c>
      <x:c r="BU925">
        <x:f>MAX(0,MIN(BK925,IF(AND(H925=1,C925="重要关系5",LEFT('幕间与结算'!H832,8)="建立新的重要关系"),'幕间与结算'!E832+E925,BU924+IF(C925="重要关系5",E925,0)+IF(AND(C925="魅力",E925&lt;0),E925,0))))</x:f>
        <x:v>0</x:v>
      </x:c>
      <x:c r="BV925">
        <x:f>MAX(0,MIN(BK925,IF(AND(H925=1,C925="重要关系6",LEFT('幕间与结算'!H832,8)="建立新的重要关系"),'幕间与结算'!E832+E925,BV924+IF(C925="重要关系6",E925,0)+IF(AND(C925="魅力",E925&lt;0),E925,0))))</x:f>
        <x:v>0</x:v>
      </x:c>
      <x:c r="BW925">
        <x:f>MAX(0,MIN(BK925,IF(AND(H925=1,C925="重要关系7",LEFT('幕间与结算'!H832,8)="建立新的重要关系"),'幕间与结算'!E832+E925,BW924+IF(C925="重要关系7",E925,0)+IF(AND(C925="魅力",E925&lt;0),E925,0))))</x:f>
        <x:v>0</x:v>
      </x:c>
    </x:row>
    <x:row r="926">
      <x:c r="A926" t="str">
        <x:f>IFERROR(TEXT(VALUE('幕间与结算'!A833),"00"),"")</x:f>
        <x:v>00</x:v>
      </x:c>
      <x:c r="B926">
        <x:f>'幕间与结算'!B833</x:f>
        <x:v>0</x:v>
      </x:c>
      <x:c r="C926">
        <x:f>'幕间与结算'!D833</x:f>
        <x:v>0</x:v>
      </x:c>
      <x:c r="D926">
        <x:f>'幕间与结算'!F833</x:f>
        <x:v>0</x:v>
      </x:c>
      <x:c r="E926">
        <x:f>IF(H926=1,MAX(-'幕间与结算'!E833,MIN(D926,IF(LEFT(C926,3)="技能：",99,IF(COUNTIF($L$2:$L$7,C926)&gt;0,18,999))-'幕间与结算'!E833)),0)</x:f>
        <x:v>0</x:v>
      </x:c>
      <x:c r="F926" t="str">
        <x:f>IF(C926=0,"",IF(G926=0,"记录不完整",IF(H926=0,"重复未计","已计入")))</x:f>
        <x:v/>
      </x:c>
      <x:c r="G926">
        <x:f>IF(AND(AND('幕间与结算'!A833&lt;&gt;"",'幕间与结算'!B833&lt;&gt;"",'幕间与结算'!I833&lt;&gt;"",OR(LEFT(C926,3)="技能：",COUNTIF($L$2:$L$19,C926)&gt;0),ISNUMBER('幕间与结算'!E833),ISNUMBER('幕间与结算'!F833),ISNUMBER('幕间与结算'!G833),'幕间与结算'!E833&gt;=0,'幕间与结算'!G833='幕间与结算'!E833+'幕间与结算'!F833),OR(B926&lt;&gt;"成长",AND(LEFT(C926,3)="技能：",C926&lt;&gt;"技能：非自然知识",'幕间与结算'!E833&gt;=1,'幕间与结算'!E833&lt;=99,'幕间与结算'!F833&gt;=0,'幕间与结算'!F833&lt;=4,'幕间与结算'!G833&lt;=99))),1,0)</x:f>
        <x:v>0</x:v>
      </x:c>
      <x:c r="H926">
        <x:f>IF(AND(G926=1,COUNTIFS($I$200:I926,I926,$G$200:G926,1)=1),1,0)</x:f>
        <x:v>0</x:v>
      </x:c>
      <x:c r="I926" t="str">
        <x:f>IF(G926=1,IF(B926="成长",A926&amp;"-成长-"&amp;C926,'幕间与结算'!I833),"")</x:f>
        <x:v/>
      </x:c>
      <x:c r="BF926">
        <x:f>MAX(0,MIN(18,BF925+IF(C926="力量",E926,0)))</x:f>
        <x:v>0</x:v>
      </x:c>
      <x:c r="BG926">
        <x:f>MAX(0,MIN(18,BG925+IF(C926="体质",E926,0)))</x:f>
        <x:v>0</x:v>
      </x:c>
      <x:c r="BH926">
        <x:f>MAX(0,MIN(18,BH925+IF(C926="敏捷",E926,0)))</x:f>
        <x:v>0</x:v>
      </x:c>
      <x:c r="BI926">
        <x:f>MAX(0,MIN(18,BI925+IF(C926="智力",E926,0)))</x:f>
        <x:v>0</x:v>
      </x:c>
      <x:c r="BJ926">
        <x:f>MAX(0,MIN(18,BJ925+IF(C926="意志",E926,0)))</x:f>
        <x:v>0</x:v>
      </x:c>
      <x:c r="BK926">
        <x:f>MAX(0,MIN(18,BK925+IF(C926="魅力",E926,0)))</x:f>
        <x:v>0</x:v>
      </x:c>
      <x:c r="BL926">
        <x:f>MAX(0,MIN(99,BL925+IF(C926="技能：非自然知识",E926,0)))</x:f>
        <x:v>0</x:v>
      </x:c>
      <x:c r="BM926">
        <x:f>MAX(0,MIN(CEILING((BF926+BG926)/2,1),BM925+IF(C926="体力",E926,0)))</x:f>
        <x:v>0</x:v>
      </x:c>
      <x:c r="BN926">
        <x:f>MAX(0,MIN(BJ926,BN925+IF(C926="毅力",E926,0)))</x:f>
        <x:v>0</x:v>
      </x:c>
      <x:c r="BO926">
        <x:f>MAX(0,MIN(99-BL926,BO925+IF(C926="理智",E926,0)))</x:f>
        <x:v>0</x:v>
      </x:c>
      <x:c r="BP926">
        <x:f>MAX(0,MIN(99,BP925+IF(C926="崩溃点",E926,0)))</x:f>
        <x:v>0</x:v>
      </x:c>
      <x:c r="BQ926">
        <x:f>MAX(0,MIN(BK926,IF(AND(H926=1,C926="重要关系1",LEFT('幕间与结算'!H833,8)="建立新的重要关系"),'幕间与结算'!E833+E926,BQ925+IF(C926="重要关系1",E926,0)+IF(AND(C926="魅力",E926&lt;0),E926,0))))</x:f>
        <x:v>0</x:v>
      </x:c>
      <x:c r="BR926">
        <x:f>MAX(0,MIN(BK926,IF(AND(H926=1,C926="重要关系2",LEFT('幕间与结算'!H833,8)="建立新的重要关系"),'幕间与结算'!E833+E926,BR925+IF(C926="重要关系2",E926,0)+IF(AND(C926="魅力",E926&lt;0),E926,0))))</x:f>
        <x:v>0</x:v>
      </x:c>
      <x:c r="BS926">
        <x:f>MAX(0,MIN(BK926,IF(AND(H926=1,C926="重要关系3",LEFT('幕间与结算'!H833,8)="建立新的重要关系"),'幕间与结算'!E833+E926,BS925+IF(C926="重要关系3",E926,0)+IF(AND(C926="魅力",E926&lt;0),E926,0))))</x:f>
        <x:v>0</x:v>
      </x:c>
      <x:c r="BT926">
        <x:f>MAX(0,MIN(BK926,IF(AND(H926=1,C926="重要关系4",LEFT('幕间与结算'!H833,8)="建立新的重要关系"),'幕间与结算'!E833+E926,BT925+IF(C926="重要关系4",E926,0)+IF(AND(C926="魅力",E926&lt;0),E926,0))))</x:f>
        <x:v>0</x:v>
      </x:c>
      <x:c r="BU926">
        <x:f>MAX(0,MIN(BK926,IF(AND(H926=1,C926="重要关系5",LEFT('幕间与结算'!H833,8)="建立新的重要关系"),'幕间与结算'!E833+E926,BU925+IF(C926="重要关系5",E926,0)+IF(AND(C926="魅力",E926&lt;0),E926,0))))</x:f>
        <x:v>0</x:v>
      </x:c>
      <x:c r="BV926">
        <x:f>MAX(0,MIN(BK926,IF(AND(H926=1,C926="重要关系6",LEFT('幕间与结算'!H833,8)="建立新的重要关系"),'幕间与结算'!E833+E926,BV925+IF(C926="重要关系6",E926,0)+IF(AND(C926="魅力",E926&lt;0),E926,0))))</x:f>
        <x:v>0</x:v>
      </x:c>
      <x:c r="BW926">
        <x:f>MAX(0,MIN(BK926,IF(AND(H926=1,C926="重要关系7",LEFT('幕间与结算'!H833,8)="建立新的重要关系"),'幕间与结算'!E833+E926,BW925+IF(C926="重要关系7",E926,0)+IF(AND(C926="魅力",E926&lt;0),E926,0))))</x:f>
        <x:v>0</x:v>
      </x:c>
    </x:row>
    <x:row r="927">
      <x:c r="A927" t="str">
        <x:f>IFERROR(TEXT(VALUE('幕间与结算'!A834),"00"),"")</x:f>
        <x:v>00</x:v>
      </x:c>
      <x:c r="B927">
        <x:f>'幕间与结算'!B834</x:f>
        <x:v>0</x:v>
      </x:c>
      <x:c r="C927">
        <x:f>'幕间与结算'!D834</x:f>
        <x:v>0</x:v>
      </x:c>
      <x:c r="D927">
        <x:f>'幕间与结算'!F834</x:f>
        <x:v>0</x:v>
      </x:c>
      <x:c r="E927">
        <x:f>IF(H927=1,MAX(-'幕间与结算'!E834,MIN(D927,IF(LEFT(C927,3)="技能：",99,IF(COUNTIF($L$2:$L$7,C927)&gt;0,18,999))-'幕间与结算'!E834)),0)</x:f>
        <x:v>0</x:v>
      </x:c>
      <x:c r="F927" t="str">
        <x:f>IF(C927=0,"",IF(G927=0,"记录不完整",IF(H927=0,"重复未计","已计入")))</x:f>
        <x:v/>
      </x:c>
      <x:c r="G927">
        <x:f>IF(AND(AND('幕间与结算'!A834&lt;&gt;"",'幕间与结算'!B834&lt;&gt;"",'幕间与结算'!I834&lt;&gt;"",OR(LEFT(C927,3)="技能：",COUNTIF($L$2:$L$19,C927)&gt;0),ISNUMBER('幕间与结算'!E834),ISNUMBER('幕间与结算'!F834),ISNUMBER('幕间与结算'!G834),'幕间与结算'!E834&gt;=0,'幕间与结算'!G834='幕间与结算'!E834+'幕间与结算'!F834),OR(B927&lt;&gt;"成长",AND(LEFT(C927,3)="技能：",C927&lt;&gt;"技能：非自然知识",'幕间与结算'!E834&gt;=1,'幕间与结算'!E834&lt;=99,'幕间与结算'!F834&gt;=0,'幕间与结算'!F834&lt;=4,'幕间与结算'!G834&lt;=99))),1,0)</x:f>
        <x:v>0</x:v>
      </x:c>
      <x:c r="H927">
        <x:f>IF(AND(G927=1,COUNTIFS($I$200:I927,I927,$G$200:G927,1)=1),1,0)</x:f>
        <x:v>0</x:v>
      </x:c>
      <x:c r="I927" t="str">
        <x:f>IF(G927=1,IF(B927="成长",A927&amp;"-成长-"&amp;C927,'幕间与结算'!I834),"")</x:f>
        <x:v/>
      </x:c>
      <x:c r="BF927">
        <x:f>MAX(0,MIN(18,BF926+IF(C927="力量",E927,0)))</x:f>
        <x:v>0</x:v>
      </x:c>
      <x:c r="BG927">
        <x:f>MAX(0,MIN(18,BG926+IF(C927="体质",E927,0)))</x:f>
        <x:v>0</x:v>
      </x:c>
      <x:c r="BH927">
        <x:f>MAX(0,MIN(18,BH926+IF(C927="敏捷",E927,0)))</x:f>
        <x:v>0</x:v>
      </x:c>
      <x:c r="BI927">
        <x:f>MAX(0,MIN(18,BI926+IF(C927="智力",E927,0)))</x:f>
        <x:v>0</x:v>
      </x:c>
      <x:c r="BJ927">
        <x:f>MAX(0,MIN(18,BJ926+IF(C927="意志",E927,0)))</x:f>
        <x:v>0</x:v>
      </x:c>
      <x:c r="BK927">
        <x:f>MAX(0,MIN(18,BK926+IF(C927="魅力",E927,0)))</x:f>
        <x:v>0</x:v>
      </x:c>
      <x:c r="BL927">
        <x:f>MAX(0,MIN(99,BL926+IF(C927="技能：非自然知识",E927,0)))</x:f>
        <x:v>0</x:v>
      </x:c>
      <x:c r="BM927">
        <x:f>MAX(0,MIN(CEILING((BF927+BG927)/2,1),BM926+IF(C927="体力",E927,0)))</x:f>
        <x:v>0</x:v>
      </x:c>
      <x:c r="BN927">
        <x:f>MAX(0,MIN(BJ927,BN926+IF(C927="毅力",E927,0)))</x:f>
        <x:v>0</x:v>
      </x:c>
      <x:c r="BO927">
        <x:f>MAX(0,MIN(99-BL927,BO926+IF(C927="理智",E927,0)))</x:f>
        <x:v>0</x:v>
      </x:c>
      <x:c r="BP927">
        <x:f>MAX(0,MIN(99,BP926+IF(C927="崩溃点",E927,0)))</x:f>
        <x:v>0</x:v>
      </x:c>
      <x:c r="BQ927">
        <x:f>MAX(0,MIN(BK927,IF(AND(H927=1,C927="重要关系1",LEFT('幕间与结算'!H834,8)="建立新的重要关系"),'幕间与结算'!E834+E927,BQ926+IF(C927="重要关系1",E927,0)+IF(AND(C927="魅力",E927&lt;0),E927,0))))</x:f>
        <x:v>0</x:v>
      </x:c>
      <x:c r="BR927">
        <x:f>MAX(0,MIN(BK927,IF(AND(H927=1,C927="重要关系2",LEFT('幕间与结算'!H834,8)="建立新的重要关系"),'幕间与结算'!E834+E927,BR926+IF(C927="重要关系2",E927,0)+IF(AND(C927="魅力",E927&lt;0),E927,0))))</x:f>
        <x:v>0</x:v>
      </x:c>
      <x:c r="BS927">
        <x:f>MAX(0,MIN(BK927,IF(AND(H927=1,C927="重要关系3",LEFT('幕间与结算'!H834,8)="建立新的重要关系"),'幕间与结算'!E834+E927,BS926+IF(C927="重要关系3",E927,0)+IF(AND(C927="魅力",E927&lt;0),E927,0))))</x:f>
        <x:v>0</x:v>
      </x:c>
      <x:c r="BT927">
        <x:f>MAX(0,MIN(BK927,IF(AND(H927=1,C927="重要关系4",LEFT('幕间与结算'!H834,8)="建立新的重要关系"),'幕间与结算'!E834+E927,BT926+IF(C927="重要关系4",E927,0)+IF(AND(C927="魅力",E927&lt;0),E927,0))))</x:f>
        <x:v>0</x:v>
      </x:c>
      <x:c r="BU927">
        <x:f>MAX(0,MIN(BK927,IF(AND(H927=1,C927="重要关系5",LEFT('幕间与结算'!H834,8)="建立新的重要关系"),'幕间与结算'!E834+E927,BU926+IF(C927="重要关系5",E927,0)+IF(AND(C927="魅力",E927&lt;0),E927,0))))</x:f>
        <x:v>0</x:v>
      </x:c>
      <x:c r="BV927">
        <x:f>MAX(0,MIN(BK927,IF(AND(H927=1,C927="重要关系6",LEFT('幕间与结算'!H834,8)="建立新的重要关系"),'幕间与结算'!E834+E927,BV926+IF(C927="重要关系6",E927,0)+IF(AND(C927="魅力",E927&lt;0),E927,0))))</x:f>
        <x:v>0</x:v>
      </x:c>
      <x:c r="BW927">
        <x:f>MAX(0,MIN(BK927,IF(AND(H927=1,C927="重要关系7",LEFT('幕间与结算'!H834,8)="建立新的重要关系"),'幕间与结算'!E834+E927,BW926+IF(C927="重要关系7",E927,0)+IF(AND(C927="魅力",E927&lt;0),E927,0))))</x:f>
        <x:v>0</x:v>
      </x:c>
    </x:row>
    <x:row r="928">
      <x:c r="A928" t="str">
        <x:f>IFERROR(TEXT(VALUE('幕间与结算'!A835),"00"),"")</x:f>
        <x:v>00</x:v>
      </x:c>
      <x:c r="B928">
        <x:f>'幕间与结算'!B835</x:f>
        <x:v>0</x:v>
      </x:c>
      <x:c r="C928">
        <x:f>'幕间与结算'!D835</x:f>
        <x:v>0</x:v>
      </x:c>
      <x:c r="D928">
        <x:f>'幕间与结算'!F835</x:f>
        <x:v>0</x:v>
      </x:c>
      <x:c r="E928">
        <x:f>IF(H928=1,MAX(-'幕间与结算'!E835,MIN(D928,IF(LEFT(C928,3)="技能：",99,IF(COUNTIF($L$2:$L$7,C928)&gt;0,18,999))-'幕间与结算'!E835)),0)</x:f>
        <x:v>0</x:v>
      </x:c>
      <x:c r="F928" t="str">
        <x:f>IF(C928=0,"",IF(G928=0,"记录不完整",IF(H928=0,"重复未计","已计入")))</x:f>
        <x:v/>
      </x:c>
      <x:c r="G928">
        <x:f>IF(AND(AND('幕间与结算'!A835&lt;&gt;"",'幕间与结算'!B835&lt;&gt;"",'幕间与结算'!I835&lt;&gt;"",OR(LEFT(C928,3)="技能：",COUNTIF($L$2:$L$19,C928)&gt;0),ISNUMBER('幕间与结算'!E835),ISNUMBER('幕间与结算'!F835),ISNUMBER('幕间与结算'!G835),'幕间与结算'!E835&gt;=0,'幕间与结算'!G835='幕间与结算'!E835+'幕间与结算'!F835),OR(B928&lt;&gt;"成长",AND(LEFT(C928,3)="技能：",C928&lt;&gt;"技能：非自然知识",'幕间与结算'!E835&gt;=1,'幕间与结算'!E835&lt;=99,'幕间与结算'!F835&gt;=0,'幕间与结算'!F835&lt;=4,'幕间与结算'!G835&lt;=99))),1,0)</x:f>
        <x:v>0</x:v>
      </x:c>
      <x:c r="H928">
        <x:f>IF(AND(G928=1,COUNTIFS($I$200:I928,I928,$G$200:G928,1)=1),1,0)</x:f>
        <x:v>0</x:v>
      </x:c>
      <x:c r="I928" t="str">
        <x:f>IF(G928=1,IF(B928="成长",A928&amp;"-成长-"&amp;C928,'幕间与结算'!I835),"")</x:f>
        <x:v/>
      </x:c>
      <x:c r="BF928">
        <x:f>MAX(0,MIN(18,BF927+IF(C928="力量",E928,0)))</x:f>
        <x:v>0</x:v>
      </x:c>
      <x:c r="BG928">
        <x:f>MAX(0,MIN(18,BG927+IF(C928="体质",E928,0)))</x:f>
        <x:v>0</x:v>
      </x:c>
      <x:c r="BH928">
        <x:f>MAX(0,MIN(18,BH927+IF(C928="敏捷",E928,0)))</x:f>
        <x:v>0</x:v>
      </x:c>
      <x:c r="BI928">
        <x:f>MAX(0,MIN(18,BI927+IF(C928="智力",E928,0)))</x:f>
        <x:v>0</x:v>
      </x:c>
      <x:c r="BJ928">
        <x:f>MAX(0,MIN(18,BJ927+IF(C928="意志",E928,0)))</x:f>
        <x:v>0</x:v>
      </x:c>
      <x:c r="BK928">
        <x:f>MAX(0,MIN(18,BK927+IF(C928="魅力",E928,0)))</x:f>
        <x:v>0</x:v>
      </x:c>
      <x:c r="BL928">
        <x:f>MAX(0,MIN(99,BL927+IF(C928="技能：非自然知识",E928,0)))</x:f>
        <x:v>0</x:v>
      </x:c>
      <x:c r="BM928">
        <x:f>MAX(0,MIN(CEILING((BF928+BG928)/2,1),BM927+IF(C928="体力",E928,0)))</x:f>
        <x:v>0</x:v>
      </x:c>
      <x:c r="BN928">
        <x:f>MAX(0,MIN(BJ928,BN927+IF(C928="毅力",E928,0)))</x:f>
        <x:v>0</x:v>
      </x:c>
      <x:c r="BO928">
        <x:f>MAX(0,MIN(99-BL928,BO927+IF(C928="理智",E928,0)))</x:f>
        <x:v>0</x:v>
      </x:c>
      <x:c r="BP928">
        <x:f>MAX(0,MIN(99,BP927+IF(C928="崩溃点",E928,0)))</x:f>
        <x:v>0</x:v>
      </x:c>
      <x:c r="BQ928">
        <x:f>MAX(0,MIN(BK928,IF(AND(H928=1,C928="重要关系1",LEFT('幕间与结算'!H835,8)="建立新的重要关系"),'幕间与结算'!E835+E928,BQ927+IF(C928="重要关系1",E928,0)+IF(AND(C928="魅力",E928&lt;0),E928,0))))</x:f>
        <x:v>0</x:v>
      </x:c>
      <x:c r="BR928">
        <x:f>MAX(0,MIN(BK928,IF(AND(H928=1,C928="重要关系2",LEFT('幕间与结算'!H835,8)="建立新的重要关系"),'幕间与结算'!E835+E928,BR927+IF(C928="重要关系2",E928,0)+IF(AND(C928="魅力",E928&lt;0),E928,0))))</x:f>
        <x:v>0</x:v>
      </x:c>
      <x:c r="BS928">
        <x:f>MAX(0,MIN(BK928,IF(AND(H928=1,C928="重要关系3",LEFT('幕间与结算'!H835,8)="建立新的重要关系"),'幕间与结算'!E835+E928,BS927+IF(C928="重要关系3",E928,0)+IF(AND(C928="魅力",E928&lt;0),E928,0))))</x:f>
        <x:v>0</x:v>
      </x:c>
      <x:c r="BT928">
        <x:f>MAX(0,MIN(BK928,IF(AND(H928=1,C928="重要关系4",LEFT('幕间与结算'!H835,8)="建立新的重要关系"),'幕间与结算'!E835+E928,BT927+IF(C928="重要关系4",E928,0)+IF(AND(C928="魅力",E928&lt;0),E928,0))))</x:f>
        <x:v>0</x:v>
      </x:c>
      <x:c r="BU928">
        <x:f>MAX(0,MIN(BK928,IF(AND(H928=1,C928="重要关系5",LEFT('幕间与结算'!H835,8)="建立新的重要关系"),'幕间与结算'!E835+E928,BU927+IF(C928="重要关系5",E928,0)+IF(AND(C928="魅力",E928&lt;0),E928,0))))</x:f>
        <x:v>0</x:v>
      </x:c>
      <x:c r="BV928">
        <x:f>MAX(0,MIN(BK928,IF(AND(H928=1,C928="重要关系6",LEFT('幕间与结算'!H835,8)="建立新的重要关系"),'幕间与结算'!E835+E928,BV927+IF(C928="重要关系6",E928,0)+IF(AND(C928="魅力",E928&lt;0),E928,0))))</x:f>
        <x:v>0</x:v>
      </x:c>
      <x:c r="BW928">
        <x:f>MAX(0,MIN(BK928,IF(AND(H928=1,C928="重要关系7",LEFT('幕间与结算'!H835,8)="建立新的重要关系"),'幕间与结算'!E835+E928,BW927+IF(C928="重要关系7",E928,0)+IF(AND(C928="魅力",E928&lt;0),E928,0))))</x:f>
        <x:v>0</x:v>
      </x:c>
    </x:row>
    <x:row r="929">
      <x:c r="A929" t="str">
        <x:f>IFERROR(TEXT(VALUE('幕间与结算'!A836),"00"),"")</x:f>
        <x:v>00</x:v>
      </x:c>
      <x:c r="B929">
        <x:f>'幕间与结算'!B836</x:f>
        <x:v>0</x:v>
      </x:c>
      <x:c r="C929">
        <x:f>'幕间与结算'!D836</x:f>
        <x:v>0</x:v>
      </x:c>
      <x:c r="D929">
        <x:f>'幕间与结算'!F836</x:f>
        <x:v>0</x:v>
      </x:c>
      <x:c r="E929">
        <x:f>IF(H929=1,MAX(-'幕间与结算'!E836,MIN(D929,IF(LEFT(C929,3)="技能：",99,IF(COUNTIF($L$2:$L$7,C929)&gt;0,18,999))-'幕间与结算'!E836)),0)</x:f>
        <x:v>0</x:v>
      </x:c>
      <x:c r="F929" t="str">
        <x:f>IF(C929=0,"",IF(G929=0,"记录不完整",IF(H929=0,"重复未计","已计入")))</x:f>
        <x:v/>
      </x:c>
      <x:c r="G929">
        <x:f>IF(AND(AND('幕间与结算'!A836&lt;&gt;"",'幕间与结算'!B836&lt;&gt;"",'幕间与结算'!I836&lt;&gt;"",OR(LEFT(C929,3)="技能：",COUNTIF($L$2:$L$19,C929)&gt;0),ISNUMBER('幕间与结算'!E836),ISNUMBER('幕间与结算'!F836),ISNUMBER('幕间与结算'!G836),'幕间与结算'!E836&gt;=0,'幕间与结算'!G836='幕间与结算'!E836+'幕间与结算'!F836),OR(B929&lt;&gt;"成长",AND(LEFT(C929,3)="技能：",C929&lt;&gt;"技能：非自然知识",'幕间与结算'!E836&gt;=1,'幕间与结算'!E836&lt;=99,'幕间与结算'!F836&gt;=0,'幕间与结算'!F836&lt;=4,'幕间与结算'!G836&lt;=99))),1,0)</x:f>
        <x:v>0</x:v>
      </x:c>
      <x:c r="H929">
        <x:f>IF(AND(G929=1,COUNTIFS($I$200:I929,I929,$G$200:G929,1)=1),1,0)</x:f>
        <x:v>0</x:v>
      </x:c>
      <x:c r="I929" t="str">
        <x:f>IF(G929=1,IF(B929="成长",A929&amp;"-成长-"&amp;C929,'幕间与结算'!I836),"")</x:f>
        <x:v/>
      </x:c>
      <x:c r="BF929">
        <x:f>MAX(0,MIN(18,BF928+IF(C929="力量",E929,0)))</x:f>
        <x:v>0</x:v>
      </x:c>
      <x:c r="BG929">
        <x:f>MAX(0,MIN(18,BG928+IF(C929="体质",E929,0)))</x:f>
        <x:v>0</x:v>
      </x:c>
      <x:c r="BH929">
        <x:f>MAX(0,MIN(18,BH928+IF(C929="敏捷",E929,0)))</x:f>
        <x:v>0</x:v>
      </x:c>
      <x:c r="BI929">
        <x:f>MAX(0,MIN(18,BI928+IF(C929="智力",E929,0)))</x:f>
        <x:v>0</x:v>
      </x:c>
      <x:c r="BJ929">
        <x:f>MAX(0,MIN(18,BJ928+IF(C929="意志",E929,0)))</x:f>
        <x:v>0</x:v>
      </x:c>
      <x:c r="BK929">
        <x:f>MAX(0,MIN(18,BK928+IF(C929="魅力",E929,0)))</x:f>
        <x:v>0</x:v>
      </x:c>
      <x:c r="BL929">
        <x:f>MAX(0,MIN(99,BL928+IF(C929="技能：非自然知识",E929,0)))</x:f>
        <x:v>0</x:v>
      </x:c>
      <x:c r="BM929">
        <x:f>MAX(0,MIN(CEILING((BF929+BG929)/2,1),BM928+IF(C929="体力",E929,0)))</x:f>
        <x:v>0</x:v>
      </x:c>
      <x:c r="BN929">
        <x:f>MAX(0,MIN(BJ929,BN928+IF(C929="毅力",E929,0)))</x:f>
        <x:v>0</x:v>
      </x:c>
      <x:c r="BO929">
        <x:f>MAX(0,MIN(99-BL929,BO928+IF(C929="理智",E929,0)))</x:f>
        <x:v>0</x:v>
      </x:c>
      <x:c r="BP929">
        <x:f>MAX(0,MIN(99,BP928+IF(C929="崩溃点",E929,0)))</x:f>
        <x:v>0</x:v>
      </x:c>
      <x:c r="BQ929">
        <x:f>MAX(0,MIN(BK929,IF(AND(H929=1,C929="重要关系1",LEFT('幕间与结算'!H836,8)="建立新的重要关系"),'幕间与结算'!E836+E929,BQ928+IF(C929="重要关系1",E929,0)+IF(AND(C929="魅力",E929&lt;0),E929,0))))</x:f>
        <x:v>0</x:v>
      </x:c>
      <x:c r="BR929">
        <x:f>MAX(0,MIN(BK929,IF(AND(H929=1,C929="重要关系2",LEFT('幕间与结算'!H836,8)="建立新的重要关系"),'幕间与结算'!E836+E929,BR928+IF(C929="重要关系2",E929,0)+IF(AND(C929="魅力",E929&lt;0),E929,0))))</x:f>
        <x:v>0</x:v>
      </x:c>
      <x:c r="BS929">
        <x:f>MAX(0,MIN(BK929,IF(AND(H929=1,C929="重要关系3",LEFT('幕间与结算'!H836,8)="建立新的重要关系"),'幕间与结算'!E836+E929,BS928+IF(C929="重要关系3",E929,0)+IF(AND(C929="魅力",E929&lt;0),E929,0))))</x:f>
        <x:v>0</x:v>
      </x:c>
      <x:c r="BT929">
        <x:f>MAX(0,MIN(BK929,IF(AND(H929=1,C929="重要关系4",LEFT('幕间与结算'!H836,8)="建立新的重要关系"),'幕间与结算'!E836+E929,BT928+IF(C929="重要关系4",E929,0)+IF(AND(C929="魅力",E929&lt;0),E929,0))))</x:f>
        <x:v>0</x:v>
      </x:c>
      <x:c r="BU929">
        <x:f>MAX(0,MIN(BK929,IF(AND(H929=1,C929="重要关系5",LEFT('幕间与结算'!H836,8)="建立新的重要关系"),'幕间与结算'!E836+E929,BU928+IF(C929="重要关系5",E929,0)+IF(AND(C929="魅力",E929&lt;0),E929,0))))</x:f>
        <x:v>0</x:v>
      </x:c>
      <x:c r="BV929">
        <x:f>MAX(0,MIN(BK929,IF(AND(H929=1,C929="重要关系6",LEFT('幕间与结算'!H836,8)="建立新的重要关系"),'幕间与结算'!E836+E929,BV928+IF(C929="重要关系6",E929,0)+IF(AND(C929="魅力",E929&lt;0),E929,0))))</x:f>
        <x:v>0</x:v>
      </x:c>
      <x:c r="BW929">
        <x:f>MAX(0,MIN(BK929,IF(AND(H929=1,C929="重要关系7",LEFT('幕间与结算'!H836,8)="建立新的重要关系"),'幕间与结算'!E836+E929,BW928+IF(C929="重要关系7",E929,0)+IF(AND(C929="魅力",E929&lt;0),E929,0))))</x:f>
        <x:v>0</x:v>
      </x:c>
    </x:row>
    <x:row r="930">
      <x:c r="A930" t="str">
        <x:f>IFERROR(TEXT(VALUE('幕间与结算'!A837),"00"),"")</x:f>
        <x:v>00</x:v>
      </x:c>
      <x:c r="B930">
        <x:f>'幕间与结算'!B837</x:f>
        <x:v>0</x:v>
      </x:c>
      <x:c r="C930">
        <x:f>'幕间与结算'!D837</x:f>
        <x:v>0</x:v>
      </x:c>
      <x:c r="D930">
        <x:f>'幕间与结算'!F837</x:f>
        <x:v>0</x:v>
      </x:c>
      <x:c r="E930">
        <x:f>IF(H930=1,MAX(-'幕间与结算'!E837,MIN(D930,IF(LEFT(C930,3)="技能：",99,IF(COUNTIF($L$2:$L$7,C930)&gt;0,18,999))-'幕间与结算'!E837)),0)</x:f>
        <x:v>0</x:v>
      </x:c>
      <x:c r="F930" t="str">
        <x:f>IF(C930=0,"",IF(G930=0,"记录不完整",IF(H930=0,"重复未计","已计入")))</x:f>
        <x:v/>
      </x:c>
      <x:c r="G930">
        <x:f>IF(AND(AND('幕间与结算'!A837&lt;&gt;"",'幕间与结算'!B837&lt;&gt;"",'幕间与结算'!I837&lt;&gt;"",OR(LEFT(C930,3)="技能：",COUNTIF($L$2:$L$19,C930)&gt;0),ISNUMBER('幕间与结算'!E837),ISNUMBER('幕间与结算'!F837),ISNUMBER('幕间与结算'!G837),'幕间与结算'!E837&gt;=0,'幕间与结算'!G837='幕间与结算'!E837+'幕间与结算'!F837),OR(B930&lt;&gt;"成长",AND(LEFT(C930,3)="技能：",C930&lt;&gt;"技能：非自然知识",'幕间与结算'!E837&gt;=1,'幕间与结算'!E837&lt;=99,'幕间与结算'!F837&gt;=0,'幕间与结算'!F837&lt;=4,'幕间与结算'!G837&lt;=99))),1,0)</x:f>
        <x:v>0</x:v>
      </x:c>
      <x:c r="H930">
        <x:f>IF(AND(G930=1,COUNTIFS($I$200:I930,I930,$G$200:G930,1)=1),1,0)</x:f>
        <x:v>0</x:v>
      </x:c>
      <x:c r="I930" t="str">
        <x:f>IF(G930=1,IF(B930="成长",A930&amp;"-成长-"&amp;C930,'幕间与结算'!I837),"")</x:f>
        <x:v/>
      </x:c>
      <x:c r="BF930">
        <x:f>MAX(0,MIN(18,BF929+IF(C930="力量",E930,0)))</x:f>
        <x:v>0</x:v>
      </x:c>
      <x:c r="BG930">
        <x:f>MAX(0,MIN(18,BG929+IF(C930="体质",E930,0)))</x:f>
        <x:v>0</x:v>
      </x:c>
      <x:c r="BH930">
        <x:f>MAX(0,MIN(18,BH929+IF(C930="敏捷",E930,0)))</x:f>
        <x:v>0</x:v>
      </x:c>
      <x:c r="BI930">
        <x:f>MAX(0,MIN(18,BI929+IF(C930="智力",E930,0)))</x:f>
        <x:v>0</x:v>
      </x:c>
      <x:c r="BJ930">
        <x:f>MAX(0,MIN(18,BJ929+IF(C930="意志",E930,0)))</x:f>
        <x:v>0</x:v>
      </x:c>
      <x:c r="BK930">
        <x:f>MAX(0,MIN(18,BK929+IF(C930="魅力",E930,0)))</x:f>
        <x:v>0</x:v>
      </x:c>
      <x:c r="BL930">
        <x:f>MAX(0,MIN(99,BL929+IF(C930="技能：非自然知识",E930,0)))</x:f>
        <x:v>0</x:v>
      </x:c>
      <x:c r="BM930">
        <x:f>MAX(0,MIN(CEILING((BF930+BG930)/2,1),BM929+IF(C930="体力",E930,0)))</x:f>
        <x:v>0</x:v>
      </x:c>
      <x:c r="BN930">
        <x:f>MAX(0,MIN(BJ930,BN929+IF(C930="毅力",E930,0)))</x:f>
        <x:v>0</x:v>
      </x:c>
      <x:c r="BO930">
        <x:f>MAX(0,MIN(99-BL930,BO929+IF(C930="理智",E930,0)))</x:f>
        <x:v>0</x:v>
      </x:c>
      <x:c r="BP930">
        <x:f>MAX(0,MIN(99,BP929+IF(C930="崩溃点",E930,0)))</x:f>
        <x:v>0</x:v>
      </x:c>
      <x:c r="BQ930">
        <x:f>MAX(0,MIN(BK930,IF(AND(H930=1,C930="重要关系1",LEFT('幕间与结算'!H837,8)="建立新的重要关系"),'幕间与结算'!E837+E930,BQ929+IF(C930="重要关系1",E930,0)+IF(AND(C930="魅力",E930&lt;0),E930,0))))</x:f>
        <x:v>0</x:v>
      </x:c>
      <x:c r="BR930">
        <x:f>MAX(0,MIN(BK930,IF(AND(H930=1,C930="重要关系2",LEFT('幕间与结算'!H837,8)="建立新的重要关系"),'幕间与结算'!E837+E930,BR929+IF(C930="重要关系2",E930,0)+IF(AND(C930="魅力",E930&lt;0),E930,0))))</x:f>
        <x:v>0</x:v>
      </x:c>
      <x:c r="BS930">
        <x:f>MAX(0,MIN(BK930,IF(AND(H930=1,C930="重要关系3",LEFT('幕间与结算'!H837,8)="建立新的重要关系"),'幕间与结算'!E837+E930,BS929+IF(C930="重要关系3",E930,0)+IF(AND(C930="魅力",E930&lt;0),E930,0))))</x:f>
        <x:v>0</x:v>
      </x:c>
      <x:c r="BT930">
        <x:f>MAX(0,MIN(BK930,IF(AND(H930=1,C930="重要关系4",LEFT('幕间与结算'!H837,8)="建立新的重要关系"),'幕间与结算'!E837+E930,BT929+IF(C930="重要关系4",E930,0)+IF(AND(C930="魅力",E930&lt;0),E930,0))))</x:f>
        <x:v>0</x:v>
      </x:c>
      <x:c r="BU930">
        <x:f>MAX(0,MIN(BK930,IF(AND(H930=1,C930="重要关系5",LEFT('幕间与结算'!H837,8)="建立新的重要关系"),'幕间与结算'!E837+E930,BU929+IF(C930="重要关系5",E930,0)+IF(AND(C930="魅力",E930&lt;0),E930,0))))</x:f>
        <x:v>0</x:v>
      </x:c>
      <x:c r="BV930">
        <x:f>MAX(0,MIN(BK930,IF(AND(H930=1,C930="重要关系6",LEFT('幕间与结算'!H837,8)="建立新的重要关系"),'幕间与结算'!E837+E930,BV929+IF(C930="重要关系6",E930,0)+IF(AND(C930="魅力",E930&lt;0),E930,0))))</x:f>
        <x:v>0</x:v>
      </x:c>
      <x:c r="BW930">
        <x:f>MAX(0,MIN(BK930,IF(AND(H930=1,C930="重要关系7",LEFT('幕间与结算'!H837,8)="建立新的重要关系"),'幕间与结算'!E837+E930,BW929+IF(C930="重要关系7",E930,0)+IF(AND(C930="魅力",E930&lt;0),E930,0))))</x:f>
        <x:v>0</x:v>
      </x:c>
    </x:row>
    <x:row r="931">
      <x:c r="A931" t="str">
        <x:f>IFERROR(TEXT(VALUE('幕间与结算'!A838),"00"),"")</x:f>
        <x:v>00</x:v>
      </x:c>
      <x:c r="B931">
        <x:f>'幕间与结算'!B838</x:f>
        <x:v>0</x:v>
      </x:c>
      <x:c r="C931">
        <x:f>'幕间与结算'!D838</x:f>
        <x:v>0</x:v>
      </x:c>
      <x:c r="D931">
        <x:f>'幕间与结算'!F838</x:f>
        <x:v>0</x:v>
      </x:c>
      <x:c r="E931">
        <x:f>IF(H931=1,MAX(-'幕间与结算'!E838,MIN(D931,IF(LEFT(C931,3)="技能：",99,IF(COUNTIF($L$2:$L$7,C931)&gt;0,18,999))-'幕间与结算'!E838)),0)</x:f>
        <x:v>0</x:v>
      </x:c>
      <x:c r="F931" t="str">
        <x:f>IF(C931=0,"",IF(G931=0,"记录不完整",IF(H931=0,"重复未计","已计入")))</x:f>
        <x:v/>
      </x:c>
      <x:c r="G931">
        <x:f>IF(AND(AND('幕间与结算'!A838&lt;&gt;"",'幕间与结算'!B838&lt;&gt;"",'幕间与结算'!I838&lt;&gt;"",OR(LEFT(C931,3)="技能：",COUNTIF($L$2:$L$19,C931)&gt;0),ISNUMBER('幕间与结算'!E838),ISNUMBER('幕间与结算'!F838),ISNUMBER('幕间与结算'!G838),'幕间与结算'!E838&gt;=0,'幕间与结算'!G838='幕间与结算'!E838+'幕间与结算'!F838),OR(B931&lt;&gt;"成长",AND(LEFT(C931,3)="技能：",C931&lt;&gt;"技能：非自然知识",'幕间与结算'!E838&gt;=1,'幕间与结算'!E838&lt;=99,'幕间与结算'!F838&gt;=0,'幕间与结算'!F838&lt;=4,'幕间与结算'!G838&lt;=99))),1,0)</x:f>
        <x:v>0</x:v>
      </x:c>
      <x:c r="H931">
        <x:f>IF(AND(G931=1,COUNTIFS($I$200:I931,I931,$G$200:G931,1)=1),1,0)</x:f>
        <x:v>0</x:v>
      </x:c>
      <x:c r="I931" t="str">
        <x:f>IF(G931=1,IF(B931="成长",A931&amp;"-成长-"&amp;C931,'幕间与结算'!I838),"")</x:f>
        <x:v/>
      </x:c>
      <x:c r="BF931">
        <x:f>MAX(0,MIN(18,BF930+IF(C931="力量",E931,0)))</x:f>
        <x:v>0</x:v>
      </x:c>
      <x:c r="BG931">
        <x:f>MAX(0,MIN(18,BG930+IF(C931="体质",E931,0)))</x:f>
        <x:v>0</x:v>
      </x:c>
      <x:c r="BH931">
        <x:f>MAX(0,MIN(18,BH930+IF(C931="敏捷",E931,0)))</x:f>
        <x:v>0</x:v>
      </x:c>
      <x:c r="BI931">
        <x:f>MAX(0,MIN(18,BI930+IF(C931="智力",E931,0)))</x:f>
        <x:v>0</x:v>
      </x:c>
      <x:c r="BJ931">
        <x:f>MAX(0,MIN(18,BJ930+IF(C931="意志",E931,0)))</x:f>
        <x:v>0</x:v>
      </x:c>
      <x:c r="BK931">
        <x:f>MAX(0,MIN(18,BK930+IF(C931="魅力",E931,0)))</x:f>
        <x:v>0</x:v>
      </x:c>
      <x:c r="BL931">
        <x:f>MAX(0,MIN(99,BL930+IF(C931="技能：非自然知识",E931,0)))</x:f>
        <x:v>0</x:v>
      </x:c>
      <x:c r="BM931">
        <x:f>MAX(0,MIN(CEILING((BF931+BG931)/2,1),BM930+IF(C931="体力",E931,0)))</x:f>
        <x:v>0</x:v>
      </x:c>
      <x:c r="BN931">
        <x:f>MAX(0,MIN(BJ931,BN930+IF(C931="毅力",E931,0)))</x:f>
        <x:v>0</x:v>
      </x:c>
      <x:c r="BO931">
        <x:f>MAX(0,MIN(99-BL931,BO930+IF(C931="理智",E931,0)))</x:f>
        <x:v>0</x:v>
      </x:c>
      <x:c r="BP931">
        <x:f>MAX(0,MIN(99,BP930+IF(C931="崩溃点",E931,0)))</x:f>
        <x:v>0</x:v>
      </x:c>
      <x:c r="BQ931">
        <x:f>MAX(0,MIN(BK931,IF(AND(H931=1,C931="重要关系1",LEFT('幕间与结算'!H838,8)="建立新的重要关系"),'幕间与结算'!E838+E931,BQ930+IF(C931="重要关系1",E931,0)+IF(AND(C931="魅力",E931&lt;0),E931,0))))</x:f>
        <x:v>0</x:v>
      </x:c>
      <x:c r="BR931">
        <x:f>MAX(0,MIN(BK931,IF(AND(H931=1,C931="重要关系2",LEFT('幕间与结算'!H838,8)="建立新的重要关系"),'幕间与结算'!E838+E931,BR930+IF(C931="重要关系2",E931,0)+IF(AND(C931="魅力",E931&lt;0),E931,0))))</x:f>
        <x:v>0</x:v>
      </x:c>
      <x:c r="BS931">
        <x:f>MAX(0,MIN(BK931,IF(AND(H931=1,C931="重要关系3",LEFT('幕间与结算'!H838,8)="建立新的重要关系"),'幕间与结算'!E838+E931,BS930+IF(C931="重要关系3",E931,0)+IF(AND(C931="魅力",E931&lt;0),E931,0))))</x:f>
        <x:v>0</x:v>
      </x:c>
      <x:c r="BT931">
        <x:f>MAX(0,MIN(BK931,IF(AND(H931=1,C931="重要关系4",LEFT('幕间与结算'!H838,8)="建立新的重要关系"),'幕间与结算'!E838+E931,BT930+IF(C931="重要关系4",E931,0)+IF(AND(C931="魅力",E931&lt;0),E931,0))))</x:f>
        <x:v>0</x:v>
      </x:c>
      <x:c r="BU931">
        <x:f>MAX(0,MIN(BK931,IF(AND(H931=1,C931="重要关系5",LEFT('幕间与结算'!H838,8)="建立新的重要关系"),'幕间与结算'!E838+E931,BU930+IF(C931="重要关系5",E931,0)+IF(AND(C931="魅力",E931&lt;0),E931,0))))</x:f>
        <x:v>0</x:v>
      </x:c>
      <x:c r="BV931">
        <x:f>MAX(0,MIN(BK931,IF(AND(H931=1,C931="重要关系6",LEFT('幕间与结算'!H838,8)="建立新的重要关系"),'幕间与结算'!E838+E931,BV930+IF(C931="重要关系6",E931,0)+IF(AND(C931="魅力",E931&lt;0),E931,0))))</x:f>
        <x:v>0</x:v>
      </x:c>
      <x:c r="BW931">
        <x:f>MAX(0,MIN(BK931,IF(AND(H931=1,C931="重要关系7",LEFT('幕间与结算'!H838,8)="建立新的重要关系"),'幕间与结算'!E838+E931,BW930+IF(C931="重要关系7",E931,0)+IF(AND(C931="魅力",E931&lt;0),E931,0))))</x:f>
        <x:v>0</x:v>
      </x:c>
    </x:row>
    <x:row r="932">
      <x:c r="A932" t="str">
        <x:f>IFERROR(TEXT(VALUE('幕间与结算'!A839),"00"),"")</x:f>
        <x:v>00</x:v>
      </x:c>
      <x:c r="B932">
        <x:f>'幕间与结算'!B839</x:f>
        <x:v>0</x:v>
      </x:c>
      <x:c r="C932">
        <x:f>'幕间与结算'!D839</x:f>
        <x:v>0</x:v>
      </x:c>
      <x:c r="D932">
        <x:f>'幕间与结算'!F839</x:f>
        <x:v>0</x:v>
      </x:c>
      <x:c r="E932">
        <x:f>IF(H932=1,MAX(-'幕间与结算'!E839,MIN(D932,IF(LEFT(C932,3)="技能：",99,IF(COUNTIF($L$2:$L$7,C932)&gt;0,18,999))-'幕间与结算'!E839)),0)</x:f>
        <x:v>0</x:v>
      </x:c>
      <x:c r="F932" t="str">
        <x:f>IF(C932=0,"",IF(G932=0,"记录不完整",IF(H932=0,"重复未计","已计入")))</x:f>
        <x:v/>
      </x:c>
      <x:c r="G932">
        <x:f>IF(AND(AND('幕间与结算'!A839&lt;&gt;"",'幕间与结算'!B839&lt;&gt;"",'幕间与结算'!I839&lt;&gt;"",OR(LEFT(C932,3)="技能：",COUNTIF($L$2:$L$19,C932)&gt;0),ISNUMBER('幕间与结算'!E839),ISNUMBER('幕间与结算'!F839),ISNUMBER('幕间与结算'!G839),'幕间与结算'!E839&gt;=0,'幕间与结算'!G839='幕间与结算'!E839+'幕间与结算'!F839),OR(B932&lt;&gt;"成长",AND(LEFT(C932,3)="技能：",C932&lt;&gt;"技能：非自然知识",'幕间与结算'!E839&gt;=1,'幕间与结算'!E839&lt;=99,'幕间与结算'!F839&gt;=0,'幕间与结算'!F839&lt;=4,'幕间与结算'!G839&lt;=99))),1,0)</x:f>
        <x:v>0</x:v>
      </x:c>
      <x:c r="H932">
        <x:f>IF(AND(G932=1,COUNTIFS($I$200:I932,I932,$G$200:G932,1)=1),1,0)</x:f>
        <x:v>0</x:v>
      </x:c>
      <x:c r="I932" t="str">
        <x:f>IF(G932=1,IF(B932="成长",A932&amp;"-成长-"&amp;C932,'幕间与结算'!I839),"")</x:f>
        <x:v/>
      </x:c>
      <x:c r="BF932">
        <x:f>MAX(0,MIN(18,BF931+IF(C932="力量",E932,0)))</x:f>
        <x:v>0</x:v>
      </x:c>
      <x:c r="BG932">
        <x:f>MAX(0,MIN(18,BG931+IF(C932="体质",E932,0)))</x:f>
        <x:v>0</x:v>
      </x:c>
      <x:c r="BH932">
        <x:f>MAX(0,MIN(18,BH931+IF(C932="敏捷",E932,0)))</x:f>
        <x:v>0</x:v>
      </x:c>
      <x:c r="BI932">
        <x:f>MAX(0,MIN(18,BI931+IF(C932="智力",E932,0)))</x:f>
        <x:v>0</x:v>
      </x:c>
      <x:c r="BJ932">
        <x:f>MAX(0,MIN(18,BJ931+IF(C932="意志",E932,0)))</x:f>
        <x:v>0</x:v>
      </x:c>
      <x:c r="BK932">
        <x:f>MAX(0,MIN(18,BK931+IF(C932="魅力",E932,0)))</x:f>
        <x:v>0</x:v>
      </x:c>
      <x:c r="BL932">
        <x:f>MAX(0,MIN(99,BL931+IF(C932="技能：非自然知识",E932,0)))</x:f>
        <x:v>0</x:v>
      </x:c>
      <x:c r="BM932">
        <x:f>MAX(0,MIN(CEILING((BF932+BG932)/2,1),BM931+IF(C932="体力",E932,0)))</x:f>
        <x:v>0</x:v>
      </x:c>
      <x:c r="BN932">
        <x:f>MAX(0,MIN(BJ932,BN931+IF(C932="毅力",E932,0)))</x:f>
        <x:v>0</x:v>
      </x:c>
      <x:c r="BO932">
        <x:f>MAX(0,MIN(99-BL932,BO931+IF(C932="理智",E932,0)))</x:f>
        <x:v>0</x:v>
      </x:c>
      <x:c r="BP932">
        <x:f>MAX(0,MIN(99,BP931+IF(C932="崩溃点",E932,0)))</x:f>
        <x:v>0</x:v>
      </x:c>
      <x:c r="BQ932">
        <x:f>MAX(0,MIN(BK932,IF(AND(H932=1,C932="重要关系1",LEFT('幕间与结算'!H839,8)="建立新的重要关系"),'幕间与结算'!E839+E932,BQ931+IF(C932="重要关系1",E932,0)+IF(AND(C932="魅力",E932&lt;0),E932,0))))</x:f>
        <x:v>0</x:v>
      </x:c>
      <x:c r="BR932">
        <x:f>MAX(0,MIN(BK932,IF(AND(H932=1,C932="重要关系2",LEFT('幕间与结算'!H839,8)="建立新的重要关系"),'幕间与结算'!E839+E932,BR931+IF(C932="重要关系2",E932,0)+IF(AND(C932="魅力",E932&lt;0),E932,0))))</x:f>
        <x:v>0</x:v>
      </x:c>
      <x:c r="BS932">
        <x:f>MAX(0,MIN(BK932,IF(AND(H932=1,C932="重要关系3",LEFT('幕间与结算'!H839,8)="建立新的重要关系"),'幕间与结算'!E839+E932,BS931+IF(C932="重要关系3",E932,0)+IF(AND(C932="魅力",E932&lt;0),E932,0))))</x:f>
        <x:v>0</x:v>
      </x:c>
      <x:c r="BT932">
        <x:f>MAX(0,MIN(BK932,IF(AND(H932=1,C932="重要关系4",LEFT('幕间与结算'!H839,8)="建立新的重要关系"),'幕间与结算'!E839+E932,BT931+IF(C932="重要关系4",E932,0)+IF(AND(C932="魅力",E932&lt;0),E932,0))))</x:f>
        <x:v>0</x:v>
      </x:c>
      <x:c r="BU932">
        <x:f>MAX(0,MIN(BK932,IF(AND(H932=1,C932="重要关系5",LEFT('幕间与结算'!H839,8)="建立新的重要关系"),'幕间与结算'!E839+E932,BU931+IF(C932="重要关系5",E932,0)+IF(AND(C932="魅力",E932&lt;0),E932,0))))</x:f>
        <x:v>0</x:v>
      </x:c>
      <x:c r="BV932">
        <x:f>MAX(0,MIN(BK932,IF(AND(H932=1,C932="重要关系6",LEFT('幕间与结算'!H839,8)="建立新的重要关系"),'幕间与结算'!E839+E932,BV931+IF(C932="重要关系6",E932,0)+IF(AND(C932="魅力",E932&lt;0),E932,0))))</x:f>
        <x:v>0</x:v>
      </x:c>
      <x:c r="BW932">
        <x:f>MAX(0,MIN(BK932,IF(AND(H932=1,C932="重要关系7",LEFT('幕间与结算'!H839,8)="建立新的重要关系"),'幕间与结算'!E839+E932,BW931+IF(C932="重要关系7",E932,0)+IF(AND(C932="魅力",E932&lt;0),E932,0))))</x:f>
        <x:v>0</x:v>
      </x:c>
    </x:row>
    <x:row r="933">
      <x:c r="A933" t="str">
        <x:f>IFERROR(TEXT(VALUE('幕间与结算'!A840),"00"),"")</x:f>
        <x:v>00</x:v>
      </x:c>
      <x:c r="B933">
        <x:f>'幕间与结算'!B840</x:f>
        <x:v>0</x:v>
      </x:c>
      <x:c r="C933">
        <x:f>'幕间与结算'!D840</x:f>
        <x:v>0</x:v>
      </x:c>
      <x:c r="D933">
        <x:f>'幕间与结算'!F840</x:f>
        <x:v>0</x:v>
      </x:c>
      <x:c r="E933">
        <x:f>IF(H933=1,MAX(-'幕间与结算'!E840,MIN(D933,IF(LEFT(C933,3)="技能：",99,IF(COUNTIF($L$2:$L$7,C933)&gt;0,18,999))-'幕间与结算'!E840)),0)</x:f>
        <x:v>0</x:v>
      </x:c>
      <x:c r="F933" t="str">
        <x:f>IF(C933=0,"",IF(G933=0,"记录不完整",IF(H933=0,"重复未计","已计入")))</x:f>
        <x:v/>
      </x:c>
      <x:c r="G933">
        <x:f>IF(AND(AND('幕间与结算'!A840&lt;&gt;"",'幕间与结算'!B840&lt;&gt;"",'幕间与结算'!I840&lt;&gt;"",OR(LEFT(C933,3)="技能：",COUNTIF($L$2:$L$19,C933)&gt;0),ISNUMBER('幕间与结算'!E840),ISNUMBER('幕间与结算'!F840),ISNUMBER('幕间与结算'!G840),'幕间与结算'!E840&gt;=0,'幕间与结算'!G840='幕间与结算'!E840+'幕间与结算'!F840),OR(B933&lt;&gt;"成长",AND(LEFT(C933,3)="技能：",C933&lt;&gt;"技能：非自然知识",'幕间与结算'!E840&gt;=1,'幕间与结算'!E840&lt;=99,'幕间与结算'!F840&gt;=0,'幕间与结算'!F840&lt;=4,'幕间与结算'!G840&lt;=99))),1,0)</x:f>
        <x:v>0</x:v>
      </x:c>
      <x:c r="H933">
        <x:f>IF(AND(G933=1,COUNTIFS($I$200:I933,I933,$G$200:G933,1)=1),1,0)</x:f>
        <x:v>0</x:v>
      </x:c>
      <x:c r="I933" t="str">
        <x:f>IF(G933=1,IF(B933="成长",A933&amp;"-成长-"&amp;C933,'幕间与结算'!I840),"")</x:f>
        <x:v/>
      </x:c>
      <x:c r="BF933">
        <x:f>MAX(0,MIN(18,BF932+IF(C933="力量",E933,0)))</x:f>
        <x:v>0</x:v>
      </x:c>
      <x:c r="BG933">
        <x:f>MAX(0,MIN(18,BG932+IF(C933="体质",E933,0)))</x:f>
        <x:v>0</x:v>
      </x:c>
      <x:c r="BH933">
        <x:f>MAX(0,MIN(18,BH932+IF(C933="敏捷",E933,0)))</x:f>
        <x:v>0</x:v>
      </x:c>
      <x:c r="BI933">
        <x:f>MAX(0,MIN(18,BI932+IF(C933="智力",E933,0)))</x:f>
        <x:v>0</x:v>
      </x:c>
      <x:c r="BJ933">
        <x:f>MAX(0,MIN(18,BJ932+IF(C933="意志",E933,0)))</x:f>
        <x:v>0</x:v>
      </x:c>
      <x:c r="BK933">
        <x:f>MAX(0,MIN(18,BK932+IF(C933="魅力",E933,0)))</x:f>
        <x:v>0</x:v>
      </x:c>
      <x:c r="BL933">
        <x:f>MAX(0,MIN(99,BL932+IF(C933="技能：非自然知识",E933,0)))</x:f>
        <x:v>0</x:v>
      </x:c>
      <x:c r="BM933">
        <x:f>MAX(0,MIN(CEILING((BF933+BG933)/2,1),BM932+IF(C933="体力",E933,0)))</x:f>
        <x:v>0</x:v>
      </x:c>
      <x:c r="BN933">
        <x:f>MAX(0,MIN(BJ933,BN932+IF(C933="毅力",E933,0)))</x:f>
        <x:v>0</x:v>
      </x:c>
      <x:c r="BO933">
        <x:f>MAX(0,MIN(99-BL933,BO932+IF(C933="理智",E933,0)))</x:f>
        <x:v>0</x:v>
      </x:c>
      <x:c r="BP933">
        <x:f>MAX(0,MIN(99,BP932+IF(C933="崩溃点",E933,0)))</x:f>
        <x:v>0</x:v>
      </x:c>
      <x:c r="BQ933">
        <x:f>MAX(0,MIN(BK933,IF(AND(H933=1,C933="重要关系1",LEFT('幕间与结算'!H840,8)="建立新的重要关系"),'幕间与结算'!E840+E933,BQ932+IF(C933="重要关系1",E933,0)+IF(AND(C933="魅力",E933&lt;0),E933,0))))</x:f>
        <x:v>0</x:v>
      </x:c>
      <x:c r="BR933">
        <x:f>MAX(0,MIN(BK933,IF(AND(H933=1,C933="重要关系2",LEFT('幕间与结算'!H840,8)="建立新的重要关系"),'幕间与结算'!E840+E933,BR932+IF(C933="重要关系2",E933,0)+IF(AND(C933="魅力",E933&lt;0),E933,0))))</x:f>
        <x:v>0</x:v>
      </x:c>
      <x:c r="BS933">
        <x:f>MAX(0,MIN(BK933,IF(AND(H933=1,C933="重要关系3",LEFT('幕间与结算'!H840,8)="建立新的重要关系"),'幕间与结算'!E840+E933,BS932+IF(C933="重要关系3",E933,0)+IF(AND(C933="魅力",E933&lt;0),E933,0))))</x:f>
        <x:v>0</x:v>
      </x:c>
      <x:c r="BT933">
        <x:f>MAX(0,MIN(BK933,IF(AND(H933=1,C933="重要关系4",LEFT('幕间与结算'!H840,8)="建立新的重要关系"),'幕间与结算'!E840+E933,BT932+IF(C933="重要关系4",E933,0)+IF(AND(C933="魅力",E933&lt;0),E933,0))))</x:f>
        <x:v>0</x:v>
      </x:c>
      <x:c r="BU933">
        <x:f>MAX(0,MIN(BK933,IF(AND(H933=1,C933="重要关系5",LEFT('幕间与结算'!H840,8)="建立新的重要关系"),'幕间与结算'!E840+E933,BU932+IF(C933="重要关系5",E933,0)+IF(AND(C933="魅力",E933&lt;0),E933,0))))</x:f>
        <x:v>0</x:v>
      </x:c>
      <x:c r="BV933">
        <x:f>MAX(0,MIN(BK933,IF(AND(H933=1,C933="重要关系6",LEFT('幕间与结算'!H840,8)="建立新的重要关系"),'幕间与结算'!E840+E933,BV932+IF(C933="重要关系6",E933,0)+IF(AND(C933="魅力",E933&lt;0),E933,0))))</x:f>
        <x:v>0</x:v>
      </x:c>
      <x:c r="BW933">
        <x:f>MAX(0,MIN(BK933,IF(AND(H933=1,C933="重要关系7",LEFT('幕间与结算'!H840,8)="建立新的重要关系"),'幕间与结算'!E840+E933,BW932+IF(C933="重要关系7",E933,0)+IF(AND(C933="魅力",E933&lt;0),E933,0))))</x:f>
        <x:v>0</x:v>
      </x:c>
    </x:row>
    <x:row r="934">
      <x:c r="A934" t="str">
        <x:f>IFERROR(TEXT(VALUE('幕间与结算'!A841),"00"),"")</x:f>
        <x:v>00</x:v>
      </x:c>
      <x:c r="B934">
        <x:f>'幕间与结算'!B841</x:f>
        <x:v>0</x:v>
      </x:c>
      <x:c r="C934">
        <x:f>'幕间与结算'!D841</x:f>
        <x:v>0</x:v>
      </x:c>
      <x:c r="D934">
        <x:f>'幕间与结算'!F841</x:f>
        <x:v>0</x:v>
      </x:c>
      <x:c r="E934">
        <x:f>IF(H934=1,MAX(-'幕间与结算'!E841,MIN(D934,IF(LEFT(C934,3)="技能：",99,IF(COUNTIF($L$2:$L$7,C934)&gt;0,18,999))-'幕间与结算'!E841)),0)</x:f>
        <x:v>0</x:v>
      </x:c>
      <x:c r="F934" t="str">
        <x:f>IF(C934=0,"",IF(G934=0,"记录不完整",IF(H934=0,"重复未计","已计入")))</x:f>
        <x:v/>
      </x:c>
      <x:c r="G934">
        <x:f>IF(AND(AND('幕间与结算'!A841&lt;&gt;"",'幕间与结算'!B841&lt;&gt;"",'幕间与结算'!I841&lt;&gt;"",OR(LEFT(C934,3)="技能：",COUNTIF($L$2:$L$19,C934)&gt;0),ISNUMBER('幕间与结算'!E841),ISNUMBER('幕间与结算'!F841),ISNUMBER('幕间与结算'!G841),'幕间与结算'!E841&gt;=0,'幕间与结算'!G841='幕间与结算'!E841+'幕间与结算'!F841),OR(B934&lt;&gt;"成长",AND(LEFT(C934,3)="技能：",C934&lt;&gt;"技能：非自然知识",'幕间与结算'!E841&gt;=1,'幕间与结算'!E841&lt;=99,'幕间与结算'!F841&gt;=0,'幕间与结算'!F841&lt;=4,'幕间与结算'!G841&lt;=99))),1,0)</x:f>
        <x:v>0</x:v>
      </x:c>
      <x:c r="H934">
        <x:f>IF(AND(G934=1,COUNTIFS($I$200:I934,I934,$G$200:G934,1)=1),1,0)</x:f>
        <x:v>0</x:v>
      </x:c>
      <x:c r="I934" t="str">
        <x:f>IF(G934=1,IF(B934="成长",A934&amp;"-成长-"&amp;C934,'幕间与结算'!I841),"")</x:f>
        <x:v/>
      </x:c>
      <x:c r="BF934">
        <x:f>MAX(0,MIN(18,BF933+IF(C934="力量",E934,0)))</x:f>
        <x:v>0</x:v>
      </x:c>
      <x:c r="BG934">
        <x:f>MAX(0,MIN(18,BG933+IF(C934="体质",E934,0)))</x:f>
        <x:v>0</x:v>
      </x:c>
      <x:c r="BH934">
        <x:f>MAX(0,MIN(18,BH933+IF(C934="敏捷",E934,0)))</x:f>
        <x:v>0</x:v>
      </x:c>
      <x:c r="BI934">
        <x:f>MAX(0,MIN(18,BI933+IF(C934="智力",E934,0)))</x:f>
        <x:v>0</x:v>
      </x:c>
      <x:c r="BJ934">
        <x:f>MAX(0,MIN(18,BJ933+IF(C934="意志",E934,0)))</x:f>
        <x:v>0</x:v>
      </x:c>
      <x:c r="BK934">
        <x:f>MAX(0,MIN(18,BK933+IF(C934="魅力",E934,0)))</x:f>
        <x:v>0</x:v>
      </x:c>
      <x:c r="BL934">
        <x:f>MAX(0,MIN(99,BL933+IF(C934="技能：非自然知识",E934,0)))</x:f>
        <x:v>0</x:v>
      </x:c>
      <x:c r="BM934">
        <x:f>MAX(0,MIN(CEILING((BF934+BG934)/2,1),BM933+IF(C934="体力",E934,0)))</x:f>
        <x:v>0</x:v>
      </x:c>
      <x:c r="BN934">
        <x:f>MAX(0,MIN(BJ934,BN933+IF(C934="毅力",E934,0)))</x:f>
        <x:v>0</x:v>
      </x:c>
      <x:c r="BO934">
        <x:f>MAX(0,MIN(99-BL934,BO933+IF(C934="理智",E934,0)))</x:f>
        <x:v>0</x:v>
      </x:c>
      <x:c r="BP934">
        <x:f>MAX(0,MIN(99,BP933+IF(C934="崩溃点",E934,0)))</x:f>
        <x:v>0</x:v>
      </x:c>
      <x:c r="BQ934">
        <x:f>MAX(0,MIN(BK934,IF(AND(H934=1,C934="重要关系1",LEFT('幕间与结算'!H841,8)="建立新的重要关系"),'幕间与结算'!E841+E934,BQ933+IF(C934="重要关系1",E934,0)+IF(AND(C934="魅力",E934&lt;0),E934,0))))</x:f>
        <x:v>0</x:v>
      </x:c>
      <x:c r="BR934">
        <x:f>MAX(0,MIN(BK934,IF(AND(H934=1,C934="重要关系2",LEFT('幕间与结算'!H841,8)="建立新的重要关系"),'幕间与结算'!E841+E934,BR933+IF(C934="重要关系2",E934,0)+IF(AND(C934="魅力",E934&lt;0),E934,0))))</x:f>
        <x:v>0</x:v>
      </x:c>
      <x:c r="BS934">
        <x:f>MAX(0,MIN(BK934,IF(AND(H934=1,C934="重要关系3",LEFT('幕间与结算'!H841,8)="建立新的重要关系"),'幕间与结算'!E841+E934,BS933+IF(C934="重要关系3",E934,0)+IF(AND(C934="魅力",E934&lt;0),E934,0))))</x:f>
        <x:v>0</x:v>
      </x:c>
      <x:c r="BT934">
        <x:f>MAX(0,MIN(BK934,IF(AND(H934=1,C934="重要关系4",LEFT('幕间与结算'!H841,8)="建立新的重要关系"),'幕间与结算'!E841+E934,BT933+IF(C934="重要关系4",E934,0)+IF(AND(C934="魅力",E934&lt;0),E934,0))))</x:f>
        <x:v>0</x:v>
      </x:c>
      <x:c r="BU934">
        <x:f>MAX(0,MIN(BK934,IF(AND(H934=1,C934="重要关系5",LEFT('幕间与结算'!H841,8)="建立新的重要关系"),'幕间与结算'!E841+E934,BU933+IF(C934="重要关系5",E934,0)+IF(AND(C934="魅力",E934&lt;0),E934,0))))</x:f>
        <x:v>0</x:v>
      </x:c>
      <x:c r="BV934">
        <x:f>MAX(0,MIN(BK934,IF(AND(H934=1,C934="重要关系6",LEFT('幕间与结算'!H841,8)="建立新的重要关系"),'幕间与结算'!E841+E934,BV933+IF(C934="重要关系6",E934,0)+IF(AND(C934="魅力",E934&lt;0),E934,0))))</x:f>
        <x:v>0</x:v>
      </x:c>
      <x:c r="BW934">
        <x:f>MAX(0,MIN(BK934,IF(AND(H934=1,C934="重要关系7",LEFT('幕间与结算'!H841,8)="建立新的重要关系"),'幕间与结算'!E841+E934,BW933+IF(C934="重要关系7",E934,0)+IF(AND(C934="魅力",E934&lt;0),E934,0))))</x:f>
        <x:v>0</x:v>
      </x:c>
    </x:row>
    <x:row r="935">
      <x:c r="A935" t="str">
        <x:f>IFERROR(TEXT(VALUE('幕间与结算'!A842),"00"),"")</x:f>
        <x:v>00</x:v>
      </x:c>
      <x:c r="B935">
        <x:f>'幕间与结算'!B842</x:f>
        <x:v>0</x:v>
      </x:c>
      <x:c r="C935">
        <x:f>'幕间与结算'!D842</x:f>
        <x:v>0</x:v>
      </x:c>
      <x:c r="D935">
        <x:f>'幕间与结算'!F842</x:f>
        <x:v>0</x:v>
      </x:c>
      <x:c r="E935">
        <x:f>IF(H935=1,MAX(-'幕间与结算'!E842,MIN(D935,IF(LEFT(C935,3)="技能：",99,IF(COUNTIF($L$2:$L$7,C935)&gt;0,18,999))-'幕间与结算'!E842)),0)</x:f>
        <x:v>0</x:v>
      </x:c>
      <x:c r="F935" t="str">
        <x:f>IF(C935=0,"",IF(G935=0,"记录不完整",IF(H935=0,"重复未计","已计入")))</x:f>
        <x:v/>
      </x:c>
      <x:c r="G935">
        <x:f>IF(AND(AND('幕间与结算'!A842&lt;&gt;"",'幕间与结算'!B842&lt;&gt;"",'幕间与结算'!I842&lt;&gt;"",OR(LEFT(C935,3)="技能：",COUNTIF($L$2:$L$19,C935)&gt;0),ISNUMBER('幕间与结算'!E842),ISNUMBER('幕间与结算'!F842),ISNUMBER('幕间与结算'!G842),'幕间与结算'!E842&gt;=0,'幕间与结算'!G842='幕间与结算'!E842+'幕间与结算'!F842),OR(B935&lt;&gt;"成长",AND(LEFT(C935,3)="技能：",C935&lt;&gt;"技能：非自然知识",'幕间与结算'!E842&gt;=1,'幕间与结算'!E842&lt;=99,'幕间与结算'!F842&gt;=0,'幕间与结算'!F842&lt;=4,'幕间与结算'!G842&lt;=99))),1,0)</x:f>
        <x:v>0</x:v>
      </x:c>
      <x:c r="H935">
        <x:f>IF(AND(G935=1,COUNTIFS($I$200:I935,I935,$G$200:G935,1)=1),1,0)</x:f>
        <x:v>0</x:v>
      </x:c>
      <x:c r="I935" t="str">
        <x:f>IF(G935=1,IF(B935="成长",A935&amp;"-成长-"&amp;C935,'幕间与结算'!I842),"")</x:f>
        <x:v/>
      </x:c>
      <x:c r="BF935">
        <x:f>MAX(0,MIN(18,BF934+IF(C935="力量",E935,0)))</x:f>
        <x:v>0</x:v>
      </x:c>
      <x:c r="BG935">
        <x:f>MAX(0,MIN(18,BG934+IF(C935="体质",E935,0)))</x:f>
        <x:v>0</x:v>
      </x:c>
      <x:c r="BH935">
        <x:f>MAX(0,MIN(18,BH934+IF(C935="敏捷",E935,0)))</x:f>
        <x:v>0</x:v>
      </x:c>
      <x:c r="BI935">
        <x:f>MAX(0,MIN(18,BI934+IF(C935="智力",E935,0)))</x:f>
        <x:v>0</x:v>
      </x:c>
      <x:c r="BJ935">
        <x:f>MAX(0,MIN(18,BJ934+IF(C935="意志",E935,0)))</x:f>
        <x:v>0</x:v>
      </x:c>
      <x:c r="BK935">
        <x:f>MAX(0,MIN(18,BK934+IF(C935="魅力",E935,0)))</x:f>
        <x:v>0</x:v>
      </x:c>
      <x:c r="BL935">
        <x:f>MAX(0,MIN(99,BL934+IF(C935="技能：非自然知识",E935,0)))</x:f>
        <x:v>0</x:v>
      </x:c>
      <x:c r="BM935">
        <x:f>MAX(0,MIN(CEILING((BF935+BG935)/2,1),BM934+IF(C935="体力",E935,0)))</x:f>
        <x:v>0</x:v>
      </x:c>
      <x:c r="BN935">
        <x:f>MAX(0,MIN(BJ935,BN934+IF(C935="毅力",E935,0)))</x:f>
        <x:v>0</x:v>
      </x:c>
      <x:c r="BO935">
        <x:f>MAX(0,MIN(99-BL935,BO934+IF(C935="理智",E935,0)))</x:f>
        <x:v>0</x:v>
      </x:c>
      <x:c r="BP935">
        <x:f>MAX(0,MIN(99,BP934+IF(C935="崩溃点",E935,0)))</x:f>
        <x:v>0</x:v>
      </x:c>
      <x:c r="BQ935">
        <x:f>MAX(0,MIN(BK935,IF(AND(H935=1,C935="重要关系1",LEFT('幕间与结算'!H842,8)="建立新的重要关系"),'幕间与结算'!E842+E935,BQ934+IF(C935="重要关系1",E935,0)+IF(AND(C935="魅力",E935&lt;0),E935,0))))</x:f>
        <x:v>0</x:v>
      </x:c>
      <x:c r="BR935">
        <x:f>MAX(0,MIN(BK935,IF(AND(H935=1,C935="重要关系2",LEFT('幕间与结算'!H842,8)="建立新的重要关系"),'幕间与结算'!E842+E935,BR934+IF(C935="重要关系2",E935,0)+IF(AND(C935="魅力",E935&lt;0),E935,0))))</x:f>
        <x:v>0</x:v>
      </x:c>
      <x:c r="BS935">
        <x:f>MAX(0,MIN(BK935,IF(AND(H935=1,C935="重要关系3",LEFT('幕间与结算'!H842,8)="建立新的重要关系"),'幕间与结算'!E842+E935,BS934+IF(C935="重要关系3",E935,0)+IF(AND(C935="魅力",E935&lt;0),E935,0))))</x:f>
        <x:v>0</x:v>
      </x:c>
      <x:c r="BT935">
        <x:f>MAX(0,MIN(BK935,IF(AND(H935=1,C935="重要关系4",LEFT('幕间与结算'!H842,8)="建立新的重要关系"),'幕间与结算'!E842+E935,BT934+IF(C935="重要关系4",E935,0)+IF(AND(C935="魅力",E935&lt;0),E935,0))))</x:f>
        <x:v>0</x:v>
      </x:c>
      <x:c r="BU935">
        <x:f>MAX(0,MIN(BK935,IF(AND(H935=1,C935="重要关系5",LEFT('幕间与结算'!H842,8)="建立新的重要关系"),'幕间与结算'!E842+E935,BU934+IF(C935="重要关系5",E935,0)+IF(AND(C935="魅力",E935&lt;0),E935,0))))</x:f>
        <x:v>0</x:v>
      </x:c>
      <x:c r="BV935">
        <x:f>MAX(0,MIN(BK935,IF(AND(H935=1,C935="重要关系6",LEFT('幕间与结算'!H842,8)="建立新的重要关系"),'幕间与结算'!E842+E935,BV934+IF(C935="重要关系6",E935,0)+IF(AND(C935="魅力",E935&lt;0),E935,0))))</x:f>
        <x:v>0</x:v>
      </x:c>
      <x:c r="BW935">
        <x:f>MAX(0,MIN(BK935,IF(AND(H935=1,C935="重要关系7",LEFT('幕间与结算'!H842,8)="建立新的重要关系"),'幕间与结算'!E842+E935,BW934+IF(C935="重要关系7",E935,0)+IF(AND(C935="魅力",E935&lt;0),E935,0))))</x:f>
        <x:v>0</x:v>
      </x:c>
    </x:row>
    <x:row r="936">
      <x:c r="A936" t="str">
        <x:f>IFERROR(TEXT(VALUE('幕间与结算'!A843),"00"),"")</x:f>
        <x:v>00</x:v>
      </x:c>
      <x:c r="B936">
        <x:f>'幕间与结算'!B843</x:f>
        <x:v>0</x:v>
      </x:c>
      <x:c r="C936">
        <x:f>'幕间与结算'!D843</x:f>
        <x:v>0</x:v>
      </x:c>
      <x:c r="D936">
        <x:f>'幕间与结算'!F843</x:f>
        <x:v>0</x:v>
      </x:c>
      <x:c r="E936">
        <x:f>IF(H936=1,MAX(-'幕间与结算'!E843,MIN(D936,IF(LEFT(C936,3)="技能：",99,IF(COUNTIF($L$2:$L$7,C936)&gt;0,18,999))-'幕间与结算'!E843)),0)</x:f>
        <x:v>0</x:v>
      </x:c>
      <x:c r="F936" t="str">
        <x:f>IF(C936=0,"",IF(G936=0,"记录不完整",IF(H936=0,"重复未计","已计入")))</x:f>
        <x:v/>
      </x:c>
      <x:c r="G936">
        <x:f>IF(AND(AND('幕间与结算'!A843&lt;&gt;"",'幕间与结算'!B843&lt;&gt;"",'幕间与结算'!I843&lt;&gt;"",OR(LEFT(C936,3)="技能：",COUNTIF($L$2:$L$19,C936)&gt;0),ISNUMBER('幕间与结算'!E843),ISNUMBER('幕间与结算'!F843),ISNUMBER('幕间与结算'!G843),'幕间与结算'!E843&gt;=0,'幕间与结算'!G843='幕间与结算'!E843+'幕间与结算'!F843),OR(B936&lt;&gt;"成长",AND(LEFT(C936,3)="技能：",C936&lt;&gt;"技能：非自然知识",'幕间与结算'!E843&gt;=1,'幕间与结算'!E843&lt;=99,'幕间与结算'!F843&gt;=0,'幕间与结算'!F843&lt;=4,'幕间与结算'!G843&lt;=99))),1,0)</x:f>
        <x:v>0</x:v>
      </x:c>
      <x:c r="H936">
        <x:f>IF(AND(G936=1,COUNTIFS($I$200:I936,I936,$G$200:G936,1)=1),1,0)</x:f>
        <x:v>0</x:v>
      </x:c>
      <x:c r="I936" t="str">
        <x:f>IF(G936=1,IF(B936="成长",A936&amp;"-成长-"&amp;C936,'幕间与结算'!I843),"")</x:f>
        <x:v/>
      </x:c>
      <x:c r="BF936">
        <x:f>MAX(0,MIN(18,BF935+IF(C936="力量",E936,0)))</x:f>
        <x:v>0</x:v>
      </x:c>
      <x:c r="BG936">
        <x:f>MAX(0,MIN(18,BG935+IF(C936="体质",E936,0)))</x:f>
        <x:v>0</x:v>
      </x:c>
      <x:c r="BH936">
        <x:f>MAX(0,MIN(18,BH935+IF(C936="敏捷",E936,0)))</x:f>
        <x:v>0</x:v>
      </x:c>
      <x:c r="BI936">
        <x:f>MAX(0,MIN(18,BI935+IF(C936="智力",E936,0)))</x:f>
        <x:v>0</x:v>
      </x:c>
      <x:c r="BJ936">
        <x:f>MAX(0,MIN(18,BJ935+IF(C936="意志",E936,0)))</x:f>
        <x:v>0</x:v>
      </x:c>
      <x:c r="BK936">
        <x:f>MAX(0,MIN(18,BK935+IF(C936="魅力",E936,0)))</x:f>
        <x:v>0</x:v>
      </x:c>
      <x:c r="BL936">
        <x:f>MAX(0,MIN(99,BL935+IF(C936="技能：非自然知识",E936,0)))</x:f>
        <x:v>0</x:v>
      </x:c>
      <x:c r="BM936">
        <x:f>MAX(0,MIN(CEILING((BF936+BG936)/2,1),BM935+IF(C936="体力",E936,0)))</x:f>
        <x:v>0</x:v>
      </x:c>
      <x:c r="BN936">
        <x:f>MAX(0,MIN(BJ936,BN935+IF(C936="毅力",E936,0)))</x:f>
        <x:v>0</x:v>
      </x:c>
      <x:c r="BO936">
        <x:f>MAX(0,MIN(99-BL936,BO935+IF(C936="理智",E936,0)))</x:f>
        <x:v>0</x:v>
      </x:c>
      <x:c r="BP936">
        <x:f>MAX(0,MIN(99,BP935+IF(C936="崩溃点",E936,0)))</x:f>
        <x:v>0</x:v>
      </x:c>
      <x:c r="BQ936">
        <x:f>MAX(0,MIN(BK936,IF(AND(H936=1,C936="重要关系1",LEFT('幕间与结算'!H843,8)="建立新的重要关系"),'幕间与结算'!E843+E936,BQ935+IF(C936="重要关系1",E936,0)+IF(AND(C936="魅力",E936&lt;0),E936,0))))</x:f>
        <x:v>0</x:v>
      </x:c>
      <x:c r="BR936">
        <x:f>MAX(0,MIN(BK936,IF(AND(H936=1,C936="重要关系2",LEFT('幕间与结算'!H843,8)="建立新的重要关系"),'幕间与结算'!E843+E936,BR935+IF(C936="重要关系2",E936,0)+IF(AND(C936="魅力",E936&lt;0),E936,0))))</x:f>
        <x:v>0</x:v>
      </x:c>
      <x:c r="BS936">
        <x:f>MAX(0,MIN(BK936,IF(AND(H936=1,C936="重要关系3",LEFT('幕间与结算'!H843,8)="建立新的重要关系"),'幕间与结算'!E843+E936,BS935+IF(C936="重要关系3",E936,0)+IF(AND(C936="魅力",E936&lt;0),E936,0))))</x:f>
        <x:v>0</x:v>
      </x:c>
      <x:c r="BT936">
        <x:f>MAX(0,MIN(BK936,IF(AND(H936=1,C936="重要关系4",LEFT('幕间与结算'!H843,8)="建立新的重要关系"),'幕间与结算'!E843+E936,BT935+IF(C936="重要关系4",E936,0)+IF(AND(C936="魅力",E936&lt;0),E936,0))))</x:f>
        <x:v>0</x:v>
      </x:c>
      <x:c r="BU936">
        <x:f>MAX(0,MIN(BK936,IF(AND(H936=1,C936="重要关系5",LEFT('幕间与结算'!H843,8)="建立新的重要关系"),'幕间与结算'!E843+E936,BU935+IF(C936="重要关系5",E936,0)+IF(AND(C936="魅力",E936&lt;0),E936,0))))</x:f>
        <x:v>0</x:v>
      </x:c>
      <x:c r="BV936">
        <x:f>MAX(0,MIN(BK936,IF(AND(H936=1,C936="重要关系6",LEFT('幕间与结算'!H843,8)="建立新的重要关系"),'幕间与结算'!E843+E936,BV935+IF(C936="重要关系6",E936,0)+IF(AND(C936="魅力",E936&lt;0),E936,0))))</x:f>
        <x:v>0</x:v>
      </x:c>
      <x:c r="BW936">
        <x:f>MAX(0,MIN(BK936,IF(AND(H936=1,C936="重要关系7",LEFT('幕间与结算'!H843,8)="建立新的重要关系"),'幕间与结算'!E843+E936,BW935+IF(C936="重要关系7",E936,0)+IF(AND(C936="魅力",E936&lt;0),E936,0))))</x:f>
        <x:v>0</x:v>
      </x:c>
    </x:row>
    <x:row r="937">
      <x:c r="A937" t="str">
        <x:f>IFERROR(TEXT(VALUE('幕间与结算'!A844),"00"),"")</x:f>
        <x:v>00</x:v>
      </x:c>
      <x:c r="B937">
        <x:f>'幕间与结算'!B844</x:f>
        <x:v>0</x:v>
      </x:c>
      <x:c r="C937">
        <x:f>'幕间与结算'!D844</x:f>
        <x:v>0</x:v>
      </x:c>
      <x:c r="D937">
        <x:f>'幕间与结算'!F844</x:f>
        <x:v>0</x:v>
      </x:c>
      <x:c r="E937">
        <x:f>IF(H937=1,MAX(-'幕间与结算'!E844,MIN(D937,IF(LEFT(C937,3)="技能：",99,IF(COUNTIF($L$2:$L$7,C937)&gt;0,18,999))-'幕间与结算'!E844)),0)</x:f>
        <x:v>0</x:v>
      </x:c>
      <x:c r="F937" t="str">
        <x:f>IF(C937=0,"",IF(G937=0,"记录不完整",IF(H937=0,"重复未计","已计入")))</x:f>
        <x:v/>
      </x:c>
      <x:c r="G937">
        <x:f>IF(AND(AND('幕间与结算'!A844&lt;&gt;"",'幕间与结算'!B844&lt;&gt;"",'幕间与结算'!I844&lt;&gt;"",OR(LEFT(C937,3)="技能：",COUNTIF($L$2:$L$19,C937)&gt;0),ISNUMBER('幕间与结算'!E844),ISNUMBER('幕间与结算'!F844),ISNUMBER('幕间与结算'!G844),'幕间与结算'!E844&gt;=0,'幕间与结算'!G844='幕间与结算'!E844+'幕间与结算'!F844),OR(B937&lt;&gt;"成长",AND(LEFT(C937,3)="技能：",C937&lt;&gt;"技能：非自然知识",'幕间与结算'!E844&gt;=1,'幕间与结算'!E844&lt;=99,'幕间与结算'!F844&gt;=0,'幕间与结算'!F844&lt;=4,'幕间与结算'!G844&lt;=99))),1,0)</x:f>
        <x:v>0</x:v>
      </x:c>
      <x:c r="H937">
        <x:f>IF(AND(G937=1,COUNTIFS($I$200:I937,I937,$G$200:G937,1)=1),1,0)</x:f>
        <x:v>0</x:v>
      </x:c>
      <x:c r="I937" t="str">
        <x:f>IF(G937=1,IF(B937="成长",A937&amp;"-成长-"&amp;C937,'幕间与结算'!I844),"")</x:f>
        <x:v/>
      </x:c>
      <x:c r="BF937">
        <x:f>MAX(0,MIN(18,BF936+IF(C937="力量",E937,0)))</x:f>
        <x:v>0</x:v>
      </x:c>
      <x:c r="BG937">
        <x:f>MAX(0,MIN(18,BG936+IF(C937="体质",E937,0)))</x:f>
        <x:v>0</x:v>
      </x:c>
      <x:c r="BH937">
        <x:f>MAX(0,MIN(18,BH936+IF(C937="敏捷",E937,0)))</x:f>
        <x:v>0</x:v>
      </x:c>
      <x:c r="BI937">
        <x:f>MAX(0,MIN(18,BI936+IF(C937="智力",E937,0)))</x:f>
        <x:v>0</x:v>
      </x:c>
      <x:c r="BJ937">
        <x:f>MAX(0,MIN(18,BJ936+IF(C937="意志",E937,0)))</x:f>
        <x:v>0</x:v>
      </x:c>
      <x:c r="BK937">
        <x:f>MAX(0,MIN(18,BK936+IF(C937="魅力",E937,0)))</x:f>
        <x:v>0</x:v>
      </x:c>
      <x:c r="BL937">
        <x:f>MAX(0,MIN(99,BL936+IF(C937="技能：非自然知识",E937,0)))</x:f>
        <x:v>0</x:v>
      </x:c>
      <x:c r="BM937">
        <x:f>MAX(0,MIN(CEILING((BF937+BG937)/2,1),BM936+IF(C937="体力",E937,0)))</x:f>
        <x:v>0</x:v>
      </x:c>
      <x:c r="BN937">
        <x:f>MAX(0,MIN(BJ937,BN936+IF(C937="毅力",E937,0)))</x:f>
        <x:v>0</x:v>
      </x:c>
      <x:c r="BO937">
        <x:f>MAX(0,MIN(99-BL937,BO936+IF(C937="理智",E937,0)))</x:f>
        <x:v>0</x:v>
      </x:c>
      <x:c r="BP937">
        <x:f>MAX(0,MIN(99,BP936+IF(C937="崩溃点",E937,0)))</x:f>
        <x:v>0</x:v>
      </x:c>
      <x:c r="BQ937">
        <x:f>MAX(0,MIN(BK937,IF(AND(H937=1,C937="重要关系1",LEFT('幕间与结算'!H844,8)="建立新的重要关系"),'幕间与结算'!E844+E937,BQ936+IF(C937="重要关系1",E937,0)+IF(AND(C937="魅力",E937&lt;0),E937,0))))</x:f>
        <x:v>0</x:v>
      </x:c>
      <x:c r="BR937">
        <x:f>MAX(0,MIN(BK937,IF(AND(H937=1,C937="重要关系2",LEFT('幕间与结算'!H844,8)="建立新的重要关系"),'幕间与结算'!E844+E937,BR936+IF(C937="重要关系2",E937,0)+IF(AND(C937="魅力",E937&lt;0),E937,0))))</x:f>
        <x:v>0</x:v>
      </x:c>
      <x:c r="BS937">
        <x:f>MAX(0,MIN(BK937,IF(AND(H937=1,C937="重要关系3",LEFT('幕间与结算'!H844,8)="建立新的重要关系"),'幕间与结算'!E844+E937,BS936+IF(C937="重要关系3",E937,0)+IF(AND(C937="魅力",E937&lt;0),E937,0))))</x:f>
        <x:v>0</x:v>
      </x:c>
      <x:c r="BT937">
        <x:f>MAX(0,MIN(BK937,IF(AND(H937=1,C937="重要关系4",LEFT('幕间与结算'!H844,8)="建立新的重要关系"),'幕间与结算'!E844+E937,BT936+IF(C937="重要关系4",E937,0)+IF(AND(C937="魅力",E937&lt;0),E937,0))))</x:f>
        <x:v>0</x:v>
      </x:c>
      <x:c r="BU937">
        <x:f>MAX(0,MIN(BK937,IF(AND(H937=1,C937="重要关系5",LEFT('幕间与结算'!H844,8)="建立新的重要关系"),'幕间与结算'!E844+E937,BU936+IF(C937="重要关系5",E937,0)+IF(AND(C937="魅力",E937&lt;0),E937,0))))</x:f>
        <x:v>0</x:v>
      </x:c>
      <x:c r="BV937">
        <x:f>MAX(0,MIN(BK937,IF(AND(H937=1,C937="重要关系6",LEFT('幕间与结算'!H844,8)="建立新的重要关系"),'幕间与结算'!E844+E937,BV936+IF(C937="重要关系6",E937,0)+IF(AND(C937="魅力",E937&lt;0),E937,0))))</x:f>
        <x:v>0</x:v>
      </x:c>
      <x:c r="BW937">
        <x:f>MAX(0,MIN(BK937,IF(AND(H937=1,C937="重要关系7",LEFT('幕间与结算'!H844,8)="建立新的重要关系"),'幕间与结算'!E844+E937,BW936+IF(C937="重要关系7",E937,0)+IF(AND(C937="魅力",E937&lt;0),E937,0))))</x:f>
        <x:v>0</x:v>
      </x:c>
    </x:row>
    <x:row r="938">
      <x:c r="A938" t="str">
        <x:f>IFERROR(TEXT(VALUE('幕间与结算'!A845),"00"),"")</x:f>
        <x:v>00</x:v>
      </x:c>
      <x:c r="B938">
        <x:f>'幕间与结算'!B845</x:f>
        <x:v>0</x:v>
      </x:c>
      <x:c r="C938">
        <x:f>'幕间与结算'!D845</x:f>
        <x:v>0</x:v>
      </x:c>
      <x:c r="D938">
        <x:f>'幕间与结算'!F845</x:f>
        <x:v>0</x:v>
      </x:c>
      <x:c r="E938">
        <x:f>IF(H938=1,MAX(-'幕间与结算'!E845,MIN(D938,IF(LEFT(C938,3)="技能：",99,IF(COUNTIF($L$2:$L$7,C938)&gt;0,18,999))-'幕间与结算'!E845)),0)</x:f>
        <x:v>0</x:v>
      </x:c>
      <x:c r="F938" t="str">
        <x:f>IF(C938=0,"",IF(G938=0,"记录不完整",IF(H938=0,"重复未计","已计入")))</x:f>
        <x:v/>
      </x:c>
      <x:c r="G938">
        <x:f>IF(AND(AND('幕间与结算'!A845&lt;&gt;"",'幕间与结算'!B845&lt;&gt;"",'幕间与结算'!I845&lt;&gt;"",OR(LEFT(C938,3)="技能：",COUNTIF($L$2:$L$19,C938)&gt;0),ISNUMBER('幕间与结算'!E845),ISNUMBER('幕间与结算'!F845),ISNUMBER('幕间与结算'!G845),'幕间与结算'!E845&gt;=0,'幕间与结算'!G845='幕间与结算'!E845+'幕间与结算'!F845),OR(B938&lt;&gt;"成长",AND(LEFT(C938,3)="技能：",C938&lt;&gt;"技能：非自然知识",'幕间与结算'!E845&gt;=1,'幕间与结算'!E845&lt;=99,'幕间与结算'!F845&gt;=0,'幕间与结算'!F845&lt;=4,'幕间与结算'!G845&lt;=99))),1,0)</x:f>
        <x:v>0</x:v>
      </x:c>
      <x:c r="H938">
        <x:f>IF(AND(G938=1,COUNTIFS($I$200:I938,I938,$G$200:G938,1)=1),1,0)</x:f>
        <x:v>0</x:v>
      </x:c>
      <x:c r="I938" t="str">
        <x:f>IF(G938=1,IF(B938="成长",A938&amp;"-成长-"&amp;C938,'幕间与结算'!I845),"")</x:f>
        <x:v/>
      </x:c>
      <x:c r="BF938">
        <x:f>MAX(0,MIN(18,BF937+IF(C938="力量",E938,0)))</x:f>
        <x:v>0</x:v>
      </x:c>
      <x:c r="BG938">
        <x:f>MAX(0,MIN(18,BG937+IF(C938="体质",E938,0)))</x:f>
        <x:v>0</x:v>
      </x:c>
      <x:c r="BH938">
        <x:f>MAX(0,MIN(18,BH937+IF(C938="敏捷",E938,0)))</x:f>
        <x:v>0</x:v>
      </x:c>
      <x:c r="BI938">
        <x:f>MAX(0,MIN(18,BI937+IF(C938="智力",E938,0)))</x:f>
        <x:v>0</x:v>
      </x:c>
      <x:c r="BJ938">
        <x:f>MAX(0,MIN(18,BJ937+IF(C938="意志",E938,0)))</x:f>
        <x:v>0</x:v>
      </x:c>
      <x:c r="BK938">
        <x:f>MAX(0,MIN(18,BK937+IF(C938="魅力",E938,0)))</x:f>
        <x:v>0</x:v>
      </x:c>
      <x:c r="BL938">
        <x:f>MAX(0,MIN(99,BL937+IF(C938="技能：非自然知识",E938,0)))</x:f>
        <x:v>0</x:v>
      </x:c>
      <x:c r="BM938">
        <x:f>MAX(0,MIN(CEILING((BF938+BG938)/2,1),BM937+IF(C938="体力",E938,0)))</x:f>
        <x:v>0</x:v>
      </x:c>
      <x:c r="BN938">
        <x:f>MAX(0,MIN(BJ938,BN937+IF(C938="毅力",E938,0)))</x:f>
        <x:v>0</x:v>
      </x:c>
      <x:c r="BO938">
        <x:f>MAX(0,MIN(99-BL938,BO937+IF(C938="理智",E938,0)))</x:f>
        <x:v>0</x:v>
      </x:c>
      <x:c r="BP938">
        <x:f>MAX(0,MIN(99,BP937+IF(C938="崩溃点",E938,0)))</x:f>
        <x:v>0</x:v>
      </x:c>
      <x:c r="BQ938">
        <x:f>MAX(0,MIN(BK938,IF(AND(H938=1,C938="重要关系1",LEFT('幕间与结算'!H845,8)="建立新的重要关系"),'幕间与结算'!E845+E938,BQ937+IF(C938="重要关系1",E938,0)+IF(AND(C938="魅力",E938&lt;0),E938,0))))</x:f>
        <x:v>0</x:v>
      </x:c>
      <x:c r="BR938">
        <x:f>MAX(0,MIN(BK938,IF(AND(H938=1,C938="重要关系2",LEFT('幕间与结算'!H845,8)="建立新的重要关系"),'幕间与结算'!E845+E938,BR937+IF(C938="重要关系2",E938,0)+IF(AND(C938="魅力",E938&lt;0),E938,0))))</x:f>
        <x:v>0</x:v>
      </x:c>
      <x:c r="BS938">
        <x:f>MAX(0,MIN(BK938,IF(AND(H938=1,C938="重要关系3",LEFT('幕间与结算'!H845,8)="建立新的重要关系"),'幕间与结算'!E845+E938,BS937+IF(C938="重要关系3",E938,0)+IF(AND(C938="魅力",E938&lt;0),E938,0))))</x:f>
        <x:v>0</x:v>
      </x:c>
      <x:c r="BT938">
        <x:f>MAX(0,MIN(BK938,IF(AND(H938=1,C938="重要关系4",LEFT('幕间与结算'!H845,8)="建立新的重要关系"),'幕间与结算'!E845+E938,BT937+IF(C938="重要关系4",E938,0)+IF(AND(C938="魅力",E938&lt;0),E938,0))))</x:f>
        <x:v>0</x:v>
      </x:c>
      <x:c r="BU938">
        <x:f>MAX(0,MIN(BK938,IF(AND(H938=1,C938="重要关系5",LEFT('幕间与结算'!H845,8)="建立新的重要关系"),'幕间与结算'!E845+E938,BU937+IF(C938="重要关系5",E938,0)+IF(AND(C938="魅力",E938&lt;0),E938,0))))</x:f>
        <x:v>0</x:v>
      </x:c>
      <x:c r="BV938">
        <x:f>MAX(0,MIN(BK938,IF(AND(H938=1,C938="重要关系6",LEFT('幕间与结算'!H845,8)="建立新的重要关系"),'幕间与结算'!E845+E938,BV937+IF(C938="重要关系6",E938,0)+IF(AND(C938="魅力",E938&lt;0),E938,0))))</x:f>
        <x:v>0</x:v>
      </x:c>
      <x:c r="BW938">
        <x:f>MAX(0,MIN(BK938,IF(AND(H938=1,C938="重要关系7",LEFT('幕间与结算'!H845,8)="建立新的重要关系"),'幕间与结算'!E845+E938,BW937+IF(C938="重要关系7",E938,0)+IF(AND(C938="魅力",E938&lt;0),E938,0))))</x:f>
        <x:v>0</x:v>
      </x:c>
    </x:row>
    <x:row r="939">
      <x:c r="A939" t="str">
        <x:f>IFERROR(TEXT(VALUE('幕间与结算'!A846),"00"),"")</x:f>
        <x:v>00</x:v>
      </x:c>
      <x:c r="B939">
        <x:f>'幕间与结算'!B846</x:f>
        <x:v>0</x:v>
      </x:c>
      <x:c r="C939">
        <x:f>'幕间与结算'!D846</x:f>
        <x:v>0</x:v>
      </x:c>
      <x:c r="D939">
        <x:f>'幕间与结算'!F846</x:f>
        <x:v>0</x:v>
      </x:c>
      <x:c r="E939">
        <x:f>IF(H939=1,MAX(-'幕间与结算'!E846,MIN(D939,IF(LEFT(C939,3)="技能：",99,IF(COUNTIF($L$2:$L$7,C939)&gt;0,18,999))-'幕间与结算'!E846)),0)</x:f>
        <x:v>0</x:v>
      </x:c>
      <x:c r="F939" t="str">
        <x:f>IF(C939=0,"",IF(G939=0,"记录不完整",IF(H939=0,"重复未计","已计入")))</x:f>
        <x:v/>
      </x:c>
      <x:c r="G939">
        <x:f>IF(AND(AND('幕间与结算'!A846&lt;&gt;"",'幕间与结算'!B846&lt;&gt;"",'幕间与结算'!I846&lt;&gt;"",OR(LEFT(C939,3)="技能：",COUNTIF($L$2:$L$19,C939)&gt;0),ISNUMBER('幕间与结算'!E846),ISNUMBER('幕间与结算'!F846),ISNUMBER('幕间与结算'!G846),'幕间与结算'!E846&gt;=0,'幕间与结算'!G846='幕间与结算'!E846+'幕间与结算'!F846),OR(B939&lt;&gt;"成长",AND(LEFT(C939,3)="技能：",C939&lt;&gt;"技能：非自然知识",'幕间与结算'!E846&gt;=1,'幕间与结算'!E846&lt;=99,'幕间与结算'!F846&gt;=0,'幕间与结算'!F846&lt;=4,'幕间与结算'!G846&lt;=99))),1,0)</x:f>
        <x:v>0</x:v>
      </x:c>
      <x:c r="H939">
        <x:f>IF(AND(G939=1,COUNTIFS($I$200:I939,I939,$G$200:G939,1)=1),1,0)</x:f>
        <x:v>0</x:v>
      </x:c>
      <x:c r="I939" t="str">
        <x:f>IF(G939=1,IF(B939="成长",A939&amp;"-成长-"&amp;C939,'幕间与结算'!I846),"")</x:f>
        <x:v/>
      </x:c>
      <x:c r="BF939">
        <x:f>MAX(0,MIN(18,BF938+IF(C939="力量",E939,0)))</x:f>
        <x:v>0</x:v>
      </x:c>
      <x:c r="BG939">
        <x:f>MAX(0,MIN(18,BG938+IF(C939="体质",E939,0)))</x:f>
        <x:v>0</x:v>
      </x:c>
      <x:c r="BH939">
        <x:f>MAX(0,MIN(18,BH938+IF(C939="敏捷",E939,0)))</x:f>
        <x:v>0</x:v>
      </x:c>
      <x:c r="BI939">
        <x:f>MAX(0,MIN(18,BI938+IF(C939="智力",E939,0)))</x:f>
        <x:v>0</x:v>
      </x:c>
      <x:c r="BJ939">
        <x:f>MAX(0,MIN(18,BJ938+IF(C939="意志",E939,0)))</x:f>
        <x:v>0</x:v>
      </x:c>
      <x:c r="BK939">
        <x:f>MAX(0,MIN(18,BK938+IF(C939="魅力",E939,0)))</x:f>
        <x:v>0</x:v>
      </x:c>
      <x:c r="BL939">
        <x:f>MAX(0,MIN(99,BL938+IF(C939="技能：非自然知识",E939,0)))</x:f>
        <x:v>0</x:v>
      </x:c>
      <x:c r="BM939">
        <x:f>MAX(0,MIN(CEILING((BF939+BG939)/2,1),BM938+IF(C939="体力",E939,0)))</x:f>
        <x:v>0</x:v>
      </x:c>
      <x:c r="BN939">
        <x:f>MAX(0,MIN(BJ939,BN938+IF(C939="毅力",E939,0)))</x:f>
        <x:v>0</x:v>
      </x:c>
      <x:c r="BO939">
        <x:f>MAX(0,MIN(99-BL939,BO938+IF(C939="理智",E939,0)))</x:f>
        <x:v>0</x:v>
      </x:c>
      <x:c r="BP939">
        <x:f>MAX(0,MIN(99,BP938+IF(C939="崩溃点",E939,0)))</x:f>
        <x:v>0</x:v>
      </x:c>
      <x:c r="BQ939">
        <x:f>MAX(0,MIN(BK939,IF(AND(H939=1,C939="重要关系1",LEFT('幕间与结算'!H846,8)="建立新的重要关系"),'幕间与结算'!E846+E939,BQ938+IF(C939="重要关系1",E939,0)+IF(AND(C939="魅力",E939&lt;0),E939,0))))</x:f>
        <x:v>0</x:v>
      </x:c>
      <x:c r="BR939">
        <x:f>MAX(0,MIN(BK939,IF(AND(H939=1,C939="重要关系2",LEFT('幕间与结算'!H846,8)="建立新的重要关系"),'幕间与结算'!E846+E939,BR938+IF(C939="重要关系2",E939,0)+IF(AND(C939="魅力",E939&lt;0),E939,0))))</x:f>
        <x:v>0</x:v>
      </x:c>
      <x:c r="BS939">
        <x:f>MAX(0,MIN(BK939,IF(AND(H939=1,C939="重要关系3",LEFT('幕间与结算'!H846,8)="建立新的重要关系"),'幕间与结算'!E846+E939,BS938+IF(C939="重要关系3",E939,0)+IF(AND(C939="魅力",E939&lt;0),E939,0))))</x:f>
        <x:v>0</x:v>
      </x:c>
      <x:c r="BT939">
        <x:f>MAX(0,MIN(BK939,IF(AND(H939=1,C939="重要关系4",LEFT('幕间与结算'!H846,8)="建立新的重要关系"),'幕间与结算'!E846+E939,BT938+IF(C939="重要关系4",E939,0)+IF(AND(C939="魅力",E939&lt;0),E939,0))))</x:f>
        <x:v>0</x:v>
      </x:c>
      <x:c r="BU939">
        <x:f>MAX(0,MIN(BK939,IF(AND(H939=1,C939="重要关系5",LEFT('幕间与结算'!H846,8)="建立新的重要关系"),'幕间与结算'!E846+E939,BU938+IF(C939="重要关系5",E939,0)+IF(AND(C939="魅力",E939&lt;0),E939,0))))</x:f>
        <x:v>0</x:v>
      </x:c>
      <x:c r="BV939">
        <x:f>MAX(0,MIN(BK939,IF(AND(H939=1,C939="重要关系6",LEFT('幕间与结算'!H846,8)="建立新的重要关系"),'幕间与结算'!E846+E939,BV938+IF(C939="重要关系6",E939,0)+IF(AND(C939="魅力",E939&lt;0),E939,0))))</x:f>
        <x:v>0</x:v>
      </x:c>
      <x:c r="BW939">
        <x:f>MAX(0,MIN(BK939,IF(AND(H939=1,C939="重要关系7",LEFT('幕间与结算'!H846,8)="建立新的重要关系"),'幕间与结算'!E846+E939,BW938+IF(C939="重要关系7",E939,0)+IF(AND(C939="魅力",E939&lt;0),E939,0))))</x:f>
        <x:v>0</x:v>
      </x:c>
    </x:row>
    <x:row r="940">
      <x:c r="A940" t="str">
        <x:f>IFERROR(TEXT(VALUE('幕间与结算'!A847),"00"),"")</x:f>
        <x:v>00</x:v>
      </x:c>
      <x:c r="B940">
        <x:f>'幕间与结算'!B847</x:f>
        <x:v>0</x:v>
      </x:c>
      <x:c r="C940">
        <x:f>'幕间与结算'!D847</x:f>
        <x:v>0</x:v>
      </x:c>
      <x:c r="D940">
        <x:f>'幕间与结算'!F847</x:f>
        <x:v>0</x:v>
      </x:c>
      <x:c r="E940">
        <x:f>IF(H940=1,MAX(-'幕间与结算'!E847,MIN(D940,IF(LEFT(C940,3)="技能：",99,IF(COUNTIF($L$2:$L$7,C940)&gt;0,18,999))-'幕间与结算'!E847)),0)</x:f>
        <x:v>0</x:v>
      </x:c>
      <x:c r="F940" t="str">
        <x:f>IF(C940=0,"",IF(G940=0,"记录不完整",IF(H940=0,"重复未计","已计入")))</x:f>
        <x:v/>
      </x:c>
      <x:c r="G940">
        <x:f>IF(AND(AND('幕间与结算'!A847&lt;&gt;"",'幕间与结算'!B847&lt;&gt;"",'幕间与结算'!I847&lt;&gt;"",OR(LEFT(C940,3)="技能：",COUNTIF($L$2:$L$19,C940)&gt;0),ISNUMBER('幕间与结算'!E847),ISNUMBER('幕间与结算'!F847),ISNUMBER('幕间与结算'!G847),'幕间与结算'!E847&gt;=0,'幕间与结算'!G847='幕间与结算'!E847+'幕间与结算'!F847),OR(B940&lt;&gt;"成长",AND(LEFT(C940,3)="技能：",C940&lt;&gt;"技能：非自然知识",'幕间与结算'!E847&gt;=1,'幕间与结算'!E847&lt;=99,'幕间与结算'!F847&gt;=0,'幕间与结算'!F847&lt;=4,'幕间与结算'!G847&lt;=99))),1,0)</x:f>
        <x:v>0</x:v>
      </x:c>
      <x:c r="H940">
        <x:f>IF(AND(G940=1,COUNTIFS($I$200:I940,I940,$G$200:G940,1)=1),1,0)</x:f>
        <x:v>0</x:v>
      </x:c>
      <x:c r="I940" t="str">
        <x:f>IF(G940=1,IF(B940="成长",A940&amp;"-成长-"&amp;C940,'幕间与结算'!I847),"")</x:f>
        <x:v/>
      </x:c>
      <x:c r="BF940">
        <x:f>MAX(0,MIN(18,BF939+IF(C940="力量",E940,0)))</x:f>
        <x:v>0</x:v>
      </x:c>
      <x:c r="BG940">
        <x:f>MAX(0,MIN(18,BG939+IF(C940="体质",E940,0)))</x:f>
        <x:v>0</x:v>
      </x:c>
      <x:c r="BH940">
        <x:f>MAX(0,MIN(18,BH939+IF(C940="敏捷",E940,0)))</x:f>
        <x:v>0</x:v>
      </x:c>
      <x:c r="BI940">
        <x:f>MAX(0,MIN(18,BI939+IF(C940="智力",E940,0)))</x:f>
        <x:v>0</x:v>
      </x:c>
      <x:c r="BJ940">
        <x:f>MAX(0,MIN(18,BJ939+IF(C940="意志",E940,0)))</x:f>
        <x:v>0</x:v>
      </x:c>
      <x:c r="BK940">
        <x:f>MAX(0,MIN(18,BK939+IF(C940="魅力",E940,0)))</x:f>
        <x:v>0</x:v>
      </x:c>
      <x:c r="BL940">
        <x:f>MAX(0,MIN(99,BL939+IF(C940="技能：非自然知识",E940,0)))</x:f>
        <x:v>0</x:v>
      </x:c>
      <x:c r="BM940">
        <x:f>MAX(0,MIN(CEILING((BF940+BG940)/2,1),BM939+IF(C940="体力",E940,0)))</x:f>
        <x:v>0</x:v>
      </x:c>
      <x:c r="BN940">
        <x:f>MAX(0,MIN(BJ940,BN939+IF(C940="毅力",E940,0)))</x:f>
        <x:v>0</x:v>
      </x:c>
      <x:c r="BO940">
        <x:f>MAX(0,MIN(99-BL940,BO939+IF(C940="理智",E940,0)))</x:f>
        <x:v>0</x:v>
      </x:c>
      <x:c r="BP940">
        <x:f>MAX(0,MIN(99,BP939+IF(C940="崩溃点",E940,0)))</x:f>
        <x:v>0</x:v>
      </x:c>
      <x:c r="BQ940">
        <x:f>MAX(0,MIN(BK940,IF(AND(H940=1,C940="重要关系1",LEFT('幕间与结算'!H847,8)="建立新的重要关系"),'幕间与结算'!E847+E940,BQ939+IF(C940="重要关系1",E940,0)+IF(AND(C940="魅力",E940&lt;0),E940,0))))</x:f>
        <x:v>0</x:v>
      </x:c>
      <x:c r="BR940">
        <x:f>MAX(0,MIN(BK940,IF(AND(H940=1,C940="重要关系2",LEFT('幕间与结算'!H847,8)="建立新的重要关系"),'幕间与结算'!E847+E940,BR939+IF(C940="重要关系2",E940,0)+IF(AND(C940="魅力",E940&lt;0),E940,0))))</x:f>
        <x:v>0</x:v>
      </x:c>
      <x:c r="BS940">
        <x:f>MAX(0,MIN(BK940,IF(AND(H940=1,C940="重要关系3",LEFT('幕间与结算'!H847,8)="建立新的重要关系"),'幕间与结算'!E847+E940,BS939+IF(C940="重要关系3",E940,0)+IF(AND(C940="魅力",E940&lt;0),E940,0))))</x:f>
        <x:v>0</x:v>
      </x:c>
      <x:c r="BT940">
        <x:f>MAX(0,MIN(BK940,IF(AND(H940=1,C940="重要关系4",LEFT('幕间与结算'!H847,8)="建立新的重要关系"),'幕间与结算'!E847+E940,BT939+IF(C940="重要关系4",E940,0)+IF(AND(C940="魅力",E940&lt;0),E940,0))))</x:f>
        <x:v>0</x:v>
      </x:c>
      <x:c r="BU940">
        <x:f>MAX(0,MIN(BK940,IF(AND(H940=1,C940="重要关系5",LEFT('幕间与结算'!H847,8)="建立新的重要关系"),'幕间与结算'!E847+E940,BU939+IF(C940="重要关系5",E940,0)+IF(AND(C940="魅力",E940&lt;0),E940,0))))</x:f>
        <x:v>0</x:v>
      </x:c>
      <x:c r="BV940">
        <x:f>MAX(0,MIN(BK940,IF(AND(H940=1,C940="重要关系6",LEFT('幕间与结算'!H847,8)="建立新的重要关系"),'幕间与结算'!E847+E940,BV939+IF(C940="重要关系6",E940,0)+IF(AND(C940="魅力",E940&lt;0),E940,0))))</x:f>
        <x:v>0</x:v>
      </x:c>
      <x:c r="BW940">
        <x:f>MAX(0,MIN(BK940,IF(AND(H940=1,C940="重要关系7",LEFT('幕间与结算'!H847,8)="建立新的重要关系"),'幕间与结算'!E847+E940,BW939+IF(C940="重要关系7",E940,0)+IF(AND(C940="魅力",E940&lt;0),E940,0))))</x:f>
        <x:v>0</x:v>
      </x:c>
    </x:row>
    <x:row r="941">
      <x:c r="A941" t="str">
        <x:f>IFERROR(TEXT(VALUE('幕间与结算'!A848),"00"),"")</x:f>
        <x:v>00</x:v>
      </x:c>
      <x:c r="B941">
        <x:f>'幕间与结算'!B848</x:f>
        <x:v>0</x:v>
      </x:c>
      <x:c r="C941">
        <x:f>'幕间与结算'!D848</x:f>
        <x:v>0</x:v>
      </x:c>
      <x:c r="D941">
        <x:f>'幕间与结算'!F848</x:f>
        <x:v>0</x:v>
      </x:c>
      <x:c r="E941">
        <x:f>IF(H941=1,MAX(-'幕间与结算'!E848,MIN(D941,IF(LEFT(C941,3)="技能：",99,IF(COUNTIF($L$2:$L$7,C941)&gt;0,18,999))-'幕间与结算'!E848)),0)</x:f>
        <x:v>0</x:v>
      </x:c>
      <x:c r="F941" t="str">
        <x:f>IF(C941=0,"",IF(G941=0,"记录不完整",IF(H941=0,"重复未计","已计入")))</x:f>
        <x:v/>
      </x:c>
      <x:c r="G941">
        <x:f>IF(AND(AND('幕间与结算'!A848&lt;&gt;"",'幕间与结算'!B848&lt;&gt;"",'幕间与结算'!I848&lt;&gt;"",OR(LEFT(C941,3)="技能：",COUNTIF($L$2:$L$19,C941)&gt;0),ISNUMBER('幕间与结算'!E848),ISNUMBER('幕间与结算'!F848),ISNUMBER('幕间与结算'!G848),'幕间与结算'!E848&gt;=0,'幕间与结算'!G848='幕间与结算'!E848+'幕间与结算'!F848),OR(B941&lt;&gt;"成长",AND(LEFT(C941,3)="技能：",C941&lt;&gt;"技能：非自然知识",'幕间与结算'!E848&gt;=1,'幕间与结算'!E848&lt;=99,'幕间与结算'!F848&gt;=0,'幕间与结算'!F848&lt;=4,'幕间与结算'!G848&lt;=99))),1,0)</x:f>
        <x:v>0</x:v>
      </x:c>
      <x:c r="H941">
        <x:f>IF(AND(G941=1,COUNTIFS($I$200:I941,I941,$G$200:G941,1)=1),1,0)</x:f>
        <x:v>0</x:v>
      </x:c>
      <x:c r="I941" t="str">
        <x:f>IF(G941=1,IF(B941="成长",A941&amp;"-成长-"&amp;C941,'幕间与结算'!I848),"")</x:f>
        <x:v/>
      </x:c>
      <x:c r="BF941">
        <x:f>MAX(0,MIN(18,BF940+IF(C941="力量",E941,0)))</x:f>
        <x:v>0</x:v>
      </x:c>
      <x:c r="BG941">
        <x:f>MAX(0,MIN(18,BG940+IF(C941="体质",E941,0)))</x:f>
        <x:v>0</x:v>
      </x:c>
      <x:c r="BH941">
        <x:f>MAX(0,MIN(18,BH940+IF(C941="敏捷",E941,0)))</x:f>
        <x:v>0</x:v>
      </x:c>
      <x:c r="BI941">
        <x:f>MAX(0,MIN(18,BI940+IF(C941="智力",E941,0)))</x:f>
        <x:v>0</x:v>
      </x:c>
      <x:c r="BJ941">
        <x:f>MAX(0,MIN(18,BJ940+IF(C941="意志",E941,0)))</x:f>
        <x:v>0</x:v>
      </x:c>
      <x:c r="BK941">
        <x:f>MAX(0,MIN(18,BK940+IF(C941="魅力",E941,0)))</x:f>
        <x:v>0</x:v>
      </x:c>
      <x:c r="BL941">
        <x:f>MAX(0,MIN(99,BL940+IF(C941="技能：非自然知识",E941,0)))</x:f>
        <x:v>0</x:v>
      </x:c>
      <x:c r="BM941">
        <x:f>MAX(0,MIN(CEILING((BF941+BG941)/2,1),BM940+IF(C941="体力",E941,0)))</x:f>
        <x:v>0</x:v>
      </x:c>
      <x:c r="BN941">
        <x:f>MAX(0,MIN(BJ941,BN940+IF(C941="毅力",E941,0)))</x:f>
        <x:v>0</x:v>
      </x:c>
      <x:c r="BO941">
        <x:f>MAX(0,MIN(99-BL941,BO940+IF(C941="理智",E941,0)))</x:f>
        <x:v>0</x:v>
      </x:c>
      <x:c r="BP941">
        <x:f>MAX(0,MIN(99,BP940+IF(C941="崩溃点",E941,0)))</x:f>
        <x:v>0</x:v>
      </x:c>
      <x:c r="BQ941">
        <x:f>MAX(0,MIN(BK941,IF(AND(H941=1,C941="重要关系1",LEFT('幕间与结算'!H848,8)="建立新的重要关系"),'幕间与结算'!E848+E941,BQ940+IF(C941="重要关系1",E941,0)+IF(AND(C941="魅力",E941&lt;0),E941,0))))</x:f>
        <x:v>0</x:v>
      </x:c>
      <x:c r="BR941">
        <x:f>MAX(0,MIN(BK941,IF(AND(H941=1,C941="重要关系2",LEFT('幕间与结算'!H848,8)="建立新的重要关系"),'幕间与结算'!E848+E941,BR940+IF(C941="重要关系2",E941,0)+IF(AND(C941="魅力",E941&lt;0),E941,0))))</x:f>
        <x:v>0</x:v>
      </x:c>
      <x:c r="BS941">
        <x:f>MAX(0,MIN(BK941,IF(AND(H941=1,C941="重要关系3",LEFT('幕间与结算'!H848,8)="建立新的重要关系"),'幕间与结算'!E848+E941,BS940+IF(C941="重要关系3",E941,0)+IF(AND(C941="魅力",E941&lt;0),E941,0))))</x:f>
        <x:v>0</x:v>
      </x:c>
      <x:c r="BT941">
        <x:f>MAX(0,MIN(BK941,IF(AND(H941=1,C941="重要关系4",LEFT('幕间与结算'!H848,8)="建立新的重要关系"),'幕间与结算'!E848+E941,BT940+IF(C941="重要关系4",E941,0)+IF(AND(C941="魅力",E941&lt;0),E941,0))))</x:f>
        <x:v>0</x:v>
      </x:c>
      <x:c r="BU941">
        <x:f>MAX(0,MIN(BK941,IF(AND(H941=1,C941="重要关系5",LEFT('幕间与结算'!H848,8)="建立新的重要关系"),'幕间与结算'!E848+E941,BU940+IF(C941="重要关系5",E941,0)+IF(AND(C941="魅力",E941&lt;0),E941,0))))</x:f>
        <x:v>0</x:v>
      </x:c>
      <x:c r="BV941">
        <x:f>MAX(0,MIN(BK941,IF(AND(H941=1,C941="重要关系6",LEFT('幕间与结算'!H848,8)="建立新的重要关系"),'幕间与结算'!E848+E941,BV940+IF(C941="重要关系6",E941,0)+IF(AND(C941="魅力",E941&lt;0),E941,0))))</x:f>
        <x:v>0</x:v>
      </x:c>
      <x:c r="BW941">
        <x:f>MAX(0,MIN(BK941,IF(AND(H941=1,C941="重要关系7",LEFT('幕间与结算'!H848,8)="建立新的重要关系"),'幕间与结算'!E848+E941,BW940+IF(C941="重要关系7",E941,0)+IF(AND(C941="魅力",E941&lt;0),E941,0))))</x:f>
        <x:v>0</x:v>
      </x:c>
    </x:row>
    <x:row r="942">
      <x:c r="A942" t="str">
        <x:f>IFERROR(TEXT(VALUE('幕间与结算'!A849),"00"),"")</x:f>
        <x:v>00</x:v>
      </x:c>
      <x:c r="B942">
        <x:f>'幕间与结算'!B849</x:f>
        <x:v>0</x:v>
      </x:c>
      <x:c r="C942">
        <x:f>'幕间与结算'!D849</x:f>
        <x:v>0</x:v>
      </x:c>
      <x:c r="D942">
        <x:f>'幕间与结算'!F849</x:f>
        <x:v>0</x:v>
      </x:c>
      <x:c r="E942">
        <x:f>IF(H942=1,MAX(-'幕间与结算'!E849,MIN(D942,IF(LEFT(C942,3)="技能：",99,IF(COUNTIF($L$2:$L$7,C942)&gt;0,18,999))-'幕间与结算'!E849)),0)</x:f>
        <x:v>0</x:v>
      </x:c>
      <x:c r="F942" t="str">
        <x:f>IF(C942=0,"",IF(G942=0,"记录不完整",IF(H942=0,"重复未计","已计入")))</x:f>
        <x:v/>
      </x:c>
      <x:c r="G942">
        <x:f>IF(AND(AND('幕间与结算'!A849&lt;&gt;"",'幕间与结算'!B849&lt;&gt;"",'幕间与结算'!I849&lt;&gt;"",OR(LEFT(C942,3)="技能：",COUNTIF($L$2:$L$19,C942)&gt;0),ISNUMBER('幕间与结算'!E849),ISNUMBER('幕间与结算'!F849),ISNUMBER('幕间与结算'!G849),'幕间与结算'!E849&gt;=0,'幕间与结算'!G849='幕间与结算'!E849+'幕间与结算'!F849),OR(B942&lt;&gt;"成长",AND(LEFT(C942,3)="技能：",C942&lt;&gt;"技能：非自然知识",'幕间与结算'!E849&gt;=1,'幕间与结算'!E849&lt;=99,'幕间与结算'!F849&gt;=0,'幕间与结算'!F849&lt;=4,'幕间与结算'!G849&lt;=99))),1,0)</x:f>
        <x:v>0</x:v>
      </x:c>
      <x:c r="H942">
        <x:f>IF(AND(G942=1,COUNTIFS($I$200:I942,I942,$G$200:G942,1)=1),1,0)</x:f>
        <x:v>0</x:v>
      </x:c>
      <x:c r="I942" t="str">
        <x:f>IF(G942=1,IF(B942="成长",A942&amp;"-成长-"&amp;C942,'幕间与结算'!I849),"")</x:f>
        <x:v/>
      </x:c>
      <x:c r="BF942">
        <x:f>MAX(0,MIN(18,BF941+IF(C942="力量",E942,0)))</x:f>
        <x:v>0</x:v>
      </x:c>
      <x:c r="BG942">
        <x:f>MAX(0,MIN(18,BG941+IF(C942="体质",E942,0)))</x:f>
        <x:v>0</x:v>
      </x:c>
      <x:c r="BH942">
        <x:f>MAX(0,MIN(18,BH941+IF(C942="敏捷",E942,0)))</x:f>
        <x:v>0</x:v>
      </x:c>
      <x:c r="BI942">
        <x:f>MAX(0,MIN(18,BI941+IF(C942="智力",E942,0)))</x:f>
        <x:v>0</x:v>
      </x:c>
      <x:c r="BJ942">
        <x:f>MAX(0,MIN(18,BJ941+IF(C942="意志",E942,0)))</x:f>
        <x:v>0</x:v>
      </x:c>
      <x:c r="BK942">
        <x:f>MAX(0,MIN(18,BK941+IF(C942="魅力",E942,0)))</x:f>
        <x:v>0</x:v>
      </x:c>
      <x:c r="BL942">
        <x:f>MAX(0,MIN(99,BL941+IF(C942="技能：非自然知识",E942,0)))</x:f>
        <x:v>0</x:v>
      </x:c>
      <x:c r="BM942">
        <x:f>MAX(0,MIN(CEILING((BF942+BG942)/2,1),BM941+IF(C942="体力",E942,0)))</x:f>
        <x:v>0</x:v>
      </x:c>
      <x:c r="BN942">
        <x:f>MAX(0,MIN(BJ942,BN941+IF(C942="毅力",E942,0)))</x:f>
        <x:v>0</x:v>
      </x:c>
      <x:c r="BO942">
        <x:f>MAX(0,MIN(99-BL942,BO941+IF(C942="理智",E942,0)))</x:f>
        <x:v>0</x:v>
      </x:c>
      <x:c r="BP942">
        <x:f>MAX(0,MIN(99,BP941+IF(C942="崩溃点",E942,0)))</x:f>
        <x:v>0</x:v>
      </x:c>
      <x:c r="BQ942">
        <x:f>MAX(0,MIN(BK942,IF(AND(H942=1,C942="重要关系1",LEFT('幕间与结算'!H849,8)="建立新的重要关系"),'幕间与结算'!E849+E942,BQ941+IF(C942="重要关系1",E942,0)+IF(AND(C942="魅力",E942&lt;0),E942,0))))</x:f>
        <x:v>0</x:v>
      </x:c>
      <x:c r="BR942">
        <x:f>MAX(0,MIN(BK942,IF(AND(H942=1,C942="重要关系2",LEFT('幕间与结算'!H849,8)="建立新的重要关系"),'幕间与结算'!E849+E942,BR941+IF(C942="重要关系2",E942,0)+IF(AND(C942="魅力",E942&lt;0),E942,0))))</x:f>
        <x:v>0</x:v>
      </x:c>
      <x:c r="BS942">
        <x:f>MAX(0,MIN(BK942,IF(AND(H942=1,C942="重要关系3",LEFT('幕间与结算'!H849,8)="建立新的重要关系"),'幕间与结算'!E849+E942,BS941+IF(C942="重要关系3",E942,0)+IF(AND(C942="魅力",E942&lt;0),E942,0))))</x:f>
        <x:v>0</x:v>
      </x:c>
      <x:c r="BT942">
        <x:f>MAX(0,MIN(BK942,IF(AND(H942=1,C942="重要关系4",LEFT('幕间与结算'!H849,8)="建立新的重要关系"),'幕间与结算'!E849+E942,BT941+IF(C942="重要关系4",E942,0)+IF(AND(C942="魅力",E942&lt;0),E942,0))))</x:f>
        <x:v>0</x:v>
      </x:c>
      <x:c r="BU942">
        <x:f>MAX(0,MIN(BK942,IF(AND(H942=1,C942="重要关系5",LEFT('幕间与结算'!H849,8)="建立新的重要关系"),'幕间与结算'!E849+E942,BU941+IF(C942="重要关系5",E942,0)+IF(AND(C942="魅力",E942&lt;0),E942,0))))</x:f>
        <x:v>0</x:v>
      </x:c>
      <x:c r="BV942">
        <x:f>MAX(0,MIN(BK942,IF(AND(H942=1,C942="重要关系6",LEFT('幕间与结算'!H849,8)="建立新的重要关系"),'幕间与结算'!E849+E942,BV941+IF(C942="重要关系6",E942,0)+IF(AND(C942="魅力",E942&lt;0),E942,0))))</x:f>
        <x:v>0</x:v>
      </x:c>
      <x:c r="BW942">
        <x:f>MAX(0,MIN(BK942,IF(AND(H942=1,C942="重要关系7",LEFT('幕间与结算'!H849,8)="建立新的重要关系"),'幕间与结算'!E849+E942,BW941+IF(C942="重要关系7",E942,0)+IF(AND(C942="魅力",E942&lt;0),E942,0))))</x:f>
        <x:v>0</x:v>
      </x:c>
    </x:row>
    <x:row r="943">
      <x:c r="A943" t="str">
        <x:f>IFERROR(TEXT(VALUE('幕间与结算'!A850),"00"),"")</x:f>
        <x:v>00</x:v>
      </x:c>
      <x:c r="B943">
        <x:f>'幕间与结算'!B850</x:f>
        <x:v>0</x:v>
      </x:c>
      <x:c r="C943">
        <x:f>'幕间与结算'!D850</x:f>
        <x:v>0</x:v>
      </x:c>
      <x:c r="D943">
        <x:f>'幕间与结算'!F850</x:f>
        <x:v>0</x:v>
      </x:c>
      <x:c r="E943">
        <x:f>IF(H943=1,MAX(-'幕间与结算'!E850,MIN(D943,IF(LEFT(C943,3)="技能：",99,IF(COUNTIF($L$2:$L$7,C943)&gt;0,18,999))-'幕间与结算'!E850)),0)</x:f>
        <x:v>0</x:v>
      </x:c>
      <x:c r="F943" t="str">
        <x:f>IF(C943=0,"",IF(G943=0,"记录不完整",IF(H943=0,"重复未计","已计入")))</x:f>
        <x:v/>
      </x:c>
      <x:c r="G943">
        <x:f>IF(AND(AND('幕间与结算'!A850&lt;&gt;"",'幕间与结算'!B850&lt;&gt;"",'幕间与结算'!I850&lt;&gt;"",OR(LEFT(C943,3)="技能：",COUNTIF($L$2:$L$19,C943)&gt;0),ISNUMBER('幕间与结算'!E850),ISNUMBER('幕间与结算'!F850),ISNUMBER('幕间与结算'!G850),'幕间与结算'!E850&gt;=0,'幕间与结算'!G850='幕间与结算'!E850+'幕间与结算'!F850),OR(B943&lt;&gt;"成长",AND(LEFT(C943,3)="技能：",C943&lt;&gt;"技能：非自然知识",'幕间与结算'!E850&gt;=1,'幕间与结算'!E850&lt;=99,'幕间与结算'!F850&gt;=0,'幕间与结算'!F850&lt;=4,'幕间与结算'!G850&lt;=99))),1,0)</x:f>
        <x:v>0</x:v>
      </x:c>
      <x:c r="H943">
        <x:f>IF(AND(G943=1,COUNTIFS($I$200:I943,I943,$G$200:G943,1)=1),1,0)</x:f>
        <x:v>0</x:v>
      </x:c>
      <x:c r="I943" t="str">
        <x:f>IF(G943=1,IF(B943="成长",A943&amp;"-成长-"&amp;C943,'幕间与结算'!I850),"")</x:f>
        <x:v/>
      </x:c>
      <x:c r="BF943">
        <x:f>MAX(0,MIN(18,BF942+IF(C943="力量",E943,0)))</x:f>
        <x:v>0</x:v>
      </x:c>
      <x:c r="BG943">
        <x:f>MAX(0,MIN(18,BG942+IF(C943="体质",E943,0)))</x:f>
        <x:v>0</x:v>
      </x:c>
      <x:c r="BH943">
        <x:f>MAX(0,MIN(18,BH942+IF(C943="敏捷",E943,0)))</x:f>
        <x:v>0</x:v>
      </x:c>
      <x:c r="BI943">
        <x:f>MAX(0,MIN(18,BI942+IF(C943="智力",E943,0)))</x:f>
        <x:v>0</x:v>
      </x:c>
      <x:c r="BJ943">
        <x:f>MAX(0,MIN(18,BJ942+IF(C943="意志",E943,0)))</x:f>
        <x:v>0</x:v>
      </x:c>
      <x:c r="BK943">
        <x:f>MAX(0,MIN(18,BK942+IF(C943="魅力",E943,0)))</x:f>
        <x:v>0</x:v>
      </x:c>
      <x:c r="BL943">
        <x:f>MAX(0,MIN(99,BL942+IF(C943="技能：非自然知识",E943,0)))</x:f>
        <x:v>0</x:v>
      </x:c>
      <x:c r="BM943">
        <x:f>MAX(0,MIN(CEILING((BF943+BG943)/2,1),BM942+IF(C943="体力",E943,0)))</x:f>
        <x:v>0</x:v>
      </x:c>
      <x:c r="BN943">
        <x:f>MAX(0,MIN(BJ943,BN942+IF(C943="毅力",E943,0)))</x:f>
        <x:v>0</x:v>
      </x:c>
      <x:c r="BO943">
        <x:f>MAX(0,MIN(99-BL943,BO942+IF(C943="理智",E943,0)))</x:f>
        <x:v>0</x:v>
      </x:c>
      <x:c r="BP943">
        <x:f>MAX(0,MIN(99,BP942+IF(C943="崩溃点",E943,0)))</x:f>
        <x:v>0</x:v>
      </x:c>
      <x:c r="BQ943">
        <x:f>MAX(0,MIN(BK943,IF(AND(H943=1,C943="重要关系1",LEFT('幕间与结算'!H850,8)="建立新的重要关系"),'幕间与结算'!E850+E943,BQ942+IF(C943="重要关系1",E943,0)+IF(AND(C943="魅力",E943&lt;0),E943,0))))</x:f>
        <x:v>0</x:v>
      </x:c>
      <x:c r="BR943">
        <x:f>MAX(0,MIN(BK943,IF(AND(H943=1,C943="重要关系2",LEFT('幕间与结算'!H850,8)="建立新的重要关系"),'幕间与结算'!E850+E943,BR942+IF(C943="重要关系2",E943,0)+IF(AND(C943="魅力",E943&lt;0),E943,0))))</x:f>
        <x:v>0</x:v>
      </x:c>
      <x:c r="BS943">
        <x:f>MAX(0,MIN(BK943,IF(AND(H943=1,C943="重要关系3",LEFT('幕间与结算'!H850,8)="建立新的重要关系"),'幕间与结算'!E850+E943,BS942+IF(C943="重要关系3",E943,0)+IF(AND(C943="魅力",E943&lt;0),E943,0))))</x:f>
        <x:v>0</x:v>
      </x:c>
      <x:c r="BT943">
        <x:f>MAX(0,MIN(BK943,IF(AND(H943=1,C943="重要关系4",LEFT('幕间与结算'!H850,8)="建立新的重要关系"),'幕间与结算'!E850+E943,BT942+IF(C943="重要关系4",E943,0)+IF(AND(C943="魅力",E943&lt;0),E943,0))))</x:f>
        <x:v>0</x:v>
      </x:c>
      <x:c r="BU943">
        <x:f>MAX(0,MIN(BK943,IF(AND(H943=1,C943="重要关系5",LEFT('幕间与结算'!H850,8)="建立新的重要关系"),'幕间与结算'!E850+E943,BU942+IF(C943="重要关系5",E943,0)+IF(AND(C943="魅力",E943&lt;0),E943,0))))</x:f>
        <x:v>0</x:v>
      </x:c>
      <x:c r="BV943">
        <x:f>MAX(0,MIN(BK943,IF(AND(H943=1,C943="重要关系6",LEFT('幕间与结算'!H850,8)="建立新的重要关系"),'幕间与结算'!E850+E943,BV942+IF(C943="重要关系6",E943,0)+IF(AND(C943="魅力",E943&lt;0),E943,0))))</x:f>
        <x:v>0</x:v>
      </x:c>
      <x:c r="BW943">
        <x:f>MAX(0,MIN(BK943,IF(AND(H943=1,C943="重要关系7",LEFT('幕间与结算'!H850,8)="建立新的重要关系"),'幕间与结算'!E850+E943,BW942+IF(C943="重要关系7",E943,0)+IF(AND(C943="魅力",E943&lt;0),E943,0))))</x:f>
        <x:v>0</x:v>
      </x:c>
    </x:row>
    <x:row r="944">
      <x:c r="A944" t="str">
        <x:f>IFERROR(TEXT(VALUE('幕间与结算'!A851),"00"),"")</x:f>
        <x:v>00</x:v>
      </x:c>
      <x:c r="B944">
        <x:f>'幕间与结算'!B851</x:f>
        <x:v>0</x:v>
      </x:c>
      <x:c r="C944">
        <x:f>'幕间与结算'!D851</x:f>
        <x:v>0</x:v>
      </x:c>
      <x:c r="D944">
        <x:f>'幕间与结算'!F851</x:f>
        <x:v>0</x:v>
      </x:c>
      <x:c r="E944">
        <x:f>IF(H944=1,MAX(-'幕间与结算'!E851,MIN(D944,IF(LEFT(C944,3)="技能：",99,IF(COUNTIF($L$2:$L$7,C944)&gt;0,18,999))-'幕间与结算'!E851)),0)</x:f>
        <x:v>0</x:v>
      </x:c>
      <x:c r="F944" t="str">
        <x:f>IF(C944=0,"",IF(G944=0,"记录不完整",IF(H944=0,"重复未计","已计入")))</x:f>
        <x:v/>
      </x:c>
      <x:c r="G944">
        <x:f>IF(AND(AND('幕间与结算'!A851&lt;&gt;"",'幕间与结算'!B851&lt;&gt;"",'幕间与结算'!I851&lt;&gt;"",OR(LEFT(C944,3)="技能：",COUNTIF($L$2:$L$19,C944)&gt;0),ISNUMBER('幕间与结算'!E851),ISNUMBER('幕间与结算'!F851),ISNUMBER('幕间与结算'!G851),'幕间与结算'!E851&gt;=0,'幕间与结算'!G851='幕间与结算'!E851+'幕间与结算'!F851),OR(B944&lt;&gt;"成长",AND(LEFT(C944,3)="技能：",C944&lt;&gt;"技能：非自然知识",'幕间与结算'!E851&gt;=1,'幕间与结算'!E851&lt;=99,'幕间与结算'!F851&gt;=0,'幕间与结算'!F851&lt;=4,'幕间与结算'!G851&lt;=99))),1,0)</x:f>
        <x:v>0</x:v>
      </x:c>
      <x:c r="H944">
        <x:f>IF(AND(G944=1,COUNTIFS($I$200:I944,I944,$G$200:G944,1)=1),1,0)</x:f>
        <x:v>0</x:v>
      </x:c>
      <x:c r="I944" t="str">
        <x:f>IF(G944=1,IF(B944="成长",A944&amp;"-成长-"&amp;C944,'幕间与结算'!I851),"")</x:f>
        <x:v/>
      </x:c>
      <x:c r="BF944">
        <x:f>MAX(0,MIN(18,BF943+IF(C944="力量",E944,0)))</x:f>
        <x:v>0</x:v>
      </x:c>
      <x:c r="BG944">
        <x:f>MAX(0,MIN(18,BG943+IF(C944="体质",E944,0)))</x:f>
        <x:v>0</x:v>
      </x:c>
      <x:c r="BH944">
        <x:f>MAX(0,MIN(18,BH943+IF(C944="敏捷",E944,0)))</x:f>
        <x:v>0</x:v>
      </x:c>
      <x:c r="BI944">
        <x:f>MAX(0,MIN(18,BI943+IF(C944="智力",E944,0)))</x:f>
        <x:v>0</x:v>
      </x:c>
      <x:c r="BJ944">
        <x:f>MAX(0,MIN(18,BJ943+IF(C944="意志",E944,0)))</x:f>
        <x:v>0</x:v>
      </x:c>
      <x:c r="BK944">
        <x:f>MAX(0,MIN(18,BK943+IF(C944="魅力",E944,0)))</x:f>
        <x:v>0</x:v>
      </x:c>
      <x:c r="BL944">
        <x:f>MAX(0,MIN(99,BL943+IF(C944="技能：非自然知识",E944,0)))</x:f>
        <x:v>0</x:v>
      </x:c>
      <x:c r="BM944">
        <x:f>MAX(0,MIN(CEILING((BF944+BG944)/2,1),BM943+IF(C944="体力",E944,0)))</x:f>
        <x:v>0</x:v>
      </x:c>
      <x:c r="BN944">
        <x:f>MAX(0,MIN(BJ944,BN943+IF(C944="毅力",E944,0)))</x:f>
        <x:v>0</x:v>
      </x:c>
      <x:c r="BO944">
        <x:f>MAX(0,MIN(99-BL944,BO943+IF(C944="理智",E944,0)))</x:f>
        <x:v>0</x:v>
      </x:c>
      <x:c r="BP944">
        <x:f>MAX(0,MIN(99,BP943+IF(C944="崩溃点",E944,0)))</x:f>
        <x:v>0</x:v>
      </x:c>
      <x:c r="BQ944">
        <x:f>MAX(0,MIN(BK944,IF(AND(H944=1,C944="重要关系1",LEFT('幕间与结算'!H851,8)="建立新的重要关系"),'幕间与结算'!E851+E944,BQ943+IF(C944="重要关系1",E944,0)+IF(AND(C944="魅力",E944&lt;0),E944,0))))</x:f>
        <x:v>0</x:v>
      </x:c>
      <x:c r="BR944">
        <x:f>MAX(0,MIN(BK944,IF(AND(H944=1,C944="重要关系2",LEFT('幕间与结算'!H851,8)="建立新的重要关系"),'幕间与结算'!E851+E944,BR943+IF(C944="重要关系2",E944,0)+IF(AND(C944="魅力",E944&lt;0),E944,0))))</x:f>
        <x:v>0</x:v>
      </x:c>
      <x:c r="BS944">
        <x:f>MAX(0,MIN(BK944,IF(AND(H944=1,C944="重要关系3",LEFT('幕间与结算'!H851,8)="建立新的重要关系"),'幕间与结算'!E851+E944,BS943+IF(C944="重要关系3",E944,0)+IF(AND(C944="魅力",E944&lt;0),E944,0))))</x:f>
        <x:v>0</x:v>
      </x:c>
      <x:c r="BT944">
        <x:f>MAX(0,MIN(BK944,IF(AND(H944=1,C944="重要关系4",LEFT('幕间与结算'!H851,8)="建立新的重要关系"),'幕间与结算'!E851+E944,BT943+IF(C944="重要关系4",E944,0)+IF(AND(C944="魅力",E944&lt;0),E944,0))))</x:f>
        <x:v>0</x:v>
      </x:c>
      <x:c r="BU944">
        <x:f>MAX(0,MIN(BK944,IF(AND(H944=1,C944="重要关系5",LEFT('幕间与结算'!H851,8)="建立新的重要关系"),'幕间与结算'!E851+E944,BU943+IF(C944="重要关系5",E944,0)+IF(AND(C944="魅力",E944&lt;0),E944,0))))</x:f>
        <x:v>0</x:v>
      </x:c>
      <x:c r="BV944">
        <x:f>MAX(0,MIN(BK944,IF(AND(H944=1,C944="重要关系6",LEFT('幕间与结算'!H851,8)="建立新的重要关系"),'幕间与结算'!E851+E944,BV943+IF(C944="重要关系6",E944,0)+IF(AND(C944="魅力",E944&lt;0),E944,0))))</x:f>
        <x:v>0</x:v>
      </x:c>
      <x:c r="BW944">
        <x:f>MAX(0,MIN(BK944,IF(AND(H944=1,C944="重要关系7",LEFT('幕间与结算'!H851,8)="建立新的重要关系"),'幕间与结算'!E851+E944,BW943+IF(C944="重要关系7",E944,0)+IF(AND(C944="魅力",E944&lt;0),E944,0))))</x:f>
        <x:v>0</x:v>
      </x:c>
    </x:row>
    <x:row r="945">
      <x:c r="A945" t="str">
        <x:f>IFERROR(TEXT(VALUE('幕间与结算'!A852),"00"),"")</x:f>
        <x:v>00</x:v>
      </x:c>
      <x:c r="B945">
        <x:f>'幕间与结算'!B852</x:f>
        <x:v>0</x:v>
      </x:c>
      <x:c r="C945">
        <x:f>'幕间与结算'!D852</x:f>
        <x:v>0</x:v>
      </x:c>
      <x:c r="D945">
        <x:f>'幕间与结算'!F852</x:f>
        <x:v>0</x:v>
      </x:c>
      <x:c r="E945">
        <x:f>IF(H945=1,MAX(-'幕间与结算'!E852,MIN(D945,IF(LEFT(C945,3)="技能：",99,IF(COUNTIF($L$2:$L$7,C945)&gt;0,18,999))-'幕间与结算'!E852)),0)</x:f>
        <x:v>0</x:v>
      </x:c>
      <x:c r="F945" t="str">
        <x:f>IF(C945=0,"",IF(G945=0,"记录不完整",IF(H945=0,"重复未计","已计入")))</x:f>
        <x:v/>
      </x:c>
      <x:c r="G945">
        <x:f>IF(AND(AND('幕间与结算'!A852&lt;&gt;"",'幕间与结算'!B852&lt;&gt;"",'幕间与结算'!I852&lt;&gt;"",OR(LEFT(C945,3)="技能：",COUNTIF($L$2:$L$19,C945)&gt;0),ISNUMBER('幕间与结算'!E852),ISNUMBER('幕间与结算'!F852),ISNUMBER('幕间与结算'!G852),'幕间与结算'!E852&gt;=0,'幕间与结算'!G852='幕间与结算'!E852+'幕间与结算'!F852),OR(B945&lt;&gt;"成长",AND(LEFT(C945,3)="技能：",C945&lt;&gt;"技能：非自然知识",'幕间与结算'!E852&gt;=1,'幕间与结算'!E852&lt;=99,'幕间与结算'!F852&gt;=0,'幕间与结算'!F852&lt;=4,'幕间与结算'!G852&lt;=99))),1,0)</x:f>
        <x:v>0</x:v>
      </x:c>
      <x:c r="H945">
        <x:f>IF(AND(G945=1,COUNTIFS($I$200:I945,I945,$G$200:G945,1)=1),1,0)</x:f>
        <x:v>0</x:v>
      </x:c>
      <x:c r="I945" t="str">
        <x:f>IF(G945=1,IF(B945="成长",A945&amp;"-成长-"&amp;C945,'幕间与结算'!I852),"")</x:f>
        <x:v/>
      </x:c>
      <x:c r="BF945">
        <x:f>MAX(0,MIN(18,BF944+IF(C945="力量",E945,0)))</x:f>
        <x:v>0</x:v>
      </x:c>
      <x:c r="BG945">
        <x:f>MAX(0,MIN(18,BG944+IF(C945="体质",E945,0)))</x:f>
        <x:v>0</x:v>
      </x:c>
      <x:c r="BH945">
        <x:f>MAX(0,MIN(18,BH944+IF(C945="敏捷",E945,0)))</x:f>
        <x:v>0</x:v>
      </x:c>
      <x:c r="BI945">
        <x:f>MAX(0,MIN(18,BI944+IF(C945="智力",E945,0)))</x:f>
        <x:v>0</x:v>
      </x:c>
      <x:c r="BJ945">
        <x:f>MAX(0,MIN(18,BJ944+IF(C945="意志",E945,0)))</x:f>
        <x:v>0</x:v>
      </x:c>
      <x:c r="BK945">
        <x:f>MAX(0,MIN(18,BK944+IF(C945="魅力",E945,0)))</x:f>
        <x:v>0</x:v>
      </x:c>
      <x:c r="BL945">
        <x:f>MAX(0,MIN(99,BL944+IF(C945="技能：非自然知识",E945,0)))</x:f>
        <x:v>0</x:v>
      </x:c>
      <x:c r="BM945">
        <x:f>MAX(0,MIN(CEILING((BF945+BG945)/2,1),BM944+IF(C945="体力",E945,0)))</x:f>
        <x:v>0</x:v>
      </x:c>
      <x:c r="BN945">
        <x:f>MAX(0,MIN(BJ945,BN944+IF(C945="毅力",E945,0)))</x:f>
        <x:v>0</x:v>
      </x:c>
      <x:c r="BO945">
        <x:f>MAX(0,MIN(99-BL945,BO944+IF(C945="理智",E945,0)))</x:f>
        <x:v>0</x:v>
      </x:c>
      <x:c r="BP945">
        <x:f>MAX(0,MIN(99,BP944+IF(C945="崩溃点",E945,0)))</x:f>
        <x:v>0</x:v>
      </x:c>
      <x:c r="BQ945">
        <x:f>MAX(0,MIN(BK945,IF(AND(H945=1,C945="重要关系1",LEFT('幕间与结算'!H852,8)="建立新的重要关系"),'幕间与结算'!E852+E945,BQ944+IF(C945="重要关系1",E945,0)+IF(AND(C945="魅力",E945&lt;0),E945,0))))</x:f>
        <x:v>0</x:v>
      </x:c>
      <x:c r="BR945">
        <x:f>MAX(0,MIN(BK945,IF(AND(H945=1,C945="重要关系2",LEFT('幕间与结算'!H852,8)="建立新的重要关系"),'幕间与结算'!E852+E945,BR944+IF(C945="重要关系2",E945,0)+IF(AND(C945="魅力",E945&lt;0),E945,0))))</x:f>
        <x:v>0</x:v>
      </x:c>
      <x:c r="BS945">
        <x:f>MAX(0,MIN(BK945,IF(AND(H945=1,C945="重要关系3",LEFT('幕间与结算'!H852,8)="建立新的重要关系"),'幕间与结算'!E852+E945,BS944+IF(C945="重要关系3",E945,0)+IF(AND(C945="魅力",E945&lt;0),E945,0))))</x:f>
        <x:v>0</x:v>
      </x:c>
      <x:c r="BT945">
        <x:f>MAX(0,MIN(BK945,IF(AND(H945=1,C945="重要关系4",LEFT('幕间与结算'!H852,8)="建立新的重要关系"),'幕间与结算'!E852+E945,BT944+IF(C945="重要关系4",E945,0)+IF(AND(C945="魅力",E945&lt;0),E945,0))))</x:f>
        <x:v>0</x:v>
      </x:c>
      <x:c r="BU945">
        <x:f>MAX(0,MIN(BK945,IF(AND(H945=1,C945="重要关系5",LEFT('幕间与结算'!H852,8)="建立新的重要关系"),'幕间与结算'!E852+E945,BU944+IF(C945="重要关系5",E945,0)+IF(AND(C945="魅力",E945&lt;0),E945,0))))</x:f>
        <x:v>0</x:v>
      </x:c>
      <x:c r="BV945">
        <x:f>MAX(0,MIN(BK945,IF(AND(H945=1,C945="重要关系6",LEFT('幕间与结算'!H852,8)="建立新的重要关系"),'幕间与结算'!E852+E945,BV944+IF(C945="重要关系6",E945,0)+IF(AND(C945="魅力",E945&lt;0),E945,0))))</x:f>
        <x:v>0</x:v>
      </x:c>
      <x:c r="BW945">
        <x:f>MAX(0,MIN(BK945,IF(AND(H945=1,C945="重要关系7",LEFT('幕间与结算'!H852,8)="建立新的重要关系"),'幕间与结算'!E852+E945,BW944+IF(C945="重要关系7",E945,0)+IF(AND(C945="魅力",E945&lt;0),E945,0))))</x:f>
        <x:v>0</x:v>
      </x:c>
    </x:row>
    <x:row r="946">
      <x:c r="A946" t="str">
        <x:f>IFERROR(TEXT(VALUE('幕间与结算'!A853),"00"),"")</x:f>
        <x:v>00</x:v>
      </x:c>
      <x:c r="B946">
        <x:f>'幕间与结算'!B853</x:f>
        <x:v>0</x:v>
      </x:c>
      <x:c r="C946">
        <x:f>'幕间与结算'!D853</x:f>
        <x:v>0</x:v>
      </x:c>
      <x:c r="D946">
        <x:f>'幕间与结算'!F853</x:f>
        <x:v>0</x:v>
      </x:c>
      <x:c r="E946">
        <x:f>IF(H946=1,MAX(-'幕间与结算'!E853,MIN(D946,IF(LEFT(C946,3)="技能：",99,IF(COUNTIF($L$2:$L$7,C946)&gt;0,18,999))-'幕间与结算'!E853)),0)</x:f>
        <x:v>0</x:v>
      </x:c>
      <x:c r="F946" t="str">
        <x:f>IF(C946=0,"",IF(G946=0,"记录不完整",IF(H946=0,"重复未计","已计入")))</x:f>
        <x:v/>
      </x:c>
      <x:c r="G946">
        <x:f>IF(AND(AND('幕间与结算'!A853&lt;&gt;"",'幕间与结算'!B853&lt;&gt;"",'幕间与结算'!I853&lt;&gt;"",OR(LEFT(C946,3)="技能：",COUNTIF($L$2:$L$19,C946)&gt;0),ISNUMBER('幕间与结算'!E853),ISNUMBER('幕间与结算'!F853),ISNUMBER('幕间与结算'!G853),'幕间与结算'!E853&gt;=0,'幕间与结算'!G853='幕间与结算'!E853+'幕间与结算'!F853),OR(B946&lt;&gt;"成长",AND(LEFT(C946,3)="技能：",C946&lt;&gt;"技能：非自然知识",'幕间与结算'!E853&gt;=1,'幕间与结算'!E853&lt;=99,'幕间与结算'!F853&gt;=0,'幕间与结算'!F853&lt;=4,'幕间与结算'!G853&lt;=99))),1,0)</x:f>
        <x:v>0</x:v>
      </x:c>
      <x:c r="H946">
        <x:f>IF(AND(G946=1,COUNTIFS($I$200:I946,I946,$G$200:G946,1)=1),1,0)</x:f>
        <x:v>0</x:v>
      </x:c>
      <x:c r="I946" t="str">
        <x:f>IF(G946=1,IF(B946="成长",A946&amp;"-成长-"&amp;C946,'幕间与结算'!I853),"")</x:f>
        <x:v/>
      </x:c>
      <x:c r="BF946">
        <x:f>MAX(0,MIN(18,BF945+IF(C946="力量",E946,0)))</x:f>
        <x:v>0</x:v>
      </x:c>
      <x:c r="BG946">
        <x:f>MAX(0,MIN(18,BG945+IF(C946="体质",E946,0)))</x:f>
        <x:v>0</x:v>
      </x:c>
      <x:c r="BH946">
        <x:f>MAX(0,MIN(18,BH945+IF(C946="敏捷",E946,0)))</x:f>
        <x:v>0</x:v>
      </x:c>
      <x:c r="BI946">
        <x:f>MAX(0,MIN(18,BI945+IF(C946="智力",E946,0)))</x:f>
        <x:v>0</x:v>
      </x:c>
      <x:c r="BJ946">
        <x:f>MAX(0,MIN(18,BJ945+IF(C946="意志",E946,0)))</x:f>
        <x:v>0</x:v>
      </x:c>
      <x:c r="BK946">
        <x:f>MAX(0,MIN(18,BK945+IF(C946="魅力",E946,0)))</x:f>
        <x:v>0</x:v>
      </x:c>
      <x:c r="BL946">
        <x:f>MAX(0,MIN(99,BL945+IF(C946="技能：非自然知识",E946,0)))</x:f>
        <x:v>0</x:v>
      </x:c>
      <x:c r="BM946">
        <x:f>MAX(0,MIN(CEILING((BF946+BG946)/2,1),BM945+IF(C946="体力",E946,0)))</x:f>
        <x:v>0</x:v>
      </x:c>
      <x:c r="BN946">
        <x:f>MAX(0,MIN(BJ946,BN945+IF(C946="毅力",E946,0)))</x:f>
        <x:v>0</x:v>
      </x:c>
      <x:c r="BO946">
        <x:f>MAX(0,MIN(99-BL946,BO945+IF(C946="理智",E946,0)))</x:f>
        <x:v>0</x:v>
      </x:c>
      <x:c r="BP946">
        <x:f>MAX(0,MIN(99,BP945+IF(C946="崩溃点",E946,0)))</x:f>
        <x:v>0</x:v>
      </x:c>
      <x:c r="BQ946">
        <x:f>MAX(0,MIN(BK946,IF(AND(H946=1,C946="重要关系1",LEFT('幕间与结算'!H853,8)="建立新的重要关系"),'幕间与结算'!E853+E946,BQ945+IF(C946="重要关系1",E946,0)+IF(AND(C946="魅力",E946&lt;0),E946,0))))</x:f>
        <x:v>0</x:v>
      </x:c>
      <x:c r="BR946">
        <x:f>MAX(0,MIN(BK946,IF(AND(H946=1,C946="重要关系2",LEFT('幕间与结算'!H853,8)="建立新的重要关系"),'幕间与结算'!E853+E946,BR945+IF(C946="重要关系2",E946,0)+IF(AND(C946="魅力",E946&lt;0),E946,0))))</x:f>
        <x:v>0</x:v>
      </x:c>
      <x:c r="BS946">
        <x:f>MAX(0,MIN(BK946,IF(AND(H946=1,C946="重要关系3",LEFT('幕间与结算'!H853,8)="建立新的重要关系"),'幕间与结算'!E853+E946,BS945+IF(C946="重要关系3",E946,0)+IF(AND(C946="魅力",E946&lt;0),E946,0))))</x:f>
        <x:v>0</x:v>
      </x:c>
      <x:c r="BT946">
        <x:f>MAX(0,MIN(BK946,IF(AND(H946=1,C946="重要关系4",LEFT('幕间与结算'!H853,8)="建立新的重要关系"),'幕间与结算'!E853+E946,BT945+IF(C946="重要关系4",E946,0)+IF(AND(C946="魅力",E946&lt;0),E946,0))))</x:f>
        <x:v>0</x:v>
      </x:c>
      <x:c r="BU946">
        <x:f>MAX(0,MIN(BK946,IF(AND(H946=1,C946="重要关系5",LEFT('幕间与结算'!H853,8)="建立新的重要关系"),'幕间与结算'!E853+E946,BU945+IF(C946="重要关系5",E946,0)+IF(AND(C946="魅力",E946&lt;0),E946,0))))</x:f>
        <x:v>0</x:v>
      </x:c>
      <x:c r="BV946">
        <x:f>MAX(0,MIN(BK946,IF(AND(H946=1,C946="重要关系6",LEFT('幕间与结算'!H853,8)="建立新的重要关系"),'幕间与结算'!E853+E946,BV945+IF(C946="重要关系6",E946,0)+IF(AND(C946="魅力",E946&lt;0),E946,0))))</x:f>
        <x:v>0</x:v>
      </x:c>
      <x:c r="BW946">
        <x:f>MAX(0,MIN(BK946,IF(AND(H946=1,C946="重要关系7",LEFT('幕间与结算'!H853,8)="建立新的重要关系"),'幕间与结算'!E853+E946,BW945+IF(C946="重要关系7",E946,0)+IF(AND(C946="魅力",E946&lt;0),E946,0))))</x:f>
        <x:v>0</x:v>
      </x:c>
    </x:row>
    <x:row r="947">
      <x:c r="A947" t="str">
        <x:f>IFERROR(TEXT(VALUE('幕间与结算'!A854),"00"),"")</x:f>
        <x:v>00</x:v>
      </x:c>
      <x:c r="B947">
        <x:f>'幕间与结算'!B854</x:f>
        <x:v>0</x:v>
      </x:c>
      <x:c r="C947">
        <x:f>'幕间与结算'!D854</x:f>
        <x:v>0</x:v>
      </x:c>
      <x:c r="D947">
        <x:f>'幕间与结算'!F854</x:f>
        <x:v>0</x:v>
      </x:c>
      <x:c r="E947">
        <x:f>IF(H947=1,MAX(-'幕间与结算'!E854,MIN(D947,IF(LEFT(C947,3)="技能：",99,IF(COUNTIF($L$2:$L$7,C947)&gt;0,18,999))-'幕间与结算'!E854)),0)</x:f>
        <x:v>0</x:v>
      </x:c>
      <x:c r="F947" t="str">
        <x:f>IF(C947=0,"",IF(G947=0,"记录不完整",IF(H947=0,"重复未计","已计入")))</x:f>
        <x:v/>
      </x:c>
      <x:c r="G947">
        <x:f>IF(AND(AND('幕间与结算'!A854&lt;&gt;"",'幕间与结算'!B854&lt;&gt;"",'幕间与结算'!I854&lt;&gt;"",OR(LEFT(C947,3)="技能：",COUNTIF($L$2:$L$19,C947)&gt;0),ISNUMBER('幕间与结算'!E854),ISNUMBER('幕间与结算'!F854),ISNUMBER('幕间与结算'!G854),'幕间与结算'!E854&gt;=0,'幕间与结算'!G854='幕间与结算'!E854+'幕间与结算'!F854),OR(B947&lt;&gt;"成长",AND(LEFT(C947,3)="技能：",C947&lt;&gt;"技能：非自然知识",'幕间与结算'!E854&gt;=1,'幕间与结算'!E854&lt;=99,'幕间与结算'!F854&gt;=0,'幕间与结算'!F854&lt;=4,'幕间与结算'!G854&lt;=99))),1,0)</x:f>
        <x:v>0</x:v>
      </x:c>
      <x:c r="H947">
        <x:f>IF(AND(G947=1,COUNTIFS($I$200:I947,I947,$G$200:G947,1)=1),1,0)</x:f>
        <x:v>0</x:v>
      </x:c>
      <x:c r="I947" t="str">
        <x:f>IF(G947=1,IF(B947="成长",A947&amp;"-成长-"&amp;C947,'幕间与结算'!I854),"")</x:f>
        <x:v/>
      </x:c>
      <x:c r="BF947">
        <x:f>MAX(0,MIN(18,BF946+IF(C947="力量",E947,0)))</x:f>
        <x:v>0</x:v>
      </x:c>
      <x:c r="BG947">
        <x:f>MAX(0,MIN(18,BG946+IF(C947="体质",E947,0)))</x:f>
        <x:v>0</x:v>
      </x:c>
      <x:c r="BH947">
        <x:f>MAX(0,MIN(18,BH946+IF(C947="敏捷",E947,0)))</x:f>
        <x:v>0</x:v>
      </x:c>
      <x:c r="BI947">
        <x:f>MAX(0,MIN(18,BI946+IF(C947="智力",E947,0)))</x:f>
        <x:v>0</x:v>
      </x:c>
      <x:c r="BJ947">
        <x:f>MAX(0,MIN(18,BJ946+IF(C947="意志",E947,0)))</x:f>
        <x:v>0</x:v>
      </x:c>
      <x:c r="BK947">
        <x:f>MAX(0,MIN(18,BK946+IF(C947="魅力",E947,0)))</x:f>
        <x:v>0</x:v>
      </x:c>
      <x:c r="BL947">
        <x:f>MAX(0,MIN(99,BL946+IF(C947="技能：非自然知识",E947,0)))</x:f>
        <x:v>0</x:v>
      </x:c>
      <x:c r="BM947">
        <x:f>MAX(0,MIN(CEILING((BF947+BG947)/2,1),BM946+IF(C947="体力",E947,0)))</x:f>
        <x:v>0</x:v>
      </x:c>
      <x:c r="BN947">
        <x:f>MAX(0,MIN(BJ947,BN946+IF(C947="毅力",E947,0)))</x:f>
        <x:v>0</x:v>
      </x:c>
      <x:c r="BO947">
        <x:f>MAX(0,MIN(99-BL947,BO946+IF(C947="理智",E947,0)))</x:f>
        <x:v>0</x:v>
      </x:c>
      <x:c r="BP947">
        <x:f>MAX(0,MIN(99,BP946+IF(C947="崩溃点",E947,0)))</x:f>
        <x:v>0</x:v>
      </x:c>
      <x:c r="BQ947">
        <x:f>MAX(0,MIN(BK947,IF(AND(H947=1,C947="重要关系1",LEFT('幕间与结算'!H854,8)="建立新的重要关系"),'幕间与结算'!E854+E947,BQ946+IF(C947="重要关系1",E947,0)+IF(AND(C947="魅力",E947&lt;0),E947,0))))</x:f>
        <x:v>0</x:v>
      </x:c>
      <x:c r="BR947">
        <x:f>MAX(0,MIN(BK947,IF(AND(H947=1,C947="重要关系2",LEFT('幕间与结算'!H854,8)="建立新的重要关系"),'幕间与结算'!E854+E947,BR946+IF(C947="重要关系2",E947,0)+IF(AND(C947="魅力",E947&lt;0),E947,0))))</x:f>
        <x:v>0</x:v>
      </x:c>
      <x:c r="BS947">
        <x:f>MAX(0,MIN(BK947,IF(AND(H947=1,C947="重要关系3",LEFT('幕间与结算'!H854,8)="建立新的重要关系"),'幕间与结算'!E854+E947,BS946+IF(C947="重要关系3",E947,0)+IF(AND(C947="魅力",E947&lt;0),E947,0))))</x:f>
        <x:v>0</x:v>
      </x:c>
      <x:c r="BT947">
        <x:f>MAX(0,MIN(BK947,IF(AND(H947=1,C947="重要关系4",LEFT('幕间与结算'!H854,8)="建立新的重要关系"),'幕间与结算'!E854+E947,BT946+IF(C947="重要关系4",E947,0)+IF(AND(C947="魅力",E947&lt;0),E947,0))))</x:f>
        <x:v>0</x:v>
      </x:c>
      <x:c r="BU947">
        <x:f>MAX(0,MIN(BK947,IF(AND(H947=1,C947="重要关系5",LEFT('幕间与结算'!H854,8)="建立新的重要关系"),'幕间与结算'!E854+E947,BU946+IF(C947="重要关系5",E947,0)+IF(AND(C947="魅力",E947&lt;0),E947,0))))</x:f>
        <x:v>0</x:v>
      </x:c>
      <x:c r="BV947">
        <x:f>MAX(0,MIN(BK947,IF(AND(H947=1,C947="重要关系6",LEFT('幕间与结算'!H854,8)="建立新的重要关系"),'幕间与结算'!E854+E947,BV946+IF(C947="重要关系6",E947,0)+IF(AND(C947="魅力",E947&lt;0),E947,0))))</x:f>
        <x:v>0</x:v>
      </x:c>
      <x:c r="BW947">
        <x:f>MAX(0,MIN(BK947,IF(AND(H947=1,C947="重要关系7",LEFT('幕间与结算'!H854,8)="建立新的重要关系"),'幕间与结算'!E854+E947,BW946+IF(C947="重要关系7",E947,0)+IF(AND(C947="魅力",E947&lt;0),E947,0))))</x:f>
        <x:v>0</x:v>
      </x:c>
    </x:row>
    <x:row r="948">
      <x:c r="A948" t="str">
        <x:f>IFERROR(TEXT(VALUE('幕间与结算'!A855),"00"),"")</x:f>
        <x:v>00</x:v>
      </x:c>
      <x:c r="B948">
        <x:f>'幕间与结算'!B855</x:f>
        <x:v>0</x:v>
      </x:c>
      <x:c r="C948">
        <x:f>'幕间与结算'!D855</x:f>
        <x:v>0</x:v>
      </x:c>
      <x:c r="D948">
        <x:f>'幕间与结算'!F855</x:f>
        <x:v>0</x:v>
      </x:c>
      <x:c r="E948">
        <x:f>IF(H948=1,MAX(-'幕间与结算'!E855,MIN(D948,IF(LEFT(C948,3)="技能：",99,IF(COUNTIF($L$2:$L$7,C948)&gt;0,18,999))-'幕间与结算'!E855)),0)</x:f>
        <x:v>0</x:v>
      </x:c>
      <x:c r="F948" t="str">
        <x:f>IF(C948=0,"",IF(G948=0,"记录不完整",IF(H948=0,"重复未计","已计入")))</x:f>
        <x:v/>
      </x:c>
      <x:c r="G948">
        <x:f>IF(AND(AND('幕间与结算'!A855&lt;&gt;"",'幕间与结算'!B855&lt;&gt;"",'幕间与结算'!I855&lt;&gt;"",OR(LEFT(C948,3)="技能：",COUNTIF($L$2:$L$19,C948)&gt;0),ISNUMBER('幕间与结算'!E855),ISNUMBER('幕间与结算'!F855),ISNUMBER('幕间与结算'!G855),'幕间与结算'!E855&gt;=0,'幕间与结算'!G855='幕间与结算'!E855+'幕间与结算'!F855),OR(B948&lt;&gt;"成长",AND(LEFT(C948,3)="技能：",C948&lt;&gt;"技能：非自然知识",'幕间与结算'!E855&gt;=1,'幕间与结算'!E855&lt;=99,'幕间与结算'!F855&gt;=0,'幕间与结算'!F855&lt;=4,'幕间与结算'!G855&lt;=99))),1,0)</x:f>
        <x:v>0</x:v>
      </x:c>
      <x:c r="H948">
        <x:f>IF(AND(G948=1,COUNTIFS($I$200:I948,I948,$G$200:G948,1)=1),1,0)</x:f>
        <x:v>0</x:v>
      </x:c>
      <x:c r="I948" t="str">
        <x:f>IF(G948=1,IF(B948="成长",A948&amp;"-成长-"&amp;C948,'幕间与结算'!I855),"")</x:f>
        <x:v/>
      </x:c>
      <x:c r="BF948">
        <x:f>MAX(0,MIN(18,BF947+IF(C948="力量",E948,0)))</x:f>
        <x:v>0</x:v>
      </x:c>
      <x:c r="BG948">
        <x:f>MAX(0,MIN(18,BG947+IF(C948="体质",E948,0)))</x:f>
        <x:v>0</x:v>
      </x:c>
      <x:c r="BH948">
        <x:f>MAX(0,MIN(18,BH947+IF(C948="敏捷",E948,0)))</x:f>
        <x:v>0</x:v>
      </x:c>
      <x:c r="BI948">
        <x:f>MAX(0,MIN(18,BI947+IF(C948="智力",E948,0)))</x:f>
        <x:v>0</x:v>
      </x:c>
      <x:c r="BJ948">
        <x:f>MAX(0,MIN(18,BJ947+IF(C948="意志",E948,0)))</x:f>
        <x:v>0</x:v>
      </x:c>
      <x:c r="BK948">
        <x:f>MAX(0,MIN(18,BK947+IF(C948="魅力",E948,0)))</x:f>
        <x:v>0</x:v>
      </x:c>
      <x:c r="BL948">
        <x:f>MAX(0,MIN(99,BL947+IF(C948="技能：非自然知识",E948,0)))</x:f>
        <x:v>0</x:v>
      </x:c>
      <x:c r="BM948">
        <x:f>MAX(0,MIN(CEILING((BF948+BG948)/2,1),BM947+IF(C948="体力",E948,0)))</x:f>
        <x:v>0</x:v>
      </x:c>
      <x:c r="BN948">
        <x:f>MAX(0,MIN(BJ948,BN947+IF(C948="毅力",E948,0)))</x:f>
        <x:v>0</x:v>
      </x:c>
      <x:c r="BO948">
        <x:f>MAX(0,MIN(99-BL948,BO947+IF(C948="理智",E948,0)))</x:f>
        <x:v>0</x:v>
      </x:c>
      <x:c r="BP948">
        <x:f>MAX(0,MIN(99,BP947+IF(C948="崩溃点",E948,0)))</x:f>
        <x:v>0</x:v>
      </x:c>
      <x:c r="BQ948">
        <x:f>MAX(0,MIN(BK948,IF(AND(H948=1,C948="重要关系1",LEFT('幕间与结算'!H855,8)="建立新的重要关系"),'幕间与结算'!E855+E948,BQ947+IF(C948="重要关系1",E948,0)+IF(AND(C948="魅力",E948&lt;0),E948,0))))</x:f>
        <x:v>0</x:v>
      </x:c>
      <x:c r="BR948">
        <x:f>MAX(0,MIN(BK948,IF(AND(H948=1,C948="重要关系2",LEFT('幕间与结算'!H855,8)="建立新的重要关系"),'幕间与结算'!E855+E948,BR947+IF(C948="重要关系2",E948,0)+IF(AND(C948="魅力",E948&lt;0),E948,0))))</x:f>
        <x:v>0</x:v>
      </x:c>
      <x:c r="BS948">
        <x:f>MAX(0,MIN(BK948,IF(AND(H948=1,C948="重要关系3",LEFT('幕间与结算'!H855,8)="建立新的重要关系"),'幕间与结算'!E855+E948,BS947+IF(C948="重要关系3",E948,0)+IF(AND(C948="魅力",E948&lt;0),E948,0))))</x:f>
        <x:v>0</x:v>
      </x:c>
      <x:c r="BT948">
        <x:f>MAX(0,MIN(BK948,IF(AND(H948=1,C948="重要关系4",LEFT('幕间与结算'!H855,8)="建立新的重要关系"),'幕间与结算'!E855+E948,BT947+IF(C948="重要关系4",E948,0)+IF(AND(C948="魅力",E948&lt;0),E948,0))))</x:f>
        <x:v>0</x:v>
      </x:c>
      <x:c r="BU948">
        <x:f>MAX(0,MIN(BK948,IF(AND(H948=1,C948="重要关系5",LEFT('幕间与结算'!H855,8)="建立新的重要关系"),'幕间与结算'!E855+E948,BU947+IF(C948="重要关系5",E948,0)+IF(AND(C948="魅力",E948&lt;0),E948,0))))</x:f>
        <x:v>0</x:v>
      </x:c>
      <x:c r="BV948">
        <x:f>MAX(0,MIN(BK948,IF(AND(H948=1,C948="重要关系6",LEFT('幕间与结算'!H855,8)="建立新的重要关系"),'幕间与结算'!E855+E948,BV947+IF(C948="重要关系6",E948,0)+IF(AND(C948="魅力",E948&lt;0),E948,0))))</x:f>
        <x:v>0</x:v>
      </x:c>
      <x:c r="BW948">
        <x:f>MAX(0,MIN(BK948,IF(AND(H948=1,C948="重要关系7",LEFT('幕间与结算'!H855,8)="建立新的重要关系"),'幕间与结算'!E855+E948,BW947+IF(C948="重要关系7",E948,0)+IF(AND(C948="魅力",E948&lt;0),E948,0))))</x:f>
        <x:v>0</x:v>
      </x:c>
    </x:row>
    <x:row r="949">
      <x:c r="A949" t="str">
        <x:f>IFERROR(TEXT(VALUE('幕间与结算'!A856),"00"),"")</x:f>
        <x:v>00</x:v>
      </x:c>
      <x:c r="B949">
        <x:f>'幕间与结算'!B856</x:f>
        <x:v>0</x:v>
      </x:c>
      <x:c r="C949">
        <x:f>'幕间与结算'!D856</x:f>
        <x:v>0</x:v>
      </x:c>
      <x:c r="D949">
        <x:f>'幕间与结算'!F856</x:f>
        <x:v>0</x:v>
      </x:c>
      <x:c r="E949">
        <x:f>IF(H949=1,MAX(-'幕间与结算'!E856,MIN(D949,IF(LEFT(C949,3)="技能：",99,IF(COUNTIF($L$2:$L$7,C949)&gt;0,18,999))-'幕间与结算'!E856)),0)</x:f>
        <x:v>0</x:v>
      </x:c>
      <x:c r="F949" t="str">
        <x:f>IF(C949=0,"",IF(G949=0,"记录不完整",IF(H949=0,"重复未计","已计入")))</x:f>
        <x:v/>
      </x:c>
      <x:c r="G949">
        <x:f>IF(AND(AND('幕间与结算'!A856&lt;&gt;"",'幕间与结算'!B856&lt;&gt;"",'幕间与结算'!I856&lt;&gt;"",OR(LEFT(C949,3)="技能：",COUNTIF($L$2:$L$19,C949)&gt;0),ISNUMBER('幕间与结算'!E856),ISNUMBER('幕间与结算'!F856),ISNUMBER('幕间与结算'!G856),'幕间与结算'!E856&gt;=0,'幕间与结算'!G856='幕间与结算'!E856+'幕间与结算'!F856),OR(B949&lt;&gt;"成长",AND(LEFT(C949,3)="技能：",C949&lt;&gt;"技能：非自然知识",'幕间与结算'!E856&gt;=1,'幕间与结算'!E856&lt;=99,'幕间与结算'!F856&gt;=0,'幕间与结算'!F856&lt;=4,'幕间与结算'!G856&lt;=99))),1,0)</x:f>
        <x:v>0</x:v>
      </x:c>
      <x:c r="H949">
        <x:f>IF(AND(G949=1,COUNTIFS($I$200:I949,I949,$G$200:G949,1)=1),1,0)</x:f>
        <x:v>0</x:v>
      </x:c>
      <x:c r="I949" t="str">
        <x:f>IF(G949=1,IF(B949="成长",A949&amp;"-成长-"&amp;C949,'幕间与结算'!I856),"")</x:f>
        <x:v/>
      </x:c>
      <x:c r="BF949">
        <x:f>MAX(0,MIN(18,BF948+IF(C949="力量",E949,0)))</x:f>
        <x:v>0</x:v>
      </x:c>
      <x:c r="BG949">
        <x:f>MAX(0,MIN(18,BG948+IF(C949="体质",E949,0)))</x:f>
        <x:v>0</x:v>
      </x:c>
      <x:c r="BH949">
        <x:f>MAX(0,MIN(18,BH948+IF(C949="敏捷",E949,0)))</x:f>
        <x:v>0</x:v>
      </x:c>
      <x:c r="BI949">
        <x:f>MAX(0,MIN(18,BI948+IF(C949="智力",E949,0)))</x:f>
        <x:v>0</x:v>
      </x:c>
      <x:c r="BJ949">
        <x:f>MAX(0,MIN(18,BJ948+IF(C949="意志",E949,0)))</x:f>
        <x:v>0</x:v>
      </x:c>
      <x:c r="BK949">
        <x:f>MAX(0,MIN(18,BK948+IF(C949="魅力",E949,0)))</x:f>
        <x:v>0</x:v>
      </x:c>
      <x:c r="BL949">
        <x:f>MAX(0,MIN(99,BL948+IF(C949="技能：非自然知识",E949,0)))</x:f>
        <x:v>0</x:v>
      </x:c>
      <x:c r="BM949">
        <x:f>MAX(0,MIN(CEILING((BF949+BG949)/2,1),BM948+IF(C949="体力",E949,0)))</x:f>
        <x:v>0</x:v>
      </x:c>
      <x:c r="BN949">
        <x:f>MAX(0,MIN(BJ949,BN948+IF(C949="毅力",E949,0)))</x:f>
        <x:v>0</x:v>
      </x:c>
      <x:c r="BO949">
        <x:f>MAX(0,MIN(99-BL949,BO948+IF(C949="理智",E949,0)))</x:f>
        <x:v>0</x:v>
      </x:c>
      <x:c r="BP949">
        <x:f>MAX(0,MIN(99,BP948+IF(C949="崩溃点",E949,0)))</x:f>
        <x:v>0</x:v>
      </x:c>
      <x:c r="BQ949">
        <x:f>MAX(0,MIN(BK949,IF(AND(H949=1,C949="重要关系1",LEFT('幕间与结算'!H856,8)="建立新的重要关系"),'幕间与结算'!E856+E949,BQ948+IF(C949="重要关系1",E949,0)+IF(AND(C949="魅力",E949&lt;0),E949,0))))</x:f>
        <x:v>0</x:v>
      </x:c>
      <x:c r="BR949">
        <x:f>MAX(0,MIN(BK949,IF(AND(H949=1,C949="重要关系2",LEFT('幕间与结算'!H856,8)="建立新的重要关系"),'幕间与结算'!E856+E949,BR948+IF(C949="重要关系2",E949,0)+IF(AND(C949="魅力",E949&lt;0),E949,0))))</x:f>
        <x:v>0</x:v>
      </x:c>
      <x:c r="BS949">
        <x:f>MAX(0,MIN(BK949,IF(AND(H949=1,C949="重要关系3",LEFT('幕间与结算'!H856,8)="建立新的重要关系"),'幕间与结算'!E856+E949,BS948+IF(C949="重要关系3",E949,0)+IF(AND(C949="魅力",E949&lt;0),E949,0))))</x:f>
        <x:v>0</x:v>
      </x:c>
      <x:c r="BT949">
        <x:f>MAX(0,MIN(BK949,IF(AND(H949=1,C949="重要关系4",LEFT('幕间与结算'!H856,8)="建立新的重要关系"),'幕间与结算'!E856+E949,BT948+IF(C949="重要关系4",E949,0)+IF(AND(C949="魅力",E949&lt;0),E949,0))))</x:f>
        <x:v>0</x:v>
      </x:c>
      <x:c r="BU949">
        <x:f>MAX(0,MIN(BK949,IF(AND(H949=1,C949="重要关系5",LEFT('幕间与结算'!H856,8)="建立新的重要关系"),'幕间与结算'!E856+E949,BU948+IF(C949="重要关系5",E949,0)+IF(AND(C949="魅力",E949&lt;0),E949,0))))</x:f>
        <x:v>0</x:v>
      </x:c>
      <x:c r="BV949">
        <x:f>MAX(0,MIN(BK949,IF(AND(H949=1,C949="重要关系6",LEFT('幕间与结算'!H856,8)="建立新的重要关系"),'幕间与结算'!E856+E949,BV948+IF(C949="重要关系6",E949,0)+IF(AND(C949="魅力",E949&lt;0),E949,0))))</x:f>
        <x:v>0</x:v>
      </x:c>
      <x:c r="BW949">
        <x:f>MAX(0,MIN(BK949,IF(AND(H949=1,C949="重要关系7",LEFT('幕间与结算'!H856,8)="建立新的重要关系"),'幕间与结算'!E856+E949,BW948+IF(C949="重要关系7",E949,0)+IF(AND(C949="魅力",E949&lt;0),E949,0))))</x:f>
        <x:v>0</x:v>
      </x:c>
    </x:row>
    <x:row r="950">
      <x:c r="A950" t="str">
        <x:f>IFERROR(TEXT(VALUE('幕间与结算'!A857),"00"),"")</x:f>
        <x:v>00</x:v>
      </x:c>
      <x:c r="B950">
        <x:f>'幕间与结算'!B857</x:f>
        <x:v>0</x:v>
      </x:c>
      <x:c r="C950">
        <x:f>'幕间与结算'!D857</x:f>
        <x:v>0</x:v>
      </x:c>
      <x:c r="D950">
        <x:f>'幕间与结算'!F857</x:f>
        <x:v>0</x:v>
      </x:c>
      <x:c r="E950">
        <x:f>IF(H950=1,MAX(-'幕间与结算'!E857,MIN(D950,IF(LEFT(C950,3)="技能：",99,IF(COUNTIF($L$2:$L$7,C950)&gt;0,18,999))-'幕间与结算'!E857)),0)</x:f>
        <x:v>0</x:v>
      </x:c>
      <x:c r="F950" t="str">
        <x:f>IF(C950=0,"",IF(G950=0,"记录不完整",IF(H950=0,"重复未计","已计入")))</x:f>
        <x:v/>
      </x:c>
      <x:c r="G950">
        <x:f>IF(AND(AND('幕间与结算'!A857&lt;&gt;"",'幕间与结算'!B857&lt;&gt;"",'幕间与结算'!I857&lt;&gt;"",OR(LEFT(C950,3)="技能：",COUNTIF($L$2:$L$19,C950)&gt;0),ISNUMBER('幕间与结算'!E857),ISNUMBER('幕间与结算'!F857),ISNUMBER('幕间与结算'!G857),'幕间与结算'!E857&gt;=0,'幕间与结算'!G857='幕间与结算'!E857+'幕间与结算'!F857),OR(B950&lt;&gt;"成长",AND(LEFT(C950,3)="技能：",C950&lt;&gt;"技能：非自然知识",'幕间与结算'!E857&gt;=1,'幕间与结算'!E857&lt;=99,'幕间与结算'!F857&gt;=0,'幕间与结算'!F857&lt;=4,'幕间与结算'!G857&lt;=99))),1,0)</x:f>
        <x:v>0</x:v>
      </x:c>
      <x:c r="H950">
        <x:f>IF(AND(G950=1,COUNTIFS($I$200:I950,I950,$G$200:G950,1)=1),1,0)</x:f>
        <x:v>0</x:v>
      </x:c>
      <x:c r="I950" t="str">
        <x:f>IF(G950=1,IF(B950="成长",A950&amp;"-成长-"&amp;C950,'幕间与结算'!I857),"")</x:f>
        <x:v/>
      </x:c>
      <x:c r="BF950">
        <x:f>MAX(0,MIN(18,BF949+IF(C950="力量",E950,0)))</x:f>
        <x:v>0</x:v>
      </x:c>
      <x:c r="BG950">
        <x:f>MAX(0,MIN(18,BG949+IF(C950="体质",E950,0)))</x:f>
        <x:v>0</x:v>
      </x:c>
      <x:c r="BH950">
        <x:f>MAX(0,MIN(18,BH949+IF(C950="敏捷",E950,0)))</x:f>
        <x:v>0</x:v>
      </x:c>
      <x:c r="BI950">
        <x:f>MAX(0,MIN(18,BI949+IF(C950="智力",E950,0)))</x:f>
        <x:v>0</x:v>
      </x:c>
      <x:c r="BJ950">
        <x:f>MAX(0,MIN(18,BJ949+IF(C950="意志",E950,0)))</x:f>
        <x:v>0</x:v>
      </x:c>
      <x:c r="BK950">
        <x:f>MAX(0,MIN(18,BK949+IF(C950="魅力",E950,0)))</x:f>
        <x:v>0</x:v>
      </x:c>
      <x:c r="BL950">
        <x:f>MAX(0,MIN(99,BL949+IF(C950="技能：非自然知识",E950,0)))</x:f>
        <x:v>0</x:v>
      </x:c>
      <x:c r="BM950">
        <x:f>MAX(0,MIN(CEILING((BF950+BG950)/2,1),BM949+IF(C950="体力",E950,0)))</x:f>
        <x:v>0</x:v>
      </x:c>
      <x:c r="BN950">
        <x:f>MAX(0,MIN(BJ950,BN949+IF(C950="毅力",E950,0)))</x:f>
        <x:v>0</x:v>
      </x:c>
      <x:c r="BO950">
        <x:f>MAX(0,MIN(99-BL950,BO949+IF(C950="理智",E950,0)))</x:f>
        <x:v>0</x:v>
      </x:c>
      <x:c r="BP950">
        <x:f>MAX(0,MIN(99,BP949+IF(C950="崩溃点",E950,0)))</x:f>
        <x:v>0</x:v>
      </x:c>
      <x:c r="BQ950">
        <x:f>MAX(0,MIN(BK950,IF(AND(H950=1,C950="重要关系1",LEFT('幕间与结算'!H857,8)="建立新的重要关系"),'幕间与结算'!E857+E950,BQ949+IF(C950="重要关系1",E950,0)+IF(AND(C950="魅力",E950&lt;0),E950,0))))</x:f>
        <x:v>0</x:v>
      </x:c>
      <x:c r="BR950">
        <x:f>MAX(0,MIN(BK950,IF(AND(H950=1,C950="重要关系2",LEFT('幕间与结算'!H857,8)="建立新的重要关系"),'幕间与结算'!E857+E950,BR949+IF(C950="重要关系2",E950,0)+IF(AND(C950="魅力",E950&lt;0),E950,0))))</x:f>
        <x:v>0</x:v>
      </x:c>
      <x:c r="BS950">
        <x:f>MAX(0,MIN(BK950,IF(AND(H950=1,C950="重要关系3",LEFT('幕间与结算'!H857,8)="建立新的重要关系"),'幕间与结算'!E857+E950,BS949+IF(C950="重要关系3",E950,0)+IF(AND(C950="魅力",E950&lt;0),E950,0))))</x:f>
        <x:v>0</x:v>
      </x:c>
      <x:c r="BT950">
        <x:f>MAX(0,MIN(BK950,IF(AND(H950=1,C950="重要关系4",LEFT('幕间与结算'!H857,8)="建立新的重要关系"),'幕间与结算'!E857+E950,BT949+IF(C950="重要关系4",E950,0)+IF(AND(C950="魅力",E950&lt;0),E950,0))))</x:f>
        <x:v>0</x:v>
      </x:c>
      <x:c r="BU950">
        <x:f>MAX(0,MIN(BK950,IF(AND(H950=1,C950="重要关系5",LEFT('幕间与结算'!H857,8)="建立新的重要关系"),'幕间与结算'!E857+E950,BU949+IF(C950="重要关系5",E950,0)+IF(AND(C950="魅力",E950&lt;0),E950,0))))</x:f>
        <x:v>0</x:v>
      </x:c>
      <x:c r="BV950">
        <x:f>MAX(0,MIN(BK950,IF(AND(H950=1,C950="重要关系6",LEFT('幕间与结算'!H857,8)="建立新的重要关系"),'幕间与结算'!E857+E950,BV949+IF(C950="重要关系6",E950,0)+IF(AND(C950="魅力",E950&lt;0),E950,0))))</x:f>
        <x:v>0</x:v>
      </x:c>
      <x:c r="BW950">
        <x:f>MAX(0,MIN(BK950,IF(AND(H950=1,C950="重要关系7",LEFT('幕间与结算'!H857,8)="建立新的重要关系"),'幕间与结算'!E857+E950,BW949+IF(C950="重要关系7",E950,0)+IF(AND(C950="魅力",E950&lt;0),E950,0))))</x:f>
        <x:v>0</x:v>
      </x:c>
    </x:row>
    <x:row r="951">
      <x:c r="A951" t="str">
        <x:f>IFERROR(TEXT(VALUE('幕间与结算'!A858),"00"),"")</x:f>
        <x:v>00</x:v>
      </x:c>
      <x:c r="B951">
        <x:f>'幕间与结算'!B858</x:f>
        <x:v>0</x:v>
      </x:c>
      <x:c r="C951">
        <x:f>'幕间与结算'!D858</x:f>
        <x:v>0</x:v>
      </x:c>
      <x:c r="D951">
        <x:f>'幕间与结算'!F858</x:f>
        <x:v>0</x:v>
      </x:c>
      <x:c r="E951">
        <x:f>IF(H951=1,MAX(-'幕间与结算'!E858,MIN(D951,IF(LEFT(C951,3)="技能：",99,IF(COUNTIF($L$2:$L$7,C951)&gt;0,18,999))-'幕间与结算'!E858)),0)</x:f>
        <x:v>0</x:v>
      </x:c>
      <x:c r="F951" t="str">
        <x:f>IF(C951=0,"",IF(G951=0,"记录不完整",IF(H951=0,"重复未计","已计入")))</x:f>
        <x:v/>
      </x:c>
      <x:c r="G951">
        <x:f>IF(AND(AND('幕间与结算'!A858&lt;&gt;"",'幕间与结算'!B858&lt;&gt;"",'幕间与结算'!I858&lt;&gt;"",OR(LEFT(C951,3)="技能：",COUNTIF($L$2:$L$19,C951)&gt;0),ISNUMBER('幕间与结算'!E858),ISNUMBER('幕间与结算'!F858),ISNUMBER('幕间与结算'!G858),'幕间与结算'!E858&gt;=0,'幕间与结算'!G858='幕间与结算'!E858+'幕间与结算'!F858),OR(B951&lt;&gt;"成长",AND(LEFT(C951,3)="技能：",C951&lt;&gt;"技能：非自然知识",'幕间与结算'!E858&gt;=1,'幕间与结算'!E858&lt;=99,'幕间与结算'!F858&gt;=0,'幕间与结算'!F858&lt;=4,'幕间与结算'!G858&lt;=99))),1,0)</x:f>
        <x:v>0</x:v>
      </x:c>
      <x:c r="H951">
        <x:f>IF(AND(G951=1,COUNTIFS($I$200:I951,I951,$G$200:G951,1)=1),1,0)</x:f>
        <x:v>0</x:v>
      </x:c>
      <x:c r="I951" t="str">
        <x:f>IF(G951=1,IF(B951="成长",A951&amp;"-成长-"&amp;C951,'幕间与结算'!I858),"")</x:f>
        <x:v/>
      </x:c>
      <x:c r="BF951">
        <x:f>MAX(0,MIN(18,BF950+IF(C951="力量",E951,0)))</x:f>
        <x:v>0</x:v>
      </x:c>
      <x:c r="BG951">
        <x:f>MAX(0,MIN(18,BG950+IF(C951="体质",E951,0)))</x:f>
        <x:v>0</x:v>
      </x:c>
      <x:c r="BH951">
        <x:f>MAX(0,MIN(18,BH950+IF(C951="敏捷",E951,0)))</x:f>
        <x:v>0</x:v>
      </x:c>
      <x:c r="BI951">
        <x:f>MAX(0,MIN(18,BI950+IF(C951="智力",E951,0)))</x:f>
        <x:v>0</x:v>
      </x:c>
      <x:c r="BJ951">
        <x:f>MAX(0,MIN(18,BJ950+IF(C951="意志",E951,0)))</x:f>
        <x:v>0</x:v>
      </x:c>
      <x:c r="BK951">
        <x:f>MAX(0,MIN(18,BK950+IF(C951="魅力",E951,0)))</x:f>
        <x:v>0</x:v>
      </x:c>
      <x:c r="BL951">
        <x:f>MAX(0,MIN(99,BL950+IF(C951="技能：非自然知识",E951,0)))</x:f>
        <x:v>0</x:v>
      </x:c>
      <x:c r="BM951">
        <x:f>MAX(0,MIN(CEILING((BF951+BG951)/2,1),BM950+IF(C951="体力",E951,0)))</x:f>
        <x:v>0</x:v>
      </x:c>
      <x:c r="BN951">
        <x:f>MAX(0,MIN(BJ951,BN950+IF(C951="毅力",E951,0)))</x:f>
        <x:v>0</x:v>
      </x:c>
      <x:c r="BO951">
        <x:f>MAX(0,MIN(99-BL951,BO950+IF(C951="理智",E951,0)))</x:f>
        <x:v>0</x:v>
      </x:c>
      <x:c r="BP951">
        <x:f>MAX(0,MIN(99,BP950+IF(C951="崩溃点",E951,0)))</x:f>
        <x:v>0</x:v>
      </x:c>
      <x:c r="BQ951">
        <x:f>MAX(0,MIN(BK951,IF(AND(H951=1,C951="重要关系1",LEFT('幕间与结算'!H858,8)="建立新的重要关系"),'幕间与结算'!E858+E951,BQ950+IF(C951="重要关系1",E951,0)+IF(AND(C951="魅力",E951&lt;0),E951,0))))</x:f>
        <x:v>0</x:v>
      </x:c>
      <x:c r="BR951">
        <x:f>MAX(0,MIN(BK951,IF(AND(H951=1,C951="重要关系2",LEFT('幕间与结算'!H858,8)="建立新的重要关系"),'幕间与结算'!E858+E951,BR950+IF(C951="重要关系2",E951,0)+IF(AND(C951="魅力",E951&lt;0),E951,0))))</x:f>
        <x:v>0</x:v>
      </x:c>
      <x:c r="BS951">
        <x:f>MAX(0,MIN(BK951,IF(AND(H951=1,C951="重要关系3",LEFT('幕间与结算'!H858,8)="建立新的重要关系"),'幕间与结算'!E858+E951,BS950+IF(C951="重要关系3",E951,0)+IF(AND(C951="魅力",E951&lt;0),E951,0))))</x:f>
        <x:v>0</x:v>
      </x:c>
      <x:c r="BT951">
        <x:f>MAX(0,MIN(BK951,IF(AND(H951=1,C951="重要关系4",LEFT('幕间与结算'!H858,8)="建立新的重要关系"),'幕间与结算'!E858+E951,BT950+IF(C951="重要关系4",E951,0)+IF(AND(C951="魅力",E951&lt;0),E951,0))))</x:f>
        <x:v>0</x:v>
      </x:c>
      <x:c r="BU951">
        <x:f>MAX(0,MIN(BK951,IF(AND(H951=1,C951="重要关系5",LEFT('幕间与结算'!H858,8)="建立新的重要关系"),'幕间与结算'!E858+E951,BU950+IF(C951="重要关系5",E951,0)+IF(AND(C951="魅力",E951&lt;0),E951,0))))</x:f>
        <x:v>0</x:v>
      </x:c>
      <x:c r="BV951">
        <x:f>MAX(0,MIN(BK951,IF(AND(H951=1,C951="重要关系6",LEFT('幕间与结算'!H858,8)="建立新的重要关系"),'幕间与结算'!E858+E951,BV950+IF(C951="重要关系6",E951,0)+IF(AND(C951="魅力",E951&lt;0),E951,0))))</x:f>
        <x:v>0</x:v>
      </x:c>
      <x:c r="BW951">
        <x:f>MAX(0,MIN(BK951,IF(AND(H951=1,C951="重要关系7",LEFT('幕间与结算'!H858,8)="建立新的重要关系"),'幕间与结算'!E858+E951,BW950+IF(C951="重要关系7",E951,0)+IF(AND(C951="魅力",E951&lt;0),E951,0))))</x:f>
        <x:v>0</x:v>
      </x:c>
    </x:row>
    <x:row r="952">
      <x:c r="A952" t="str">
        <x:f>IFERROR(TEXT(VALUE('幕间与结算'!A859),"00"),"")</x:f>
        <x:v>00</x:v>
      </x:c>
      <x:c r="B952">
        <x:f>'幕间与结算'!B859</x:f>
        <x:v>0</x:v>
      </x:c>
      <x:c r="C952">
        <x:f>'幕间与结算'!D859</x:f>
        <x:v>0</x:v>
      </x:c>
      <x:c r="D952">
        <x:f>'幕间与结算'!F859</x:f>
        <x:v>0</x:v>
      </x:c>
      <x:c r="E952">
        <x:f>IF(H952=1,MAX(-'幕间与结算'!E859,MIN(D952,IF(LEFT(C952,3)="技能：",99,IF(COUNTIF($L$2:$L$7,C952)&gt;0,18,999))-'幕间与结算'!E859)),0)</x:f>
        <x:v>0</x:v>
      </x:c>
      <x:c r="F952" t="str">
        <x:f>IF(C952=0,"",IF(G952=0,"记录不完整",IF(H952=0,"重复未计","已计入")))</x:f>
        <x:v/>
      </x:c>
      <x:c r="G952">
        <x:f>IF(AND(AND('幕间与结算'!A859&lt;&gt;"",'幕间与结算'!B859&lt;&gt;"",'幕间与结算'!I859&lt;&gt;"",OR(LEFT(C952,3)="技能：",COUNTIF($L$2:$L$19,C952)&gt;0),ISNUMBER('幕间与结算'!E859),ISNUMBER('幕间与结算'!F859),ISNUMBER('幕间与结算'!G859),'幕间与结算'!E859&gt;=0,'幕间与结算'!G859='幕间与结算'!E859+'幕间与结算'!F859),OR(B952&lt;&gt;"成长",AND(LEFT(C952,3)="技能：",C952&lt;&gt;"技能：非自然知识",'幕间与结算'!E859&gt;=1,'幕间与结算'!E859&lt;=99,'幕间与结算'!F859&gt;=0,'幕间与结算'!F859&lt;=4,'幕间与结算'!G859&lt;=99))),1,0)</x:f>
        <x:v>0</x:v>
      </x:c>
      <x:c r="H952">
        <x:f>IF(AND(G952=1,COUNTIFS($I$200:I952,I952,$G$200:G952,1)=1),1,0)</x:f>
        <x:v>0</x:v>
      </x:c>
      <x:c r="I952" t="str">
        <x:f>IF(G952=1,IF(B952="成长",A952&amp;"-成长-"&amp;C952,'幕间与结算'!I859),"")</x:f>
        <x:v/>
      </x:c>
      <x:c r="BF952">
        <x:f>MAX(0,MIN(18,BF951+IF(C952="力量",E952,0)))</x:f>
        <x:v>0</x:v>
      </x:c>
      <x:c r="BG952">
        <x:f>MAX(0,MIN(18,BG951+IF(C952="体质",E952,0)))</x:f>
        <x:v>0</x:v>
      </x:c>
      <x:c r="BH952">
        <x:f>MAX(0,MIN(18,BH951+IF(C952="敏捷",E952,0)))</x:f>
        <x:v>0</x:v>
      </x:c>
      <x:c r="BI952">
        <x:f>MAX(0,MIN(18,BI951+IF(C952="智力",E952,0)))</x:f>
        <x:v>0</x:v>
      </x:c>
      <x:c r="BJ952">
        <x:f>MAX(0,MIN(18,BJ951+IF(C952="意志",E952,0)))</x:f>
        <x:v>0</x:v>
      </x:c>
      <x:c r="BK952">
        <x:f>MAX(0,MIN(18,BK951+IF(C952="魅力",E952,0)))</x:f>
        <x:v>0</x:v>
      </x:c>
      <x:c r="BL952">
        <x:f>MAX(0,MIN(99,BL951+IF(C952="技能：非自然知识",E952,0)))</x:f>
        <x:v>0</x:v>
      </x:c>
      <x:c r="BM952">
        <x:f>MAX(0,MIN(CEILING((BF952+BG952)/2,1),BM951+IF(C952="体力",E952,0)))</x:f>
        <x:v>0</x:v>
      </x:c>
      <x:c r="BN952">
        <x:f>MAX(0,MIN(BJ952,BN951+IF(C952="毅力",E952,0)))</x:f>
        <x:v>0</x:v>
      </x:c>
      <x:c r="BO952">
        <x:f>MAX(0,MIN(99-BL952,BO951+IF(C952="理智",E952,0)))</x:f>
        <x:v>0</x:v>
      </x:c>
      <x:c r="BP952">
        <x:f>MAX(0,MIN(99,BP951+IF(C952="崩溃点",E952,0)))</x:f>
        <x:v>0</x:v>
      </x:c>
      <x:c r="BQ952">
        <x:f>MAX(0,MIN(BK952,IF(AND(H952=1,C952="重要关系1",LEFT('幕间与结算'!H859,8)="建立新的重要关系"),'幕间与结算'!E859+E952,BQ951+IF(C952="重要关系1",E952,0)+IF(AND(C952="魅力",E952&lt;0),E952,0))))</x:f>
        <x:v>0</x:v>
      </x:c>
      <x:c r="BR952">
        <x:f>MAX(0,MIN(BK952,IF(AND(H952=1,C952="重要关系2",LEFT('幕间与结算'!H859,8)="建立新的重要关系"),'幕间与结算'!E859+E952,BR951+IF(C952="重要关系2",E952,0)+IF(AND(C952="魅力",E952&lt;0),E952,0))))</x:f>
        <x:v>0</x:v>
      </x:c>
      <x:c r="BS952">
        <x:f>MAX(0,MIN(BK952,IF(AND(H952=1,C952="重要关系3",LEFT('幕间与结算'!H859,8)="建立新的重要关系"),'幕间与结算'!E859+E952,BS951+IF(C952="重要关系3",E952,0)+IF(AND(C952="魅力",E952&lt;0),E952,0))))</x:f>
        <x:v>0</x:v>
      </x:c>
      <x:c r="BT952">
        <x:f>MAX(0,MIN(BK952,IF(AND(H952=1,C952="重要关系4",LEFT('幕间与结算'!H859,8)="建立新的重要关系"),'幕间与结算'!E859+E952,BT951+IF(C952="重要关系4",E952,0)+IF(AND(C952="魅力",E952&lt;0),E952,0))))</x:f>
        <x:v>0</x:v>
      </x:c>
      <x:c r="BU952">
        <x:f>MAX(0,MIN(BK952,IF(AND(H952=1,C952="重要关系5",LEFT('幕间与结算'!H859,8)="建立新的重要关系"),'幕间与结算'!E859+E952,BU951+IF(C952="重要关系5",E952,0)+IF(AND(C952="魅力",E952&lt;0),E952,0))))</x:f>
        <x:v>0</x:v>
      </x:c>
      <x:c r="BV952">
        <x:f>MAX(0,MIN(BK952,IF(AND(H952=1,C952="重要关系6",LEFT('幕间与结算'!H859,8)="建立新的重要关系"),'幕间与结算'!E859+E952,BV951+IF(C952="重要关系6",E952,0)+IF(AND(C952="魅力",E952&lt;0),E952,0))))</x:f>
        <x:v>0</x:v>
      </x:c>
      <x:c r="BW952">
        <x:f>MAX(0,MIN(BK952,IF(AND(H952=1,C952="重要关系7",LEFT('幕间与结算'!H859,8)="建立新的重要关系"),'幕间与结算'!E859+E952,BW951+IF(C952="重要关系7",E952,0)+IF(AND(C952="魅力",E952&lt;0),E952,0))))</x:f>
        <x:v>0</x:v>
      </x:c>
    </x:row>
    <x:row r="953">
      <x:c r="A953" t="str">
        <x:f>IFERROR(TEXT(VALUE('幕间与结算'!A860),"00"),"")</x:f>
        <x:v>00</x:v>
      </x:c>
      <x:c r="B953">
        <x:f>'幕间与结算'!B860</x:f>
        <x:v>0</x:v>
      </x:c>
      <x:c r="C953">
        <x:f>'幕间与结算'!D860</x:f>
        <x:v>0</x:v>
      </x:c>
      <x:c r="D953">
        <x:f>'幕间与结算'!F860</x:f>
        <x:v>0</x:v>
      </x:c>
      <x:c r="E953">
        <x:f>IF(H953=1,MAX(-'幕间与结算'!E860,MIN(D953,IF(LEFT(C953,3)="技能：",99,IF(COUNTIF($L$2:$L$7,C953)&gt;0,18,999))-'幕间与结算'!E860)),0)</x:f>
        <x:v>0</x:v>
      </x:c>
      <x:c r="F953" t="str">
        <x:f>IF(C953=0,"",IF(G953=0,"记录不完整",IF(H953=0,"重复未计","已计入")))</x:f>
        <x:v/>
      </x:c>
      <x:c r="G953">
        <x:f>IF(AND(AND('幕间与结算'!A860&lt;&gt;"",'幕间与结算'!B860&lt;&gt;"",'幕间与结算'!I860&lt;&gt;"",OR(LEFT(C953,3)="技能：",COUNTIF($L$2:$L$19,C953)&gt;0),ISNUMBER('幕间与结算'!E860),ISNUMBER('幕间与结算'!F860),ISNUMBER('幕间与结算'!G860),'幕间与结算'!E860&gt;=0,'幕间与结算'!G860='幕间与结算'!E860+'幕间与结算'!F860),OR(B953&lt;&gt;"成长",AND(LEFT(C953,3)="技能：",C953&lt;&gt;"技能：非自然知识",'幕间与结算'!E860&gt;=1,'幕间与结算'!E860&lt;=99,'幕间与结算'!F860&gt;=0,'幕间与结算'!F860&lt;=4,'幕间与结算'!G860&lt;=99))),1,0)</x:f>
        <x:v>0</x:v>
      </x:c>
      <x:c r="H953">
        <x:f>IF(AND(G953=1,COUNTIFS($I$200:I953,I953,$G$200:G953,1)=1),1,0)</x:f>
        <x:v>0</x:v>
      </x:c>
      <x:c r="I953" t="str">
        <x:f>IF(G953=1,IF(B953="成长",A953&amp;"-成长-"&amp;C953,'幕间与结算'!I860),"")</x:f>
        <x:v/>
      </x:c>
      <x:c r="BF953">
        <x:f>MAX(0,MIN(18,BF952+IF(C953="力量",E953,0)))</x:f>
        <x:v>0</x:v>
      </x:c>
      <x:c r="BG953">
        <x:f>MAX(0,MIN(18,BG952+IF(C953="体质",E953,0)))</x:f>
        <x:v>0</x:v>
      </x:c>
      <x:c r="BH953">
        <x:f>MAX(0,MIN(18,BH952+IF(C953="敏捷",E953,0)))</x:f>
        <x:v>0</x:v>
      </x:c>
      <x:c r="BI953">
        <x:f>MAX(0,MIN(18,BI952+IF(C953="智力",E953,0)))</x:f>
        <x:v>0</x:v>
      </x:c>
      <x:c r="BJ953">
        <x:f>MAX(0,MIN(18,BJ952+IF(C953="意志",E953,0)))</x:f>
        <x:v>0</x:v>
      </x:c>
      <x:c r="BK953">
        <x:f>MAX(0,MIN(18,BK952+IF(C953="魅力",E953,0)))</x:f>
        <x:v>0</x:v>
      </x:c>
      <x:c r="BL953">
        <x:f>MAX(0,MIN(99,BL952+IF(C953="技能：非自然知识",E953,0)))</x:f>
        <x:v>0</x:v>
      </x:c>
      <x:c r="BM953">
        <x:f>MAX(0,MIN(CEILING((BF953+BG953)/2,1),BM952+IF(C953="体力",E953,0)))</x:f>
        <x:v>0</x:v>
      </x:c>
      <x:c r="BN953">
        <x:f>MAX(0,MIN(BJ953,BN952+IF(C953="毅力",E953,0)))</x:f>
        <x:v>0</x:v>
      </x:c>
      <x:c r="BO953">
        <x:f>MAX(0,MIN(99-BL953,BO952+IF(C953="理智",E953,0)))</x:f>
        <x:v>0</x:v>
      </x:c>
      <x:c r="BP953">
        <x:f>MAX(0,MIN(99,BP952+IF(C953="崩溃点",E953,0)))</x:f>
        <x:v>0</x:v>
      </x:c>
      <x:c r="BQ953">
        <x:f>MAX(0,MIN(BK953,IF(AND(H953=1,C953="重要关系1",LEFT('幕间与结算'!H860,8)="建立新的重要关系"),'幕间与结算'!E860+E953,BQ952+IF(C953="重要关系1",E953,0)+IF(AND(C953="魅力",E953&lt;0),E953,0))))</x:f>
        <x:v>0</x:v>
      </x:c>
      <x:c r="BR953">
        <x:f>MAX(0,MIN(BK953,IF(AND(H953=1,C953="重要关系2",LEFT('幕间与结算'!H860,8)="建立新的重要关系"),'幕间与结算'!E860+E953,BR952+IF(C953="重要关系2",E953,0)+IF(AND(C953="魅力",E953&lt;0),E953,0))))</x:f>
        <x:v>0</x:v>
      </x:c>
      <x:c r="BS953">
        <x:f>MAX(0,MIN(BK953,IF(AND(H953=1,C953="重要关系3",LEFT('幕间与结算'!H860,8)="建立新的重要关系"),'幕间与结算'!E860+E953,BS952+IF(C953="重要关系3",E953,0)+IF(AND(C953="魅力",E953&lt;0),E953,0))))</x:f>
        <x:v>0</x:v>
      </x:c>
      <x:c r="BT953">
        <x:f>MAX(0,MIN(BK953,IF(AND(H953=1,C953="重要关系4",LEFT('幕间与结算'!H860,8)="建立新的重要关系"),'幕间与结算'!E860+E953,BT952+IF(C953="重要关系4",E953,0)+IF(AND(C953="魅力",E953&lt;0),E953,0))))</x:f>
        <x:v>0</x:v>
      </x:c>
      <x:c r="BU953">
        <x:f>MAX(0,MIN(BK953,IF(AND(H953=1,C953="重要关系5",LEFT('幕间与结算'!H860,8)="建立新的重要关系"),'幕间与结算'!E860+E953,BU952+IF(C953="重要关系5",E953,0)+IF(AND(C953="魅力",E953&lt;0),E953,0))))</x:f>
        <x:v>0</x:v>
      </x:c>
      <x:c r="BV953">
        <x:f>MAX(0,MIN(BK953,IF(AND(H953=1,C953="重要关系6",LEFT('幕间与结算'!H860,8)="建立新的重要关系"),'幕间与结算'!E860+E953,BV952+IF(C953="重要关系6",E953,0)+IF(AND(C953="魅力",E953&lt;0),E953,0))))</x:f>
        <x:v>0</x:v>
      </x:c>
      <x:c r="BW953">
        <x:f>MAX(0,MIN(BK953,IF(AND(H953=1,C953="重要关系7",LEFT('幕间与结算'!H860,8)="建立新的重要关系"),'幕间与结算'!E860+E953,BW952+IF(C953="重要关系7",E953,0)+IF(AND(C953="魅力",E953&lt;0),E953,0))))</x:f>
        <x:v>0</x:v>
      </x:c>
    </x:row>
    <x:row r="954">
      <x:c r="A954" t="str">
        <x:f>IFERROR(TEXT(VALUE('幕间与结算'!A861),"00"),"")</x:f>
        <x:v>00</x:v>
      </x:c>
      <x:c r="B954">
        <x:f>'幕间与结算'!B861</x:f>
        <x:v>0</x:v>
      </x:c>
      <x:c r="C954">
        <x:f>'幕间与结算'!D861</x:f>
        <x:v>0</x:v>
      </x:c>
      <x:c r="D954">
        <x:f>'幕间与结算'!F861</x:f>
        <x:v>0</x:v>
      </x:c>
      <x:c r="E954">
        <x:f>IF(H954=1,MAX(-'幕间与结算'!E861,MIN(D954,IF(LEFT(C954,3)="技能：",99,IF(COUNTIF($L$2:$L$7,C954)&gt;0,18,999))-'幕间与结算'!E861)),0)</x:f>
        <x:v>0</x:v>
      </x:c>
      <x:c r="F954" t="str">
        <x:f>IF(C954=0,"",IF(G954=0,"记录不完整",IF(H954=0,"重复未计","已计入")))</x:f>
        <x:v/>
      </x:c>
      <x:c r="G954">
        <x:f>IF(AND(AND('幕间与结算'!A861&lt;&gt;"",'幕间与结算'!B861&lt;&gt;"",'幕间与结算'!I861&lt;&gt;"",OR(LEFT(C954,3)="技能：",COUNTIF($L$2:$L$19,C954)&gt;0),ISNUMBER('幕间与结算'!E861),ISNUMBER('幕间与结算'!F861),ISNUMBER('幕间与结算'!G861),'幕间与结算'!E861&gt;=0,'幕间与结算'!G861='幕间与结算'!E861+'幕间与结算'!F861),OR(B954&lt;&gt;"成长",AND(LEFT(C954,3)="技能：",C954&lt;&gt;"技能：非自然知识",'幕间与结算'!E861&gt;=1,'幕间与结算'!E861&lt;=99,'幕间与结算'!F861&gt;=0,'幕间与结算'!F861&lt;=4,'幕间与结算'!G861&lt;=99))),1,0)</x:f>
        <x:v>0</x:v>
      </x:c>
      <x:c r="H954">
        <x:f>IF(AND(G954=1,COUNTIFS($I$200:I954,I954,$G$200:G954,1)=1),1,0)</x:f>
        <x:v>0</x:v>
      </x:c>
      <x:c r="I954" t="str">
        <x:f>IF(G954=1,IF(B954="成长",A954&amp;"-成长-"&amp;C954,'幕间与结算'!I861),"")</x:f>
        <x:v/>
      </x:c>
      <x:c r="BF954">
        <x:f>MAX(0,MIN(18,BF953+IF(C954="力量",E954,0)))</x:f>
        <x:v>0</x:v>
      </x:c>
      <x:c r="BG954">
        <x:f>MAX(0,MIN(18,BG953+IF(C954="体质",E954,0)))</x:f>
        <x:v>0</x:v>
      </x:c>
      <x:c r="BH954">
        <x:f>MAX(0,MIN(18,BH953+IF(C954="敏捷",E954,0)))</x:f>
        <x:v>0</x:v>
      </x:c>
      <x:c r="BI954">
        <x:f>MAX(0,MIN(18,BI953+IF(C954="智力",E954,0)))</x:f>
        <x:v>0</x:v>
      </x:c>
      <x:c r="BJ954">
        <x:f>MAX(0,MIN(18,BJ953+IF(C954="意志",E954,0)))</x:f>
        <x:v>0</x:v>
      </x:c>
      <x:c r="BK954">
        <x:f>MAX(0,MIN(18,BK953+IF(C954="魅力",E954,0)))</x:f>
        <x:v>0</x:v>
      </x:c>
      <x:c r="BL954">
        <x:f>MAX(0,MIN(99,BL953+IF(C954="技能：非自然知识",E954,0)))</x:f>
        <x:v>0</x:v>
      </x:c>
      <x:c r="BM954">
        <x:f>MAX(0,MIN(CEILING((BF954+BG954)/2,1),BM953+IF(C954="体力",E954,0)))</x:f>
        <x:v>0</x:v>
      </x:c>
      <x:c r="BN954">
        <x:f>MAX(0,MIN(BJ954,BN953+IF(C954="毅力",E954,0)))</x:f>
        <x:v>0</x:v>
      </x:c>
      <x:c r="BO954">
        <x:f>MAX(0,MIN(99-BL954,BO953+IF(C954="理智",E954,0)))</x:f>
        <x:v>0</x:v>
      </x:c>
      <x:c r="BP954">
        <x:f>MAX(0,MIN(99,BP953+IF(C954="崩溃点",E954,0)))</x:f>
        <x:v>0</x:v>
      </x:c>
      <x:c r="BQ954">
        <x:f>MAX(0,MIN(BK954,IF(AND(H954=1,C954="重要关系1",LEFT('幕间与结算'!H861,8)="建立新的重要关系"),'幕间与结算'!E861+E954,BQ953+IF(C954="重要关系1",E954,0)+IF(AND(C954="魅力",E954&lt;0),E954,0))))</x:f>
        <x:v>0</x:v>
      </x:c>
      <x:c r="BR954">
        <x:f>MAX(0,MIN(BK954,IF(AND(H954=1,C954="重要关系2",LEFT('幕间与结算'!H861,8)="建立新的重要关系"),'幕间与结算'!E861+E954,BR953+IF(C954="重要关系2",E954,0)+IF(AND(C954="魅力",E954&lt;0),E954,0))))</x:f>
        <x:v>0</x:v>
      </x:c>
      <x:c r="BS954">
        <x:f>MAX(0,MIN(BK954,IF(AND(H954=1,C954="重要关系3",LEFT('幕间与结算'!H861,8)="建立新的重要关系"),'幕间与结算'!E861+E954,BS953+IF(C954="重要关系3",E954,0)+IF(AND(C954="魅力",E954&lt;0),E954,0))))</x:f>
        <x:v>0</x:v>
      </x:c>
      <x:c r="BT954">
        <x:f>MAX(0,MIN(BK954,IF(AND(H954=1,C954="重要关系4",LEFT('幕间与结算'!H861,8)="建立新的重要关系"),'幕间与结算'!E861+E954,BT953+IF(C954="重要关系4",E954,0)+IF(AND(C954="魅力",E954&lt;0),E954,0))))</x:f>
        <x:v>0</x:v>
      </x:c>
      <x:c r="BU954">
        <x:f>MAX(0,MIN(BK954,IF(AND(H954=1,C954="重要关系5",LEFT('幕间与结算'!H861,8)="建立新的重要关系"),'幕间与结算'!E861+E954,BU953+IF(C954="重要关系5",E954,0)+IF(AND(C954="魅力",E954&lt;0),E954,0))))</x:f>
        <x:v>0</x:v>
      </x:c>
      <x:c r="BV954">
        <x:f>MAX(0,MIN(BK954,IF(AND(H954=1,C954="重要关系6",LEFT('幕间与结算'!H861,8)="建立新的重要关系"),'幕间与结算'!E861+E954,BV953+IF(C954="重要关系6",E954,0)+IF(AND(C954="魅力",E954&lt;0),E954,0))))</x:f>
        <x:v>0</x:v>
      </x:c>
      <x:c r="BW954">
        <x:f>MAX(0,MIN(BK954,IF(AND(H954=1,C954="重要关系7",LEFT('幕间与结算'!H861,8)="建立新的重要关系"),'幕间与结算'!E861+E954,BW953+IF(C954="重要关系7",E954,0)+IF(AND(C954="魅力",E954&lt;0),E954,0))))</x:f>
        <x:v>0</x:v>
      </x:c>
    </x:row>
    <x:row r="955">
      <x:c r="A955" t="str">
        <x:f>IFERROR(TEXT(VALUE('幕间与结算'!A862),"00"),"")</x:f>
        <x:v>00</x:v>
      </x:c>
      <x:c r="B955">
        <x:f>'幕间与结算'!B862</x:f>
        <x:v>0</x:v>
      </x:c>
      <x:c r="C955">
        <x:f>'幕间与结算'!D862</x:f>
        <x:v>0</x:v>
      </x:c>
      <x:c r="D955">
        <x:f>'幕间与结算'!F862</x:f>
        <x:v>0</x:v>
      </x:c>
      <x:c r="E955">
        <x:f>IF(H955=1,MAX(-'幕间与结算'!E862,MIN(D955,IF(LEFT(C955,3)="技能：",99,IF(COUNTIF($L$2:$L$7,C955)&gt;0,18,999))-'幕间与结算'!E862)),0)</x:f>
        <x:v>0</x:v>
      </x:c>
      <x:c r="F955" t="str">
        <x:f>IF(C955=0,"",IF(G955=0,"记录不完整",IF(H955=0,"重复未计","已计入")))</x:f>
        <x:v/>
      </x:c>
      <x:c r="G955">
        <x:f>IF(AND(AND('幕间与结算'!A862&lt;&gt;"",'幕间与结算'!B862&lt;&gt;"",'幕间与结算'!I862&lt;&gt;"",OR(LEFT(C955,3)="技能：",COUNTIF($L$2:$L$19,C955)&gt;0),ISNUMBER('幕间与结算'!E862),ISNUMBER('幕间与结算'!F862),ISNUMBER('幕间与结算'!G862),'幕间与结算'!E862&gt;=0,'幕间与结算'!G862='幕间与结算'!E862+'幕间与结算'!F862),OR(B955&lt;&gt;"成长",AND(LEFT(C955,3)="技能：",C955&lt;&gt;"技能：非自然知识",'幕间与结算'!E862&gt;=1,'幕间与结算'!E862&lt;=99,'幕间与结算'!F862&gt;=0,'幕间与结算'!F862&lt;=4,'幕间与结算'!G862&lt;=99))),1,0)</x:f>
        <x:v>0</x:v>
      </x:c>
      <x:c r="H955">
        <x:f>IF(AND(G955=1,COUNTIFS($I$200:I955,I955,$G$200:G955,1)=1),1,0)</x:f>
        <x:v>0</x:v>
      </x:c>
      <x:c r="I955" t="str">
        <x:f>IF(G955=1,IF(B955="成长",A955&amp;"-成长-"&amp;C955,'幕间与结算'!I862),"")</x:f>
        <x:v/>
      </x:c>
      <x:c r="BF955">
        <x:f>MAX(0,MIN(18,BF954+IF(C955="力量",E955,0)))</x:f>
        <x:v>0</x:v>
      </x:c>
      <x:c r="BG955">
        <x:f>MAX(0,MIN(18,BG954+IF(C955="体质",E955,0)))</x:f>
        <x:v>0</x:v>
      </x:c>
      <x:c r="BH955">
        <x:f>MAX(0,MIN(18,BH954+IF(C955="敏捷",E955,0)))</x:f>
        <x:v>0</x:v>
      </x:c>
      <x:c r="BI955">
        <x:f>MAX(0,MIN(18,BI954+IF(C955="智力",E955,0)))</x:f>
        <x:v>0</x:v>
      </x:c>
      <x:c r="BJ955">
        <x:f>MAX(0,MIN(18,BJ954+IF(C955="意志",E955,0)))</x:f>
        <x:v>0</x:v>
      </x:c>
      <x:c r="BK955">
        <x:f>MAX(0,MIN(18,BK954+IF(C955="魅力",E955,0)))</x:f>
        <x:v>0</x:v>
      </x:c>
      <x:c r="BL955">
        <x:f>MAX(0,MIN(99,BL954+IF(C955="技能：非自然知识",E955,0)))</x:f>
        <x:v>0</x:v>
      </x:c>
      <x:c r="BM955">
        <x:f>MAX(0,MIN(CEILING((BF955+BG955)/2,1),BM954+IF(C955="体力",E955,0)))</x:f>
        <x:v>0</x:v>
      </x:c>
      <x:c r="BN955">
        <x:f>MAX(0,MIN(BJ955,BN954+IF(C955="毅力",E955,0)))</x:f>
        <x:v>0</x:v>
      </x:c>
      <x:c r="BO955">
        <x:f>MAX(0,MIN(99-BL955,BO954+IF(C955="理智",E955,0)))</x:f>
        <x:v>0</x:v>
      </x:c>
      <x:c r="BP955">
        <x:f>MAX(0,MIN(99,BP954+IF(C955="崩溃点",E955,0)))</x:f>
        <x:v>0</x:v>
      </x:c>
      <x:c r="BQ955">
        <x:f>MAX(0,MIN(BK955,IF(AND(H955=1,C955="重要关系1",LEFT('幕间与结算'!H862,8)="建立新的重要关系"),'幕间与结算'!E862+E955,BQ954+IF(C955="重要关系1",E955,0)+IF(AND(C955="魅力",E955&lt;0),E955,0))))</x:f>
        <x:v>0</x:v>
      </x:c>
      <x:c r="BR955">
        <x:f>MAX(0,MIN(BK955,IF(AND(H955=1,C955="重要关系2",LEFT('幕间与结算'!H862,8)="建立新的重要关系"),'幕间与结算'!E862+E955,BR954+IF(C955="重要关系2",E955,0)+IF(AND(C955="魅力",E955&lt;0),E955,0))))</x:f>
        <x:v>0</x:v>
      </x:c>
      <x:c r="BS955">
        <x:f>MAX(0,MIN(BK955,IF(AND(H955=1,C955="重要关系3",LEFT('幕间与结算'!H862,8)="建立新的重要关系"),'幕间与结算'!E862+E955,BS954+IF(C955="重要关系3",E955,0)+IF(AND(C955="魅力",E955&lt;0),E955,0))))</x:f>
        <x:v>0</x:v>
      </x:c>
      <x:c r="BT955">
        <x:f>MAX(0,MIN(BK955,IF(AND(H955=1,C955="重要关系4",LEFT('幕间与结算'!H862,8)="建立新的重要关系"),'幕间与结算'!E862+E955,BT954+IF(C955="重要关系4",E955,0)+IF(AND(C955="魅力",E955&lt;0),E955,0))))</x:f>
        <x:v>0</x:v>
      </x:c>
      <x:c r="BU955">
        <x:f>MAX(0,MIN(BK955,IF(AND(H955=1,C955="重要关系5",LEFT('幕间与结算'!H862,8)="建立新的重要关系"),'幕间与结算'!E862+E955,BU954+IF(C955="重要关系5",E955,0)+IF(AND(C955="魅力",E955&lt;0),E955,0))))</x:f>
        <x:v>0</x:v>
      </x:c>
      <x:c r="BV955">
        <x:f>MAX(0,MIN(BK955,IF(AND(H955=1,C955="重要关系6",LEFT('幕间与结算'!H862,8)="建立新的重要关系"),'幕间与结算'!E862+E955,BV954+IF(C955="重要关系6",E955,0)+IF(AND(C955="魅力",E955&lt;0),E955,0))))</x:f>
        <x:v>0</x:v>
      </x:c>
      <x:c r="BW955">
        <x:f>MAX(0,MIN(BK955,IF(AND(H955=1,C955="重要关系7",LEFT('幕间与结算'!H862,8)="建立新的重要关系"),'幕间与结算'!E862+E955,BW954+IF(C955="重要关系7",E955,0)+IF(AND(C955="魅力",E955&lt;0),E955,0))))</x:f>
        <x:v>0</x:v>
      </x:c>
    </x:row>
    <x:row r="956">
      <x:c r="A956" t="str">
        <x:f>IFERROR(TEXT(VALUE('幕间与结算'!A863),"00"),"")</x:f>
        <x:v>00</x:v>
      </x:c>
      <x:c r="B956">
        <x:f>'幕间与结算'!B863</x:f>
        <x:v>0</x:v>
      </x:c>
      <x:c r="C956">
        <x:f>'幕间与结算'!D863</x:f>
        <x:v>0</x:v>
      </x:c>
      <x:c r="D956">
        <x:f>'幕间与结算'!F863</x:f>
        <x:v>0</x:v>
      </x:c>
      <x:c r="E956">
        <x:f>IF(H956=1,MAX(-'幕间与结算'!E863,MIN(D956,IF(LEFT(C956,3)="技能：",99,IF(COUNTIF($L$2:$L$7,C956)&gt;0,18,999))-'幕间与结算'!E863)),0)</x:f>
        <x:v>0</x:v>
      </x:c>
      <x:c r="F956" t="str">
        <x:f>IF(C956=0,"",IF(G956=0,"记录不完整",IF(H956=0,"重复未计","已计入")))</x:f>
        <x:v/>
      </x:c>
      <x:c r="G956">
        <x:f>IF(AND(AND('幕间与结算'!A863&lt;&gt;"",'幕间与结算'!B863&lt;&gt;"",'幕间与结算'!I863&lt;&gt;"",OR(LEFT(C956,3)="技能：",COUNTIF($L$2:$L$19,C956)&gt;0),ISNUMBER('幕间与结算'!E863),ISNUMBER('幕间与结算'!F863),ISNUMBER('幕间与结算'!G863),'幕间与结算'!E863&gt;=0,'幕间与结算'!G863='幕间与结算'!E863+'幕间与结算'!F863),OR(B956&lt;&gt;"成长",AND(LEFT(C956,3)="技能：",C956&lt;&gt;"技能：非自然知识",'幕间与结算'!E863&gt;=1,'幕间与结算'!E863&lt;=99,'幕间与结算'!F863&gt;=0,'幕间与结算'!F863&lt;=4,'幕间与结算'!G863&lt;=99))),1,0)</x:f>
        <x:v>0</x:v>
      </x:c>
      <x:c r="H956">
        <x:f>IF(AND(G956=1,COUNTIFS($I$200:I956,I956,$G$200:G956,1)=1),1,0)</x:f>
        <x:v>0</x:v>
      </x:c>
      <x:c r="I956" t="str">
        <x:f>IF(G956=1,IF(B956="成长",A956&amp;"-成长-"&amp;C956,'幕间与结算'!I863),"")</x:f>
        <x:v/>
      </x:c>
      <x:c r="BF956">
        <x:f>MAX(0,MIN(18,BF955+IF(C956="力量",E956,0)))</x:f>
        <x:v>0</x:v>
      </x:c>
      <x:c r="BG956">
        <x:f>MAX(0,MIN(18,BG955+IF(C956="体质",E956,0)))</x:f>
        <x:v>0</x:v>
      </x:c>
      <x:c r="BH956">
        <x:f>MAX(0,MIN(18,BH955+IF(C956="敏捷",E956,0)))</x:f>
        <x:v>0</x:v>
      </x:c>
      <x:c r="BI956">
        <x:f>MAX(0,MIN(18,BI955+IF(C956="智力",E956,0)))</x:f>
        <x:v>0</x:v>
      </x:c>
      <x:c r="BJ956">
        <x:f>MAX(0,MIN(18,BJ955+IF(C956="意志",E956,0)))</x:f>
        <x:v>0</x:v>
      </x:c>
      <x:c r="BK956">
        <x:f>MAX(0,MIN(18,BK955+IF(C956="魅力",E956,0)))</x:f>
        <x:v>0</x:v>
      </x:c>
      <x:c r="BL956">
        <x:f>MAX(0,MIN(99,BL955+IF(C956="技能：非自然知识",E956,0)))</x:f>
        <x:v>0</x:v>
      </x:c>
      <x:c r="BM956">
        <x:f>MAX(0,MIN(CEILING((BF956+BG956)/2,1),BM955+IF(C956="体力",E956,0)))</x:f>
        <x:v>0</x:v>
      </x:c>
      <x:c r="BN956">
        <x:f>MAX(0,MIN(BJ956,BN955+IF(C956="毅力",E956,0)))</x:f>
        <x:v>0</x:v>
      </x:c>
      <x:c r="BO956">
        <x:f>MAX(0,MIN(99-BL956,BO955+IF(C956="理智",E956,0)))</x:f>
        <x:v>0</x:v>
      </x:c>
      <x:c r="BP956">
        <x:f>MAX(0,MIN(99,BP955+IF(C956="崩溃点",E956,0)))</x:f>
        <x:v>0</x:v>
      </x:c>
      <x:c r="BQ956">
        <x:f>MAX(0,MIN(BK956,IF(AND(H956=1,C956="重要关系1",LEFT('幕间与结算'!H863,8)="建立新的重要关系"),'幕间与结算'!E863+E956,BQ955+IF(C956="重要关系1",E956,0)+IF(AND(C956="魅力",E956&lt;0),E956,0))))</x:f>
        <x:v>0</x:v>
      </x:c>
      <x:c r="BR956">
        <x:f>MAX(0,MIN(BK956,IF(AND(H956=1,C956="重要关系2",LEFT('幕间与结算'!H863,8)="建立新的重要关系"),'幕间与结算'!E863+E956,BR955+IF(C956="重要关系2",E956,0)+IF(AND(C956="魅力",E956&lt;0),E956,0))))</x:f>
        <x:v>0</x:v>
      </x:c>
      <x:c r="BS956">
        <x:f>MAX(0,MIN(BK956,IF(AND(H956=1,C956="重要关系3",LEFT('幕间与结算'!H863,8)="建立新的重要关系"),'幕间与结算'!E863+E956,BS955+IF(C956="重要关系3",E956,0)+IF(AND(C956="魅力",E956&lt;0),E956,0))))</x:f>
        <x:v>0</x:v>
      </x:c>
      <x:c r="BT956">
        <x:f>MAX(0,MIN(BK956,IF(AND(H956=1,C956="重要关系4",LEFT('幕间与结算'!H863,8)="建立新的重要关系"),'幕间与结算'!E863+E956,BT955+IF(C956="重要关系4",E956,0)+IF(AND(C956="魅力",E956&lt;0),E956,0))))</x:f>
        <x:v>0</x:v>
      </x:c>
      <x:c r="BU956">
        <x:f>MAX(0,MIN(BK956,IF(AND(H956=1,C956="重要关系5",LEFT('幕间与结算'!H863,8)="建立新的重要关系"),'幕间与结算'!E863+E956,BU955+IF(C956="重要关系5",E956,0)+IF(AND(C956="魅力",E956&lt;0),E956,0))))</x:f>
        <x:v>0</x:v>
      </x:c>
      <x:c r="BV956">
        <x:f>MAX(0,MIN(BK956,IF(AND(H956=1,C956="重要关系6",LEFT('幕间与结算'!H863,8)="建立新的重要关系"),'幕间与结算'!E863+E956,BV955+IF(C956="重要关系6",E956,0)+IF(AND(C956="魅力",E956&lt;0),E956,0))))</x:f>
        <x:v>0</x:v>
      </x:c>
      <x:c r="BW956">
        <x:f>MAX(0,MIN(BK956,IF(AND(H956=1,C956="重要关系7",LEFT('幕间与结算'!H863,8)="建立新的重要关系"),'幕间与结算'!E863+E956,BW955+IF(C956="重要关系7",E956,0)+IF(AND(C956="魅力",E956&lt;0),E956,0))))</x:f>
        <x:v>0</x:v>
      </x:c>
    </x:row>
    <x:row r="957">
      <x:c r="A957" t="str">
        <x:f>IFERROR(TEXT(VALUE('幕间与结算'!A864),"00"),"")</x:f>
        <x:v>00</x:v>
      </x:c>
      <x:c r="B957">
        <x:f>'幕间与结算'!B864</x:f>
        <x:v>0</x:v>
      </x:c>
      <x:c r="C957">
        <x:f>'幕间与结算'!D864</x:f>
        <x:v>0</x:v>
      </x:c>
      <x:c r="D957">
        <x:f>'幕间与结算'!F864</x:f>
        <x:v>0</x:v>
      </x:c>
      <x:c r="E957">
        <x:f>IF(H957=1,MAX(-'幕间与结算'!E864,MIN(D957,IF(LEFT(C957,3)="技能：",99,IF(COUNTIF($L$2:$L$7,C957)&gt;0,18,999))-'幕间与结算'!E864)),0)</x:f>
        <x:v>0</x:v>
      </x:c>
      <x:c r="F957" t="str">
        <x:f>IF(C957=0,"",IF(G957=0,"记录不完整",IF(H957=0,"重复未计","已计入")))</x:f>
        <x:v/>
      </x:c>
      <x:c r="G957">
        <x:f>IF(AND(AND('幕间与结算'!A864&lt;&gt;"",'幕间与结算'!B864&lt;&gt;"",'幕间与结算'!I864&lt;&gt;"",OR(LEFT(C957,3)="技能：",COUNTIF($L$2:$L$19,C957)&gt;0),ISNUMBER('幕间与结算'!E864),ISNUMBER('幕间与结算'!F864),ISNUMBER('幕间与结算'!G864),'幕间与结算'!E864&gt;=0,'幕间与结算'!G864='幕间与结算'!E864+'幕间与结算'!F864),OR(B957&lt;&gt;"成长",AND(LEFT(C957,3)="技能：",C957&lt;&gt;"技能：非自然知识",'幕间与结算'!E864&gt;=1,'幕间与结算'!E864&lt;=99,'幕间与结算'!F864&gt;=0,'幕间与结算'!F864&lt;=4,'幕间与结算'!G864&lt;=99))),1,0)</x:f>
        <x:v>0</x:v>
      </x:c>
      <x:c r="H957">
        <x:f>IF(AND(G957=1,COUNTIFS($I$200:I957,I957,$G$200:G957,1)=1),1,0)</x:f>
        <x:v>0</x:v>
      </x:c>
      <x:c r="I957" t="str">
        <x:f>IF(G957=1,IF(B957="成长",A957&amp;"-成长-"&amp;C957,'幕间与结算'!I864),"")</x:f>
        <x:v/>
      </x:c>
      <x:c r="BF957">
        <x:f>MAX(0,MIN(18,BF956+IF(C957="力量",E957,0)))</x:f>
        <x:v>0</x:v>
      </x:c>
      <x:c r="BG957">
        <x:f>MAX(0,MIN(18,BG956+IF(C957="体质",E957,0)))</x:f>
        <x:v>0</x:v>
      </x:c>
      <x:c r="BH957">
        <x:f>MAX(0,MIN(18,BH956+IF(C957="敏捷",E957,0)))</x:f>
        <x:v>0</x:v>
      </x:c>
      <x:c r="BI957">
        <x:f>MAX(0,MIN(18,BI956+IF(C957="智力",E957,0)))</x:f>
        <x:v>0</x:v>
      </x:c>
      <x:c r="BJ957">
        <x:f>MAX(0,MIN(18,BJ956+IF(C957="意志",E957,0)))</x:f>
        <x:v>0</x:v>
      </x:c>
      <x:c r="BK957">
        <x:f>MAX(0,MIN(18,BK956+IF(C957="魅力",E957,0)))</x:f>
        <x:v>0</x:v>
      </x:c>
      <x:c r="BL957">
        <x:f>MAX(0,MIN(99,BL956+IF(C957="技能：非自然知识",E957,0)))</x:f>
        <x:v>0</x:v>
      </x:c>
      <x:c r="BM957">
        <x:f>MAX(0,MIN(CEILING((BF957+BG957)/2,1),BM956+IF(C957="体力",E957,0)))</x:f>
        <x:v>0</x:v>
      </x:c>
      <x:c r="BN957">
        <x:f>MAX(0,MIN(BJ957,BN956+IF(C957="毅力",E957,0)))</x:f>
        <x:v>0</x:v>
      </x:c>
      <x:c r="BO957">
        <x:f>MAX(0,MIN(99-BL957,BO956+IF(C957="理智",E957,0)))</x:f>
        <x:v>0</x:v>
      </x:c>
      <x:c r="BP957">
        <x:f>MAX(0,MIN(99,BP956+IF(C957="崩溃点",E957,0)))</x:f>
        <x:v>0</x:v>
      </x:c>
      <x:c r="BQ957">
        <x:f>MAX(0,MIN(BK957,IF(AND(H957=1,C957="重要关系1",LEFT('幕间与结算'!H864,8)="建立新的重要关系"),'幕间与结算'!E864+E957,BQ956+IF(C957="重要关系1",E957,0)+IF(AND(C957="魅力",E957&lt;0),E957,0))))</x:f>
        <x:v>0</x:v>
      </x:c>
      <x:c r="BR957">
        <x:f>MAX(0,MIN(BK957,IF(AND(H957=1,C957="重要关系2",LEFT('幕间与结算'!H864,8)="建立新的重要关系"),'幕间与结算'!E864+E957,BR956+IF(C957="重要关系2",E957,0)+IF(AND(C957="魅力",E957&lt;0),E957,0))))</x:f>
        <x:v>0</x:v>
      </x:c>
      <x:c r="BS957">
        <x:f>MAX(0,MIN(BK957,IF(AND(H957=1,C957="重要关系3",LEFT('幕间与结算'!H864,8)="建立新的重要关系"),'幕间与结算'!E864+E957,BS956+IF(C957="重要关系3",E957,0)+IF(AND(C957="魅力",E957&lt;0),E957,0))))</x:f>
        <x:v>0</x:v>
      </x:c>
      <x:c r="BT957">
        <x:f>MAX(0,MIN(BK957,IF(AND(H957=1,C957="重要关系4",LEFT('幕间与结算'!H864,8)="建立新的重要关系"),'幕间与结算'!E864+E957,BT956+IF(C957="重要关系4",E957,0)+IF(AND(C957="魅力",E957&lt;0),E957,0))))</x:f>
        <x:v>0</x:v>
      </x:c>
      <x:c r="BU957">
        <x:f>MAX(0,MIN(BK957,IF(AND(H957=1,C957="重要关系5",LEFT('幕间与结算'!H864,8)="建立新的重要关系"),'幕间与结算'!E864+E957,BU956+IF(C957="重要关系5",E957,0)+IF(AND(C957="魅力",E957&lt;0),E957,0))))</x:f>
        <x:v>0</x:v>
      </x:c>
      <x:c r="BV957">
        <x:f>MAX(0,MIN(BK957,IF(AND(H957=1,C957="重要关系6",LEFT('幕间与结算'!H864,8)="建立新的重要关系"),'幕间与结算'!E864+E957,BV956+IF(C957="重要关系6",E957,0)+IF(AND(C957="魅力",E957&lt;0),E957,0))))</x:f>
        <x:v>0</x:v>
      </x:c>
      <x:c r="BW957">
        <x:f>MAX(0,MIN(BK957,IF(AND(H957=1,C957="重要关系7",LEFT('幕间与结算'!H864,8)="建立新的重要关系"),'幕间与结算'!E864+E957,BW956+IF(C957="重要关系7",E957,0)+IF(AND(C957="魅力",E957&lt;0),E957,0))))</x:f>
        <x:v>0</x:v>
      </x:c>
    </x:row>
    <x:row r="958">
      <x:c r="A958" t="str">
        <x:f>IFERROR(TEXT(VALUE('幕间与结算'!A865),"00"),"")</x:f>
        <x:v>00</x:v>
      </x:c>
      <x:c r="B958">
        <x:f>'幕间与结算'!B865</x:f>
        <x:v>0</x:v>
      </x:c>
      <x:c r="C958">
        <x:f>'幕间与结算'!D865</x:f>
        <x:v>0</x:v>
      </x:c>
      <x:c r="D958">
        <x:f>'幕间与结算'!F865</x:f>
        <x:v>0</x:v>
      </x:c>
      <x:c r="E958">
        <x:f>IF(H958=1,MAX(-'幕间与结算'!E865,MIN(D958,IF(LEFT(C958,3)="技能：",99,IF(COUNTIF($L$2:$L$7,C958)&gt;0,18,999))-'幕间与结算'!E865)),0)</x:f>
        <x:v>0</x:v>
      </x:c>
      <x:c r="F958" t="str">
        <x:f>IF(C958=0,"",IF(G958=0,"记录不完整",IF(H958=0,"重复未计","已计入")))</x:f>
        <x:v/>
      </x:c>
      <x:c r="G958">
        <x:f>IF(AND(AND('幕间与结算'!A865&lt;&gt;"",'幕间与结算'!B865&lt;&gt;"",'幕间与结算'!I865&lt;&gt;"",OR(LEFT(C958,3)="技能：",COUNTIF($L$2:$L$19,C958)&gt;0),ISNUMBER('幕间与结算'!E865),ISNUMBER('幕间与结算'!F865),ISNUMBER('幕间与结算'!G865),'幕间与结算'!E865&gt;=0,'幕间与结算'!G865='幕间与结算'!E865+'幕间与结算'!F865),OR(B958&lt;&gt;"成长",AND(LEFT(C958,3)="技能：",C958&lt;&gt;"技能：非自然知识",'幕间与结算'!E865&gt;=1,'幕间与结算'!E865&lt;=99,'幕间与结算'!F865&gt;=0,'幕间与结算'!F865&lt;=4,'幕间与结算'!G865&lt;=99))),1,0)</x:f>
        <x:v>0</x:v>
      </x:c>
      <x:c r="H958">
        <x:f>IF(AND(G958=1,COUNTIFS($I$200:I958,I958,$G$200:G958,1)=1),1,0)</x:f>
        <x:v>0</x:v>
      </x:c>
      <x:c r="I958" t="str">
        <x:f>IF(G958=1,IF(B958="成长",A958&amp;"-成长-"&amp;C958,'幕间与结算'!I865),"")</x:f>
        <x:v/>
      </x:c>
      <x:c r="BF958">
        <x:f>MAX(0,MIN(18,BF957+IF(C958="力量",E958,0)))</x:f>
        <x:v>0</x:v>
      </x:c>
      <x:c r="BG958">
        <x:f>MAX(0,MIN(18,BG957+IF(C958="体质",E958,0)))</x:f>
        <x:v>0</x:v>
      </x:c>
      <x:c r="BH958">
        <x:f>MAX(0,MIN(18,BH957+IF(C958="敏捷",E958,0)))</x:f>
        <x:v>0</x:v>
      </x:c>
      <x:c r="BI958">
        <x:f>MAX(0,MIN(18,BI957+IF(C958="智力",E958,0)))</x:f>
        <x:v>0</x:v>
      </x:c>
      <x:c r="BJ958">
        <x:f>MAX(0,MIN(18,BJ957+IF(C958="意志",E958,0)))</x:f>
        <x:v>0</x:v>
      </x:c>
      <x:c r="BK958">
        <x:f>MAX(0,MIN(18,BK957+IF(C958="魅力",E958,0)))</x:f>
        <x:v>0</x:v>
      </x:c>
      <x:c r="BL958">
        <x:f>MAX(0,MIN(99,BL957+IF(C958="技能：非自然知识",E958,0)))</x:f>
        <x:v>0</x:v>
      </x:c>
      <x:c r="BM958">
        <x:f>MAX(0,MIN(CEILING((BF958+BG958)/2,1),BM957+IF(C958="体力",E958,0)))</x:f>
        <x:v>0</x:v>
      </x:c>
      <x:c r="BN958">
        <x:f>MAX(0,MIN(BJ958,BN957+IF(C958="毅力",E958,0)))</x:f>
        <x:v>0</x:v>
      </x:c>
      <x:c r="BO958">
        <x:f>MAX(0,MIN(99-BL958,BO957+IF(C958="理智",E958,0)))</x:f>
        <x:v>0</x:v>
      </x:c>
      <x:c r="BP958">
        <x:f>MAX(0,MIN(99,BP957+IF(C958="崩溃点",E958,0)))</x:f>
        <x:v>0</x:v>
      </x:c>
      <x:c r="BQ958">
        <x:f>MAX(0,MIN(BK958,IF(AND(H958=1,C958="重要关系1",LEFT('幕间与结算'!H865,8)="建立新的重要关系"),'幕间与结算'!E865+E958,BQ957+IF(C958="重要关系1",E958,0)+IF(AND(C958="魅力",E958&lt;0),E958,0))))</x:f>
        <x:v>0</x:v>
      </x:c>
      <x:c r="BR958">
        <x:f>MAX(0,MIN(BK958,IF(AND(H958=1,C958="重要关系2",LEFT('幕间与结算'!H865,8)="建立新的重要关系"),'幕间与结算'!E865+E958,BR957+IF(C958="重要关系2",E958,0)+IF(AND(C958="魅力",E958&lt;0),E958,0))))</x:f>
        <x:v>0</x:v>
      </x:c>
      <x:c r="BS958">
        <x:f>MAX(0,MIN(BK958,IF(AND(H958=1,C958="重要关系3",LEFT('幕间与结算'!H865,8)="建立新的重要关系"),'幕间与结算'!E865+E958,BS957+IF(C958="重要关系3",E958,0)+IF(AND(C958="魅力",E958&lt;0),E958,0))))</x:f>
        <x:v>0</x:v>
      </x:c>
      <x:c r="BT958">
        <x:f>MAX(0,MIN(BK958,IF(AND(H958=1,C958="重要关系4",LEFT('幕间与结算'!H865,8)="建立新的重要关系"),'幕间与结算'!E865+E958,BT957+IF(C958="重要关系4",E958,0)+IF(AND(C958="魅力",E958&lt;0),E958,0))))</x:f>
        <x:v>0</x:v>
      </x:c>
      <x:c r="BU958">
        <x:f>MAX(0,MIN(BK958,IF(AND(H958=1,C958="重要关系5",LEFT('幕间与结算'!H865,8)="建立新的重要关系"),'幕间与结算'!E865+E958,BU957+IF(C958="重要关系5",E958,0)+IF(AND(C958="魅力",E958&lt;0),E958,0))))</x:f>
        <x:v>0</x:v>
      </x:c>
      <x:c r="BV958">
        <x:f>MAX(0,MIN(BK958,IF(AND(H958=1,C958="重要关系6",LEFT('幕间与结算'!H865,8)="建立新的重要关系"),'幕间与结算'!E865+E958,BV957+IF(C958="重要关系6",E958,0)+IF(AND(C958="魅力",E958&lt;0),E958,0))))</x:f>
        <x:v>0</x:v>
      </x:c>
      <x:c r="BW958">
        <x:f>MAX(0,MIN(BK958,IF(AND(H958=1,C958="重要关系7",LEFT('幕间与结算'!H865,8)="建立新的重要关系"),'幕间与结算'!E865+E958,BW957+IF(C958="重要关系7",E958,0)+IF(AND(C958="魅力",E958&lt;0),E958,0))))</x:f>
        <x:v>0</x:v>
      </x:c>
    </x:row>
    <x:row r="959">
      <x:c r="A959" t="str">
        <x:f>IFERROR(TEXT(VALUE('幕间与结算'!A866),"00"),"")</x:f>
        <x:v>00</x:v>
      </x:c>
      <x:c r="B959">
        <x:f>'幕间与结算'!B866</x:f>
        <x:v>0</x:v>
      </x:c>
      <x:c r="C959">
        <x:f>'幕间与结算'!D866</x:f>
        <x:v>0</x:v>
      </x:c>
      <x:c r="D959">
        <x:f>'幕间与结算'!F866</x:f>
        <x:v>0</x:v>
      </x:c>
      <x:c r="E959">
        <x:f>IF(H959=1,MAX(-'幕间与结算'!E866,MIN(D959,IF(LEFT(C959,3)="技能：",99,IF(COUNTIF($L$2:$L$7,C959)&gt;0,18,999))-'幕间与结算'!E866)),0)</x:f>
        <x:v>0</x:v>
      </x:c>
      <x:c r="F959" t="str">
        <x:f>IF(C959=0,"",IF(G959=0,"记录不完整",IF(H959=0,"重复未计","已计入")))</x:f>
        <x:v/>
      </x:c>
      <x:c r="G959">
        <x:f>IF(AND(AND('幕间与结算'!A866&lt;&gt;"",'幕间与结算'!B866&lt;&gt;"",'幕间与结算'!I866&lt;&gt;"",OR(LEFT(C959,3)="技能：",COUNTIF($L$2:$L$19,C959)&gt;0),ISNUMBER('幕间与结算'!E866),ISNUMBER('幕间与结算'!F866),ISNUMBER('幕间与结算'!G866),'幕间与结算'!E866&gt;=0,'幕间与结算'!G866='幕间与结算'!E866+'幕间与结算'!F866),OR(B959&lt;&gt;"成长",AND(LEFT(C959,3)="技能：",C959&lt;&gt;"技能：非自然知识",'幕间与结算'!E866&gt;=1,'幕间与结算'!E866&lt;=99,'幕间与结算'!F866&gt;=0,'幕间与结算'!F866&lt;=4,'幕间与结算'!G866&lt;=99))),1,0)</x:f>
        <x:v>0</x:v>
      </x:c>
      <x:c r="H959">
        <x:f>IF(AND(G959=1,COUNTIFS($I$200:I959,I959,$G$200:G959,1)=1),1,0)</x:f>
        <x:v>0</x:v>
      </x:c>
      <x:c r="I959" t="str">
        <x:f>IF(G959=1,IF(B959="成长",A959&amp;"-成长-"&amp;C959,'幕间与结算'!I866),"")</x:f>
        <x:v/>
      </x:c>
      <x:c r="BF959">
        <x:f>MAX(0,MIN(18,BF958+IF(C959="力量",E959,0)))</x:f>
        <x:v>0</x:v>
      </x:c>
      <x:c r="BG959">
        <x:f>MAX(0,MIN(18,BG958+IF(C959="体质",E959,0)))</x:f>
        <x:v>0</x:v>
      </x:c>
      <x:c r="BH959">
        <x:f>MAX(0,MIN(18,BH958+IF(C959="敏捷",E959,0)))</x:f>
        <x:v>0</x:v>
      </x:c>
      <x:c r="BI959">
        <x:f>MAX(0,MIN(18,BI958+IF(C959="智力",E959,0)))</x:f>
        <x:v>0</x:v>
      </x:c>
      <x:c r="BJ959">
        <x:f>MAX(0,MIN(18,BJ958+IF(C959="意志",E959,0)))</x:f>
        <x:v>0</x:v>
      </x:c>
      <x:c r="BK959">
        <x:f>MAX(0,MIN(18,BK958+IF(C959="魅力",E959,0)))</x:f>
        <x:v>0</x:v>
      </x:c>
      <x:c r="BL959">
        <x:f>MAX(0,MIN(99,BL958+IF(C959="技能：非自然知识",E959,0)))</x:f>
        <x:v>0</x:v>
      </x:c>
      <x:c r="BM959">
        <x:f>MAX(0,MIN(CEILING((BF959+BG959)/2,1),BM958+IF(C959="体力",E959,0)))</x:f>
        <x:v>0</x:v>
      </x:c>
      <x:c r="BN959">
        <x:f>MAX(0,MIN(BJ959,BN958+IF(C959="毅力",E959,0)))</x:f>
        <x:v>0</x:v>
      </x:c>
      <x:c r="BO959">
        <x:f>MAX(0,MIN(99-BL959,BO958+IF(C959="理智",E959,0)))</x:f>
        <x:v>0</x:v>
      </x:c>
      <x:c r="BP959">
        <x:f>MAX(0,MIN(99,BP958+IF(C959="崩溃点",E959,0)))</x:f>
        <x:v>0</x:v>
      </x:c>
      <x:c r="BQ959">
        <x:f>MAX(0,MIN(BK959,IF(AND(H959=1,C959="重要关系1",LEFT('幕间与结算'!H866,8)="建立新的重要关系"),'幕间与结算'!E866+E959,BQ958+IF(C959="重要关系1",E959,0)+IF(AND(C959="魅力",E959&lt;0),E959,0))))</x:f>
        <x:v>0</x:v>
      </x:c>
      <x:c r="BR959">
        <x:f>MAX(0,MIN(BK959,IF(AND(H959=1,C959="重要关系2",LEFT('幕间与结算'!H866,8)="建立新的重要关系"),'幕间与结算'!E866+E959,BR958+IF(C959="重要关系2",E959,0)+IF(AND(C959="魅力",E959&lt;0),E959,0))))</x:f>
        <x:v>0</x:v>
      </x:c>
      <x:c r="BS959">
        <x:f>MAX(0,MIN(BK959,IF(AND(H959=1,C959="重要关系3",LEFT('幕间与结算'!H866,8)="建立新的重要关系"),'幕间与结算'!E866+E959,BS958+IF(C959="重要关系3",E959,0)+IF(AND(C959="魅力",E959&lt;0),E959,0))))</x:f>
        <x:v>0</x:v>
      </x:c>
      <x:c r="BT959">
        <x:f>MAX(0,MIN(BK959,IF(AND(H959=1,C959="重要关系4",LEFT('幕间与结算'!H866,8)="建立新的重要关系"),'幕间与结算'!E866+E959,BT958+IF(C959="重要关系4",E959,0)+IF(AND(C959="魅力",E959&lt;0),E959,0))))</x:f>
        <x:v>0</x:v>
      </x:c>
      <x:c r="BU959">
        <x:f>MAX(0,MIN(BK959,IF(AND(H959=1,C959="重要关系5",LEFT('幕间与结算'!H866,8)="建立新的重要关系"),'幕间与结算'!E866+E959,BU958+IF(C959="重要关系5",E959,0)+IF(AND(C959="魅力",E959&lt;0),E959,0))))</x:f>
        <x:v>0</x:v>
      </x:c>
      <x:c r="BV959">
        <x:f>MAX(0,MIN(BK959,IF(AND(H959=1,C959="重要关系6",LEFT('幕间与结算'!H866,8)="建立新的重要关系"),'幕间与结算'!E866+E959,BV958+IF(C959="重要关系6",E959,0)+IF(AND(C959="魅力",E959&lt;0),E959,0))))</x:f>
        <x:v>0</x:v>
      </x:c>
      <x:c r="BW959">
        <x:f>MAX(0,MIN(BK959,IF(AND(H959=1,C959="重要关系7",LEFT('幕间与结算'!H866,8)="建立新的重要关系"),'幕间与结算'!E866+E959,BW958+IF(C959="重要关系7",E959,0)+IF(AND(C959="魅力",E959&lt;0),E959,0))))</x:f>
        <x:v>0</x:v>
      </x:c>
    </x:row>
    <x:row r="960">
      <x:c r="A960" t="str">
        <x:f>IFERROR(TEXT(VALUE('幕间与结算'!A867),"00"),"")</x:f>
        <x:v>00</x:v>
      </x:c>
      <x:c r="B960">
        <x:f>'幕间与结算'!B867</x:f>
        <x:v>0</x:v>
      </x:c>
      <x:c r="C960">
        <x:f>'幕间与结算'!D867</x:f>
        <x:v>0</x:v>
      </x:c>
      <x:c r="D960">
        <x:f>'幕间与结算'!F867</x:f>
        <x:v>0</x:v>
      </x:c>
      <x:c r="E960">
        <x:f>IF(H960=1,MAX(-'幕间与结算'!E867,MIN(D960,IF(LEFT(C960,3)="技能：",99,IF(COUNTIF($L$2:$L$7,C960)&gt;0,18,999))-'幕间与结算'!E867)),0)</x:f>
        <x:v>0</x:v>
      </x:c>
      <x:c r="F960" t="str">
        <x:f>IF(C960=0,"",IF(G960=0,"记录不完整",IF(H960=0,"重复未计","已计入")))</x:f>
        <x:v/>
      </x:c>
      <x:c r="G960">
        <x:f>IF(AND(AND('幕间与结算'!A867&lt;&gt;"",'幕间与结算'!B867&lt;&gt;"",'幕间与结算'!I867&lt;&gt;"",OR(LEFT(C960,3)="技能：",COUNTIF($L$2:$L$19,C960)&gt;0),ISNUMBER('幕间与结算'!E867),ISNUMBER('幕间与结算'!F867),ISNUMBER('幕间与结算'!G867),'幕间与结算'!E867&gt;=0,'幕间与结算'!G867='幕间与结算'!E867+'幕间与结算'!F867),OR(B960&lt;&gt;"成长",AND(LEFT(C960,3)="技能：",C960&lt;&gt;"技能：非自然知识",'幕间与结算'!E867&gt;=1,'幕间与结算'!E867&lt;=99,'幕间与结算'!F867&gt;=0,'幕间与结算'!F867&lt;=4,'幕间与结算'!G867&lt;=99))),1,0)</x:f>
        <x:v>0</x:v>
      </x:c>
      <x:c r="H960">
        <x:f>IF(AND(G960=1,COUNTIFS($I$200:I960,I960,$G$200:G960,1)=1),1,0)</x:f>
        <x:v>0</x:v>
      </x:c>
      <x:c r="I960" t="str">
        <x:f>IF(G960=1,IF(B960="成长",A960&amp;"-成长-"&amp;C960,'幕间与结算'!I867),"")</x:f>
        <x:v/>
      </x:c>
      <x:c r="BF960">
        <x:f>MAX(0,MIN(18,BF959+IF(C960="力量",E960,0)))</x:f>
        <x:v>0</x:v>
      </x:c>
      <x:c r="BG960">
        <x:f>MAX(0,MIN(18,BG959+IF(C960="体质",E960,0)))</x:f>
        <x:v>0</x:v>
      </x:c>
      <x:c r="BH960">
        <x:f>MAX(0,MIN(18,BH959+IF(C960="敏捷",E960,0)))</x:f>
        <x:v>0</x:v>
      </x:c>
      <x:c r="BI960">
        <x:f>MAX(0,MIN(18,BI959+IF(C960="智力",E960,0)))</x:f>
        <x:v>0</x:v>
      </x:c>
      <x:c r="BJ960">
        <x:f>MAX(0,MIN(18,BJ959+IF(C960="意志",E960,0)))</x:f>
        <x:v>0</x:v>
      </x:c>
      <x:c r="BK960">
        <x:f>MAX(0,MIN(18,BK959+IF(C960="魅力",E960,0)))</x:f>
        <x:v>0</x:v>
      </x:c>
      <x:c r="BL960">
        <x:f>MAX(0,MIN(99,BL959+IF(C960="技能：非自然知识",E960,0)))</x:f>
        <x:v>0</x:v>
      </x:c>
      <x:c r="BM960">
        <x:f>MAX(0,MIN(CEILING((BF960+BG960)/2,1),BM959+IF(C960="体力",E960,0)))</x:f>
        <x:v>0</x:v>
      </x:c>
      <x:c r="BN960">
        <x:f>MAX(0,MIN(BJ960,BN959+IF(C960="毅力",E960,0)))</x:f>
        <x:v>0</x:v>
      </x:c>
      <x:c r="BO960">
        <x:f>MAX(0,MIN(99-BL960,BO959+IF(C960="理智",E960,0)))</x:f>
        <x:v>0</x:v>
      </x:c>
      <x:c r="BP960">
        <x:f>MAX(0,MIN(99,BP959+IF(C960="崩溃点",E960,0)))</x:f>
        <x:v>0</x:v>
      </x:c>
      <x:c r="BQ960">
        <x:f>MAX(0,MIN(BK960,IF(AND(H960=1,C960="重要关系1",LEFT('幕间与结算'!H867,8)="建立新的重要关系"),'幕间与结算'!E867+E960,BQ959+IF(C960="重要关系1",E960,0)+IF(AND(C960="魅力",E960&lt;0),E960,0))))</x:f>
        <x:v>0</x:v>
      </x:c>
      <x:c r="BR960">
        <x:f>MAX(0,MIN(BK960,IF(AND(H960=1,C960="重要关系2",LEFT('幕间与结算'!H867,8)="建立新的重要关系"),'幕间与结算'!E867+E960,BR959+IF(C960="重要关系2",E960,0)+IF(AND(C960="魅力",E960&lt;0),E960,0))))</x:f>
        <x:v>0</x:v>
      </x:c>
      <x:c r="BS960">
        <x:f>MAX(0,MIN(BK960,IF(AND(H960=1,C960="重要关系3",LEFT('幕间与结算'!H867,8)="建立新的重要关系"),'幕间与结算'!E867+E960,BS959+IF(C960="重要关系3",E960,0)+IF(AND(C960="魅力",E960&lt;0),E960,0))))</x:f>
        <x:v>0</x:v>
      </x:c>
      <x:c r="BT960">
        <x:f>MAX(0,MIN(BK960,IF(AND(H960=1,C960="重要关系4",LEFT('幕间与结算'!H867,8)="建立新的重要关系"),'幕间与结算'!E867+E960,BT959+IF(C960="重要关系4",E960,0)+IF(AND(C960="魅力",E960&lt;0),E960,0))))</x:f>
        <x:v>0</x:v>
      </x:c>
      <x:c r="BU960">
        <x:f>MAX(0,MIN(BK960,IF(AND(H960=1,C960="重要关系5",LEFT('幕间与结算'!H867,8)="建立新的重要关系"),'幕间与结算'!E867+E960,BU959+IF(C960="重要关系5",E960,0)+IF(AND(C960="魅力",E960&lt;0),E960,0))))</x:f>
        <x:v>0</x:v>
      </x:c>
      <x:c r="BV960">
        <x:f>MAX(0,MIN(BK960,IF(AND(H960=1,C960="重要关系6",LEFT('幕间与结算'!H867,8)="建立新的重要关系"),'幕间与结算'!E867+E960,BV959+IF(C960="重要关系6",E960,0)+IF(AND(C960="魅力",E960&lt;0),E960,0))))</x:f>
        <x:v>0</x:v>
      </x:c>
      <x:c r="BW960">
        <x:f>MAX(0,MIN(BK960,IF(AND(H960=1,C960="重要关系7",LEFT('幕间与结算'!H867,8)="建立新的重要关系"),'幕间与结算'!E867+E960,BW959+IF(C960="重要关系7",E960,0)+IF(AND(C960="魅力",E960&lt;0),E960,0))))</x:f>
        <x:v>0</x:v>
      </x:c>
    </x:row>
    <x:row r="961">
      <x:c r="A961" t="str">
        <x:f>IFERROR(TEXT(VALUE('幕间与结算'!A868),"00"),"")</x:f>
        <x:v>00</x:v>
      </x:c>
      <x:c r="B961">
        <x:f>'幕间与结算'!B868</x:f>
        <x:v>0</x:v>
      </x:c>
      <x:c r="C961">
        <x:f>'幕间与结算'!D868</x:f>
        <x:v>0</x:v>
      </x:c>
      <x:c r="D961">
        <x:f>'幕间与结算'!F868</x:f>
        <x:v>0</x:v>
      </x:c>
      <x:c r="E961">
        <x:f>IF(H961=1,MAX(-'幕间与结算'!E868,MIN(D961,IF(LEFT(C961,3)="技能：",99,IF(COUNTIF($L$2:$L$7,C961)&gt;0,18,999))-'幕间与结算'!E868)),0)</x:f>
        <x:v>0</x:v>
      </x:c>
      <x:c r="F961" t="str">
        <x:f>IF(C961=0,"",IF(G961=0,"记录不完整",IF(H961=0,"重复未计","已计入")))</x:f>
        <x:v/>
      </x:c>
      <x:c r="G961">
        <x:f>IF(AND(AND('幕间与结算'!A868&lt;&gt;"",'幕间与结算'!B868&lt;&gt;"",'幕间与结算'!I868&lt;&gt;"",OR(LEFT(C961,3)="技能：",COUNTIF($L$2:$L$19,C961)&gt;0),ISNUMBER('幕间与结算'!E868),ISNUMBER('幕间与结算'!F868),ISNUMBER('幕间与结算'!G868),'幕间与结算'!E868&gt;=0,'幕间与结算'!G868='幕间与结算'!E868+'幕间与结算'!F868),OR(B961&lt;&gt;"成长",AND(LEFT(C961,3)="技能：",C961&lt;&gt;"技能：非自然知识",'幕间与结算'!E868&gt;=1,'幕间与结算'!E868&lt;=99,'幕间与结算'!F868&gt;=0,'幕间与结算'!F868&lt;=4,'幕间与结算'!G868&lt;=99))),1,0)</x:f>
        <x:v>0</x:v>
      </x:c>
      <x:c r="H961">
        <x:f>IF(AND(G961=1,COUNTIFS($I$200:I961,I961,$G$200:G961,1)=1),1,0)</x:f>
        <x:v>0</x:v>
      </x:c>
      <x:c r="I961" t="str">
        <x:f>IF(G961=1,IF(B961="成长",A961&amp;"-成长-"&amp;C961,'幕间与结算'!I868),"")</x:f>
        <x:v/>
      </x:c>
      <x:c r="BF961">
        <x:f>MAX(0,MIN(18,BF960+IF(C961="力量",E961,0)))</x:f>
        <x:v>0</x:v>
      </x:c>
      <x:c r="BG961">
        <x:f>MAX(0,MIN(18,BG960+IF(C961="体质",E961,0)))</x:f>
        <x:v>0</x:v>
      </x:c>
      <x:c r="BH961">
        <x:f>MAX(0,MIN(18,BH960+IF(C961="敏捷",E961,0)))</x:f>
        <x:v>0</x:v>
      </x:c>
      <x:c r="BI961">
        <x:f>MAX(0,MIN(18,BI960+IF(C961="智力",E961,0)))</x:f>
        <x:v>0</x:v>
      </x:c>
      <x:c r="BJ961">
        <x:f>MAX(0,MIN(18,BJ960+IF(C961="意志",E961,0)))</x:f>
        <x:v>0</x:v>
      </x:c>
      <x:c r="BK961">
        <x:f>MAX(0,MIN(18,BK960+IF(C961="魅力",E961,0)))</x:f>
        <x:v>0</x:v>
      </x:c>
      <x:c r="BL961">
        <x:f>MAX(0,MIN(99,BL960+IF(C961="技能：非自然知识",E961,0)))</x:f>
        <x:v>0</x:v>
      </x:c>
      <x:c r="BM961">
        <x:f>MAX(0,MIN(CEILING((BF961+BG961)/2,1),BM960+IF(C961="体力",E961,0)))</x:f>
        <x:v>0</x:v>
      </x:c>
      <x:c r="BN961">
        <x:f>MAX(0,MIN(BJ961,BN960+IF(C961="毅力",E961,0)))</x:f>
        <x:v>0</x:v>
      </x:c>
      <x:c r="BO961">
        <x:f>MAX(0,MIN(99-BL961,BO960+IF(C961="理智",E961,0)))</x:f>
        <x:v>0</x:v>
      </x:c>
      <x:c r="BP961">
        <x:f>MAX(0,MIN(99,BP960+IF(C961="崩溃点",E961,0)))</x:f>
        <x:v>0</x:v>
      </x:c>
      <x:c r="BQ961">
        <x:f>MAX(0,MIN(BK961,IF(AND(H961=1,C961="重要关系1",LEFT('幕间与结算'!H868,8)="建立新的重要关系"),'幕间与结算'!E868+E961,BQ960+IF(C961="重要关系1",E961,0)+IF(AND(C961="魅力",E961&lt;0),E961,0))))</x:f>
        <x:v>0</x:v>
      </x:c>
      <x:c r="BR961">
        <x:f>MAX(0,MIN(BK961,IF(AND(H961=1,C961="重要关系2",LEFT('幕间与结算'!H868,8)="建立新的重要关系"),'幕间与结算'!E868+E961,BR960+IF(C961="重要关系2",E961,0)+IF(AND(C961="魅力",E961&lt;0),E961,0))))</x:f>
        <x:v>0</x:v>
      </x:c>
      <x:c r="BS961">
        <x:f>MAX(0,MIN(BK961,IF(AND(H961=1,C961="重要关系3",LEFT('幕间与结算'!H868,8)="建立新的重要关系"),'幕间与结算'!E868+E961,BS960+IF(C961="重要关系3",E961,0)+IF(AND(C961="魅力",E961&lt;0),E961,0))))</x:f>
        <x:v>0</x:v>
      </x:c>
      <x:c r="BT961">
        <x:f>MAX(0,MIN(BK961,IF(AND(H961=1,C961="重要关系4",LEFT('幕间与结算'!H868,8)="建立新的重要关系"),'幕间与结算'!E868+E961,BT960+IF(C961="重要关系4",E961,0)+IF(AND(C961="魅力",E961&lt;0),E961,0))))</x:f>
        <x:v>0</x:v>
      </x:c>
      <x:c r="BU961">
        <x:f>MAX(0,MIN(BK961,IF(AND(H961=1,C961="重要关系5",LEFT('幕间与结算'!H868,8)="建立新的重要关系"),'幕间与结算'!E868+E961,BU960+IF(C961="重要关系5",E961,0)+IF(AND(C961="魅力",E961&lt;0),E961,0))))</x:f>
        <x:v>0</x:v>
      </x:c>
      <x:c r="BV961">
        <x:f>MAX(0,MIN(BK961,IF(AND(H961=1,C961="重要关系6",LEFT('幕间与结算'!H868,8)="建立新的重要关系"),'幕间与结算'!E868+E961,BV960+IF(C961="重要关系6",E961,0)+IF(AND(C961="魅力",E961&lt;0),E961,0))))</x:f>
        <x:v>0</x:v>
      </x:c>
      <x:c r="BW961">
        <x:f>MAX(0,MIN(BK961,IF(AND(H961=1,C961="重要关系7",LEFT('幕间与结算'!H868,8)="建立新的重要关系"),'幕间与结算'!E868+E961,BW960+IF(C961="重要关系7",E961,0)+IF(AND(C961="魅力",E961&lt;0),E961,0))))</x:f>
        <x:v>0</x:v>
      </x:c>
    </x:row>
    <x:row r="962">
      <x:c r="A962" t="str">
        <x:f>IFERROR(TEXT(VALUE('幕间与结算'!A869),"00"),"")</x:f>
        <x:v>00</x:v>
      </x:c>
      <x:c r="B962">
        <x:f>'幕间与结算'!B869</x:f>
        <x:v>0</x:v>
      </x:c>
      <x:c r="C962">
        <x:f>'幕间与结算'!D869</x:f>
        <x:v>0</x:v>
      </x:c>
      <x:c r="D962">
        <x:f>'幕间与结算'!F869</x:f>
        <x:v>0</x:v>
      </x:c>
      <x:c r="E962">
        <x:f>IF(H962=1,MAX(-'幕间与结算'!E869,MIN(D962,IF(LEFT(C962,3)="技能：",99,IF(COUNTIF($L$2:$L$7,C962)&gt;0,18,999))-'幕间与结算'!E869)),0)</x:f>
        <x:v>0</x:v>
      </x:c>
      <x:c r="F962" t="str">
        <x:f>IF(C962=0,"",IF(G962=0,"记录不完整",IF(H962=0,"重复未计","已计入")))</x:f>
        <x:v/>
      </x:c>
      <x:c r="G962">
        <x:f>IF(AND(AND('幕间与结算'!A869&lt;&gt;"",'幕间与结算'!B869&lt;&gt;"",'幕间与结算'!I869&lt;&gt;"",OR(LEFT(C962,3)="技能：",COUNTIF($L$2:$L$19,C962)&gt;0),ISNUMBER('幕间与结算'!E869),ISNUMBER('幕间与结算'!F869),ISNUMBER('幕间与结算'!G869),'幕间与结算'!E869&gt;=0,'幕间与结算'!G869='幕间与结算'!E869+'幕间与结算'!F869),OR(B962&lt;&gt;"成长",AND(LEFT(C962,3)="技能：",C962&lt;&gt;"技能：非自然知识",'幕间与结算'!E869&gt;=1,'幕间与结算'!E869&lt;=99,'幕间与结算'!F869&gt;=0,'幕间与结算'!F869&lt;=4,'幕间与结算'!G869&lt;=99))),1,0)</x:f>
        <x:v>0</x:v>
      </x:c>
      <x:c r="H962">
        <x:f>IF(AND(G962=1,COUNTIFS($I$200:I962,I962,$G$200:G962,1)=1),1,0)</x:f>
        <x:v>0</x:v>
      </x:c>
      <x:c r="I962" t="str">
        <x:f>IF(G962=1,IF(B962="成长",A962&amp;"-成长-"&amp;C962,'幕间与结算'!I869),"")</x:f>
        <x:v/>
      </x:c>
      <x:c r="BF962">
        <x:f>MAX(0,MIN(18,BF961+IF(C962="力量",E962,0)))</x:f>
        <x:v>0</x:v>
      </x:c>
      <x:c r="BG962">
        <x:f>MAX(0,MIN(18,BG961+IF(C962="体质",E962,0)))</x:f>
        <x:v>0</x:v>
      </x:c>
      <x:c r="BH962">
        <x:f>MAX(0,MIN(18,BH961+IF(C962="敏捷",E962,0)))</x:f>
        <x:v>0</x:v>
      </x:c>
      <x:c r="BI962">
        <x:f>MAX(0,MIN(18,BI961+IF(C962="智力",E962,0)))</x:f>
        <x:v>0</x:v>
      </x:c>
      <x:c r="BJ962">
        <x:f>MAX(0,MIN(18,BJ961+IF(C962="意志",E962,0)))</x:f>
        <x:v>0</x:v>
      </x:c>
      <x:c r="BK962">
        <x:f>MAX(0,MIN(18,BK961+IF(C962="魅力",E962,0)))</x:f>
        <x:v>0</x:v>
      </x:c>
      <x:c r="BL962">
        <x:f>MAX(0,MIN(99,BL961+IF(C962="技能：非自然知识",E962,0)))</x:f>
        <x:v>0</x:v>
      </x:c>
      <x:c r="BM962">
        <x:f>MAX(0,MIN(CEILING((BF962+BG962)/2,1),BM961+IF(C962="体力",E962,0)))</x:f>
        <x:v>0</x:v>
      </x:c>
      <x:c r="BN962">
        <x:f>MAX(0,MIN(BJ962,BN961+IF(C962="毅力",E962,0)))</x:f>
        <x:v>0</x:v>
      </x:c>
      <x:c r="BO962">
        <x:f>MAX(0,MIN(99-BL962,BO961+IF(C962="理智",E962,0)))</x:f>
        <x:v>0</x:v>
      </x:c>
      <x:c r="BP962">
        <x:f>MAX(0,MIN(99,BP961+IF(C962="崩溃点",E962,0)))</x:f>
        <x:v>0</x:v>
      </x:c>
      <x:c r="BQ962">
        <x:f>MAX(0,MIN(BK962,IF(AND(H962=1,C962="重要关系1",LEFT('幕间与结算'!H869,8)="建立新的重要关系"),'幕间与结算'!E869+E962,BQ961+IF(C962="重要关系1",E962,0)+IF(AND(C962="魅力",E962&lt;0),E962,0))))</x:f>
        <x:v>0</x:v>
      </x:c>
      <x:c r="BR962">
        <x:f>MAX(0,MIN(BK962,IF(AND(H962=1,C962="重要关系2",LEFT('幕间与结算'!H869,8)="建立新的重要关系"),'幕间与结算'!E869+E962,BR961+IF(C962="重要关系2",E962,0)+IF(AND(C962="魅力",E962&lt;0),E962,0))))</x:f>
        <x:v>0</x:v>
      </x:c>
      <x:c r="BS962">
        <x:f>MAX(0,MIN(BK962,IF(AND(H962=1,C962="重要关系3",LEFT('幕间与结算'!H869,8)="建立新的重要关系"),'幕间与结算'!E869+E962,BS961+IF(C962="重要关系3",E962,0)+IF(AND(C962="魅力",E962&lt;0),E962,0))))</x:f>
        <x:v>0</x:v>
      </x:c>
      <x:c r="BT962">
        <x:f>MAX(0,MIN(BK962,IF(AND(H962=1,C962="重要关系4",LEFT('幕间与结算'!H869,8)="建立新的重要关系"),'幕间与结算'!E869+E962,BT961+IF(C962="重要关系4",E962,0)+IF(AND(C962="魅力",E962&lt;0),E962,0))))</x:f>
        <x:v>0</x:v>
      </x:c>
      <x:c r="BU962">
        <x:f>MAX(0,MIN(BK962,IF(AND(H962=1,C962="重要关系5",LEFT('幕间与结算'!H869,8)="建立新的重要关系"),'幕间与结算'!E869+E962,BU961+IF(C962="重要关系5",E962,0)+IF(AND(C962="魅力",E962&lt;0),E962,0))))</x:f>
        <x:v>0</x:v>
      </x:c>
      <x:c r="BV962">
        <x:f>MAX(0,MIN(BK962,IF(AND(H962=1,C962="重要关系6",LEFT('幕间与结算'!H869,8)="建立新的重要关系"),'幕间与结算'!E869+E962,BV961+IF(C962="重要关系6",E962,0)+IF(AND(C962="魅力",E962&lt;0),E962,0))))</x:f>
        <x:v>0</x:v>
      </x:c>
      <x:c r="BW962">
        <x:f>MAX(0,MIN(BK962,IF(AND(H962=1,C962="重要关系7",LEFT('幕间与结算'!H869,8)="建立新的重要关系"),'幕间与结算'!E869+E962,BW961+IF(C962="重要关系7",E962,0)+IF(AND(C962="魅力",E962&lt;0),E962,0))))</x:f>
        <x:v>0</x:v>
      </x:c>
    </x:row>
    <x:row r="963">
      <x:c r="A963" t="str">
        <x:f>IFERROR(TEXT(VALUE('幕间与结算'!A870),"00"),"")</x:f>
        <x:v>00</x:v>
      </x:c>
      <x:c r="B963">
        <x:f>'幕间与结算'!B870</x:f>
        <x:v>0</x:v>
      </x:c>
      <x:c r="C963">
        <x:f>'幕间与结算'!D870</x:f>
        <x:v>0</x:v>
      </x:c>
      <x:c r="D963">
        <x:f>'幕间与结算'!F870</x:f>
        <x:v>0</x:v>
      </x:c>
      <x:c r="E963">
        <x:f>IF(H963=1,MAX(-'幕间与结算'!E870,MIN(D963,IF(LEFT(C963,3)="技能：",99,IF(COUNTIF($L$2:$L$7,C963)&gt;0,18,999))-'幕间与结算'!E870)),0)</x:f>
        <x:v>0</x:v>
      </x:c>
      <x:c r="F963" t="str">
        <x:f>IF(C963=0,"",IF(G963=0,"记录不完整",IF(H963=0,"重复未计","已计入")))</x:f>
        <x:v/>
      </x:c>
      <x:c r="G963">
        <x:f>IF(AND(AND('幕间与结算'!A870&lt;&gt;"",'幕间与结算'!B870&lt;&gt;"",'幕间与结算'!I870&lt;&gt;"",OR(LEFT(C963,3)="技能：",COUNTIF($L$2:$L$19,C963)&gt;0),ISNUMBER('幕间与结算'!E870),ISNUMBER('幕间与结算'!F870),ISNUMBER('幕间与结算'!G870),'幕间与结算'!E870&gt;=0,'幕间与结算'!G870='幕间与结算'!E870+'幕间与结算'!F870),OR(B963&lt;&gt;"成长",AND(LEFT(C963,3)="技能：",C963&lt;&gt;"技能：非自然知识",'幕间与结算'!E870&gt;=1,'幕间与结算'!E870&lt;=99,'幕间与结算'!F870&gt;=0,'幕间与结算'!F870&lt;=4,'幕间与结算'!G870&lt;=99))),1,0)</x:f>
        <x:v>0</x:v>
      </x:c>
      <x:c r="H963">
        <x:f>IF(AND(G963=1,COUNTIFS($I$200:I963,I963,$G$200:G963,1)=1),1,0)</x:f>
        <x:v>0</x:v>
      </x:c>
      <x:c r="I963" t="str">
        <x:f>IF(G963=1,IF(B963="成长",A963&amp;"-成长-"&amp;C963,'幕间与结算'!I870),"")</x:f>
        <x:v/>
      </x:c>
      <x:c r="BF963">
        <x:f>MAX(0,MIN(18,BF962+IF(C963="力量",E963,0)))</x:f>
        <x:v>0</x:v>
      </x:c>
      <x:c r="BG963">
        <x:f>MAX(0,MIN(18,BG962+IF(C963="体质",E963,0)))</x:f>
        <x:v>0</x:v>
      </x:c>
      <x:c r="BH963">
        <x:f>MAX(0,MIN(18,BH962+IF(C963="敏捷",E963,0)))</x:f>
        <x:v>0</x:v>
      </x:c>
      <x:c r="BI963">
        <x:f>MAX(0,MIN(18,BI962+IF(C963="智力",E963,0)))</x:f>
        <x:v>0</x:v>
      </x:c>
      <x:c r="BJ963">
        <x:f>MAX(0,MIN(18,BJ962+IF(C963="意志",E963,0)))</x:f>
        <x:v>0</x:v>
      </x:c>
      <x:c r="BK963">
        <x:f>MAX(0,MIN(18,BK962+IF(C963="魅力",E963,0)))</x:f>
        <x:v>0</x:v>
      </x:c>
      <x:c r="BL963">
        <x:f>MAX(0,MIN(99,BL962+IF(C963="技能：非自然知识",E963,0)))</x:f>
        <x:v>0</x:v>
      </x:c>
      <x:c r="BM963">
        <x:f>MAX(0,MIN(CEILING((BF963+BG963)/2,1),BM962+IF(C963="体力",E963,0)))</x:f>
        <x:v>0</x:v>
      </x:c>
      <x:c r="BN963">
        <x:f>MAX(0,MIN(BJ963,BN962+IF(C963="毅力",E963,0)))</x:f>
        <x:v>0</x:v>
      </x:c>
      <x:c r="BO963">
        <x:f>MAX(0,MIN(99-BL963,BO962+IF(C963="理智",E963,0)))</x:f>
        <x:v>0</x:v>
      </x:c>
      <x:c r="BP963">
        <x:f>MAX(0,MIN(99,BP962+IF(C963="崩溃点",E963,0)))</x:f>
        <x:v>0</x:v>
      </x:c>
      <x:c r="BQ963">
        <x:f>MAX(0,MIN(BK963,IF(AND(H963=1,C963="重要关系1",LEFT('幕间与结算'!H870,8)="建立新的重要关系"),'幕间与结算'!E870+E963,BQ962+IF(C963="重要关系1",E963,0)+IF(AND(C963="魅力",E963&lt;0),E963,0))))</x:f>
        <x:v>0</x:v>
      </x:c>
      <x:c r="BR963">
        <x:f>MAX(0,MIN(BK963,IF(AND(H963=1,C963="重要关系2",LEFT('幕间与结算'!H870,8)="建立新的重要关系"),'幕间与结算'!E870+E963,BR962+IF(C963="重要关系2",E963,0)+IF(AND(C963="魅力",E963&lt;0),E963,0))))</x:f>
        <x:v>0</x:v>
      </x:c>
      <x:c r="BS963">
        <x:f>MAX(0,MIN(BK963,IF(AND(H963=1,C963="重要关系3",LEFT('幕间与结算'!H870,8)="建立新的重要关系"),'幕间与结算'!E870+E963,BS962+IF(C963="重要关系3",E963,0)+IF(AND(C963="魅力",E963&lt;0),E963,0))))</x:f>
        <x:v>0</x:v>
      </x:c>
      <x:c r="BT963">
        <x:f>MAX(0,MIN(BK963,IF(AND(H963=1,C963="重要关系4",LEFT('幕间与结算'!H870,8)="建立新的重要关系"),'幕间与结算'!E870+E963,BT962+IF(C963="重要关系4",E963,0)+IF(AND(C963="魅力",E963&lt;0),E963,0))))</x:f>
        <x:v>0</x:v>
      </x:c>
      <x:c r="BU963">
        <x:f>MAX(0,MIN(BK963,IF(AND(H963=1,C963="重要关系5",LEFT('幕间与结算'!H870,8)="建立新的重要关系"),'幕间与结算'!E870+E963,BU962+IF(C963="重要关系5",E963,0)+IF(AND(C963="魅力",E963&lt;0),E963,0))))</x:f>
        <x:v>0</x:v>
      </x:c>
      <x:c r="BV963">
        <x:f>MAX(0,MIN(BK963,IF(AND(H963=1,C963="重要关系6",LEFT('幕间与结算'!H870,8)="建立新的重要关系"),'幕间与结算'!E870+E963,BV962+IF(C963="重要关系6",E963,0)+IF(AND(C963="魅力",E963&lt;0),E963,0))))</x:f>
        <x:v>0</x:v>
      </x:c>
      <x:c r="BW963">
        <x:f>MAX(0,MIN(BK963,IF(AND(H963=1,C963="重要关系7",LEFT('幕间与结算'!H870,8)="建立新的重要关系"),'幕间与结算'!E870+E963,BW962+IF(C963="重要关系7",E963,0)+IF(AND(C963="魅力",E963&lt;0),E963,0))))</x:f>
        <x:v>0</x:v>
      </x:c>
    </x:row>
    <x:row r="964">
      <x:c r="A964" t="str">
        <x:f>IFERROR(TEXT(VALUE('幕间与结算'!A871),"00"),"")</x:f>
        <x:v>00</x:v>
      </x:c>
      <x:c r="B964">
        <x:f>'幕间与结算'!B871</x:f>
        <x:v>0</x:v>
      </x:c>
      <x:c r="C964">
        <x:f>'幕间与结算'!D871</x:f>
        <x:v>0</x:v>
      </x:c>
      <x:c r="D964">
        <x:f>'幕间与结算'!F871</x:f>
        <x:v>0</x:v>
      </x:c>
      <x:c r="E964">
        <x:f>IF(H964=1,MAX(-'幕间与结算'!E871,MIN(D964,IF(LEFT(C964,3)="技能：",99,IF(COUNTIF($L$2:$L$7,C964)&gt;0,18,999))-'幕间与结算'!E871)),0)</x:f>
        <x:v>0</x:v>
      </x:c>
      <x:c r="F964" t="str">
        <x:f>IF(C964=0,"",IF(G964=0,"记录不完整",IF(H964=0,"重复未计","已计入")))</x:f>
        <x:v/>
      </x:c>
      <x:c r="G964">
        <x:f>IF(AND(AND('幕间与结算'!A871&lt;&gt;"",'幕间与结算'!B871&lt;&gt;"",'幕间与结算'!I871&lt;&gt;"",OR(LEFT(C964,3)="技能：",COUNTIF($L$2:$L$19,C964)&gt;0),ISNUMBER('幕间与结算'!E871),ISNUMBER('幕间与结算'!F871),ISNUMBER('幕间与结算'!G871),'幕间与结算'!E871&gt;=0,'幕间与结算'!G871='幕间与结算'!E871+'幕间与结算'!F871),OR(B964&lt;&gt;"成长",AND(LEFT(C964,3)="技能：",C964&lt;&gt;"技能：非自然知识",'幕间与结算'!E871&gt;=1,'幕间与结算'!E871&lt;=99,'幕间与结算'!F871&gt;=0,'幕间与结算'!F871&lt;=4,'幕间与结算'!G871&lt;=99))),1,0)</x:f>
        <x:v>0</x:v>
      </x:c>
      <x:c r="H964">
        <x:f>IF(AND(G964=1,COUNTIFS($I$200:I964,I964,$G$200:G964,1)=1),1,0)</x:f>
        <x:v>0</x:v>
      </x:c>
      <x:c r="I964" t="str">
        <x:f>IF(G964=1,IF(B964="成长",A964&amp;"-成长-"&amp;C964,'幕间与结算'!I871),"")</x:f>
        <x:v/>
      </x:c>
      <x:c r="BF964">
        <x:f>MAX(0,MIN(18,BF963+IF(C964="力量",E964,0)))</x:f>
        <x:v>0</x:v>
      </x:c>
      <x:c r="BG964">
        <x:f>MAX(0,MIN(18,BG963+IF(C964="体质",E964,0)))</x:f>
        <x:v>0</x:v>
      </x:c>
      <x:c r="BH964">
        <x:f>MAX(0,MIN(18,BH963+IF(C964="敏捷",E964,0)))</x:f>
        <x:v>0</x:v>
      </x:c>
      <x:c r="BI964">
        <x:f>MAX(0,MIN(18,BI963+IF(C964="智力",E964,0)))</x:f>
        <x:v>0</x:v>
      </x:c>
      <x:c r="BJ964">
        <x:f>MAX(0,MIN(18,BJ963+IF(C964="意志",E964,0)))</x:f>
        <x:v>0</x:v>
      </x:c>
      <x:c r="BK964">
        <x:f>MAX(0,MIN(18,BK963+IF(C964="魅力",E964,0)))</x:f>
        <x:v>0</x:v>
      </x:c>
      <x:c r="BL964">
        <x:f>MAX(0,MIN(99,BL963+IF(C964="技能：非自然知识",E964,0)))</x:f>
        <x:v>0</x:v>
      </x:c>
      <x:c r="BM964">
        <x:f>MAX(0,MIN(CEILING((BF964+BG964)/2,1),BM963+IF(C964="体力",E964,0)))</x:f>
        <x:v>0</x:v>
      </x:c>
      <x:c r="BN964">
        <x:f>MAX(0,MIN(BJ964,BN963+IF(C964="毅力",E964,0)))</x:f>
        <x:v>0</x:v>
      </x:c>
      <x:c r="BO964">
        <x:f>MAX(0,MIN(99-BL964,BO963+IF(C964="理智",E964,0)))</x:f>
        <x:v>0</x:v>
      </x:c>
      <x:c r="BP964">
        <x:f>MAX(0,MIN(99,BP963+IF(C964="崩溃点",E964,0)))</x:f>
        <x:v>0</x:v>
      </x:c>
      <x:c r="BQ964">
        <x:f>MAX(0,MIN(BK964,IF(AND(H964=1,C964="重要关系1",LEFT('幕间与结算'!H871,8)="建立新的重要关系"),'幕间与结算'!E871+E964,BQ963+IF(C964="重要关系1",E964,0)+IF(AND(C964="魅力",E964&lt;0),E964,0))))</x:f>
        <x:v>0</x:v>
      </x:c>
      <x:c r="BR964">
        <x:f>MAX(0,MIN(BK964,IF(AND(H964=1,C964="重要关系2",LEFT('幕间与结算'!H871,8)="建立新的重要关系"),'幕间与结算'!E871+E964,BR963+IF(C964="重要关系2",E964,0)+IF(AND(C964="魅力",E964&lt;0),E964,0))))</x:f>
        <x:v>0</x:v>
      </x:c>
      <x:c r="BS964">
        <x:f>MAX(0,MIN(BK964,IF(AND(H964=1,C964="重要关系3",LEFT('幕间与结算'!H871,8)="建立新的重要关系"),'幕间与结算'!E871+E964,BS963+IF(C964="重要关系3",E964,0)+IF(AND(C964="魅力",E964&lt;0),E964,0))))</x:f>
        <x:v>0</x:v>
      </x:c>
      <x:c r="BT964">
        <x:f>MAX(0,MIN(BK964,IF(AND(H964=1,C964="重要关系4",LEFT('幕间与结算'!H871,8)="建立新的重要关系"),'幕间与结算'!E871+E964,BT963+IF(C964="重要关系4",E964,0)+IF(AND(C964="魅力",E964&lt;0),E964,0))))</x:f>
        <x:v>0</x:v>
      </x:c>
      <x:c r="BU964">
        <x:f>MAX(0,MIN(BK964,IF(AND(H964=1,C964="重要关系5",LEFT('幕间与结算'!H871,8)="建立新的重要关系"),'幕间与结算'!E871+E964,BU963+IF(C964="重要关系5",E964,0)+IF(AND(C964="魅力",E964&lt;0),E964,0))))</x:f>
        <x:v>0</x:v>
      </x:c>
      <x:c r="BV964">
        <x:f>MAX(0,MIN(BK964,IF(AND(H964=1,C964="重要关系6",LEFT('幕间与结算'!H871,8)="建立新的重要关系"),'幕间与结算'!E871+E964,BV963+IF(C964="重要关系6",E964,0)+IF(AND(C964="魅力",E964&lt;0),E964,0))))</x:f>
        <x:v>0</x:v>
      </x:c>
      <x:c r="BW964">
        <x:f>MAX(0,MIN(BK964,IF(AND(H964=1,C964="重要关系7",LEFT('幕间与结算'!H871,8)="建立新的重要关系"),'幕间与结算'!E871+E964,BW963+IF(C964="重要关系7",E964,0)+IF(AND(C964="魅力",E964&lt;0),E964,0))))</x:f>
        <x:v>0</x:v>
      </x:c>
    </x:row>
    <x:row r="965">
      <x:c r="A965" t="str">
        <x:f>IFERROR(TEXT(VALUE('幕间与结算'!A872),"00"),"")</x:f>
        <x:v>00</x:v>
      </x:c>
      <x:c r="B965">
        <x:f>'幕间与结算'!B872</x:f>
        <x:v>0</x:v>
      </x:c>
      <x:c r="C965">
        <x:f>'幕间与结算'!D872</x:f>
        <x:v>0</x:v>
      </x:c>
      <x:c r="D965">
        <x:f>'幕间与结算'!F872</x:f>
        <x:v>0</x:v>
      </x:c>
      <x:c r="E965">
        <x:f>IF(H965=1,MAX(-'幕间与结算'!E872,MIN(D965,IF(LEFT(C965,3)="技能：",99,IF(COUNTIF($L$2:$L$7,C965)&gt;0,18,999))-'幕间与结算'!E872)),0)</x:f>
        <x:v>0</x:v>
      </x:c>
      <x:c r="F965" t="str">
        <x:f>IF(C965=0,"",IF(G965=0,"记录不完整",IF(H965=0,"重复未计","已计入")))</x:f>
        <x:v/>
      </x:c>
      <x:c r="G965">
        <x:f>IF(AND(AND('幕间与结算'!A872&lt;&gt;"",'幕间与结算'!B872&lt;&gt;"",'幕间与结算'!I872&lt;&gt;"",OR(LEFT(C965,3)="技能：",COUNTIF($L$2:$L$19,C965)&gt;0),ISNUMBER('幕间与结算'!E872),ISNUMBER('幕间与结算'!F872),ISNUMBER('幕间与结算'!G872),'幕间与结算'!E872&gt;=0,'幕间与结算'!G872='幕间与结算'!E872+'幕间与结算'!F872),OR(B965&lt;&gt;"成长",AND(LEFT(C965,3)="技能：",C965&lt;&gt;"技能：非自然知识",'幕间与结算'!E872&gt;=1,'幕间与结算'!E872&lt;=99,'幕间与结算'!F872&gt;=0,'幕间与结算'!F872&lt;=4,'幕间与结算'!G872&lt;=99))),1,0)</x:f>
        <x:v>0</x:v>
      </x:c>
      <x:c r="H965">
        <x:f>IF(AND(G965=1,COUNTIFS($I$200:I965,I965,$G$200:G965,1)=1),1,0)</x:f>
        <x:v>0</x:v>
      </x:c>
      <x:c r="I965" t="str">
        <x:f>IF(G965=1,IF(B965="成长",A965&amp;"-成长-"&amp;C965,'幕间与结算'!I872),"")</x:f>
        <x:v/>
      </x:c>
      <x:c r="BF965">
        <x:f>MAX(0,MIN(18,BF964+IF(C965="力量",E965,0)))</x:f>
        <x:v>0</x:v>
      </x:c>
      <x:c r="BG965">
        <x:f>MAX(0,MIN(18,BG964+IF(C965="体质",E965,0)))</x:f>
        <x:v>0</x:v>
      </x:c>
      <x:c r="BH965">
        <x:f>MAX(0,MIN(18,BH964+IF(C965="敏捷",E965,0)))</x:f>
        <x:v>0</x:v>
      </x:c>
      <x:c r="BI965">
        <x:f>MAX(0,MIN(18,BI964+IF(C965="智力",E965,0)))</x:f>
        <x:v>0</x:v>
      </x:c>
      <x:c r="BJ965">
        <x:f>MAX(0,MIN(18,BJ964+IF(C965="意志",E965,0)))</x:f>
        <x:v>0</x:v>
      </x:c>
      <x:c r="BK965">
        <x:f>MAX(0,MIN(18,BK964+IF(C965="魅力",E965,0)))</x:f>
        <x:v>0</x:v>
      </x:c>
      <x:c r="BL965">
        <x:f>MAX(0,MIN(99,BL964+IF(C965="技能：非自然知识",E965,0)))</x:f>
        <x:v>0</x:v>
      </x:c>
      <x:c r="BM965">
        <x:f>MAX(0,MIN(CEILING((BF965+BG965)/2,1),BM964+IF(C965="体力",E965,0)))</x:f>
        <x:v>0</x:v>
      </x:c>
      <x:c r="BN965">
        <x:f>MAX(0,MIN(BJ965,BN964+IF(C965="毅力",E965,0)))</x:f>
        <x:v>0</x:v>
      </x:c>
      <x:c r="BO965">
        <x:f>MAX(0,MIN(99-BL965,BO964+IF(C965="理智",E965,0)))</x:f>
        <x:v>0</x:v>
      </x:c>
      <x:c r="BP965">
        <x:f>MAX(0,MIN(99,BP964+IF(C965="崩溃点",E965,0)))</x:f>
        <x:v>0</x:v>
      </x:c>
      <x:c r="BQ965">
        <x:f>MAX(0,MIN(BK965,IF(AND(H965=1,C965="重要关系1",LEFT('幕间与结算'!H872,8)="建立新的重要关系"),'幕间与结算'!E872+E965,BQ964+IF(C965="重要关系1",E965,0)+IF(AND(C965="魅力",E965&lt;0),E965,0))))</x:f>
        <x:v>0</x:v>
      </x:c>
      <x:c r="BR965">
        <x:f>MAX(0,MIN(BK965,IF(AND(H965=1,C965="重要关系2",LEFT('幕间与结算'!H872,8)="建立新的重要关系"),'幕间与结算'!E872+E965,BR964+IF(C965="重要关系2",E965,0)+IF(AND(C965="魅力",E965&lt;0),E965,0))))</x:f>
        <x:v>0</x:v>
      </x:c>
      <x:c r="BS965">
        <x:f>MAX(0,MIN(BK965,IF(AND(H965=1,C965="重要关系3",LEFT('幕间与结算'!H872,8)="建立新的重要关系"),'幕间与结算'!E872+E965,BS964+IF(C965="重要关系3",E965,0)+IF(AND(C965="魅力",E965&lt;0),E965,0))))</x:f>
        <x:v>0</x:v>
      </x:c>
      <x:c r="BT965">
        <x:f>MAX(0,MIN(BK965,IF(AND(H965=1,C965="重要关系4",LEFT('幕间与结算'!H872,8)="建立新的重要关系"),'幕间与结算'!E872+E965,BT964+IF(C965="重要关系4",E965,0)+IF(AND(C965="魅力",E965&lt;0),E965,0))))</x:f>
        <x:v>0</x:v>
      </x:c>
      <x:c r="BU965">
        <x:f>MAX(0,MIN(BK965,IF(AND(H965=1,C965="重要关系5",LEFT('幕间与结算'!H872,8)="建立新的重要关系"),'幕间与结算'!E872+E965,BU964+IF(C965="重要关系5",E965,0)+IF(AND(C965="魅力",E965&lt;0),E965,0))))</x:f>
        <x:v>0</x:v>
      </x:c>
      <x:c r="BV965">
        <x:f>MAX(0,MIN(BK965,IF(AND(H965=1,C965="重要关系6",LEFT('幕间与结算'!H872,8)="建立新的重要关系"),'幕间与结算'!E872+E965,BV964+IF(C965="重要关系6",E965,0)+IF(AND(C965="魅力",E965&lt;0),E965,0))))</x:f>
        <x:v>0</x:v>
      </x:c>
      <x:c r="BW965">
        <x:f>MAX(0,MIN(BK965,IF(AND(H965=1,C965="重要关系7",LEFT('幕间与结算'!H872,8)="建立新的重要关系"),'幕间与结算'!E872+E965,BW964+IF(C965="重要关系7",E965,0)+IF(AND(C965="魅力",E965&lt;0),E965,0))))</x:f>
        <x:v>0</x:v>
      </x:c>
    </x:row>
    <x:row r="966">
      <x:c r="A966" t="str">
        <x:f>IFERROR(TEXT(VALUE('幕间与结算'!A873),"00"),"")</x:f>
        <x:v>00</x:v>
      </x:c>
      <x:c r="B966">
        <x:f>'幕间与结算'!B873</x:f>
        <x:v>0</x:v>
      </x:c>
      <x:c r="C966">
        <x:f>'幕间与结算'!D873</x:f>
        <x:v>0</x:v>
      </x:c>
      <x:c r="D966">
        <x:f>'幕间与结算'!F873</x:f>
        <x:v>0</x:v>
      </x:c>
      <x:c r="E966">
        <x:f>IF(H966=1,MAX(-'幕间与结算'!E873,MIN(D966,IF(LEFT(C966,3)="技能：",99,IF(COUNTIF($L$2:$L$7,C966)&gt;0,18,999))-'幕间与结算'!E873)),0)</x:f>
        <x:v>0</x:v>
      </x:c>
      <x:c r="F966" t="str">
        <x:f>IF(C966=0,"",IF(G966=0,"记录不完整",IF(H966=0,"重复未计","已计入")))</x:f>
        <x:v/>
      </x:c>
      <x:c r="G966">
        <x:f>IF(AND(AND('幕间与结算'!A873&lt;&gt;"",'幕间与结算'!B873&lt;&gt;"",'幕间与结算'!I873&lt;&gt;"",OR(LEFT(C966,3)="技能：",COUNTIF($L$2:$L$19,C966)&gt;0),ISNUMBER('幕间与结算'!E873),ISNUMBER('幕间与结算'!F873),ISNUMBER('幕间与结算'!G873),'幕间与结算'!E873&gt;=0,'幕间与结算'!G873='幕间与结算'!E873+'幕间与结算'!F873),OR(B966&lt;&gt;"成长",AND(LEFT(C966,3)="技能：",C966&lt;&gt;"技能：非自然知识",'幕间与结算'!E873&gt;=1,'幕间与结算'!E873&lt;=99,'幕间与结算'!F873&gt;=0,'幕间与结算'!F873&lt;=4,'幕间与结算'!G873&lt;=99))),1,0)</x:f>
        <x:v>0</x:v>
      </x:c>
      <x:c r="H966">
        <x:f>IF(AND(G966=1,COUNTIFS($I$200:I966,I966,$G$200:G966,1)=1),1,0)</x:f>
        <x:v>0</x:v>
      </x:c>
      <x:c r="I966" t="str">
        <x:f>IF(G966=1,IF(B966="成长",A966&amp;"-成长-"&amp;C966,'幕间与结算'!I873),"")</x:f>
        <x:v/>
      </x:c>
      <x:c r="BF966">
        <x:f>MAX(0,MIN(18,BF965+IF(C966="力量",E966,0)))</x:f>
        <x:v>0</x:v>
      </x:c>
      <x:c r="BG966">
        <x:f>MAX(0,MIN(18,BG965+IF(C966="体质",E966,0)))</x:f>
        <x:v>0</x:v>
      </x:c>
      <x:c r="BH966">
        <x:f>MAX(0,MIN(18,BH965+IF(C966="敏捷",E966,0)))</x:f>
        <x:v>0</x:v>
      </x:c>
      <x:c r="BI966">
        <x:f>MAX(0,MIN(18,BI965+IF(C966="智力",E966,0)))</x:f>
        <x:v>0</x:v>
      </x:c>
      <x:c r="BJ966">
        <x:f>MAX(0,MIN(18,BJ965+IF(C966="意志",E966,0)))</x:f>
        <x:v>0</x:v>
      </x:c>
      <x:c r="BK966">
        <x:f>MAX(0,MIN(18,BK965+IF(C966="魅力",E966,0)))</x:f>
        <x:v>0</x:v>
      </x:c>
      <x:c r="BL966">
        <x:f>MAX(0,MIN(99,BL965+IF(C966="技能：非自然知识",E966,0)))</x:f>
        <x:v>0</x:v>
      </x:c>
      <x:c r="BM966">
        <x:f>MAX(0,MIN(CEILING((BF966+BG966)/2,1),BM965+IF(C966="体力",E966,0)))</x:f>
        <x:v>0</x:v>
      </x:c>
      <x:c r="BN966">
        <x:f>MAX(0,MIN(BJ966,BN965+IF(C966="毅力",E966,0)))</x:f>
        <x:v>0</x:v>
      </x:c>
      <x:c r="BO966">
        <x:f>MAX(0,MIN(99-BL966,BO965+IF(C966="理智",E966,0)))</x:f>
        <x:v>0</x:v>
      </x:c>
      <x:c r="BP966">
        <x:f>MAX(0,MIN(99,BP965+IF(C966="崩溃点",E966,0)))</x:f>
        <x:v>0</x:v>
      </x:c>
      <x:c r="BQ966">
        <x:f>MAX(0,MIN(BK966,IF(AND(H966=1,C966="重要关系1",LEFT('幕间与结算'!H873,8)="建立新的重要关系"),'幕间与结算'!E873+E966,BQ965+IF(C966="重要关系1",E966,0)+IF(AND(C966="魅力",E966&lt;0),E966,0))))</x:f>
        <x:v>0</x:v>
      </x:c>
      <x:c r="BR966">
        <x:f>MAX(0,MIN(BK966,IF(AND(H966=1,C966="重要关系2",LEFT('幕间与结算'!H873,8)="建立新的重要关系"),'幕间与结算'!E873+E966,BR965+IF(C966="重要关系2",E966,0)+IF(AND(C966="魅力",E966&lt;0),E966,0))))</x:f>
        <x:v>0</x:v>
      </x:c>
      <x:c r="BS966">
        <x:f>MAX(0,MIN(BK966,IF(AND(H966=1,C966="重要关系3",LEFT('幕间与结算'!H873,8)="建立新的重要关系"),'幕间与结算'!E873+E966,BS965+IF(C966="重要关系3",E966,0)+IF(AND(C966="魅力",E966&lt;0),E966,0))))</x:f>
        <x:v>0</x:v>
      </x:c>
      <x:c r="BT966">
        <x:f>MAX(0,MIN(BK966,IF(AND(H966=1,C966="重要关系4",LEFT('幕间与结算'!H873,8)="建立新的重要关系"),'幕间与结算'!E873+E966,BT965+IF(C966="重要关系4",E966,0)+IF(AND(C966="魅力",E966&lt;0),E966,0))))</x:f>
        <x:v>0</x:v>
      </x:c>
      <x:c r="BU966">
        <x:f>MAX(0,MIN(BK966,IF(AND(H966=1,C966="重要关系5",LEFT('幕间与结算'!H873,8)="建立新的重要关系"),'幕间与结算'!E873+E966,BU965+IF(C966="重要关系5",E966,0)+IF(AND(C966="魅力",E966&lt;0),E966,0))))</x:f>
        <x:v>0</x:v>
      </x:c>
      <x:c r="BV966">
        <x:f>MAX(0,MIN(BK966,IF(AND(H966=1,C966="重要关系6",LEFT('幕间与结算'!H873,8)="建立新的重要关系"),'幕间与结算'!E873+E966,BV965+IF(C966="重要关系6",E966,0)+IF(AND(C966="魅力",E966&lt;0),E966,0))))</x:f>
        <x:v>0</x:v>
      </x:c>
      <x:c r="BW966">
        <x:f>MAX(0,MIN(BK966,IF(AND(H966=1,C966="重要关系7",LEFT('幕间与结算'!H873,8)="建立新的重要关系"),'幕间与结算'!E873+E966,BW965+IF(C966="重要关系7",E966,0)+IF(AND(C966="魅力",E966&lt;0),E966,0))))</x:f>
        <x:v>0</x:v>
      </x:c>
    </x:row>
    <x:row r="967">
      <x:c r="A967" t="str">
        <x:f>IFERROR(TEXT(VALUE('幕间与结算'!A874),"00"),"")</x:f>
        <x:v>00</x:v>
      </x:c>
      <x:c r="B967">
        <x:f>'幕间与结算'!B874</x:f>
        <x:v>0</x:v>
      </x:c>
      <x:c r="C967">
        <x:f>'幕间与结算'!D874</x:f>
        <x:v>0</x:v>
      </x:c>
      <x:c r="D967">
        <x:f>'幕间与结算'!F874</x:f>
        <x:v>0</x:v>
      </x:c>
      <x:c r="E967">
        <x:f>IF(H967=1,MAX(-'幕间与结算'!E874,MIN(D967,IF(LEFT(C967,3)="技能：",99,IF(COUNTIF($L$2:$L$7,C967)&gt;0,18,999))-'幕间与结算'!E874)),0)</x:f>
        <x:v>0</x:v>
      </x:c>
      <x:c r="F967" t="str">
        <x:f>IF(C967=0,"",IF(G967=0,"记录不完整",IF(H967=0,"重复未计","已计入")))</x:f>
        <x:v/>
      </x:c>
      <x:c r="G967">
        <x:f>IF(AND(AND('幕间与结算'!A874&lt;&gt;"",'幕间与结算'!B874&lt;&gt;"",'幕间与结算'!I874&lt;&gt;"",OR(LEFT(C967,3)="技能：",COUNTIF($L$2:$L$19,C967)&gt;0),ISNUMBER('幕间与结算'!E874),ISNUMBER('幕间与结算'!F874),ISNUMBER('幕间与结算'!G874),'幕间与结算'!E874&gt;=0,'幕间与结算'!G874='幕间与结算'!E874+'幕间与结算'!F874),OR(B967&lt;&gt;"成长",AND(LEFT(C967,3)="技能：",C967&lt;&gt;"技能：非自然知识",'幕间与结算'!E874&gt;=1,'幕间与结算'!E874&lt;=99,'幕间与结算'!F874&gt;=0,'幕间与结算'!F874&lt;=4,'幕间与结算'!G874&lt;=99))),1,0)</x:f>
        <x:v>0</x:v>
      </x:c>
      <x:c r="H967">
        <x:f>IF(AND(G967=1,COUNTIFS($I$200:I967,I967,$G$200:G967,1)=1),1,0)</x:f>
        <x:v>0</x:v>
      </x:c>
      <x:c r="I967" t="str">
        <x:f>IF(G967=1,IF(B967="成长",A967&amp;"-成长-"&amp;C967,'幕间与结算'!I874),"")</x:f>
        <x:v/>
      </x:c>
      <x:c r="BF967">
        <x:f>MAX(0,MIN(18,BF966+IF(C967="力量",E967,0)))</x:f>
        <x:v>0</x:v>
      </x:c>
      <x:c r="BG967">
        <x:f>MAX(0,MIN(18,BG966+IF(C967="体质",E967,0)))</x:f>
        <x:v>0</x:v>
      </x:c>
      <x:c r="BH967">
        <x:f>MAX(0,MIN(18,BH966+IF(C967="敏捷",E967,0)))</x:f>
        <x:v>0</x:v>
      </x:c>
      <x:c r="BI967">
        <x:f>MAX(0,MIN(18,BI966+IF(C967="智力",E967,0)))</x:f>
        <x:v>0</x:v>
      </x:c>
      <x:c r="BJ967">
        <x:f>MAX(0,MIN(18,BJ966+IF(C967="意志",E967,0)))</x:f>
        <x:v>0</x:v>
      </x:c>
      <x:c r="BK967">
        <x:f>MAX(0,MIN(18,BK966+IF(C967="魅力",E967,0)))</x:f>
        <x:v>0</x:v>
      </x:c>
      <x:c r="BL967">
        <x:f>MAX(0,MIN(99,BL966+IF(C967="技能：非自然知识",E967,0)))</x:f>
        <x:v>0</x:v>
      </x:c>
      <x:c r="BM967">
        <x:f>MAX(0,MIN(CEILING((BF967+BG967)/2,1),BM966+IF(C967="体力",E967,0)))</x:f>
        <x:v>0</x:v>
      </x:c>
      <x:c r="BN967">
        <x:f>MAX(0,MIN(BJ967,BN966+IF(C967="毅力",E967,0)))</x:f>
        <x:v>0</x:v>
      </x:c>
      <x:c r="BO967">
        <x:f>MAX(0,MIN(99-BL967,BO966+IF(C967="理智",E967,0)))</x:f>
        <x:v>0</x:v>
      </x:c>
      <x:c r="BP967">
        <x:f>MAX(0,MIN(99,BP966+IF(C967="崩溃点",E967,0)))</x:f>
        <x:v>0</x:v>
      </x:c>
      <x:c r="BQ967">
        <x:f>MAX(0,MIN(BK967,IF(AND(H967=1,C967="重要关系1",LEFT('幕间与结算'!H874,8)="建立新的重要关系"),'幕间与结算'!E874+E967,BQ966+IF(C967="重要关系1",E967,0)+IF(AND(C967="魅力",E967&lt;0),E967,0))))</x:f>
        <x:v>0</x:v>
      </x:c>
      <x:c r="BR967">
        <x:f>MAX(0,MIN(BK967,IF(AND(H967=1,C967="重要关系2",LEFT('幕间与结算'!H874,8)="建立新的重要关系"),'幕间与结算'!E874+E967,BR966+IF(C967="重要关系2",E967,0)+IF(AND(C967="魅力",E967&lt;0),E967,0))))</x:f>
        <x:v>0</x:v>
      </x:c>
      <x:c r="BS967">
        <x:f>MAX(0,MIN(BK967,IF(AND(H967=1,C967="重要关系3",LEFT('幕间与结算'!H874,8)="建立新的重要关系"),'幕间与结算'!E874+E967,BS966+IF(C967="重要关系3",E967,0)+IF(AND(C967="魅力",E967&lt;0),E967,0))))</x:f>
        <x:v>0</x:v>
      </x:c>
      <x:c r="BT967">
        <x:f>MAX(0,MIN(BK967,IF(AND(H967=1,C967="重要关系4",LEFT('幕间与结算'!H874,8)="建立新的重要关系"),'幕间与结算'!E874+E967,BT966+IF(C967="重要关系4",E967,0)+IF(AND(C967="魅力",E967&lt;0),E967,0))))</x:f>
        <x:v>0</x:v>
      </x:c>
      <x:c r="BU967">
        <x:f>MAX(0,MIN(BK967,IF(AND(H967=1,C967="重要关系5",LEFT('幕间与结算'!H874,8)="建立新的重要关系"),'幕间与结算'!E874+E967,BU966+IF(C967="重要关系5",E967,0)+IF(AND(C967="魅力",E967&lt;0),E967,0))))</x:f>
        <x:v>0</x:v>
      </x:c>
      <x:c r="BV967">
        <x:f>MAX(0,MIN(BK967,IF(AND(H967=1,C967="重要关系6",LEFT('幕间与结算'!H874,8)="建立新的重要关系"),'幕间与结算'!E874+E967,BV966+IF(C967="重要关系6",E967,0)+IF(AND(C967="魅力",E967&lt;0),E967,0))))</x:f>
        <x:v>0</x:v>
      </x:c>
      <x:c r="BW967">
        <x:f>MAX(0,MIN(BK967,IF(AND(H967=1,C967="重要关系7",LEFT('幕间与结算'!H874,8)="建立新的重要关系"),'幕间与结算'!E874+E967,BW966+IF(C967="重要关系7",E967,0)+IF(AND(C967="魅力",E967&lt;0),E967,0))))</x:f>
        <x:v>0</x:v>
      </x:c>
    </x:row>
    <x:row r="968">
      <x:c r="A968" t="str">
        <x:f>IFERROR(TEXT(VALUE('幕间与结算'!A875),"00"),"")</x:f>
        <x:v>00</x:v>
      </x:c>
      <x:c r="B968">
        <x:f>'幕间与结算'!B875</x:f>
        <x:v>0</x:v>
      </x:c>
      <x:c r="C968">
        <x:f>'幕间与结算'!D875</x:f>
        <x:v>0</x:v>
      </x:c>
      <x:c r="D968">
        <x:f>'幕间与结算'!F875</x:f>
        <x:v>0</x:v>
      </x:c>
      <x:c r="E968">
        <x:f>IF(H968=1,MAX(-'幕间与结算'!E875,MIN(D968,IF(LEFT(C968,3)="技能：",99,IF(COUNTIF($L$2:$L$7,C968)&gt;0,18,999))-'幕间与结算'!E875)),0)</x:f>
        <x:v>0</x:v>
      </x:c>
      <x:c r="F968" t="str">
        <x:f>IF(C968=0,"",IF(G968=0,"记录不完整",IF(H968=0,"重复未计","已计入")))</x:f>
        <x:v/>
      </x:c>
      <x:c r="G968">
        <x:f>IF(AND(AND('幕间与结算'!A875&lt;&gt;"",'幕间与结算'!B875&lt;&gt;"",'幕间与结算'!I875&lt;&gt;"",OR(LEFT(C968,3)="技能：",COUNTIF($L$2:$L$19,C968)&gt;0),ISNUMBER('幕间与结算'!E875),ISNUMBER('幕间与结算'!F875),ISNUMBER('幕间与结算'!G875),'幕间与结算'!E875&gt;=0,'幕间与结算'!G875='幕间与结算'!E875+'幕间与结算'!F875),OR(B968&lt;&gt;"成长",AND(LEFT(C968,3)="技能：",C968&lt;&gt;"技能：非自然知识",'幕间与结算'!E875&gt;=1,'幕间与结算'!E875&lt;=99,'幕间与结算'!F875&gt;=0,'幕间与结算'!F875&lt;=4,'幕间与结算'!G875&lt;=99))),1,0)</x:f>
        <x:v>0</x:v>
      </x:c>
      <x:c r="H968">
        <x:f>IF(AND(G968=1,COUNTIFS($I$200:I968,I968,$G$200:G968,1)=1),1,0)</x:f>
        <x:v>0</x:v>
      </x:c>
      <x:c r="I968" t="str">
        <x:f>IF(G968=1,IF(B968="成长",A968&amp;"-成长-"&amp;C968,'幕间与结算'!I875),"")</x:f>
        <x:v/>
      </x:c>
      <x:c r="BF968">
        <x:f>MAX(0,MIN(18,BF967+IF(C968="力量",E968,0)))</x:f>
        <x:v>0</x:v>
      </x:c>
      <x:c r="BG968">
        <x:f>MAX(0,MIN(18,BG967+IF(C968="体质",E968,0)))</x:f>
        <x:v>0</x:v>
      </x:c>
      <x:c r="BH968">
        <x:f>MAX(0,MIN(18,BH967+IF(C968="敏捷",E968,0)))</x:f>
        <x:v>0</x:v>
      </x:c>
      <x:c r="BI968">
        <x:f>MAX(0,MIN(18,BI967+IF(C968="智力",E968,0)))</x:f>
        <x:v>0</x:v>
      </x:c>
      <x:c r="BJ968">
        <x:f>MAX(0,MIN(18,BJ967+IF(C968="意志",E968,0)))</x:f>
        <x:v>0</x:v>
      </x:c>
      <x:c r="BK968">
        <x:f>MAX(0,MIN(18,BK967+IF(C968="魅力",E968,0)))</x:f>
        <x:v>0</x:v>
      </x:c>
      <x:c r="BL968">
        <x:f>MAX(0,MIN(99,BL967+IF(C968="技能：非自然知识",E968,0)))</x:f>
        <x:v>0</x:v>
      </x:c>
      <x:c r="BM968">
        <x:f>MAX(0,MIN(CEILING((BF968+BG968)/2,1),BM967+IF(C968="体力",E968,0)))</x:f>
        <x:v>0</x:v>
      </x:c>
      <x:c r="BN968">
        <x:f>MAX(0,MIN(BJ968,BN967+IF(C968="毅力",E968,0)))</x:f>
        <x:v>0</x:v>
      </x:c>
      <x:c r="BO968">
        <x:f>MAX(0,MIN(99-BL968,BO967+IF(C968="理智",E968,0)))</x:f>
        <x:v>0</x:v>
      </x:c>
      <x:c r="BP968">
        <x:f>MAX(0,MIN(99,BP967+IF(C968="崩溃点",E968,0)))</x:f>
        <x:v>0</x:v>
      </x:c>
      <x:c r="BQ968">
        <x:f>MAX(0,MIN(BK968,IF(AND(H968=1,C968="重要关系1",LEFT('幕间与结算'!H875,8)="建立新的重要关系"),'幕间与结算'!E875+E968,BQ967+IF(C968="重要关系1",E968,0)+IF(AND(C968="魅力",E968&lt;0),E968,0))))</x:f>
        <x:v>0</x:v>
      </x:c>
      <x:c r="BR968">
        <x:f>MAX(0,MIN(BK968,IF(AND(H968=1,C968="重要关系2",LEFT('幕间与结算'!H875,8)="建立新的重要关系"),'幕间与结算'!E875+E968,BR967+IF(C968="重要关系2",E968,0)+IF(AND(C968="魅力",E968&lt;0),E968,0))))</x:f>
        <x:v>0</x:v>
      </x:c>
      <x:c r="BS968">
        <x:f>MAX(0,MIN(BK968,IF(AND(H968=1,C968="重要关系3",LEFT('幕间与结算'!H875,8)="建立新的重要关系"),'幕间与结算'!E875+E968,BS967+IF(C968="重要关系3",E968,0)+IF(AND(C968="魅力",E968&lt;0),E968,0))))</x:f>
        <x:v>0</x:v>
      </x:c>
      <x:c r="BT968">
        <x:f>MAX(0,MIN(BK968,IF(AND(H968=1,C968="重要关系4",LEFT('幕间与结算'!H875,8)="建立新的重要关系"),'幕间与结算'!E875+E968,BT967+IF(C968="重要关系4",E968,0)+IF(AND(C968="魅力",E968&lt;0),E968,0))))</x:f>
        <x:v>0</x:v>
      </x:c>
      <x:c r="BU968">
        <x:f>MAX(0,MIN(BK968,IF(AND(H968=1,C968="重要关系5",LEFT('幕间与结算'!H875,8)="建立新的重要关系"),'幕间与结算'!E875+E968,BU967+IF(C968="重要关系5",E968,0)+IF(AND(C968="魅力",E968&lt;0),E968,0))))</x:f>
        <x:v>0</x:v>
      </x:c>
      <x:c r="BV968">
        <x:f>MAX(0,MIN(BK968,IF(AND(H968=1,C968="重要关系6",LEFT('幕间与结算'!H875,8)="建立新的重要关系"),'幕间与结算'!E875+E968,BV967+IF(C968="重要关系6",E968,0)+IF(AND(C968="魅力",E968&lt;0),E968,0))))</x:f>
        <x:v>0</x:v>
      </x:c>
      <x:c r="BW968">
        <x:f>MAX(0,MIN(BK968,IF(AND(H968=1,C968="重要关系7",LEFT('幕间与结算'!H875,8)="建立新的重要关系"),'幕间与结算'!E875+E968,BW967+IF(C968="重要关系7",E968,0)+IF(AND(C968="魅力",E968&lt;0),E968,0))))</x:f>
        <x:v>0</x:v>
      </x:c>
    </x:row>
    <x:row r="969">
      <x:c r="A969" t="str">
        <x:f>IFERROR(TEXT(VALUE('幕间与结算'!A876),"00"),"")</x:f>
        <x:v>00</x:v>
      </x:c>
      <x:c r="B969">
        <x:f>'幕间与结算'!B876</x:f>
        <x:v>0</x:v>
      </x:c>
      <x:c r="C969">
        <x:f>'幕间与结算'!D876</x:f>
        <x:v>0</x:v>
      </x:c>
      <x:c r="D969">
        <x:f>'幕间与结算'!F876</x:f>
        <x:v>0</x:v>
      </x:c>
      <x:c r="E969">
        <x:f>IF(H969=1,MAX(-'幕间与结算'!E876,MIN(D969,IF(LEFT(C969,3)="技能：",99,IF(COUNTIF($L$2:$L$7,C969)&gt;0,18,999))-'幕间与结算'!E876)),0)</x:f>
        <x:v>0</x:v>
      </x:c>
      <x:c r="F969" t="str">
        <x:f>IF(C969=0,"",IF(G969=0,"记录不完整",IF(H969=0,"重复未计","已计入")))</x:f>
        <x:v/>
      </x:c>
      <x:c r="G969">
        <x:f>IF(AND(AND('幕间与结算'!A876&lt;&gt;"",'幕间与结算'!B876&lt;&gt;"",'幕间与结算'!I876&lt;&gt;"",OR(LEFT(C969,3)="技能：",COUNTIF($L$2:$L$19,C969)&gt;0),ISNUMBER('幕间与结算'!E876),ISNUMBER('幕间与结算'!F876),ISNUMBER('幕间与结算'!G876),'幕间与结算'!E876&gt;=0,'幕间与结算'!G876='幕间与结算'!E876+'幕间与结算'!F876),OR(B969&lt;&gt;"成长",AND(LEFT(C969,3)="技能：",C969&lt;&gt;"技能：非自然知识",'幕间与结算'!E876&gt;=1,'幕间与结算'!E876&lt;=99,'幕间与结算'!F876&gt;=0,'幕间与结算'!F876&lt;=4,'幕间与结算'!G876&lt;=99))),1,0)</x:f>
        <x:v>0</x:v>
      </x:c>
      <x:c r="H969">
        <x:f>IF(AND(G969=1,COUNTIFS($I$200:I969,I969,$G$200:G969,1)=1),1,0)</x:f>
        <x:v>0</x:v>
      </x:c>
      <x:c r="I969" t="str">
        <x:f>IF(G969=1,IF(B969="成长",A969&amp;"-成长-"&amp;C969,'幕间与结算'!I876),"")</x:f>
        <x:v/>
      </x:c>
      <x:c r="BF969">
        <x:f>MAX(0,MIN(18,BF968+IF(C969="力量",E969,0)))</x:f>
        <x:v>0</x:v>
      </x:c>
      <x:c r="BG969">
        <x:f>MAX(0,MIN(18,BG968+IF(C969="体质",E969,0)))</x:f>
        <x:v>0</x:v>
      </x:c>
      <x:c r="BH969">
        <x:f>MAX(0,MIN(18,BH968+IF(C969="敏捷",E969,0)))</x:f>
        <x:v>0</x:v>
      </x:c>
      <x:c r="BI969">
        <x:f>MAX(0,MIN(18,BI968+IF(C969="智力",E969,0)))</x:f>
        <x:v>0</x:v>
      </x:c>
      <x:c r="BJ969">
        <x:f>MAX(0,MIN(18,BJ968+IF(C969="意志",E969,0)))</x:f>
        <x:v>0</x:v>
      </x:c>
      <x:c r="BK969">
        <x:f>MAX(0,MIN(18,BK968+IF(C969="魅力",E969,0)))</x:f>
        <x:v>0</x:v>
      </x:c>
      <x:c r="BL969">
        <x:f>MAX(0,MIN(99,BL968+IF(C969="技能：非自然知识",E969,0)))</x:f>
        <x:v>0</x:v>
      </x:c>
      <x:c r="BM969">
        <x:f>MAX(0,MIN(CEILING((BF969+BG969)/2,1),BM968+IF(C969="体力",E969,0)))</x:f>
        <x:v>0</x:v>
      </x:c>
      <x:c r="BN969">
        <x:f>MAX(0,MIN(BJ969,BN968+IF(C969="毅力",E969,0)))</x:f>
        <x:v>0</x:v>
      </x:c>
      <x:c r="BO969">
        <x:f>MAX(0,MIN(99-BL969,BO968+IF(C969="理智",E969,0)))</x:f>
        <x:v>0</x:v>
      </x:c>
      <x:c r="BP969">
        <x:f>MAX(0,MIN(99,BP968+IF(C969="崩溃点",E969,0)))</x:f>
        <x:v>0</x:v>
      </x:c>
      <x:c r="BQ969">
        <x:f>MAX(0,MIN(BK969,IF(AND(H969=1,C969="重要关系1",LEFT('幕间与结算'!H876,8)="建立新的重要关系"),'幕间与结算'!E876+E969,BQ968+IF(C969="重要关系1",E969,0)+IF(AND(C969="魅力",E969&lt;0),E969,0))))</x:f>
        <x:v>0</x:v>
      </x:c>
      <x:c r="BR969">
        <x:f>MAX(0,MIN(BK969,IF(AND(H969=1,C969="重要关系2",LEFT('幕间与结算'!H876,8)="建立新的重要关系"),'幕间与结算'!E876+E969,BR968+IF(C969="重要关系2",E969,0)+IF(AND(C969="魅力",E969&lt;0),E969,0))))</x:f>
        <x:v>0</x:v>
      </x:c>
      <x:c r="BS969">
        <x:f>MAX(0,MIN(BK969,IF(AND(H969=1,C969="重要关系3",LEFT('幕间与结算'!H876,8)="建立新的重要关系"),'幕间与结算'!E876+E969,BS968+IF(C969="重要关系3",E969,0)+IF(AND(C969="魅力",E969&lt;0),E969,0))))</x:f>
        <x:v>0</x:v>
      </x:c>
      <x:c r="BT969">
        <x:f>MAX(0,MIN(BK969,IF(AND(H969=1,C969="重要关系4",LEFT('幕间与结算'!H876,8)="建立新的重要关系"),'幕间与结算'!E876+E969,BT968+IF(C969="重要关系4",E969,0)+IF(AND(C969="魅力",E969&lt;0),E969,0))))</x:f>
        <x:v>0</x:v>
      </x:c>
      <x:c r="BU969">
        <x:f>MAX(0,MIN(BK969,IF(AND(H969=1,C969="重要关系5",LEFT('幕间与结算'!H876,8)="建立新的重要关系"),'幕间与结算'!E876+E969,BU968+IF(C969="重要关系5",E969,0)+IF(AND(C969="魅力",E969&lt;0),E969,0))))</x:f>
        <x:v>0</x:v>
      </x:c>
      <x:c r="BV969">
        <x:f>MAX(0,MIN(BK969,IF(AND(H969=1,C969="重要关系6",LEFT('幕间与结算'!H876,8)="建立新的重要关系"),'幕间与结算'!E876+E969,BV968+IF(C969="重要关系6",E969,0)+IF(AND(C969="魅力",E969&lt;0),E969,0))))</x:f>
        <x:v>0</x:v>
      </x:c>
      <x:c r="BW969">
        <x:f>MAX(0,MIN(BK969,IF(AND(H969=1,C969="重要关系7",LEFT('幕间与结算'!H876,8)="建立新的重要关系"),'幕间与结算'!E876+E969,BW968+IF(C969="重要关系7",E969,0)+IF(AND(C969="魅力",E969&lt;0),E969,0))))</x:f>
        <x:v>0</x:v>
      </x:c>
    </x:row>
    <x:row r="970">
      <x:c r="A970" t="str">
        <x:f>IFERROR(TEXT(VALUE('幕间与结算'!A877),"00"),"")</x:f>
        <x:v>00</x:v>
      </x:c>
      <x:c r="B970">
        <x:f>'幕间与结算'!B877</x:f>
        <x:v>0</x:v>
      </x:c>
      <x:c r="C970">
        <x:f>'幕间与结算'!D877</x:f>
        <x:v>0</x:v>
      </x:c>
      <x:c r="D970">
        <x:f>'幕间与结算'!F877</x:f>
        <x:v>0</x:v>
      </x:c>
      <x:c r="E970">
        <x:f>IF(H970=1,MAX(-'幕间与结算'!E877,MIN(D970,IF(LEFT(C970,3)="技能：",99,IF(COUNTIF($L$2:$L$7,C970)&gt;0,18,999))-'幕间与结算'!E877)),0)</x:f>
        <x:v>0</x:v>
      </x:c>
      <x:c r="F970" t="str">
        <x:f>IF(C970=0,"",IF(G970=0,"记录不完整",IF(H970=0,"重复未计","已计入")))</x:f>
        <x:v/>
      </x:c>
      <x:c r="G970">
        <x:f>IF(AND(AND('幕间与结算'!A877&lt;&gt;"",'幕间与结算'!B877&lt;&gt;"",'幕间与结算'!I877&lt;&gt;"",OR(LEFT(C970,3)="技能：",COUNTIF($L$2:$L$19,C970)&gt;0),ISNUMBER('幕间与结算'!E877),ISNUMBER('幕间与结算'!F877),ISNUMBER('幕间与结算'!G877),'幕间与结算'!E877&gt;=0,'幕间与结算'!G877='幕间与结算'!E877+'幕间与结算'!F877),OR(B970&lt;&gt;"成长",AND(LEFT(C970,3)="技能：",C970&lt;&gt;"技能：非自然知识",'幕间与结算'!E877&gt;=1,'幕间与结算'!E877&lt;=99,'幕间与结算'!F877&gt;=0,'幕间与结算'!F877&lt;=4,'幕间与结算'!G877&lt;=99))),1,0)</x:f>
        <x:v>0</x:v>
      </x:c>
      <x:c r="H970">
        <x:f>IF(AND(G970=1,COUNTIFS($I$200:I970,I970,$G$200:G970,1)=1),1,0)</x:f>
        <x:v>0</x:v>
      </x:c>
      <x:c r="I970" t="str">
        <x:f>IF(G970=1,IF(B970="成长",A970&amp;"-成长-"&amp;C970,'幕间与结算'!I877),"")</x:f>
        <x:v/>
      </x:c>
      <x:c r="BF970">
        <x:f>MAX(0,MIN(18,BF969+IF(C970="力量",E970,0)))</x:f>
        <x:v>0</x:v>
      </x:c>
      <x:c r="BG970">
        <x:f>MAX(0,MIN(18,BG969+IF(C970="体质",E970,0)))</x:f>
        <x:v>0</x:v>
      </x:c>
      <x:c r="BH970">
        <x:f>MAX(0,MIN(18,BH969+IF(C970="敏捷",E970,0)))</x:f>
        <x:v>0</x:v>
      </x:c>
      <x:c r="BI970">
        <x:f>MAX(0,MIN(18,BI969+IF(C970="智力",E970,0)))</x:f>
        <x:v>0</x:v>
      </x:c>
      <x:c r="BJ970">
        <x:f>MAX(0,MIN(18,BJ969+IF(C970="意志",E970,0)))</x:f>
        <x:v>0</x:v>
      </x:c>
      <x:c r="BK970">
        <x:f>MAX(0,MIN(18,BK969+IF(C970="魅力",E970,0)))</x:f>
        <x:v>0</x:v>
      </x:c>
      <x:c r="BL970">
        <x:f>MAX(0,MIN(99,BL969+IF(C970="技能：非自然知识",E970,0)))</x:f>
        <x:v>0</x:v>
      </x:c>
      <x:c r="BM970">
        <x:f>MAX(0,MIN(CEILING((BF970+BG970)/2,1),BM969+IF(C970="体力",E970,0)))</x:f>
        <x:v>0</x:v>
      </x:c>
      <x:c r="BN970">
        <x:f>MAX(0,MIN(BJ970,BN969+IF(C970="毅力",E970,0)))</x:f>
        <x:v>0</x:v>
      </x:c>
      <x:c r="BO970">
        <x:f>MAX(0,MIN(99-BL970,BO969+IF(C970="理智",E970,0)))</x:f>
        <x:v>0</x:v>
      </x:c>
      <x:c r="BP970">
        <x:f>MAX(0,MIN(99,BP969+IF(C970="崩溃点",E970,0)))</x:f>
        <x:v>0</x:v>
      </x:c>
      <x:c r="BQ970">
        <x:f>MAX(0,MIN(BK970,IF(AND(H970=1,C970="重要关系1",LEFT('幕间与结算'!H877,8)="建立新的重要关系"),'幕间与结算'!E877+E970,BQ969+IF(C970="重要关系1",E970,0)+IF(AND(C970="魅力",E970&lt;0),E970,0))))</x:f>
        <x:v>0</x:v>
      </x:c>
      <x:c r="BR970">
        <x:f>MAX(0,MIN(BK970,IF(AND(H970=1,C970="重要关系2",LEFT('幕间与结算'!H877,8)="建立新的重要关系"),'幕间与结算'!E877+E970,BR969+IF(C970="重要关系2",E970,0)+IF(AND(C970="魅力",E970&lt;0),E970,0))))</x:f>
        <x:v>0</x:v>
      </x:c>
      <x:c r="BS970">
        <x:f>MAX(0,MIN(BK970,IF(AND(H970=1,C970="重要关系3",LEFT('幕间与结算'!H877,8)="建立新的重要关系"),'幕间与结算'!E877+E970,BS969+IF(C970="重要关系3",E970,0)+IF(AND(C970="魅力",E970&lt;0),E970,0))))</x:f>
        <x:v>0</x:v>
      </x:c>
      <x:c r="BT970">
        <x:f>MAX(0,MIN(BK970,IF(AND(H970=1,C970="重要关系4",LEFT('幕间与结算'!H877,8)="建立新的重要关系"),'幕间与结算'!E877+E970,BT969+IF(C970="重要关系4",E970,0)+IF(AND(C970="魅力",E970&lt;0),E970,0))))</x:f>
        <x:v>0</x:v>
      </x:c>
      <x:c r="BU970">
        <x:f>MAX(0,MIN(BK970,IF(AND(H970=1,C970="重要关系5",LEFT('幕间与结算'!H877,8)="建立新的重要关系"),'幕间与结算'!E877+E970,BU969+IF(C970="重要关系5",E970,0)+IF(AND(C970="魅力",E970&lt;0),E970,0))))</x:f>
        <x:v>0</x:v>
      </x:c>
      <x:c r="BV970">
        <x:f>MAX(0,MIN(BK970,IF(AND(H970=1,C970="重要关系6",LEFT('幕间与结算'!H877,8)="建立新的重要关系"),'幕间与结算'!E877+E970,BV969+IF(C970="重要关系6",E970,0)+IF(AND(C970="魅力",E970&lt;0),E970,0))))</x:f>
        <x:v>0</x:v>
      </x:c>
      <x:c r="BW970">
        <x:f>MAX(0,MIN(BK970,IF(AND(H970=1,C970="重要关系7",LEFT('幕间与结算'!H877,8)="建立新的重要关系"),'幕间与结算'!E877+E970,BW969+IF(C970="重要关系7",E970,0)+IF(AND(C970="魅力",E970&lt;0),E970,0))))</x:f>
        <x:v>0</x:v>
      </x:c>
    </x:row>
    <x:row r="971">
      <x:c r="A971" t="str">
        <x:f>IFERROR(TEXT(VALUE('幕间与结算'!A878),"00"),"")</x:f>
        <x:v>00</x:v>
      </x:c>
      <x:c r="B971">
        <x:f>'幕间与结算'!B878</x:f>
        <x:v>0</x:v>
      </x:c>
      <x:c r="C971">
        <x:f>'幕间与结算'!D878</x:f>
        <x:v>0</x:v>
      </x:c>
      <x:c r="D971">
        <x:f>'幕间与结算'!F878</x:f>
        <x:v>0</x:v>
      </x:c>
      <x:c r="E971">
        <x:f>IF(H971=1,MAX(-'幕间与结算'!E878,MIN(D971,IF(LEFT(C971,3)="技能：",99,IF(COUNTIF($L$2:$L$7,C971)&gt;0,18,999))-'幕间与结算'!E878)),0)</x:f>
        <x:v>0</x:v>
      </x:c>
      <x:c r="F971" t="str">
        <x:f>IF(C971=0,"",IF(G971=0,"记录不完整",IF(H971=0,"重复未计","已计入")))</x:f>
        <x:v/>
      </x:c>
      <x:c r="G971">
        <x:f>IF(AND(AND('幕间与结算'!A878&lt;&gt;"",'幕间与结算'!B878&lt;&gt;"",'幕间与结算'!I878&lt;&gt;"",OR(LEFT(C971,3)="技能：",COUNTIF($L$2:$L$19,C971)&gt;0),ISNUMBER('幕间与结算'!E878),ISNUMBER('幕间与结算'!F878),ISNUMBER('幕间与结算'!G878),'幕间与结算'!E878&gt;=0,'幕间与结算'!G878='幕间与结算'!E878+'幕间与结算'!F878),OR(B971&lt;&gt;"成长",AND(LEFT(C971,3)="技能：",C971&lt;&gt;"技能：非自然知识",'幕间与结算'!E878&gt;=1,'幕间与结算'!E878&lt;=99,'幕间与结算'!F878&gt;=0,'幕间与结算'!F878&lt;=4,'幕间与结算'!G878&lt;=99))),1,0)</x:f>
        <x:v>0</x:v>
      </x:c>
      <x:c r="H971">
        <x:f>IF(AND(G971=1,COUNTIFS($I$200:I971,I971,$G$200:G971,1)=1),1,0)</x:f>
        <x:v>0</x:v>
      </x:c>
      <x:c r="I971" t="str">
        <x:f>IF(G971=1,IF(B971="成长",A971&amp;"-成长-"&amp;C971,'幕间与结算'!I878),"")</x:f>
        <x:v/>
      </x:c>
      <x:c r="BF971">
        <x:f>MAX(0,MIN(18,BF970+IF(C971="力量",E971,0)))</x:f>
        <x:v>0</x:v>
      </x:c>
      <x:c r="BG971">
        <x:f>MAX(0,MIN(18,BG970+IF(C971="体质",E971,0)))</x:f>
        <x:v>0</x:v>
      </x:c>
      <x:c r="BH971">
        <x:f>MAX(0,MIN(18,BH970+IF(C971="敏捷",E971,0)))</x:f>
        <x:v>0</x:v>
      </x:c>
      <x:c r="BI971">
        <x:f>MAX(0,MIN(18,BI970+IF(C971="智力",E971,0)))</x:f>
        <x:v>0</x:v>
      </x:c>
      <x:c r="BJ971">
        <x:f>MAX(0,MIN(18,BJ970+IF(C971="意志",E971,0)))</x:f>
        <x:v>0</x:v>
      </x:c>
      <x:c r="BK971">
        <x:f>MAX(0,MIN(18,BK970+IF(C971="魅力",E971,0)))</x:f>
        <x:v>0</x:v>
      </x:c>
      <x:c r="BL971">
        <x:f>MAX(0,MIN(99,BL970+IF(C971="技能：非自然知识",E971,0)))</x:f>
        <x:v>0</x:v>
      </x:c>
      <x:c r="BM971">
        <x:f>MAX(0,MIN(CEILING((BF971+BG971)/2,1),BM970+IF(C971="体力",E971,0)))</x:f>
        <x:v>0</x:v>
      </x:c>
      <x:c r="BN971">
        <x:f>MAX(0,MIN(BJ971,BN970+IF(C971="毅力",E971,0)))</x:f>
        <x:v>0</x:v>
      </x:c>
      <x:c r="BO971">
        <x:f>MAX(0,MIN(99-BL971,BO970+IF(C971="理智",E971,0)))</x:f>
        <x:v>0</x:v>
      </x:c>
      <x:c r="BP971">
        <x:f>MAX(0,MIN(99,BP970+IF(C971="崩溃点",E971,0)))</x:f>
        <x:v>0</x:v>
      </x:c>
      <x:c r="BQ971">
        <x:f>MAX(0,MIN(BK971,IF(AND(H971=1,C971="重要关系1",LEFT('幕间与结算'!H878,8)="建立新的重要关系"),'幕间与结算'!E878+E971,BQ970+IF(C971="重要关系1",E971,0)+IF(AND(C971="魅力",E971&lt;0),E971,0))))</x:f>
        <x:v>0</x:v>
      </x:c>
      <x:c r="BR971">
        <x:f>MAX(0,MIN(BK971,IF(AND(H971=1,C971="重要关系2",LEFT('幕间与结算'!H878,8)="建立新的重要关系"),'幕间与结算'!E878+E971,BR970+IF(C971="重要关系2",E971,0)+IF(AND(C971="魅力",E971&lt;0),E971,0))))</x:f>
        <x:v>0</x:v>
      </x:c>
      <x:c r="BS971">
        <x:f>MAX(0,MIN(BK971,IF(AND(H971=1,C971="重要关系3",LEFT('幕间与结算'!H878,8)="建立新的重要关系"),'幕间与结算'!E878+E971,BS970+IF(C971="重要关系3",E971,0)+IF(AND(C971="魅力",E971&lt;0),E971,0))))</x:f>
        <x:v>0</x:v>
      </x:c>
      <x:c r="BT971">
        <x:f>MAX(0,MIN(BK971,IF(AND(H971=1,C971="重要关系4",LEFT('幕间与结算'!H878,8)="建立新的重要关系"),'幕间与结算'!E878+E971,BT970+IF(C971="重要关系4",E971,0)+IF(AND(C971="魅力",E971&lt;0),E971,0))))</x:f>
        <x:v>0</x:v>
      </x:c>
      <x:c r="BU971">
        <x:f>MAX(0,MIN(BK971,IF(AND(H971=1,C971="重要关系5",LEFT('幕间与结算'!H878,8)="建立新的重要关系"),'幕间与结算'!E878+E971,BU970+IF(C971="重要关系5",E971,0)+IF(AND(C971="魅力",E971&lt;0),E971,0))))</x:f>
        <x:v>0</x:v>
      </x:c>
      <x:c r="BV971">
        <x:f>MAX(0,MIN(BK971,IF(AND(H971=1,C971="重要关系6",LEFT('幕间与结算'!H878,8)="建立新的重要关系"),'幕间与结算'!E878+E971,BV970+IF(C971="重要关系6",E971,0)+IF(AND(C971="魅力",E971&lt;0),E971,0))))</x:f>
        <x:v>0</x:v>
      </x:c>
      <x:c r="BW971">
        <x:f>MAX(0,MIN(BK971,IF(AND(H971=1,C971="重要关系7",LEFT('幕间与结算'!H878,8)="建立新的重要关系"),'幕间与结算'!E878+E971,BW970+IF(C971="重要关系7",E971,0)+IF(AND(C971="魅力",E971&lt;0),E971,0))))</x:f>
        <x:v>0</x:v>
      </x:c>
    </x:row>
    <x:row r="972">
      <x:c r="A972" t="str">
        <x:f>IFERROR(TEXT(VALUE('幕间与结算'!A879),"00"),"")</x:f>
        <x:v>00</x:v>
      </x:c>
      <x:c r="B972">
        <x:f>'幕间与结算'!B879</x:f>
        <x:v>0</x:v>
      </x:c>
      <x:c r="C972">
        <x:f>'幕间与结算'!D879</x:f>
        <x:v>0</x:v>
      </x:c>
      <x:c r="D972">
        <x:f>'幕间与结算'!F879</x:f>
        <x:v>0</x:v>
      </x:c>
      <x:c r="E972">
        <x:f>IF(H972=1,MAX(-'幕间与结算'!E879,MIN(D972,IF(LEFT(C972,3)="技能：",99,IF(COUNTIF($L$2:$L$7,C972)&gt;0,18,999))-'幕间与结算'!E879)),0)</x:f>
        <x:v>0</x:v>
      </x:c>
      <x:c r="F972" t="str">
        <x:f>IF(C972=0,"",IF(G972=0,"记录不完整",IF(H972=0,"重复未计","已计入")))</x:f>
        <x:v/>
      </x:c>
      <x:c r="G972">
        <x:f>IF(AND(AND('幕间与结算'!A879&lt;&gt;"",'幕间与结算'!B879&lt;&gt;"",'幕间与结算'!I879&lt;&gt;"",OR(LEFT(C972,3)="技能：",COUNTIF($L$2:$L$19,C972)&gt;0),ISNUMBER('幕间与结算'!E879),ISNUMBER('幕间与结算'!F879),ISNUMBER('幕间与结算'!G879),'幕间与结算'!E879&gt;=0,'幕间与结算'!G879='幕间与结算'!E879+'幕间与结算'!F879),OR(B972&lt;&gt;"成长",AND(LEFT(C972,3)="技能：",C972&lt;&gt;"技能：非自然知识",'幕间与结算'!E879&gt;=1,'幕间与结算'!E879&lt;=99,'幕间与结算'!F879&gt;=0,'幕间与结算'!F879&lt;=4,'幕间与结算'!G879&lt;=99))),1,0)</x:f>
        <x:v>0</x:v>
      </x:c>
      <x:c r="H972">
        <x:f>IF(AND(G972=1,COUNTIFS($I$200:I972,I972,$G$200:G972,1)=1),1,0)</x:f>
        <x:v>0</x:v>
      </x:c>
      <x:c r="I972" t="str">
        <x:f>IF(G972=1,IF(B972="成长",A972&amp;"-成长-"&amp;C972,'幕间与结算'!I879),"")</x:f>
        <x:v/>
      </x:c>
      <x:c r="BF972">
        <x:f>MAX(0,MIN(18,BF971+IF(C972="力量",E972,0)))</x:f>
        <x:v>0</x:v>
      </x:c>
      <x:c r="BG972">
        <x:f>MAX(0,MIN(18,BG971+IF(C972="体质",E972,0)))</x:f>
        <x:v>0</x:v>
      </x:c>
      <x:c r="BH972">
        <x:f>MAX(0,MIN(18,BH971+IF(C972="敏捷",E972,0)))</x:f>
        <x:v>0</x:v>
      </x:c>
      <x:c r="BI972">
        <x:f>MAX(0,MIN(18,BI971+IF(C972="智力",E972,0)))</x:f>
        <x:v>0</x:v>
      </x:c>
      <x:c r="BJ972">
        <x:f>MAX(0,MIN(18,BJ971+IF(C972="意志",E972,0)))</x:f>
        <x:v>0</x:v>
      </x:c>
      <x:c r="BK972">
        <x:f>MAX(0,MIN(18,BK971+IF(C972="魅力",E972,0)))</x:f>
        <x:v>0</x:v>
      </x:c>
      <x:c r="BL972">
        <x:f>MAX(0,MIN(99,BL971+IF(C972="技能：非自然知识",E972,0)))</x:f>
        <x:v>0</x:v>
      </x:c>
      <x:c r="BM972">
        <x:f>MAX(0,MIN(CEILING((BF972+BG972)/2,1),BM971+IF(C972="体力",E972,0)))</x:f>
        <x:v>0</x:v>
      </x:c>
      <x:c r="BN972">
        <x:f>MAX(0,MIN(BJ972,BN971+IF(C972="毅力",E972,0)))</x:f>
        <x:v>0</x:v>
      </x:c>
      <x:c r="BO972">
        <x:f>MAX(0,MIN(99-BL972,BO971+IF(C972="理智",E972,0)))</x:f>
        <x:v>0</x:v>
      </x:c>
      <x:c r="BP972">
        <x:f>MAX(0,MIN(99,BP971+IF(C972="崩溃点",E972,0)))</x:f>
        <x:v>0</x:v>
      </x:c>
      <x:c r="BQ972">
        <x:f>MAX(0,MIN(BK972,IF(AND(H972=1,C972="重要关系1",LEFT('幕间与结算'!H879,8)="建立新的重要关系"),'幕间与结算'!E879+E972,BQ971+IF(C972="重要关系1",E972,0)+IF(AND(C972="魅力",E972&lt;0),E972,0))))</x:f>
        <x:v>0</x:v>
      </x:c>
      <x:c r="BR972">
        <x:f>MAX(0,MIN(BK972,IF(AND(H972=1,C972="重要关系2",LEFT('幕间与结算'!H879,8)="建立新的重要关系"),'幕间与结算'!E879+E972,BR971+IF(C972="重要关系2",E972,0)+IF(AND(C972="魅力",E972&lt;0),E972,0))))</x:f>
        <x:v>0</x:v>
      </x:c>
      <x:c r="BS972">
        <x:f>MAX(0,MIN(BK972,IF(AND(H972=1,C972="重要关系3",LEFT('幕间与结算'!H879,8)="建立新的重要关系"),'幕间与结算'!E879+E972,BS971+IF(C972="重要关系3",E972,0)+IF(AND(C972="魅力",E972&lt;0),E972,0))))</x:f>
        <x:v>0</x:v>
      </x:c>
      <x:c r="BT972">
        <x:f>MAX(0,MIN(BK972,IF(AND(H972=1,C972="重要关系4",LEFT('幕间与结算'!H879,8)="建立新的重要关系"),'幕间与结算'!E879+E972,BT971+IF(C972="重要关系4",E972,0)+IF(AND(C972="魅力",E972&lt;0),E972,0))))</x:f>
        <x:v>0</x:v>
      </x:c>
      <x:c r="BU972">
        <x:f>MAX(0,MIN(BK972,IF(AND(H972=1,C972="重要关系5",LEFT('幕间与结算'!H879,8)="建立新的重要关系"),'幕间与结算'!E879+E972,BU971+IF(C972="重要关系5",E972,0)+IF(AND(C972="魅力",E972&lt;0),E972,0))))</x:f>
        <x:v>0</x:v>
      </x:c>
      <x:c r="BV972">
        <x:f>MAX(0,MIN(BK972,IF(AND(H972=1,C972="重要关系6",LEFT('幕间与结算'!H879,8)="建立新的重要关系"),'幕间与结算'!E879+E972,BV971+IF(C972="重要关系6",E972,0)+IF(AND(C972="魅力",E972&lt;0),E972,0))))</x:f>
        <x:v>0</x:v>
      </x:c>
      <x:c r="BW972">
        <x:f>MAX(0,MIN(BK972,IF(AND(H972=1,C972="重要关系7",LEFT('幕间与结算'!H879,8)="建立新的重要关系"),'幕间与结算'!E879+E972,BW971+IF(C972="重要关系7",E972,0)+IF(AND(C972="魅力",E972&lt;0),E972,0))))</x:f>
        <x:v>0</x:v>
      </x:c>
    </x:row>
    <x:row r="973">
      <x:c r="A973" t="str">
        <x:f>IFERROR(TEXT(VALUE('幕间与结算'!A880),"00"),"")</x:f>
        <x:v>00</x:v>
      </x:c>
      <x:c r="B973">
        <x:f>'幕间与结算'!B880</x:f>
        <x:v>0</x:v>
      </x:c>
      <x:c r="C973">
        <x:f>'幕间与结算'!D880</x:f>
        <x:v>0</x:v>
      </x:c>
      <x:c r="D973">
        <x:f>'幕间与结算'!F880</x:f>
        <x:v>0</x:v>
      </x:c>
      <x:c r="E973">
        <x:f>IF(H973=1,MAX(-'幕间与结算'!E880,MIN(D973,IF(LEFT(C973,3)="技能：",99,IF(COUNTIF($L$2:$L$7,C973)&gt;0,18,999))-'幕间与结算'!E880)),0)</x:f>
        <x:v>0</x:v>
      </x:c>
      <x:c r="F973" t="str">
        <x:f>IF(C973=0,"",IF(G973=0,"记录不完整",IF(H973=0,"重复未计","已计入")))</x:f>
        <x:v/>
      </x:c>
      <x:c r="G973">
        <x:f>IF(AND(AND('幕间与结算'!A880&lt;&gt;"",'幕间与结算'!B880&lt;&gt;"",'幕间与结算'!I880&lt;&gt;"",OR(LEFT(C973,3)="技能：",COUNTIF($L$2:$L$19,C973)&gt;0),ISNUMBER('幕间与结算'!E880),ISNUMBER('幕间与结算'!F880),ISNUMBER('幕间与结算'!G880),'幕间与结算'!E880&gt;=0,'幕间与结算'!G880='幕间与结算'!E880+'幕间与结算'!F880),OR(B973&lt;&gt;"成长",AND(LEFT(C973,3)="技能：",C973&lt;&gt;"技能：非自然知识",'幕间与结算'!E880&gt;=1,'幕间与结算'!E880&lt;=99,'幕间与结算'!F880&gt;=0,'幕间与结算'!F880&lt;=4,'幕间与结算'!G880&lt;=99))),1,0)</x:f>
        <x:v>0</x:v>
      </x:c>
      <x:c r="H973">
        <x:f>IF(AND(G973=1,COUNTIFS($I$200:I973,I973,$G$200:G973,1)=1),1,0)</x:f>
        <x:v>0</x:v>
      </x:c>
      <x:c r="I973" t="str">
        <x:f>IF(G973=1,IF(B973="成长",A973&amp;"-成长-"&amp;C973,'幕间与结算'!I880),"")</x:f>
        <x:v/>
      </x:c>
      <x:c r="BF973">
        <x:f>MAX(0,MIN(18,BF972+IF(C973="力量",E973,0)))</x:f>
        <x:v>0</x:v>
      </x:c>
      <x:c r="BG973">
        <x:f>MAX(0,MIN(18,BG972+IF(C973="体质",E973,0)))</x:f>
        <x:v>0</x:v>
      </x:c>
      <x:c r="BH973">
        <x:f>MAX(0,MIN(18,BH972+IF(C973="敏捷",E973,0)))</x:f>
        <x:v>0</x:v>
      </x:c>
      <x:c r="BI973">
        <x:f>MAX(0,MIN(18,BI972+IF(C973="智力",E973,0)))</x:f>
        <x:v>0</x:v>
      </x:c>
      <x:c r="BJ973">
        <x:f>MAX(0,MIN(18,BJ972+IF(C973="意志",E973,0)))</x:f>
        <x:v>0</x:v>
      </x:c>
      <x:c r="BK973">
        <x:f>MAX(0,MIN(18,BK972+IF(C973="魅力",E973,0)))</x:f>
        <x:v>0</x:v>
      </x:c>
      <x:c r="BL973">
        <x:f>MAX(0,MIN(99,BL972+IF(C973="技能：非自然知识",E973,0)))</x:f>
        <x:v>0</x:v>
      </x:c>
      <x:c r="BM973">
        <x:f>MAX(0,MIN(CEILING((BF973+BG973)/2,1),BM972+IF(C973="体力",E973,0)))</x:f>
        <x:v>0</x:v>
      </x:c>
      <x:c r="BN973">
        <x:f>MAX(0,MIN(BJ973,BN972+IF(C973="毅力",E973,0)))</x:f>
        <x:v>0</x:v>
      </x:c>
      <x:c r="BO973">
        <x:f>MAX(0,MIN(99-BL973,BO972+IF(C973="理智",E973,0)))</x:f>
        <x:v>0</x:v>
      </x:c>
      <x:c r="BP973">
        <x:f>MAX(0,MIN(99,BP972+IF(C973="崩溃点",E973,0)))</x:f>
        <x:v>0</x:v>
      </x:c>
      <x:c r="BQ973">
        <x:f>MAX(0,MIN(BK973,IF(AND(H973=1,C973="重要关系1",LEFT('幕间与结算'!H880,8)="建立新的重要关系"),'幕间与结算'!E880+E973,BQ972+IF(C973="重要关系1",E973,0)+IF(AND(C973="魅力",E973&lt;0),E973,0))))</x:f>
        <x:v>0</x:v>
      </x:c>
      <x:c r="BR973">
        <x:f>MAX(0,MIN(BK973,IF(AND(H973=1,C973="重要关系2",LEFT('幕间与结算'!H880,8)="建立新的重要关系"),'幕间与结算'!E880+E973,BR972+IF(C973="重要关系2",E973,0)+IF(AND(C973="魅力",E973&lt;0),E973,0))))</x:f>
        <x:v>0</x:v>
      </x:c>
      <x:c r="BS973">
        <x:f>MAX(0,MIN(BK973,IF(AND(H973=1,C973="重要关系3",LEFT('幕间与结算'!H880,8)="建立新的重要关系"),'幕间与结算'!E880+E973,BS972+IF(C973="重要关系3",E973,0)+IF(AND(C973="魅力",E973&lt;0),E973,0))))</x:f>
        <x:v>0</x:v>
      </x:c>
      <x:c r="BT973">
        <x:f>MAX(0,MIN(BK973,IF(AND(H973=1,C973="重要关系4",LEFT('幕间与结算'!H880,8)="建立新的重要关系"),'幕间与结算'!E880+E973,BT972+IF(C973="重要关系4",E973,0)+IF(AND(C973="魅力",E973&lt;0),E973,0))))</x:f>
        <x:v>0</x:v>
      </x:c>
      <x:c r="BU973">
        <x:f>MAX(0,MIN(BK973,IF(AND(H973=1,C973="重要关系5",LEFT('幕间与结算'!H880,8)="建立新的重要关系"),'幕间与结算'!E880+E973,BU972+IF(C973="重要关系5",E973,0)+IF(AND(C973="魅力",E973&lt;0),E973,0))))</x:f>
        <x:v>0</x:v>
      </x:c>
      <x:c r="BV973">
        <x:f>MAX(0,MIN(BK973,IF(AND(H973=1,C973="重要关系6",LEFT('幕间与结算'!H880,8)="建立新的重要关系"),'幕间与结算'!E880+E973,BV972+IF(C973="重要关系6",E973,0)+IF(AND(C973="魅力",E973&lt;0),E973,0))))</x:f>
        <x:v>0</x:v>
      </x:c>
      <x:c r="BW973">
        <x:f>MAX(0,MIN(BK973,IF(AND(H973=1,C973="重要关系7",LEFT('幕间与结算'!H880,8)="建立新的重要关系"),'幕间与结算'!E880+E973,BW972+IF(C973="重要关系7",E973,0)+IF(AND(C973="魅力",E973&lt;0),E973,0))))</x:f>
        <x:v>0</x:v>
      </x:c>
    </x:row>
    <x:row r="974">
      <x:c r="A974" t="str">
        <x:f>IFERROR(TEXT(VALUE('幕间与结算'!A881),"00"),"")</x:f>
        <x:v>00</x:v>
      </x:c>
      <x:c r="B974">
        <x:f>'幕间与结算'!B881</x:f>
        <x:v>0</x:v>
      </x:c>
      <x:c r="C974">
        <x:f>'幕间与结算'!D881</x:f>
        <x:v>0</x:v>
      </x:c>
      <x:c r="D974">
        <x:f>'幕间与结算'!F881</x:f>
        <x:v>0</x:v>
      </x:c>
      <x:c r="E974">
        <x:f>IF(H974=1,MAX(-'幕间与结算'!E881,MIN(D974,IF(LEFT(C974,3)="技能：",99,IF(COUNTIF($L$2:$L$7,C974)&gt;0,18,999))-'幕间与结算'!E881)),0)</x:f>
        <x:v>0</x:v>
      </x:c>
      <x:c r="F974" t="str">
        <x:f>IF(C974=0,"",IF(G974=0,"记录不完整",IF(H974=0,"重复未计","已计入")))</x:f>
        <x:v/>
      </x:c>
      <x:c r="G974">
        <x:f>IF(AND(AND('幕间与结算'!A881&lt;&gt;"",'幕间与结算'!B881&lt;&gt;"",'幕间与结算'!I881&lt;&gt;"",OR(LEFT(C974,3)="技能：",COUNTIF($L$2:$L$19,C974)&gt;0),ISNUMBER('幕间与结算'!E881),ISNUMBER('幕间与结算'!F881),ISNUMBER('幕间与结算'!G881),'幕间与结算'!E881&gt;=0,'幕间与结算'!G881='幕间与结算'!E881+'幕间与结算'!F881),OR(B974&lt;&gt;"成长",AND(LEFT(C974,3)="技能：",C974&lt;&gt;"技能：非自然知识",'幕间与结算'!E881&gt;=1,'幕间与结算'!E881&lt;=99,'幕间与结算'!F881&gt;=0,'幕间与结算'!F881&lt;=4,'幕间与结算'!G881&lt;=99))),1,0)</x:f>
        <x:v>0</x:v>
      </x:c>
      <x:c r="H974">
        <x:f>IF(AND(G974=1,COUNTIFS($I$200:I974,I974,$G$200:G974,1)=1),1,0)</x:f>
        <x:v>0</x:v>
      </x:c>
      <x:c r="I974" t="str">
        <x:f>IF(G974=1,IF(B974="成长",A974&amp;"-成长-"&amp;C974,'幕间与结算'!I881),"")</x:f>
        <x:v/>
      </x:c>
      <x:c r="BF974">
        <x:f>MAX(0,MIN(18,BF973+IF(C974="力量",E974,0)))</x:f>
        <x:v>0</x:v>
      </x:c>
      <x:c r="BG974">
        <x:f>MAX(0,MIN(18,BG973+IF(C974="体质",E974,0)))</x:f>
        <x:v>0</x:v>
      </x:c>
      <x:c r="BH974">
        <x:f>MAX(0,MIN(18,BH973+IF(C974="敏捷",E974,0)))</x:f>
        <x:v>0</x:v>
      </x:c>
      <x:c r="BI974">
        <x:f>MAX(0,MIN(18,BI973+IF(C974="智力",E974,0)))</x:f>
        <x:v>0</x:v>
      </x:c>
      <x:c r="BJ974">
        <x:f>MAX(0,MIN(18,BJ973+IF(C974="意志",E974,0)))</x:f>
        <x:v>0</x:v>
      </x:c>
      <x:c r="BK974">
        <x:f>MAX(0,MIN(18,BK973+IF(C974="魅力",E974,0)))</x:f>
        <x:v>0</x:v>
      </x:c>
      <x:c r="BL974">
        <x:f>MAX(0,MIN(99,BL973+IF(C974="技能：非自然知识",E974,0)))</x:f>
        <x:v>0</x:v>
      </x:c>
      <x:c r="BM974">
        <x:f>MAX(0,MIN(CEILING((BF974+BG974)/2,1),BM973+IF(C974="体力",E974,0)))</x:f>
        <x:v>0</x:v>
      </x:c>
      <x:c r="BN974">
        <x:f>MAX(0,MIN(BJ974,BN973+IF(C974="毅力",E974,0)))</x:f>
        <x:v>0</x:v>
      </x:c>
      <x:c r="BO974">
        <x:f>MAX(0,MIN(99-BL974,BO973+IF(C974="理智",E974,0)))</x:f>
        <x:v>0</x:v>
      </x:c>
      <x:c r="BP974">
        <x:f>MAX(0,MIN(99,BP973+IF(C974="崩溃点",E974,0)))</x:f>
        <x:v>0</x:v>
      </x:c>
      <x:c r="BQ974">
        <x:f>MAX(0,MIN(BK974,IF(AND(H974=1,C974="重要关系1",LEFT('幕间与结算'!H881,8)="建立新的重要关系"),'幕间与结算'!E881+E974,BQ973+IF(C974="重要关系1",E974,0)+IF(AND(C974="魅力",E974&lt;0),E974,0))))</x:f>
        <x:v>0</x:v>
      </x:c>
      <x:c r="BR974">
        <x:f>MAX(0,MIN(BK974,IF(AND(H974=1,C974="重要关系2",LEFT('幕间与结算'!H881,8)="建立新的重要关系"),'幕间与结算'!E881+E974,BR973+IF(C974="重要关系2",E974,0)+IF(AND(C974="魅力",E974&lt;0),E974,0))))</x:f>
        <x:v>0</x:v>
      </x:c>
      <x:c r="BS974">
        <x:f>MAX(0,MIN(BK974,IF(AND(H974=1,C974="重要关系3",LEFT('幕间与结算'!H881,8)="建立新的重要关系"),'幕间与结算'!E881+E974,BS973+IF(C974="重要关系3",E974,0)+IF(AND(C974="魅力",E974&lt;0),E974,0))))</x:f>
        <x:v>0</x:v>
      </x:c>
      <x:c r="BT974">
        <x:f>MAX(0,MIN(BK974,IF(AND(H974=1,C974="重要关系4",LEFT('幕间与结算'!H881,8)="建立新的重要关系"),'幕间与结算'!E881+E974,BT973+IF(C974="重要关系4",E974,0)+IF(AND(C974="魅力",E974&lt;0),E974,0))))</x:f>
        <x:v>0</x:v>
      </x:c>
      <x:c r="BU974">
        <x:f>MAX(0,MIN(BK974,IF(AND(H974=1,C974="重要关系5",LEFT('幕间与结算'!H881,8)="建立新的重要关系"),'幕间与结算'!E881+E974,BU973+IF(C974="重要关系5",E974,0)+IF(AND(C974="魅力",E974&lt;0),E974,0))))</x:f>
        <x:v>0</x:v>
      </x:c>
      <x:c r="BV974">
        <x:f>MAX(0,MIN(BK974,IF(AND(H974=1,C974="重要关系6",LEFT('幕间与结算'!H881,8)="建立新的重要关系"),'幕间与结算'!E881+E974,BV973+IF(C974="重要关系6",E974,0)+IF(AND(C974="魅力",E974&lt;0),E974,0))))</x:f>
        <x:v>0</x:v>
      </x:c>
      <x:c r="BW974">
        <x:f>MAX(0,MIN(BK974,IF(AND(H974=1,C974="重要关系7",LEFT('幕间与结算'!H881,8)="建立新的重要关系"),'幕间与结算'!E881+E974,BW973+IF(C974="重要关系7",E974,0)+IF(AND(C974="魅力",E974&lt;0),E974,0))))</x:f>
        <x:v>0</x:v>
      </x:c>
    </x:row>
    <x:row r="975">
      <x:c r="A975" t="str">
        <x:f>IFERROR(TEXT(VALUE('幕间与结算'!A882),"00"),"")</x:f>
        <x:v>00</x:v>
      </x:c>
      <x:c r="B975">
        <x:f>'幕间与结算'!B882</x:f>
        <x:v>0</x:v>
      </x:c>
      <x:c r="C975">
        <x:f>'幕间与结算'!D882</x:f>
        <x:v>0</x:v>
      </x:c>
      <x:c r="D975">
        <x:f>'幕间与结算'!F882</x:f>
        <x:v>0</x:v>
      </x:c>
      <x:c r="E975">
        <x:f>IF(H975=1,MAX(-'幕间与结算'!E882,MIN(D975,IF(LEFT(C975,3)="技能：",99,IF(COUNTIF($L$2:$L$7,C975)&gt;0,18,999))-'幕间与结算'!E882)),0)</x:f>
        <x:v>0</x:v>
      </x:c>
      <x:c r="F975" t="str">
        <x:f>IF(C975=0,"",IF(G975=0,"记录不完整",IF(H975=0,"重复未计","已计入")))</x:f>
        <x:v/>
      </x:c>
      <x:c r="G975">
        <x:f>IF(AND(AND('幕间与结算'!A882&lt;&gt;"",'幕间与结算'!B882&lt;&gt;"",'幕间与结算'!I882&lt;&gt;"",OR(LEFT(C975,3)="技能：",COUNTIF($L$2:$L$19,C975)&gt;0),ISNUMBER('幕间与结算'!E882),ISNUMBER('幕间与结算'!F882),ISNUMBER('幕间与结算'!G882),'幕间与结算'!E882&gt;=0,'幕间与结算'!G882='幕间与结算'!E882+'幕间与结算'!F882),OR(B975&lt;&gt;"成长",AND(LEFT(C975,3)="技能：",C975&lt;&gt;"技能：非自然知识",'幕间与结算'!E882&gt;=1,'幕间与结算'!E882&lt;=99,'幕间与结算'!F882&gt;=0,'幕间与结算'!F882&lt;=4,'幕间与结算'!G882&lt;=99))),1,0)</x:f>
        <x:v>0</x:v>
      </x:c>
      <x:c r="H975">
        <x:f>IF(AND(G975=1,COUNTIFS($I$200:I975,I975,$G$200:G975,1)=1),1,0)</x:f>
        <x:v>0</x:v>
      </x:c>
      <x:c r="I975" t="str">
        <x:f>IF(G975=1,IF(B975="成长",A975&amp;"-成长-"&amp;C975,'幕间与结算'!I882),"")</x:f>
        <x:v/>
      </x:c>
      <x:c r="BF975">
        <x:f>MAX(0,MIN(18,BF974+IF(C975="力量",E975,0)))</x:f>
        <x:v>0</x:v>
      </x:c>
      <x:c r="BG975">
        <x:f>MAX(0,MIN(18,BG974+IF(C975="体质",E975,0)))</x:f>
        <x:v>0</x:v>
      </x:c>
      <x:c r="BH975">
        <x:f>MAX(0,MIN(18,BH974+IF(C975="敏捷",E975,0)))</x:f>
        <x:v>0</x:v>
      </x:c>
      <x:c r="BI975">
        <x:f>MAX(0,MIN(18,BI974+IF(C975="智力",E975,0)))</x:f>
        <x:v>0</x:v>
      </x:c>
      <x:c r="BJ975">
        <x:f>MAX(0,MIN(18,BJ974+IF(C975="意志",E975,0)))</x:f>
        <x:v>0</x:v>
      </x:c>
      <x:c r="BK975">
        <x:f>MAX(0,MIN(18,BK974+IF(C975="魅力",E975,0)))</x:f>
        <x:v>0</x:v>
      </x:c>
      <x:c r="BL975">
        <x:f>MAX(0,MIN(99,BL974+IF(C975="技能：非自然知识",E975,0)))</x:f>
        <x:v>0</x:v>
      </x:c>
      <x:c r="BM975">
        <x:f>MAX(0,MIN(CEILING((BF975+BG975)/2,1),BM974+IF(C975="体力",E975,0)))</x:f>
        <x:v>0</x:v>
      </x:c>
      <x:c r="BN975">
        <x:f>MAX(0,MIN(BJ975,BN974+IF(C975="毅力",E975,0)))</x:f>
        <x:v>0</x:v>
      </x:c>
      <x:c r="BO975">
        <x:f>MAX(0,MIN(99-BL975,BO974+IF(C975="理智",E975,0)))</x:f>
        <x:v>0</x:v>
      </x:c>
      <x:c r="BP975">
        <x:f>MAX(0,MIN(99,BP974+IF(C975="崩溃点",E975,0)))</x:f>
        <x:v>0</x:v>
      </x:c>
      <x:c r="BQ975">
        <x:f>MAX(0,MIN(BK975,IF(AND(H975=1,C975="重要关系1",LEFT('幕间与结算'!H882,8)="建立新的重要关系"),'幕间与结算'!E882+E975,BQ974+IF(C975="重要关系1",E975,0)+IF(AND(C975="魅力",E975&lt;0),E975,0))))</x:f>
        <x:v>0</x:v>
      </x:c>
      <x:c r="BR975">
        <x:f>MAX(0,MIN(BK975,IF(AND(H975=1,C975="重要关系2",LEFT('幕间与结算'!H882,8)="建立新的重要关系"),'幕间与结算'!E882+E975,BR974+IF(C975="重要关系2",E975,0)+IF(AND(C975="魅力",E975&lt;0),E975,0))))</x:f>
        <x:v>0</x:v>
      </x:c>
      <x:c r="BS975">
        <x:f>MAX(0,MIN(BK975,IF(AND(H975=1,C975="重要关系3",LEFT('幕间与结算'!H882,8)="建立新的重要关系"),'幕间与结算'!E882+E975,BS974+IF(C975="重要关系3",E975,0)+IF(AND(C975="魅力",E975&lt;0),E975,0))))</x:f>
        <x:v>0</x:v>
      </x:c>
      <x:c r="BT975">
        <x:f>MAX(0,MIN(BK975,IF(AND(H975=1,C975="重要关系4",LEFT('幕间与结算'!H882,8)="建立新的重要关系"),'幕间与结算'!E882+E975,BT974+IF(C975="重要关系4",E975,0)+IF(AND(C975="魅力",E975&lt;0),E975,0))))</x:f>
        <x:v>0</x:v>
      </x:c>
      <x:c r="BU975">
        <x:f>MAX(0,MIN(BK975,IF(AND(H975=1,C975="重要关系5",LEFT('幕间与结算'!H882,8)="建立新的重要关系"),'幕间与结算'!E882+E975,BU974+IF(C975="重要关系5",E975,0)+IF(AND(C975="魅力",E975&lt;0),E975,0))))</x:f>
        <x:v>0</x:v>
      </x:c>
      <x:c r="BV975">
        <x:f>MAX(0,MIN(BK975,IF(AND(H975=1,C975="重要关系6",LEFT('幕间与结算'!H882,8)="建立新的重要关系"),'幕间与结算'!E882+E975,BV974+IF(C975="重要关系6",E975,0)+IF(AND(C975="魅力",E975&lt;0),E975,0))))</x:f>
        <x:v>0</x:v>
      </x:c>
      <x:c r="BW975">
        <x:f>MAX(0,MIN(BK975,IF(AND(H975=1,C975="重要关系7",LEFT('幕间与结算'!H882,8)="建立新的重要关系"),'幕间与结算'!E882+E975,BW974+IF(C975="重要关系7",E975,0)+IF(AND(C975="魅力",E975&lt;0),E975,0))))</x:f>
        <x:v>0</x:v>
      </x:c>
    </x:row>
    <x:row r="976">
      <x:c r="A976" t="str">
        <x:f>IFERROR(TEXT(VALUE('幕间与结算'!A883),"00"),"")</x:f>
        <x:v>00</x:v>
      </x:c>
      <x:c r="B976">
        <x:f>'幕间与结算'!B883</x:f>
        <x:v>0</x:v>
      </x:c>
      <x:c r="C976">
        <x:f>'幕间与结算'!D883</x:f>
        <x:v>0</x:v>
      </x:c>
      <x:c r="D976">
        <x:f>'幕间与结算'!F883</x:f>
        <x:v>0</x:v>
      </x:c>
      <x:c r="E976">
        <x:f>IF(H976=1,MAX(-'幕间与结算'!E883,MIN(D976,IF(LEFT(C976,3)="技能：",99,IF(COUNTIF($L$2:$L$7,C976)&gt;0,18,999))-'幕间与结算'!E883)),0)</x:f>
        <x:v>0</x:v>
      </x:c>
      <x:c r="F976" t="str">
        <x:f>IF(C976=0,"",IF(G976=0,"记录不完整",IF(H976=0,"重复未计","已计入")))</x:f>
        <x:v/>
      </x:c>
      <x:c r="G976">
        <x:f>IF(AND(AND('幕间与结算'!A883&lt;&gt;"",'幕间与结算'!B883&lt;&gt;"",'幕间与结算'!I883&lt;&gt;"",OR(LEFT(C976,3)="技能：",COUNTIF($L$2:$L$19,C976)&gt;0),ISNUMBER('幕间与结算'!E883),ISNUMBER('幕间与结算'!F883),ISNUMBER('幕间与结算'!G883),'幕间与结算'!E883&gt;=0,'幕间与结算'!G883='幕间与结算'!E883+'幕间与结算'!F883),OR(B976&lt;&gt;"成长",AND(LEFT(C976,3)="技能：",C976&lt;&gt;"技能：非自然知识",'幕间与结算'!E883&gt;=1,'幕间与结算'!E883&lt;=99,'幕间与结算'!F883&gt;=0,'幕间与结算'!F883&lt;=4,'幕间与结算'!G883&lt;=99))),1,0)</x:f>
        <x:v>0</x:v>
      </x:c>
      <x:c r="H976">
        <x:f>IF(AND(G976=1,COUNTIFS($I$200:I976,I976,$G$200:G976,1)=1),1,0)</x:f>
        <x:v>0</x:v>
      </x:c>
      <x:c r="I976" t="str">
        <x:f>IF(G976=1,IF(B976="成长",A976&amp;"-成长-"&amp;C976,'幕间与结算'!I883),"")</x:f>
        <x:v/>
      </x:c>
      <x:c r="BF976">
        <x:f>MAX(0,MIN(18,BF975+IF(C976="力量",E976,0)))</x:f>
        <x:v>0</x:v>
      </x:c>
      <x:c r="BG976">
        <x:f>MAX(0,MIN(18,BG975+IF(C976="体质",E976,0)))</x:f>
        <x:v>0</x:v>
      </x:c>
      <x:c r="BH976">
        <x:f>MAX(0,MIN(18,BH975+IF(C976="敏捷",E976,0)))</x:f>
        <x:v>0</x:v>
      </x:c>
      <x:c r="BI976">
        <x:f>MAX(0,MIN(18,BI975+IF(C976="智力",E976,0)))</x:f>
        <x:v>0</x:v>
      </x:c>
      <x:c r="BJ976">
        <x:f>MAX(0,MIN(18,BJ975+IF(C976="意志",E976,0)))</x:f>
        <x:v>0</x:v>
      </x:c>
      <x:c r="BK976">
        <x:f>MAX(0,MIN(18,BK975+IF(C976="魅力",E976,0)))</x:f>
        <x:v>0</x:v>
      </x:c>
      <x:c r="BL976">
        <x:f>MAX(0,MIN(99,BL975+IF(C976="技能：非自然知识",E976,0)))</x:f>
        <x:v>0</x:v>
      </x:c>
      <x:c r="BM976">
        <x:f>MAX(0,MIN(CEILING((BF976+BG976)/2,1),BM975+IF(C976="体力",E976,0)))</x:f>
        <x:v>0</x:v>
      </x:c>
      <x:c r="BN976">
        <x:f>MAX(0,MIN(BJ976,BN975+IF(C976="毅力",E976,0)))</x:f>
        <x:v>0</x:v>
      </x:c>
      <x:c r="BO976">
        <x:f>MAX(0,MIN(99-BL976,BO975+IF(C976="理智",E976,0)))</x:f>
        <x:v>0</x:v>
      </x:c>
      <x:c r="BP976">
        <x:f>MAX(0,MIN(99,BP975+IF(C976="崩溃点",E976,0)))</x:f>
        <x:v>0</x:v>
      </x:c>
      <x:c r="BQ976">
        <x:f>MAX(0,MIN(BK976,IF(AND(H976=1,C976="重要关系1",LEFT('幕间与结算'!H883,8)="建立新的重要关系"),'幕间与结算'!E883+E976,BQ975+IF(C976="重要关系1",E976,0)+IF(AND(C976="魅力",E976&lt;0),E976,0))))</x:f>
        <x:v>0</x:v>
      </x:c>
      <x:c r="BR976">
        <x:f>MAX(0,MIN(BK976,IF(AND(H976=1,C976="重要关系2",LEFT('幕间与结算'!H883,8)="建立新的重要关系"),'幕间与结算'!E883+E976,BR975+IF(C976="重要关系2",E976,0)+IF(AND(C976="魅力",E976&lt;0),E976,0))))</x:f>
        <x:v>0</x:v>
      </x:c>
      <x:c r="BS976">
        <x:f>MAX(0,MIN(BK976,IF(AND(H976=1,C976="重要关系3",LEFT('幕间与结算'!H883,8)="建立新的重要关系"),'幕间与结算'!E883+E976,BS975+IF(C976="重要关系3",E976,0)+IF(AND(C976="魅力",E976&lt;0),E976,0))))</x:f>
        <x:v>0</x:v>
      </x:c>
      <x:c r="BT976">
        <x:f>MAX(0,MIN(BK976,IF(AND(H976=1,C976="重要关系4",LEFT('幕间与结算'!H883,8)="建立新的重要关系"),'幕间与结算'!E883+E976,BT975+IF(C976="重要关系4",E976,0)+IF(AND(C976="魅力",E976&lt;0),E976,0))))</x:f>
        <x:v>0</x:v>
      </x:c>
      <x:c r="BU976">
        <x:f>MAX(0,MIN(BK976,IF(AND(H976=1,C976="重要关系5",LEFT('幕间与结算'!H883,8)="建立新的重要关系"),'幕间与结算'!E883+E976,BU975+IF(C976="重要关系5",E976,0)+IF(AND(C976="魅力",E976&lt;0),E976,0))))</x:f>
        <x:v>0</x:v>
      </x:c>
      <x:c r="BV976">
        <x:f>MAX(0,MIN(BK976,IF(AND(H976=1,C976="重要关系6",LEFT('幕间与结算'!H883,8)="建立新的重要关系"),'幕间与结算'!E883+E976,BV975+IF(C976="重要关系6",E976,0)+IF(AND(C976="魅力",E976&lt;0),E976,0))))</x:f>
        <x:v>0</x:v>
      </x:c>
      <x:c r="BW976">
        <x:f>MAX(0,MIN(BK976,IF(AND(H976=1,C976="重要关系7",LEFT('幕间与结算'!H883,8)="建立新的重要关系"),'幕间与结算'!E883+E976,BW975+IF(C976="重要关系7",E976,0)+IF(AND(C976="魅力",E976&lt;0),E976,0))))</x:f>
        <x:v>0</x:v>
      </x:c>
    </x:row>
    <x:row r="977">
      <x:c r="A977" t="str">
        <x:f>IFERROR(TEXT(VALUE('幕间与结算'!A884),"00"),"")</x:f>
        <x:v>00</x:v>
      </x:c>
      <x:c r="B977">
        <x:f>'幕间与结算'!B884</x:f>
        <x:v>0</x:v>
      </x:c>
      <x:c r="C977">
        <x:f>'幕间与结算'!D884</x:f>
        <x:v>0</x:v>
      </x:c>
      <x:c r="D977">
        <x:f>'幕间与结算'!F884</x:f>
        <x:v>0</x:v>
      </x:c>
      <x:c r="E977">
        <x:f>IF(H977=1,MAX(-'幕间与结算'!E884,MIN(D977,IF(LEFT(C977,3)="技能：",99,IF(COUNTIF($L$2:$L$7,C977)&gt;0,18,999))-'幕间与结算'!E884)),0)</x:f>
        <x:v>0</x:v>
      </x:c>
      <x:c r="F977" t="str">
        <x:f>IF(C977=0,"",IF(G977=0,"记录不完整",IF(H977=0,"重复未计","已计入")))</x:f>
        <x:v/>
      </x:c>
      <x:c r="G977">
        <x:f>IF(AND(AND('幕间与结算'!A884&lt;&gt;"",'幕间与结算'!B884&lt;&gt;"",'幕间与结算'!I884&lt;&gt;"",OR(LEFT(C977,3)="技能：",COUNTIF($L$2:$L$19,C977)&gt;0),ISNUMBER('幕间与结算'!E884),ISNUMBER('幕间与结算'!F884),ISNUMBER('幕间与结算'!G884),'幕间与结算'!E884&gt;=0,'幕间与结算'!G884='幕间与结算'!E884+'幕间与结算'!F884),OR(B977&lt;&gt;"成长",AND(LEFT(C977,3)="技能：",C977&lt;&gt;"技能：非自然知识",'幕间与结算'!E884&gt;=1,'幕间与结算'!E884&lt;=99,'幕间与结算'!F884&gt;=0,'幕间与结算'!F884&lt;=4,'幕间与结算'!G884&lt;=99))),1,0)</x:f>
        <x:v>0</x:v>
      </x:c>
      <x:c r="H977">
        <x:f>IF(AND(G977=1,COUNTIFS($I$200:I977,I977,$G$200:G977,1)=1),1,0)</x:f>
        <x:v>0</x:v>
      </x:c>
      <x:c r="I977" t="str">
        <x:f>IF(G977=1,IF(B977="成长",A977&amp;"-成长-"&amp;C977,'幕间与结算'!I884),"")</x:f>
        <x:v/>
      </x:c>
      <x:c r="BF977">
        <x:f>MAX(0,MIN(18,BF976+IF(C977="力量",E977,0)))</x:f>
        <x:v>0</x:v>
      </x:c>
      <x:c r="BG977">
        <x:f>MAX(0,MIN(18,BG976+IF(C977="体质",E977,0)))</x:f>
        <x:v>0</x:v>
      </x:c>
      <x:c r="BH977">
        <x:f>MAX(0,MIN(18,BH976+IF(C977="敏捷",E977,0)))</x:f>
        <x:v>0</x:v>
      </x:c>
      <x:c r="BI977">
        <x:f>MAX(0,MIN(18,BI976+IF(C977="智力",E977,0)))</x:f>
        <x:v>0</x:v>
      </x:c>
      <x:c r="BJ977">
        <x:f>MAX(0,MIN(18,BJ976+IF(C977="意志",E977,0)))</x:f>
        <x:v>0</x:v>
      </x:c>
      <x:c r="BK977">
        <x:f>MAX(0,MIN(18,BK976+IF(C977="魅力",E977,0)))</x:f>
        <x:v>0</x:v>
      </x:c>
      <x:c r="BL977">
        <x:f>MAX(0,MIN(99,BL976+IF(C977="技能：非自然知识",E977,0)))</x:f>
        <x:v>0</x:v>
      </x:c>
      <x:c r="BM977">
        <x:f>MAX(0,MIN(CEILING((BF977+BG977)/2,1),BM976+IF(C977="体力",E977,0)))</x:f>
        <x:v>0</x:v>
      </x:c>
      <x:c r="BN977">
        <x:f>MAX(0,MIN(BJ977,BN976+IF(C977="毅力",E977,0)))</x:f>
        <x:v>0</x:v>
      </x:c>
      <x:c r="BO977">
        <x:f>MAX(0,MIN(99-BL977,BO976+IF(C977="理智",E977,0)))</x:f>
        <x:v>0</x:v>
      </x:c>
      <x:c r="BP977">
        <x:f>MAX(0,MIN(99,BP976+IF(C977="崩溃点",E977,0)))</x:f>
        <x:v>0</x:v>
      </x:c>
      <x:c r="BQ977">
        <x:f>MAX(0,MIN(BK977,IF(AND(H977=1,C977="重要关系1",LEFT('幕间与结算'!H884,8)="建立新的重要关系"),'幕间与结算'!E884+E977,BQ976+IF(C977="重要关系1",E977,0)+IF(AND(C977="魅力",E977&lt;0),E977,0))))</x:f>
        <x:v>0</x:v>
      </x:c>
      <x:c r="BR977">
        <x:f>MAX(0,MIN(BK977,IF(AND(H977=1,C977="重要关系2",LEFT('幕间与结算'!H884,8)="建立新的重要关系"),'幕间与结算'!E884+E977,BR976+IF(C977="重要关系2",E977,0)+IF(AND(C977="魅力",E977&lt;0),E977,0))))</x:f>
        <x:v>0</x:v>
      </x:c>
      <x:c r="BS977">
        <x:f>MAX(0,MIN(BK977,IF(AND(H977=1,C977="重要关系3",LEFT('幕间与结算'!H884,8)="建立新的重要关系"),'幕间与结算'!E884+E977,BS976+IF(C977="重要关系3",E977,0)+IF(AND(C977="魅力",E977&lt;0),E977,0))))</x:f>
        <x:v>0</x:v>
      </x:c>
      <x:c r="BT977">
        <x:f>MAX(0,MIN(BK977,IF(AND(H977=1,C977="重要关系4",LEFT('幕间与结算'!H884,8)="建立新的重要关系"),'幕间与结算'!E884+E977,BT976+IF(C977="重要关系4",E977,0)+IF(AND(C977="魅力",E977&lt;0),E977,0))))</x:f>
        <x:v>0</x:v>
      </x:c>
      <x:c r="BU977">
        <x:f>MAX(0,MIN(BK977,IF(AND(H977=1,C977="重要关系5",LEFT('幕间与结算'!H884,8)="建立新的重要关系"),'幕间与结算'!E884+E977,BU976+IF(C977="重要关系5",E977,0)+IF(AND(C977="魅力",E977&lt;0),E977,0))))</x:f>
        <x:v>0</x:v>
      </x:c>
      <x:c r="BV977">
        <x:f>MAX(0,MIN(BK977,IF(AND(H977=1,C977="重要关系6",LEFT('幕间与结算'!H884,8)="建立新的重要关系"),'幕间与结算'!E884+E977,BV976+IF(C977="重要关系6",E977,0)+IF(AND(C977="魅力",E977&lt;0),E977,0))))</x:f>
        <x:v>0</x:v>
      </x:c>
      <x:c r="BW977">
        <x:f>MAX(0,MIN(BK977,IF(AND(H977=1,C977="重要关系7",LEFT('幕间与结算'!H884,8)="建立新的重要关系"),'幕间与结算'!E884+E977,BW976+IF(C977="重要关系7",E977,0)+IF(AND(C977="魅力",E977&lt;0),E977,0))))</x:f>
        <x:v>0</x:v>
      </x:c>
    </x:row>
    <x:row r="978">
      <x:c r="A978" t="str">
        <x:f>IFERROR(TEXT(VALUE('幕间与结算'!A885),"00"),"")</x:f>
        <x:v>00</x:v>
      </x:c>
      <x:c r="B978">
        <x:f>'幕间与结算'!B885</x:f>
        <x:v>0</x:v>
      </x:c>
      <x:c r="C978">
        <x:f>'幕间与结算'!D885</x:f>
        <x:v>0</x:v>
      </x:c>
      <x:c r="D978">
        <x:f>'幕间与结算'!F885</x:f>
        <x:v>0</x:v>
      </x:c>
      <x:c r="E978">
        <x:f>IF(H978=1,MAX(-'幕间与结算'!E885,MIN(D978,IF(LEFT(C978,3)="技能：",99,IF(COUNTIF($L$2:$L$7,C978)&gt;0,18,999))-'幕间与结算'!E885)),0)</x:f>
        <x:v>0</x:v>
      </x:c>
      <x:c r="F978" t="str">
        <x:f>IF(C978=0,"",IF(G978=0,"记录不完整",IF(H978=0,"重复未计","已计入")))</x:f>
        <x:v/>
      </x:c>
      <x:c r="G978">
        <x:f>IF(AND(AND('幕间与结算'!A885&lt;&gt;"",'幕间与结算'!B885&lt;&gt;"",'幕间与结算'!I885&lt;&gt;"",OR(LEFT(C978,3)="技能：",COUNTIF($L$2:$L$19,C978)&gt;0),ISNUMBER('幕间与结算'!E885),ISNUMBER('幕间与结算'!F885),ISNUMBER('幕间与结算'!G885),'幕间与结算'!E885&gt;=0,'幕间与结算'!G885='幕间与结算'!E885+'幕间与结算'!F885),OR(B978&lt;&gt;"成长",AND(LEFT(C978,3)="技能：",C978&lt;&gt;"技能：非自然知识",'幕间与结算'!E885&gt;=1,'幕间与结算'!E885&lt;=99,'幕间与结算'!F885&gt;=0,'幕间与结算'!F885&lt;=4,'幕间与结算'!G885&lt;=99))),1,0)</x:f>
        <x:v>0</x:v>
      </x:c>
      <x:c r="H978">
        <x:f>IF(AND(G978=1,COUNTIFS($I$200:I978,I978,$G$200:G978,1)=1),1,0)</x:f>
        <x:v>0</x:v>
      </x:c>
      <x:c r="I978" t="str">
        <x:f>IF(G978=1,IF(B978="成长",A978&amp;"-成长-"&amp;C978,'幕间与结算'!I885),"")</x:f>
        <x:v/>
      </x:c>
      <x:c r="BF978">
        <x:f>MAX(0,MIN(18,BF977+IF(C978="力量",E978,0)))</x:f>
        <x:v>0</x:v>
      </x:c>
      <x:c r="BG978">
        <x:f>MAX(0,MIN(18,BG977+IF(C978="体质",E978,0)))</x:f>
        <x:v>0</x:v>
      </x:c>
      <x:c r="BH978">
        <x:f>MAX(0,MIN(18,BH977+IF(C978="敏捷",E978,0)))</x:f>
        <x:v>0</x:v>
      </x:c>
      <x:c r="BI978">
        <x:f>MAX(0,MIN(18,BI977+IF(C978="智力",E978,0)))</x:f>
        <x:v>0</x:v>
      </x:c>
      <x:c r="BJ978">
        <x:f>MAX(0,MIN(18,BJ977+IF(C978="意志",E978,0)))</x:f>
        <x:v>0</x:v>
      </x:c>
      <x:c r="BK978">
        <x:f>MAX(0,MIN(18,BK977+IF(C978="魅力",E978,0)))</x:f>
        <x:v>0</x:v>
      </x:c>
      <x:c r="BL978">
        <x:f>MAX(0,MIN(99,BL977+IF(C978="技能：非自然知识",E978,0)))</x:f>
        <x:v>0</x:v>
      </x:c>
      <x:c r="BM978">
        <x:f>MAX(0,MIN(CEILING((BF978+BG978)/2,1),BM977+IF(C978="体力",E978,0)))</x:f>
        <x:v>0</x:v>
      </x:c>
      <x:c r="BN978">
        <x:f>MAX(0,MIN(BJ978,BN977+IF(C978="毅力",E978,0)))</x:f>
        <x:v>0</x:v>
      </x:c>
      <x:c r="BO978">
        <x:f>MAX(0,MIN(99-BL978,BO977+IF(C978="理智",E978,0)))</x:f>
        <x:v>0</x:v>
      </x:c>
      <x:c r="BP978">
        <x:f>MAX(0,MIN(99,BP977+IF(C978="崩溃点",E978,0)))</x:f>
        <x:v>0</x:v>
      </x:c>
      <x:c r="BQ978">
        <x:f>MAX(0,MIN(BK978,IF(AND(H978=1,C978="重要关系1",LEFT('幕间与结算'!H885,8)="建立新的重要关系"),'幕间与结算'!E885+E978,BQ977+IF(C978="重要关系1",E978,0)+IF(AND(C978="魅力",E978&lt;0),E978,0))))</x:f>
        <x:v>0</x:v>
      </x:c>
      <x:c r="BR978">
        <x:f>MAX(0,MIN(BK978,IF(AND(H978=1,C978="重要关系2",LEFT('幕间与结算'!H885,8)="建立新的重要关系"),'幕间与结算'!E885+E978,BR977+IF(C978="重要关系2",E978,0)+IF(AND(C978="魅力",E978&lt;0),E978,0))))</x:f>
        <x:v>0</x:v>
      </x:c>
      <x:c r="BS978">
        <x:f>MAX(0,MIN(BK978,IF(AND(H978=1,C978="重要关系3",LEFT('幕间与结算'!H885,8)="建立新的重要关系"),'幕间与结算'!E885+E978,BS977+IF(C978="重要关系3",E978,0)+IF(AND(C978="魅力",E978&lt;0),E978,0))))</x:f>
        <x:v>0</x:v>
      </x:c>
      <x:c r="BT978">
        <x:f>MAX(0,MIN(BK978,IF(AND(H978=1,C978="重要关系4",LEFT('幕间与结算'!H885,8)="建立新的重要关系"),'幕间与结算'!E885+E978,BT977+IF(C978="重要关系4",E978,0)+IF(AND(C978="魅力",E978&lt;0),E978,0))))</x:f>
        <x:v>0</x:v>
      </x:c>
      <x:c r="BU978">
        <x:f>MAX(0,MIN(BK978,IF(AND(H978=1,C978="重要关系5",LEFT('幕间与结算'!H885,8)="建立新的重要关系"),'幕间与结算'!E885+E978,BU977+IF(C978="重要关系5",E978,0)+IF(AND(C978="魅力",E978&lt;0),E978,0))))</x:f>
        <x:v>0</x:v>
      </x:c>
      <x:c r="BV978">
        <x:f>MAX(0,MIN(BK978,IF(AND(H978=1,C978="重要关系6",LEFT('幕间与结算'!H885,8)="建立新的重要关系"),'幕间与结算'!E885+E978,BV977+IF(C978="重要关系6",E978,0)+IF(AND(C978="魅力",E978&lt;0),E978,0))))</x:f>
        <x:v>0</x:v>
      </x:c>
      <x:c r="BW978">
        <x:f>MAX(0,MIN(BK978,IF(AND(H978=1,C978="重要关系7",LEFT('幕间与结算'!H885,8)="建立新的重要关系"),'幕间与结算'!E885+E978,BW977+IF(C978="重要关系7",E978,0)+IF(AND(C978="魅力",E978&lt;0),E978,0))))</x:f>
        <x:v>0</x:v>
      </x:c>
    </x:row>
    <x:row r="979">
      <x:c r="A979" t="str">
        <x:f>IFERROR(TEXT(VALUE('幕间与结算'!A886),"00"),"")</x:f>
        <x:v>00</x:v>
      </x:c>
      <x:c r="B979">
        <x:f>'幕间与结算'!B886</x:f>
        <x:v>0</x:v>
      </x:c>
      <x:c r="C979">
        <x:f>'幕间与结算'!D886</x:f>
        <x:v>0</x:v>
      </x:c>
      <x:c r="D979">
        <x:f>'幕间与结算'!F886</x:f>
        <x:v>0</x:v>
      </x:c>
      <x:c r="E979">
        <x:f>IF(H979=1,MAX(-'幕间与结算'!E886,MIN(D979,IF(LEFT(C979,3)="技能：",99,IF(COUNTIF($L$2:$L$7,C979)&gt;0,18,999))-'幕间与结算'!E886)),0)</x:f>
        <x:v>0</x:v>
      </x:c>
      <x:c r="F979" t="str">
        <x:f>IF(C979=0,"",IF(G979=0,"记录不完整",IF(H979=0,"重复未计","已计入")))</x:f>
        <x:v/>
      </x:c>
      <x:c r="G979">
        <x:f>IF(AND(AND('幕间与结算'!A886&lt;&gt;"",'幕间与结算'!B886&lt;&gt;"",'幕间与结算'!I886&lt;&gt;"",OR(LEFT(C979,3)="技能：",COUNTIF($L$2:$L$19,C979)&gt;0),ISNUMBER('幕间与结算'!E886),ISNUMBER('幕间与结算'!F886),ISNUMBER('幕间与结算'!G886),'幕间与结算'!E886&gt;=0,'幕间与结算'!G886='幕间与结算'!E886+'幕间与结算'!F886),OR(B979&lt;&gt;"成长",AND(LEFT(C979,3)="技能：",C979&lt;&gt;"技能：非自然知识",'幕间与结算'!E886&gt;=1,'幕间与结算'!E886&lt;=99,'幕间与结算'!F886&gt;=0,'幕间与结算'!F886&lt;=4,'幕间与结算'!G886&lt;=99))),1,0)</x:f>
        <x:v>0</x:v>
      </x:c>
      <x:c r="H979">
        <x:f>IF(AND(G979=1,COUNTIFS($I$200:I979,I979,$G$200:G979,1)=1),1,0)</x:f>
        <x:v>0</x:v>
      </x:c>
      <x:c r="I979" t="str">
        <x:f>IF(G979=1,IF(B979="成长",A979&amp;"-成长-"&amp;C979,'幕间与结算'!I886),"")</x:f>
        <x:v/>
      </x:c>
      <x:c r="BF979">
        <x:f>MAX(0,MIN(18,BF978+IF(C979="力量",E979,0)))</x:f>
        <x:v>0</x:v>
      </x:c>
      <x:c r="BG979">
        <x:f>MAX(0,MIN(18,BG978+IF(C979="体质",E979,0)))</x:f>
        <x:v>0</x:v>
      </x:c>
      <x:c r="BH979">
        <x:f>MAX(0,MIN(18,BH978+IF(C979="敏捷",E979,0)))</x:f>
        <x:v>0</x:v>
      </x:c>
      <x:c r="BI979">
        <x:f>MAX(0,MIN(18,BI978+IF(C979="智力",E979,0)))</x:f>
        <x:v>0</x:v>
      </x:c>
      <x:c r="BJ979">
        <x:f>MAX(0,MIN(18,BJ978+IF(C979="意志",E979,0)))</x:f>
        <x:v>0</x:v>
      </x:c>
      <x:c r="BK979">
        <x:f>MAX(0,MIN(18,BK978+IF(C979="魅力",E979,0)))</x:f>
        <x:v>0</x:v>
      </x:c>
      <x:c r="BL979">
        <x:f>MAX(0,MIN(99,BL978+IF(C979="技能：非自然知识",E979,0)))</x:f>
        <x:v>0</x:v>
      </x:c>
      <x:c r="BM979">
        <x:f>MAX(0,MIN(CEILING((BF979+BG979)/2,1),BM978+IF(C979="体力",E979,0)))</x:f>
        <x:v>0</x:v>
      </x:c>
      <x:c r="BN979">
        <x:f>MAX(0,MIN(BJ979,BN978+IF(C979="毅力",E979,0)))</x:f>
        <x:v>0</x:v>
      </x:c>
      <x:c r="BO979">
        <x:f>MAX(0,MIN(99-BL979,BO978+IF(C979="理智",E979,0)))</x:f>
        <x:v>0</x:v>
      </x:c>
      <x:c r="BP979">
        <x:f>MAX(0,MIN(99,BP978+IF(C979="崩溃点",E979,0)))</x:f>
        <x:v>0</x:v>
      </x:c>
      <x:c r="BQ979">
        <x:f>MAX(0,MIN(BK979,IF(AND(H979=1,C979="重要关系1",LEFT('幕间与结算'!H886,8)="建立新的重要关系"),'幕间与结算'!E886+E979,BQ978+IF(C979="重要关系1",E979,0)+IF(AND(C979="魅力",E979&lt;0),E979,0))))</x:f>
        <x:v>0</x:v>
      </x:c>
      <x:c r="BR979">
        <x:f>MAX(0,MIN(BK979,IF(AND(H979=1,C979="重要关系2",LEFT('幕间与结算'!H886,8)="建立新的重要关系"),'幕间与结算'!E886+E979,BR978+IF(C979="重要关系2",E979,0)+IF(AND(C979="魅力",E979&lt;0),E979,0))))</x:f>
        <x:v>0</x:v>
      </x:c>
      <x:c r="BS979">
        <x:f>MAX(0,MIN(BK979,IF(AND(H979=1,C979="重要关系3",LEFT('幕间与结算'!H886,8)="建立新的重要关系"),'幕间与结算'!E886+E979,BS978+IF(C979="重要关系3",E979,0)+IF(AND(C979="魅力",E979&lt;0),E979,0))))</x:f>
        <x:v>0</x:v>
      </x:c>
      <x:c r="BT979">
        <x:f>MAX(0,MIN(BK979,IF(AND(H979=1,C979="重要关系4",LEFT('幕间与结算'!H886,8)="建立新的重要关系"),'幕间与结算'!E886+E979,BT978+IF(C979="重要关系4",E979,0)+IF(AND(C979="魅力",E979&lt;0),E979,0))))</x:f>
        <x:v>0</x:v>
      </x:c>
      <x:c r="BU979">
        <x:f>MAX(0,MIN(BK979,IF(AND(H979=1,C979="重要关系5",LEFT('幕间与结算'!H886,8)="建立新的重要关系"),'幕间与结算'!E886+E979,BU978+IF(C979="重要关系5",E979,0)+IF(AND(C979="魅力",E979&lt;0),E979,0))))</x:f>
        <x:v>0</x:v>
      </x:c>
      <x:c r="BV979">
        <x:f>MAX(0,MIN(BK979,IF(AND(H979=1,C979="重要关系6",LEFT('幕间与结算'!H886,8)="建立新的重要关系"),'幕间与结算'!E886+E979,BV978+IF(C979="重要关系6",E979,0)+IF(AND(C979="魅力",E979&lt;0),E979,0))))</x:f>
        <x:v>0</x:v>
      </x:c>
      <x:c r="BW979">
        <x:f>MAX(0,MIN(BK979,IF(AND(H979=1,C979="重要关系7",LEFT('幕间与结算'!H886,8)="建立新的重要关系"),'幕间与结算'!E886+E979,BW978+IF(C979="重要关系7",E979,0)+IF(AND(C979="魅力",E979&lt;0),E979,0))))</x:f>
        <x:v>0</x:v>
      </x:c>
    </x:row>
    <x:row r="980">
      <x:c r="A980" t="str">
        <x:f>IFERROR(TEXT(VALUE('幕间与结算'!A887),"00"),"")</x:f>
        <x:v>00</x:v>
      </x:c>
      <x:c r="B980">
        <x:f>'幕间与结算'!B887</x:f>
        <x:v>0</x:v>
      </x:c>
      <x:c r="C980">
        <x:f>'幕间与结算'!D887</x:f>
        <x:v>0</x:v>
      </x:c>
      <x:c r="D980">
        <x:f>'幕间与结算'!F887</x:f>
        <x:v>0</x:v>
      </x:c>
      <x:c r="E980">
        <x:f>IF(H980=1,MAX(-'幕间与结算'!E887,MIN(D980,IF(LEFT(C980,3)="技能：",99,IF(COUNTIF($L$2:$L$7,C980)&gt;0,18,999))-'幕间与结算'!E887)),0)</x:f>
        <x:v>0</x:v>
      </x:c>
      <x:c r="F980" t="str">
        <x:f>IF(C980=0,"",IF(G980=0,"记录不完整",IF(H980=0,"重复未计","已计入")))</x:f>
        <x:v/>
      </x:c>
      <x:c r="G980">
        <x:f>IF(AND(AND('幕间与结算'!A887&lt;&gt;"",'幕间与结算'!B887&lt;&gt;"",'幕间与结算'!I887&lt;&gt;"",OR(LEFT(C980,3)="技能：",COUNTIF($L$2:$L$19,C980)&gt;0),ISNUMBER('幕间与结算'!E887),ISNUMBER('幕间与结算'!F887),ISNUMBER('幕间与结算'!G887),'幕间与结算'!E887&gt;=0,'幕间与结算'!G887='幕间与结算'!E887+'幕间与结算'!F887),OR(B980&lt;&gt;"成长",AND(LEFT(C980,3)="技能：",C980&lt;&gt;"技能：非自然知识",'幕间与结算'!E887&gt;=1,'幕间与结算'!E887&lt;=99,'幕间与结算'!F887&gt;=0,'幕间与结算'!F887&lt;=4,'幕间与结算'!G887&lt;=99))),1,0)</x:f>
        <x:v>0</x:v>
      </x:c>
      <x:c r="H980">
        <x:f>IF(AND(G980=1,COUNTIFS($I$200:I980,I980,$G$200:G980,1)=1),1,0)</x:f>
        <x:v>0</x:v>
      </x:c>
      <x:c r="I980" t="str">
        <x:f>IF(G980=1,IF(B980="成长",A980&amp;"-成长-"&amp;C980,'幕间与结算'!I887),"")</x:f>
        <x:v/>
      </x:c>
      <x:c r="BF980">
        <x:f>MAX(0,MIN(18,BF979+IF(C980="力量",E980,0)))</x:f>
        <x:v>0</x:v>
      </x:c>
      <x:c r="BG980">
        <x:f>MAX(0,MIN(18,BG979+IF(C980="体质",E980,0)))</x:f>
        <x:v>0</x:v>
      </x:c>
      <x:c r="BH980">
        <x:f>MAX(0,MIN(18,BH979+IF(C980="敏捷",E980,0)))</x:f>
        <x:v>0</x:v>
      </x:c>
      <x:c r="BI980">
        <x:f>MAX(0,MIN(18,BI979+IF(C980="智力",E980,0)))</x:f>
        <x:v>0</x:v>
      </x:c>
      <x:c r="BJ980">
        <x:f>MAX(0,MIN(18,BJ979+IF(C980="意志",E980,0)))</x:f>
        <x:v>0</x:v>
      </x:c>
      <x:c r="BK980">
        <x:f>MAX(0,MIN(18,BK979+IF(C980="魅力",E980,0)))</x:f>
        <x:v>0</x:v>
      </x:c>
      <x:c r="BL980">
        <x:f>MAX(0,MIN(99,BL979+IF(C980="技能：非自然知识",E980,0)))</x:f>
        <x:v>0</x:v>
      </x:c>
      <x:c r="BM980">
        <x:f>MAX(0,MIN(CEILING((BF980+BG980)/2,1),BM979+IF(C980="体力",E980,0)))</x:f>
        <x:v>0</x:v>
      </x:c>
      <x:c r="BN980">
        <x:f>MAX(0,MIN(BJ980,BN979+IF(C980="毅力",E980,0)))</x:f>
        <x:v>0</x:v>
      </x:c>
      <x:c r="BO980">
        <x:f>MAX(0,MIN(99-BL980,BO979+IF(C980="理智",E980,0)))</x:f>
        <x:v>0</x:v>
      </x:c>
      <x:c r="BP980">
        <x:f>MAX(0,MIN(99,BP979+IF(C980="崩溃点",E980,0)))</x:f>
        <x:v>0</x:v>
      </x:c>
      <x:c r="BQ980">
        <x:f>MAX(0,MIN(BK980,IF(AND(H980=1,C980="重要关系1",LEFT('幕间与结算'!H887,8)="建立新的重要关系"),'幕间与结算'!E887+E980,BQ979+IF(C980="重要关系1",E980,0)+IF(AND(C980="魅力",E980&lt;0),E980,0))))</x:f>
        <x:v>0</x:v>
      </x:c>
      <x:c r="BR980">
        <x:f>MAX(0,MIN(BK980,IF(AND(H980=1,C980="重要关系2",LEFT('幕间与结算'!H887,8)="建立新的重要关系"),'幕间与结算'!E887+E980,BR979+IF(C980="重要关系2",E980,0)+IF(AND(C980="魅力",E980&lt;0),E980,0))))</x:f>
        <x:v>0</x:v>
      </x:c>
      <x:c r="BS980">
        <x:f>MAX(0,MIN(BK980,IF(AND(H980=1,C980="重要关系3",LEFT('幕间与结算'!H887,8)="建立新的重要关系"),'幕间与结算'!E887+E980,BS979+IF(C980="重要关系3",E980,0)+IF(AND(C980="魅力",E980&lt;0),E980,0))))</x:f>
        <x:v>0</x:v>
      </x:c>
      <x:c r="BT980">
        <x:f>MAX(0,MIN(BK980,IF(AND(H980=1,C980="重要关系4",LEFT('幕间与结算'!H887,8)="建立新的重要关系"),'幕间与结算'!E887+E980,BT979+IF(C980="重要关系4",E980,0)+IF(AND(C980="魅力",E980&lt;0),E980,0))))</x:f>
        <x:v>0</x:v>
      </x:c>
      <x:c r="BU980">
        <x:f>MAX(0,MIN(BK980,IF(AND(H980=1,C980="重要关系5",LEFT('幕间与结算'!H887,8)="建立新的重要关系"),'幕间与结算'!E887+E980,BU979+IF(C980="重要关系5",E980,0)+IF(AND(C980="魅力",E980&lt;0),E980,0))))</x:f>
        <x:v>0</x:v>
      </x:c>
      <x:c r="BV980">
        <x:f>MAX(0,MIN(BK980,IF(AND(H980=1,C980="重要关系6",LEFT('幕间与结算'!H887,8)="建立新的重要关系"),'幕间与结算'!E887+E980,BV979+IF(C980="重要关系6",E980,0)+IF(AND(C980="魅力",E980&lt;0),E980,0))))</x:f>
        <x:v>0</x:v>
      </x:c>
      <x:c r="BW980">
        <x:f>MAX(0,MIN(BK980,IF(AND(H980=1,C980="重要关系7",LEFT('幕间与结算'!H887,8)="建立新的重要关系"),'幕间与结算'!E887+E980,BW979+IF(C980="重要关系7",E980,0)+IF(AND(C980="魅力",E980&lt;0),E980,0))))</x:f>
        <x:v>0</x:v>
      </x:c>
    </x:row>
    <x:row r="981">
      <x:c r="A981" t="str">
        <x:f>IFERROR(TEXT(VALUE('幕间与结算'!A888),"00"),"")</x:f>
        <x:v>00</x:v>
      </x:c>
      <x:c r="B981">
        <x:f>'幕间与结算'!B888</x:f>
        <x:v>0</x:v>
      </x:c>
      <x:c r="C981">
        <x:f>'幕间与结算'!D888</x:f>
        <x:v>0</x:v>
      </x:c>
      <x:c r="D981">
        <x:f>'幕间与结算'!F888</x:f>
        <x:v>0</x:v>
      </x:c>
      <x:c r="E981">
        <x:f>IF(H981=1,MAX(-'幕间与结算'!E888,MIN(D981,IF(LEFT(C981,3)="技能：",99,IF(COUNTIF($L$2:$L$7,C981)&gt;0,18,999))-'幕间与结算'!E888)),0)</x:f>
        <x:v>0</x:v>
      </x:c>
      <x:c r="F981" t="str">
        <x:f>IF(C981=0,"",IF(G981=0,"记录不完整",IF(H981=0,"重复未计","已计入")))</x:f>
        <x:v/>
      </x:c>
      <x:c r="G981">
        <x:f>IF(AND(AND('幕间与结算'!A888&lt;&gt;"",'幕间与结算'!B888&lt;&gt;"",'幕间与结算'!I888&lt;&gt;"",OR(LEFT(C981,3)="技能：",COUNTIF($L$2:$L$19,C981)&gt;0),ISNUMBER('幕间与结算'!E888),ISNUMBER('幕间与结算'!F888),ISNUMBER('幕间与结算'!G888),'幕间与结算'!E888&gt;=0,'幕间与结算'!G888='幕间与结算'!E888+'幕间与结算'!F888),OR(B981&lt;&gt;"成长",AND(LEFT(C981,3)="技能：",C981&lt;&gt;"技能：非自然知识",'幕间与结算'!E888&gt;=1,'幕间与结算'!E888&lt;=99,'幕间与结算'!F888&gt;=0,'幕间与结算'!F888&lt;=4,'幕间与结算'!G888&lt;=99))),1,0)</x:f>
        <x:v>0</x:v>
      </x:c>
      <x:c r="H981">
        <x:f>IF(AND(G981=1,COUNTIFS($I$200:I981,I981,$G$200:G981,1)=1),1,0)</x:f>
        <x:v>0</x:v>
      </x:c>
      <x:c r="I981" t="str">
        <x:f>IF(G981=1,IF(B981="成长",A981&amp;"-成长-"&amp;C981,'幕间与结算'!I888),"")</x:f>
        <x:v/>
      </x:c>
      <x:c r="BF981">
        <x:f>MAX(0,MIN(18,BF980+IF(C981="力量",E981,0)))</x:f>
        <x:v>0</x:v>
      </x:c>
      <x:c r="BG981">
        <x:f>MAX(0,MIN(18,BG980+IF(C981="体质",E981,0)))</x:f>
        <x:v>0</x:v>
      </x:c>
      <x:c r="BH981">
        <x:f>MAX(0,MIN(18,BH980+IF(C981="敏捷",E981,0)))</x:f>
        <x:v>0</x:v>
      </x:c>
      <x:c r="BI981">
        <x:f>MAX(0,MIN(18,BI980+IF(C981="智力",E981,0)))</x:f>
        <x:v>0</x:v>
      </x:c>
      <x:c r="BJ981">
        <x:f>MAX(0,MIN(18,BJ980+IF(C981="意志",E981,0)))</x:f>
        <x:v>0</x:v>
      </x:c>
      <x:c r="BK981">
        <x:f>MAX(0,MIN(18,BK980+IF(C981="魅力",E981,0)))</x:f>
        <x:v>0</x:v>
      </x:c>
      <x:c r="BL981">
        <x:f>MAX(0,MIN(99,BL980+IF(C981="技能：非自然知识",E981,0)))</x:f>
        <x:v>0</x:v>
      </x:c>
      <x:c r="BM981">
        <x:f>MAX(0,MIN(CEILING((BF981+BG981)/2,1),BM980+IF(C981="体力",E981,0)))</x:f>
        <x:v>0</x:v>
      </x:c>
      <x:c r="BN981">
        <x:f>MAX(0,MIN(BJ981,BN980+IF(C981="毅力",E981,0)))</x:f>
        <x:v>0</x:v>
      </x:c>
      <x:c r="BO981">
        <x:f>MAX(0,MIN(99-BL981,BO980+IF(C981="理智",E981,0)))</x:f>
        <x:v>0</x:v>
      </x:c>
      <x:c r="BP981">
        <x:f>MAX(0,MIN(99,BP980+IF(C981="崩溃点",E981,0)))</x:f>
        <x:v>0</x:v>
      </x:c>
      <x:c r="BQ981">
        <x:f>MAX(0,MIN(BK981,IF(AND(H981=1,C981="重要关系1",LEFT('幕间与结算'!H888,8)="建立新的重要关系"),'幕间与结算'!E888+E981,BQ980+IF(C981="重要关系1",E981,0)+IF(AND(C981="魅力",E981&lt;0),E981,0))))</x:f>
        <x:v>0</x:v>
      </x:c>
      <x:c r="BR981">
        <x:f>MAX(0,MIN(BK981,IF(AND(H981=1,C981="重要关系2",LEFT('幕间与结算'!H888,8)="建立新的重要关系"),'幕间与结算'!E888+E981,BR980+IF(C981="重要关系2",E981,0)+IF(AND(C981="魅力",E981&lt;0),E981,0))))</x:f>
        <x:v>0</x:v>
      </x:c>
      <x:c r="BS981">
        <x:f>MAX(0,MIN(BK981,IF(AND(H981=1,C981="重要关系3",LEFT('幕间与结算'!H888,8)="建立新的重要关系"),'幕间与结算'!E888+E981,BS980+IF(C981="重要关系3",E981,0)+IF(AND(C981="魅力",E981&lt;0),E981,0))))</x:f>
        <x:v>0</x:v>
      </x:c>
      <x:c r="BT981">
        <x:f>MAX(0,MIN(BK981,IF(AND(H981=1,C981="重要关系4",LEFT('幕间与结算'!H888,8)="建立新的重要关系"),'幕间与结算'!E888+E981,BT980+IF(C981="重要关系4",E981,0)+IF(AND(C981="魅力",E981&lt;0),E981,0))))</x:f>
        <x:v>0</x:v>
      </x:c>
      <x:c r="BU981">
        <x:f>MAX(0,MIN(BK981,IF(AND(H981=1,C981="重要关系5",LEFT('幕间与结算'!H888,8)="建立新的重要关系"),'幕间与结算'!E888+E981,BU980+IF(C981="重要关系5",E981,0)+IF(AND(C981="魅力",E981&lt;0),E981,0))))</x:f>
        <x:v>0</x:v>
      </x:c>
      <x:c r="BV981">
        <x:f>MAX(0,MIN(BK981,IF(AND(H981=1,C981="重要关系6",LEFT('幕间与结算'!H888,8)="建立新的重要关系"),'幕间与结算'!E888+E981,BV980+IF(C981="重要关系6",E981,0)+IF(AND(C981="魅力",E981&lt;0),E981,0))))</x:f>
        <x:v>0</x:v>
      </x:c>
      <x:c r="BW981">
        <x:f>MAX(0,MIN(BK981,IF(AND(H981=1,C981="重要关系7",LEFT('幕间与结算'!H888,8)="建立新的重要关系"),'幕间与结算'!E888+E981,BW980+IF(C981="重要关系7",E981,0)+IF(AND(C981="魅力",E981&lt;0),E981,0))))</x:f>
        <x:v>0</x:v>
      </x:c>
    </x:row>
    <x:row r="982">
      <x:c r="A982" t="str">
        <x:f>IFERROR(TEXT(VALUE('幕间与结算'!A889),"00"),"")</x:f>
        <x:v>00</x:v>
      </x:c>
      <x:c r="B982">
        <x:f>'幕间与结算'!B889</x:f>
        <x:v>0</x:v>
      </x:c>
      <x:c r="C982">
        <x:f>'幕间与结算'!D889</x:f>
        <x:v>0</x:v>
      </x:c>
      <x:c r="D982">
        <x:f>'幕间与结算'!F889</x:f>
        <x:v>0</x:v>
      </x:c>
      <x:c r="E982">
        <x:f>IF(H982=1,MAX(-'幕间与结算'!E889,MIN(D982,IF(LEFT(C982,3)="技能：",99,IF(COUNTIF($L$2:$L$7,C982)&gt;0,18,999))-'幕间与结算'!E889)),0)</x:f>
        <x:v>0</x:v>
      </x:c>
      <x:c r="F982" t="str">
        <x:f>IF(C982=0,"",IF(G982=0,"记录不完整",IF(H982=0,"重复未计","已计入")))</x:f>
        <x:v/>
      </x:c>
      <x:c r="G982">
        <x:f>IF(AND(AND('幕间与结算'!A889&lt;&gt;"",'幕间与结算'!B889&lt;&gt;"",'幕间与结算'!I889&lt;&gt;"",OR(LEFT(C982,3)="技能：",COUNTIF($L$2:$L$19,C982)&gt;0),ISNUMBER('幕间与结算'!E889),ISNUMBER('幕间与结算'!F889),ISNUMBER('幕间与结算'!G889),'幕间与结算'!E889&gt;=0,'幕间与结算'!G889='幕间与结算'!E889+'幕间与结算'!F889),OR(B982&lt;&gt;"成长",AND(LEFT(C982,3)="技能：",C982&lt;&gt;"技能：非自然知识",'幕间与结算'!E889&gt;=1,'幕间与结算'!E889&lt;=99,'幕间与结算'!F889&gt;=0,'幕间与结算'!F889&lt;=4,'幕间与结算'!G889&lt;=99))),1,0)</x:f>
        <x:v>0</x:v>
      </x:c>
      <x:c r="H982">
        <x:f>IF(AND(G982=1,COUNTIFS($I$200:I982,I982,$G$200:G982,1)=1),1,0)</x:f>
        <x:v>0</x:v>
      </x:c>
      <x:c r="I982" t="str">
        <x:f>IF(G982=1,IF(B982="成长",A982&amp;"-成长-"&amp;C982,'幕间与结算'!I889),"")</x:f>
        <x:v/>
      </x:c>
      <x:c r="BF982">
        <x:f>MAX(0,MIN(18,BF981+IF(C982="力量",E982,0)))</x:f>
        <x:v>0</x:v>
      </x:c>
      <x:c r="BG982">
        <x:f>MAX(0,MIN(18,BG981+IF(C982="体质",E982,0)))</x:f>
        <x:v>0</x:v>
      </x:c>
      <x:c r="BH982">
        <x:f>MAX(0,MIN(18,BH981+IF(C982="敏捷",E982,0)))</x:f>
        <x:v>0</x:v>
      </x:c>
      <x:c r="BI982">
        <x:f>MAX(0,MIN(18,BI981+IF(C982="智力",E982,0)))</x:f>
        <x:v>0</x:v>
      </x:c>
      <x:c r="BJ982">
        <x:f>MAX(0,MIN(18,BJ981+IF(C982="意志",E982,0)))</x:f>
        <x:v>0</x:v>
      </x:c>
      <x:c r="BK982">
        <x:f>MAX(0,MIN(18,BK981+IF(C982="魅力",E982,0)))</x:f>
        <x:v>0</x:v>
      </x:c>
      <x:c r="BL982">
        <x:f>MAX(0,MIN(99,BL981+IF(C982="技能：非自然知识",E982,0)))</x:f>
        <x:v>0</x:v>
      </x:c>
      <x:c r="BM982">
        <x:f>MAX(0,MIN(CEILING((BF982+BG982)/2,1),BM981+IF(C982="体力",E982,0)))</x:f>
        <x:v>0</x:v>
      </x:c>
      <x:c r="BN982">
        <x:f>MAX(0,MIN(BJ982,BN981+IF(C982="毅力",E982,0)))</x:f>
        <x:v>0</x:v>
      </x:c>
      <x:c r="BO982">
        <x:f>MAX(0,MIN(99-BL982,BO981+IF(C982="理智",E982,0)))</x:f>
        <x:v>0</x:v>
      </x:c>
      <x:c r="BP982">
        <x:f>MAX(0,MIN(99,BP981+IF(C982="崩溃点",E982,0)))</x:f>
        <x:v>0</x:v>
      </x:c>
      <x:c r="BQ982">
        <x:f>MAX(0,MIN(BK982,IF(AND(H982=1,C982="重要关系1",LEFT('幕间与结算'!H889,8)="建立新的重要关系"),'幕间与结算'!E889+E982,BQ981+IF(C982="重要关系1",E982,0)+IF(AND(C982="魅力",E982&lt;0),E982,0))))</x:f>
        <x:v>0</x:v>
      </x:c>
      <x:c r="BR982">
        <x:f>MAX(0,MIN(BK982,IF(AND(H982=1,C982="重要关系2",LEFT('幕间与结算'!H889,8)="建立新的重要关系"),'幕间与结算'!E889+E982,BR981+IF(C982="重要关系2",E982,0)+IF(AND(C982="魅力",E982&lt;0),E982,0))))</x:f>
        <x:v>0</x:v>
      </x:c>
      <x:c r="BS982">
        <x:f>MAX(0,MIN(BK982,IF(AND(H982=1,C982="重要关系3",LEFT('幕间与结算'!H889,8)="建立新的重要关系"),'幕间与结算'!E889+E982,BS981+IF(C982="重要关系3",E982,0)+IF(AND(C982="魅力",E982&lt;0),E982,0))))</x:f>
        <x:v>0</x:v>
      </x:c>
      <x:c r="BT982">
        <x:f>MAX(0,MIN(BK982,IF(AND(H982=1,C982="重要关系4",LEFT('幕间与结算'!H889,8)="建立新的重要关系"),'幕间与结算'!E889+E982,BT981+IF(C982="重要关系4",E982,0)+IF(AND(C982="魅力",E982&lt;0),E982,0))))</x:f>
        <x:v>0</x:v>
      </x:c>
      <x:c r="BU982">
        <x:f>MAX(0,MIN(BK982,IF(AND(H982=1,C982="重要关系5",LEFT('幕间与结算'!H889,8)="建立新的重要关系"),'幕间与结算'!E889+E982,BU981+IF(C982="重要关系5",E982,0)+IF(AND(C982="魅力",E982&lt;0),E982,0))))</x:f>
        <x:v>0</x:v>
      </x:c>
      <x:c r="BV982">
        <x:f>MAX(0,MIN(BK982,IF(AND(H982=1,C982="重要关系6",LEFT('幕间与结算'!H889,8)="建立新的重要关系"),'幕间与结算'!E889+E982,BV981+IF(C982="重要关系6",E982,0)+IF(AND(C982="魅力",E982&lt;0),E982,0))))</x:f>
        <x:v>0</x:v>
      </x:c>
      <x:c r="BW982">
        <x:f>MAX(0,MIN(BK982,IF(AND(H982=1,C982="重要关系7",LEFT('幕间与结算'!H889,8)="建立新的重要关系"),'幕间与结算'!E889+E982,BW981+IF(C982="重要关系7",E982,0)+IF(AND(C982="魅力",E982&lt;0),E982,0))))</x:f>
        <x:v>0</x:v>
      </x:c>
    </x:row>
    <x:row r="983">
      <x:c r="A983" t="str">
        <x:f>IFERROR(TEXT(VALUE('幕间与结算'!A890),"00"),"")</x:f>
        <x:v>00</x:v>
      </x:c>
      <x:c r="B983">
        <x:f>'幕间与结算'!B890</x:f>
        <x:v>0</x:v>
      </x:c>
      <x:c r="C983">
        <x:f>'幕间与结算'!D890</x:f>
        <x:v>0</x:v>
      </x:c>
      <x:c r="D983">
        <x:f>'幕间与结算'!F890</x:f>
        <x:v>0</x:v>
      </x:c>
      <x:c r="E983">
        <x:f>IF(H983=1,MAX(-'幕间与结算'!E890,MIN(D983,IF(LEFT(C983,3)="技能：",99,IF(COUNTIF($L$2:$L$7,C983)&gt;0,18,999))-'幕间与结算'!E890)),0)</x:f>
        <x:v>0</x:v>
      </x:c>
      <x:c r="F983" t="str">
        <x:f>IF(C983=0,"",IF(G983=0,"记录不完整",IF(H983=0,"重复未计","已计入")))</x:f>
        <x:v/>
      </x:c>
      <x:c r="G983">
        <x:f>IF(AND(AND('幕间与结算'!A890&lt;&gt;"",'幕间与结算'!B890&lt;&gt;"",'幕间与结算'!I890&lt;&gt;"",OR(LEFT(C983,3)="技能：",COUNTIF($L$2:$L$19,C983)&gt;0),ISNUMBER('幕间与结算'!E890),ISNUMBER('幕间与结算'!F890),ISNUMBER('幕间与结算'!G890),'幕间与结算'!E890&gt;=0,'幕间与结算'!G890='幕间与结算'!E890+'幕间与结算'!F890),OR(B983&lt;&gt;"成长",AND(LEFT(C983,3)="技能：",C983&lt;&gt;"技能：非自然知识",'幕间与结算'!E890&gt;=1,'幕间与结算'!E890&lt;=99,'幕间与结算'!F890&gt;=0,'幕间与结算'!F890&lt;=4,'幕间与结算'!G890&lt;=99))),1,0)</x:f>
        <x:v>0</x:v>
      </x:c>
      <x:c r="H983">
        <x:f>IF(AND(G983=1,COUNTIFS($I$200:I983,I983,$G$200:G983,1)=1),1,0)</x:f>
        <x:v>0</x:v>
      </x:c>
      <x:c r="I983" t="str">
        <x:f>IF(G983=1,IF(B983="成长",A983&amp;"-成长-"&amp;C983,'幕间与结算'!I890),"")</x:f>
        <x:v/>
      </x:c>
      <x:c r="BF983">
        <x:f>MAX(0,MIN(18,BF982+IF(C983="力量",E983,0)))</x:f>
        <x:v>0</x:v>
      </x:c>
      <x:c r="BG983">
        <x:f>MAX(0,MIN(18,BG982+IF(C983="体质",E983,0)))</x:f>
        <x:v>0</x:v>
      </x:c>
      <x:c r="BH983">
        <x:f>MAX(0,MIN(18,BH982+IF(C983="敏捷",E983,0)))</x:f>
        <x:v>0</x:v>
      </x:c>
      <x:c r="BI983">
        <x:f>MAX(0,MIN(18,BI982+IF(C983="智力",E983,0)))</x:f>
        <x:v>0</x:v>
      </x:c>
      <x:c r="BJ983">
        <x:f>MAX(0,MIN(18,BJ982+IF(C983="意志",E983,0)))</x:f>
        <x:v>0</x:v>
      </x:c>
      <x:c r="BK983">
        <x:f>MAX(0,MIN(18,BK982+IF(C983="魅力",E983,0)))</x:f>
        <x:v>0</x:v>
      </x:c>
      <x:c r="BL983">
        <x:f>MAX(0,MIN(99,BL982+IF(C983="技能：非自然知识",E983,0)))</x:f>
        <x:v>0</x:v>
      </x:c>
      <x:c r="BM983">
        <x:f>MAX(0,MIN(CEILING((BF983+BG983)/2,1),BM982+IF(C983="体力",E983,0)))</x:f>
        <x:v>0</x:v>
      </x:c>
      <x:c r="BN983">
        <x:f>MAX(0,MIN(BJ983,BN982+IF(C983="毅力",E983,0)))</x:f>
        <x:v>0</x:v>
      </x:c>
      <x:c r="BO983">
        <x:f>MAX(0,MIN(99-BL983,BO982+IF(C983="理智",E983,0)))</x:f>
        <x:v>0</x:v>
      </x:c>
      <x:c r="BP983">
        <x:f>MAX(0,MIN(99,BP982+IF(C983="崩溃点",E983,0)))</x:f>
        <x:v>0</x:v>
      </x:c>
      <x:c r="BQ983">
        <x:f>MAX(0,MIN(BK983,IF(AND(H983=1,C983="重要关系1",LEFT('幕间与结算'!H890,8)="建立新的重要关系"),'幕间与结算'!E890+E983,BQ982+IF(C983="重要关系1",E983,0)+IF(AND(C983="魅力",E983&lt;0),E983,0))))</x:f>
        <x:v>0</x:v>
      </x:c>
      <x:c r="BR983">
        <x:f>MAX(0,MIN(BK983,IF(AND(H983=1,C983="重要关系2",LEFT('幕间与结算'!H890,8)="建立新的重要关系"),'幕间与结算'!E890+E983,BR982+IF(C983="重要关系2",E983,0)+IF(AND(C983="魅力",E983&lt;0),E983,0))))</x:f>
        <x:v>0</x:v>
      </x:c>
      <x:c r="BS983">
        <x:f>MAX(0,MIN(BK983,IF(AND(H983=1,C983="重要关系3",LEFT('幕间与结算'!H890,8)="建立新的重要关系"),'幕间与结算'!E890+E983,BS982+IF(C983="重要关系3",E983,0)+IF(AND(C983="魅力",E983&lt;0),E983,0))))</x:f>
        <x:v>0</x:v>
      </x:c>
      <x:c r="BT983">
        <x:f>MAX(0,MIN(BK983,IF(AND(H983=1,C983="重要关系4",LEFT('幕间与结算'!H890,8)="建立新的重要关系"),'幕间与结算'!E890+E983,BT982+IF(C983="重要关系4",E983,0)+IF(AND(C983="魅力",E983&lt;0),E983,0))))</x:f>
        <x:v>0</x:v>
      </x:c>
      <x:c r="BU983">
        <x:f>MAX(0,MIN(BK983,IF(AND(H983=1,C983="重要关系5",LEFT('幕间与结算'!H890,8)="建立新的重要关系"),'幕间与结算'!E890+E983,BU982+IF(C983="重要关系5",E983,0)+IF(AND(C983="魅力",E983&lt;0),E983,0))))</x:f>
        <x:v>0</x:v>
      </x:c>
      <x:c r="BV983">
        <x:f>MAX(0,MIN(BK983,IF(AND(H983=1,C983="重要关系6",LEFT('幕间与结算'!H890,8)="建立新的重要关系"),'幕间与结算'!E890+E983,BV982+IF(C983="重要关系6",E983,0)+IF(AND(C983="魅力",E983&lt;0),E983,0))))</x:f>
        <x:v>0</x:v>
      </x:c>
      <x:c r="BW983">
        <x:f>MAX(0,MIN(BK983,IF(AND(H983=1,C983="重要关系7",LEFT('幕间与结算'!H890,8)="建立新的重要关系"),'幕间与结算'!E890+E983,BW982+IF(C983="重要关系7",E983,0)+IF(AND(C983="魅力",E983&lt;0),E983,0))))</x:f>
        <x:v>0</x:v>
      </x:c>
    </x:row>
    <x:row r="984">
      <x:c r="A984" t="str">
        <x:f>IFERROR(TEXT(VALUE('幕间与结算'!A891),"00"),"")</x:f>
        <x:v>00</x:v>
      </x:c>
      <x:c r="B984">
        <x:f>'幕间与结算'!B891</x:f>
        <x:v>0</x:v>
      </x:c>
      <x:c r="C984">
        <x:f>'幕间与结算'!D891</x:f>
        <x:v>0</x:v>
      </x:c>
      <x:c r="D984">
        <x:f>'幕间与结算'!F891</x:f>
        <x:v>0</x:v>
      </x:c>
      <x:c r="E984">
        <x:f>IF(H984=1,MAX(-'幕间与结算'!E891,MIN(D984,IF(LEFT(C984,3)="技能：",99,IF(COUNTIF($L$2:$L$7,C984)&gt;0,18,999))-'幕间与结算'!E891)),0)</x:f>
        <x:v>0</x:v>
      </x:c>
      <x:c r="F984" t="str">
        <x:f>IF(C984=0,"",IF(G984=0,"记录不完整",IF(H984=0,"重复未计","已计入")))</x:f>
        <x:v/>
      </x:c>
      <x:c r="G984">
        <x:f>IF(AND(AND('幕间与结算'!A891&lt;&gt;"",'幕间与结算'!B891&lt;&gt;"",'幕间与结算'!I891&lt;&gt;"",OR(LEFT(C984,3)="技能：",COUNTIF($L$2:$L$19,C984)&gt;0),ISNUMBER('幕间与结算'!E891),ISNUMBER('幕间与结算'!F891),ISNUMBER('幕间与结算'!G891),'幕间与结算'!E891&gt;=0,'幕间与结算'!G891='幕间与结算'!E891+'幕间与结算'!F891),OR(B984&lt;&gt;"成长",AND(LEFT(C984,3)="技能：",C984&lt;&gt;"技能：非自然知识",'幕间与结算'!E891&gt;=1,'幕间与结算'!E891&lt;=99,'幕间与结算'!F891&gt;=0,'幕间与结算'!F891&lt;=4,'幕间与结算'!G891&lt;=99))),1,0)</x:f>
        <x:v>0</x:v>
      </x:c>
      <x:c r="H984">
        <x:f>IF(AND(G984=1,COUNTIFS($I$200:I984,I984,$G$200:G984,1)=1),1,0)</x:f>
        <x:v>0</x:v>
      </x:c>
      <x:c r="I984" t="str">
        <x:f>IF(G984=1,IF(B984="成长",A984&amp;"-成长-"&amp;C984,'幕间与结算'!I891),"")</x:f>
        <x:v/>
      </x:c>
      <x:c r="BF984">
        <x:f>MAX(0,MIN(18,BF983+IF(C984="力量",E984,0)))</x:f>
        <x:v>0</x:v>
      </x:c>
      <x:c r="BG984">
        <x:f>MAX(0,MIN(18,BG983+IF(C984="体质",E984,0)))</x:f>
        <x:v>0</x:v>
      </x:c>
      <x:c r="BH984">
        <x:f>MAX(0,MIN(18,BH983+IF(C984="敏捷",E984,0)))</x:f>
        <x:v>0</x:v>
      </x:c>
      <x:c r="BI984">
        <x:f>MAX(0,MIN(18,BI983+IF(C984="智力",E984,0)))</x:f>
        <x:v>0</x:v>
      </x:c>
      <x:c r="BJ984">
        <x:f>MAX(0,MIN(18,BJ983+IF(C984="意志",E984,0)))</x:f>
        <x:v>0</x:v>
      </x:c>
      <x:c r="BK984">
        <x:f>MAX(0,MIN(18,BK983+IF(C984="魅力",E984,0)))</x:f>
        <x:v>0</x:v>
      </x:c>
      <x:c r="BL984">
        <x:f>MAX(0,MIN(99,BL983+IF(C984="技能：非自然知识",E984,0)))</x:f>
        <x:v>0</x:v>
      </x:c>
      <x:c r="BM984">
        <x:f>MAX(0,MIN(CEILING((BF984+BG984)/2,1),BM983+IF(C984="体力",E984,0)))</x:f>
        <x:v>0</x:v>
      </x:c>
      <x:c r="BN984">
        <x:f>MAX(0,MIN(BJ984,BN983+IF(C984="毅力",E984,0)))</x:f>
        <x:v>0</x:v>
      </x:c>
      <x:c r="BO984">
        <x:f>MAX(0,MIN(99-BL984,BO983+IF(C984="理智",E984,0)))</x:f>
        <x:v>0</x:v>
      </x:c>
      <x:c r="BP984">
        <x:f>MAX(0,MIN(99,BP983+IF(C984="崩溃点",E984,0)))</x:f>
        <x:v>0</x:v>
      </x:c>
      <x:c r="BQ984">
        <x:f>MAX(0,MIN(BK984,IF(AND(H984=1,C984="重要关系1",LEFT('幕间与结算'!H891,8)="建立新的重要关系"),'幕间与结算'!E891+E984,BQ983+IF(C984="重要关系1",E984,0)+IF(AND(C984="魅力",E984&lt;0),E984,0))))</x:f>
        <x:v>0</x:v>
      </x:c>
      <x:c r="BR984">
        <x:f>MAX(0,MIN(BK984,IF(AND(H984=1,C984="重要关系2",LEFT('幕间与结算'!H891,8)="建立新的重要关系"),'幕间与结算'!E891+E984,BR983+IF(C984="重要关系2",E984,0)+IF(AND(C984="魅力",E984&lt;0),E984,0))))</x:f>
        <x:v>0</x:v>
      </x:c>
      <x:c r="BS984">
        <x:f>MAX(0,MIN(BK984,IF(AND(H984=1,C984="重要关系3",LEFT('幕间与结算'!H891,8)="建立新的重要关系"),'幕间与结算'!E891+E984,BS983+IF(C984="重要关系3",E984,0)+IF(AND(C984="魅力",E984&lt;0),E984,0))))</x:f>
        <x:v>0</x:v>
      </x:c>
      <x:c r="BT984">
        <x:f>MAX(0,MIN(BK984,IF(AND(H984=1,C984="重要关系4",LEFT('幕间与结算'!H891,8)="建立新的重要关系"),'幕间与结算'!E891+E984,BT983+IF(C984="重要关系4",E984,0)+IF(AND(C984="魅力",E984&lt;0),E984,0))))</x:f>
        <x:v>0</x:v>
      </x:c>
      <x:c r="BU984">
        <x:f>MAX(0,MIN(BK984,IF(AND(H984=1,C984="重要关系5",LEFT('幕间与结算'!H891,8)="建立新的重要关系"),'幕间与结算'!E891+E984,BU983+IF(C984="重要关系5",E984,0)+IF(AND(C984="魅力",E984&lt;0),E984,0))))</x:f>
        <x:v>0</x:v>
      </x:c>
      <x:c r="BV984">
        <x:f>MAX(0,MIN(BK984,IF(AND(H984=1,C984="重要关系6",LEFT('幕间与结算'!H891,8)="建立新的重要关系"),'幕间与结算'!E891+E984,BV983+IF(C984="重要关系6",E984,0)+IF(AND(C984="魅力",E984&lt;0),E984,0))))</x:f>
        <x:v>0</x:v>
      </x:c>
      <x:c r="BW984">
        <x:f>MAX(0,MIN(BK984,IF(AND(H984=1,C984="重要关系7",LEFT('幕间与结算'!H891,8)="建立新的重要关系"),'幕间与结算'!E891+E984,BW983+IF(C984="重要关系7",E984,0)+IF(AND(C984="魅力",E984&lt;0),E984,0))))</x:f>
        <x:v>0</x:v>
      </x:c>
    </x:row>
    <x:row r="985">
      <x:c r="A985" t="str">
        <x:f>IFERROR(TEXT(VALUE('幕间与结算'!A892),"00"),"")</x:f>
        <x:v>00</x:v>
      </x:c>
      <x:c r="B985">
        <x:f>'幕间与结算'!B892</x:f>
        <x:v>0</x:v>
      </x:c>
      <x:c r="C985">
        <x:f>'幕间与结算'!D892</x:f>
        <x:v>0</x:v>
      </x:c>
      <x:c r="D985">
        <x:f>'幕间与结算'!F892</x:f>
        <x:v>0</x:v>
      </x:c>
      <x:c r="E985">
        <x:f>IF(H985=1,MAX(-'幕间与结算'!E892,MIN(D985,IF(LEFT(C985,3)="技能：",99,IF(COUNTIF($L$2:$L$7,C985)&gt;0,18,999))-'幕间与结算'!E892)),0)</x:f>
        <x:v>0</x:v>
      </x:c>
      <x:c r="F985" t="str">
        <x:f>IF(C985=0,"",IF(G985=0,"记录不完整",IF(H985=0,"重复未计","已计入")))</x:f>
        <x:v/>
      </x:c>
      <x:c r="G985">
        <x:f>IF(AND(AND('幕间与结算'!A892&lt;&gt;"",'幕间与结算'!B892&lt;&gt;"",'幕间与结算'!I892&lt;&gt;"",OR(LEFT(C985,3)="技能：",COUNTIF($L$2:$L$19,C985)&gt;0),ISNUMBER('幕间与结算'!E892),ISNUMBER('幕间与结算'!F892),ISNUMBER('幕间与结算'!G892),'幕间与结算'!E892&gt;=0,'幕间与结算'!G892='幕间与结算'!E892+'幕间与结算'!F892),OR(B985&lt;&gt;"成长",AND(LEFT(C985,3)="技能：",C985&lt;&gt;"技能：非自然知识",'幕间与结算'!E892&gt;=1,'幕间与结算'!E892&lt;=99,'幕间与结算'!F892&gt;=0,'幕间与结算'!F892&lt;=4,'幕间与结算'!G892&lt;=99))),1,0)</x:f>
        <x:v>0</x:v>
      </x:c>
      <x:c r="H985">
        <x:f>IF(AND(G985=1,COUNTIFS($I$200:I985,I985,$G$200:G985,1)=1),1,0)</x:f>
        <x:v>0</x:v>
      </x:c>
      <x:c r="I985" t="str">
        <x:f>IF(G985=1,IF(B985="成长",A985&amp;"-成长-"&amp;C985,'幕间与结算'!I892),"")</x:f>
        <x:v/>
      </x:c>
      <x:c r="BF985">
        <x:f>MAX(0,MIN(18,BF984+IF(C985="力量",E985,0)))</x:f>
        <x:v>0</x:v>
      </x:c>
      <x:c r="BG985">
        <x:f>MAX(0,MIN(18,BG984+IF(C985="体质",E985,0)))</x:f>
        <x:v>0</x:v>
      </x:c>
      <x:c r="BH985">
        <x:f>MAX(0,MIN(18,BH984+IF(C985="敏捷",E985,0)))</x:f>
        <x:v>0</x:v>
      </x:c>
      <x:c r="BI985">
        <x:f>MAX(0,MIN(18,BI984+IF(C985="智力",E985,0)))</x:f>
        <x:v>0</x:v>
      </x:c>
      <x:c r="BJ985">
        <x:f>MAX(0,MIN(18,BJ984+IF(C985="意志",E985,0)))</x:f>
        <x:v>0</x:v>
      </x:c>
      <x:c r="BK985">
        <x:f>MAX(0,MIN(18,BK984+IF(C985="魅力",E985,0)))</x:f>
        <x:v>0</x:v>
      </x:c>
      <x:c r="BL985">
        <x:f>MAX(0,MIN(99,BL984+IF(C985="技能：非自然知识",E985,0)))</x:f>
        <x:v>0</x:v>
      </x:c>
      <x:c r="BM985">
        <x:f>MAX(0,MIN(CEILING((BF985+BG985)/2,1),BM984+IF(C985="体力",E985,0)))</x:f>
        <x:v>0</x:v>
      </x:c>
      <x:c r="BN985">
        <x:f>MAX(0,MIN(BJ985,BN984+IF(C985="毅力",E985,0)))</x:f>
        <x:v>0</x:v>
      </x:c>
      <x:c r="BO985">
        <x:f>MAX(0,MIN(99-BL985,BO984+IF(C985="理智",E985,0)))</x:f>
        <x:v>0</x:v>
      </x:c>
      <x:c r="BP985">
        <x:f>MAX(0,MIN(99,BP984+IF(C985="崩溃点",E985,0)))</x:f>
        <x:v>0</x:v>
      </x:c>
      <x:c r="BQ985">
        <x:f>MAX(0,MIN(BK985,IF(AND(H985=1,C985="重要关系1",LEFT('幕间与结算'!H892,8)="建立新的重要关系"),'幕间与结算'!E892+E985,BQ984+IF(C985="重要关系1",E985,0)+IF(AND(C985="魅力",E985&lt;0),E985,0))))</x:f>
        <x:v>0</x:v>
      </x:c>
      <x:c r="BR985">
        <x:f>MAX(0,MIN(BK985,IF(AND(H985=1,C985="重要关系2",LEFT('幕间与结算'!H892,8)="建立新的重要关系"),'幕间与结算'!E892+E985,BR984+IF(C985="重要关系2",E985,0)+IF(AND(C985="魅力",E985&lt;0),E985,0))))</x:f>
        <x:v>0</x:v>
      </x:c>
      <x:c r="BS985">
        <x:f>MAX(0,MIN(BK985,IF(AND(H985=1,C985="重要关系3",LEFT('幕间与结算'!H892,8)="建立新的重要关系"),'幕间与结算'!E892+E985,BS984+IF(C985="重要关系3",E985,0)+IF(AND(C985="魅力",E985&lt;0),E985,0))))</x:f>
        <x:v>0</x:v>
      </x:c>
      <x:c r="BT985">
        <x:f>MAX(0,MIN(BK985,IF(AND(H985=1,C985="重要关系4",LEFT('幕间与结算'!H892,8)="建立新的重要关系"),'幕间与结算'!E892+E985,BT984+IF(C985="重要关系4",E985,0)+IF(AND(C985="魅力",E985&lt;0),E985,0))))</x:f>
        <x:v>0</x:v>
      </x:c>
      <x:c r="BU985">
        <x:f>MAX(0,MIN(BK985,IF(AND(H985=1,C985="重要关系5",LEFT('幕间与结算'!H892,8)="建立新的重要关系"),'幕间与结算'!E892+E985,BU984+IF(C985="重要关系5",E985,0)+IF(AND(C985="魅力",E985&lt;0),E985,0))))</x:f>
        <x:v>0</x:v>
      </x:c>
      <x:c r="BV985">
        <x:f>MAX(0,MIN(BK985,IF(AND(H985=1,C985="重要关系6",LEFT('幕间与结算'!H892,8)="建立新的重要关系"),'幕间与结算'!E892+E985,BV984+IF(C985="重要关系6",E985,0)+IF(AND(C985="魅力",E985&lt;0),E985,0))))</x:f>
        <x:v>0</x:v>
      </x:c>
      <x:c r="BW985">
        <x:f>MAX(0,MIN(BK985,IF(AND(H985=1,C985="重要关系7",LEFT('幕间与结算'!H892,8)="建立新的重要关系"),'幕间与结算'!E892+E985,BW984+IF(C985="重要关系7",E985,0)+IF(AND(C985="魅力",E985&lt;0),E985,0))))</x:f>
        <x:v>0</x:v>
      </x:c>
    </x:row>
    <x:row r="986">
      <x:c r="A986" t="str">
        <x:f>IFERROR(TEXT(VALUE('幕间与结算'!A893),"00"),"")</x:f>
        <x:v>00</x:v>
      </x:c>
      <x:c r="B986">
        <x:f>'幕间与结算'!B893</x:f>
        <x:v>0</x:v>
      </x:c>
      <x:c r="C986">
        <x:f>'幕间与结算'!D893</x:f>
        <x:v>0</x:v>
      </x:c>
      <x:c r="D986">
        <x:f>'幕间与结算'!F893</x:f>
        <x:v>0</x:v>
      </x:c>
      <x:c r="E986">
        <x:f>IF(H986=1,MAX(-'幕间与结算'!E893,MIN(D986,IF(LEFT(C986,3)="技能：",99,IF(COUNTIF($L$2:$L$7,C986)&gt;0,18,999))-'幕间与结算'!E893)),0)</x:f>
        <x:v>0</x:v>
      </x:c>
      <x:c r="F986" t="str">
        <x:f>IF(C986=0,"",IF(G986=0,"记录不完整",IF(H986=0,"重复未计","已计入")))</x:f>
        <x:v/>
      </x:c>
      <x:c r="G986">
        <x:f>IF(AND(AND('幕间与结算'!A893&lt;&gt;"",'幕间与结算'!B893&lt;&gt;"",'幕间与结算'!I893&lt;&gt;"",OR(LEFT(C986,3)="技能：",COUNTIF($L$2:$L$19,C986)&gt;0),ISNUMBER('幕间与结算'!E893),ISNUMBER('幕间与结算'!F893),ISNUMBER('幕间与结算'!G893),'幕间与结算'!E893&gt;=0,'幕间与结算'!G893='幕间与结算'!E893+'幕间与结算'!F893),OR(B986&lt;&gt;"成长",AND(LEFT(C986,3)="技能：",C986&lt;&gt;"技能：非自然知识",'幕间与结算'!E893&gt;=1,'幕间与结算'!E893&lt;=99,'幕间与结算'!F893&gt;=0,'幕间与结算'!F893&lt;=4,'幕间与结算'!G893&lt;=99))),1,0)</x:f>
        <x:v>0</x:v>
      </x:c>
      <x:c r="H986">
        <x:f>IF(AND(G986=1,COUNTIFS($I$200:I986,I986,$G$200:G986,1)=1),1,0)</x:f>
        <x:v>0</x:v>
      </x:c>
      <x:c r="I986" t="str">
        <x:f>IF(G986=1,IF(B986="成长",A986&amp;"-成长-"&amp;C986,'幕间与结算'!I893),"")</x:f>
        <x:v/>
      </x:c>
      <x:c r="BF986">
        <x:f>MAX(0,MIN(18,BF985+IF(C986="力量",E986,0)))</x:f>
        <x:v>0</x:v>
      </x:c>
      <x:c r="BG986">
        <x:f>MAX(0,MIN(18,BG985+IF(C986="体质",E986,0)))</x:f>
        <x:v>0</x:v>
      </x:c>
      <x:c r="BH986">
        <x:f>MAX(0,MIN(18,BH985+IF(C986="敏捷",E986,0)))</x:f>
        <x:v>0</x:v>
      </x:c>
      <x:c r="BI986">
        <x:f>MAX(0,MIN(18,BI985+IF(C986="智力",E986,0)))</x:f>
        <x:v>0</x:v>
      </x:c>
      <x:c r="BJ986">
        <x:f>MAX(0,MIN(18,BJ985+IF(C986="意志",E986,0)))</x:f>
        <x:v>0</x:v>
      </x:c>
      <x:c r="BK986">
        <x:f>MAX(0,MIN(18,BK985+IF(C986="魅力",E986,0)))</x:f>
        <x:v>0</x:v>
      </x:c>
      <x:c r="BL986">
        <x:f>MAX(0,MIN(99,BL985+IF(C986="技能：非自然知识",E986,0)))</x:f>
        <x:v>0</x:v>
      </x:c>
      <x:c r="BM986">
        <x:f>MAX(0,MIN(CEILING((BF986+BG986)/2,1),BM985+IF(C986="体力",E986,0)))</x:f>
        <x:v>0</x:v>
      </x:c>
      <x:c r="BN986">
        <x:f>MAX(0,MIN(BJ986,BN985+IF(C986="毅力",E986,0)))</x:f>
        <x:v>0</x:v>
      </x:c>
      <x:c r="BO986">
        <x:f>MAX(0,MIN(99-BL986,BO985+IF(C986="理智",E986,0)))</x:f>
        <x:v>0</x:v>
      </x:c>
      <x:c r="BP986">
        <x:f>MAX(0,MIN(99,BP985+IF(C986="崩溃点",E986,0)))</x:f>
        <x:v>0</x:v>
      </x:c>
      <x:c r="BQ986">
        <x:f>MAX(0,MIN(BK986,IF(AND(H986=1,C986="重要关系1",LEFT('幕间与结算'!H893,8)="建立新的重要关系"),'幕间与结算'!E893+E986,BQ985+IF(C986="重要关系1",E986,0)+IF(AND(C986="魅力",E986&lt;0),E986,0))))</x:f>
        <x:v>0</x:v>
      </x:c>
      <x:c r="BR986">
        <x:f>MAX(0,MIN(BK986,IF(AND(H986=1,C986="重要关系2",LEFT('幕间与结算'!H893,8)="建立新的重要关系"),'幕间与结算'!E893+E986,BR985+IF(C986="重要关系2",E986,0)+IF(AND(C986="魅力",E986&lt;0),E986,0))))</x:f>
        <x:v>0</x:v>
      </x:c>
      <x:c r="BS986">
        <x:f>MAX(0,MIN(BK986,IF(AND(H986=1,C986="重要关系3",LEFT('幕间与结算'!H893,8)="建立新的重要关系"),'幕间与结算'!E893+E986,BS985+IF(C986="重要关系3",E986,0)+IF(AND(C986="魅力",E986&lt;0),E986,0))))</x:f>
        <x:v>0</x:v>
      </x:c>
      <x:c r="BT986">
        <x:f>MAX(0,MIN(BK986,IF(AND(H986=1,C986="重要关系4",LEFT('幕间与结算'!H893,8)="建立新的重要关系"),'幕间与结算'!E893+E986,BT985+IF(C986="重要关系4",E986,0)+IF(AND(C986="魅力",E986&lt;0),E986,0))))</x:f>
        <x:v>0</x:v>
      </x:c>
      <x:c r="BU986">
        <x:f>MAX(0,MIN(BK986,IF(AND(H986=1,C986="重要关系5",LEFT('幕间与结算'!H893,8)="建立新的重要关系"),'幕间与结算'!E893+E986,BU985+IF(C986="重要关系5",E986,0)+IF(AND(C986="魅力",E986&lt;0),E986,0))))</x:f>
        <x:v>0</x:v>
      </x:c>
      <x:c r="BV986">
        <x:f>MAX(0,MIN(BK986,IF(AND(H986=1,C986="重要关系6",LEFT('幕间与结算'!H893,8)="建立新的重要关系"),'幕间与结算'!E893+E986,BV985+IF(C986="重要关系6",E986,0)+IF(AND(C986="魅力",E986&lt;0),E986,0))))</x:f>
        <x:v>0</x:v>
      </x:c>
      <x:c r="BW986">
        <x:f>MAX(0,MIN(BK986,IF(AND(H986=1,C986="重要关系7",LEFT('幕间与结算'!H893,8)="建立新的重要关系"),'幕间与结算'!E893+E986,BW985+IF(C986="重要关系7",E986,0)+IF(AND(C986="魅力",E986&lt;0),E986,0))))</x:f>
        <x:v>0</x:v>
      </x:c>
    </x:row>
    <x:row r="987">
      <x:c r="A987" t="str">
        <x:f>IFERROR(TEXT(VALUE('幕间与结算'!A894),"00"),"")</x:f>
        <x:v>00</x:v>
      </x:c>
      <x:c r="B987">
        <x:f>'幕间与结算'!B894</x:f>
        <x:v>0</x:v>
      </x:c>
      <x:c r="C987">
        <x:f>'幕间与结算'!D894</x:f>
        <x:v>0</x:v>
      </x:c>
      <x:c r="D987">
        <x:f>'幕间与结算'!F894</x:f>
        <x:v>0</x:v>
      </x:c>
      <x:c r="E987">
        <x:f>IF(H987=1,MAX(-'幕间与结算'!E894,MIN(D987,IF(LEFT(C987,3)="技能：",99,IF(COUNTIF($L$2:$L$7,C987)&gt;0,18,999))-'幕间与结算'!E894)),0)</x:f>
        <x:v>0</x:v>
      </x:c>
      <x:c r="F987" t="str">
        <x:f>IF(C987=0,"",IF(G987=0,"记录不完整",IF(H987=0,"重复未计","已计入")))</x:f>
        <x:v/>
      </x:c>
      <x:c r="G987">
        <x:f>IF(AND(AND('幕间与结算'!A894&lt;&gt;"",'幕间与结算'!B894&lt;&gt;"",'幕间与结算'!I894&lt;&gt;"",OR(LEFT(C987,3)="技能：",COUNTIF($L$2:$L$19,C987)&gt;0),ISNUMBER('幕间与结算'!E894),ISNUMBER('幕间与结算'!F894),ISNUMBER('幕间与结算'!G894),'幕间与结算'!E894&gt;=0,'幕间与结算'!G894='幕间与结算'!E894+'幕间与结算'!F894),OR(B987&lt;&gt;"成长",AND(LEFT(C987,3)="技能：",C987&lt;&gt;"技能：非自然知识",'幕间与结算'!E894&gt;=1,'幕间与结算'!E894&lt;=99,'幕间与结算'!F894&gt;=0,'幕间与结算'!F894&lt;=4,'幕间与结算'!G894&lt;=99))),1,0)</x:f>
        <x:v>0</x:v>
      </x:c>
      <x:c r="H987">
        <x:f>IF(AND(G987=1,COUNTIFS($I$200:I987,I987,$G$200:G987,1)=1),1,0)</x:f>
        <x:v>0</x:v>
      </x:c>
      <x:c r="I987" t="str">
        <x:f>IF(G987=1,IF(B987="成长",A987&amp;"-成长-"&amp;C987,'幕间与结算'!I894),"")</x:f>
        <x:v/>
      </x:c>
      <x:c r="BF987">
        <x:f>MAX(0,MIN(18,BF986+IF(C987="力量",E987,0)))</x:f>
        <x:v>0</x:v>
      </x:c>
      <x:c r="BG987">
        <x:f>MAX(0,MIN(18,BG986+IF(C987="体质",E987,0)))</x:f>
        <x:v>0</x:v>
      </x:c>
      <x:c r="BH987">
        <x:f>MAX(0,MIN(18,BH986+IF(C987="敏捷",E987,0)))</x:f>
        <x:v>0</x:v>
      </x:c>
      <x:c r="BI987">
        <x:f>MAX(0,MIN(18,BI986+IF(C987="智力",E987,0)))</x:f>
        <x:v>0</x:v>
      </x:c>
      <x:c r="BJ987">
        <x:f>MAX(0,MIN(18,BJ986+IF(C987="意志",E987,0)))</x:f>
        <x:v>0</x:v>
      </x:c>
      <x:c r="BK987">
        <x:f>MAX(0,MIN(18,BK986+IF(C987="魅力",E987,0)))</x:f>
        <x:v>0</x:v>
      </x:c>
      <x:c r="BL987">
        <x:f>MAX(0,MIN(99,BL986+IF(C987="技能：非自然知识",E987,0)))</x:f>
        <x:v>0</x:v>
      </x:c>
      <x:c r="BM987">
        <x:f>MAX(0,MIN(CEILING((BF987+BG987)/2,1),BM986+IF(C987="体力",E987,0)))</x:f>
        <x:v>0</x:v>
      </x:c>
      <x:c r="BN987">
        <x:f>MAX(0,MIN(BJ987,BN986+IF(C987="毅力",E987,0)))</x:f>
        <x:v>0</x:v>
      </x:c>
      <x:c r="BO987">
        <x:f>MAX(0,MIN(99-BL987,BO986+IF(C987="理智",E987,0)))</x:f>
        <x:v>0</x:v>
      </x:c>
      <x:c r="BP987">
        <x:f>MAX(0,MIN(99,BP986+IF(C987="崩溃点",E987,0)))</x:f>
        <x:v>0</x:v>
      </x:c>
      <x:c r="BQ987">
        <x:f>MAX(0,MIN(BK987,IF(AND(H987=1,C987="重要关系1",LEFT('幕间与结算'!H894,8)="建立新的重要关系"),'幕间与结算'!E894+E987,BQ986+IF(C987="重要关系1",E987,0)+IF(AND(C987="魅力",E987&lt;0),E987,0))))</x:f>
        <x:v>0</x:v>
      </x:c>
      <x:c r="BR987">
        <x:f>MAX(0,MIN(BK987,IF(AND(H987=1,C987="重要关系2",LEFT('幕间与结算'!H894,8)="建立新的重要关系"),'幕间与结算'!E894+E987,BR986+IF(C987="重要关系2",E987,0)+IF(AND(C987="魅力",E987&lt;0),E987,0))))</x:f>
        <x:v>0</x:v>
      </x:c>
      <x:c r="BS987">
        <x:f>MAX(0,MIN(BK987,IF(AND(H987=1,C987="重要关系3",LEFT('幕间与结算'!H894,8)="建立新的重要关系"),'幕间与结算'!E894+E987,BS986+IF(C987="重要关系3",E987,0)+IF(AND(C987="魅力",E987&lt;0),E987,0))))</x:f>
        <x:v>0</x:v>
      </x:c>
      <x:c r="BT987">
        <x:f>MAX(0,MIN(BK987,IF(AND(H987=1,C987="重要关系4",LEFT('幕间与结算'!H894,8)="建立新的重要关系"),'幕间与结算'!E894+E987,BT986+IF(C987="重要关系4",E987,0)+IF(AND(C987="魅力",E987&lt;0),E987,0))))</x:f>
        <x:v>0</x:v>
      </x:c>
      <x:c r="BU987">
        <x:f>MAX(0,MIN(BK987,IF(AND(H987=1,C987="重要关系5",LEFT('幕间与结算'!H894,8)="建立新的重要关系"),'幕间与结算'!E894+E987,BU986+IF(C987="重要关系5",E987,0)+IF(AND(C987="魅力",E987&lt;0),E987,0))))</x:f>
        <x:v>0</x:v>
      </x:c>
      <x:c r="BV987">
        <x:f>MAX(0,MIN(BK987,IF(AND(H987=1,C987="重要关系6",LEFT('幕间与结算'!H894,8)="建立新的重要关系"),'幕间与结算'!E894+E987,BV986+IF(C987="重要关系6",E987,0)+IF(AND(C987="魅力",E987&lt;0),E987,0))))</x:f>
        <x:v>0</x:v>
      </x:c>
      <x:c r="BW987">
        <x:f>MAX(0,MIN(BK987,IF(AND(H987=1,C987="重要关系7",LEFT('幕间与结算'!H894,8)="建立新的重要关系"),'幕间与结算'!E894+E987,BW986+IF(C987="重要关系7",E987,0)+IF(AND(C987="魅力",E987&lt;0),E987,0))))</x:f>
        <x:v>0</x:v>
      </x:c>
    </x:row>
    <x:row r="988">
      <x:c r="A988" t="str">
        <x:f>IFERROR(TEXT(VALUE('幕间与结算'!A895),"00"),"")</x:f>
        <x:v>00</x:v>
      </x:c>
      <x:c r="B988">
        <x:f>'幕间与结算'!B895</x:f>
        <x:v>0</x:v>
      </x:c>
      <x:c r="C988">
        <x:f>'幕间与结算'!D895</x:f>
        <x:v>0</x:v>
      </x:c>
      <x:c r="D988">
        <x:f>'幕间与结算'!F895</x:f>
        <x:v>0</x:v>
      </x:c>
      <x:c r="E988">
        <x:f>IF(H988=1,MAX(-'幕间与结算'!E895,MIN(D988,IF(LEFT(C988,3)="技能：",99,IF(COUNTIF($L$2:$L$7,C988)&gt;0,18,999))-'幕间与结算'!E895)),0)</x:f>
        <x:v>0</x:v>
      </x:c>
      <x:c r="F988" t="str">
        <x:f>IF(C988=0,"",IF(G988=0,"记录不完整",IF(H988=0,"重复未计","已计入")))</x:f>
        <x:v/>
      </x:c>
      <x:c r="G988">
        <x:f>IF(AND(AND('幕间与结算'!A895&lt;&gt;"",'幕间与结算'!B895&lt;&gt;"",'幕间与结算'!I895&lt;&gt;"",OR(LEFT(C988,3)="技能：",COUNTIF($L$2:$L$19,C988)&gt;0),ISNUMBER('幕间与结算'!E895),ISNUMBER('幕间与结算'!F895),ISNUMBER('幕间与结算'!G895),'幕间与结算'!E895&gt;=0,'幕间与结算'!G895='幕间与结算'!E895+'幕间与结算'!F895),OR(B988&lt;&gt;"成长",AND(LEFT(C988,3)="技能：",C988&lt;&gt;"技能：非自然知识",'幕间与结算'!E895&gt;=1,'幕间与结算'!E895&lt;=99,'幕间与结算'!F895&gt;=0,'幕间与结算'!F895&lt;=4,'幕间与结算'!G895&lt;=99))),1,0)</x:f>
        <x:v>0</x:v>
      </x:c>
      <x:c r="H988">
        <x:f>IF(AND(G988=1,COUNTIFS($I$200:I988,I988,$G$200:G988,1)=1),1,0)</x:f>
        <x:v>0</x:v>
      </x:c>
      <x:c r="I988" t="str">
        <x:f>IF(G988=1,IF(B988="成长",A988&amp;"-成长-"&amp;C988,'幕间与结算'!I895),"")</x:f>
        <x:v/>
      </x:c>
      <x:c r="BF988">
        <x:f>MAX(0,MIN(18,BF987+IF(C988="力量",E988,0)))</x:f>
        <x:v>0</x:v>
      </x:c>
      <x:c r="BG988">
        <x:f>MAX(0,MIN(18,BG987+IF(C988="体质",E988,0)))</x:f>
        <x:v>0</x:v>
      </x:c>
      <x:c r="BH988">
        <x:f>MAX(0,MIN(18,BH987+IF(C988="敏捷",E988,0)))</x:f>
        <x:v>0</x:v>
      </x:c>
      <x:c r="BI988">
        <x:f>MAX(0,MIN(18,BI987+IF(C988="智力",E988,0)))</x:f>
        <x:v>0</x:v>
      </x:c>
      <x:c r="BJ988">
        <x:f>MAX(0,MIN(18,BJ987+IF(C988="意志",E988,0)))</x:f>
        <x:v>0</x:v>
      </x:c>
      <x:c r="BK988">
        <x:f>MAX(0,MIN(18,BK987+IF(C988="魅力",E988,0)))</x:f>
        <x:v>0</x:v>
      </x:c>
      <x:c r="BL988">
        <x:f>MAX(0,MIN(99,BL987+IF(C988="技能：非自然知识",E988,0)))</x:f>
        <x:v>0</x:v>
      </x:c>
      <x:c r="BM988">
        <x:f>MAX(0,MIN(CEILING((BF988+BG988)/2,1),BM987+IF(C988="体力",E988,0)))</x:f>
        <x:v>0</x:v>
      </x:c>
      <x:c r="BN988">
        <x:f>MAX(0,MIN(BJ988,BN987+IF(C988="毅力",E988,0)))</x:f>
        <x:v>0</x:v>
      </x:c>
      <x:c r="BO988">
        <x:f>MAX(0,MIN(99-BL988,BO987+IF(C988="理智",E988,0)))</x:f>
        <x:v>0</x:v>
      </x:c>
      <x:c r="BP988">
        <x:f>MAX(0,MIN(99,BP987+IF(C988="崩溃点",E988,0)))</x:f>
        <x:v>0</x:v>
      </x:c>
      <x:c r="BQ988">
        <x:f>MAX(0,MIN(BK988,IF(AND(H988=1,C988="重要关系1",LEFT('幕间与结算'!H895,8)="建立新的重要关系"),'幕间与结算'!E895+E988,BQ987+IF(C988="重要关系1",E988,0)+IF(AND(C988="魅力",E988&lt;0),E988,0))))</x:f>
        <x:v>0</x:v>
      </x:c>
      <x:c r="BR988">
        <x:f>MAX(0,MIN(BK988,IF(AND(H988=1,C988="重要关系2",LEFT('幕间与结算'!H895,8)="建立新的重要关系"),'幕间与结算'!E895+E988,BR987+IF(C988="重要关系2",E988,0)+IF(AND(C988="魅力",E988&lt;0),E988,0))))</x:f>
        <x:v>0</x:v>
      </x:c>
      <x:c r="BS988">
        <x:f>MAX(0,MIN(BK988,IF(AND(H988=1,C988="重要关系3",LEFT('幕间与结算'!H895,8)="建立新的重要关系"),'幕间与结算'!E895+E988,BS987+IF(C988="重要关系3",E988,0)+IF(AND(C988="魅力",E988&lt;0),E988,0))))</x:f>
        <x:v>0</x:v>
      </x:c>
      <x:c r="BT988">
        <x:f>MAX(0,MIN(BK988,IF(AND(H988=1,C988="重要关系4",LEFT('幕间与结算'!H895,8)="建立新的重要关系"),'幕间与结算'!E895+E988,BT987+IF(C988="重要关系4",E988,0)+IF(AND(C988="魅力",E988&lt;0),E988,0))))</x:f>
        <x:v>0</x:v>
      </x:c>
      <x:c r="BU988">
        <x:f>MAX(0,MIN(BK988,IF(AND(H988=1,C988="重要关系5",LEFT('幕间与结算'!H895,8)="建立新的重要关系"),'幕间与结算'!E895+E988,BU987+IF(C988="重要关系5",E988,0)+IF(AND(C988="魅力",E988&lt;0),E988,0))))</x:f>
        <x:v>0</x:v>
      </x:c>
      <x:c r="BV988">
        <x:f>MAX(0,MIN(BK988,IF(AND(H988=1,C988="重要关系6",LEFT('幕间与结算'!H895,8)="建立新的重要关系"),'幕间与结算'!E895+E988,BV987+IF(C988="重要关系6",E988,0)+IF(AND(C988="魅力",E988&lt;0),E988,0))))</x:f>
        <x:v>0</x:v>
      </x:c>
      <x:c r="BW988">
        <x:f>MAX(0,MIN(BK988,IF(AND(H988=1,C988="重要关系7",LEFT('幕间与结算'!H895,8)="建立新的重要关系"),'幕间与结算'!E895+E988,BW987+IF(C988="重要关系7",E988,0)+IF(AND(C988="魅力",E988&lt;0),E988,0))))</x:f>
        <x:v>0</x:v>
      </x:c>
    </x:row>
    <x:row r="989">
      <x:c r="A989" t="str">
        <x:f>IFERROR(TEXT(VALUE('幕间与结算'!A896),"00"),"")</x:f>
        <x:v>00</x:v>
      </x:c>
      <x:c r="B989">
        <x:f>'幕间与结算'!B896</x:f>
        <x:v>0</x:v>
      </x:c>
      <x:c r="C989">
        <x:f>'幕间与结算'!D896</x:f>
        <x:v>0</x:v>
      </x:c>
      <x:c r="D989">
        <x:f>'幕间与结算'!F896</x:f>
        <x:v>0</x:v>
      </x:c>
      <x:c r="E989">
        <x:f>IF(H989=1,MAX(-'幕间与结算'!E896,MIN(D989,IF(LEFT(C989,3)="技能：",99,IF(COUNTIF($L$2:$L$7,C989)&gt;0,18,999))-'幕间与结算'!E896)),0)</x:f>
        <x:v>0</x:v>
      </x:c>
      <x:c r="F989" t="str">
        <x:f>IF(C989=0,"",IF(G989=0,"记录不完整",IF(H989=0,"重复未计","已计入")))</x:f>
        <x:v/>
      </x:c>
      <x:c r="G989">
        <x:f>IF(AND(AND('幕间与结算'!A896&lt;&gt;"",'幕间与结算'!B896&lt;&gt;"",'幕间与结算'!I896&lt;&gt;"",OR(LEFT(C989,3)="技能：",COUNTIF($L$2:$L$19,C989)&gt;0),ISNUMBER('幕间与结算'!E896),ISNUMBER('幕间与结算'!F896),ISNUMBER('幕间与结算'!G896),'幕间与结算'!E896&gt;=0,'幕间与结算'!G896='幕间与结算'!E896+'幕间与结算'!F896),OR(B989&lt;&gt;"成长",AND(LEFT(C989,3)="技能：",C989&lt;&gt;"技能：非自然知识",'幕间与结算'!E896&gt;=1,'幕间与结算'!E896&lt;=99,'幕间与结算'!F896&gt;=0,'幕间与结算'!F896&lt;=4,'幕间与结算'!G896&lt;=99))),1,0)</x:f>
        <x:v>0</x:v>
      </x:c>
      <x:c r="H989">
        <x:f>IF(AND(G989=1,COUNTIFS($I$200:I989,I989,$G$200:G989,1)=1),1,0)</x:f>
        <x:v>0</x:v>
      </x:c>
      <x:c r="I989" t="str">
        <x:f>IF(G989=1,IF(B989="成长",A989&amp;"-成长-"&amp;C989,'幕间与结算'!I896),"")</x:f>
        <x:v/>
      </x:c>
      <x:c r="BF989">
        <x:f>MAX(0,MIN(18,BF988+IF(C989="力量",E989,0)))</x:f>
        <x:v>0</x:v>
      </x:c>
      <x:c r="BG989">
        <x:f>MAX(0,MIN(18,BG988+IF(C989="体质",E989,0)))</x:f>
        <x:v>0</x:v>
      </x:c>
      <x:c r="BH989">
        <x:f>MAX(0,MIN(18,BH988+IF(C989="敏捷",E989,0)))</x:f>
        <x:v>0</x:v>
      </x:c>
      <x:c r="BI989">
        <x:f>MAX(0,MIN(18,BI988+IF(C989="智力",E989,0)))</x:f>
        <x:v>0</x:v>
      </x:c>
      <x:c r="BJ989">
        <x:f>MAX(0,MIN(18,BJ988+IF(C989="意志",E989,0)))</x:f>
        <x:v>0</x:v>
      </x:c>
      <x:c r="BK989">
        <x:f>MAX(0,MIN(18,BK988+IF(C989="魅力",E989,0)))</x:f>
        <x:v>0</x:v>
      </x:c>
      <x:c r="BL989">
        <x:f>MAX(0,MIN(99,BL988+IF(C989="技能：非自然知识",E989,0)))</x:f>
        <x:v>0</x:v>
      </x:c>
      <x:c r="BM989">
        <x:f>MAX(0,MIN(CEILING((BF989+BG989)/2,1),BM988+IF(C989="体力",E989,0)))</x:f>
        <x:v>0</x:v>
      </x:c>
      <x:c r="BN989">
        <x:f>MAX(0,MIN(BJ989,BN988+IF(C989="毅力",E989,0)))</x:f>
        <x:v>0</x:v>
      </x:c>
      <x:c r="BO989">
        <x:f>MAX(0,MIN(99-BL989,BO988+IF(C989="理智",E989,0)))</x:f>
        <x:v>0</x:v>
      </x:c>
      <x:c r="BP989">
        <x:f>MAX(0,MIN(99,BP988+IF(C989="崩溃点",E989,0)))</x:f>
        <x:v>0</x:v>
      </x:c>
      <x:c r="BQ989">
        <x:f>MAX(0,MIN(BK989,IF(AND(H989=1,C989="重要关系1",LEFT('幕间与结算'!H896,8)="建立新的重要关系"),'幕间与结算'!E896+E989,BQ988+IF(C989="重要关系1",E989,0)+IF(AND(C989="魅力",E989&lt;0),E989,0))))</x:f>
        <x:v>0</x:v>
      </x:c>
      <x:c r="BR989">
        <x:f>MAX(0,MIN(BK989,IF(AND(H989=1,C989="重要关系2",LEFT('幕间与结算'!H896,8)="建立新的重要关系"),'幕间与结算'!E896+E989,BR988+IF(C989="重要关系2",E989,0)+IF(AND(C989="魅力",E989&lt;0),E989,0))))</x:f>
        <x:v>0</x:v>
      </x:c>
      <x:c r="BS989">
        <x:f>MAX(0,MIN(BK989,IF(AND(H989=1,C989="重要关系3",LEFT('幕间与结算'!H896,8)="建立新的重要关系"),'幕间与结算'!E896+E989,BS988+IF(C989="重要关系3",E989,0)+IF(AND(C989="魅力",E989&lt;0),E989,0))))</x:f>
        <x:v>0</x:v>
      </x:c>
      <x:c r="BT989">
        <x:f>MAX(0,MIN(BK989,IF(AND(H989=1,C989="重要关系4",LEFT('幕间与结算'!H896,8)="建立新的重要关系"),'幕间与结算'!E896+E989,BT988+IF(C989="重要关系4",E989,0)+IF(AND(C989="魅力",E989&lt;0),E989,0))))</x:f>
        <x:v>0</x:v>
      </x:c>
      <x:c r="BU989">
        <x:f>MAX(0,MIN(BK989,IF(AND(H989=1,C989="重要关系5",LEFT('幕间与结算'!H896,8)="建立新的重要关系"),'幕间与结算'!E896+E989,BU988+IF(C989="重要关系5",E989,0)+IF(AND(C989="魅力",E989&lt;0),E989,0))))</x:f>
        <x:v>0</x:v>
      </x:c>
      <x:c r="BV989">
        <x:f>MAX(0,MIN(BK989,IF(AND(H989=1,C989="重要关系6",LEFT('幕间与结算'!H896,8)="建立新的重要关系"),'幕间与结算'!E896+E989,BV988+IF(C989="重要关系6",E989,0)+IF(AND(C989="魅力",E989&lt;0),E989,0))))</x:f>
        <x:v>0</x:v>
      </x:c>
      <x:c r="BW989">
        <x:f>MAX(0,MIN(BK989,IF(AND(H989=1,C989="重要关系7",LEFT('幕间与结算'!H896,8)="建立新的重要关系"),'幕间与结算'!E896+E989,BW988+IF(C989="重要关系7",E989,0)+IF(AND(C989="魅力",E989&lt;0),E989,0))))</x:f>
        <x:v>0</x:v>
      </x:c>
    </x:row>
    <x:row r="990">
      <x:c r="A990" t="str">
        <x:f>IFERROR(TEXT(VALUE('幕间与结算'!A897),"00"),"")</x:f>
        <x:v>00</x:v>
      </x:c>
      <x:c r="B990">
        <x:f>'幕间与结算'!B897</x:f>
        <x:v>0</x:v>
      </x:c>
      <x:c r="C990">
        <x:f>'幕间与结算'!D897</x:f>
        <x:v>0</x:v>
      </x:c>
      <x:c r="D990">
        <x:f>'幕间与结算'!F897</x:f>
        <x:v>0</x:v>
      </x:c>
      <x:c r="E990">
        <x:f>IF(H990=1,MAX(-'幕间与结算'!E897,MIN(D990,IF(LEFT(C990,3)="技能：",99,IF(COUNTIF($L$2:$L$7,C990)&gt;0,18,999))-'幕间与结算'!E897)),0)</x:f>
        <x:v>0</x:v>
      </x:c>
      <x:c r="F990" t="str">
        <x:f>IF(C990=0,"",IF(G990=0,"记录不完整",IF(H990=0,"重复未计","已计入")))</x:f>
        <x:v/>
      </x:c>
      <x:c r="G990">
        <x:f>IF(AND(AND('幕间与结算'!A897&lt;&gt;"",'幕间与结算'!B897&lt;&gt;"",'幕间与结算'!I897&lt;&gt;"",OR(LEFT(C990,3)="技能：",COUNTIF($L$2:$L$19,C990)&gt;0),ISNUMBER('幕间与结算'!E897),ISNUMBER('幕间与结算'!F897),ISNUMBER('幕间与结算'!G897),'幕间与结算'!E897&gt;=0,'幕间与结算'!G897='幕间与结算'!E897+'幕间与结算'!F897),OR(B990&lt;&gt;"成长",AND(LEFT(C990,3)="技能：",C990&lt;&gt;"技能：非自然知识",'幕间与结算'!E897&gt;=1,'幕间与结算'!E897&lt;=99,'幕间与结算'!F897&gt;=0,'幕间与结算'!F897&lt;=4,'幕间与结算'!G897&lt;=99))),1,0)</x:f>
        <x:v>0</x:v>
      </x:c>
      <x:c r="H990">
        <x:f>IF(AND(G990=1,COUNTIFS($I$200:I990,I990,$G$200:G990,1)=1),1,0)</x:f>
        <x:v>0</x:v>
      </x:c>
      <x:c r="I990" t="str">
        <x:f>IF(G990=1,IF(B990="成长",A990&amp;"-成长-"&amp;C990,'幕间与结算'!I897),"")</x:f>
        <x:v/>
      </x:c>
      <x:c r="BF990">
        <x:f>MAX(0,MIN(18,BF989+IF(C990="力量",E990,0)))</x:f>
        <x:v>0</x:v>
      </x:c>
      <x:c r="BG990">
        <x:f>MAX(0,MIN(18,BG989+IF(C990="体质",E990,0)))</x:f>
        <x:v>0</x:v>
      </x:c>
      <x:c r="BH990">
        <x:f>MAX(0,MIN(18,BH989+IF(C990="敏捷",E990,0)))</x:f>
        <x:v>0</x:v>
      </x:c>
      <x:c r="BI990">
        <x:f>MAX(0,MIN(18,BI989+IF(C990="智力",E990,0)))</x:f>
        <x:v>0</x:v>
      </x:c>
      <x:c r="BJ990">
        <x:f>MAX(0,MIN(18,BJ989+IF(C990="意志",E990,0)))</x:f>
        <x:v>0</x:v>
      </x:c>
      <x:c r="BK990">
        <x:f>MAX(0,MIN(18,BK989+IF(C990="魅力",E990,0)))</x:f>
        <x:v>0</x:v>
      </x:c>
      <x:c r="BL990">
        <x:f>MAX(0,MIN(99,BL989+IF(C990="技能：非自然知识",E990,0)))</x:f>
        <x:v>0</x:v>
      </x:c>
      <x:c r="BM990">
        <x:f>MAX(0,MIN(CEILING((BF990+BG990)/2,1),BM989+IF(C990="体力",E990,0)))</x:f>
        <x:v>0</x:v>
      </x:c>
      <x:c r="BN990">
        <x:f>MAX(0,MIN(BJ990,BN989+IF(C990="毅力",E990,0)))</x:f>
        <x:v>0</x:v>
      </x:c>
      <x:c r="BO990">
        <x:f>MAX(0,MIN(99-BL990,BO989+IF(C990="理智",E990,0)))</x:f>
        <x:v>0</x:v>
      </x:c>
      <x:c r="BP990">
        <x:f>MAX(0,MIN(99,BP989+IF(C990="崩溃点",E990,0)))</x:f>
        <x:v>0</x:v>
      </x:c>
      <x:c r="BQ990">
        <x:f>MAX(0,MIN(BK990,IF(AND(H990=1,C990="重要关系1",LEFT('幕间与结算'!H897,8)="建立新的重要关系"),'幕间与结算'!E897+E990,BQ989+IF(C990="重要关系1",E990,0)+IF(AND(C990="魅力",E990&lt;0),E990,0))))</x:f>
        <x:v>0</x:v>
      </x:c>
      <x:c r="BR990">
        <x:f>MAX(0,MIN(BK990,IF(AND(H990=1,C990="重要关系2",LEFT('幕间与结算'!H897,8)="建立新的重要关系"),'幕间与结算'!E897+E990,BR989+IF(C990="重要关系2",E990,0)+IF(AND(C990="魅力",E990&lt;0),E990,0))))</x:f>
        <x:v>0</x:v>
      </x:c>
      <x:c r="BS990">
        <x:f>MAX(0,MIN(BK990,IF(AND(H990=1,C990="重要关系3",LEFT('幕间与结算'!H897,8)="建立新的重要关系"),'幕间与结算'!E897+E990,BS989+IF(C990="重要关系3",E990,0)+IF(AND(C990="魅力",E990&lt;0),E990,0))))</x:f>
        <x:v>0</x:v>
      </x:c>
      <x:c r="BT990">
        <x:f>MAX(0,MIN(BK990,IF(AND(H990=1,C990="重要关系4",LEFT('幕间与结算'!H897,8)="建立新的重要关系"),'幕间与结算'!E897+E990,BT989+IF(C990="重要关系4",E990,0)+IF(AND(C990="魅力",E990&lt;0),E990,0))))</x:f>
        <x:v>0</x:v>
      </x:c>
      <x:c r="BU990">
        <x:f>MAX(0,MIN(BK990,IF(AND(H990=1,C990="重要关系5",LEFT('幕间与结算'!H897,8)="建立新的重要关系"),'幕间与结算'!E897+E990,BU989+IF(C990="重要关系5",E990,0)+IF(AND(C990="魅力",E990&lt;0),E990,0))))</x:f>
        <x:v>0</x:v>
      </x:c>
      <x:c r="BV990">
        <x:f>MAX(0,MIN(BK990,IF(AND(H990=1,C990="重要关系6",LEFT('幕间与结算'!H897,8)="建立新的重要关系"),'幕间与结算'!E897+E990,BV989+IF(C990="重要关系6",E990,0)+IF(AND(C990="魅力",E990&lt;0),E990,0))))</x:f>
        <x:v>0</x:v>
      </x:c>
      <x:c r="BW990">
        <x:f>MAX(0,MIN(BK990,IF(AND(H990=1,C990="重要关系7",LEFT('幕间与结算'!H897,8)="建立新的重要关系"),'幕间与结算'!E897+E990,BW989+IF(C990="重要关系7",E990,0)+IF(AND(C990="魅力",E990&lt;0),E990,0))))</x:f>
        <x:v>0</x:v>
      </x:c>
    </x:row>
    <x:row r="991">
      <x:c r="A991" t="str">
        <x:f>IFERROR(TEXT(VALUE('幕间与结算'!A898),"00"),"")</x:f>
        <x:v>00</x:v>
      </x:c>
      <x:c r="B991">
        <x:f>'幕间与结算'!B898</x:f>
        <x:v>0</x:v>
      </x:c>
      <x:c r="C991">
        <x:f>'幕间与结算'!D898</x:f>
        <x:v>0</x:v>
      </x:c>
      <x:c r="D991">
        <x:f>'幕间与结算'!F898</x:f>
        <x:v>0</x:v>
      </x:c>
      <x:c r="E991">
        <x:f>IF(H991=1,MAX(-'幕间与结算'!E898,MIN(D991,IF(LEFT(C991,3)="技能：",99,IF(COUNTIF($L$2:$L$7,C991)&gt;0,18,999))-'幕间与结算'!E898)),0)</x:f>
        <x:v>0</x:v>
      </x:c>
      <x:c r="F991" t="str">
        <x:f>IF(C991=0,"",IF(G991=0,"记录不完整",IF(H991=0,"重复未计","已计入")))</x:f>
        <x:v/>
      </x:c>
      <x:c r="G991">
        <x:f>IF(AND(AND('幕间与结算'!A898&lt;&gt;"",'幕间与结算'!B898&lt;&gt;"",'幕间与结算'!I898&lt;&gt;"",OR(LEFT(C991,3)="技能：",COUNTIF($L$2:$L$19,C991)&gt;0),ISNUMBER('幕间与结算'!E898),ISNUMBER('幕间与结算'!F898),ISNUMBER('幕间与结算'!G898),'幕间与结算'!E898&gt;=0,'幕间与结算'!G898='幕间与结算'!E898+'幕间与结算'!F898),OR(B991&lt;&gt;"成长",AND(LEFT(C991,3)="技能：",C991&lt;&gt;"技能：非自然知识",'幕间与结算'!E898&gt;=1,'幕间与结算'!E898&lt;=99,'幕间与结算'!F898&gt;=0,'幕间与结算'!F898&lt;=4,'幕间与结算'!G898&lt;=99))),1,0)</x:f>
        <x:v>0</x:v>
      </x:c>
      <x:c r="H991">
        <x:f>IF(AND(G991=1,COUNTIFS($I$200:I991,I991,$G$200:G991,1)=1),1,0)</x:f>
        <x:v>0</x:v>
      </x:c>
      <x:c r="I991" t="str">
        <x:f>IF(G991=1,IF(B991="成长",A991&amp;"-成长-"&amp;C991,'幕间与结算'!I898),"")</x:f>
        <x:v/>
      </x:c>
      <x:c r="BF991">
        <x:f>MAX(0,MIN(18,BF990+IF(C991="力量",E991,0)))</x:f>
        <x:v>0</x:v>
      </x:c>
      <x:c r="BG991">
        <x:f>MAX(0,MIN(18,BG990+IF(C991="体质",E991,0)))</x:f>
        <x:v>0</x:v>
      </x:c>
      <x:c r="BH991">
        <x:f>MAX(0,MIN(18,BH990+IF(C991="敏捷",E991,0)))</x:f>
        <x:v>0</x:v>
      </x:c>
      <x:c r="BI991">
        <x:f>MAX(0,MIN(18,BI990+IF(C991="智力",E991,0)))</x:f>
        <x:v>0</x:v>
      </x:c>
      <x:c r="BJ991">
        <x:f>MAX(0,MIN(18,BJ990+IF(C991="意志",E991,0)))</x:f>
        <x:v>0</x:v>
      </x:c>
      <x:c r="BK991">
        <x:f>MAX(0,MIN(18,BK990+IF(C991="魅力",E991,0)))</x:f>
        <x:v>0</x:v>
      </x:c>
      <x:c r="BL991">
        <x:f>MAX(0,MIN(99,BL990+IF(C991="技能：非自然知识",E991,0)))</x:f>
        <x:v>0</x:v>
      </x:c>
      <x:c r="BM991">
        <x:f>MAX(0,MIN(CEILING((BF991+BG991)/2,1),BM990+IF(C991="体力",E991,0)))</x:f>
        <x:v>0</x:v>
      </x:c>
      <x:c r="BN991">
        <x:f>MAX(0,MIN(BJ991,BN990+IF(C991="毅力",E991,0)))</x:f>
        <x:v>0</x:v>
      </x:c>
      <x:c r="BO991">
        <x:f>MAX(0,MIN(99-BL991,BO990+IF(C991="理智",E991,0)))</x:f>
        <x:v>0</x:v>
      </x:c>
      <x:c r="BP991">
        <x:f>MAX(0,MIN(99,BP990+IF(C991="崩溃点",E991,0)))</x:f>
        <x:v>0</x:v>
      </x:c>
      <x:c r="BQ991">
        <x:f>MAX(0,MIN(BK991,IF(AND(H991=1,C991="重要关系1",LEFT('幕间与结算'!H898,8)="建立新的重要关系"),'幕间与结算'!E898+E991,BQ990+IF(C991="重要关系1",E991,0)+IF(AND(C991="魅力",E991&lt;0),E991,0))))</x:f>
        <x:v>0</x:v>
      </x:c>
      <x:c r="BR991">
        <x:f>MAX(0,MIN(BK991,IF(AND(H991=1,C991="重要关系2",LEFT('幕间与结算'!H898,8)="建立新的重要关系"),'幕间与结算'!E898+E991,BR990+IF(C991="重要关系2",E991,0)+IF(AND(C991="魅力",E991&lt;0),E991,0))))</x:f>
        <x:v>0</x:v>
      </x:c>
      <x:c r="BS991">
        <x:f>MAX(0,MIN(BK991,IF(AND(H991=1,C991="重要关系3",LEFT('幕间与结算'!H898,8)="建立新的重要关系"),'幕间与结算'!E898+E991,BS990+IF(C991="重要关系3",E991,0)+IF(AND(C991="魅力",E991&lt;0),E991,0))))</x:f>
        <x:v>0</x:v>
      </x:c>
      <x:c r="BT991">
        <x:f>MAX(0,MIN(BK991,IF(AND(H991=1,C991="重要关系4",LEFT('幕间与结算'!H898,8)="建立新的重要关系"),'幕间与结算'!E898+E991,BT990+IF(C991="重要关系4",E991,0)+IF(AND(C991="魅力",E991&lt;0),E991,0))))</x:f>
        <x:v>0</x:v>
      </x:c>
      <x:c r="BU991">
        <x:f>MAX(0,MIN(BK991,IF(AND(H991=1,C991="重要关系5",LEFT('幕间与结算'!H898,8)="建立新的重要关系"),'幕间与结算'!E898+E991,BU990+IF(C991="重要关系5",E991,0)+IF(AND(C991="魅力",E991&lt;0),E991,0))))</x:f>
        <x:v>0</x:v>
      </x:c>
      <x:c r="BV991">
        <x:f>MAX(0,MIN(BK991,IF(AND(H991=1,C991="重要关系6",LEFT('幕间与结算'!H898,8)="建立新的重要关系"),'幕间与结算'!E898+E991,BV990+IF(C991="重要关系6",E991,0)+IF(AND(C991="魅力",E991&lt;0),E991,0))))</x:f>
        <x:v>0</x:v>
      </x:c>
      <x:c r="BW991">
        <x:f>MAX(0,MIN(BK991,IF(AND(H991=1,C991="重要关系7",LEFT('幕间与结算'!H898,8)="建立新的重要关系"),'幕间与结算'!E898+E991,BW990+IF(C991="重要关系7",E991,0)+IF(AND(C991="魅力",E991&lt;0),E991,0))))</x:f>
        <x:v>0</x:v>
      </x:c>
    </x:row>
    <x:row r="992">
      <x:c r="A992" t="str">
        <x:f>IFERROR(TEXT(VALUE('幕间与结算'!A899),"00"),"")</x:f>
        <x:v>00</x:v>
      </x:c>
      <x:c r="B992">
        <x:f>'幕间与结算'!B899</x:f>
        <x:v>0</x:v>
      </x:c>
      <x:c r="C992">
        <x:f>'幕间与结算'!D899</x:f>
        <x:v>0</x:v>
      </x:c>
      <x:c r="D992">
        <x:f>'幕间与结算'!F899</x:f>
        <x:v>0</x:v>
      </x:c>
      <x:c r="E992">
        <x:f>IF(H992=1,MAX(-'幕间与结算'!E899,MIN(D992,IF(LEFT(C992,3)="技能：",99,IF(COUNTIF($L$2:$L$7,C992)&gt;0,18,999))-'幕间与结算'!E899)),0)</x:f>
        <x:v>0</x:v>
      </x:c>
      <x:c r="F992" t="str">
        <x:f>IF(C992=0,"",IF(G992=0,"记录不完整",IF(H992=0,"重复未计","已计入")))</x:f>
        <x:v/>
      </x:c>
      <x:c r="G992">
        <x:f>IF(AND(AND('幕间与结算'!A899&lt;&gt;"",'幕间与结算'!B899&lt;&gt;"",'幕间与结算'!I899&lt;&gt;"",OR(LEFT(C992,3)="技能：",COUNTIF($L$2:$L$19,C992)&gt;0),ISNUMBER('幕间与结算'!E899),ISNUMBER('幕间与结算'!F899),ISNUMBER('幕间与结算'!G899),'幕间与结算'!E899&gt;=0,'幕间与结算'!G899='幕间与结算'!E899+'幕间与结算'!F899),OR(B992&lt;&gt;"成长",AND(LEFT(C992,3)="技能：",C992&lt;&gt;"技能：非自然知识",'幕间与结算'!E899&gt;=1,'幕间与结算'!E899&lt;=99,'幕间与结算'!F899&gt;=0,'幕间与结算'!F899&lt;=4,'幕间与结算'!G899&lt;=99))),1,0)</x:f>
        <x:v>0</x:v>
      </x:c>
      <x:c r="H992">
        <x:f>IF(AND(G992=1,COUNTIFS($I$200:I992,I992,$G$200:G992,1)=1),1,0)</x:f>
        <x:v>0</x:v>
      </x:c>
      <x:c r="I992" t="str">
        <x:f>IF(G992=1,IF(B992="成长",A992&amp;"-成长-"&amp;C992,'幕间与结算'!I899),"")</x:f>
        <x:v/>
      </x:c>
      <x:c r="BF992">
        <x:f>MAX(0,MIN(18,BF991+IF(C992="力量",E992,0)))</x:f>
        <x:v>0</x:v>
      </x:c>
      <x:c r="BG992">
        <x:f>MAX(0,MIN(18,BG991+IF(C992="体质",E992,0)))</x:f>
        <x:v>0</x:v>
      </x:c>
      <x:c r="BH992">
        <x:f>MAX(0,MIN(18,BH991+IF(C992="敏捷",E992,0)))</x:f>
        <x:v>0</x:v>
      </x:c>
      <x:c r="BI992">
        <x:f>MAX(0,MIN(18,BI991+IF(C992="智力",E992,0)))</x:f>
        <x:v>0</x:v>
      </x:c>
      <x:c r="BJ992">
        <x:f>MAX(0,MIN(18,BJ991+IF(C992="意志",E992,0)))</x:f>
        <x:v>0</x:v>
      </x:c>
      <x:c r="BK992">
        <x:f>MAX(0,MIN(18,BK991+IF(C992="魅力",E992,0)))</x:f>
        <x:v>0</x:v>
      </x:c>
      <x:c r="BL992">
        <x:f>MAX(0,MIN(99,BL991+IF(C992="技能：非自然知识",E992,0)))</x:f>
        <x:v>0</x:v>
      </x:c>
      <x:c r="BM992">
        <x:f>MAX(0,MIN(CEILING((BF992+BG992)/2,1),BM991+IF(C992="体力",E992,0)))</x:f>
        <x:v>0</x:v>
      </x:c>
      <x:c r="BN992">
        <x:f>MAX(0,MIN(BJ992,BN991+IF(C992="毅力",E992,0)))</x:f>
        <x:v>0</x:v>
      </x:c>
      <x:c r="BO992">
        <x:f>MAX(0,MIN(99-BL992,BO991+IF(C992="理智",E992,0)))</x:f>
        <x:v>0</x:v>
      </x:c>
      <x:c r="BP992">
        <x:f>MAX(0,MIN(99,BP991+IF(C992="崩溃点",E992,0)))</x:f>
        <x:v>0</x:v>
      </x:c>
      <x:c r="BQ992">
        <x:f>MAX(0,MIN(BK992,IF(AND(H992=1,C992="重要关系1",LEFT('幕间与结算'!H899,8)="建立新的重要关系"),'幕间与结算'!E899+E992,BQ991+IF(C992="重要关系1",E992,0)+IF(AND(C992="魅力",E992&lt;0),E992,0))))</x:f>
        <x:v>0</x:v>
      </x:c>
      <x:c r="BR992">
        <x:f>MAX(0,MIN(BK992,IF(AND(H992=1,C992="重要关系2",LEFT('幕间与结算'!H899,8)="建立新的重要关系"),'幕间与结算'!E899+E992,BR991+IF(C992="重要关系2",E992,0)+IF(AND(C992="魅力",E992&lt;0),E992,0))))</x:f>
        <x:v>0</x:v>
      </x:c>
      <x:c r="BS992">
        <x:f>MAX(0,MIN(BK992,IF(AND(H992=1,C992="重要关系3",LEFT('幕间与结算'!H899,8)="建立新的重要关系"),'幕间与结算'!E899+E992,BS991+IF(C992="重要关系3",E992,0)+IF(AND(C992="魅力",E992&lt;0),E992,0))))</x:f>
        <x:v>0</x:v>
      </x:c>
      <x:c r="BT992">
        <x:f>MAX(0,MIN(BK992,IF(AND(H992=1,C992="重要关系4",LEFT('幕间与结算'!H899,8)="建立新的重要关系"),'幕间与结算'!E899+E992,BT991+IF(C992="重要关系4",E992,0)+IF(AND(C992="魅力",E992&lt;0),E992,0))))</x:f>
        <x:v>0</x:v>
      </x:c>
      <x:c r="BU992">
        <x:f>MAX(0,MIN(BK992,IF(AND(H992=1,C992="重要关系5",LEFT('幕间与结算'!H899,8)="建立新的重要关系"),'幕间与结算'!E899+E992,BU991+IF(C992="重要关系5",E992,0)+IF(AND(C992="魅力",E992&lt;0),E992,0))))</x:f>
        <x:v>0</x:v>
      </x:c>
      <x:c r="BV992">
        <x:f>MAX(0,MIN(BK992,IF(AND(H992=1,C992="重要关系6",LEFT('幕间与结算'!H899,8)="建立新的重要关系"),'幕间与结算'!E899+E992,BV991+IF(C992="重要关系6",E992,0)+IF(AND(C992="魅力",E992&lt;0),E992,0))))</x:f>
        <x:v>0</x:v>
      </x:c>
      <x:c r="BW992">
        <x:f>MAX(0,MIN(BK992,IF(AND(H992=1,C992="重要关系7",LEFT('幕间与结算'!H899,8)="建立新的重要关系"),'幕间与结算'!E899+E992,BW991+IF(C992="重要关系7",E992,0)+IF(AND(C992="魅力",E992&lt;0),E992,0))))</x:f>
        <x:v>0</x:v>
      </x:c>
    </x:row>
    <x:row r="993">
      <x:c r="A993" t="str">
        <x:f>IFERROR(TEXT(VALUE('幕间与结算'!A900),"00"),"")</x:f>
        <x:v>00</x:v>
      </x:c>
      <x:c r="B993">
        <x:f>'幕间与结算'!B900</x:f>
        <x:v>0</x:v>
      </x:c>
      <x:c r="C993">
        <x:f>'幕间与结算'!D900</x:f>
        <x:v>0</x:v>
      </x:c>
      <x:c r="D993">
        <x:f>'幕间与结算'!F900</x:f>
        <x:v>0</x:v>
      </x:c>
      <x:c r="E993">
        <x:f>IF(H993=1,MAX(-'幕间与结算'!E900,MIN(D993,IF(LEFT(C993,3)="技能：",99,IF(COUNTIF($L$2:$L$7,C993)&gt;0,18,999))-'幕间与结算'!E900)),0)</x:f>
        <x:v>0</x:v>
      </x:c>
      <x:c r="F993" t="str">
        <x:f>IF(C993=0,"",IF(G993=0,"记录不完整",IF(H993=0,"重复未计","已计入")))</x:f>
        <x:v/>
      </x:c>
      <x:c r="G993">
        <x:f>IF(AND(AND('幕间与结算'!A900&lt;&gt;"",'幕间与结算'!B900&lt;&gt;"",'幕间与结算'!I900&lt;&gt;"",OR(LEFT(C993,3)="技能：",COUNTIF($L$2:$L$19,C993)&gt;0),ISNUMBER('幕间与结算'!E900),ISNUMBER('幕间与结算'!F900),ISNUMBER('幕间与结算'!G900),'幕间与结算'!E900&gt;=0,'幕间与结算'!G900='幕间与结算'!E900+'幕间与结算'!F900),OR(B993&lt;&gt;"成长",AND(LEFT(C993,3)="技能：",C993&lt;&gt;"技能：非自然知识",'幕间与结算'!E900&gt;=1,'幕间与结算'!E900&lt;=99,'幕间与结算'!F900&gt;=0,'幕间与结算'!F900&lt;=4,'幕间与结算'!G900&lt;=99))),1,0)</x:f>
        <x:v>0</x:v>
      </x:c>
      <x:c r="H993">
        <x:f>IF(AND(G993=1,COUNTIFS($I$200:I993,I993,$G$200:G993,1)=1),1,0)</x:f>
        <x:v>0</x:v>
      </x:c>
      <x:c r="I993" t="str">
        <x:f>IF(G993=1,IF(B993="成长",A993&amp;"-成长-"&amp;C993,'幕间与结算'!I900),"")</x:f>
        <x:v/>
      </x:c>
      <x:c r="BF993">
        <x:f>MAX(0,MIN(18,BF992+IF(C993="力量",E993,0)))</x:f>
        <x:v>0</x:v>
      </x:c>
      <x:c r="BG993">
        <x:f>MAX(0,MIN(18,BG992+IF(C993="体质",E993,0)))</x:f>
        <x:v>0</x:v>
      </x:c>
      <x:c r="BH993">
        <x:f>MAX(0,MIN(18,BH992+IF(C993="敏捷",E993,0)))</x:f>
        <x:v>0</x:v>
      </x:c>
      <x:c r="BI993">
        <x:f>MAX(0,MIN(18,BI992+IF(C993="智力",E993,0)))</x:f>
        <x:v>0</x:v>
      </x:c>
      <x:c r="BJ993">
        <x:f>MAX(0,MIN(18,BJ992+IF(C993="意志",E993,0)))</x:f>
        <x:v>0</x:v>
      </x:c>
      <x:c r="BK993">
        <x:f>MAX(0,MIN(18,BK992+IF(C993="魅力",E993,0)))</x:f>
        <x:v>0</x:v>
      </x:c>
      <x:c r="BL993">
        <x:f>MAX(0,MIN(99,BL992+IF(C993="技能：非自然知识",E993,0)))</x:f>
        <x:v>0</x:v>
      </x:c>
      <x:c r="BM993">
        <x:f>MAX(0,MIN(CEILING((BF993+BG993)/2,1),BM992+IF(C993="体力",E993,0)))</x:f>
        <x:v>0</x:v>
      </x:c>
      <x:c r="BN993">
        <x:f>MAX(0,MIN(BJ993,BN992+IF(C993="毅力",E993,0)))</x:f>
        <x:v>0</x:v>
      </x:c>
      <x:c r="BO993">
        <x:f>MAX(0,MIN(99-BL993,BO992+IF(C993="理智",E993,0)))</x:f>
        <x:v>0</x:v>
      </x:c>
      <x:c r="BP993">
        <x:f>MAX(0,MIN(99,BP992+IF(C993="崩溃点",E993,0)))</x:f>
        <x:v>0</x:v>
      </x:c>
      <x:c r="BQ993">
        <x:f>MAX(0,MIN(BK993,IF(AND(H993=1,C993="重要关系1",LEFT('幕间与结算'!H900,8)="建立新的重要关系"),'幕间与结算'!E900+E993,BQ992+IF(C993="重要关系1",E993,0)+IF(AND(C993="魅力",E993&lt;0),E993,0))))</x:f>
        <x:v>0</x:v>
      </x:c>
      <x:c r="BR993">
        <x:f>MAX(0,MIN(BK993,IF(AND(H993=1,C993="重要关系2",LEFT('幕间与结算'!H900,8)="建立新的重要关系"),'幕间与结算'!E900+E993,BR992+IF(C993="重要关系2",E993,0)+IF(AND(C993="魅力",E993&lt;0),E993,0))))</x:f>
        <x:v>0</x:v>
      </x:c>
      <x:c r="BS993">
        <x:f>MAX(0,MIN(BK993,IF(AND(H993=1,C993="重要关系3",LEFT('幕间与结算'!H900,8)="建立新的重要关系"),'幕间与结算'!E900+E993,BS992+IF(C993="重要关系3",E993,0)+IF(AND(C993="魅力",E993&lt;0),E993,0))))</x:f>
        <x:v>0</x:v>
      </x:c>
      <x:c r="BT993">
        <x:f>MAX(0,MIN(BK993,IF(AND(H993=1,C993="重要关系4",LEFT('幕间与结算'!H900,8)="建立新的重要关系"),'幕间与结算'!E900+E993,BT992+IF(C993="重要关系4",E993,0)+IF(AND(C993="魅力",E993&lt;0),E993,0))))</x:f>
        <x:v>0</x:v>
      </x:c>
      <x:c r="BU993">
        <x:f>MAX(0,MIN(BK993,IF(AND(H993=1,C993="重要关系5",LEFT('幕间与结算'!H900,8)="建立新的重要关系"),'幕间与结算'!E900+E993,BU992+IF(C993="重要关系5",E993,0)+IF(AND(C993="魅力",E993&lt;0),E993,0))))</x:f>
        <x:v>0</x:v>
      </x:c>
      <x:c r="BV993">
        <x:f>MAX(0,MIN(BK993,IF(AND(H993=1,C993="重要关系6",LEFT('幕间与结算'!H900,8)="建立新的重要关系"),'幕间与结算'!E900+E993,BV992+IF(C993="重要关系6",E993,0)+IF(AND(C993="魅力",E993&lt;0),E993,0))))</x:f>
        <x:v>0</x:v>
      </x:c>
      <x:c r="BW993">
        <x:f>MAX(0,MIN(BK993,IF(AND(H993=1,C993="重要关系7",LEFT('幕间与结算'!H900,8)="建立新的重要关系"),'幕间与结算'!E900+E993,BW992+IF(C993="重要关系7",E993,0)+IF(AND(C993="魅力",E993&lt;0),E993,0))))</x:f>
        <x:v>0</x:v>
      </x:c>
    </x:row>
    <x:row r="994">
      <x:c r="A994" t="str">
        <x:f>IFERROR(TEXT(VALUE('幕间与结算'!A901),"00"),"")</x:f>
        <x:v>00</x:v>
      </x:c>
      <x:c r="B994">
        <x:f>'幕间与结算'!B901</x:f>
        <x:v>0</x:v>
      </x:c>
      <x:c r="C994">
        <x:f>'幕间与结算'!D901</x:f>
        <x:v>0</x:v>
      </x:c>
      <x:c r="D994">
        <x:f>'幕间与结算'!F901</x:f>
        <x:v>0</x:v>
      </x:c>
      <x:c r="E994">
        <x:f>IF(H994=1,MAX(-'幕间与结算'!E901,MIN(D994,IF(LEFT(C994,3)="技能：",99,IF(COUNTIF($L$2:$L$7,C994)&gt;0,18,999))-'幕间与结算'!E901)),0)</x:f>
        <x:v>0</x:v>
      </x:c>
      <x:c r="F994" t="str">
        <x:f>IF(C994=0,"",IF(G994=0,"记录不完整",IF(H994=0,"重复未计","已计入")))</x:f>
        <x:v/>
      </x:c>
      <x:c r="G994">
        <x:f>IF(AND(AND('幕间与结算'!A901&lt;&gt;"",'幕间与结算'!B901&lt;&gt;"",'幕间与结算'!I901&lt;&gt;"",OR(LEFT(C994,3)="技能：",COUNTIF($L$2:$L$19,C994)&gt;0),ISNUMBER('幕间与结算'!E901),ISNUMBER('幕间与结算'!F901),ISNUMBER('幕间与结算'!G901),'幕间与结算'!E901&gt;=0,'幕间与结算'!G901='幕间与结算'!E901+'幕间与结算'!F901),OR(B994&lt;&gt;"成长",AND(LEFT(C994,3)="技能：",C994&lt;&gt;"技能：非自然知识",'幕间与结算'!E901&gt;=1,'幕间与结算'!E901&lt;=99,'幕间与结算'!F901&gt;=0,'幕间与结算'!F901&lt;=4,'幕间与结算'!G901&lt;=99))),1,0)</x:f>
        <x:v>0</x:v>
      </x:c>
      <x:c r="H994">
        <x:f>IF(AND(G994=1,COUNTIFS($I$200:I994,I994,$G$200:G994,1)=1),1,0)</x:f>
        <x:v>0</x:v>
      </x:c>
      <x:c r="I994" t="str">
        <x:f>IF(G994=1,IF(B994="成长",A994&amp;"-成长-"&amp;C994,'幕间与结算'!I901),"")</x:f>
        <x:v/>
      </x:c>
      <x:c r="BF994">
        <x:f>MAX(0,MIN(18,BF993+IF(C994="力量",E994,0)))</x:f>
        <x:v>0</x:v>
      </x:c>
      <x:c r="BG994">
        <x:f>MAX(0,MIN(18,BG993+IF(C994="体质",E994,0)))</x:f>
        <x:v>0</x:v>
      </x:c>
      <x:c r="BH994">
        <x:f>MAX(0,MIN(18,BH993+IF(C994="敏捷",E994,0)))</x:f>
        <x:v>0</x:v>
      </x:c>
      <x:c r="BI994">
        <x:f>MAX(0,MIN(18,BI993+IF(C994="智力",E994,0)))</x:f>
        <x:v>0</x:v>
      </x:c>
      <x:c r="BJ994">
        <x:f>MAX(0,MIN(18,BJ993+IF(C994="意志",E994,0)))</x:f>
        <x:v>0</x:v>
      </x:c>
      <x:c r="BK994">
        <x:f>MAX(0,MIN(18,BK993+IF(C994="魅力",E994,0)))</x:f>
        <x:v>0</x:v>
      </x:c>
      <x:c r="BL994">
        <x:f>MAX(0,MIN(99,BL993+IF(C994="技能：非自然知识",E994,0)))</x:f>
        <x:v>0</x:v>
      </x:c>
      <x:c r="BM994">
        <x:f>MAX(0,MIN(CEILING((BF994+BG994)/2,1),BM993+IF(C994="体力",E994,0)))</x:f>
        <x:v>0</x:v>
      </x:c>
      <x:c r="BN994">
        <x:f>MAX(0,MIN(BJ994,BN993+IF(C994="毅力",E994,0)))</x:f>
        <x:v>0</x:v>
      </x:c>
      <x:c r="BO994">
        <x:f>MAX(0,MIN(99-BL994,BO993+IF(C994="理智",E994,0)))</x:f>
        <x:v>0</x:v>
      </x:c>
      <x:c r="BP994">
        <x:f>MAX(0,MIN(99,BP993+IF(C994="崩溃点",E994,0)))</x:f>
        <x:v>0</x:v>
      </x:c>
      <x:c r="BQ994">
        <x:f>MAX(0,MIN(BK994,IF(AND(H994=1,C994="重要关系1",LEFT('幕间与结算'!H901,8)="建立新的重要关系"),'幕间与结算'!E901+E994,BQ993+IF(C994="重要关系1",E994,0)+IF(AND(C994="魅力",E994&lt;0),E994,0))))</x:f>
        <x:v>0</x:v>
      </x:c>
      <x:c r="BR994">
        <x:f>MAX(0,MIN(BK994,IF(AND(H994=1,C994="重要关系2",LEFT('幕间与结算'!H901,8)="建立新的重要关系"),'幕间与结算'!E901+E994,BR993+IF(C994="重要关系2",E994,0)+IF(AND(C994="魅力",E994&lt;0),E994,0))))</x:f>
        <x:v>0</x:v>
      </x:c>
      <x:c r="BS994">
        <x:f>MAX(0,MIN(BK994,IF(AND(H994=1,C994="重要关系3",LEFT('幕间与结算'!H901,8)="建立新的重要关系"),'幕间与结算'!E901+E994,BS993+IF(C994="重要关系3",E994,0)+IF(AND(C994="魅力",E994&lt;0),E994,0))))</x:f>
        <x:v>0</x:v>
      </x:c>
      <x:c r="BT994">
        <x:f>MAX(0,MIN(BK994,IF(AND(H994=1,C994="重要关系4",LEFT('幕间与结算'!H901,8)="建立新的重要关系"),'幕间与结算'!E901+E994,BT993+IF(C994="重要关系4",E994,0)+IF(AND(C994="魅力",E994&lt;0),E994,0))))</x:f>
        <x:v>0</x:v>
      </x:c>
      <x:c r="BU994">
        <x:f>MAX(0,MIN(BK994,IF(AND(H994=1,C994="重要关系5",LEFT('幕间与结算'!H901,8)="建立新的重要关系"),'幕间与结算'!E901+E994,BU993+IF(C994="重要关系5",E994,0)+IF(AND(C994="魅力",E994&lt;0),E994,0))))</x:f>
        <x:v>0</x:v>
      </x:c>
      <x:c r="BV994">
        <x:f>MAX(0,MIN(BK994,IF(AND(H994=1,C994="重要关系6",LEFT('幕间与结算'!H901,8)="建立新的重要关系"),'幕间与结算'!E901+E994,BV993+IF(C994="重要关系6",E994,0)+IF(AND(C994="魅力",E994&lt;0),E994,0))))</x:f>
        <x:v>0</x:v>
      </x:c>
      <x:c r="BW994">
        <x:f>MAX(0,MIN(BK994,IF(AND(H994=1,C994="重要关系7",LEFT('幕间与结算'!H901,8)="建立新的重要关系"),'幕间与结算'!E901+E994,BW993+IF(C994="重要关系7",E994,0)+IF(AND(C994="魅力",E994&lt;0),E994,0))))</x:f>
        <x:v>0</x:v>
      </x:c>
    </x:row>
    <x:row r="995">
      <x:c r="A995" t="str">
        <x:f>IFERROR(TEXT(VALUE('幕间与结算'!A902),"00"),"")</x:f>
        <x:v>00</x:v>
      </x:c>
      <x:c r="B995">
        <x:f>'幕间与结算'!B902</x:f>
        <x:v>0</x:v>
      </x:c>
      <x:c r="C995">
        <x:f>'幕间与结算'!D902</x:f>
        <x:v>0</x:v>
      </x:c>
      <x:c r="D995">
        <x:f>'幕间与结算'!F902</x:f>
        <x:v>0</x:v>
      </x:c>
      <x:c r="E995">
        <x:f>IF(H995=1,MAX(-'幕间与结算'!E902,MIN(D995,IF(LEFT(C995,3)="技能：",99,IF(COUNTIF($L$2:$L$7,C995)&gt;0,18,999))-'幕间与结算'!E902)),0)</x:f>
        <x:v>0</x:v>
      </x:c>
      <x:c r="F995" t="str">
        <x:f>IF(C995=0,"",IF(G995=0,"记录不完整",IF(H995=0,"重复未计","已计入")))</x:f>
        <x:v/>
      </x:c>
      <x:c r="G995">
        <x:f>IF(AND(AND('幕间与结算'!A902&lt;&gt;"",'幕间与结算'!B902&lt;&gt;"",'幕间与结算'!I902&lt;&gt;"",OR(LEFT(C995,3)="技能：",COUNTIF($L$2:$L$19,C995)&gt;0),ISNUMBER('幕间与结算'!E902),ISNUMBER('幕间与结算'!F902),ISNUMBER('幕间与结算'!G902),'幕间与结算'!E902&gt;=0,'幕间与结算'!G902='幕间与结算'!E902+'幕间与结算'!F902),OR(B995&lt;&gt;"成长",AND(LEFT(C995,3)="技能：",C995&lt;&gt;"技能：非自然知识",'幕间与结算'!E902&gt;=1,'幕间与结算'!E902&lt;=99,'幕间与结算'!F902&gt;=0,'幕间与结算'!F902&lt;=4,'幕间与结算'!G902&lt;=99))),1,0)</x:f>
        <x:v>0</x:v>
      </x:c>
      <x:c r="H995">
        <x:f>IF(AND(G995=1,COUNTIFS($I$200:I995,I995,$G$200:G995,1)=1),1,0)</x:f>
        <x:v>0</x:v>
      </x:c>
      <x:c r="I995" t="str">
        <x:f>IF(G995=1,IF(B995="成长",A995&amp;"-成长-"&amp;C995,'幕间与结算'!I902),"")</x:f>
        <x:v/>
      </x:c>
      <x:c r="BF995">
        <x:f>MAX(0,MIN(18,BF994+IF(C995="力量",E995,0)))</x:f>
        <x:v>0</x:v>
      </x:c>
      <x:c r="BG995">
        <x:f>MAX(0,MIN(18,BG994+IF(C995="体质",E995,0)))</x:f>
        <x:v>0</x:v>
      </x:c>
      <x:c r="BH995">
        <x:f>MAX(0,MIN(18,BH994+IF(C995="敏捷",E995,0)))</x:f>
        <x:v>0</x:v>
      </x:c>
      <x:c r="BI995">
        <x:f>MAX(0,MIN(18,BI994+IF(C995="智力",E995,0)))</x:f>
        <x:v>0</x:v>
      </x:c>
      <x:c r="BJ995">
        <x:f>MAX(0,MIN(18,BJ994+IF(C995="意志",E995,0)))</x:f>
        <x:v>0</x:v>
      </x:c>
      <x:c r="BK995">
        <x:f>MAX(0,MIN(18,BK994+IF(C995="魅力",E995,0)))</x:f>
        <x:v>0</x:v>
      </x:c>
      <x:c r="BL995">
        <x:f>MAX(0,MIN(99,BL994+IF(C995="技能：非自然知识",E995,0)))</x:f>
        <x:v>0</x:v>
      </x:c>
      <x:c r="BM995">
        <x:f>MAX(0,MIN(CEILING((BF995+BG995)/2,1),BM994+IF(C995="体力",E995,0)))</x:f>
        <x:v>0</x:v>
      </x:c>
      <x:c r="BN995">
        <x:f>MAX(0,MIN(BJ995,BN994+IF(C995="毅力",E995,0)))</x:f>
        <x:v>0</x:v>
      </x:c>
      <x:c r="BO995">
        <x:f>MAX(0,MIN(99-BL995,BO994+IF(C995="理智",E995,0)))</x:f>
        <x:v>0</x:v>
      </x:c>
      <x:c r="BP995">
        <x:f>MAX(0,MIN(99,BP994+IF(C995="崩溃点",E995,0)))</x:f>
        <x:v>0</x:v>
      </x:c>
      <x:c r="BQ995">
        <x:f>MAX(0,MIN(BK995,IF(AND(H995=1,C995="重要关系1",LEFT('幕间与结算'!H902,8)="建立新的重要关系"),'幕间与结算'!E902+E995,BQ994+IF(C995="重要关系1",E995,0)+IF(AND(C995="魅力",E995&lt;0),E995,0))))</x:f>
        <x:v>0</x:v>
      </x:c>
      <x:c r="BR995">
        <x:f>MAX(0,MIN(BK995,IF(AND(H995=1,C995="重要关系2",LEFT('幕间与结算'!H902,8)="建立新的重要关系"),'幕间与结算'!E902+E995,BR994+IF(C995="重要关系2",E995,0)+IF(AND(C995="魅力",E995&lt;0),E995,0))))</x:f>
        <x:v>0</x:v>
      </x:c>
      <x:c r="BS995">
        <x:f>MAX(0,MIN(BK995,IF(AND(H995=1,C995="重要关系3",LEFT('幕间与结算'!H902,8)="建立新的重要关系"),'幕间与结算'!E902+E995,BS994+IF(C995="重要关系3",E995,0)+IF(AND(C995="魅力",E995&lt;0),E995,0))))</x:f>
        <x:v>0</x:v>
      </x:c>
      <x:c r="BT995">
        <x:f>MAX(0,MIN(BK995,IF(AND(H995=1,C995="重要关系4",LEFT('幕间与结算'!H902,8)="建立新的重要关系"),'幕间与结算'!E902+E995,BT994+IF(C995="重要关系4",E995,0)+IF(AND(C995="魅力",E995&lt;0),E995,0))))</x:f>
        <x:v>0</x:v>
      </x:c>
      <x:c r="BU995">
        <x:f>MAX(0,MIN(BK995,IF(AND(H995=1,C995="重要关系5",LEFT('幕间与结算'!H902,8)="建立新的重要关系"),'幕间与结算'!E902+E995,BU994+IF(C995="重要关系5",E995,0)+IF(AND(C995="魅力",E995&lt;0),E995,0))))</x:f>
        <x:v>0</x:v>
      </x:c>
      <x:c r="BV995">
        <x:f>MAX(0,MIN(BK995,IF(AND(H995=1,C995="重要关系6",LEFT('幕间与结算'!H902,8)="建立新的重要关系"),'幕间与结算'!E902+E995,BV994+IF(C995="重要关系6",E995,0)+IF(AND(C995="魅力",E995&lt;0),E995,0))))</x:f>
        <x:v>0</x:v>
      </x:c>
      <x:c r="BW995">
        <x:f>MAX(0,MIN(BK995,IF(AND(H995=1,C995="重要关系7",LEFT('幕间与结算'!H902,8)="建立新的重要关系"),'幕间与结算'!E902+E995,BW994+IF(C995="重要关系7",E995,0)+IF(AND(C995="魅力",E995&lt;0),E995,0))))</x:f>
        <x:v>0</x:v>
      </x:c>
    </x:row>
    <x:row r="996">
      <x:c r="A996" t="str">
        <x:f>IFERROR(TEXT(VALUE('幕间与结算'!A903),"00"),"")</x:f>
        <x:v>00</x:v>
      </x:c>
      <x:c r="B996">
        <x:f>'幕间与结算'!B903</x:f>
        <x:v>0</x:v>
      </x:c>
      <x:c r="C996">
        <x:f>'幕间与结算'!D903</x:f>
        <x:v>0</x:v>
      </x:c>
      <x:c r="D996">
        <x:f>'幕间与结算'!F903</x:f>
        <x:v>0</x:v>
      </x:c>
      <x:c r="E996">
        <x:f>IF(H996=1,MAX(-'幕间与结算'!E903,MIN(D996,IF(LEFT(C996,3)="技能：",99,IF(COUNTIF($L$2:$L$7,C996)&gt;0,18,999))-'幕间与结算'!E903)),0)</x:f>
        <x:v>0</x:v>
      </x:c>
      <x:c r="F996" t="str">
        <x:f>IF(C996=0,"",IF(G996=0,"记录不完整",IF(H996=0,"重复未计","已计入")))</x:f>
        <x:v/>
      </x:c>
      <x:c r="G996">
        <x:f>IF(AND(AND('幕间与结算'!A903&lt;&gt;"",'幕间与结算'!B903&lt;&gt;"",'幕间与结算'!I903&lt;&gt;"",OR(LEFT(C996,3)="技能：",COUNTIF($L$2:$L$19,C996)&gt;0),ISNUMBER('幕间与结算'!E903),ISNUMBER('幕间与结算'!F903),ISNUMBER('幕间与结算'!G903),'幕间与结算'!E903&gt;=0,'幕间与结算'!G903='幕间与结算'!E903+'幕间与结算'!F903),OR(B996&lt;&gt;"成长",AND(LEFT(C996,3)="技能：",C996&lt;&gt;"技能：非自然知识",'幕间与结算'!E903&gt;=1,'幕间与结算'!E903&lt;=99,'幕间与结算'!F903&gt;=0,'幕间与结算'!F903&lt;=4,'幕间与结算'!G903&lt;=99))),1,0)</x:f>
        <x:v>0</x:v>
      </x:c>
      <x:c r="H996">
        <x:f>IF(AND(G996=1,COUNTIFS($I$200:I996,I996,$G$200:G996,1)=1),1,0)</x:f>
        <x:v>0</x:v>
      </x:c>
      <x:c r="I996" t="str">
        <x:f>IF(G996=1,IF(B996="成长",A996&amp;"-成长-"&amp;C996,'幕间与结算'!I903),"")</x:f>
        <x:v/>
      </x:c>
      <x:c r="BF996">
        <x:f>MAX(0,MIN(18,BF995+IF(C996="力量",E996,0)))</x:f>
        <x:v>0</x:v>
      </x:c>
      <x:c r="BG996">
        <x:f>MAX(0,MIN(18,BG995+IF(C996="体质",E996,0)))</x:f>
        <x:v>0</x:v>
      </x:c>
      <x:c r="BH996">
        <x:f>MAX(0,MIN(18,BH995+IF(C996="敏捷",E996,0)))</x:f>
        <x:v>0</x:v>
      </x:c>
      <x:c r="BI996">
        <x:f>MAX(0,MIN(18,BI995+IF(C996="智力",E996,0)))</x:f>
        <x:v>0</x:v>
      </x:c>
      <x:c r="BJ996">
        <x:f>MAX(0,MIN(18,BJ995+IF(C996="意志",E996,0)))</x:f>
        <x:v>0</x:v>
      </x:c>
      <x:c r="BK996">
        <x:f>MAX(0,MIN(18,BK995+IF(C996="魅力",E996,0)))</x:f>
        <x:v>0</x:v>
      </x:c>
      <x:c r="BL996">
        <x:f>MAX(0,MIN(99,BL995+IF(C996="技能：非自然知识",E996,0)))</x:f>
        <x:v>0</x:v>
      </x:c>
      <x:c r="BM996">
        <x:f>MAX(0,MIN(CEILING((BF996+BG996)/2,1),BM995+IF(C996="体力",E996,0)))</x:f>
        <x:v>0</x:v>
      </x:c>
      <x:c r="BN996">
        <x:f>MAX(0,MIN(BJ996,BN995+IF(C996="毅力",E996,0)))</x:f>
        <x:v>0</x:v>
      </x:c>
      <x:c r="BO996">
        <x:f>MAX(0,MIN(99-BL996,BO995+IF(C996="理智",E996,0)))</x:f>
        <x:v>0</x:v>
      </x:c>
      <x:c r="BP996">
        <x:f>MAX(0,MIN(99,BP995+IF(C996="崩溃点",E996,0)))</x:f>
        <x:v>0</x:v>
      </x:c>
      <x:c r="BQ996">
        <x:f>MAX(0,MIN(BK996,IF(AND(H996=1,C996="重要关系1",LEFT('幕间与结算'!H903,8)="建立新的重要关系"),'幕间与结算'!E903+E996,BQ995+IF(C996="重要关系1",E996,0)+IF(AND(C996="魅力",E996&lt;0),E996,0))))</x:f>
        <x:v>0</x:v>
      </x:c>
      <x:c r="BR996">
        <x:f>MAX(0,MIN(BK996,IF(AND(H996=1,C996="重要关系2",LEFT('幕间与结算'!H903,8)="建立新的重要关系"),'幕间与结算'!E903+E996,BR995+IF(C996="重要关系2",E996,0)+IF(AND(C996="魅力",E996&lt;0),E996,0))))</x:f>
        <x:v>0</x:v>
      </x:c>
      <x:c r="BS996">
        <x:f>MAX(0,MIN(BK996,IF(AND(H996=1,C996="重要关系3",LEFT('幕间与结算'!H903,8)="建立新的重要关系"),'幕间与结算'!E903+E996,BS995+IF(C996="重要关系3",E996,0)+IF(AND(C996="魅力",E996&lt;0),E996,0))))</x:f>
        <x:v>0</x:v>
      </x:c>
      <x:c r="BT996">
        <x:f>MAX(0,MIN(BK996,IF(AND(H996=1,C996="重要关系4",LEFT('幕间与结算'!H903,8)="建立新的重要关系"),'幕间与结算'!E903+E996,BT995+IF(C996="重要关系4",E996,0)+IF(AND(C996="魅力",E996&lt;0),E996,0))))</x:f>
        <x:v>0</x:v>
      </x:c>
      <x:c r="BU996">
        <x:f>MAX(0,MIN(BK996,IF(AND(H996=1,C996="重要关系5",LEFT('幕间与结算'!H903,8)="建立新的重要关系"),'幕间与结算'!E903+E996,BU995+IF(C996="重要关系5",E996,0)+IF(AND(C996="魅力",E996&lt;0),E996,0))))</x:f>
        <x:v>0</x:v>
      </x:c>
      <x:c r="BV996">
        <x:f>MAX(0,MIN(BK996,IF(AND(H996=1,C996="重要关系6",LEFT('幕间与结算'!H903,8)="建立新的重要关系"),'幕间与结算'!E903+E996,BV995+IF(C996="重要关系6",E996,0)+IF(AND(C996="魅力",E996&lt;0),E996,0))))</x:f>
        <x:v>0</x:v>
      </x:c>
      <x:c r="BW996">
        <x:f>MAX(0,MIN(BK996,IF(AND(H996=1,C996="重要关系7",LEFT('幕间与结算'!H903,8)="建立新的重要关系"),'幕间与结算'!E903+E996,BW995+IF(C996="重要关系7",E996,0)+IF(AND(C996="魅力",E996&lt;0),E996,0))))</x:f>
        <x:v>0</x:v>
      </x:c>
    </x:row>
    <x:row r="997">
      <x:c r="A997" t="str">
        <x:f>IFERROR(TEXT(VALUE('幕间与结算'!A904),"00"),"")</x:f>
        <x:v>00</x:v>
      </x:c>
      <x:c r="B997">
        <x:f>'幕间与结算'!B904</x:f>
        <x:v>0</x:v>
      </x:c>
      <x:c r="C997">
        <x:f>'幕间与结算'!D904</x:f>
        <x:v>0</x:v>
      </x:c>
      <x:c r="D997">
        <x:f>'幕间与结算'!F904</x:f>
        <x:v>0</x:v>
      </x:c>
      <x:c r="E997">
        <x:f>IF(H997=1,MAX(-'幕间与结算'!E904,MIN(D997,IF(LEFT(C997,3)="技能：",99,IF(COUNTIF($L$2:$L$7,C997)&gt;0,18,999))-'幕间与结算'!E904)),0)</x:f>
        <x:v>0</x:v>
      </x:c>
      <x:c r="F997" t="str">
        <x:f>IF(C997=0,"",IF(G997=0,"记录不完整",IF(H997=0,"重复未计","已计入")))</x:f>
        <x:v/>
      </x:c>
      <x:c r="G997">
        <x:f>IF(AND(AND('幕间与结算'!A904&lt;&gt;"",'幕间与结算'!B904&lt;&gt;"",'幕间与结算'!I904&lt;&gt;"",OR(LEFT(C997,3)="技能：",COUNTIF($L$2:$L$19,C997)&gt;0),ISNUMBER('幕间与结算'!E904),ISNUMBER('幕间与结算'!F904),ISNUMBER('幕间与结算'!G904),'幕间与结算'!E904&gt;=0,'幕间与结算'!G904='幕间与结算'!E904+'幕间与结算'!F904),OR(B997&lt;&gt;"成长",AND(LEFT(C997,3)="技能：",C997&lt;&gt;"技能：非自然知识",'幕间与结算'!E904&gt;=1,'幕间与结算'!E904&lt;=99,'幕间与结算'!F904&gt;=0,'幕间与结算'!F904&lt;=4,'幕间与结算'!G904&lt;=99))),1,0)</x:f>
        <x:v>0</x:v>
      </x:c>
      <x:c r="H997">
        <x:f>IF(AND(G997=1,COUNTIFS($I$200:I997,I997,$G$200:G997,1)=1),1,0)</x:f>
        <x:v>0</x:v>
      </x:c>
      <x:c r="I997" t="str">
        <x:f>IF(G997=1,IF(B997="成长",A997&amp;"-成长-"&amp;C997,'幕间与结算'!I904),"")</x:f>
        <x:v/>
      </x:c>
      <x:c r="BF997">
        <x:f>MAX(0,MIN(18,BF996+IF(C997="力量",E997,0)))</x:f>
        <x:v>0</x:v>
      </x:c>
      <x:c r="BG997">
        <x:f>MAX(0,MIN(18,BG996+IF(C997="体质",E997,0)))</x:f>
        <x:v>0</x:v>
      </x:c>
      <x:c r="BH997">
        <x:f>MAX(0,MIN(18,BH996+IF(C997="敏捷",E997,0)))</x:f>
        <x:v>0</x:v>
      </x:c>
      <x:c r="BI997">
        <x:f>MAX(0,MIN(18,BI996+IF(C997="智力",E997,0)))</x:f>
        <x:v>0</x:v>
      </x:c>
      <x:c r="BJ997">
        <x:f>MAX(0,MIN(18,BJ996+IF(C997="意志",E997,0)))</x:f>
        <x:v>0</x:v>
      </x:c>
      <x:c r="BK997">
        <x:f>MAX(0,MIN(18,BK996+IF(C997="魅力",E997,0)))</x:f>
        <x:v>0</x:v>
      </x:c>
      <x:c r="BL997">
        <x:f>MAX(0,MIN(99,BL996+IF(C997="技能：非自然知识",E997,0)))</x:f>
        <x:v>0</x:v>
      </x:c>
      <x:c r="BM997">
        <x:f>MAX(0,MIN(CEILING((BF997+BG997)/2,1),BM996+IF(C997="体力",E997,0)))</x:f>
        <x:v>0</x:v>
      </x:c>
      <x:c r="BN997">
        <x:f>MAX(0,MIN(BJ997,BN996+IF(C997="毅力",E997,0)))</x:f>
        <x:v>0</x:v>
      </x:c>
      <x:c r="BO997">
        <x:f>MAX(0,MIN(99-BL997,BO996+IF(C997="理智",E997,0)))</x:f>
        <x:v>0</x:v>
      </x:c>
      <x:c r="BP997">
        <x:f>MAX(0,MIN(99,BP996+IF(C997="崩溃点",E997,0)))</x:f>
        <x:v>0</x:v>
      </x:c>
      <x:c r="BQ997">
        <x:f>MAX(0,MIN(BK997,IF(AND(H997=1,C997="重要关系1",LEFT('幕间与结算'!H904,8)="建立新的重要关系"),'幕间与结算'!E904+E997,BQ996+IF(C997="重要关系1",E997,0)+IF(AND(C997="魅力",E997&lt;0),E997,0))))</x:f>
        <x:v>0</x:v>
      </x:c>
      <x:c r="BR997">
        <x:f>MAX(0,MIN(BK997,IF(AND(H997=1,C997="重要关系2",LEFT('幕间与结算'!H904,8)="建立新的重要关系"),'幕间与结算'!E904+E997,BR996+IF(C997="重要关系2",E997,0)+IF(AND(C997="魅力",E997&lt;0),E997,0))))</x:f>
        <x:v>0</x:v>
      </x:c>
      <x:c r="BS997">
        <x:f>MAX(0,MIN(BK997,IF(AND(H997=1,C997="重要关系3",LEFT('幕间与结算'!H904,8)="建立新的重要关系"),'幕间与结算'!E904+E997,BS996+IF(C997="重要关系3",E997,0)+IF(AND(C997="魅力",E997&lt;0),E997,0))))</x:f>
        <x:v>0</x:v>
      </x:c>
      <x:c r="BT997">
        <x:f>MAX(0,MIN(BK997,IF(AND(H997=1,C997="重要关系4",LEFT('幕间与结算'!H904,8)="建立新的重要关系"),'幕间与结算'!E904+E997,BT996+IF(C997="重要关系4",E997,0)+IF(AND(C997="魅力",E997&lt;0),E997,0))))</x:f>
        <x:v>0</x:v>
      </x:c>
      <x:c r="BU997">
        <x:f>MAX(0,MIN(BK997,IF(AND(H997=1,C997="重要关系5",LEFT('幕间与结算'!H904,8)="建立新的重要关系"),'幕间与结算'!E904+E997,BU996+IF(C997="重要关系5",E997,0)+IF(AND(C997="魅力",E997&lt;0),E997,0))))</x:f>
        <x:v>0</x:v>
      </x:c>
      <x:c r="BV997">
        <x:f>MAX(0,MIN(BK997,IF(AND(H997=1,C997="重要关系6",LEFT('幕间与结算'!H904,8)="建立新的重要关系"),'幕间与结算'!E904+E997,BV996+IF(C997="重要关系6",E997,0)+IF(AND(C997="魅力",E997&lt;0),E997,0))))</x:f>
        <x:v>0</x:v>
      </x:c>
      <x:c r="BW997">
        <x:f>MAX(0,MIN(BK997,IF(AND(H997=1,C997="重要关系7",LEFT('幕间与结算'!H904,8)="建立新的重要关系"),'幕间与结算'!E904+E997,BW996+IF(C997="重要关系7",E997,0)+IF(AND(C997="魅力",E997&lt;0),E997,0))))</x:f>
        <x:v>0</x:v>
      </x:c>
    </x:row>
    <x:row r="998">
      <x:c r="A998" t="str">
        <x:f>IFERROR(TEXT(VALUE('幕间与结算'!A905),"00"),"")</x:f>
        <x:v>00</x:v>
      </x:c>
      <x:c r="B998">
        <x:f>'幕间与结算'!B905</x:f>
        <x:v>0</x:v>
      </x:c>
      <x:c r="C998">
        <x:f>'幕间与结算'!D905</x:f>
        <x:v>0</x:v>
      </x:c>
      <x:c r="D998">
        <x:f>'幕间与结算'!F905</x:f>
        <x:v>0</x:v>
      </x:c>
      <x:c r="E998">
        <x:f>IF(H998=1,MAX(-'幕间与结算'!E905,MIN(D998,IF(LEFT(C998,3)="技能：",99,IF(COUNTIF($L$2:$L$7,C998)&gt;0,18,999))-'幕间与结算'!E905)),0)</x:f>
        <x:v>0</x:v>
      </x:c>
      <x:c r="F998" t="str">
        <x:f>IF(C998=0,"",IF(G998=0,"记录不完整",IF(H998=0,"重复未计","已计入")))</x:f>
        <x:v/>
      </x:c>
      <x:c r="G998">
        <x:f>IF(AND(AND('幕间与结算'!A905&lt;&gt;"",'幕间与结算'!B905&lt;&gt;"",'幕间与结算'!I905&lt;&gt;"",OR(LEFT(C998,3)="技能：",COUNTIF($L$2:$L$19,C998)&gt;0),ISNUMBER('幕间与结算'!E905),ISNUMBER('幕间与结算'!F905),ISNUMBER('幕间与结算'!G905),'幕间与结算'!E905&gt;=0,'幕间与结算'!G905='幕间与结算'!E905+'幕间与结算'!F905),OR(B998&lt;&gt;"成长",AND(LEFT(C998,3)="技能：",C998&lt;&gt;"技能：非自然知识",'幕间与结算'!E905&gt;=1,'幕间与结算'!E905&lt;=99,'幕间与结算'!F905&gt;=0,'幕间与结算'!F905&lt;=4,'幕间与结算'!G905&lt;=99))),1,0)</x:f>
        <x:v>0</x:v>
      </x:c>
      <x:c r="H998">
        <x:f>IF(AND(G998=1,COUNTIFS($I$200:I998,I998,$G$200:G998,1)=1),1,0)</x:f>
        <x:v>0</x:v>
      </x:c>
      <x:c r="I998" t="str">
        <x:f>IF(G998=1,IF(B998="成长",A998&amp;"-成长-"&amp;C998,'幕间与结算'!I905),"")</x:f>
        <x:v/>
      </x:c>
      <x:c r="BF998">
        <x:f>MAX(0,MIN(18,BF997+IF(C998="力量",E998,0)))</x:f>
        <x:v>0</x:v>
      </x:c>
      <x:c r="BG998">
        <x:f>MAX(0,MIN(18,BG997+IF(C998="体质",E998,0)))</x:f>
        <x:v>0</x:v>
      </x:c>
      <x:c r="BH998">
        <x:f>MAX(0,MIN(18,BH997+IF(C998="敏捷",E998,0)))</x:f>
        <x:v>0</x:v>
      </x:c>
      <x:c r="BI998">
        <x:f>MAX(0,MIN(18,BI997+IF(C998="智力",E998,0)))</x:f>
        <x:v>0</x:v>
      </x:c>
      <x:c r="BJ998">
        <x:f>MAX(0,MIN(18,BJ997+IF(C998="意志",E998,0)))</x:f>
        <x:v>0</x:v>
      </x:c>
      <x:c r="BK998">
        <x:f>MAX(0,MIN(18,BK997+IF(C998="魅力",E998,0)))</x:f>
        <x:v>0</x:v>
      </x:c>
      <x:c r="BL998">
        <x:f>MAX(0,MIN(99,BL997+IF(C998="技能：非自然知识",E998,0)))</x:f>
        <x:v>0</x:v>
      </x:c>
      <x:c r="BM998">
        <x:f>MAX(0,MIN(CEILING((BF998+BG998)/2,1),BM997+IF(C998="体力",E998,0)))</x:f>
        <x:v>0</x:v>
      </x:c>
      <x:c r="BN998">
        <x:f>MAX(0,MIN(BJ998,BN997+IF(C998="毅力",E998,0)))</x:f>
        <x:v>0</x:v>
      </x:c>
      <x:c r="BO998">
        <x:f>MAX(0,MIN(99-BL998,BO997+IF(C998="理智",E998,0)))</x:f>
        <x:v>0</x:v>
      </x:c>
      <x:c r="BP998">
        <x:f>MAX(0,MIN(99,BP997+IF(C998="崩溃点",E998,0)))</x:f>
        <x:v>0</x:v>
      </x:c>
      <x:c r="BQ998">
        <x:f>MAX(0,MIN(BK998,IF(AND(H998=1,C998="重要关系1",LEFT('幕间与结算'!H905,8)="建立新的重要关系"),'幕间与结算'!E905+E998,BQ997+IF(C998="重要关系1",E998,0)+IF(AND(C998="魅力",E998&lt;0),E998,0))))</x:f>
        <x:v>0</x:v>
      </x:c>
      <x:c r="BR998">
        <x:f>MAX(0,MIN(BK998,IF(AND(H998=1,C998="重要关系2",LEFT('幕间与结算'!H905,8)="建立新的重要关系"),'幕间与结算'!E905+E998,BR997+IF(C998="重要关系2",E998,0)+IF(AND(C998="魅力",E998&lt;0),E998,0))))</x:f>
        <x:v>0</x:v>
      </x:c>
      <x:c r="BS998">
        <x:f>MAX(0,MIN(BK998,IF(AND(H998=1,C998="重要关系3",LEFT('幕间与结算'!H905,8)="建立新的重要关系"),'幕间与结算'!E905+E998,BS997+IF(C998="重要关系3",E998,0)+IF(AND(C998="魅力",E998&lt;0),E998,0))))</x:f>
        <x:v>0</x:v>
      </x:c>
      <x:c r="BT998">
        <x:f>MAX(0,MIN(BK998,IF(AND(H998=1,C998="重要关系4",LEFT('幕间与结算'!H905,8)="建立新的重要关系"),'幕间与结算'!E905+E998,BT997+IF(C998="重要关系4",E998,0)+IF(AND(C998="魅力",E998&lt;0),E998,0))))</x:f>
        <x:v>0</x:v>
      </x:c>
      <x:c r="BU998">
        <x:f>MAX(0,MIN(BK998,IF(AND(H998=1,C998="重要关系5",LEFT('幕间与结算'!H905,8)="建立新的重要关系"),'幕间与结算'!E905+E998,BU997+IF(C998="重要关系5",E998,0)+IF(AND(C998="魅力",E998&lt;0),E998,0))))</x:f>
        <x:v>0</x:v>
      </x:c>
      <x:c r="BV998">
        <x:f>MAX(0,MIN(BK998,IF(AND(H998=1,C998="重要关系6",LEFT('幕间与结算'!H905,8)="建立新的重要关系"),'幕间与结算'!E905+E998,BV997+IF(C998="重要关系6",E998,0)+IF(AND(C998="魅力",E998&lt;0),E998,0))))</x:f>
        <x:v>0</x:v>
      </x:c>
      <x:c r="BW998">
        <x:f>MAX(0,MIN(BK998,IF(AND(H998=1,C998="重要关系7",LEFT('幕间与结算'!H905,8)="建立新的重要关系"),'幕间与结算'!E905+E998,BW997+IF(C998="重要关系7",E998,0)+IF(AND(C998="魅力",E998&lt;0),E998,0))))</x:f>
        <x:v>0</x:v>
      </x:c>
    </x:row>
    <x:row r="999">
      <x:c r="A999" t="str">
        <x:f>IFERROR(TEXT(VALUE('幕间与结算'!A906),"00"),"")</x:f>
        <x:v>00</x:v>
      </x:c>
      <x:c r="B999">
        <x:f>'幕间与结算'!B906</x:f>
        <x:v>0</x:v>
      </x:c>
      <x:c r="C999">
        <x:f>'幕间与结算'!D906</x:f>
        <x:v>0</x:v>
      </x:c>
      <x:c r="D999">
        <x:f>'幕间与结算'!F906</x:f>
        <x:v>0</x:v>
      </x:c>
      <x:c r="E999">
        <x:f>IF(H999=1,MAX(-'幕间与结算'!E906,MIN(D999,IF(LEFT(C999,3)="技能：",99,IF(COUNTIF($L$2:$L$7,C999)&gt;0,18,999))-'幕间与结算'!E906)),0)</x:f>
        <x:v>0</x:v>
      </x:c>
      <x:c r="F999" t="str">
        <x:f>IF(C999=0,"",IF(G999=0,"记录不完整",IF(H999=0,"重复未计","已计入")))</x:f>
        <x:v/>
      </x:c>
      <x:c r="G999">
        <x:f>IF(AND(AND('幕间与结算'!A906&lt;&gt;"",'幕间与结算'!B906&lt;&gt;"",'幕间与结算'!I906&lt;&gt;"",OR(LEFT(C999,3)="技能：",COUNTIF($L$2:$L$19,C999)&gt;0),ISNUMBER('幕间与结算'!E906),ISNUMBER('幕间与结算'!F906),ISNUMBER('幕间与结算'!G906),'幕间与结算'!E906&gt;=0,'幕间与结算'!G906='幕间与结算'!E906+'幕间与结算'!F906),OR(B999&lt;&gt;"成长",AND(LEFT(C999,3)="技能：",C999&lt;&gt;"技能：非自然知识",'幕间与结算'!E906&gt;=1,'幕间与结算'!E906&lt;=99,'幕间与结算'!F906&gt;=0,'幕间与结算'!F906&lt;=4,'幕间与结算'!G906&lt;=99))),1,0)</x:f>
        <x:v>0</x:v>
      </x:c>
      <x:c r="H999">
        <x:f>IF(AND(G999=1,COUNTIFS($I$200:I999,I999,$G$200:G999,1)=1),1,0)</x:f>
        <x:v>0</x:v>
      </x:c>
      <x:c r="I999" t="str">
        <x:f>IF(G999=1,IF(B999="成长",A999&amp;"-成长-"&amp;C999,'幕间与结算'!I906),"")</x:f>
        <x:v/>
      </x:c>
      <x:c r="BF999">
        <x:f>MAX(0,MIN(18,BF998+IF(C999="力量",E999,0)))</x:f>
        <x:v>0</x:v>
      </x:c>
      <x:c r="BG999">
        <x:f>MAX(0,MIN(18,BG998+IF(C999="体质",E999,0)))</x:f>
        <x:v>0</x:v>
      </x:c>
      <x:c r="BH999">
        <x:f>MAX(0,MIN(18,BH998+IF(C999="敏捷",E999,0)))</x:f>
        <x:v>0</x:v>
      </x:c>
      <x:c r="BI999">
        <x:f>MAX(0,MIN(18,BI998+IF(C999="智力",E999,0)))</x:f>
        <x:v>0</x:v>
      </x:c>
      <x:c r="BJ999">
        <x:f>MAX(0,MIN(18,BJ998+IF(C999="意志",E999,0)))</x:f>
        <x:v>0</x:v>
      </x:c>
      <x:c r="BK999">
        <x:f>MAX(0,MIN(18,BK998+IF(C999="魅力",E999,0)))</x:f>
        <x:v>0</x:v>
      </x:c>
      <x:c r="BL999">
        <x:f>MAX(0,MIN(99,BL998+IF(C999="技能：非自然知识",E999,0)))</x:f>
        <x:v>0</x:v>
      </x:c>
      <x:c r="BM999">
        <x:f>MAX(0,MIN(CEILING((BF999+BG999)/2,1),BM998+IF(C999="体力",E999,0)))</x:f>
        <x:v>0</x:v>
      </x:c>
      <x:c r="BN999">
        <x:f>MAX(0,MIN(BJ999,BN998+IF(C999="毅力",E999,0)))</x:f>
        <x:v>0</x:v>
      </x:c>
      <x:c r="BO999">
        <x:f>MAX(0,MIN(99-BL999,BO998+IF(C999="理智",E999,0)))</x:f>
        <x:v>0</x:v>
      </x:c>
      <x:c r="BP999">
        <x:f>MAX(0,MIN(99,BP998+IF(C999="崩溃点",E999,0)))</x:f>
        <x:v>0</x:v>
      </x:c>
      <x:c r="BQ999">
        <x:f>MAX(0,MIN(BK999,IF(AND(H999=1,C999="重要关系1",LEFT('幕间与结算'!H906,8)="建立新的重要关系"),'幕间与结算'!E906+E999,BQ998+IF(C999="重要关系1",E999,0)+IF(AND(C999="魅力",E999&lt;0),E999,0))))</x:f>
        <x:v>0</x:v>
      </x:c>
      <x:c r="BR999">
        <x:f>MAX(0,MIN(BK999,IF(AND(H999=1,C999="重要关系2",LEFT('幕间与结算'!H906,8)="建立新的重要关系"),'幕间与结算'!E906+E999,BR998+IF(C999="重要关系2",E999,0)+IF(AND(C999="魅力",E999&lt;0),E999,0))))</x:f>
        <x:v>0</x:v>
      </x:c>
      <x:c r="BS999">
        <x:f>MAX(0,MIN(BK999,IF(AND(H999=1,C999="重要关系3",LEFT('幕间与结算'!H906,8)="建立新的重要关系"),'幕间与结算'!E906+E999,BS998+IF(C999="重要关系3",E999,0)+IF(AND(C999="魅力",E999&lt;0),E999,0))))</x:f>
        <x:v>0</x:v>
      </x:c>
      <x:c r="BT999">
        <x:f>MAX(0,MIN(BK999,IF(AND(H999=1,C999="重要关系4",LEFT('幕间与结算'!H906,8)="建立新的重要关系"),'幕间与结算'!E906+E999,BT998+IF(C999="重要关系4",E999,0)+IF(AND(C999="魅力",E999&lt;0),E999,0))))</x:f>
        <x:v>0</x:v>
      </x:c>
      <x:c r="BU999">
        <x:f>MAX(0,MIN(BK999,IF(AND(H999=1,C999="重要关系5",LEFT('幕间与结算'!H906,8)="建立新的重要关系"),'幕间与结算'!E906+E999,BU998+IF(C999="重要关系5",E999,0)+IF(AND(C999="魅力",E999&lt;0),E999,0))))</x:f>
        <x:v>0</x:v>
      </x:c>
      <x:c r="BV999">
        <x:f>MAX(0,MIN(BK999,IF(AND(H999=1,C999="重要关系6",LEFT('幕间与结算'!H906,8)="建立新的重要关系"),'幕间与结算'!E906+E999,BV998+IF(C999="重要关系6",E999,0)+IF(AND(C999="魅力",E999&lt;0),E999,0))))</x:f>
        <x:v>0</x:v>
      </x:c>
      <x:c r="BW999">
        <x:f>MAX(0,MIN(BK999,IF(AND(H999=1,C999="重要关系7",LEFT('幕间与结算'!H906,8)="建立新的重要关系"),'幕间与结算'!E906+E999,BW998+IF(C999="重要关系7",E999,0)+IF(AND(C999="魅力",E999&lt;0),E999,0))))</x:f>
        <x:v>0</x:v>
      </x:c>
    </x:row>
    <x:row r="1000">
      <x:c r="A1000" t="str">
        <x:f>IFERROR(TEXT(VALUE('幕间与结算'!A907),"00"),"")</x:f>
        <x:v>00</x:v>
      </x:c>
      <x:c r="B1000">
        <x:f>'幕间与结算'!B907</x:f>
        <x:v>0</x:v>
      </x:c>
      <x:c r="C1000">
        <x:f>'幕间与结算'!D907</x:f>
        <x:v>0</x:v>
      </x:c>
      <x:c r="D1000">
        <x:f>'幕间与结算'!F907</x:f>
        <x:v>0</x:v>
      </x:c>
      <x:c r="E1000">
        <x:f>IF(H1000=1,MAX(-'幕间与结算'!E907,MIN(D1000,IF(LEFT(C1000,3)="技能：",99,IF(COUNTIF($L$2:$L$7,C1000)&gt;0,18,999))-'幕间与结算'!E907)),0)</x:f>
        <x:v>0</x:v>
      </x:c>
      <x:c r="F1000" t="str">
        <x:f>IF(C1000=0,"",IF(G1000=0,"记录不完整",IF(H1000=0,"重复未计","已计入")))</x:f>
        <x:v/>
      </x:c>
      <x:c r="G1000">
        <x:f>IF(AND(AND('幕间与结算'!A907&lt;&gt;"",'幕间与结算'!B907&lt;&gt;"",'幕间与结算'!I907&lt;&gt;"",OR(LEFT(C1000,3)="技能：",COUNTIF($L$2:$L$19,C1000)&gt;0),ISNUMBER('幕间与结算'!E907),ISNUMBER('幕间与结算'!F907),ISNUMBER('幕间与结算'!G907),'幕间与结算'!E907&gt;=0,'幕间与结算'!G907='幕间与结算'!E907+'幕间与结算'!F907),OR(B1000&lt;&gt;"成长",AND(LEFT(C1000,3)="技能：",C1000&lt;&gt;"技能：非自然知识",'幕间与结算'!E907&gt;=1,'幕间与结算'!E907&lt;=99,'幕间与结算'!F907&gt;=0,'幕间与结算'!F907&lt;=4,'幕间与结算'!G907&lt;=99))),1,0)</x:f>
        <x:v>0</x:v>
      </x:c>
      <x:c r="H1000">
        <x:f>IF(AND(G1000=1,COUNTIFS($I$200:I1000,I1000,$G$200:G1000,1)=1),1,0)</x:f>
        <x:v>0</x:v>
      </x:c>
      <x:c r="I1000" t="str">
        <x:f>IF(G1000=1,IF(B1000="成长",A1000&amp;"-成长-"&amp;C1000,'幕间与结算'!I907),"")</x:f>
        <x:v/>
      </x:c>
      <x:c r="BF1000">
        <x:f>MAX(0,MIN(18,BF999+IF(C1000="力量",E1000,0)))</x:f>
        <x:v>0</x:v>
      </x:c>
      <x:c r="BG1000">
        <x:f>MAX(0,MIN(18,BG999+IF(C1000="体质",E1000,0)))</x:f>
        <x:v>0</x:v>
      </x:c>
      <x:c r="BH1000">
        <x:f>MAX(0,MIN(18,BH999+IF(C1000="敏捷",E1000,0)))</x:f>
        <x:v>0</x:v>
      </x:c>
      <x:c r="BI1000">
        <x:f>MAX(0,MIN(18,BI999+IF(C1000="智力",E1000,0)))</x:f>
        <x:v>0</x:v>
      </x:c>
      <x:c r="BJ1000">
        <x:f>MAX(0,MIN(18,BJ999+IF(C1000="意志",E1000,0)))</x:f>
        <x:v>0</x:v>
      </x:c>
      <x:c r="BK1000">
        <x:f>MAX(0,MIN(18,BK999+IF(C1000="魅力",E1000,0)))</x:f>
        <x:v>0</x:v>
      </x:c>
      <x:c r="BL1000">
        <x:f>MAX(0,MIN(99,BL999+IF(C1000="技能：非自然知识",E1000,0)))</x:f>
        <x:v>0</x:v>
      </x:c>
      <x:c r="BM1000">
        <x:f>MAX(0,MIN(CEILING((BF1000+BG1000)/2,1),BM999+IF(C1000="体力",E1000,0)))</x:f>
        <x:v>0</x:v>
      </x:c>
      <x:c r="BN1000">
        <x:f>MAX(0,MIN(BJ1000,BN999+IF(C1000="毅力",E1000,0)))</x:f>
        <x:v>0</x:v>
      </x:c>
      <x:c r="BO1000">
        <x:f>MAX(0,MIN(99-BL1000,BO999+IF(C1000="理智",E1000,0)))</x:f>
        <x:v>0</x:v>
      </x:c>
      <x:c r="BP1000">
        <x:f>MAX(0,MIN(99,BP999+IF(C1000="崩溃点",E1000,0)))</x:f>
        <x:v>0</x:v>
      </x:c>
      <x:c r="BQ1000">
        <x:f>MAX(0,MIN(BK1000,IF(AND(H1000=1,C1000="重要关系1",LEFT('幕间与结算'!H907,8)="建立新的重要关系"),'幕间与结算'!E907+E1000,BQ999+IF(C1000="重要关系1",E1000,0)+IF(AND(C1000="魅力",E1000&lt;0),E1000,0))))</x:f>
        <x:v>0</x:v>
      </x:c>
      <x:c r="BR1000">
        <x:f>MAX(0,MIN(BK1000,IF(AND(H1000=1,C1000="重要关系2",LEFT('幕间与结算'!H907,8)="建立新的重要关系"),'幕间与结算'!E907+E1000,BR999+IF(C1000="重要关系2",E1000,0)+IF(AND(C1000="魅力",E1000&lt;0),E1000,0))))</x:f>
        <x:v>0</x:v>
      </x:c>
      <x:c r="BS1000">
        <x:f>MAX(0,MIN(BK1000,IF(AND(H1000=1,C1000="重要关系3",LEFT('幕间与结算'!H907,8)="建立新的重要关系"),'幕间与结算'!E907+E1000,BS999+IF(C1000="重要关系3",E1000,0)+IF(AND(C1000="魅力",E1000&lt;0),E1000,0))))</x:f>
        <x:v>0</x:v>
      </x:c>
      <x:c r="BT1000">
        <x:f>MAX(0,MIN(BK1000,IF(AND(H1000=1,C1000="重要关系4",LEFT('幕间与结算'!H907,8)="建立新的重要关系"),'幕间与结算'!E907+E1000,BT999+IF(C1000="重要关系4",E1000,0)+IF(AND(C1000="魅力",E1000&lt;0),E1000,0))))</x:f>
        <x:v>0</x:v>
      </x:c>
      <x:c r="BU1000">
        <x:f>MAX(0,MIN(BK1000,IF(AND(H1000=1,C1000="重要关系5",LEFT('幕间与结算'!H907,8)="建立新的重要关系"),'幕间与结算'!E907+E1000,BU999+IF(C1000="重要关系5",E1000,0)+IF(AND(C1000="魅力",E1000&lt;0),E1000,0))))</x:f>
        <x:v>0</x:v>
      </x:c>
      <x:c r="BV1000">
        <x:f>MAX(0,MIN(BK1000,IF(AND(H1000=1,C1000="重要关系6",LEFT('幕间与结算'!H907,8)="建立新的重要关系"),'幕间与结算'!E907+E1000,BV999+IF(C1000="重要关系6",E1000,0)+IF(AND(C1000="魅力",E1000&lt;0),E1000,0))))</x:f>
        <x:v>0</x:v>
      </x:c>
      <x:c r="BW1000">
        <x:f>MAX(0,MIN(BK1000,IF(AND(H1000=1,C1000="重要关系7",LEFT('幕间与结算'!H907,8)="建立新的重要关系"),'幕间与结算'!E907+E1000,BW999+IF(C1000="重要关系7",E1000,0)+IF(AND(C1000="魅力",E1000&lt;0),E1000,0))))</x:f>
        <x:v>0</x:v>
      </x:c>
    </x:row>
    <x:row r="1001">
      <x:c r="A1001" t="str">
        <x:f>IFERROR(TEXT(VALUE('幕间与结算'!A908),"00"),"")</x:f>
        <x:v>00</x:v>
      </x:c>
      <x:c r="B1001">
        <x:f>'幕间与结算'!B908</x:f>
        <x:v>0</x:v>
      </x:c>
      <x:c r="C1001">
        <x:f>'幕间与结算'!D908</x:f>
        <x:v>0</x:v>
      </x:c>
      <x:c r="D1001">
        <x:f>'幕间与结算'!F908</x:f>
        <x:v>0</x:v>
      </x:c>
      <x:c r="E1001">
        <x:f>IF(H1001=1,MAX(-'幕间与结算'!E908,MIN(D1001,IF(LEFT(C1001,3)="技能：",99,IF(COUNTIF($L$2:$L$7,C1001)&gt;0,18,999))-'幕间与结算'!E908)),0)</x:f>
        <x:v>0</x:v>
      </x:c>
      <x:c r="F1001" t="str">
        <x:f>IF(C1001=0,"",IF(G1001=0,"记录不完整",IF(H1001=0,"重复未计","已计入")))</x:f>
        <x:v/>
      </x:c>
      <x:c r="G1001">
        <x:f>IF(AND(AND('幕间与结算'!A908&lt;&gt;"",'幕间与结算'!B908&lt;&gt;"",'幕间与结算'!I908&lt;&gt;"",OR(LEFT(C1001,3)="技能：",COUNTIF($L$2:$L$19,C1001)&gt;0),ISNUMBER('幕间与结算'!E908),ISNUMBER('幕间与结算'!F908),ISNUMBER('幕间与结算'!G908),'幕间与结算'!E908&gt;=0,'幕间与结算'!G908='幕间与结算'!E908+'幕间与结算'!F908),OR(B1001&lt;&gt;"成长",AND(LEFT(C1001,3)="技能：",C1001&lt;&gt;"技能：非自然知识",'幕间与结算'!E908&gt;=1,'幕间与结算'!E908&lt;=99,'幕间与结算'!F908&gt;=0,'幕间与结算'!F908&lt;=4,'幕间与结算'!G908&lt;=99))),1,0)</x:f>
        <x:v>0</x:v>
      </x:c>
      <x:c r="H1001">
        <x:f>IF(AND(G1001=1,COUNTIFS($I$200:I1001,I1001,$G$200:G1001,1)=1),1,0)</x:f>
        <x:v>0</x:v>
      </x:c>
      <x:c r="I1001" t="str">
        <x:f>IF(G1001=1,IF(B1001="成长",A1001&amp;"-成长-"&amp;C1001,'幕间与结算'!I908),"")</x:f>
        <x:v/>
      </x:c>
      <x:c r="BF1001">
        <x:f>MAX(0,MIN(18,BF1000+IF(C1001="力量",E1001,0)))</x:f>
        <x:v>0</x:v>
      </x:c>
      <x:c r="BG1001">
        <x:f>MAX(0,MIN(18,BG1000+IF(C1001="体质",E1001,0)))</x:f>
        <x:v>0</x:v>
      </x:c>
      <x:c r="BH1001">
        <x:f>MAX(0,MIN(18,BH1000+IF(C1001="敏捷",E1001,0)))</x:f>
        <x:v>0</x:v>
      </x:c>
      <x:c r="BI1001">
        <x:f>MAX(0,MIN(18,BI1000+IF(C1001="智力",E1001,0)))</x:f>
        <x:v>0</x:v>
      </x:c>
      <x:c r="BJ1001">
        <x:f>MAX(0,MIN(18,BJ1000+IF(C1001="意志",E1001,0)))</x:f>
        <x:v>0</x:v>
      </x:c>
      <x:c r="BK1001">
        <x:f>MAX(0,MIN(18,BK1000+IF(C1001="魅力",E1001,0)))</x:f>
        <x:v>0</x:v>
      </x:c>
      <x:c r="BL1001">
        <x:f>MAX(0,MIN(99,BL1000+IF(C1001="技能：非自然知识",E1001,0)))</x:f>
        <x:v>0</x:v>
      </x:c>
      <x:c r="BM1001">
        <x:f>MAX(0,MIN(CEILING((BF1001+BG1001)/2,1),BM1000+IF(C1001="体力",E1001,0)))</x:f>
        <x:v>0</x:v>
      </x:c>
      <x:c r="BN1001">
        <x:f>MAX(0,MIN(BJ1001,BN1000+IF(C1001="毅力",E1001,0)))</x:f>
        <x:v>0</x:v>
      </x:c>
      <x:c r="BO1001">
        <x:f>MAX(0,MIN(99-BL1001,BO1000+IF(C1001="理智",E1001,0)))</x:f>
        <x:v>0</x:v>
      </x:c>
      <x:c r="BP1001">
        <x:f>MAX(0,MIN(99,BP1000+IF(C1001="崩溃点",E1001,0)))</x:f>
        <x:v>0</x:v>
      </x:c>
      <x:c r="BQ1001">
        <x:f>MAX(0,MIN(BK1001,IF(AND(H1001=1,C1001="重要关系1",LEFT('幕间与结算'!H908,8)="建立新的重要关系"),'幕间与结算'!E908+E1001,BQ1000+IF(C1001="重要关系1",E1001,0)+IF(AND(C1001="魅力",E1001&lt;0),E1001,0))))</x:f>
        <x:v>0</x:v>
      </x:c>
      <x:c r="BR1001">
        <x:f>MAX(0,MIN(BK1001,IF(AND(H1001=1,C1001="重要关系2",LEFT('幕间与结算'!H908,8)="建立新的重要关系"),'幕间与结算'!E908+E1001,BR1000+IF(C1001="重要关系2",E1001,0)+IF(AND(C1001="魅力",E1001&lt;0),E1001,0))))</x:f>
        <x:v>0</x:v>
      </x:c>
      <x:c r="BS1001">
        <x:f>MAX(0,MIN(BK1001,IF(AND(H1001=1,C1001="重要关系3",LEFT('幕间与结算'!H908,8)="建立新的重要关系"),'幕间与结算'!E908+E1001,BS1000+IF(C1001="重要关系3",E1001,0)+IF(AND(C1001="魅力",E1001&lt;0),E1001,0))))</x:f>
        <x:v>0</x:v>
      </x:c>
      <x:c r="BT1001">
        <x:f>MAX(0,MIN(BK1001,IF(AND(H1001=1,C1001="重要关系4",LEFT('幕间与结算'!H908,8)="建立新的重要关系"),'幕间与结算'!E908+E1001,BT1000+IF(C1001="重要关系4",E1001,0)+IF(AND(C1001="魅力",E1001&lt;0),E1001,0))))</x:f>
        <x:v>0</x:v>
      </x:c>
      <x:c r="BU1001">
        <x:f>MAX(0,MIN(BK1001,IF(AND(H1001=1,C1001="重要关系5",LEFT('幕间与结算'!H908,8)="建立新的重要关系"),'幕间与结算'!E908+E1001,BU1000+IF(C1001="重要关系5",E1001,0)+IF(AND(C1001="魅力",E1001&lt;0),E1001,0))))</x:f>
        <x:v>0</x:v>
      </x:c>
      <x:c r="BV1001">
        <x:f>MAX(0,MIN(BK1001,IF(AND(H1001=1,C1001="重要关系6",LEFT('幕间与结算'!H908,8)="建立新的重要关系"),'幕间与结算'!E908+E1001,BV1000+IF(C1001="重要关系6",E1001,0)+IF(AND(C1001="魅力",E1001&lt;0),E1001,0))))</x:f>
        <x:v>0</x:v>
      </x:c>
      <x:c r="BW1001">
        <x:f>MAX(0,MIN(BK1001,IF(AND(H1001=1,C1001="重要关系7",LEFT('幕间与结算'!H908,8)="建立新的重要关系"),'幕间与结算'!E908+E1001,BW1000+IF(C1001="重要关系7",E1001,0)+IF(AND(C1001="魅力",E1001&lt;0),E1001,0))))</x:f>
        <x:v>0</x:v>
      </x:c>
    </x:row>
    <x:row r="1002">
      <x:c r="A1002" t="str">
        <x:f>IFERROR(TEXT(VALUE('幕间与结算'!A909),"00"),"")</x:f>
        <x:v>00</x:v>
      </x:c>
      <x:c r="B1002">
        <x:f>'幕间与结算'!B909</x:f>
        <x:v>0</x:v>
      </x:c>
      <x:c r="C1002">
        <x:f>'幕间与结算'!D909</x:f>
        <x:v>0</x:v>
      </x:c>
      <x:c r="D1002">
        <x:f>'幕间与结算'!F909</x:f>
        <x:v>0</x:v>
      </x:c>
      <x:c r="E1002">
        <x:f>IF(H1002=1,MAX(-'幕间与结算'!E909,MIN(D1002,IF(LEFT(C1002,3)="技能：",99,IF(COUNTIF($L$2:$L$7,C1002)&gt;0,18,999))-'幕间与结算'!E909)),0)</x:f>
        <x:v>0</x:v>
      </x:c>
      <x:c r="F1002" t="str">
        <x:f>IF(C1002=0,"",IF(G1002=0,"记录不完整",IF(H1002=0,"重复未计","已计入")))</x:f>
        <x:v/>
      </x:c>
      <x:c r="G1002">
        <x:f>IF(AND(AND('幕间与结算'!A909&lt;&gt;"",'幕间与结算'!B909&lt;&gt;"",'幕间与结算'!I909&lt;&gt;"",OR(LEFT(C1002,3)="技能：",COUNTIF($L$2:$L$19,C1002)&gt;0),ISNUMBER('幕间与结算'!E909),ISNUMBER('幕间与结算'!F909),ISNUMBER('幕间与结算'!G909),'幕间与结算'!E909&gt;=0,'幕间与结算'!G909='幕间与结算'!E909+'幕间与结算'!F909),OR(B1002&lt;&gt;"成长",AND(LEFT(C1002,3)="技能：",C1002&lt;&gt;"技能：非自然知识",'幕间与结算'!E909&gt;=1,'幕间与结算'!E909&lt;=99,'幕间与结算'!F909&gt;=0,'幕间与结算'!F909&lt;=4,'幕间与结算'!G909&lt;=99))),1,0)</x:f>
        <x:v>0</x:v>
      </x:c>
      <x:c r="H1002">
        <x:f>IF(AND(G1002=1,COUNTIFS($I$200:I1002,I1002,$G$200:G1002,1)=1),1,0)</x:f>
        <x:v>0</x:v>
      </x:c>
      <x:c r="I1002" t="str">
        <x:f>IF(G1002=1,IF(B1002="成长",A1002&amp;"-成长-"&amp;C1002,'幕间与结算'!I909),"")</x:f>
        <x:v/>
      </x:c>
      <x:c r="BF1002">
        <x:f>MAX(0,MIN(18,BF1001+IF(C1002="力量",E1002,0)))</x:f>
        <x:v>0</x:v>
      </x:c>
      <x:c r="BG1002">
        <x:f>MAX(0,MIN(18,BG1001+IF(C1002="体质",E1002,0)))</x:f>
        <x:v>0</x:v>
      </x:c>
      <x:c r="BH1002">
        <x:f>MAX(0,MIN(18,BH1001+IF(C1002="敏捷",E1002,0)))</x:f>
        <x:v>0</x:v>
      </x:c>
      <x:c r="BI1002">
        <x:f>MAX(0,MIN(18,BI1001+IF(C1002="智力",E1002,0)))</x:f>
        <x:v>0</x:v>
      </x:c>
      <x:c r="BJ1002">
        <x:f>MAX(0,MIN(18,BJ1001+IF(C1002="意志",E1002,0)))</x:f>
        <x:v>0</x:v>
      </x:c>
      <x:c r="BK1002">
        <x:f>MAX(0,MIN(18,BK1001+IF(C1002="魅力",E1002,0)))</x:f>
        <x:v>0</x:v>
      </x:c>
      <x:c r="BL1002">
        <x:f>MAX(0,MIN(99,BL1001+IF(C1002="技能：非自然知识",E1002,0)))</x:f>
        <x:v>0</x:v>
      </x:c>
      <x:c r="BM1002">
        <x:f>MAX(0,MIN(CEILING((BF1002+BG1002)/2,1),BM1001+IF(C1002="体力",E1002,0)))</x:f>
        <x:v>0</x:v>
      </x:c>
      <x:c r="BN1002">
        <x:f>MAX(0,MIN(BJ1002,BN1001+IF(C1002="毅力",E1002,0)))</x:f>
        <x:v>0</x:v>
      </x:c>
      <x:c r="BO1002">
        <x:f>MAX(0,MIN(99-BL1002,BO1001+IF(C1002="理智",E1002,0)))</x:f>
        <x:v>0</x:v>
      </x:c>
      <x:c r="BP1002">
        <x:f>MAX(0,MIN(99,BP1001+IF(C1002="崩溃点",E1002,0)))</x:f>
        <x:v>0</x:v>
      </x:c>
      <x:c r="BQ1002">
        <x:f>MAX(0,MIN(BK1002,IF(AND(H1002=1,C1002="重要关系1",LEFT('幕间与结算'!H909,8)="建立新的重要关系"),'幕间与结算'!E909+E1002,BQ1001+IF(C1002="重要关系1",E1002,0)+IF(AND(C1002="魅力",E1002&lt;0),E1002,0))))</x:f>
        <x:v>0</x:v>
      </x:c>
      <x:c r="BR1002">
        <x:f>MAX(0,MIN(BK1002,IF(AND(H1002=1,C1002="重要关系2",LEFT('幕间与结算'!H909,8)="建立新的重要关系"),'幕间与结算'!E909+E1002,BR1001+IF(C1002="重要关系2",E1002,0)+IF(AND(C1002="魅力",E1002&lt;0),E1002,0))))</x:f>
        <x:v>0</x:v>
      </x:c>
      <x:c r="BS1002">
        <x:f>MAX(0,MIN(BK1002,IF(AND(H1002=1,C1002="重要关系3",LEFT('幕间与结算'!H909,8)="建立新的重要关系"),'幕间与结算'!E909+E1002,BS1001+IF(C1002="重要关系3",E1002,0)+IF(AND(C1002="魅力",E1002&lt;0),E1002,0))))</x:f>
        <x:v>0</x:v>
      </x:c>
      <x:c r="BT1002">
        <x:f>MAX(0,MIN(BK1002,IF(AND(H1002=1,C1002="重要关系4",LEFT('幕间与结算'!H909,8)="建立新的重要关系"),'幕间与结算'!E909+E1002,BT1001+IF(C1002="重要关系4",E1002,0)+IF(AND(C1002="魅力",E1002&lt;0),E1002,0))))</x:f>
        <x:v>0</x:v>
      </x:c>
      <x:c r="BU1002">
        <x:f>MAX(0,MIN(BK1002,IF(AND(H1002=1,C1002="重要关系5",LEFT('幕间与结算'!H909,8)="建立新的重要关系"),'幕间与结算'!E909+E1002,BU1001+IF(C1002="重要关系5",E1002,0)+IF(AND(C1002="魅力",E1002&lt;0),E1002,0))))</x:f>
        <x:v>0</x:v>
      </x:c>
      <x:c r="BV1002">
        <x:f>MAX(0,MIN(BK1002,IF(AND(H1002=1,C1002="重要关系6",LEFT('幕间与结算'!H909,8)="建立新的重要关系"),'幕间与结算'!E909+E1002,BV1001+IF(C1002="重要关系6",E1002,0)+IF(AND(C1002="魅力",E1002&lt;0),E1002,0))))</x:f>
        <x:v>0</x:v>
      </x:c>
      <x:c r="BW1002">
        <x:f>MAX(0,MIN(BK1002,IF(AND(H1002=1,C1002="重要关系7",LEFT('幕间与结算'!H909,8)="建立新的重要关系"),'幕间与结算'!E909+E1002,BW1001+IF(C1002="重要关系7",E1002,0)+IF(AND(C1002="魅力",E1002&lt;0),E1002,0))))</x:f>
        <x:v>0</x:v>
      </x:c>
    </x:row>
    <x:row r="1003">
      <x:c r="A1003" t="str">
        <x:f>IFERROR(TEXT(VALUE('幕间与结算'!A910),"00"),"")</x:f>
        <x:v>00</x:v>
      </x:c>
      <x:c r="B1003">
        <x:f>'幕间与结算'!B910</x:f>
        <x:v>0</x:v>
      </x:c>
      <x:c r="C1003">
        <x:f>'幕间与结算'!D910</x:f>
        <x:v>0</x:v>
      </x:c>
      <x:c r="D1003">
        <x:f>'幕间与结算'!F910</x:f>
        <x:v>0</x:v>
      </x:c>
      <x:c r="E1003">
        <x:f>IF(H1003=1,MAX(-'幕间与结算'!E910,MIN(D1003,IF(LEFT(C1003,3)="技能：",99,IF(COUNTIF($L$2:$L$7,C1003)&gt;0,18,999))-'幕间与结算'!E910)),0)</x:f>
        <x:v>0</x:v>
      </x:c>
      <x:c r="F1003" t="str">
        <x:f>IF(C1003=0,"",IF(G1003=0,"记录不完整",IF(H1003=0,"重复未计","已计入")))</x:f>
        <x:v/>
      </x:c>
      <x:c r="G1003">
        <x:f>IF(AND(AND('幕间与结算'!A910&lt;&gt;"",'幕间与结算'!B910&lt;&gt;"",'幕间与结算'!I910&lt;&gt;"",OR(LEFT(C1003,3)="技能：",COUNTIF($L$2:$L$19,C1003)&gt;0),ISNUMBER('幕间与结算'!E910),ISNUMBER('幕间与结算'!F910),ISNUMBER('幕间与结算'!G910),'幕间与结算'!E910&gt;=0,'幕间与结算'!G910='幕间与结算'!E910+'幕间与结算'!F910),OR(B1003&lt;&gt;"成长",AND(LEFT(C1003,3)="技能：",C1003&lt;&gt;"技能：非自然知识",'幕间与结算'!E910&gt;=1,'幕间与结算'!E910&lt;=99,'幕间与结算'!F910&gt;=0,'幕间与结算'!F910&lt;=4,'幕间与结算'!G910&lt;=99))),1,0)</x:f>
        <x:v>0</x:v>
      </x:c>
      <x:c r="H1003">
        <x:f>IF(AND(G1003=1,COUNTIFS($I$200:I1003,I1003,$G$200:G1003,1)=1),1,0)</x:f>
        <x:v>0</x:v>
      </x:c>
      <x:c r="I1003" t="str">
        <x:f>IF(G1003=1,IF(B1003="成长",A1003&amp;"-成长-"&amp;C1003,'幕间与结算'!I910),"")</x:f>
        <x:v/>
      </x:c>
      <x:c r="BF1003">
        <x:f>MAX(0,MIN(18,BF1002+IF(C1003="力量",E1003,0)))</x:f>
        <x:v>0</x:v>
      </x:c>
      <x:c r="BG1003">
        <x:f>MAX(0,MIN(18,BG1002+IF(C1003="体质",E1003,0)))</x:f>
        <x:v>0</x:v>
      </x:c>
      <x:c r="BH1003">
        <x:f>MAX(0,MIN(18,BH1002+IF(C1003="敏捷",E1003,0)))</x:f>
        <x:v>0</x:v>
      </x:c>
      <x:c r="BI1003">
        <x:f>MAX(0,MIN(18,BI1002+IF(C1003="智力",E1003,0)))</x:f>
        <x:v>0</x:v>
      </x:c>
      <x:c r="BJ1003">
        <x:f>MAX(0,MIN(18,BJ1002+IF(C1003="意志",E1003,0)))</x:f>
        <x:v>0</x:v>
      </x:c>
      <x:c r="BK1003">
        <x:f>MAX(0,MIN(18,BK1002+IF(C1003="魅力",E1003,0)))</x:f>
        <x:v>0</x:v>
      </x:c>
      <x:c r="BL1003">
        <x:f>MAX(0,MIN(99,BL1002+IF(C1003="技能：非自然知识",E1003,0)))</x:f>
        <x:v>0</x:v>
      </x:c>
      <x:c r="BM1003">
        <x:f>MAX(0,MIN(CEILING((BF1003+BG1003)/2,1),BM1002+IF(C1003="体力",E1003,0)))</x:f>
        <x:v>0</x:v>
      </x:c>
      <x:c r="BN1003">
        <x:f>MAX(0,MIN(BJ1003,BN1002+IF(C1003="毅力",E1003,0)))</x:f>
        <x:v>0</x:v>
      </x:c>
      <x:c r="BO1003">
        <x:f>MAX(0,MIN(99-BL1003,BO1002+IF(C1003="理智",E1003,0)))</x:f>
        <x:v>0</x:v>
      </x:c>
      <x:c r="BP1003">
        <x:f>MAX(0,MIN(99,BP1002+IF(C1003="崩溃点",E1003,0)))</x:f>
        <x:v>0</x:v>
      </x:c>
      <x:c r="BQ1003">
        <x:f>MAX(0,MIN(BK1003,IF(AND(H1003=1,C1003="重要关系1",LEFT('幕间与结算'!H910,8)="建立新的重要关系"),'幕间与结算'!E910+E1003,BQ1002+IF(C1003="重要关系1",E1003,0)+IF(AND(C1003="魅力",E1003&lt;0),E1003,0))))</x:f>
        <x:v>0</x:v>
      </x:c>
      <x:c r="BR1003">
        <x:f>MAX(0,MIN(BK1003,IF(AND(H1003=1,C1003="重要关系2",LEFT('幕间与结算'!H910,8)="建立新的重要关系"),'幕间与结算'!E910+E1003,BR1002+IF(C1003="重要关系2",E1003,0)+IF(AND(C1003="魅力",E1003&lt;0),E1003,0))))</x:f>
        <x:v>0</x:v>
      </x:c>
      <x:c r="BS1003">
        <x:f>MAX(0,MIN(BK1003,IF(AND(H1003=1,C1003="重要关系3",LEFT('幕间与结算'!H910,8)="建立新的重要关系"),'幕间与结算'!E910+E1003,BS1002+IF(C1003="重要关系3",E1003,0)+IF(AND(C1003="魅力",E1003&lt;0),E1003,0))))</x:f>
        <x:v>0</x:v>
      </x:c>
      <x:c r="BT1003">
        <x:f>MAX(0,MIN(BK1003,IF(AND(H1003=1,C1003="重要关系4",LEFT('幕间与结算'!H910,8)="建立新的重要关系"),'幕间与结算'!E910+E1003,BT1002+IF(C1003="重要关系4",E1003,0)+IF(AND(C1003="魅力",E1003&lt;0),E1003,0))))</x:f>
        <x:v>0</x:v>
      </x:c>
      <x:c r="BU1003">
        <x:f>MAX(0,MIN(BK1003,IF(AND(H1003=1,C1003="重要关系5",LEFT('幕间与结算'!H910,8)="建立新的重要关系"),'幕间与结算'!E910+E1003,BU1002+IF(C1003="重要关系5",E1003,0)+IF(AND(C1003="魅力",E1003&lt;0),E1003,0))))</x:f>
        <x:v>0</x:v>
      </x:c>
      <x:c r="BV1003">
        <x:f>MAX(0,MIN(BK1003,IF(AND(H1003=1,C1003="重要关系6",LEFT('幕间与结算'!H910,8)="建立新的重要关系"),'幕间与结算'!E910+E1003,BV1002+IF(C1003="重要关系6",E1003,0)+IF(AND(C1003="魅力",E1003&lt;0),E1003,0))))</x:f>
        <x:v>0</x:v>
      </x:c>
      <x:c r="BW1003">
        <x:f>MAX(0,MIN(BK1003,IF(AND(H1003=1,C1003="重要关系7",LEFT('幕间与结算'!H910,8)="建立新的重要关系"),'幕间与结算'!E910+E1003,BW1002+IF(C1003="重要关系7",E1003,0)+IF(AND(C1003="魅力",E1003&lt;0),E1003,0))))</x:f>
        <x:v>0</x:v>
      </x:c>
    </x:row>
    <x:row r="1004">
      <x:c r="A1004" t="str">
        <x:f>IFERROR(TEXT(VALUE('幕间与结算'!A911),"00"),"")</x:f>
        <x:v>00</x:v>
      </x:c>
      <x:c r="B1004">
        <x:f>'幕间与结算'!B911</x:f>
        <x:v>0</x:v>
      </x:c>
      <x:c r="C1004">
        <x:f>'幕间与结算'!D911</x:f>
        <x:v>0</x:v>
      </x:c>
      <x:c r="D1004">
        <x:f>'幕间与结算'!F911</x:f>
        <x:v>0</x:v>
      </x:c>
      <x:c r="E1004">
        <x:f>IF(H1004=1,MAX(-'幕间与结算'!E911,MIN(D1004,IF(LEFT(C1004,3)="技能：",99,IF(COUNTIF($L$2:$L$7,C1004)&gt;0,18,999))-'幕间与结算'!E911)),0)</x:f>
        <x:v>0</x:v>
      </x:c>
      <x:c r="F1004" t="str">
        <x:f>IF(C1004=0,"",IF(G1004=0,"记录不完整",IF(H1004=0,"重复未计","已计入")))</x:f>
        <x:v/>
      </x:c>
      <x:c r="G1004">
        <x:f>IF(AND(AND('幕间与结算'!A911&lt;&gt;"",'幕间与结算'!B911&lt;&gt;"",'幕间与结算'!I911&lt;&gt;"",OR(LEFT(C1004,3)="技能：",COUNTIF($L$2:$L$19,C1004)&gt;0),ISNUMBER('幕间与结算'!E911),ISNUMBER('幕间与结算'!F911),ISNUMBER('幕间与结算'!G911),'幕间与结算'!E911&gt;=0,'幕间与结算'!G911='幕间与结算'!E911+'幕间与结算'!F911),OR(B1004&lt;&gt;"成长",AND(LEFT(C1004,3)="技能：",C1004&lt;&gt;"技能：非自然知识",'幕间与结算'!E911&gt;=1,'幕间与结算'!E911&lt;=99,'幕间与结算'!F911&gt;=0,'幕间与结算'!F911&lt;=4,'幕间与结算'!G911&lt;=99))),1,0)</x:f>
        <x:v>0</x:v>
      </x:c>
      <x:c r="H1004">
        <x:f>IF(AND(G1004=1,COUNTIFS($I$200:I1004,I1004,$G$200:G1004,1)=1),1,0)</x:f>
        <x:v>0</x:v>
      </x:c>
      <x:c r="I1004" t="str">
        <x:f>IF(G1004=1,IF(B1004="成长",A1004&amp;"-成长-"&amp;C1004,'幕间与结算'!I911),"")</x:f>
        <x:v/>
      </x:c>
      <x:c r="BF1004">
        <x:f>MAX(0,MIN(18,BF1003+IF(C1004="力量",E1004,0)))</x:f>
        <x:v>0</x:v>
      </x:c>
      <x:c r="BG1004">
        <x:f>MAX(0,MIN(18,BG1003+IF(C1004="体质",E1004,0)))</x:f>
        <x:v>0</x:v>
      </x:c>
      <x:c r="BH1004">
        <x:f>MAX(0,MIN(18,BH1003+IF(C1004="敏捷",E1004,0)))</x:f>
        <x:v>0</x:v>
      </x:c>
      <x:c r="BI1004">
        <x:f>MAX(0,MIN(18,BI1003+IF(C1004="智力",E1004,0)))</x:f>
        <x:v>0</x:v>
      </x:c>
      <x:c r="BJ1004">
        <x:f>MAX(0,MIN(18,BJ1003+IF(C1004="意志",E1004,0)))</x:f>
        <x:v>0</x:v>
      </x:c>
      <x:c r="BK1004">
        <x:f>MAX(0,MIN(18,BK1003+IF(C1004="魅力",E1004,0)))</x:f>
        <x:v>0</x:v>
      </x:c>
      <x:c r="BL1004">
        <x:f>MAX(0,MIN(99,BL1003+IF(C1004="技能：非自然知识",E1004,0)))</x:f>
        <x:v>0</x:v>
      </x:c>
      <x:c r="BM1004">
        <x:f>MAX(0,MIN(CEILING((BF1004+BG1004)/2,1),BM1003+IF(C1004="体力",E1004,0)))</x:f>
        <x:v>0</x:v>
      </x:c>
      <x:c r="BN1004">
        <x:f>MAX(0,MIN(BJ1004,BN1003+IF(C1004="毅力",E1004,0)))</x:f>
        <x:v>0</x:v>
      </x:c>
      <x:c r="BO1004">
        <x:f>MAX(0,MIN(99-BL1004,BO1003+IF(C1004="理智",E1004,0)))</x:f>
        <x:v>0</x:v>
      </x:c>
      <x:c r="BP1004">
        <x:f>MAX(0,MIN(99,BP1003+IF(C1004="崩溃点",E1004,0)))</x:f>
        <x:v>0</x:v>
      </x:c>
      <x:c r="BQ1004">
        <x:f>MAX(0,MIN(BK1004,IF(AND(H1004=1,C1004="重要关系1",LEFT('幕间与结算'!H911,8)="建立新的重要关系"),'幕间与结算'!E911+E1004,BQ1003+IF(C1004="重要关系1",E1004,0)+IF(AND(C1004="魅力",E1004&lt;0),E1004,0))))</x:f>
        <x:v>0</x:v>
      </x:c>
      <x:c r="BR1004">
        <x:f>MAX(0,MIN(BK1004,IF(AND(H1004=1,C1004="重要关系2",LEFT('幕间与结算'!H911,8)="建立新的重要关系"),'幕间与结算'!E911+E1004,BR1003+IF(C1004="重要关系2",E1004,0)+IF(AND(C1004="魅力",E1004&lt;0),E1004,0))))</x:f>
        <x:v>0</x:v>
      </x:c>
      <x:c r="BS1004">
        <x:f>MAX(0,MIN(BK1004,IF(AND(H1004=1,C1004="重要关系3",LEFT('幕间与结算'!H911,8)="建立新的重要关系"),'幕间与结算'!E911+E1004,BS1003+IF(C1004="重要关系3",E1004,0)+IF(AND(C1004="魅力",E1004&lt;0),E1004,0))))</x:f>
        <x:v>0</x:v>
      </x:c>
      <x:c r="BT1004">
        <x:f>MAX(0,MIN(BK1004,IF(AND(H1004=1,C1004="重要关系4",LEFT('幕间与结算'!H911,8)="建立新的重要关系"),'幕间与结算'!E911+E1004,BT1003+IF(C1004="重要关系4",E1004,0)+IF(AND(C1004="魅力",E1004&lt;0),E1004,0))))</x:f>
        <x:v>0</x:v>
      </x:c>
      <x:c r="BU1004">
        <x:f>MAX(0,MIN(BK1004,IF(AND(H1004=1,C1004="重要关系5",LEFT('幕间与结算'!H911,8)="建立新的重要关系"),'幕间与结算'!E911+E1004,BU1003+IF(C1004="重要关系5",E1004,0)+IF(AND(C1004="魅力",E1004&lt;0),E1004,0))))</x:f>
        <x:v>0</x:v>
      </x:c>
      <x:c r="BV1004">
        <x:f>MAX(0,MIN(BK1004,IF(AND(H1004=1,C1004="重要关系6",LEFT('幕间与结算'!H911,8)="建立新的重要关系"),'幕间与结算'!E911+E1004,BV1003+IF(C1004="重要关系6",E1004,0)+IF(AND(C1004="魅力",E1004&lt;0),E1004,0))))</x:f>
        <x:v>0</x:v>
      </x:c>
      <x:c r="BW1004">
        <x:f>MAX(0,MIN(BK1004,IF(AND(H1004=1,C1004="重要关系7",LEFT('幕间与结算'!H911,8)="建立新的重要关系"),'幕间与结算'!E911+E1004,BW1003+IF(C1004="重要关系7",E1004,0)+IF(AND(C1004="魅力",E1004&lt;0),E1004,0))))</x:f>
        <x:v>0</x:v>
      </x:c>
    </x:row>
    <x:row r="1005">
      <x:c r="A1005" t="str">
        <x:f>IFERROR(TEXT(VALUE('幕间与结算'!A912),"00"),"")</x:f>
        <x:v>00</x:v>
      </x:c>
      <x:c r="B1005">
        <x:f>'幕间与结算'!B912</x:f>
        <x:v>0</x:v>
      </x:c>
      <x:c r="C1005">
        <x:f>'幕间与结算'!D912</x:f>
        <x:v>0</x:v>
      </x:c>
      <x:c r="D1005">
        <x:f>'幕间与结算'!F912</x:f>
        <x:v>0</x:v>
      </x:c>
      <x:c r="E1005">
        <x:f>IF(H1005=1,MAX(-'幕间与结算'!E912,MIN(D1005,IF(LEFT(C1005,3)="技能：",99,IF(COUNTIF($L$2:$L$7,C1005)&gt;0,18,999))-'幕间与结算'!E912)),0)</x:f>
        <x:v>0</x:v>
      </x:c>
      <x:c r="F1005" t="str">
        <x:f>IF(C1005=0,"",IF(G1005=0,"记录不完整",IF(H1005=0,"重复未计","已计入")))</x:f>
        <x:v/>
      </x:c>
      <x:c r="G1005">
        <x:f>IF(AND(AND('幕间与结算'!A912&lt;&gt;"",'幕间与结算'!B912&lt;&gt;"",'幕间与结算'!I912&lt;&gt;"",OR(LEFT(C1005,3)="技能：",COUNTIF($L$2:$L$19,C1005)&gt;0),ISNUMBER('幕间与结算'!E912),ISNUMBER('幕间与结算'!F912),ISNUMBER('幕间与结算'!G912),'幕间与结算'!E912&gt;=0,'幕间与结算'!G912='幕间与结算'!E912+'幕间与结算'!F912),OR(B1005&lt;&gt;"成长",AND(LEFT(C1005,3)="技能：",C1005&lt;&gt;"技能：非自然知识",'幕间与结算'!E912&gt;=1,'幕间与结算'!E912&lt;=99,'幕间与结算'!F912&gt;=0,'幕间与结算'!F912&lt;=4,'幕间与结算'!G912&lt;=99))),1,0)</x:f>
        <x:v>0</x:v>
      </x:c>
      <x:c r="H1005">
        <x:f>IF(AND(G1005=1,COUNTIFS($I$200:I1005,I1005,$G$200:G1005,1)=1),1,0)</x:f>
        <x:v>0</x:v>
      </x:c>
      <x:c r="I1005" t="str">
        <x:f>IF(G1005=1,IF(B1005="成长",A1005&amp;"-成长-"&amp;C1005,'幕间与结算'!I912),"")</x:f>
        <x:v/>
      </x:c>
      <x:c r="BF1005">
        <x:f>MAX(0,MIN(18,BF1004+IF(C1005="力量",E1005,0)))</x:f>
        <x:v>0</x:v>
      </x:c>
      <x:c r="BG1005">
        <x:f>MAX(0,MIN(18,BG1004+IF(C1005="体质",E1005,0)))</x:f>
        <x:v>0</x:v>
      </x:c>
      <x:c r="BH1005">
        <x:f>MAX(0,MIN(18,BH1004+IF(C1005="敏捷",E1005,0)))</x:f>
        <x:v>0</x:v>
      </x:c>
      <x:c r="BI1005">
        <x:f>MAX(0,MIN(18,BI1004+IF(C1005="智力",E1005,0)))</x:f>
        <x:v>0</x:v>
      </x:c>
      <x:c r="BJ1005">
        <x:f>MAX(0,MIN(18,BJ1004+IF(C1005="意志",E1005,0)))</x:f>
        <x:v>0</x:v>
      </x:c>
      <x:c r="BK1005">
        <x:f>MAX(0,MIN(18,BK1004+IF(C1005="魅力",E1005,0)))</x:f>
        <x:v>0</x:v>
      </x:c>
      <x:c r="BL1005">
        <x:f>MAX(0,MIN(99,BL1004+IF(C1005="技能：非自然知识",E1005,0)))</x:f>
        <x:v>0</x:v>
      </x:c>
      <x:c r="BM1005">
        <x:f>MAX(0,MIN(CEILING((BF1005+BG1005)/2,1),BM1004+IF(C1005="体力",E1005,0)))</x:f>
        <x:v>0</x:v>
      </x:c>
      <x:c r="BN1005">
        <x:f>MAX(0,MIN(BJ1005,BN1004+IF(C1005="毅力",E1005,0)))</x:f>
        <x:v>0</x:v>
      </x:c>
      <x:c r="BO1005">
        <x:f>MAX(0,MIN(99-BL1005,BO1004+IF(C1005="理智",E1005,0)))</x:f>
        <x:v>0</x:v>
      </x:c>
      <x:c r="BP1005">
        <x:f>MAX(0,MIN(99,BP1004+IF(C1005="崩溃点",E1005,0)))</x:f>
        <x:v>0</x:v>
      </x:c>
      <x:c r="BQ1005">
        <x:f>MAX(0,MIN(BK1005,IF(AND(H1005=1,C1005="重要关系1",LEFT('幕间与结算'!H912,8)="建立新的重要关系"),'幕间与结算'!E912+E1005,BQ1004+IF(C1005="重要关系1",E1005,0)+IF(AND(C1005="魅力",E1005&lt;0),E1005,0))))</x:f>
        <x:v>0</x:v>
      </x:c>
      <x:c r="BR1005">
        <x:f>MAX(0,MIN(BK1005,IF(AND(H1005=1,C1005="重要关系2",LEFT('幕间与结算'!H912,8)="建立新的重要关系"),'幕间与结算'!E912+E1005,BR1004+IF(C1005="重要关系2",E1005,0)+IF(AND(C1005="魅力",E1005&lt;0),E1005,0))))</x:f>
        <x:v>0</x:v>
      </x:c>
      <x:c r="BS1005">
        <x:f>MAX(0,MIN(BK1005,IF(AND(H1005=1,C1005="重要关系3",LEFT('幕间与结算'!H912,8)="建立新的重要关系"),'幕间与结算'!E912+E1005,BS1004+IF(C1005="重要关系3",E1005,0)+IF(AND(C1005="魅力",E1005&lt;0),E1005,0))))</x:f>
        <x:v>0</x:v>
      </x:c>
      <x:c r="BT1005">
        <x:f>MAX(0,MIN(BK1005,IF(AND(H1005=1,C1005="重要关系4",LEFT('幕间与结算'!H912,8)="建立新的重要关系"),'幕间与结算'!E912+E1005,BT1004+IF(C1005="重要关系4",E1005,0)+IF(AND(C1005="魅力",E1005&lt;0),E1005,0))))</x:f>
        <x:v>0</x:v>
      </x:c>
      <x:c r="BU1005">
        <x:f>MAX(0,MIN(BK1005,IF(AND(H1005=1,C1005="重要关系5",LEFT('幕间与结算'!H912,8)="建立新的重要关系"),'幕间与结算'!E912+E1005,BU1004+IF(C1005="重要关系5",E1005,0)+IF(AND(C1005="魅力",E1005&lt;0),E1005,0))))</x:f>
        <x:v>0</x:v>
      </x:c>
      <x:c r="BV1005">
        <x:f>MAX(0,MIN(BK1005,IF(AND(H1005=1,C1005="重要关系6",LEFT('幕间与结算'!H912,8)="建立新的重要关系"),'幕间与结算'!E912+E1005,BV1004+IF(C1005="重要关系6",E1005,0)+IF(AND(C1005="魅力",E1005&lt;0),E1005,0))))</x:f>
        <x:v>0</x:v>
      </x:c>
      <x:c r="BW1005">
        <x:f>MAX(0,MIN(BK1005,IF(AND(H1005=1,C1005="重要关系7",LEFT('幕间与结算'!H912,8)="建立新的重要关系"),'幕间与结算'!E912+E1005,BW1004+IF(C1005="重要关系7",E1005,0)+IF(AND(C1005="魅力",E1005&lt;0),E1005,0))))</x:f>
        <x:v>0</x:v>
      </x:c>
    </x:row>
    <x:row r="1006">
      <x:c r="A1006" t="str">
        <x:f>IFERROR(TEXT(VALUE('幕间与结算'!A913),"00"),"")</x:f>
        <x:v>00</x:v>
      </x:c>
      <x:c r="B1006">
        <x:f>'幕间与结算'!B913</x:f>
        <x:v>0</x:v>
      </x:c>
      <x:c r="C1006">
        <x:f>'幕间与结算'!D913</x:f>
        <x:v>0</x:v>
      </x:c>
      <x:c r="D1006">
        <x:f>'幕间与结算'!F913</x:f>
        <x:v>0</x:v>
      </x:c>
      <x:c r="E1006">
        <x:f>IF(H1006=1,MAX(-'幕间与结算'!E913,MIN(D1006,IF(LEFT(C1006,3)="技能：",99,IF(COUNTIF($L$2:$L$7,C1006)&gt;0,18,999))-'幕间与结算'!E913)),0)</x:f>
        <x:v>0</x:v>
      </x:c>
      <x:c r="F1006" t="str">
        <x:f>IF(C1006=0,"",IF(G1006=0,"记录不完整",IF(H1006=0,"重复未计","已计入")))</x:f>
        <x:v/>
      </x:c>
      <x:c r="G1006">
        <x:f>IF(AND(AND('幕间与结算'!A913&lt;&gt;"",'幕间与结算'!B913&lt;&gt;"",'幕间与结算'!I913&lt;&gt;"",OR(LEFT(C1006,3)="技能：",COUNTIF($L$2:$L$19,C1006)&gt;0),ISNUMBER('幕间与结算'!E913),ISNUMBER('幕间与结算'!F913),ISNUMBER('幕间与结算'!G913),'幕间与结算'!E913&gt;=0,'幕间与结算'!G913='幕间与结算'!E913+'幕间与结算'!F913),OR(B1006&lt;&gt;"成长",AND(LEFT(C1006,3)="技能：",C1006&lt;&gt;"技能：非自然知识",'幕间与结算'!E913&gt;=1,'幕间与结算'!E913&lt;=99,'幕间与结算'!F913&gt;=0,'幕间与结算'!F913&lt;=4,'幕间与结算'!G913&lt;=99))),1,0)</x:f>
        <x:v>0</x:v>
      </x:c>
      <x:c r="H1006">
        <x:f>IF(AND(G1006=1,COUNTIFS($I$200:I1006,I1006,$G$200:G1006,1)=1),1,0)</x:f>
        <x:v>0</x:v>
      </x:c>
      <x:c r="I1006" t="str">
        <x:f>IF(G1006=1,IF(B1006="成长",A1006&amp;"-成长-"&amp;C1006,'幕间与结算'!I913),"")</x:f>
        <x:v/>
      </x:c>
      <x:c r="BF1006">
        <x:f>MAX(0,MIN(18,BF1005+IF(C1006="力量",E1006,0)))</x:f>
        <x:v>0</x:v>
      </x:c>
      <x:c r="BG1006">
        <x:f>MAX(0,MIN(18,BG1005+IF(C1006="体质",E1006,0)))</x:f>
        <x:v>0</x:v>
      </x:c>
      <x:c r="BH1006">
        <x:f>MAX(0,MIN(18,BH1005+IF(C1006="敏捷",E1006,0)))</x:f>
        <x:v>0</x:v>
      </x:c>
      <x:c r="BI1006">
        <x:f>MAX(0,MIN(18,BI1005+IF(C1006="智力",E1006,0)))</x:f>
        <x:v>0</x:v>
      </x:c>
      <x:c r="BJ1006">
        <x:f>MAX(0,MIN(18,BJ1005+IF(C1006="意志",E1006,0)))</x:f>
        <x:v>0</x:v>
      </x:c>
      <x:c r="BK1006">
        <x:f>MAX(0,MIN(18,BK1005+IF(C1006="魅力",E1006,0)))</x:f>
        <x:v>0</x:v>
      </x:c>
      <x:c r="BL1006">
        <x:f>MAX(0,MIN(99,BL1005+IF(C1006="技能：非自然知识",E1006,0)))</x:f>
        <x:v>0</x:v>
      </x:c>
      <x:c r="BM1006">
        <x:f>MAX(0,MIN(CEILING((BF1006+BG1006)/2,1),BM1005+IF(C1006="体力",E1006,0)))</x:f>
        <x:v>0</x:v>
      </x:c>
      <x:c r="BN1006">
        <x:f>MAX(0,MIN(BJ1006,BN1005+IF(C1006="毅力",E1006,0)))</x:f>
        <x:v>0</x:v>
      </x:c>
      <x:c r="BO1006">
        <x:f>MAX(0,MIN(99-BL1006,BO1005+IF(C1006="理智",E1006,0)))</x:f>
        <x:v>0</x:v>
      </x:c>
      <x:c r="BP1006">
        <x:f>MAX(0,MIN(99,BP1005+IF(C1006="崩溃点",E1006,0)))</x:f>
        <x:v>0</x:v>
      </x:c>
      <x:c r="BQ1006">
        <x:f>MAX(0,MIN(BK1006,IF(AND(H1006=1,C1006="重要关系1",LEFT('幕间与结算'!H913,8)="建立新的重要关系"),'幕间与结算'!E913+E1006,BQ1005+IF(C1006="重要关系1",E1006,0)+IF(AND(C1006="魅力",E1006&lt;0),E1006,0))))</x:f>
        <x:v>0</x:v>
      </x:c>
      <x:c r="BR1006">
        <x:f>MAX(0,MIN(BK1006,IF(AND(H1006=1,C1006="重要关系2",LEFT('幕间与结算'!H913,8)="建立新的重要关系"),'幕间与结算'!E913+E1006,BR1005+IF(C1006="重要关系2",E1006,0)+IF(AND(C1006="魅力",E1006&lt;0),E1006,0))))</x:f>
        <x:v>0</x:v>
      </x:c>
      <x:c r="BS1006">
        <x:f>MAX(0,MIN(BK1006,IF(AND(H1006=1,C1006="重要关系3",LEFT('幕间与结算'!H913,8)="建立新的重要关系"),'幕间与结算'!E913+E1006,BS1005+IF(C1006="重要关系3",E1006,0)+IF(AND(C1006="魅力",E1006&lt;0),E1006,0))))</x:f>
        <x:v>0</x:v>
      </x:c>
      <x:c r="BT1006">
        <x:f>MAX(0,MIN(BK1006,IF(AND(H1006=1,C1006="重要关系4",LEFT('幕间与结算'!H913,8)="建立新的重要关系"),'幕间与结算'!E913+E1006,BT1005+IF(C1006="重要关系4",E1006,0)+IF(AND(C1006="魅力",E1006&lt;0),E1006,0))))</x:f>
        <x:v>0</x:v>
      </x:c>
      <x:c r="BU1006">
        <x:f>MAX(0,MIN(BK1006,IF(AND(H1006=1,C1006="重要关系5",LEFT('幕间与结算'!H913,8)="建立新的重要关系"),'幕间与结算'!E913+E1006,BU1005+IF(C1006="重要关系5",E1006,0)+IF(AND(C1006="魅力",E1006&lt;0),E1006,0))))</x:f>
        <x:v>0</x:v>
      </x:c>
      <x:c r="BV1006">
        <x:f>MAX(0,MIN(BK1006,IF(AND(H1006=1,C1006="重要关系6",LEFT('幕间与结算'!H913,8)="建立新的重要关系"),'幕间与结算'!E913+E1006,BV1005+IF(C1006="重要关系6",E1006,0)+IF(AND(C1006="魅力",E1006&lt;0),E1006,0))))</x:f>
        <x:v>0</x:v>
      </x:c>
      <x:c r="BW1006">
        <x:f>MAX(0,MIN(BK1006,IF(AND(H1006=1,C1006="重要关系7",LEFT('幕间与结算'!H913,8)="建立新的重要关系"),'幕间与结算'!E913+E1006,BW1005+IF(C1006="重要关系7",E1006,0)+IF(AND(C1006="魅力",E1006&lt;0),E1006,0))))</x:f>
        <x:v>0</x:v>
      </x:c>
    </x:row>
    <x:row r="1007">
      <x:c r="A1007" t="str">
        <x:f>IFERROR(TEXT(VALUE('幕间与结算'!A914),"00"),"")</x:f>
        <x:v>00</x:v>
      </x:c>
      <x:c r="B1007">
        <x:f>'幕间与结算'!B914</x:f>
        <x:v>0</x:v>
      </x:c>
      <x:c r="C1007">
        <x:f>'幕间与结算'!D914</x:f>
        <x:v>0</x:v>
      </x:c>
      <x:c r="D1007">
        <x:f>'幕间与结算'!F914</x:f>
        <x:v>0</x:v>
      </x:c>
      <x:c r="E1007">
        <x:f>IF(H1007=1,MAX(-'幕间与结算'!E914,MIN(D1007,IF(LEFT(C1007,3)="技能：",99,IF(COUNTIF($L$2:$L$7,C1007)&gt;0,18,999))-'幕间与结算'!E914)),0)</x:f>
        <x:v>0</x:v>
      </x:c>
      <x:c r="F1007" t="str">
        <x:f>IF(C1007=0,"",IF(G1007=0,"记录不完整",IF(H1007=0,"重复未计","已计入")))</x:f>
        <x:v/>
      </x:c>
      <x:c r="G1007">
        <x:f>IF(AND(AND('幕间与结算'!A914&lt;&gt;"",'幕间与结算'!B914&lt;&gt;"",'幕间与结算'!I914&lt;&gt;"",OR(LEFT(C1007,3)="技能：",COUNTIF($L$2:$L$19,C1007)&gt;0),ISNUMBER('幕间与结算'!E914),ISNUMBER('幕间与结算'!F914),ISNUMBER('幕间与结算'!G914),'幕间与结算'!E914&gt;=0,'幕间与结算'!G914='幕间与结算'!E914+'幕间与结算'!F914),OR(B1007&lt;&gt;"成长",AND(LEFT(C1007,3)="技能：",C1007&lt;&gt;"技能：非自然知识",'幕间与结算'!E914&gt;=1,'幕间与结算'!E914&lt;=99,'幕间与结算'!F914&gt;=0,'幕间与结算'!F914&lt;=4,'幕间与结算'!G914&lt;=99))),1,0)</x:f>
        <x:v>0</x:v>
      </x:c>
      <x:c r="H1007">
        <x:f>IF(AND(G1007=1,COUNTIFS($I$200:I1007,I1007,$G$200:G1007,1)=1),1,0)</x:f>
        <x:v>0</x:v>
      </x:c>
      <x:c r="I1007" t="str">
        <x:f>IF(G1007=1,IF(B1007="成长",A1007&amp;"-成长-"&amp;C1007,'幕间与结算'!I914),"")</x:f>
        <x:v/>
      </x:c>
      <x:c r="BF1007">
        <x:f>MAX(0,MIN(18,BF1006+IF(C1007="力量",E1007,0)))</x:f>
        <x:v>0</x:v>
      </x:c>
      <x:c r="BG1007">
        <x:f>MAX(0,MIN(18,BG1006+IF(C1007="体质",E1007,0)))</x:f>
        <x:v>0</x:v>
      </x:c>
      <x:c r="BH1007">
        <x:f>MAX(0,MIN(18,BH1006+IF(C1007="敏捷",E1007,0)))</x:f>
        <x:v>0</x:v>
      </x:c>
      <x:c r="BI1007">
        <x:f>MAX(0,MIN(18,BI1006+IF(C1007="智力",E1007,0)))</x:f>
        <x:v>0</x:v>
      </x:c>
      <x:c r="BJ1007">
        <x:f>MAX(0,MIN(18,BJ1006+IF(C1007="意志",E1007,0)))</x:f>
        <x:v>0</x:v>
      </x:c>
      <x:c r="BK1007">
        <x:f>MAX(0,MIN(18,BK1006+IF(C1007="魅力",E1007,0)))</x:f>
        <x:v>0</x:v>
      </x:c>
      <x:c r="BL1007">
        <x:f>MAX(0,MIN(99,BL1006+IF(C1007="技能：非自然知识",E1007,0)))</x:f>
        <x:v>0</x:v>
      </x:c>
      <x:c r="BM1007">
        <x:f>MAX(0,MIN(CEILING((BF1007+BG1007)/2,1),BM1006+IF(C1007="体力",E1007,0)))</x:f>
        <x:v>0</x:v>
      </x:c>
      <x:c r="BN1007">
        <x:f>MAX(0,MIN(BJ1007,BN1006+IF(C1007="毅力",E1007,0)))</x:f>
        <x:v>0</x:v>
      </x:c>
      <x:c r="BO1007">
        <x:f>MAX(0,MIN(99-BL1007,BO1006+IF(C1007="理智",E1007,0)))</x:f>
        <x:v>0</x:v>
      </x:c>
      <x:c r="BP1007">
        <x:f>MAX(0,MIN(99,BP1006+IF(C1007="崩溃点",E1007,0)))</x:f>
        <x:v>0</x:v>
      </x:c>
      <x:c r="BQ1007">
        <x:f>MAX(0,MIN(BK1007,IF(AND(H1007=1,C1007="重要关系1",LEFT('幕间与结算'!H914,8)="建立新的重要关系"),'幕间与结算'!E914+E1007,BQ1006+IF(C1007="重要关系1",E1007,0)+IF(AND(C1007="魅力",E1007&lt;0),E1007,0))))</x:f>
        <x:v>0</x:v>
      </x:c>
      <x:c r="BR1007">
        <x:f>MAX(0,MIN(BK1007,IF(AND(H1007=1,C1007="重要关系2",LEFT('幕间与结算'!H914,8)="建立新的重要关系"),'幕间与结算'!E914+E1007,BR1006+IF(C1007="重要关系2",E1007,0)+IF(AND(C1007="魅力",E1007&lt;0),E1007,0))))</x:f>
        <x:v>0</x:v>
      </x:c>
      <x:c r="BS1007">
        <x:f>MAX(0,MIN(BK1007,IF(AND(H1007=1,C1007="重要关系3",LEFT('幕间与结算'!H914,8)="建立新的重要关系"),'幕间与结算'!E914+E1007,BS1006+IF(C1007="重要关系3",E1007,0)+IF(AND(C1007="魅力",E1007&lt;0),E1007,0))))</x:f>
        <x:v>0</x:v>
      </x:c>
      <x:c r="BT1007">
        <x:f>MAX(0,MIN(BK1007,IF(AND(H1007=1,C1007="重要关系4",LEFT('幕间与结算'!H914,8)="建立新的重要关系"),'幕间与结算'!E914+E1007,BT1006+IF(C1007="重要关系4",E1007,0)+IF(AND(C1007="魅力",E1007&lt;0),E1007,0))))</x:f>
        <x:v>0</x:v>
      </x:c>
      <x:c r="BU1007">
        <x:f>MAX(0,MIN(BK1007,IF(AND(H1007=1,C1007="重要关系5",LEFT('幕间与结算'!H914,8)="建立新的重要关系"),'幕间与结算'!E914+E1007,BU1006+IF(C1007="重要关系5",E1007,0)+IF(AND(C1007="魅力",E1007&lt;0),E1007,0))))</x:f>
        <x:v>0</x:v>
      </x:c>
      <x:c r="BV1007">
        <x:f>MAX(0,MIN(BK1007,IF(AND(H1007=1,C1007="重要关系6",LEFT('幕间与结算'!H914,8)="建立新的重要关系"),'幕间与结算'!E914+E1007,BV1006+IF(C1007="重要关系6",E1007,0)+IF(AND(C1007="魅力",E1007&lt;0),E1007,0))))</x:f>
        <x:v>0</x:v>
      </x:c>
      <x:c r="BW1007">
        <x:f>MAX(0,MIN(BK1007,IF(AND(H1007=1,C1007="重要关系7",LEFT('幕间与结算'!H914,8)="建立新的重要关系"),'幕间与结算'!E914+E1007,BW1006+IF(C1007="重要关系7",E1007,0)+IF(AND(C1007="魅力",E1007&lt;0),E1007,0))))</x:f>
        <x:v>0</x:v>
      </x:c>
    </x:row>
    <x:row r="1008">
      <x:c r="A1008" t="str">
        <x:f>IFERROR(TEXT(VALUE('幕间与结算'!A915),"00"),"")</x:f>
        <x:v>00</x:v>
      </x:c>
      <x:c r="B1008">
        <x:f>'幕间与结算'!B915</x:f>
        <x:v>0</x:v>
      </x:c>
      <x:c r="C1008">
        <x:f>'幕间与结算'!D915</x:f>
        <x:v>0</x:v>
      </x:c>
      <x:c r="D1008">
        <x:f>'幕间与结算'!F915</x:f>
        <x:v>0</x:v>
      </x:c>
      <x:c r="E1008">
        <x:f>IF(H1008=1,MAX(-'幕间与结算'!E915,MIN(D1008,IF(LEFT(C1008,3)="技能：",99,IF(COUNTIF($L$2:$L$7,C1008)&gt;0,18,999))-'幕间与结算'!E915)),0)</x:f>
        <x:v>0</x:v>
      </x:c>
      <x:c r="F1008" t="str">
        <x:f>IF(C1008=0,"",IF(G1008=0,"记录不完整",IF(H1008=0,"重复未计","已计入")))</x:f>
        <x:v/>
      </x:c>
      <x:c r="G1008">
        <x:f>IF(AND(AND('幕间与结算'!A915&lt;&gt;"",'幕间与结算'!B915&lt;&gt;"",'幕间与结算'!I915&lt;&gt;"",OR(LEFT(C1008,3)="技能：",COUNTIF($L$2:$L$19,C1008)&gt;0),ISNUMBER('幕间与结算'!E915),ISNUMBER('幕间与结算'!F915),ISNUMBER('幕间与结算'!G915),'幕间与结算'!E915&gt;=0,'幕间与结算'!G915='幕间与结算'!E915+'幕间与结算'!F915),OR(B1008&lt;&gt;"成长",AND(LEFT(C1008,3)="技能：",C1008&lt;&gt;"技能：非自然知识",'幕间与结算'!E915&gt;=1,'幕间与结算'!E915&lt;=99,'幕间与结算'!F915&gt;=0,'幕间与结算'!F915&lt;=4,'幕间与结算'!G915&lt;=99))),1,0)</x:f>
        <x:v>0</x:v>
      </x:c>
      <x:c r="H1008">
        <x:f>IF(AND(G1008=1,COUNTIFS($I$200:I1008,I1008,$G$200:G1008,1)=1),1,0)</x:f>
        <x:v>0</x:v>
      </x:c>
      <x:c r="I1008" t="str">
        <x:f>IF(G1008=1,IF(B1008="成长",A1008&amp;"-成长-"&amp;C1008,'幕间与结算'!I915),"")</x:f>
        <x:v/>
      </x:c>
      <x:c r="BF1008">
        <x:f>MAX(0,MIN(18,BF1007+IF(C1008="力量",E1008,0)))</x:f>
        <x:v>0</x:v>
      </x:c>
      <x:c r="BG1008">
        <x:f>MAX(0,MIN(18,BG1007+IF(C1008="体质",E1008,0)))</x:f>
        <x:v>0</x:v>
      </x:c>
      <x:c r="BH1008">
        <x:f>MAX(0,MIN(18,BH1007+IF(C1008="敏捷",E1008,0)))</x:f>
        <x:v>0</x:v>
      </x:c>
      <x:c r="BI1008">
        <x:f>MAX(0,MIN(18,BI1007+IF(C1008="智力",E1008,0)))</x:f>
        <x:v>0</x:v>
      </x:c>
      <x:c r="BJ1008">
        <x:f>MAX(0,MIN(18,BJ1007+IF(C1008="意志",E1008,0)))</x:f>
        <x:v>0</x:v>
      </x:c>
      <x:c r="BK1008">
        <x:f>MAX(0,MIN(18,BK1007+IF(C1008="魅力",E1008,0)))</x:f>
        <x:v>0</x:v>
      </x:c>
      <x:c r="BL1008">
        <x:f>MAX(0,MIN(99,BL1007+IF(C1008="技能：非自然知识",E1008,0)))</x:f>
        <x:v>0</x:v>
      </x:c>
      <x:c r="BM1008">
        <x:f>MAX(0,MIN(CEILING((BF1008+BG1008)/2,1),BM1007+IF(C1008="体力",E1008,0)))</x:f>
        <x:v>0</x:v>
      </x:c>
      <x:c r="BN1008">
        <x:f>MAX(0,MIN(BJ1008,BN1007+IF(C1008="毅力",E1008,0)))</x:f>
        <x:v>0</x:v>
      </x:c>
      <x:c r="BO1008">
        <x:f>MAX(0,MIN(99-BL1008,BO1007+IF(C1008="理智",E1008,0)))</x:f>
        <x:v>0</x:v>
      </x:c>
      <x:c r="BP1008">
        <x:f>MAX(0,MIN(99,BP1007+IF(C1008="崩溃点",E1008,0)))</x:f>
        <x:v>0</x:v>
      </x:c>
      <x:c r="BQ1008">
        <x:f>MAX(0,MIN(BK1008,IF(AND(H1008=1,C1008="重要关系1",LEFT('幕间与结算'!H915,8)="建立新的重要关系"),'幕间与结算'!E915+E1008,BQ1007+IF(C1008="重要关系1",E1008,0)+IF(AND(C1008="魅力",E1008&lt;0),E1008,0))))</x:f>
        <x:v>0</x:v>
      </x:c>
      <x:c r="BR1008">
        <x:f>MAX(0,MIN(BK1008,IF(AND(H1008=1,C1008="重要关系2",LEFT('幕间与结算'!H915,8)="建立新的重要关系"),'幕间与结算'!E915+E1008,BR1007+IF(C1008="重要关系2",E1008,0)+IF(AND(C1008="魅力",E1008&lt;0),E1008,0))))</x:f>
        <x:v>0</x:v>
      </x:c>
      <x:c r="BS1008">
        <x:f>MAX(0,MIN(BK1008,IF(AND(H1008=1,C1008="重要关系3",LEFT('幕间与结算'!H915,8)="建立新的重要关系"),'幕间与结算'!E915+E1008,BS1007+IF(C1008="重要关系3",E1008,0)+IF(AND(C1008="魅力",E1008&lt;0),E1008,0))))</x:f>
        <x:v>0</x:v>
      </x:c>
      <x:c r="BT1008">
        <x:f>MAX(0,MIN(BK1008,IF(AND(H1008=1,C1008="重要关系4",LEFT('幕间与结算'!H915,8)="建立新的重要关系"),'幕间与结算'!E915+E1008,BT1007+IF(C1008="重要关系4",E1008,0)+IF(AND(C1008="魅力",E1008&lt;0),E1008,0))))</x:f>
        <x:v>0</x:v>
      </x:c>
      <x:c r="BU1008">
        <x:f>MAX(0,MIN(BK1008,IF(AND(H1008=1,C1008="重要关系5",LEFT('幕间与结算'!H915,8)="建立新的重要关系"),'幕间与结算'!E915+E1008,BU1007+IF(C1008="重要关系5",E1008,0)+IF(AND(C1008="魅力",E1008&lt;0),E1008,0))))</x:f>
        <x:v>0</x:v>
      </x:c>
      <x:c r="BV1008">
        <x:f>MAX(0,MIN(BK1008,IF(AND(H1008=1,C1008="重要关系6",LEFT('幕间与结算'!H915,8)="建立新的重要关系"),'幕间与结算'!E915+E1008,BV1007+IF(C1008="重要关系6",E1008,0)+IF(AND(C1008="魅力",E1008&lt;0),E1008,0))))</x:f>
        <x:v>0</x:v>
      </x:c>
      <x:c r="BW1008">
        <x:f>MAX(0,MIN(BK1008,IF(AND(H1008=1,C1008="重要关系7",LEFT('幕间与结算'!H915,8)="建立新的重要关系"),'幕间与结算'!E915+E1008,BW1007+IF(C1008="重要关系7",E1008,0)+IF(AND(C1008="魅力",E1008&lt;0),E1008,0))))</x:f>
        <x:v>0</x:v>
      </x:c>
    </x:row>
    <x:row r="1009">
      <x:c r="A1009" t="str">
        <x:f>IFERROR(TEXT(VALUE('幕间与结算'!A916),"00"),"")</x:f>
        <x:v>00</x:v>
      </x:c>
      <x:c r="B1009">
        <x:f>'幕间与结算'!B916</x:f>
        <x:v>0</x:v>
      </x:c>
      <x:c r="C1009">
        <x:f>'幕间与结算'!D916</x:f>
        <x:v>0</x:v>
      </x:c>
      <x:c r="D1009">
        <x:f>'幕间与结算'!F916</x:f>
        <x:v>0</x:v>
      </x:c>
      <x:c r="E1009">
        <x:f>IF(H1009=1,MAX(-'幕间与结算'!E916,MIN(D1009,IF(LEFT(C1009,3)="技能：",99,IF(COUNTIF($L$2:$L$7,C1009)&gt;0,18,999))-'幕间与结算'!E916)),0)</x:f>
        <x:v>0</x:v>
      </x:c>
      <x:c r="F1009" t="str">
        <x:f>IF(C1009=0,"",IF(G1009=0,"记录不完整",IF(H1009=0,"重复未计","已计入")))</x:f>
        <x:v/>
      </x:c>
      <x:c r="G1009">
        <x:f>IF(AND(AND('幕间与结算'!A916&lt;&gt;"",'幕间与结算'!B916&lt;&gt;"",'幕间与结算'!I916&lt;&gt;"",OR(LEFT(C1009,3)="技能：",COUNTIF($L$2:$L$19,C1009)&gt;0),ISNUMBER('幕间与结算'!E916),ISNUMBER('幕间与结算'!F916),ISNUMBER('幕间与结算'!G916),'幕间与结算'!E916&gt;=0,'幕间与结算'!G916='幕间与结算'!E916+'幕间与结算'!F916),OR(B1009&lt;&gt;"成长",AND(LEFT(C1009,3)="技能：",C1009&lt;&gt;"技能：非自然知识",'幕间与结算'!E916&gt;=1,'幕间与结算'!E916&lt;=99,'幕间与结算'!F916&gt;=0,'幕间与结算'!F916&lt;=4,'幕间与结算'!G916&lt;=99))),1,0)</x:f>
        <x:v>0</x:v>
      </x:c>
      <x:c r="H1009">
        <x:f>IF(AND(G1009=1,COUNTIFS($I$200:I1009,I1009,$G$200:G1009,1)=1),1,0)</x:f>
        <x:v>0</x:v>
      </x:c>
      <x:c r="I1009" t="str">
        <x:f>IF(G1009=1,IF(B1009="成长",A1009&amp;"-成长-"&amp;C1009,'幕间与结算'!I916),"")</x:f>
        <x:v/>
      </x:c>
      <x:c r="BF1009">
        <x:f>MAX(0,MIN(18,BF1008+IF(C1009="力量",E1009,0)))</x:f>
        <x:v>0</x:v>
      </x:c>
      <x:c r="BG1009">
        <x:f>MAX(0,MIN(18,BG1008+IF(C1009="体质",E1009,0)))</x:f>
        <x:v>0</x:v>
      </x:c>
      <x:c r="BH1009">
        <x:f>MAX(0,MIN(18,BH1008+IF(C1009="敏捷",E1009,0)))</x:f>
        <x:v>0</x:v>
      </x:c>
      <x:c r="BI1009">
        <x:f>MAX(0,MIN(18,BI1008+IF(C1009="智力",E1009,0)))</x:f>
        <x:v>0</x:v>
      </x:c>
      <x:c r="BJ1009">
        <x:f>MAX(0,MIN(18,BJ1008+IF(C1009="意志",E1009,0)))</x:f>
        <x:v>0</x:v>
      </x:c>
      <x:c r="BK1009">
        <x:f>MAX(0,MIN(18,BK1008+IF(C1009="魅力",E1009,0)))</x:f>
        <x:v>0</x:v>
      </x:c>
      <x:c r="BL1009">
        <x:f>MAX(0,MIN(99,BL1008+IF(C1009="技能：非自然知识",E1009,0)))</x:f>
        <x:v>0</x:v>
      </x:c>
      <x:c r="BM1009">
        <x:f>MAX(0,MIN(CEILING((BF1009+BG1009)/2,1),BM1008+IF(C1009="体力",E1009,0)))</x:f>
        <x:v>0</x:v>
      </x:c>
      <x:c r="BN1009">
        <x:f>MAX(0,MIN(BJ1009,BN1008+IF(C1009="毅力",E1009,0)))</x:f>
        <x:v>0</x:v>
      </x:c>
      <x:c r="BO1009">
        <x:f>MAX(0,MIN(99-BL1009,BO1008+IF(C1009="理智",E1009,0)))</x:f>
        <x:v>0</x:v>
      </x:c>
      <x:c r="BP1009">
        <x:f>MAX(0,MIN(99,BP1008+IF(C1009="崩溃点",E1009,0)))</x:f>
        <x:v>0</x:v>
      </x:c>
      <x:c r="BQ1009">
        <x:f>MAX(0,MIN(BK1009,IF(AND(H1009=1,C1009="重要关系1",LEFT('幕间与结算'!H916,8)="建立新的重要关系"),'幕间与结算'!E916+E1009,BQ1008+IF(C1009="重要关系1",E1009,0)+IF(AND(C1009="魅力",E1009&lt;0),E1009,0))))</x:f>
        <x:v>0</x:v>
      </x:c>
      <x:c r="BR1009">
        <x:f>MAX(0,MIN(BK1009,IF(AND(H1009=1,C1009="重要关系2",LEFT('幕间与结算'!H916,8)="建立新的重要关系"),'幕间与结算'!E916+E1009,BR1008+IF(C1009="重要关系2",E1009,0)+IF(AND(C1009="魅力",E1009&lt;0),E1009,0))))</x:f>
        <x:v>0</x:v>
      </x:c>
      <x:c r="BS1009">
        <x:f>MAX(0,MIN(BK1009,IF(AND(H1009=1,C1009="重要关系3",LEFT('幕间与结算'!H916,8)="建立新的重要关系"),'幕间与结算'!E916+E1009,BS1008+IF(C1009="重要关系3",E1009,0)+IF(AND(C1009="魅力",E1009&lt;0),E1009,0))))</x:f>
        <x:v>0</x:v>
      </x:c>
      <x:c r="BT1009">
        <x:f>MAX(0,MIN(BK1009,IF(AND(H1009=1,C1009="重要关系4",LEFT('幕间与结算'!H916,8)="建立新的重要关系"),'幕间与结算'!E916+E1009,BT1008+IF(C1009="重要关系4",E1009,0)+IF(AND(C1009="魅力",E1009&lt;0),E1009,0))))</x:f>
        <x:v>0</x:v>
      </x:c>
      <x:c r="BU1009">
        <x:f>MAX(0,MIN(BK1009,IF(AND(H1009=1,C1009="重要关系5",LEFT('幕间与结算'!H916,8)="建立新的重要关系"),'幕间与结算'!E916+E1009,BU1008+IF(C1009="重要关系5",E1009,0)+IF(AND(C1009="魅力",E1009&lt;0),E1009,0))))</x:f>
        <x:v>0</x:v>
      </x:c>
      <x:c r="BV1009">
        <x:f>MAX(0,MIN(BK1009,IF(AND(H1009=1,C1009="重要关系6",LEFT('幕间与结算'!H916,8)="建立新的重要关系"),'幕间与结算'!E916+E1009,BV1008+IF(C1009="重要关系6",E1009,0)+IF(AND(C1009="魅力",E1009&lt;0),E1009,0))))</x:f>
        <x:v>0</x:v>
      </x:c>
      <x:c r="BW1009">
        <x:f>MAX(0,MIN(BK1009,IF(AND(H1009=1,C1009="重要关系7",LEFT('幕间与结算'!H916,8)="建立新的重要关系"),'幕间与结算'!E916+E1009,BW1008+IF(C1009="重要关系7",E1009,0)+IF(AND(C1009="魅力",E1009&lt;0),E1009,0))))</x:f>
        <x:v>0</x:v>
      </x:c>
    </x:row>
    <x:row r="1010">
      <x:c r="A1010" t="str">
        <x:f>IFERROR(TEXT(VALUE('幕间与结算'!A917),"00"),"")</x:f>
        <x:v>00</x:v>
      </x:c>
      <x:c r="B1010">
        <x:f>'幕间与结算'!B917</x:f>
        <x:v>0</x:v>
      </x:c>
      <x:c r="C1010">
        <x:f>'幕间与结算'!D917</x:f>
        <x:v>0</x:v>
      </x:c>
      <x:c r="D1010">
        <x:f>'幕间与结算'!F917</x:f>
        <x:v>0</x:v>
      </x:c>
      <x:c r="E1010">
        <x:f>IF(H1010=1,MAX(-'幕间与结算'!E917,MIN(D1010,IF(LEFT(C1010,3)="技能：",99,IF(COUNTIF($L$2:$L$7,C1010)&gt;0,18,999))-'幕间与结算'!E917)),0)</x:f>
        <x:v>0</x:v>
      </x:c>
      <x:c r="F1010" t="str">
        <x:f>IF(C1010=0,"",IF(G1010=0,"记录不完整",IF(H1010=0,"重复未计","已计入")))</x:f>
        <x:v/>
      </x:c>
      <x:c r="G1010">
        <x:f>IF(AND(AND('幕间与结算'!A917&lt;&gt;"",'幕间与结算'!B917&lt;&gt;"",'幕间与结算'!I917&lt;&gt;"",OR(LEFT(C1010,3)="技能：",COUNTIF($L$2:$L$19,C1010)&gt;0),ISNUMBER('幕间与结算'!E917),ISNUMBER('幕间与结算'!F917),ISNUMBER('幕间与结算'!G917),'幕间与结算'!E917&gt;=0,'幕间与结算'!G917='幕间与结算'!E917+'幕间与结算'!F917),OR(B1010&lt;&gt;"成长",AND(LEFT(C1010,3)="技能：",C1010&lt;&gt;"技能：非自然知识",'幕间与结算'!E917&gt;=1,'幕间与结算'!E917&lt;=99,'幕间与结算'!F917&gt;=0,'幕间与结算'!F917&lt;=4,'幕间与结算'!G917&lt;=99))),1,0)</x:f>
        <x:v>0</x:v>
      </x:c>
      <x:c r="H1010">
        <x:f>IF(AND(G1010=1,COUNTIFS($I$200:I1010,I1010,$G$200:G1010,1)=1),1,0)</x:f>
        <x:v>0</x:v>
      </x:c>
      <x:c r="I1010" t="str">
        <x:f>IF(G1010=1,IF(B1010="成长",A1010&amp;"-成长-"&amp;C1010,'幕间与结算'!I917),"")</x:f>
        <x:v/>
      </x:c>
      <x:c r="BF1010">
        <x:f>MAX(0,MIN(18,BF1009+IF(C1010="力量",E1010,0)))</x:f>
        <x:v>0</x:v>
      </x:c>
      <x:c r="BG1010">
        <x:f>MAX(0,MIN(18,BG1009+IF(C1010="体质",E1010,0)))</x:f>
        <x:v>0</x:v>
      </x:c>
      <x:c r="BH1010">
        <x:f>MAX(0,MIN(18,BH1009+IF(C1010="敏捷",E1010,0)))</x:f>
        <x:v>0</x:v>
      </x:c>
      <x:c r="BI1010">
        <x:f>MAX(0,MIN(18,BI1009+IF(C1010="智力",E1010,0)))</x:f>
        <x:v>0</x:v>
      </x:c>
      <x:c r="BJ1010">
        <x:f>MAX(0,MIN(18,BJ1009+IF(C1010="意志",E1010,0)))</x:f>
        <x:v>0</x:v>
      </x:c>
      <x:c r="BK1010">
        <x:f>MAX(0,MIN(18,BK1009+IF(C1010="魅力",E1010,0)))</x:f>
        <x:v>0</x:v>
      </x:c>
      <x:c r="BL1010">
        <x:f>MAX(0,MIN(99,BL1009+IF(C1010="技能：非自然知识",E1010,0)))</x:f>
        <x:v>0</x:v>
      </x:c>
      <x:c r="BM1010">
        <x:f>MAX(0,MIN(CEILING((BF1010+BG1010)/2,1),BM1009+IF(C1010="体力",E1010,0)))</x:f>
        <x:v>0</x:v>
      </x:c>
      <x:c r="BN1010">
        <x:f>MAX(0,MIN(BJ1010,BN1009+IF(C1010="毅力",E1010,0)))</x:f>
        <x:v>0</x:v>
      </x:c>
      <x:c r="BO1010">
        <x:f>MAX(0,MIN(99-BL1010,BO1009+IF(C1010="理智",E1010,0)))</x:f>
        <x:v>0</x:v>
      </x:c>
      <x:c r="BP1010">
        <x:f>MAX(0,MIN(99,BP1009+IF(C1010="崩溃点",E1010,0)))</x:f>
        <x:v>0</x:v>
      </x:c>
      <x:c r="BQ1010">
        <x:f>MAX(0,MIN(BK1010,IF(AND(H1010=1,C1010="重要关系1",LEFT('幕间与结算'!H917,8)="建立新的重要关系"),'幕间与结算'!E917+E1010,BQ1009+IF(C1010="重要关系1",E1010,0)+IF(AND(C1010="魅力",E1010&lt;0),E1010,0))))</x:f>
        <x:v>0</x:v>
      </x:c>
      <x:c r="BR1010">
        <x:f>MAX(0,MIN(BK1010,IF(AND(H1010=1,C1010="重要关系2",LEFT('幕间与结算'!H917,8)="建立新的重要关系"),'幕间与结算'!E917+E1010,BR1009+IF(C1010="重要关系2",E1010,0)+IF(AND(C1010="魅力",E1010&lt;0),E1010,0))))</x:f>
        <x:v>0</x:v>
      </x:c>
      <x:c r="BS1010">
        <x:f>MAX(0,MIN(BK1010,IF(AND(H1010=1,C1010="重要关系3",LEFT('幕间与结算'!H917,8)="建立新的重要关系"),'幕间与结算'!E917+E1010,BS1009+IF(C1010="重要关系3",E1010,0)+IF(AND(C1010="魅力",E1010&lt;0),E1010,0))))</x:f>
        <x:v>0</x:v>
      </x:c>
      <x:c r="BT1010">
        <x:f>MAX(0,MIN(BK1010,IF(AND(H1010=1,C1010="重要关系4",LEFT('幕间与结算'!H917,8)="建立新的重要关系"),'幕间与结算'!E917+E1010,BT1009+IF(C1010="重要关系4",E1010,0)+IF(AND(C1010="魅力",E1010&lt;0),E1010,0))))</x:f>
        <x:v>0</x:v>
      </x:c>
      <x:c r="BU1010">
        <x:f>MAX(0,MIN(BK1010,IF(AND(H1010=1,C1010="重要关系5",LEFT('幕间与结算'!H917,8)="建立新的重要关系"),'幕间与结算'!E917+E1010,BU1009+IF(C1010="重要关系5",E1010,0)+IF(AND(C1010="魅力",E1010&lt;0),E1010,0))))</x:f>
        <x:v>0</x:v>
      </x:c>
      <x:c r="BV1010">
        <x:f>MAX(0,MIN(BK1010,IF(AND(H1010=1,C1010="重要关系6",LEFT('幕间与结算'!H917,8)="建立新的重要关系"),'幕间与结算'!E917+E1010,BV1009+IF(C1010="重要关系6",E1010,0)+IF(AND(C1010="魅力",E1010&lt;0),E1010,0))))</x:f>
        <x:v>0</x:v>
      </x:c>
      <x:c r="BW1010">
        <x:f>MAX(0,MIN(BK1010,IF(AND(H1010=1,C1010="重要关系7",LEFT('幕间与结算'!H917,8)="建立新的重要关系"),'幕间与结算'!E917+E1010,BW1009+IF(C1010="重要关系7",E1010,0)+IF(AND(C1010="魅力",E1010&lt;0),E1010,0))))</x:f>
        <x:v>0</x:v>
      </x:c>
    </x:row>
    <x:row r="1011">
      <x:c r="A1011" t="str">
        <x:f>IFERROR(TEXT(VALUE('幕间与结算'!A918),"00"),"")</x:f>
        <x:v>00</x:v>
      </x:c>
      <x:c r="B1011">
        <x:f>'幕间与结算'!B918</x:f>
        <x:v>0</x:v>
      </x:c>
      <x:c r="C1011">
        <x:f>'幕间与结算'!D918</x:f>
        <x:v>0</x:v>
      </x:c>
      <x:c r="D1011">
        <x:f>'幕间与结算'!F918</x:f>
        <x:v>0</x:v>
      </x:c>
      <x:c r="E1011">
        <x:f>IF(H1011=1,MAX(-'幕间与结算'!E918,MIN(D1011,IF(LEFT(C1011,3)="技能：",99,IF(COUNTIF($L$2:$L$7,C1011)&gt;0,18,999))-'幕间与结算'!E918)),0)</x:f>
        <x:v>0</x:v>
      </x:c>
      <x:c r="F1011" t="str">
        <x:f>IF(C1011=0,"",IF(G1011=0,"记录不完整",IF(H1011=0,"重复未计","已计入")))</x:f>
        <x:v/>
      </x:c>
      <x:c r="G1011">
        <x:f>IF(AND(AND('幕间与结算'!A918&lt;&gt;"",'幕间与结算'!B918&lt;&gt;"",'幕间与结算'!I918&lt;&gt;"",OR(LEFT(C1011,3)="技能：",COUNTIF($L$2:$L$19,C1011)&gt;0),ISNUMBER('幕间与结算'!E918),ISNUMBER('幕间与结算'!F918),ISNUMBER('幕间与结算'!G918),'幕间与结算'!E918&gt;=0,'幕间与结算'!G918='幕间与结算'!E918+'幕间与结算'!F918),OR(B1011&lt;&gt;"成长",AND(LEFT(C1011,3)="技能：",C1011&lt;&gt;"技能：非自然知识",'幕间与结算'!E918&gt;=1,'幕间与结算'!E918&lt;=99,'幕间与结算'!F918&gt;=0,'幕间与结算'!F918&lt;=4,'幕间与结算'!G918&lt;=99))),1,0)</x:f>
        <x:v>0</x:v>
      </x:c>
      <x:c r="H1011">
        <x:f>IF(AND(G1011=1,COUNTIFS($I$200:I1011,I1011,$G$200:G1011,1)=1),1,0)</x:f>
        <x:v>0</x:v>
      </x:c>
      <x:c r="I1011" t="str">
        <x:f>IF(G1011=1,IF(B1011="成长",A1011&amp;"-成长-"&amp;C1011,'幕间与结算'!I918),"")</x:f>
        <x:v/>
      </x:c>
      <x:c r="BF1011">
        <x:f>MAX(0,MIN(18,BF1010+IF(C1011="力量",E1011,0)))</x:f>
        <x:v>0</x:v>
      </x:c>
      <x:c r="BG1011">
        <x:f>MAX(0,MIN(18,BG1010+IF(C1011="体质",E1011,0)))</x:f>
        <x:v>0</x:v>
      </x:c>
      <x:c r="BH1011">
        <x:f>MAX(0,MIN(18,BH1010+IF(C1011="敏捷",E1011,0)))</x:f>
        <x:v>0</x:v>
      </x:c>
      <x:c r="BI1011">
        <x:f>MAX(0,MIN(18,BI1010+IF(C1011="智力",E1011,0)))</x:f>
        <x:v>0</x:v>
      </x:c>
      <x:c r="BJ1011">
        <x:f>MAX(0,MIN(18,BJ1010+IF(C1011="意志",E1011,0)))</x:f>
        <x:v>0</x:v>
      </x:c>
      <x:c r="BK1011">
        <x:f>MAX(0,MIN(18,BK1010+IF(C1011="魅力",E1011,0)))</x:f>
        <x:v>0</x:v>
      </x:c>
      <x:c r="BL1011">
        <x:f>MAX(0,MIN(99,BL1010+IF(C1011="技能：非自然知识",E1011,0)))</x:f>
        <x:v>0</x:v>
      </x:c>
      <x:c r="BM1011">
        <x:f>MAX(0,MIN(CEILING((BF1011+BG1011)/2,1),BM1010+IF(C1011="体力",E1011,0)))</x:f>
        <x:v>0</x:v>
      </x:c>
      <x:c r="BN1011">
        <x:f>MAX(0,MIN(BJ1011,BN1010+IF(C1011="毅力",E1011,0)))</x:f>
        <x:v>0</x:v>
      </x:c>
      <x:c r="BO1011">
        <x:f>MAX(0,MIN(99-BL1011,BO1010+IF(C1011="理智",E1011,0)))</x:f>
        <x:v>0</x:v>
      </x:c>
      <x:c r="BP1011">
        <x:f>MAX(0,MIN(99,BP1010+IF(C1011="崩溃点",E1011,0)))</x:f>
        <x:v>0</x:v>
      </x:c>
      <x:c r="BQ1011">
        <x:f>MAX(0,MIN(BK1011,IF(AND(H1011=1,C1011="重要关系1",LEFT('幕间与结算'!H918,8)="建立新的重要关系"),'幕间与结算'!E918+E1011,BQ1010+IF(C1011="重要关系1",E1011,0)+IF(AND(C1011="魅力",E1011&lt;0),E1011,0))))</x:f>
        <x:v>0</x:v>
      </x:c>
      <x:c r="BR1011">
        <x:f>MAX(0,MIN(BK1011,IF(AND(H1011=1,C1011="重要关系2",LEFT('幕间与结算'!H918,8)="建立新的重要关系"),'幕间与结算'!E918+E1011,BR1010+IF(C1011="重要关系2",E1011,0)+IF(AND(C1011="魅力",E1011&lt;0),E1011,0))))</x:f>
        <x:v>0</x:v>
      </x:c>
      <x:c r="BS1011">
        <x:f>MAX(0,MIN(BK1011,IF(AND(H1011=1,C1011="重要关系3",LEFT('幕间与结算'!H918,8)="建立新的重要关系"),'幕间与结算'!E918+E1011,BS1010+IF(C1011="重要关系3",E1011,0)+IF(AND(C1011="魅力",E1011&lt;0),E1011,0))))</x:f>
        <x:v>0</x:v>
      </x:c>
      <x:c r="BT1011">
        <x:f>MAX(0,MIN(BK1011,IF(AND(H1011=1,C1011="重要关系4",LEFT('幕间与结算'!H918,8)="建立新的重要关系"),'幕间与结算'!E918+E1011,BT1010+IF(C1011="重要关系4",E1011,0)+IF(AND(C1011="魅力",E1011&lt;0),E1011,0))))</x:f>
        <x:v>0</x:v>
      </x:c>
      <x:c r="BU1011">
        <x:f>MAX(0,MIN(BK1011,IF(AND(H1011=1,C1011="重要关系5",LEFT('幕间与结算'!H918,8)="建立新的重要关系"),'幕间与结算'!E918+E1011,BU1010+IF(C1011="重要关系5",E1011,0)+IF(AND(C1011="魅力",E1011&lt;0),E1011,0))))</x:f>
        <x:v>0</x:v>
      </x:c>
      <x:c r="BV1011">
        <x:f>MAX(0,MIN(BK1011,IF(AND(H1011=1,C1011="重要关系6",LEFT('幕间与结算'!H918,8)="建立新的重要关系"),'幕间与结算'!E918+E1011,BV1010+IF(C1011="重要关系6",E1011,0)+IF(AND(C1011="魅力",E1011&lt;0),E1011,0))))</x:f>
        <x:v>0</x:v>
      </x:c>
      <x:c r="BW1011">
        <x:f>MAX(0,MIN(BK1011,IF(AND(H1011=1,C1011="重要关系7",LEFT('幕间与结算'!H918,8)="建立新的重要关系"),'幕间与结算'!E918+E1011,BW1010+IF(C1011="重要关系7",E1011,0)+IF(AND(C1011="魅力",E1011&lt;0),E1011,0))))</x:f>
        <x:v>0</x:v>
      </x:c>
    </x:row>
    <x:row r="1012">
      <x:c r="A1012" t="str">
        <x:f>IFERROR(TEXT(VALUE('幕间与结算'!A919),"00"),"")</x:f>
        <x:v>00</x:v>
      </x:c>
      <x:c r="B1012">
        <x:f>'幕间与结算'!B919</x:f>
        <x:v>0</x:v>
      </x:c>
      <x:c r="C1012">
        <x:f>'幕间与结算'!D919</x:f>
        <x:v>0</x:v>
      </x:c>
      <x:c r="D1012">
        <x:f>'幕间与结算'!F919</x:f>
        <x:v>0</x:v>
      </x:c>
      <x:c r="E1012">
        <x:f>IF(H1012=1,MAX(-'幕间与结算'!E919,MIN(D1012,IF(LEFT(C1012,3)="技能：",99,IF(COUNTIF($L$2:$L$7,C1012)&gt;0,18,999))-'幕间与结算'!E919)),0)</x:f>
        <x:v>0</x:v>
      </x:c>
      <x:c r="F1012" t="str">
        <x:f>IF(C1012=0,"",IF(G1012=0,"记录不完整",IF(H1012=0,"重复未计","已计入")))</x:f>
        <x:v/>
      </x:c>
      <x:c r="G1012">
        <x:f>IF(AND(AND('幕间与结算'!A919&lt;&gt;"",'幕间与结算'!B919&lt;&gt;"",'幕间与结算'!I919&lt;&gt;"",OR(LEFT(C1012,3)="技能：",COUNTIF($L$2:$L$19,C1012)&gt;0),ISNUMBER('幕间与结算'!E919),ISNUMBER('幕间与结算'!F919),ISNUMBER('幕间与结算'!G919),'幕间与结算'!E919&gt;=0,'幕间与结算'!G919='幕间与结算'!E919+'幕间与结算'!F919),OR(B1012&lt;&gt;"成长",AND(LEFT(C1012,3)="技能：",C1012&lt;&gt;"技能：非自然知识",'幕间与结算'!E919&gt;=1,'幕间与结算'!E919&lt;=99,'幕间与结算'!F919&gt;=0,'幕间与结算'!F919&lt;=4,'幕间与结算'!G919&lt;=99))),1,0)</x:f>
        <x:v>0</x:v>
      </x:c>
      <x:c r="H1012">
        <x:f>IF(AND(G1012=1,COUNTIFS($I$200:I1012,I1012,$G$200:G1012,1)=1),1,0)</x:f>
        <x:v>0</x:v>
      </x:c>
      <x:c r="I1012" t="str">
        <x:f>IF(G1012=1,IF(B1012="成长",A1012&amp;"-成长-"&amp;C1012,'幕间与结算'!I919),"")</x:f>
        <x:v/>
      </x:c>
      <x:c r="BF1012">
        <x:f>MAX(0,MIN(18,BF1011+IF(C1012="力量",E1012,0)))</x:f>
        <x:v>0</x:v>
      </x:c>
      <x:c r="BG1012">
        <x:f>MAX(0,MIN(18,BG1011+IF(C1012="体质",E1012,0)))</x:f>
        <x:v>0</x:v>
      </x:c>
      <x:c r="BH1012">
        <x:f>MAX(0,MIN(18,BH1011+IF(C1012="敏捷",E1012,0)))</x:f>
        <x:v>0</x:v>
      </x:c>
      <x:c r="BI1012">
        <x:f>MAX(0,MIN(18,BI1011+IF(C1012="智力",E1012,0)))</x:f>
        <x:v>0</x:v>
      </x:c>
      <x:c r="BJ1012">
        <x:f>MAX(0,MIN(18,BJ1011+IF(C1012="意志",E1012,0)))</x:f>
        <x:v>0</x:v>
      </x:c>
      <x:c r="BK1012">
        <x:f>MAX(0,MIN(18,BK1011+IF(C1012="魅力",E1012,0)))</x:f>
        <x:v>0</x:v>
      </x:c>
      <x:c r="BL1012">
        <x:f>MAX(0,MIN(99,BL1011+IF(C1012="技能：非自然知识",E1012,0)))</x:f>
        <x:v>0</x:v>
      </x:c>
      <x:c r="BM1012">
        <x:f>MAX(0,MIN(CEILING((BF1012+BG1012)/2,1),BM1011+IF(C1012="体力",E1012,0)))</x:f>
        <x:v>0</x:v>
      </x:c>
      <x:c r="BN1012">
        <x:f>MAX(0,MIN(BJ1012,BN1011+IF(C1012="毅力",E1012,0)))</x:f>
        <x:v>0</x:v>
      </x:c>
      <x:c r="BO1012">
        <x:f>MAX(0,MIN(99-BL1012,BO1011+IF(C1012="理智",E1012,0)))</x:f>
        <x:v>0</x:v>
      </x:c>
      <x:c r="BP1012">
        <x:f>MAX(0,MIN(99,BP1011+IF(C1012="崩溃点",E1012,0)))</x:f>
        <x:v>0</x:v>
      </x:c>
      <x:c r="BQ1012">
        <x:f>MAX(0,MIN(BK1012,IF(AND(H1012=1,C1012="重要关系1",LEFT('幕间与结算'!H919,8)="建立新的重要关系"),'幕间与结算'!E919+E1012,BQ1011+IF(C1012="重要关系1",E1012,0)+IF(AND(C1012="魅力",E1012&lt;0),E1012,0))))</x:f>
        <x:v>0</x:v>
      </x:c>
      <x:c r="BR1012">
        <x:f>MAX(0,MIN(BK1012,IF(AND(H1012=1,C1012="重要关系2",LEFT('幕间与结算'!H919,8)="建立新的重要关系"),'幕间与结算'!E919+E1012,BR1011+IF(C1012="重要关系2",E1012,0)+IF(AND(C1012="魅力",E1012&lt;0),E1012,0))))</x:f>
        <x:v>0</x:v>
      </x:c>
      <x:c r="BS1012">
        <x:f>MAX(0,MIN(BK1012,IF(AND(H1012=1,C1012="重要关系3",LEFT('幕间与结算'!H919,8)="建立新的重要关系"),'幕间与结算'!E919+E1012,BS1011+IF(C1012="重要关系3",E1012,0)+IF(AND(C1012="魅力",E1012&lt;0),E1012,0))))</x:f>
        <x:v>0</x:v>
      </x:c>
      <x:c r="BT1012">
        <x:f>MAX(0,MIN(BK1012,IF(AND(H1012=1,C1012="重要关系4",LEFT('幕间与结算'!H919,8)="建立新的重要关系"),'幕间与结算'!E919+E1012,BT1011+IF(C1012="重要关系4",E1012,0)+IF(AND(C1012="魅力",E1012&lt;0),E1012,0))))</x:f>
        <x:v>0</x:v>
      </x:c>
      <x:c r="BU1012">
        <x:f>MAX(0,MIN(BK1012,IF(AND(H1012=1,C1012="重要关系5",LEFT('幕间与结算'!H919,8)="建立新的重要关系"),'幕间与结算'!E919+E1012,BU1011+IF(C1012="重要关系5",E1012,0)+IF(AND(C1012="魅力",E1012&lt;0),E1012,0))))</x:f>
        <x:v>0</x:v>
      </x:c>
      <x:c r="BV1012">
        <x:f>MAX(0,MIN(BK1012,IF(AND(H1012=1,C1012="重要关系6",LEFT('幕间与结算'!H919,8)="建立新的重要关系"),'幕间与结算'!E919+E1012,BV1011+IF(C1012="重要关系6",E1012,0)+IF(AND(C1012="魅力",E1012&lt;0),E1012,0))))</x:f>
        <x:v>0</x:v>
      </x:c>
      <x:c r="BW1012">
        <x:f>MAX(0,MIN(BK1012,IF(AND(H1012=1,C1012="重要关系7",LEFT('幕间与结算'!H919,8)="建立新的重要关系"),'幕间与结算'!E919+E1012,BW1011+IF(C1012="重要关系7",E1012,0)+IF(AND(C1012="魅力",E1012&lt;0),E1012,0))))</x:f>
        <x:v>0</x:v>
      </x:c>
    </x:row>
    <x:row r="1013">
      <x:c r="A1013" t="str">
        <x:f>IFERROR(TEXT(VALUE('幕间与结算'!A920),"00"),"")</x:f>
        <x:v>00</x:v>
      </x:c>
      <x:c r="B1013">
        <x:f>'幕间与结算'!B920</x:f>
        <x:v>0</x:v>
      </x:c>
      <x:c r="C1013">
        <x:f>'幕间与结算'!D920</x:f>
        <x:v>0</x:v>
      </x:c>
      <x:c r="D1013">
        <x:f>'幕间与结算'!F920</x:f>
        <x:v>0</x:v>
      </x:c>
      <x:c r="E1013">
        <x:f>IF(H1013=1,MAX(-'幕间与结算'!E920,MIN(D1013,IF(LEFT(C1013,3)="技能：",99,IF(COUNTIF($L$2:$L$7,C1013)&gt;0,18,999))-'幕间与结算'!E920)),0)</x:f>
        <x:v>0</x:v>
      </x:c>
      <x:c r="F1013" t="str">
        <x:f>IF(C1013=0,"",IF(G1013=0,"记录不完整",IF(H1013=0,"重复未计","已计入")))</x:f>
        <x:v/>
      </x:c>
      <x:c r="G1013">
        <x:f>IF(AND(AND('幕间与结算'!A920&lt;&gt;"",'幕间与结算'!B920&lt;&gt;"",'幕间与结算'!I920&lt;&gt;"",OR(LEFT(C1013,3)="技能：",COUNTIF($L$2:$L$19,C1013)&gt;0),ISNUMBER('幕间与结算'!E920),ISNUMBER('幕间与结算'!F920),ISNUMBER('幕间与结算'!G920),'幕间与结算'!E920&gt;=0,'幕间与结算'!G920='幕间与结算'!E920+'幕间与结算'!F920),OR(B1013&lt;&gt;"成长",AND(LEFT(C1013,3)="技能：",C1013&lt;&gt;"技能：非自然知识",'幕间与结算'!E920&gt;=1,'幕间与结算'!E920&lt;=99,'幕间与结算'!F920&gt;=0,'幕间与结算'!F920&lt;=4,'幕间与结算'!G920&lt;=99))),1,0)</x:f>
        <x:v>0</x:v>
      </x:c>
      <x:c r="H1013">
        <x:f>IF(AND(G1013=1,COUNTIFS($I$200:I1013,I1013,$G$200:G1013,1)=1),1,0)</x:f>
        <x:v>0</x:v>
      </x:c>
      <x:c r="I1013" t="str">
        <x:f>IF(G1013=1,IF(B1013="成长",A1013&amp;"-成长-"&amp;C1013,'幕间与结算'!I920),"")</x:f>
        <x:v/>
      </x:c>
      <x:c r="BF1013">
        <x:f>MAX(0,MIN(18,BF1012+IF(C1013="力量",E1013,0)))</x:f>
        <x:v>0</x:v>
      </x:c>
      <x:c r="BG1013">
        <x:f>MAX(0,MIN(18,BG1012+IF(C1013="体质",E1013,0)))</x:f>
        <x:v>0</x:v>
      </x:c>
      <x:c r="BH1013">
        <x:f>MAX(0,MIN(18,BH1012+IF(C1013="敏捷",E1013,0)))</x:f>
        <x:v>0</x:v>
      </x:c>
      <x:c r="BI1013">
        <x:f>MAX(0,MIN(18,BI1012+IF(C1013="智力",E1013,0)))</x:f>
        <x:v>0</x:v>
      </x:c>
      <x:c r="BJ1013">
        <x:f>MAX(0,MIN(18,BJ1012+IF(C1013="意志",E1013,0)))</x:f>
        <x:v>0</x:v>
      </x:c>
      <x:c r="BK1013">
        <x:f>MAX(0,MIN(18,BK1012+IF(C1013="魅力",E1013,0)))</x:f>
        <x:v>0</x:v>
      </x:c>
      <x:c r="BL1013">
        <x:f>MAX(0,MIN(99,BL1012+IF(C1013="技能：非自然知识",E1013,0)))</x:f>
        <x:v>0</x:v>
      </x:c>
      <x:c r="BM1013">
        <x:f>MAX(0,MIN(CEILING((BF1013+BG1013)/2,1),BM1012+IF(C1013="体力",E1013,0)))</x:f>
        <x:v>0</x:v>
      </x:c>
      <x:c r="BN1013">
        <x:f>MAX(0,MIN(BJ1013,BN1012+IF(C1013="毅力",E1013,0)))</x:f>
        <x:v>0</x:v>
      </x:c>
      <x:c r="BO1013">
        <x:f>MAX(0,MIN(99-BL1013,BO1012+IF(C1013="理智",E1013,0)))</x:f>
        <x:v>0</x:v>
      </x:c>
      <x:c r="BP1013">
        <x:f>MAX(0,MIN(99,BP1012+IF(C1013="崩溃点",E1013,0)))</x:f>
        <x:v>0</x:v>
      </x:c>
      <x:c r="BQ1013">
        <x:f>MAX(0,MIN(BK1013,IF(AND(H1013=1,C1013="重要关系1",LEFT('幕间与结算'!H920,8)="建立新的重要关系"),'幕间与结算'!E920+E1013,BQ1012+IF(C1013="重要关系1",E1013,0)+IF(AND(C1013="魅力",E1013&lt;0),E1013,0))))</x:f>
        <x:v>0</x:v>
      </x:c>
      <x:c r="BR1013">
        <x:f>MAX(0,MIN(BK1013,IF(AND(H1013=1,C1013="重要关系2",LEFT('幕间与结算'!H920,8)="建立新的重要关系"),'幕间与结算'!E920+E1013,BR1012+IF(C1013="重要关系2",E1013,0)+IF(AND(C1013="魅力",E1013&lt;0),E1013,0))))</x:f>
        <x:v>0</x:v>
      </x:c>
      <x:c r="BS1013">
        <x:f>MAX(0,MIN(BK1013,IF(AND(H1013=1,C1013="重要关系3",LEFT('幕间与结算'!H920,8)="建立新的重要关系"),'幕间与结算'!E920+E1013,BS1012+IF(C1013="重要关系3",E1013,0)+IF(AND(C1013="魅力",E1013&lt;0),E1013,0))))</x:f>
        <x:v>0</x:v>
      </x:c>
      <x:c r="BT1013">
        <x:f>MAX(0,MIN(BK1013,IF(AND(H1013=1,C1013="重要关系4",LEFT('幕间与结算'!H920,8)="建立新的重要关系"),'幕间与结算'!E920+E1013,BT1012+IF(C1013="重要关系4",E1013,0)+IF(AND(C1013="魅力",E1013&lt;0),E1013,0))))</x:f>
        <x:v>0</x:v>
      </x:c>
      <x:c r="BU1013">
        <x:f>MAX(0,MIN(BK1013,IF(AND(H1013=1,C1013="重要关系5",LEFT('幕间与结算'!H920,8)="建立新的重要关系"),'幕间与结算'!E920+E1013,BU1012+IF(C1013="重要关系5",E1013,0)+IF(AND(C1013="魅力",E1013&lt;0),E1013,0))))</x:f>
        <x:v>0</x:v>
      </x:c>
      <x:c r="BV1013">
        <x:f>MAX(0,MIN(BK1013,IF(AND(H1013=1,C1013="重要关系6",LEFT('幕间与结算'!H920,8)="建立新的重要关系"),'幕间与结算'!E920+E1013,BV1012+IF(C1013="重要关系6",E1013,0)+IF(AND(C1013="魅力",E1013&lt;0),E1013,0))))</x:f>
        <x:v>0</x:v>
      </x:c>
      <x:c r="BW1013">
        <x:f>MAX(0,MIN(BK1013,IF(AND(H1013=1,C1013="重要关系7",LEFT('幕间与结算'!H920,8)="建立新的重要关系"),'幕间与结算'!E920+E1013,BW1012+IF(C1013="重要关系7",E1013,0)+IF(AND(C1013="魅力",E1013&lt;0),E1013,0))))</x:f>
        <x:v>0</x:v>
      </x:c>
    </x:row>
    <x:row r="1014">
      <x:c r="A1014" t="str">
        <x:f>IFERROR(TEXT(VALUE('幕间与结算'!A921),"00"),"")</x:f>
        <x:v>00</x:v>
      </x:c>
      <x:c r="B1014">
        <x:f>'幕间与结算'!B921</x:f>
        <x:v>0</x:v>
      </x:c>
      <x:c r="C1014">
        <x:f>'幕间与结算'!D921</x:f>
        <x:v>0</x:v>
      </x:c>
      <x:c r="D1014">
        <x:f>'幕间与结算'!F921</x:f>
        <x:v>0</x:v>
      </x:c>
      <x:c r="E1014">
        <x:f>IF(H1014=1,MAX(-'幕间与结算'!E921,MIN(D1014,IF(LEFT(C1014,3)="技能：",99,IF(COUNTIF($L$2:$L$7,C1014)&gt;0,18,999))-'幕间与结算'!E921)),0)</x:f>
        <x:v>0</x:v>
      </x:c>
      <x:c r="F1014" t="str">
        <x:f>IF(C1014=0,"",IF(G1014=0,"记录不完整",IF(H1014=0,"重复未计","已计入")))</x:f>
        <x:v/>
      </x:c>
      <x:c r="G1014">
        <x:f>IF(AND(AND('幕间与结算'!A921&lt;&gt;"",'幕间与结算'!B921&lt;&gt;"",'幕间与结算'!I921&lt;&gt;"",OR(LEFT(C1014,3)="技能：",COUNTIF($L$2:$L$19,C1014)&gt;0),ISNUMBER('幕间与结算'!E921),ISNUMBER('幕间与结算'!F921),ISNUMBER('幕间与结算'!G921),'幕间与结算'!E921&gt;=0,'幕间与结算'!G921='幕间与结算'!E921+'幕间与结算'!F921),OR(B1014&lt;&gt;"成长",AND(LEFT(C1014,3)="技能：",C1014&lt;&gt;"技能：非自然知识",'幕间与结算'!E921&gt;=1,'幕间与结算'!E921&lt;=99,'幕间与结算'!F921&gt;=0,'幕间与结算'!F921&lt;=4,'幕间与结算'!G921&lt;=99))),1,0)</x:f>
        <x:v>0</x:v>
      </x:c>
      <x:c r="H1014">
        <x:f>IF(AND(G1014=1,COUNTIFS($I$200:I1014,I1014,$G$200:G1014,1)=1),1,0)</x:f>
        <x:v>0</x:v>
      </x:c>
      <x:c r="I1014" t="str">
        <x:f>IF(G1014=1,IF(B1014="成长",A1014&amp;"-成长-"&amp;C1014,'幕间与结算'!I921),"")</x:f>
        <x:v/>
      </x:c>
      <x:c r="BF1014">
        <x:f>MAX(0,MIN(18,BF1013+IF(C1014="力量",E1014,0)))</x:f>
        <x:v>0</x:v>
      </x:c>
      <x:c r="BG1014">
        <x:f>MAX(0,MIN(18,BG1013+IF(C1014="体质",E1014,0)))</x:f>
        <x:v>0</x:v>
      </x:c>
      <x:c r="BH1014">
        <x:f>MAX(0,MIN(18,BH1013+IF(C1014="敏捷",E1014,0)))</x:f>
        <x:v>0</x:v>
      </x:c>
      <x:c r="BI1014">
        <x:f>MAX(0,MIN(18,BI1013+IF(C1014="智力",E1014,0)))</x:f>
        <x:v>0</x:v>
      </x:c>
      <x:c r="BJ1014">
        <x:f>MAX(0,MIN(18,BJ1013+IF(C1014="意志",E1014,0)))</x:f>
        <x:v>0</x:v>
      </x:c>
      <x:c r="BK1014">
        <x:f>MAX(0,MIN(18,BK1013+IF(C1014="魅力",E1014,0)))</x:f>
        <x:v>0</x:v>
      </x:c>
      <x:c r="BL1014">
        <x:f>MAX(0,MIN(99,BL1013+IF(C1014="技能：非自然知识",E1014,0)))</x:f>
        <x:v>0</x:v>
      </x:c>
      <x:c r="BM1014">
        <x:f>MAX(0,MIN(CEILING((BF1014+BG1014)/2,1),BM1013+IF(C1014="体力",E1014,0)))</x:f>
        <x:v>0</x:v>
      </x:c>
      <x:c r="BN1014">
        <x:f>MAX(0,MIN(BJ1014,BN1013+IF(C1014="毅力",E1014,0)))</x:f>
        <x:v>0</x:v>
      </x:c>
      <x:c r="BO1014">
        <x:f>MAX(0,MIN(99-BL1014,BO1013+IF(C1014="理智",E1014,0)))</x:f>
        <x:v>0</x:v>
      </x:c>
      <x:c r="BP1014">
        <x:f>MAX(0,MIN(99,BP1013+IF(C1014="崩溃点",E1014,0)))</x:f>
        <x:v>0</x:v>
      </x:c>
      <x:c r="BQ1014">
        <x:f>MAX(0,MIN(BK1014,IF(AND(H1014=1,C1014="重要关系1",LEFT('幕间与结算'!H921,8)="建立新的重要关系"),'幕间与结算'!E921+E1014,BQ1013+IF(C1014="重要关系1",E1014,0)+IF(AND(C1014="魅力",E1014&lt;0),E1014,0))))</x:f>
        <x:v>0</x:v>
      </x:c>
      <x:c r="BR1014">
        <x:f>MAX(0,MIN(BK1014,IF(AND(H1014=1,C1014="重要关系2",LEFT('幕间与结算'!H921,8)="建立新的重要关系"),'幕间与结算'!E921+E1014,BR1013+IF(C1014="重要关系2",E1014,0)+IF(AND(C1014="魅力",E1014&lt;0),E1014,0))))</x:f>
        <x:v>0</x:v>
      </x:c>
      <x:c r="BS1014">
        <x:f>MAX(0,MIN(BK1014,IF(AND(H1014=1,C1014="重要关系3",LEFT('幕间与结算'!H921,8)="建立新的重要关系"),'幕间与结算'!E921+E1014,BS1013+IF(C1014="重要关系3",E1014,0)+IF(AND(C1014="魅力",E1014&lt;0),E1014,0))))</x:f>
        <x:v>0</x:v>
      </x:c>
      <x:c r="BT1014">
        <x:f>MAX(0,MIN(BK1014,IF(AND(H1014=1,C1014="重要关系4",LEFT('幕间与结算'!H921,8)="建立新的重要关系"),'幕间与结算'!E921+E1014,BT1013+IF(C1014="重要关系4",E1014,0)+IF(AND(C1014="魅力",E1014&lt;0),E1014,0))))</x:f>
        <x:v>0</x:v>
      </x:c>
      <x:c r="BU1014">
        <x:f>MAX(0,MIN(BK1014,IF(AND(H1014=1,C1014="重要关系5",LEFT('幕间与结算'!H921,8)="建立新的重要关系"),'幕间与结算'!E921+E1014,BU1013+IF(C1014="重要关系5",E1014,0)+IF(AND(C1014="魅力",E1014&lt;0),E1014,0))))</x:f>
        <x:v>0</x:v>
      </x:c>
      <x:c r="BV1014">
        <x:f>MAX(0,MIN(BK1014,IF(AND(H1014=1,C1014="重要关系6",LEFT('幕间与结算'!H921,8)="建立新的重要关系"),'幕间与结算'!E921+E1014,BV1013+IF(C1014="重要关系6",E1014,0)+IF(AND(C1014="魅力",E1014&lt;0),E1014,0))))</x:f>
        <x:v>0</x:v>
      </x:c>
      <x:c r="BW1014">
        <x:f>MAX(0,MIN(BK1014,IF(AND(H1014=1,C1014="重要关系7",LEFT('幕间与结算'!H921,8)="建立新的重要关系"),'幕间与结算'!E921+E1014,BW1013+IF(C1014="重要关系7",E1014,0)+IF(AND(C1014="魅力",E1014&lt;0),E1014,0))))</x:f>
        <x:v>0</x:v>
      </x:c>
    </x:row>
    <x:row r="1015">
      <x:c r="A1015" t="str">
        <x:f>IFERROR(TEXT(VALUE('幕间与结算'!A922),"00"),"")</x:f>
        <x:v>00</x:v>
      </x:c>
      <x:c r="B1015">
        <x:f>'幕间与结算'!B922</x:f>
        <x:v>0</x:v>
      </x:c>
      <x:c r="C1015">
        <x:f>'幕间与结算'!D922</x:f>
        <x:v>0</x:v>
      </x:c>
      <x:c r="D1015">
        <x:f>'幕间与结算'!F922</x:f>
        <x:v>0</x:v>
      </x:c>
      <x:c r="E1015">
        <x:f>IF(H1015=1,MAX(-'幕间与结算'!E922,MIN(D1015,IF(LEFT(C1015,3)="技能：",99,IF(COUNTIF($L$2:$L$7,C1015)&gt;0,18,999))-'幕间与结算'!E922)),0)</x:f>
        <x:v>0</x:v>
      </x:c>
      <x:c r="F1015" t="str">
        <x:f>IF(C1015=0,"",IF(G1015=0,"记录不完整",IF(H1015=0,"重复未计","已计入")))</x:f>
        <x:v/>
      </x:c>
      <x:c r="G1015">
        <x:f>IF(AND(AND('幕间与结算'!A922&lt;&gt;"",'幕间与结算'!B922&lt;&gt;"",'幕间与结算'!I922&lt;&gt;"",OR(LEFT(C1015,3)="技能：",COUNTIF($L$2:$L$19,C1015)&gt;0),ISNUMBER('幕间与结算'!E922),ISNUMBER('幕间与结算'!F922),ISNUMBER('幕间与结算'!G922),'幕间与结算'!E922&gt;=0,'幕间与结算'!G922='幕间与结算'!E922+'幕间与结算'!F922),OR(B1015&lt;&gt;"成长",AND(LEFT(C1015,3)="技能：",C1015&lt;&gt;"技能：非自然知识",'幕间与结算'!E922&gt;=1,'幕间与结算'!E922&lt;=99,'幕间与结算'!F922&gt;=0,'幕间与结算'!F922&lt;=4,'幕间与结算'!G922&lt;=99))),1,0)</x:f>
        <x:v>0</x:v>
      </x:c>
      <x:c r="H1015">
        <x:f>IF(AND(G1015=1,COUNTIFS($I$200:I1015,I1015,$G$200:G1015,1)=1),1,0)</x:f>
        <x:v>0</x:v>
      </x:c>
      <x:c r="I1015" t="str">
        <x:f>IF(G1015=1,IF(B1015="成长",A1015&amp;"-成长-"&amp;C1015,'幕间与结算'!I922),"")</x:f>
        <x:v/>
      </x:c>
      <x:c r="BF1015">
        <x:f>MAX(0,MIN(18,BF1014+IF(C1015="力量",E1015,0)))</x:f>
        <x:v>0</x:v>
      </x:c>
      <x:c r="BG1015">
        <x:f>MAX(0,MIN(18,BG1014+IF(C1015="体质",E1015,0)))</x:f>
        <x:v>0</x:v>
      </x:c>
      <x:c r="BH1015">
        <x:f>MAX(0,MIN(18,BH1014+IF(C1015="敏捷",E1015,0)))</x:f>
        <x:v>0</x:v>
      </x:c>
      <x:c r="BI1015">
        <x:f>MAX(0,MIN(18,BI1014+IF(C1015="智力",E1015,0)))</x:f>
        <x:v>0</x:v>
      </x:c>
      <x:c r="BJ1015">
        <x:f>MAX(0,MIN(18,BJ1014+IF(C1015="意志",E1015,0)))</x:f>
        <x:v>0</x:v>
      </x:c>
      <x:c r="BK1015">
        <x:f>MAX(0,MIN(18,BK1014+IF(C1015="魅力",E1015,0)))</x:f>
        <x:v>0</x:v>
      </x:c>
      <x:c r="BL1015">
        <x:f>MAX(0,MIN(99,BL1014+IF(C1015="技能：非自然知识",E1015,0)))</x:f>
        <x:v>0</x:v>
      </x:c>
      <x:c r="BM1015">
        <x:f>MAX(0,MIN(CEILING((BF1015+BG1015)/2,1),BM1014+IF(C1015="体力",E1015,0)))</x:f>
        <x:v>0</x:v>
      </x:c>
      <x:c r="BN1015">
        <x:f>MAX(0,MIN(BJ1015,BN1014+IF(C1015="毅力",E1015,0)))</x:f>
        <x:v>0</x:v>
      </x:c>
      <x:c r="BO1015">
        <x:f>MAX(0,MIN(99-BL1015,BO1014+IF(C1015="理智",E1015,0)))</x:f>
        <x:v>0</x:v>
      </x:c>
      <x:c r="BP1015">
        <x:f>MAX(0,MIN(99,BP1014+IF(C1015="崩溃点",E1015,0)))</x:f>
        <x:v>0</x:v>
      </x:c>
      <x:c r="BQ1015">
        <x:f>MAX(0,MIN(BK1015,IF(AND(H1015=1,C1015="重要关系1",LEFT('幕间与结算'!H922,8)="建立新的重要关系"),'幕间与结算'!E922+E1015,BQ1014+IF(C1015="重要关系1",E1015,0)+IF(AND(C1015="魅力",E1015&lt;0),E1015,0))))</x:f>
        <x:v>0</x:v>
      </x:c>
      <x:c r="BR1015">
        <x:f>MAX(0,MIN(BK1015,IF(AND(H1015=1,C1015="重要关系2",LEFT('幕间与结算'!H922,8)="建立新的重要关系"),'幕间与结算'!E922+E1015,BR1014+IF(C1015="重要关系2",E1015,0)+IF(AND(C1015="魅力",E1015&lt;0),E1015,0))))</x:f>
        <x:v>0</x:v>
      </x:c>
      <x:c r="BS1015">
        <x:f>MAX(0,MIN(BK1015,IF(AND(H1015=1,C1015="重要关系3",LEFT('幕间与结算'!H922,8)="建立新的重要关系"),'幕间与结算'!E922+E1015,BS1014+IF(C1015="重要关系3",E1015,0)+IF(AND(C1015="魅力",E1015&lt;0),E1015,0))))</x:f>
        <x:v>0</x:v>
      </x:c>
      <x:c r="BT1015">
        <x:f>MAX(0,MIN(BK1015,IF(AND(H1015=1,C1015="重要关系4",LEFT('幕间与结算'!H922,8)="建立新的重要关系"),'幕间与结算'!E922+E1015,BT1014+IF(C1015="重要关系4",E1015,0)+IF(AND(C1015="魅力",E1015&lt;0),E1015,0))))</x:f>
        <x:v>0</x:v>
      </x:c>
      <x:c r="BU1015">
        <x:f>MAX(0,MIN(BK1015,IF(AND(H1015=1,C1015="重要关系5",LEFT('幕间与结算'!H922,8)="建立新的重要关系"),'幕间与结算'!E922+E1015,BU1014+IF(C1015="重要关系5",E1015,0)+IF(AND(C1015="魅力",E1015&lt;0),E1015,0))))</x:f>
        <x:v>0</x:v>
      </x:c>
      <x:c r="BV1015">
        <x:f>MAX(0,MIN(BK1015,IF(AND(H1015=1,C1015="重要关系6",LEFT('幕间与结算'!H922,8)="建立新的重要关系"),'幕间与结算'!E922+E1015,BV1014+IF(C1015="重要关系6",E1015,0)+IF(AND(C1015="魅力",E1015&lt;0),E1015,0))))</x:f>
        <x:v>0</x:v>
      </x:c>
      <x:c r="BW1015">
        <x:f>MAX(0,MIN(BK1015,IF(AND(H1015=1,C1015="重要关系7",LEFT('幕间与结算'!H922,8)="建立新的重要关系"),'幕间与结算'!E922+E1015,BW1014+IF(C1015="重要关系7",E1015,0)+IF(AND(C1015="魅力",E1015&lt;0),E1015,0))))</x:f>
        <x:v>0</x:v>
      </x:c>
    </x:row>
    <x:row r="1016">
      <x:c r="A1016" t="str">
        <x:f>IFERROR(TEXT(VALUE('幕间与结算'!A923),"00"),"")</x:f>
        <x:v>00</x:v>
      </x:c>
      <x:c r="B1016">
        <x:f>'幕间与结算'!B923</x:f>
        <x:v>0</x:v>
      </x:c>
      <x:c r="C1016">
        <x:f>'幕间与结算'!D923</x:f>
        <x:v>0</x:v>
      </x:c>
      <x:c r="D1016">
        <x:f>'幕间与结算'!F923</x:f>
        <x:v>0</x:v>
      </x:c>
      <x:c r="E1016">
        <x:f>IF(H1016=1,MAX(-'幕间与结算'!E923,MIN(D1016,IF(LEFT(C1016,3)="技能：",99,IF(COUNTIF($L$2:$L$7,C1016)&gt;0,18,999))-'幕间与结算'!E923)),0)</x:f>
        <x:v>0</x:v>
      </x:c>
      <x:c r="F1016" t="str">
        <x:f>IF(C1016=0,"",IF(G1016=0,"记录不完整",IF(H1016=0,"重复未计","已计入")))</x:f>
        <x:v/>
      </x:c>
      <x:c r="G1016">
        <x:f>IF(AND(AND('幕间与结算'!A923&lt;&gt;"",'幕间与结算'!B923&lt;&gt;"",'幕间与结算'!I923&lt;&gt;"",OR(LEFT(C1016,3)="技能：",COUNTIF($L$2:$L$19,C1016)&gt;0),ISNUMBER('幕间与结算'!E923),ISNUMBER('幕间与结算'!F923),ISNUMBER('幕间与结算'!G923),'幕间与结算'!E923&gt;=0,'幕间与结算'!G923='幕间与结算'!E923+'幕间与结算'!F923),OR(B1016&lt;&gt;"成长",AND(LEFT(C1016,3)="技能：",C1016&lt;&gt;"技能：非自然知识",'幕间与结算'!E923&gt;=1,'幕间与结算'!E923&lt;=99,'幕间与结算'!F923&gt;=0,'幕间与结算'!F923&lt;=4,'幕间与结算'!G923&lt;=99))),1,0)</x:f>
        <x:v>0</x:v>
      </x:c>
      <x:c r="H1016">
        <x:f>IF(AND(G1016=1,COUNTIFS($I$200:I1016,I1016,$G$200:G1016,1)=1),1,0)</x:f>
        <x:v>0</x:v>
      </x:c>
      <x:c r="I1016" t="str">
        <x:f>IF(G1016=1,IF(B1016="成长",A1016&amp;"-成长-"&amp;C1016,'幕间与结算'!I923),"")</x:f>
        <x:v/>
      </x:c>
      <x:c r="BF1016">
        <x:f>MAX(0,MIN(18,BF1015+IF(C1016="力量",E1016,0)))</x:f>
        <x:v>0</x:v>
      </x:c>
      <x:c r="BG1016">
        <x:f>MAX(0,MIN(18,BG1015+IF(C1016="体质",E1016,0)))</x:f>
        <x:v>0</x:v>
      </x:c>
      <x:c r="BH1016">
        <x:f>MAX(0,MIN(18,BH1015+IF(C1016="敏捷",E1016,0)))</x:f>
        <x:v>0</x:v>
      </x:c>
      <x:c r="BI1016">
        <x:f>MAX(0,MIN(18,BI1015+IF(C1016="智力",E1016,0)))</x:f>
        <x:v>0</x:v>
      </x:c>
      <x:c r="BJ1016">
        <x:f>MAX(0,MIN(18,BJ1015+IF(C1016="意志",E1016,0)))</x:f>
        <x:v>0</x:v>
      </x:c>
      <x:c r="BK1016">
        <x:f>MAX(0,MIN(18,BK1015+IF(C1016="魅力",E1016,0)))</x:f>
        <x:v>0</x:v>
      </x:c>
      <x:c r="BL1016">
        <x:f>MAX(0,MIN(99,BL1015+IF(C1016="技能：非自然知识",E1016,0)))</x:f>
        <x:v>0</x:v>
      </x:c>
      <x:c r="BM1016">
        <x:f>MAX(0,MIN(CEILING((BF1016+BG1016)/2,1),BM1015+IF(C1016="体力",E1016,0)))</x:f>
        <x:v>0</x:v>
      </x:c>
      <x:c r="BN1016">
        <x:f>MAX(0,MIN(BJ1016,BN1015+IF(C1016="毅力",E1016,0)))</x:f>
        <x:v>0</x:v>
      </x:c>
      <x:c r="BO1016">
        <x:f>MAX(0,MIN(99-BL1016,BO1015+IF(C1016="理智",E1016,0)))</x:f>
        <x:v>0</x:v>
      </x:c>
      <x:c r="BP1016">
        <x:f>MAX(0,MIN(99,BP1015+IF(C1016="崩溃点",E1016,0)))</x:f>
        <x:v>0</x:v>
      </x:c>
      <x:c r="BQ1016">
        <x:f>MAX(0,MIN(BK1016,IF(AND(H1016=1,C1016="重要关系1",LEFT('幕间与结算'!H923,8)="建立新的重要关系"),'幕间与结算'!E923+E1016,BQ1015+IF(C1016="重要关系1",E1016,0)+IF(AND(C1016="魅力",E1016&lt;0),E1016,0))))</x:f>
        <x:v>0</x:v>
      </x:c>
      <x:c r="BR1016">
        <x:f>MAX(0,MIN(BK1016,IF(AND(H1016=1,C1016="重要关系2",LEFT('幕间与结算'!H923,8)="建立新的重要关系"),'幕间与结算'!E923+E1016,BR1015+IF(C1016="重要关系2",E1016,0)+IF(AND(C1016="魅力",E1016&lt;0),E1016,0))))</x:f>
        <x:v>0</x:v>
      </x:c>
      <x:c r="BS1016">
        <x:f>MAX(0,MIN(BK1016,IF(AND(H1016=1,C1016="重要关系3",LEFT('幕间与结算'!H923,8)="建立新的重要关系"),'幕间与结算'!E923+E1016,BS1015+IF(C1016="重要关系3",E1016,0)+IF(AND(C1016="魅力",E1016&lt;0),E1016,0))))</x:f>
        <x:v>0</x:v>
      </x:c>
      <x:c r="BT1016">
        <x:f>MAX(0,MIN(BK1016,IF(AND(H1016=1,C1016="重要关系4",LEFT('幕间与结算'!H923,8)="建立新的重要关系"),'幕间与结算'!E923+E1016,BT1015+IF(C1016="重要关系4",E1016,0)+IF(AND(C1016="魅力",E1016&lt;0),E1016,0))))</x:f>
        <x:v>0</x:v>
      </x:c>
      <x:c r="BU1016">
        <x:f>MAX(0,MIN(BK1016,IF(AND(H1016=1,C1016="重要关系5",LEFT('幕间与结算'!H923,8)="建立新的重要关系"),'幕间与结算'!E923+E1016,BU1015+IF(C1016="重要关系5",E1016,0)+IF(AND(C1016="魅力",E1016&lt;0),E1016,0))))</x:f>
        <x:v>0</x:v>
      </x:c>
      <x:c r="BV1016">
        <x:f>MAX(0,MIN(BK1016,IF(AND(H1016=1,C1016="重要关系6",LEFT('幕间与结算'!H923,8)="建立新的重要关系"),'幕间与结算'!E923+E1016,BV1015+IF(C1016="重要关系6",E1016,0)+IF(AND(C1016="魅力",E1016&lt;0),E1016,0))))</x:f>
        <x:v>0</x:v>
      </x:c>
      <x:c r="BW1016">
        <x:f>MAX(0,MIN(BK1016,IF(AND(H1016=1,C1016="重要关系7",LEFT('幕间与结算'!H923,8)="建立新的重要关系"),'幕间与结算'!E923+E1016,BW1015+IF(C1016="重要关系7",E1016,0)+IF(AND(C1016="魅力",E1016&lt;0),E1016,0))))</x:f>
        <x:v>0</x:v>
      </x:c>
    </x:row>
    <x:row r="1017">
      <x:c r="A1017" t="str">
        <x:f>IFERROR(TEXT(VALUE('幕间与结算'!A924),"00"),"")</x:f>
        <x:v>00</x:v>
      </x:c>
      <x:c r="B1017">
        <x:f>'幕间与结算'!B924</x:f>
        <x:v>0</x:v>
      </x:c>
      <x:c r="C1017">
        <x:f>'幕间与结算'!D924</x:f>
        <x:v>0</x:v>
      </x:c>
      <x:c r="D1017">
        <x:f>'幕间与结算'!F924</x:f>
        <x:v>0</x:v>
      </x:c>
      <x:c r="E1017">
        <x:f>IF(H1017=1,MAX(-'幕间与结算'!E924,MIN(D1017,IF(LEFT(C1017,3)="技能：",99,IF(COUNTIF($L$2:$L$7,C1017)&gt;0,18,999))-'幕间与结算'!E924)),0)</x:f>
        <x:v>0</x:v>
      </x:c>
      <x:c r="F1017" t="str">
        <x:f>IF(C1017=0,"",IF(G1017=0,"记录不完整",IF(H1017=0,"重复未计","已计入")))</x:f>
        <x:v/>
      </x:c>
      <x:c r="G1017">
        <x:f>IF(AND(AND('幕间与结算'!A924&lt;&gt;"",'幕间与结算'!B924&lt;&gt;"",'幕间与结算'!I924&lt;&gt;"",OR(LEFT(C1017,3)="技能：",COUNTIF($L$2:$L$19,C1017)&gt;0),ISNUMBER('幕间与结算'!E924),ISNUMBER('幕间与结算'!F924),ISNUMBER('幕间与结算'!G924),'幕间与结算'!E924&gt;=0,'幕间与结算'!G924='幕间与结算'!E924+'幕间与结算'!F924),OR(B1017&lt;&gt;"成长",AND(LEFT(C1017,3)="技能：",C1017&lt;&gt;"技能：非自然知识",'幕间与结算'!E924&gt;=1,'幕间与结算'!E924&lt;=99,'幕间与结算'!F924&gt;=0,'幕间与结算'!F924&lt;=4,'幕间与结算'!G924&lt;=99))),1,0)</x:f>
        <x:v>0</x:v>
      </x:c>
      <x:c r="H1017">
        <x:f>IF(AND(G1017=1,COUNTIFS($I$200:I1017,I1017,$G$200:G1017,1)=1),1,0)</x:f>
        <x:v>0</x:v>
      </x:c>
      <x:c r="I1017" t="str">
        <x:f>IF(G1017=1,IF(B1017="成长",A1017&amp;"-成长-"&amp;C1017,'幕间与结算'!I924),"")</x:f>
        <x:v/>
      </x:c>
      <x:c r="BF1017">
        <x:f>MAX(0,MIN(18,BF1016+IF(C1017="力量",E1017,0)))</x:f>
        <x:v>0</x:v>
      </x:c>
      <x:c r="BG1017">
        <x:f>MAX(0,MIN(18,BG1016+IF(C1017="体质",E1017,0)))</x:f>
        <x:v>0</x:v>
      </x:c>
      <x:c r="BH1017">
        <x:f>MAX(0,MIN(18,BH1016+IF(C1017="敏捷",E1017,0)))</x:f>
        <x:v>0</x:v>
      </x:c>
      <x:c r="BI1017">
        <x:f>MAX(0,MIN(18,BI1016+IF(C1017="智力",E1017,0)))</x:f>
        <x:v>0</x:v>
      </x:c>
      <x:c r="BJ1017">
        <x:f>MAX(0,MIN(18,BJ1016+IF(C1017="意志",E1017,0)))</x:f>
        <x:v>0</x:v>
      </x:c>
      <x:c r="BK1017">
        <x:f>MAX(0,MIN(18,BK1016+IF(C1017="魅力",E1017,0)))</x:f>
        <x:v>0</x:v>
      </x:c>
      <x:c r="BL1017">
        <x:f>MAX(0,MIN(99,BL1016+IF(C1017="技能：非自然知识",E1017,0)))</x:f>
        <x:v>0</x:v>
      </x:c>
      <x:c r="BM1017">
        <x:f>MAX(0,MIN(CEILING((BF1017+BG1017)/2,1),BM1016+IF(C1017="体力",E1017,0)))</x:f>
        <x:v>0</x:v>
      </x:c>
      <x:c r="BN1017">
        <x:f>MAX(0,MIN(BJ1017,BN1016+IF(C1017="毅力",E1017,0)))</x:f>
        <x:v>0</x:v>
      </x:c>
      <x:c r="BO1017">
        <x:f>MAX(0,MIN(99-BL1017,BO1016+IF(C1017="理智",E1017,0)))</x:f>
        <x:v>0</x:v>
      </x:c>
      <x:c r="BP1017">
        <x:f>MAX(0,MIN(99,BP1016+IF(C1017="崩溃点",E1017,0)))</x:f>
        <x:v>0</x:v>
      </x:c>
      <x:c r="BQ1017">
        <x:f>MAX(0,MIN(BK1017,IF(AND(H1017=1,C1017="重要关系1",LEFT('幕间与结算'!H924,8)="建立新的重要关系"),'幕间与结算'!E924+E1017,BQ1016+IF(C1017="重要关系1",E1017,0)+IF(AND(C1017="魅力",E1017&lt;0),E1017,0))))</x:f>
        <x:v>0</x:v>
      </x:c>
      <x:c r="BR1017">
        <x:f>MAX(0,MIN(BK1017,IF(AND(H1017=1,C1017="重要关系2",LEFT('幕间与结算'!H924,8)="建立新的重要关系"),'幕间与结算'!E924+E1017,BR1016+IF(C1017="重要关系2",E1017,0)+IF(AND(C1017="魅力",E1017&lt;0),E1017,0))))</x:f>
        <x:v>0</x:v>
      </x:c>
      <x:c r="BS1017">
        <x:f>MAX(0,MIN(BK1017,IF(AND(H1017=1,C1017="重要关系3",LEFT('幕间与结算'!H924,8)="建立新的重要关系"),'幕间与结算'!E924+E1017,BS1016+IF(C1017="重要关系3",E1017,0)+IF(AND(C1017="魅力",E1017&lt;0),E1017,0))))</x:f>
        <x:v>0</x:v>
      </x:c>
      <x:c r="BT1017">
        <x:f>MAX(0,MIN(BK1017,IF(AND(H1017=1,C1017="重要关系4",LEFT('幕间与结算'!H924,8)="建立新的重要关系"),'幕间与结算'!E924+E1017,BT1016+IF(C1017="重要关系4",E1017,0)+IF(AND(C1017="魅力",E1017&lt;0),E1017,0))))</x:f>
        <x:v>0</x:v>
      </x:c>
      <x:c r="BU1017">
        <x:f>MAX(0,MIN(BK1017,IF(AND(H1017=1,C1017="重要关系5",LEFT('幕间与结算'!H924,8)="建立新的重要关系"),'幕间与结算'!E924+E1017,BU1016+IF(C1017="重要关系5",E1017,0)+IF(AND(C1017="魅力",E1017&lt;0),E1017,0))))</x:f>
        <x:v>0</x:v>
      </x:c>
      <x:c r="BV1017">
        <x:f>MAX(0,MIN(BK1017,IF(AND(H1017=1,C1017="重要关系6",LEFT('幕间与结算'!H924,8)="建立新的重要关系"),'幕间与结算'!E924+E1017,BV1016+IF(C1017="重要关系6",E1017,0)+IF(AND(C1017="魅力",E1017&lt;0),E1017,0))))</x:f>
        <x:v>0</x:v>
      </x:c>
      <x:c r="BW1017">
        <x:f>MAX(0,MIN(BK1017,IF(AND(H1017=1,C1017="重要关系7",LEFT('幕间与结算'!H924,8)="建立新的重要关系"),'幕间与结算'!E924+E1017,BW1016+IF(C1017="重要关系7",E1017,0)+IF(AND(C1017="魅力",E1017&lt;0),E1017,0))))</x:f>
        <x:v>0</x:v>
      </x:c>
    </x:row>
    <x:row r="1018">
      <x:c r="A1018" t="str">
        <x:f>IFERROR(TEXT(VALUE('幕间与结算'!A925),"00"),"")</x:f>
        <x:v>00</x:v>
      </x:c>
      <x:c r="B1018">
        <x:f>'幕间与结算'!B925</x:f>
        <x:v>0</x:v>
      </x:c>
      <x:c r="C1018">
        <x:f>'幕间与结算'!D925</x:f>
        <x:v>0</x:v>
      </x:c>
      <x:c r="D1018">
        <x:f>'幕间与结算'!F925</x:f>
        <x:v>0</x:v>
      </x:c>
      <x:c r="E1018">
        <x:f>IF(H1018=1,MAX(-'幕间与结算'!E925,MIN(D1018,IF(LEFT(C1018,3)="技能：",99,IF(COUNTIF($L$2:$L$7,C1018)&gt;0,18,999))-'幕间与结算'!E925)),0)</x:f>
        <x:v>0</x:v>
      </x:c>
      <x:c r="F1018" t="str">
        <x:f>IF(C1018=0,"",IF(G1018=0,"记录不完整",IF(H1018=0,"重复未计","已计入")))</x:f>
        <x:v/>
      </x:c>
      <x:c r="G1018">
        <x:f>IF(AND(AND('幕间与结算'!A925&lt;&gt;"",'幕间与结算'!B925&lt;&gt;"",'幕间与结算'!I925&lt;&gt;"",OR(LEFT(C1018,3)="技能：",COUNTIF($L$2:$L$19,C1018)&gt;0),ISNUMBER('幕间与结算'!E925),ISNUMBER('幕间与结算'!F925),ISNUMBER('幕间与结算'!G925),'幕间与结算'!E925&gt;=0,'幕间与结算'!G925='幕间与结算'!E925+'幕间与结算'!F925),OR(B1018&lt;&gt;"成长",AND(LEFT(C1018,3)="技能：",C1018&lt;&gt;"技能：非自然知识",'幕间与结算'!E925&gt;=1,'幕间与结算'!E925&lt;=99,'幕间与结算'!F925&gt;=0,'幕间与结算'!F925&lt;=4,'幕间与结算'!G925&lt;=99))),1,0)</x:f>
        <x:v>0</x:v>
      </x:c>
      <x:c r="H1018">
        <x:f>IF(AND(G1018=1,COUNTIFS($I$200:I1018,I1018,$G$200:G1018,1)=1),1,0)</x:f>
        <x:v>0</x:v>
      </x:c>
      <x:c r="I1018" t="str">
        <x:f>IF(G1018=1,IF(B1018="成长",A1018&amp;"-成长-"&amp;C1018,'幕间与结算'!I925),"")</x:f>
        <x:v/>
      </x:c>
      <x:c r="BF1018">
        <x:f>MAX(0,MIN(18,BF1017+IF(C1018="力量",E1018,0)))</x:f>
        <x:v>0</x:v>
      </x:c>
      <x:c r="BG1018">
        <x:f>MAX(0,MIN(18,BG1017+IF(C1018="体质",E1018,0)))</x:f>
        <x:v>0</x:v>
      </x:c>
      <x:c r="BH1018">
        <x:f>MAX(0,MIN(18,BH1017+IF(C1018="敏捷",E1018,0)))</x:f>
        <x:v>0</x:v>
      </x:c>
      <x:c r="BI1018">
        <x:f>MAX(0,MIN(18,BI1017+IF(C1018="智力",E1018,0)))</x:f>
        <x:v>0</x:v>
      </x:c>
      <x:c r="BJ1018">
        <x:f>MAX(0,MIN(18,BJ1017+IF(C1018="意志",E1018,0)))</x:f>
        <x:v>0</x:v>
      </x:c>
      <x:c r="BK1018">
        <x:f>MAX(0,MIN(18,BK1017+IF(C1018="魅力",E1018,0)))</x:f>
        <x:v>0</x:v>
      </x:c>
      <x:c r="BL1018">
        <x:f>MAX(0,MIN(99,BL1017+IF(C1018="技能：非自然知识",E1018,0)))</x:f>
        <x:v>0</x:v>
      </x:c>
      <x:c r="BM1018">
        <x:f>MAX(0,MIN(CEILING((BF1018+BG1018)/2,1),BM1017+IF(C1018="体力",E1018,0)))</x:f>
        <x:v>0</x:v>
      </x:c>
      <x:c r="BN1018">
        <x:f>MAX(0,MIN(BJ1018,BN1017+IF(C1018="毅力",E1018,0)))</x:f>
        <x:v>0</x:v>
      </x:c>
      <x:c r="BO1018">
        <x:f>MAX(0,MIN(99-BL1018,BO1017+IF(C1018="理智",E1018,0)))</x:f>
        <x:v>0</x:v>
      </x:c>
      <x:c r="BP1018">
        <x:f>MAX(0,MIN(99,BP1017+IF(C1018="崩溃点",E1018,0)))</x:f>
        <x:v>0</x:v>
      </x:c>
      <x:c r="BQ1018">
        <x:f>MAX(0,MIN(BK1018,IF(AND(H1018=1,C1018="重要关系1",LEFT('幕间与结算'!H925,8)="建立新的重要关系"),'幕间与结算'!E925+E1018,BQ1017+IF(C1018="重要关系1",E1018,0)+IF(AND(C1018="魅力",E1018&lt;0),E1018,0))))</x:f>
        <x:v>0</x:v>
      </x:c>
      <x:c r="BR1018">
        <x:f>MAX(0,MIN(BK1018,IF(AND(H1018=1,C1018="重要关系2",LEFT('幕间与结算'!H925,8)="建立新的重要关系"),'幕间与结算'!E925+E1018,BR1017+IF(C1018="重要关系2",E1018,0)+IF(AND(C1018="魅力",E1018&lt;0),E1018,0))))</x:f>
        <x:v>0</x:v>
      </x:c>
      <x:c r="BS1018">
        <x:f>MAX(0,MIN(BK1018,IF(AND(H1018=1,C1018="重要关系3",LEFT('幕间与结算'!H925,8)="建立新的重要关系"),'幕间与结算'!E925+E1018,BS1017+IF(C1018="重要关系3",E1018,0)+IF(AND(C1018="魅力",E1018&lt;0),E1018,0))))</x:f>
        <x:v>0</x:v>
      </x:c>
      <x:c r="BT1018">
        <x:f>MAX(0,MIN(BK1018,IF(AND(H1018=1,C1018="重要关系4",LEFT('幕间与结算'!H925,8)="建立新的重要关系"),'幕间与结算'!E925+E1018,BT1017+IF(C1018="重要关系4",E1018,0)+IF(AND(C1018="魅力",E1018&lt;0),E1018,0))))</x:f>
        <x:v>0</x:v>
      </x:c>
      <x:c r="BU1018">
        <x:f>MAX(0,MIN(BK1018,IF(AND(H1018=1,C1018="重要关系5",LEFT('幕间与结算'!H925,8)="建立新的重要关系"),'幕间与结算'!E925+E1018,BU1017+IF(C1018="重要关系5",E1018,0)+IF(AND(C1018="魅力",E1018&lt;0),E1018,0))))</x:f>
        <x:v>0</x:v>
      </x:c>
      <x:c r="BV1018">
        <x:f>MAX(0,MIN(BK1018,IF(AND(H1018=1,C1018="重要关系6",LEFT('幕间与结算'!H925,8)="建立新的重要关系"),'幕间与结算'!E925+E1018,BV1017+IF(C1018="重要关系6",E1018,0)+IF(AND(C1018="魅力",E1018&lt;0),E1018,0))))</x:f>
        <x:v>0</x:v>
      </x:c>
      <x:c r="BW1018">
        <x:f>MAX(0,MIN(BK1018,IF(AND(H1018=1,C1018="重要关系7",LEFT('幕间与结算'!H925,8)="建立新的重要关系"),'幕间与结算'!E925+E1018,BW1017+IF(C1018="重要关系7",E1018,0)+IF(AND(C1018="魅力",E1018&lt;0),E1018,0))))</x:f>
        <x:v>0</x:v>
      </x:c>
    </x:row>
    <x:row r="1019">
      <x:c r="A1019" t="str">
        <x:f>IFERROR(TEXT(VALUE('幕间与结算'!A926),"00"),"")</x:f>
        <x:v>00</x:v>
      </x:c>
      <x:c r="B1019">
        <x:f>'幕间与结算'!B926</x:f>
        <x:v>0</x:v>
      </x:c>
      <x:c r="C1019">
        <x:f>'幕间与结算'!D926</x:f>
        <x:v>0</x:v>
      </x:c>
      <x:c r="D1019">
        <x:f>'幕间与结算'!F926</x:f>
        <x:v>0</x:v>
      </x:c>
      <x:c r="E1019">
        <x:f>IF(H1019=1,MAX(-'幕间与结算'!E926,MIN(D1019,IF(LEFT(C1019,3)="技能：",99,IF(COUNTIF($L$2:$L$7,C1019)&gt;0,18,999))-'幕间与结算'!E926)),0)</x:f>
        <x:v>0</x:v>
      </x:c>
      <x:c r="F1019" t="str">
        <x:f>IF(C1019=0,"",IF(G1019=0,"记录不完整",IF(H1019=0,"重复未计","已计入")))</x:f>
        <x:v/>
      </x:c>
      <x:c r="G1019">
        <x:f>IF(AND(AND('幕间与结算'!A926&lt;&gt;"",'幕间与结算'!B926&lt;&gt;"",'幕间与结算'!I926&lt;&gt;"",OR(LEFT(C1019,3)="技能：",COUNTIF($L$2:$L$19,C1019)&gt;0),ISNUMBER('幕间与结算'!E926),ISNUMBER('幕间与结算'!F926),ISNUMBER('幕间与结算'!G926),'幕间与结算'!E926&gt;=0,'幕间与结算'!G926='幕间与结算'!E926+'幕间与结算'!F926),OR(B1019&lt;&gt;"成长",AND(LEFT(C1019,3)="技能：",C1019&lt;&gt;"技能：非自然知识",'幕间与结算'!E926&gt;=1,'幕间与结算'!E926&lt;=99,'幕间与结算'!F926&gt;=0,'幕间与结算'!F926&lt;=4,'幕间与结算'!G926&lt;=99))),1,0)</x:f>
        <x:v>0</x:v>
      </x:c>
      <x:c r="H1019">
        <x:f>IF(AND(G1019=1,COUNTIFS($I$200:I1019,I1019,$G$200:G1019,1)=1),1,0)</x:f>
        <x:v>0</x:v>
      </x:c>
      <x:c r="I1019" t="str">
        <x:f>IF(G1019=1,IF(B1019="成长",A1019&amp;"-成长-"&amp;C1019,'幕间与结算'!I926),"")</x:f>
        <x:v/>
      </x:c>
      <x:c r="BF1019">
        <x:f>MAX(0,MIN(18,BF1018+IF(C1019="力量",E1019,0)))</x:f>
        <x:v>0</x:v>
      </x:c>
      <x:c r="BG1019">
        <x:f>MAX(0,MIN(18,BG1018+IF(C1019="体质",E1019,0)))</x:f>
        <x:v>0</x:v>
      </x:c>
      <x:c r="BH1019">
        <x:f>MAX(0,MIN(18,BH1018+IF(C1019="敏捷",E1019,0)))</x:f>
        <x:v>0</x:v>
      </x:c>
      <x:c r="BI1019">
        <x:f>MAX(0,MIN(18,BI1018+IF(C1019="智力",E1019,0)))</x:f>
        <x:v>0</x:v>
      </x:c>
      <x:c r="BJ1019">
        <x:f>MAX(0,MIN(18,BJ1018+IF(C1019="意志",E1019,0)))</x:f>
        <x:v>0</x:v>
      </x:c>
      <x:c r="BK1019">
        <x:f>MAX(0,MIN(18,BK1018+IF(C1019="魅力",E1019,0)))</x:f>
        <x:v>0</x:v>
      </x:c>
      <x:c r="BL1019">
        <x:f>MAX(0,MIN(99,BL1018+IF(C1019="技能：非自然知识",E1019,0)))</x:f>
        <x:v>0</x:v>
      </x:c>
      <x:c r="BM1019">
        <x:f>MAX(0,MIN(CEILING((BF1019+BG1019)/2,1),BM1018+IF(C1019="体力",E1019,0)))</x:f>
        <x:v>0</x:v>
      </x:c>
      <x:c r="BN1019">
        <x:f>MAX(0,MIN(BJ1019,BN1018+IF(C1019="毅力",E1019,0)))</x:f>
        <x:v>0</x:v>
      </x:c>
      <x:c r="BO1019">
        <x:f>MAX(0,MIN(99-BL1019,BO1018+IF(C1019="理智",E1019,0)))</x:f>
        <x:v>0</x:v>
      </x:c>
      <x:c r="BP1019">
        <x:f>MAX(0,MIN(99,BP1018+IF(C1019="崩溃点",E1019,0)))</x:f>
        <x:v>0</x:v>
      </x:c>
      <x:c r="BQ1019">
        <x:f>MAX(0,MIN(BK1019,IF(AND(H1019=1,C1019="重要关系1",LEFT('幕间与结算'!H926,8)="建立新的重要关系"),'幕间与结算'!E926+E1019,BQ1018+IF(C1019="重要关系1",E1019,0)+IF(AND(C1019="魅力",E1019&lt;0),E1019,0))))</x:f>
        <x:v>0</x:v>
      </x:c>
      <x:c r="BR1019">
        <x:f>MAX(0,MIN(BK1019,IF(AND(H1019=1,C1019="重要关系2",LEFT('幕间与结算'!H926,8)="建立新的重要关系"),'幕间与结算'!E926+E1019,BR1018+IF(C1019="重要关系2",E1019,0)+IF(AND(C1019="魅力",E1019&lt;0),E1019,0))))</x:f>
        <x:v>0</x:v>
      </x:c>
      <x:c r="BS1019">
        <x:f>MAX(0,MIN(BK1019,IF(AND(H1019=1,C1019="重要关系3",LEFT('幕间与结算'!H926,8)="建立新的重要关系"),'幕间与结算'!E926+E1019,BS1018+IF(C1019="重要关系3",E1019,0)+IF(AND(C1019="魅力",E1019&lt;0),E1019,0))))</x:f>
        <x:v>0</x:v>
      </x:c>
      <x:c r="BT1019">
        <x:f>MAX(0,MIN(BK1019,IF(AND(H1019=1,C1019="重要关系4",LEFT('幕间与结算'!H926,8)="建立新的重要关系"),'幕间与结算'!E926+E1019,BT1018+IF(C1019="重要关系4",E1019,0)+IF(AND(C1019="魅力",E1019&lt;0),E1019,0))))</x:f>
        <x:v>0</x:v>
      </x:c>
      <x:c r="BU1019">
        <x:f>MAX(0,MIN(BK1019,IF(AND(H1019=1,C1019="重要关系5",LEFT('幕间与结算'!H926,8)="建立新的重要关系"),'幕间与结算'!E926+E1019,BU1018+IF(C1019="重要关系5",E1019,0)+IF(AND(C1019="魅力",E1019&lt;0),E1019,0))))</x:f>
        <x:v>0</x:v>
      </x:c>
      <x:c r="BV1019">
        <x:f>MAX(0,MIN(BK1019,IF(AND(H1019=1,C1019="重要关系6",LEFT('幕间与结算'!H926,8)="建立新的重要关系"),'幕间与结算'!E926+E1019,BV1018+IF(C1019="重要关系6",E1019,0)+IF(AND(C1019="魅力",E1019&lt;0),E1019,0))))</x:f>
        <x:v>0</x:v>
      </x:c>
      <x:c r="BW1019">
        <x:f>MAX(0,MIN(BK1019,IF(AND(H1019=1,C1019="重要关系7",LEFT('幕间与结算'!H926,8)="建立新的重要关系"),'幕间与结算'!E926+E1019,BW1018+IF(C1019="重要关系7",E1019,0)+IF(AND(C1019="魅力",E1019&lt;0),E1019,0))))</x:f>
        <x:v>0</x:v>
      </x:c>
    </x:row>
    <x:row r="1020">
      <x:c r="A1020" t="str">
        <x:f>IFERROR(TEXT(VALUE('幕间与结算'!A927),"00"),"")</x:f>
        <x:v>00</x:v>
      </x:c>
      <x:c r="B1020">
        <x:f>'幕间与结算'!B927</x:f>
        <x:v>0</x:v>
      </x:c>
      <x:c r="C1020">
        <x:f>'幕间与结算'!D927</x:f>
        <x:v>0</x:v>
      </x:c>
      <x:c r="D1020">
        <x:f>'幕间与结算'!F927</x:f>
        <x:v>0</x:v>
      </x:c>
      <x:c r="E1020">
        <x:f>IF(H1020=1,MAX(-'幕间与结算'!E927,MIN(D1020,IF(LEFT(C1020,3)="技能：",99,IF(COUNTIF($L$2:$L$7,C1020)&gt;0,18,999))-'幕间与结算'!E927)),0)</x:f>
        <x:v>0</x:v>
      </x:c>
      <x:c r="F1020" t="str">
        <x:f>IF(C1020=0,"",IF(G1020=0,"记录不完整",IF(H1020=0,"重复未计","已计入")))</x:f>
        <x:v/>
      </x:c>
      <x:c r="G1020">
        <x:f>IF(AND(AND('幕间与结算'!A927&lt;&gt;"",'幕间与结算'!B927&lt;&gt;"",'幕间与结算'!I927&lt;&gt;"",OR(LEFT(C1020,3)="技能：",COUNTIF($L$2:$L$19,C1020)&gt;0),ISNUMBER('幕间与结算'!E927),ISNUMBER('幕间与结算'!F927),ISNUMBER('幕间与结算'!G927),'幕间与结算'!E927&gt;=0,'幕间与结算'!G927='幕间与结算'!E927+'幕间与结算'!F927),OR(B1020&lt;&gt;"成长",AND(LEFT(C1020,3)="技能：",C1020&lt;&gt;"技能：非自然知识",'幕间与结算'!E927&gt;=1,'幕间与结算'!E927&lt;=99,'幕间与结算'!F927&gt;=0,'幕间与结算'!F927&lt;=4,'幕间与结算'!G927&lt;=99))),1,0)</x:f>
        <x:v>0</x:v>
      </x:c>
      <x:c r="H1020">
        <x:f>IF(AND(G1020=1,COUNTIFS($I$200:I1020,I1020,$G$200:G1020,1)=1),1,0)</x:f>
        <x:v>0</x:v>
      </x:c>
      <x:c r="I1020" t="str">
        <x:f>IF(G1020=1,IF(B1020="成长",A1020&amp;"-成长-"&amp;C1020,'幕间与结算'!I927),"")</x:f>
        <x:v/>
      </x:c>
      <x:c r="BF1020">
        <x:f>MAX(0,MIN(18,BF1019+IF(C1020="力量",E1020,0)))</x:f>
        <x:v>0</x:v>
      </x:c>
      <x:c r="BG1020">
        <x:f>MAX(0,MIN(18,BG1019+IF(C1020="体质",E1020,0)))</x:f>
        <x:v>0</x:v>
      </x:c>
      <x:c r="BH1020">
        <x:f>MAX(0,MIN(18,BH1019+IF(C1020="敏捷",E1020,0)))</x:f>
        <x:v>0</x:v>
      </x:c>
      <x:c r="BI1020">
        <x:f>MAX(0,MIN(18,BI1019+IF(C1020="智力",E1020,0)))</x:f>
        <x:v>0</x:v>
      </x:c>
      <x:c r="BJ1020">
        <x:f>MAX(0,MIN(18,BJ1019+IF(C1020="意志",E1020,0)))</x:f>
        <x:v>0</x:v>
      </x:c>
      <x:c r="BK1020">
        <x:f>MAX(0,MIN(18,BK1019+IF(C1020="魅力",E1020,0)))</x:f>
        <x:v>0</x:v>
      </x:c>
      <x:c r="BL1020">
        <x:f>MAX(0,MIN(99,BL1019+IF(C1020="技能：非自然知识",E1020,0)))</x:f>
        <x:v>0</x:v>
      </x:c>
      <x:c r="BM1020">
        <x:f>MAX(0,MIN(CEILING((BF1020+BG1020)/2,1),BM1019+IF(C1020="体力",E1020,0)))</x:f>
        <x:v>0</x:v>
      </x:c>
      <x:c r="BN1020">
        <x:f>MAX(0,MIN(BJ1020,BN1019+IF(C1020="毅力",E1020,0)))</x:f>
        <x:v>0</x:v>
      </x:c>
      <x:c r="BO1020">
        <x:f>MAX(0,MIN(99-BL1020,BO1019+IF(C1020="理智",E1020,0)))</x:f>
        <x:v>0</x:v>
      </x:c>
      <x:c r="BP1020">
        <x:f>MAX(0,MIN(99,BP1019+IF(C1020="崩溃点",E1020,0)))</x:f>
        <x:v>0</x:v>
      </x:c>
      <x:c r="BQ1020">
        <x:f>MAX(0,MIN(BK1020,IF(AND(H1020=1,C1020="重要关系1",LEFT('幕间与结算'!H927,8)="建立新的重要关系"),'幕间与结算'!E927+E1020,BQ1019+IF(C1020="重要关系1",E1020,0)+IF(AND(C1020="魅力",E1020&lt;0),E1020,0))))</x:f>
        <x:v>0</x:v>
      </x:c>
      <x:c r="BR1020">
        <x:f>MAX(0,MIN(BK1020,IF(AND(H1020=1,C1020="重要关系2",LEFT('幕间与结算'!H927,8)="建立新的重要关系"),'幕间与结算'!E927+E1020,BR1019+IF(C1020="重要关系2",E1020,0)+IF(AND(C1020="魅力",E1020&lt;0),E1020,0))))</x:f>
        <x:v>0</x:v>
      </x:c>
      <x:c r="BS1020">
        <x:f>MAX(0,MIN(BK1020,IF(AND(H1020=1,C1020="重要关系3",LEFT('幕间与结算'!H927,8)="建立新的重要关系"),'幕间与结算'!E927+E1020,BS1019+IF(C1020="重要关系3",E1020,0)+IF(AND(C1020="魅力",E1020&lt;0),E1020,0))))</x:f>
        <x:v>0</x:v>
      </x:c>
      <x:c r="BT1020">
        <x:f>MAX(0,MIN(BK1020,IF(AND(H1020=1,C1020="重要关系4",LEFT('幕间与结算'!H927,8)="建立新的重要关系"),'幕间与结算'!E927+E1020,BT1019+IF(C1020="重要关系4",E1020,0)+IF(AND(C1020="魅力",E1020&lt;0),E1020,0))))</x:f>
        <x:v>0</x:v>
      </x:c>
      <x:c r="BU1020">
        <x:f>MAX(0,MIN(BK1020,IF(AND(H1020=1,C1020="重要关系5",LEFT('幕间与结算'!H927,8)="建立新的重要关系"),'幕间与结算'!E927+E1020,BU1019+IF(C1020="重要关系5",E1020,0)+IF(AND(C1020="魅力",E1020&lt;0),E1020,0))))</x:f>
        <x:v>0</x:v>
      </x:c>
      <x:c r="BV1020">
        <x:f>MAX(0,MIN(BK1020,IF(AND(H1020=1,C1020="重要关系6",LEFT('幕间与结算'!H927,8)="建立新的重要关系"),'幕间与结算'!E927+E1020,BV1019+IF(C1020="重要关系6",E1020,0)+IF(AND(C1020="魅力",E1020&lt;0),E1020,0))))</x:f>
        <x:v>0</x:v>
      </x:c>
      <x:c r="BW1020">
        <x:f>MAX(0,MIN(BK1020,IF(AND(H1020=1,C1020="重要关系7",LEFT('幕间与结算'!H927,8)="建立新的重要关系"),'幕间与结算'!E927+E1020,BW1019+IF(C1020="重要关系7",E1020,0)+IF(AND(C1020="魅力",E1020&lt;0),E1020,0))))</x:f>
        <x:v>0</x:v>
      </x:c>
    </x:row>
    <x:row r="1021">
      <x:c r="A1021" t="str">
        <x:f>IFERROR(TEXT(VALUE('幕间与结算'!A928),"00"),"")</x:f>
        <x:v>00</x:v>
      </x:c>
      <x:c r="B1021">
        <x:f>'幕间与结算'!B928</x:f>
        <x:v>0</x:v>
      </x:c>
      <x:c r="C1021">
        <x:f>'幕间与结算'!D928</x:f>
        <x:v>0</x:v>
      </x:c>
      <x:c r="D1021">
        <x:f>'幕间与结算'!F928</x:f>
        <x:v>0</x:v>
      </x:c>
      <x:c r="E1021">
        <x:f>IF(H1021=1,MAX(-'幕间与结算'!E928,MIN(D1021,IF(LEFT(C1021,3)="技能：",99,IF(COUNTIF($L$2:$L$7,C1021)&gt;0,18,999))-'幕间与结算'!E928)),0)</x:f>
        <x:v>0</x:v>
      </x:c>
      <x:c r="F1021" t="str">
        <x:f>IF(C1021=0,"",IF(G1021=0,"记录不完整",IF(H1021=0,"重复未计","已计入")))</x:f>
        <x:v/>
      </x:c>
      <x:c r="G1021">
        <x:f>IF(AND(AND('幕间与结算'!A928&lt;&gt;"",'幕间与结算'!B928&lt;&gt;"",'幕间与结算'!I928&lt;&gt;"",OR(LEFT(C1021,3)="技能：",COUNTIF($L$2:$L$19,C1021)&gt;0),ISNUMBER('幕间与结算'!E928),ISNUMBER('幕间与结算'!F928),ISNUMBER('幕间与结算'!G928),'幕间与结算'!E928&gt;=0,'幕间与结算'!G928='幕间与结算'!E928+'幕间与结算'!F928),OR(B1021&lt;&gt;"成长",AND(LEFT(C1021,3)="技能：",C1021&lt;&gt;"技能：非自然知识",'幕间与结算'!E928&gt;=1,'幕间与结算'!E928&lt;=99,'幕间与结算'!F928&gt;=0,'幕间与结算'!F928&lt;=4,'幕间与结算'!G928&lt;=99))),1,0)</x:f>
        <x:v>0</x:v>
      </x:c>
      <x:c r="H1021">
        <x:f>IF(AND(G1021=1,COUNTIFS($I$200:I1021,I1021,$G$200:G1021,1)=1),1,0)</x:f>
        <x:v>0</x:v>
      </x:c>
      <x:c r="I1021" t="str">
        <x:f>IF(G1021=1,IF(B1021="成长",A1021&amp;"-成长-"&amp;C1021,'幕间与结算'!I928),"")</x:f>
        <x:v/>
      </x:c>
      <x:c r="BF1021">
        <x:f>MAX(0,MIN(18,BF1020+IF(C1021="力量",E1021,0)))</x:f>
        <x:v>0</x:v>
      </x:c>
      <x:c r="BG1021">
        <x:f>MAX(0,MIN(18,BG1020+IF(C1021="体质",E1021,0)))</x:f>
        <x:v>0</x:v>
      </x:c>
      <x:c r="BH1021">
        <x:f>MAX(0,MIN(18,BH1020+IF(C1021="敏捷",E1021,0)))</x:f>
        <x:v>0</x:v>
      </x:c>
      <x:c r="BI1021">
        <x:f>MAX(0,MIN(18,BI1020+IF(C1021="智力",E1021,0)))</x:f>
        <x:v>0</x:v>
      </x:c>
      <x:c r="BJ1021">
        <x:f>MAX(0,MIN(18,BJ1020+IF(C1021="意志",E1021,0)))</x:f>
        <x:v>0</x:v>
      </x:c>
      <x:c r="BK1021">
        <x:f>MAX(0,MIN(18,BK1020+IF(C1021="魅力",E1021,0)))</x:f>
        <x:v>0</x:v>
      </x:c>
      <x:c r="BL1021">
        <x:f>MAX(0,MIN(99,BL1020+IF(C1021="技能：非自然知识",E1021,0)))</x:f>
        <x:v>0</x:v>
      </x:c>
      <x:c r="BM1021">
        <x:f>MAX(0,MIN(CEILING((BF1021+BG1021)/2,1),BM1020+IF(C1021="体力",E1021,0)))</x:f>
        <x:v>0</x:v>
      </x:c>
      <x:c r="BN1021">
        <x:f>MAX(0,MIN(BJ1021,BN1020+IF(C1021="毅力",E1021,0)))</x:f>
        <x:v>0</x:v>
      </x:c>
      <x:c r="BO1021">
        <x:f>MAX(0,MIN(99-BL1021,BO1020+IF(C1021="理智",E1021,0)))</x:f>
        <x:v>0</x:v>
      </x:c>
      <x:c r="BP1021">
        <x:f>MAX(0,MIN(99,BP1020+IF(C1021="崩溃点",E1021,0)))</x:f>
        <x:v>0</x:v>
      </x:c>
      <x:c r="BQ1021">
        <x:f>MAX(0,MIN(BK1021,IF(AND(H1021=1,C1021="重要关系1",LEFT('幕间与结算'!H928,8)="建立新的重要关系"),'幕间与结算'!E928+E1021,BQ1020+IF(C1021="重要关系1",E1021,0)+IF(AND(C1021="魅力",E1021&lt;0),E1021,0))))</x:f>
        <x:v>0</x:v>
      </x:c>
      <x:c r="BR1021">
        <x:f>MAX(0,MIN(BK1021,IF(AND(H1021=1,C1021="重要关系2",LEFT('幕间与结算'!H928,8)="建立新的重要关系"),'幕间与结算'!E928+E1021,BR1020+IF(C1021="重要关系2",E1021,0)+IF(AND(C1021="魅力",E1021&lt;0),E1021,0))))</x:f>
        <x:v>0</x:v>
      </x:c>
      <x:c r="BS1021">
        <x:f>MAX(0,MIN(BK1021,IF(AND(H1021=1,C1021="重要关系3",LEFT('幕间与结算'!H928,8)="建立新的重要关系"),'幕间与结算'!E928+E1021,BS1020+IF(C1021="重要关系3",E1021,0)+IF(AND(C1021="魅力",E1021&lt;0),E1021,0))))</x:f>
        <x:v>0</x:v>
      </x:c>
      <x:c r="BT1021">
        <x:f>MAX(0,MIN(BK1021,IF(AND(H1021=1,C1021="重要关系4",LEFT('幕间与结算'!H928,8)="建立新的重要关系"),'幕间与结算'!E928+E1021,BT1020+IF(C1021="重要关系4",E1021,0)+IF(AND(C1021="魅力",E1021&lt;0),E1021,0))))</x:f>
        <x:v>0</x:v>
      </x:c>
      <x:c r="BU1021">
        <x:f>MAX(0,MIN(BK1021,IF(AND(H1021=1,C1021="重要关系5",LEFT('幕间与结算'!H928,8)="建立新的重要关系"),'幕间与结算'!E928+E1021,BU1020+IF(C1021="重要关系5",E1021,0)+IF(AND(C1021="魅力",E1021&lt;0),E1021,0))))</x:f>
        <x:v>0</x:v>
      </x:c>
      <x:c r="BV1021">
        <x:f>MAX(0,MIN(BK1021,IF(AND(H1021=1,C1021="重要关系6",LEFT('幕间与结算'!H928,8)="建立新的重要关系"),'幕间与结算'!E928+E1021,BV1020+IF(C1021="重要关系6",E1021,0)+IF(AND(C1021="魅力",E1021&lt;0),E1021,0))))</x:f>
        <x:v>0</x:v>
      </x:c>
      <x:c r="BW1021">
        <x:f>MAX(0,MIN(BK1021,IF(AND(H1021=1,C1021="重要关系7",LEFT('幕间与结算'!H928,8)="建立新的重要关系"),'幕间与结算'!E928+E1021,BW1020+IF(C1021="重要关系7",E1021,0)+IF(AND(C1021="魅力",E1021&lt;0),E1021,0))))</x:f>
        <x:v>0</x:v>
      </x:c>
    </x:row>
    <x:row r="1022">
      <x:c r="A1022" t="str">
        <x:f>IFERROR(TEXT(VALUE('幕间与结算'!A929),"00"),"")</x:f>
        <x:v>00</x:v>
      </x:c>
      <x:c r="B1022">
        <x:f>'幕间与结算'!B929</x:f>
        <x:v>0</x:v>
      </x:c>
      <x:c r="C1022">
        <x:f>'幕间与结算'!D929</x:f>
        <x:v>0</x:v>
      </x:c>
      <x:c r="D1022">
        <x:f>'幕间与结算'!F929</x:f>
        <x:v>0</x:v>
      </x:c>
      <x:c r="E1022">
        <x:f>IF(H1022=1,MAX(-'幕间与结算'!E929,MIN(D1022,IF(LEFT(C1022,3)="技能：",99,IF(COUNTIF($L$2:$L$7,C1022)&gt;0,18,999))-'幕间与结算'!E929)),0)</x:f>
        <x:v>0</x:v>
      </x:c>
      <x:c r="F1022" t="str">
        <x:f>IF(C1022=0,"",IF(G1022=0,"记录不完整",IF(H1022=0,"重复未计","已计入")))</x:f>
        <x:v/>
      </x:c>
      <x:c r="G1022">
        <x:f>IF(AND(AND('幕间与结算'!A929&lt;&gt;"",'幕间与结算'!B929&lt;&gt;"",'幕间与结算'!I929&lt;&gt;"",OR(LEFT(C1022,3)="技能：",COUNTIF($L$2:$L$19,C1022)&gt;0),ISNUMBER('幕间与结算'!E929),ISNUMBER('幕间与结算'!F929),ISNUMBER('幕间与结算'!G929),'幕间与结算'!E929&gt;=0,'幕间与结算'!G929='幕间与结算'!E929+'幕间与结算'!F929),OR(B1022&lt;&gt;"成长",AND(LEFT(C1022,3)="技能：",C1022&lt;&gt;"技能：非自然知识",'幕间与结算'!E929&gt;=1,'幕间与结算'!E929&lt;=99,'幕间与结算'!F929&gt;=0,'幕间与结算'!F929&lt;=4,'幕间与结算'!G929&lt;=99))),1,0)</x:f>
        <x:v>0</x:v>
      </x:c>
      <x:c r="H1022">
        <x:f>IF(AND(G1022=1,COUNTIFS($I$200:I1022,I1022,$G$200:G1022,1)=1),1,0)</x:f>
        <x:v>0</x:v>
      </x:c>
      <x:c r="I1022" t="str">
        <x:f>IF(G1022=1,IF(B1022="成长",A1022&amp;"-成长-"&amp;C1022,'幕间与结算'!I929),"")</x:f>
        <x:v/>
      </x:c>
      <x:c r="BF1022">
        <x:f>MAX(0,MIN(18,BF1021+IF(C1022="力量",E1022,0)))</x:f>
        <x:v>0</x:v>
      </x:c>
      <x:c r="BG1022">
        <x:f>MAX(0,MIN(18,BG1021+IF(C1022="体质",E1022,0)))</x:f>
        <x:v>0</x:v>
      </x:c>
      <x:c r="BH1022">
        <x:f>MAX(0,MIN(18,BH1021+IF(C1022="敏捷",E1022,0)))</x:f>
        <x:v>0</x:v>
      </x:c>
      <x:c r="BI1022">
        <x:f>MAX(0,MIN(18,BI1021+IF(C1022="智力",E1022,0)))</x:f>
        <x:v>0</x:v>
      </x:c>
      <x:c r="BJ1022">
        <x:f>MAX(0,MIN(18,BJ1021+IF(C1022="意志",E1022,0)))</x:f>
        <x:v>0</x:v>
      </x:c>
      <x:c r="BK1022">
        <x:f>MAX(0,MIN(18,BK1021+IF(C1022="魅力",E1022,0)))</x:f>
        <x:v>0</x:v>
      </x:c>
      <x:c r="BL1022">
        <x:f>MAX(0,MIN(99,BL1021+IF(C1022="技能：非自然知识",E1022,0)))</x:f>
        <x:v>0</x:v>
      </x:c>
      <x:c r="BM1022">
        <x:f>MAX(0,MIN(CEILING((BF1022+BG1022)/2,1),BM1021+IF(C1022="体力",E1022,0)))</x:f>
        <x:v>0</x:v>
      </x:c>
      <x:c r="BN1022">
        <x:f>MAX(0,MIN(BJ1022,BN1021+IF(C1022="毅力",E1022,0)))</x:f>
        <x:v>0</x:v>
      </x:c>
      <x:c r="BO1022">
        <x:f>MAX(0,MIN(99-BL1022,BO1021+IF(C1022="理智",E1022,0)))</x:f>
        <x:v>0</x:v>
      </x:c>
      <x:c r="BP1022">
        <x:f>MAX(0,MIN(99,BP1021+IF(C1022="崩溃点",E1022,0)))</x:f>
        <x:v>0</x:v>
      </x:c>
      <x:c r="BQ1022">
        <x:f>MAX(0,MIN(BK1022,IF(AND(H1022=1,C1022="重要关系1",LEFT('幕间与结算'!H929,8)="建立新的重要关系"),'幕间与结算'!E929+E1022,BQ1021+IF(C1022="重要关系1",E1022,0)+IF(AND(C1022="魅力",E1022&lt;0),E1022,0))))</x:f>
        <x:v>0</x:v>
      </x:c>
      <x:c r="BR1022">
        <x:f>MAX(0,MIN(BK1022,IF(AND(H1022=1,C1022="重要关系2",LEFT('幕间与结算'!H929,8)="建立新的重要关系"),'幕间与结算'!E929+E1022,BR1021+IF(C1022="重要关系2",E1022,0)+IF(AND(C1022="魅力",E1022&lt;0),E1022,0))))</x:f>
        <x:v>0</x:v>
      </x:c>
      <x:c r="BS1022">
        <x:f>MAX(0,MIN(BK1022,IF(AND(H1022=1,C1022="重要关系3",LEFT('幕间与结算'!H929,8)="建立新的重要关系"),'幕间与结算'!E929+E1022,BS1021+IF(C1022="重要关系3",E1022,0)+IF(AND(C1022="魅力",E1022&lt;0),E1022,0))))</x:f>
        <x:v>0</x:v>
      </x:c>
      <x:c r="BT1022">
        <x:f>MAX(0,MIN(BK1022,IF(AND(H1022=1,C1022="重要关系4",LEFT('幕间与结算'!H929,8)="建立新的重要关系"),'幕间与结算'!E929+E1022,BT1021+IF(C1022="重要关系4",E1022,0)+IF(AND(C1022="魅力",E1022&lt;0),E1022,0))))</x:f>
        <x:v>0</x:v>
      </x:c>
      <x:c r="BU1022">
        <x:f>MAX(0,MIN(BK1022,IF(AND(H1022=1,C1022="重要关系5",LEFT('幕间与结算'!H929,8)="建立新的重要关系"),'幕间与结算'!E929+E1022,BU1021+IF(C1022="重要关系5",E1022,0)+IF(AND(C1022="魅力",E1022&lt;0),E1022,0))))</x:f>
        <x:v>0</x:v>
      </x:c>
      <x:c r="BV1022">
        <x:f>MAX(0,MIN(BK1022,IF(AND(H1022=1,C1022="重要关系6",LEFT('幕间与结算'!H929,8)="建立新的重要关系"),'幕间与结算'!E929+E1022,BV1021+IF(C1022="重要关系6",E1022,0)+IF(AND(C1022="魅力",E1022&lt;0),E1022,0))))</x:f>
        <x:v>0</x:v>
      </x:c>
      <x:c r="BW1022">
        <x:f>MAX(0,MIN(BK1022,IF(AND(H1022=1,C1022="重要关系7",LEFT('幕间与结算'!H929,8)="建立新的重要关系"),'幕间与结算'!E929+E1022,BW1021+IF(C1022="重要关系7",E1022,0)+IF(AND(C1022="魅力",E1022&lt;0),E1022,0))))</x:f>
        <x:v>0</x:v>
      </x:c>
    </x:row>
    <x:row r="1023">
      <x:c r="A1023" t="str">
        <x:f>IFERROR(TEXT(VALUE('幕间与结算'!A930),"00"),"")</x:f>
        <x:v>00</x:v>
      </x:c>
      <x:c r="B1023">
        <x:f>'幕间与结算'!B930</x:f>
        <x:v>0</x:v>
      </x:c>
      <x:c r="C1023">
        <x:f>'幕间与结算'!D930</x:f>
        <x:v>0</x:v>
      </x:c>
      <x:c r="D1023">
        <x:f>'幕间与结算'!F930</x:f>
        <x:v>0</x:v>
      </x:c>
      <x:c r="E1023">
        <x:f>IF(H1023=1,MAX(-'幕间与结算'!E930,MIN(D1023,IF(LEFT(C1023,3)="技能：",99,IF(COUNTIF($L$2:$L$7,C1023)&gt;0,18,999))-'幕间与结算'!E930)),0)</x:f>
        <x:v>0</x:v>
      </x:c>
      <x:c r="F1023" t="str">
        <x:f>IF(C1023=0,"",IF(G1023=0,"记录不完整",IF(H1023=0,"重复未计","已计入")))</x:f>
        <x:v/>
      </x:c>
      <x:c r="G1023">
        <x:f>IF(AND(AND('幕间与结算'!A930&lt;&gt;"",'幕间与结算'!B930&lt;&gt;"",'幕间与结算'!I930&lt;&gt;"",OR(LEFT(C1023,3)="技能：",COUNTIF($L$2:$L$19,C1023)&gt;0),ISNUMBER('幕间与结算'!E930),ISNUMBER('幕间与结算'!F930),ISNUMBER('幕间与结算'!G930),'幕间与结算'!E930&gt;=0,'幕间与结算'!G930='幕间与结算'!E930+'幕间与结算'!F930),OR(B1023&lt;&gt;"成长",AND(LEFT(C1023,3)="技能：",C1023&lt;&gt;"技能：非自然知识",'幕间与结算'!E930&gt;=1,'幕间与结算'!E930&lt;=99,'幕间与结算'!F930&gt;=0,'幕间与结算'!F930&lt;=4,'幕间与结算'!G930&lt;=99))),1,0)</x:f>
        <x:v>0</x:v>
      </x:c>
      <x:c r="H1023">
        <x:f>IF(AND(G1023=1,COUNTIFS($I$200:I1023,I1023,$G$200:G1023,1)=1),1,0)</x:f>
        <x:v>0</x:v>
      </x:c>
      <x:c r="I1023" t="str">
        <x:f>IF(G1023=1,IF(B1023="成长",A1023&amp;"-成长-"&amp;C1023,'幕间与结算'!I930),"")</x:f>
        <x:v/>
      </x:c>
      <x:c r="BF1023">
        <x:f>MAX(0,MIN(18,BF1022+IF(C1023="力量",E1023,0)))</x:f>
        <x:v>0</x:v>
      </x:c>
      <x:c r="BG1023">
        <x:f>MAX(0,MIN(18,BG1022+IF(C1023="体质",E1023,0)))</x:f>
        <x:v>0</x:v>
      </x:c>
      <x:c r="BH1023">
        <x:f>MAX(0,MIN(18,BH1022+IF(C1023="敏捷",E1023,0)))</x:f>
        <x:v>0</x:v>
      </x:c>
      <x:c r="BI1023">
        <x:f>MAX(0,MIN(18,BI1022+IF(C1023="智力",E1023,0)))</x:f>
        <x:v>0</x:v>
      </x:c>
      <x:c r="BJ1023">
        <x:f>MAX(0,MIN(18,BJ1022+IF(C1023="意志",E1023,0)))</x:f>
        <x:v>0</x:v>
      </x:c>
      <x:c r="BK1023">
        <x:f>MAX(0,MIN(18,BK1022+IF(C1023="魅力",E1023,0)))</x:f>
        <x:v>0</x:v>
      </x:c>
      <x:c r="BL1023">
        <x:f>MAX(0,MIN(99,BL1022+IF(C1023="技能：非自然知识",E1023,0)))</x:f>
        <x:v>0</x:v>
      </x:c>
      <x:c r="BM1023">
        <x:f>MAX(0,MIN(CEILING((BF1023+BG1023)/2,1),BM1022+IF(C1023="体力",E1023,0)))</x:f>
        <x:v>0</x:v>
      </x:c>
      <x:c r="BN1023">
        <x:f>MAX(0,MIN(BJ1023,BN1022+IF(C1023="毅力",E1023,0)))</x:f>
        <x:v>0</x:v>
      </x:c>
      <x:c r="BO1023">
        <x:f>MAX(0,MIN(99-BL1023,BO1022+IF(C1023="理智",E1023,0)))</x:f>
        <x:v>0</x:v>
      </x:c>
      <x:c r="BP1023">
        <x:f>MAX(0,MIN(99,BP1022+IF(C1023="崩溃点",E1023,0)))</x:f>
        <x:v>0</x:v>
      </x:c>
      <x:c r="BQ1023">
        <x:f>MAX(0,MIN(BK1023,IF(AND(H1023=1,C1023="重要关系1",LEFT('幕间与结算'!H930,8)="建立新的重要关系"),'幕间与结算'!E930+E1023,BQ1022+IF(C1023="重要关系1",E1023,0)+IF(AND(C1023="魅力",E1023&lt;0),E1023,0))))</x:f>
        <x:v>0</x:v>
      </x:c>
      <x:c r="BR1023">
        <x:f>MAX(0,MIN(BK1023,IF(AND(H1023=1,C1023="重要关系2",LEFT('幕间与结算'!H930,8)="建立新的重要关系"),'幕间与结算'!E930+E1023,BR1022+IF(C1023="重要关系2",E1023,0)+IF(AND(C1023="魅力",E1023&lt;0),E1023,0))))</x:f>
        <x:v>0</x:v>
      </x:c>
      <x:c r="BS1023">
        <x:f>MAX(0,MIN(BK1023,IF(AND(H1023=1,C1023="重要关系3",LEFT('幕间与结算'!H930,8)="建立新的重要关系"),'幕间与结算'!E930+E1023,BS1022+IF(C1023="重要关系3",E1023,0)+IF(AND(C1023="魅力",E1023&lt;0),E1023,0))))</x:f>
        <x:v>0</x:v>
      </x:c>
      <x:c r="BT1023">
        <x:f>MAX(0,MIN(BK1023,IF(AND(H1023=1,C1023="重要关系4",LEFT('幕间与结算'!H930,8)="建立新的重要关系"),'幕间与结算'!E930+E1023,BT1022+IF(C1023="重要关系4",E1023,0)+IF(AND(C1023="魅力",E1023&lt;0),E1023,0))))</x:f>
        <x:v>0</x:v>
      </x:c>
      <x:c r="BU1023">
        <x:f>MAX(0,MIN(BK1023,IF(AND(H1023=1,C1023="重要关系5",LEFT('幕间与结算'!H930,8)="建立新的重要关系"),'幕间与结算'!E930+E1023,BU1022+IF(C1023="重要关系5",E1023,0)+IF(AND(C1023="魅力",E1023&lt;0),E1023,0))))</x:f>
        <x:v>0</x:v>
      </x:c>
      <x:c r="BV1023">
        <x:f>MAX(0,MIN(BK1023,IF(AND(H1023=1,C1023="重要关系6",LEFT('幕间与结算'!H930,8)="建立新的重要关系"),'幕间与结算'!E930+E1023,BV1022+IF(C1023="重要关系6",E1023,0)+IF(AND(C1023="魅力",E1023&lt;0),E1023,0))))</x:f>
        <x:v>0</x:v>
      </x:c>
      <x:c r="BW1023">
        <x:f>MAX(0,MIN(BK1023,IF(AND(H1023=1,C1023="重要关系7",LEFT('幕间与结算'!H930,8)="建立新的重要关系"),'幕间与结算'!E930+E1023,BW1022+IF(C1023="重要关系7",E1023,0)+IF(AND(C1023="魅力",E1023&lt;0),E1023,0))))</x:f>
        <x:v>0</x:v>
      </x:c>
    </x:row>
    <x:row r="1024">
      <x:c r="A1024" t="str">
        <x:f>IFERROR(TEXT(VALUE('幕间与结算'!A931),"00"),"")</x:f>
        <x:v>00</x:v>
      </x:c>
      <x:c r="B1024">
        <x:f>'幕间与结算'!B931</x:f>
        <x:v>0</x:v>
      </x:c>
      <x:c r="C1024">
        <x:f>'幕间与结算'!D931</x:f>
        <x:v>0</x:v>
      </x:c>
      <x:c r="D1024">
        <x:f>'幕间与结算'!F931</x:f>
        <x:v>0</x:v>
      </x:c>
      <x:c r="E1024">
        <x:f>IF(H1024=1,MAX(-'幕间与结算'!E931,MIN(D1024,IF(LEFT(C1024,3)="技能：",99,IF(COUNTIF($L$2:$L$7,C1024)&gt;0,18,999))-'幕间与结算'!E931)),0)</x:f>
        <x:v>0</x:v>
      </x:c>
      <x:c r="F1024" t="str">
        <x:f>IF(C1024=0,"",IF(G1024=0,"记录不完整",IF(H1024=0,"重复未计","已计入")))</x:f>
        <x:v/>
      </x:c>
      <x:c r="G1024">
        <x:f>IF(AND(AND('幕间与结算'!A931&lt;&gt;"",'幕间与结算'!B931&lt;&gt;"",'幕间与结算'!I931&lt;&gt;"",OR(LEFT(C1024,3)="技能：",COUNTIF($L$2:$L$19,C1024)&gt;0),ISNUMBER('幕间与结算'!E931),ISNUMBER('幕间与结算'!F931),ISNUMBER('幕间与结算'!G931),'幕间与结算'!E931&gt;=0,'幕间与结算'!G931='幕间与结算'!E931+'幕间与结算'!F931),OR(B1024&lt;&gt;"成长",AND(LEFT(C1024,3)="技能：",C1024&lt;&gt;"技能：非自然知识",'幕间与结算'!E931&gt;=1,'幕间与结算'!E931&lt;=99,'幕间与结算'!F931&gt;=0,'幕间与结算'!F931&lt;=4,'幕间与结算'!G931&lt;=99))),1,0)</x:f>
        <x:v>0</x:v>
      </x:c>
      <x:c r="H1024">
        <x:f>IF(AND(G1024=1,COUNTIFS($I$200:I1024,I1024,$G$200:G1024,1)=1),1,0)</x:f>
        <x:v>0</x:v>
      </x:c>
      <x:c r="I1024" t="str">
        <x:f>IF(G1024=1,IF(B1024="成长",A1024&amp;"-成长-"&amp;C1024,'幕间与结算'!I931),"")</x:f>
        <x:v/>
      </x:c>
      <x:c r="BF1024">
        <x:f>MAX(0,MIN(18,BF1023+IF(C1024="力量",E1024,0)))</x:f>
        <x:v>0</x:v>
      </x:c>
      <x:c r="BG1024">
        <x:f>MAX(0,MIN(18,BG1023+IF(C1024="体质",E1024,0)))</x:f>
        <x:v>0</x:v>
      </x:c>
      <x:c r="BH1024">
        <x:f>MAX(0,MIN(18,BH1023+IF(C1024="敏捷",E1024,0)))</x:f>
        <x:v>0</x:v>
      </x:c>
      <x:c r="BI1024">
        <x:f>MAX(0,MIN(18,BI1023+IF(C1024="智力",E1024,0)))</x:f>
        <x:v>0</x:v>
      </x:c>
      <x:c r="BJ1024">
        <x:f>MAX(0,MIN(18,BJ1023+IF(C1024="意志",E1024,0)))</x:f>
        <x:v>0</x:v>
      </x:c>
      <x:c r="BK1024">
        <x:f>MAX(0,MIN(18,BK1023+IF(C1024="魅力",E1024,0)))</x:f>
        <x:v>0</x:v>
      </x:c>
      <x:c r="BL1024">
        <x:f>MAX(0,MIN(99,BL1023+IF(C1024="技能：非自然知识",E1024,0)))</x:f>
        <x:v>0</x:v>
      </x:c>
      <x:c r="BM1024">
        <x:f>MAX(0,MIN(CEILING((BF1024+BG1024)/2,1),BM1023+IF(C1024="体力",E1024,0)))</x:f>
        <x:v>0</x:v>
      </x:c>
      <x:c r="BN1024">
        <x:f>MAX(0,MIN(BJ1024,BN1023+IF(C1024="毅力",E1024,0)))</x:f>
        <x:v>0</x:v>
      </x:c>
      <x:c r="BO1024">
        <x:f>MAX(0,MIN(99-BL1024,BO1023+IF(C1024="理智",E1024,0)))</x:f>
        <x:v>0</x:v>
      </x:c>
      <x:c r="BP1024">
        <x:f>MAX(0,MIN(99,BP1023+IF(C1024="崩溃点",E1024,0)))</x:f>
        <x:v>0</x:v>
      </x:c>
      <x:c r="BQ1024">
        <x:f>MAX(0,MIN(BK1024,IF(AND(H1024=1,C1024="重要关系1",LEFT('幕间与结算'!H931,8)="建立新的重要关系"),'幕间与结算'!E931+E1024,BQ1023+IF(C1024="重要关系1",E1024,0)+IF(AND(C1024="魅力",E1024&lt;0),E1024,0))))</x:f>
        <x:v>0</x:v>
      </x:c>
      <x:c r="BR1024">
        <x:f>MAX(0,MIN(BK1024,IF(AND(H1024=1,C1024="重要关系2",LEFT('幕间与结算'!H931,8)="建立新的重要关系"),'幕间与结算'!E931+E1024,BR1023+IF(C1024="重要关系2",E1024,0)+IF(AND(C1024="魅力",E1024&lt;0),E1024,0))))</x:f>
        <x:v>0</x:v>
      </x:c>
      <x:c r="BS1024">
        <x:f>MAX(0,MIN(BK1024,IF(AND(H1024=1,C1024="重要关系3",LEFT('幕间与结算'!H931,8)="建立新的重要关系"),'幕间与结算'!E931+E1024,BS1023+IF(C1024="重要关系3",E1024,0)+IF(AND(C1024="魅力",E1024&lt;0),E1024,0))))</x:f>
        <x:v>0</x:v>
      </x:c>
      <x:c r="BT1024">
        <x:f>MAX(0,MIN(BK1024,IF(AND(H1024=1,C1024="重要关系4",LEFT('幕间与结算'!H931,8)="建立新的重要关系"),'幕间与结算'!E931+E1024,BT1023+IF(C1024="重要关系4",E1024,0)+IF(AND(C1024="魅力",E1024&lt;0),E1024,0))))</x:f>
        <x:v>0</x:v>
      </x:c>
      <x:c r="BU1024">
        <x:f>MAX(0,MIN(BK1024,IF(AND(H1024=1,C1024="重要关系5",LEFT('幕间与结算'!H931,8)="建立新的重要关系"),'幕间与结算'!E931+E1024,BU1023+IF(C1024="重要关系5",E1024,0)+IF(AND(C1024="魅力",E1024&lt;0),E1024,0))))</x:f>
        <x:v>0</x:v>
      </x:c>
      <x:c r="BV1024">
        <x:f>MAX(0,MIN(BK1024,IF(AND(H1024=1,C1024="重要关系6",LEFT('幕间与结算'!H931,8)="建立新的重要关系"),'幕间与结算'!E931+E1024,BV1023+IF(C1024="重要关系6",E1024,0)+IF(AND(C1024="魅力",E1024&lt;0),E1024,0))))</x:f>
        <x:v>0</x:v>
      </x:c>
      <x:c r="BW1024">
        <x:f>MAX(0,MIN(BK1024,IF(AND(H1024=1,C1024="重要关系7",LEFT('幕间与结算'!H931,8)="建立新的重要关系"),'幕间与结算'!E931+E1024,BW1023+IF(C1024="重要关系7",E1024,0)+IF(AND(C1024="魅力",E1024&lt;0),E1024,0))))</x:f>
        <x:v>0</x:v>
      </x:c>
    </x:row>
    <x:row r="1025">
      <x:c r="A1025" t="str">
        <x:f>IFERROR(TEXT(VALUE('幕间与结算'!A932),"00"),"")</x:f>
        <x:v>00</x:v>
      </x:c>
      <x:c r="B1025">
        <x:f>'幕间与结算'!B932</x:f>
        <x:v>0</x:v>
      </x:c>
      <x:c r="C1025">
        <x:f>'幕间与结算'!D932</x:f>
        <x:v>0</x:v>
      </x:c>
      <x:c r="D1025">
        <x:f>'幕间与结算'!F932</x:f>
        <x:v>0</x:v>
      </x:c>
      <x:c r="E1025">
        <x:f>IF(H1025=1,MAX(-'幕间与结算'!E932,MIN(D1025,IF(LEFT(C1025,3)="技能：",99,IF(COUNTIF($L$2:$L$7,C1025)&gt;0,18,999))-'幕间与结算'!E932)),0)</x:f>
        <x:v>0</x:v>
      </x:c>
      <x:c r="F1025" t="str">
        <x:f>IF(C1025=0,"",IF(G1025=0,"记录不完整",IF(H1025=0,"重复未计","已计入")))</x:f>
        <x:v/>
      </x:c>
      <x:c r="G1025">
        <x:f>IF(AND(AND('幕间与结算'!A932&lt;&gt;"",'幕间与结算'!B932&lt;&gt;"",'幕间与结算'!I932&lt;&gt;"",OR(LEFT(C1025,3)="技能：",COUNTIF($L$2:$L$19,C1025)&gt;0),ISNUMBER('幕间与结算'!E932),ISNUMBER('幕间与结算'!F932),ISNUMBER('幕间与结算'!G932),'幕间与结算'!E932&gt;=0,'幕间与结算'!G932='幕间与结算'!E932+'幕间与结算'!F932),OR(B1025&lt;&gt;"成长",AND(LEFT(C1025,3)="技能：",C1025&lt;&gt;"技能：非自然知识",'幕间与结算'!E932&gt;=1,'幕间与结算'!E932&lt;=99,'幕间与结算'!F932&gt;=0,'幕间与结算'!F932&lt;=4,'幕间与结算'!G932&lt;=99))),1,0)</x:f>
        <x:v>0</x:v>
      </x:c>
      <x:c r="H1025">
        <x:f>IF(AND(G1025=1,COUNTIFS($I$200:I1025,I1025,$G$200:G1025,1)=1),1,0)</x:f>
        <x:v>0</x:v>
      </x:c>
      <x:c r="I1025" t="str">
        <x:f>IF(G1025=1,IF(B1025="成长",A1025&amp;"-成长-"&amp;C1025,'幕间与结算'!I932),"")</x:f>
        <x:v/>
      </x:c>
      <x:c r="BF1025">
        <x:f>MAX(0,MIN(18,BF1024+IF(C1025="力量",E1025,0)))</x:f>
        <x:v>0</x:v>
      </x:c>
      <x:c r="BG1025">
        <x:f>MAX(0,MIN(18,BG1024+IF(C1025="体质",E1025,0)))</x:f>
        <x:v>0</x:v>
      </x:c>
      <x:c r="BH1025">
        <x:f>MAX(0,MIN(18,BH1024+IF(C1025="敏捷",E1025,0)))</x:f>
        <x:v>0</x:v>
      </x:c>
      <x:c r="BI1025">
        <x:f>MAX(0,MIN(18,BI1024+IF(C1025="智力",E1025,0)))</x:f>
        <x:v>0</x:v>
      </x:c>
      <x:c r="BJ1025">
        <x:f>MAX(0,MIN(18,BJ1024+IF(C1025="意志",E1025,0)))</x:f>
        <x:v>0</x:v>
      </x:c>
      <x:c r="BK1025">
        <x:f>MAX(0,MIN(18,BK1024+IF(C1025="魅力",E1025,0)))</x:f>
        <x:v>0</x:v>
      </x:c>
      <x:c r="BL1025">
        <x:f>MAX(0,MIN(99,BL1024+IF(C1025="技能：非自然知识",E1025,0)))</x:f>
        <x:v>0</x:v>
      </x:c>
      <x:c r="BM1025">
        <x:f>MAX(0,MIN(CEILING((BF1025+BG1025)/2,1),BM1024+IF(C1025="体力",E1025,0)))</x:f>
        <x:v>0</x:v>
      </x:c>
      <x:c r="BN1025">
        <x:f>MAX(0,MIN(BJ1025,BN1024+IF(C1025="毅力",E1025,0)))</x:f>
        <x:v>0</x:v>
      </x:c>
      <x:c r="BO1025">
        <x:f>MAX(0,MIN(99-BL1025,BO1024+IF(C1025="理智",E1025,0)))</x:f>
        <x:v>0</x:v>
      </x:c>
      <x:c r="BP1025">
        <x:f>MAX(0,MIN(99,BP1024+IF(C1025="崩溃点",E1025,0)))</x:f>
        <x:v>0</x:v>
      </x:c>
      <x:c r="BQ1025">
        <x:f>MAX(0,MIN(BK1025,IF(AND(H1025=1,C1025="重要关系1",LEFT('幕间与结算'!H932,8)="建立新的重要关系"),'幕间与结算'!E932+E1025,BQ1024+IF(C1025="重要关系1",E1025,0)+IF(AND(C1025="魅力",E1025&lt;0),E1025,0))))</x:f>
        <x:v>0</x:v>
      </x:c>
      <x:c r="BR1025">
        <x:f>MAX(0,MIN(BK1025,IF(AND(H1025=1,C1025="重要关系2",LEFT('幕间与结算'!H932,8)="建立新的重要关系"),'幕间与结算'!E932+E1025,BR1024+IF(C1025="重要关系2",E1025,0)+IF(AND(C1025="魅力",E1025&lt;0),E1025,0))))</x:f>
        <x:v>0</x:v>
      </x:c>
      <x:c r="BS1025">
        <x:f>MAX(0,MIN(BK1025,IF(AND(H1025=1,C1025="重要关系3",LEFT('幕间与结算'!H932,8)="建立新的重要关系"),'幕间与结算'!E932+E1025,BS1024+IF(C1025="重要关系3",E1025,0)+IF(AND(C1025="魅力",E1025&lt;0),E1025,0))))</x:f>
        <x:v>0</x:v>
      </x:c>
      <x:c r="BT1025">
        <x:f>MAX(0,MIN(BK1025,IF(AND(H1025=1,C1025="重要关系4",LEFT('幕间与结算'!H932,8)="建立新的重要关系"),'幕间与结算'!E932+E1025,BT1024+IF(C1025="重要关系4",E1025,0)+IF(AND(C1025="魅力",E1025&lt;0),E1025,0))))</x:f>
        <x:v>0</x:v>
      </x:c>
      <x:c r="BU1025">
        <x:f>MAX(0,MIN(BK1025,IF(AND(H1025=1,C1025="重要关系5",LEFT('幕间与结算'!H932,8)="建立新的重要关系"),'幕间与结算'!E932+E1025,BU1024+IF(C1025="重要关系5",E1025,0)+IF(AND(C1025="魅力",E1025&lt;0),E1025,0))))</x:f>
        <x:v>0</x:v>
      </x:c>
      <x:c r="BV1025">
        <x:f>MAX(0,MIN(BK1025,IF(AND(H1025=1,C1025="重要关系6",LEFT('幕间与结算'!H932,8)="建立新的重要关系"),'幕间与结算'!E932+E1025,BV1024+IF(C1025="重要关系6",E1025,0)+IF(AND(C1025="魅力",E1025&lt;0),E1025,0))))</x:f>
        <x:v>0</x:v>
      </x:c>
      <x:c r="BW1025">
        <x:f>MAX(0,MIN(BK1025,IF(AND(H1025=1,C1025="重要关系7",LEFT('幕间与结算'!H932,8)="建立新的重要关系"),'幕间与结算'!E932+E1025,BW1024+IF(C1025="重要关系7",E1025,0)+IF(AND(C1025="魅力",E1025&lt;0),E1025,0))))</x:f>
        <x:v>0</x:v>
      </x:c>
    </x:row>
    <x:row r="1026">
      <x:c r="A1026" t="str">
        <x:f>IFERROR(TEXT(VALUE('幕间与结算'!A933),"00"),"")</x:f>
        <x:v>00</x:v>
      </x:c>
      <x:c r="B1026">
        <x:f>'幕间与结算'!B933</x:f>
        <x:v>0</x:v>
      </x:c>
      <x:c r="C1026">
        <x:f>'幕间与结算'!D933</x:f>
        <x:v>0</x:v>
      </x:c>
      <x:c r="D1026">
        <x:f>'幕间与结算'!F933</x:f>
        <x:v>0</x:v>
      </x:c>
      <x:c r="E1026">
        <x:f>IF(H1026=1,MAX(-'幕间与结算'!E933,MIN(D1026,IF(LEFT(C1026,3)="技能：",99,IF(COUNTIF($L$2:$L$7,C1026)&gt;0,18,999))-'幕间与结算'!E933)),0)</x:f>
        <x:v>0</x:v>
      </x:c>
      <x:c r="F1026" t="str">
        <x:f>IF(C1026=0,"",IF(G1026=0,"记录不完整",IF(H1026=0,"重复未计","已计入")))</x:f>
        <x:v/>
      </x:c>
      <x:c r="G1026">
        <x:f>IF(AND(AND('幕间与结算'!A933&lt;&gt;"",'幕间与结算'!B933&lt;&gt;"",'幕间与结算'!I933&lt;&gt;"",OR(LEFT(C1026,3)="技能：",COUNTIF($L$2:$L$19,C1026)&gt;0),ISNUMBER('幕间与结算'!E933),ISNUMBER('幕间与结算'!F933),ISNUMBER('幕间与结算'!G933),'幕间与结算'!E933&gt;=0,'幕间与结算'!G933='幕间与结算'!E933+'幕间与结算'!F933),OR(B1026&lt;&gt;"成长",AND(LEFT(C1026,3)="技能：",C1026&lt;&gt;"技能：非自然知识",'幕间与结算'!E933&gt;=1,'幕间与结算'!E933&lt;=99,'幕间与结算'!F933&gt;=0,'幕间与结算'!F933&lt;=4,'幕间与结算'!G933&lt;=99))),1,0)</x:f>
        <x:v>0</x:v>
      </x:c>
      <x:c r="H1026">
        <x:f>IF(AND(G1026=1,COUNTIFS($I$200:I1026,I1026,$G$200:G1026,1)=1),1,0)</x:f>
        <x:v>0</x:v>
      </x:c>
      <x:c r="I1026" t="str">
        <x:f>IF(G1026=1,IF(B1026="成长",A1026&amp;"-成长-"&amp;C1026,'幕间与结算'!I933),"")</x:f>
        <x:v/>
      </x:c>
      <x:c r="BF1026">
        <x:f>MAX(0,MIN(18,BF1025+IF(C1026="力量",E1026,0)))</x:f>
        <x:v>0</x:v>
      </x:c>
      <x:c r="BG1026">
        <x:f>MAX(0,MIN(18,BG1025+IF(C1026="体质",E1026,0)))</x:f>
        <x:v>0</x:v>
      </x:c>
      <x:c r="BH1026">
        <x:f>MAX(0,MIN(18,BH1025+IF(C1026="敏捷",E1026,0)))</x:f>
        <x:v>0</x:v>
      </x:c>
      <x:c r="BI1026">
        <x:f>MAX(0,MIN(18,BI1025+IF(C1026="智力",E1026,0)))</x:f>
        <x:v>0</x:v>
      </x:c>
      <x:c r="BJ1026">
        <x:f>MAX(0,MIN(18,BJ1025+IF(C1026="意志",E1026,0)))</x:f>
        <x:v>0</x:v>
      </x:c>
      <x:c r="BK1026">
        <x:f>MAX(0,MIN(18,BK1025+IF(C1026="魅力",E1026,0)))</x:f>
        <x:v>0</x:v>
      </x:c>
      <x:c r="BL1026">
        <x:f>MAX(0,MIN(99,BL1025+IF(C1026="技能：非自然知识",E1026,0)))</x:f>
        <x:v>0</x:v>
      </x:c>
      <x:c r="BM1026">
        <x:f>MAX(0,MIN(CEILING((BF1026+BG1026)/2,1),BM1025+IF(C1026="体力",E1026,0)))</x:f>
        <x:v>0</x:v>
      </x:c>
      <x:c r="BN1026">
        <x:f>MAX(0,MIN(BJ1026,BN1025+IF(C1026="毅力",E1026,0)))</x:f>
        <x:v>0</x:v>
      </x:c>
      <x:c r="BO1026">
        <x:f>MAX(0,MIN(99-BL1026,BO1025+IF(C1026="理智",E1026,0)))</x:f>
        <x:v>0</x:v>
      </x:c>
      <x:c r="BP1026">
        <x:f>MAX(0,MIN(99,BP1025+IF(C1026="崩溃点",E1026,0)))</x:f>
        <x:v>0</x:v>
      </x:c>
      <x:c r="BQ1026">
        <x:f>MAX(0,MIN(BK1026,IF(AND(H1026=1,C1026="重要关系1",LEFT('幕间与结算'!H933,8)="建立新的重要关系"),'幕间与结算'!E933+E1026,BQ1025+IF(C1026="重要关系1",E1026,0)+IF(AND(C1026="魅力",E1026&lt;0),E1026,0))))</x:f>
        <x:v>0</x:v>
      </x:c>
      <x:c r="BR1026">
        <x:f>MAX(0,MIN(BK1026,IF(AND(H1026=1,C1026="重要关系2",LEFT('幕间与结算'!H933,8)="建立新的重要关系"),'幕间与结算'!E933+E1026,BR1025+IF(C1026="重要关系2",E1026,0)+IF(AND(C1026="魅力",E1026&lt;0),E1026,0))))</x:f>
        <x:v>0</x:v>
      </x:c>
      <x:c r="BS1026">
        <x:f>MAX(0,MIN(BK1026,IF(AND(H1026=1,C1026="重要关系3",LEFT('幕间与结算'!H933,8)="建立新的重要关系"),'幕间与结算'!E933+E1026,BS1025+IF(C1026="重要关系3",E1026,0)+IF(AND(C1026="魅力",E1026&lt;0),E1026,0))))</x:f>
        <x:v>0</x:v>
      </x:c>
      <x:c r="BT1026">
        <x:f>MAX(0,MIN(BK1026,IF(AND(H1026=1,C1026="重要关系4",LEFT('幕间与结算'!H933,8)="建立新的重要关系"),'幕间与结算'!E933+E1026,BT1025+IF(C1026="重要关系4",E1026,0)+IF(AND(C1026="魅力",E1026&lt;0),E1026,0))))</x:f>
        <x:v>0</x:v>
      </x:c>
      <x:c r="BU1026">
        <x:f>MAX(0,MIN(BK1026,IF(AND(H1026=1,C1026="重要关系5",LEFT('幕间与结算'!H933,8)="建立新的重要关系"),'幕间与结算'!E933+E1026,BU1025+IF(C1026="重要关系5",E1026,0)+IF(AND(C1026="魅力",E1026&lt;0),E1026,0))))</x:f>
        <x:v>0</x:v>
      </x:c>
      <x:c r="BV1026">
        <x:f>MAX(0,MIN(BK1026,IF(AND(H1026=1,C1026="重要关系6",LEFT('幕间与结算'!H933,8)="建立新的重要关系"),'幕间与结算'!E933+E1026,BV1025+IF(C1026="重要关系6",E1026,0)+IF(AND(C1026="魅力",E1026&lt;0),E1026,0))))</x:f>
        <x:v>0</x:v>
      </x:c>
      <x:c r="BW1026">
        <x:f>MAX(0,MIN(BK1026,IF(AND(H1026=1,C1026="重要关系7",LEFT('幕间与结算'!H933,8)="建立新的重要关系"),'幕间与结算'!E933+E1026,BW1025+IF(C1026="重要关系7",E1026,0)+IF(AND(C1026="魅力",E1026&lt;0),E1026,0))))</x:f>
        <x:v>0</x:v>
      </x:c>
    </x:row>
    <x:row r="1027">
      <x:c r="A1027" t="str">
        <x:f>IFERROR(TEXT(VALUE('幕间与结算'!A934),"00"),"")</x:f>
        <x:v>00</x:v>
      </x:c>
      <x:c r="B1027">
        <x:f>'幕间与结算'!B934</x:f>
        <x:v>0</x:v>
      </x:c>
      <x:c r="C1027">
        <x:f>'幕间与结算'!D934</x:f>
        <x:v>0</x:v>
      </x:c>
      <x:c r="D1027">
        <x:f>'幕间与结算'!F934</x:f>
        <x:v>0</x:v>
      </x:c>
      <x:c r="E1027">
        <x:f>IF(H1027=1,MAX(-'幕间与结算'!E934,MIN(D1027,IF(LEFT(C1027,3)="技能：",99,IF(COUNTIF($L$2:$L$7,C1027)&gt;0,18,999))-'幕间与结算'!E934)),0)</x:f>
        <x:v>0</x:v>
      </x:c>
      <x:c r="F1027" t="str">
        <x:f>IF(C1027=0,"",IF(G1027=0,"记录不完整",IF(H1027=0,"重复未计","已计入")))</x:f>
        <x:v/>
      </x:c>
      <x:c r="G1027">
        <x:f>IF(AND(AND('幕间与结算'!A934&lt;&gt;"",'幕间与结算'!B934&lt;&gt;"",'幕间与结算'!I934&lt;&gt;"",OR(LEFT(C1027,3)="技能：",COUNTIF($L$2:$L$19,C1027)&gt;0),ISNUMBER('幕间与结算'!E934),ISNUMBER('幕间与结算'!F934),ISNUMBER('幕间与结算'!G934),'幕间与结算'!E934&gt;=0,'幕间与结算'!G934='幕间与结算'!E934+'幕间与结算'!F934),OR(B1027&lt;&gt;"成长",AND(LEFT(C1027,3)="技能：",C1027&lt;&gt;"技能：非自然知识",'幕间与结算'!E934&gt;=1,'幕间与结算'!E934&lt;=99,'幕间与结算'!F934&gt;=0,'幕间与结算'!F934&lt;=4,'幕间与结算'!G934&lt;=99))),1,0)</x:f>
        <x:v>0</x:v>
      </x:c>
      <x:c r="H1027">
        <x:f>IF(AND(G1027=1,COUNTIFS($I$200:I1027,I1027,$G$200:G1027,1)=1),1,0)</x:f>
        <x:v>0</x:v>
      </x:c>
      <x:c r="I1027" t="str">
        <x:f>IF(G1027=1,IF(B1027="成长",A1027&amp;"-成长-"&amp;C1027,'幕间与结算'!I934),"")</x:f>
        <x:v/>
      </x:c>
      <x:c r="BF1027">
        <x:f>MAX(0,MIN(18,BF1026+IF(C1027="力量",E1027,0)))</x:f>
        <x:v>0</x:v>
      </x:c>
      <x:c r="BG1027">
        <x:f>MAX(0,MIN(18,BG1026+IF(C1027="体质",E1027,0)))</x:f>
        <x:v>0</x:v>
      </x:c>
      <x:c r="BH1027">
        <x:f>MAX(0,MIN(18,BH1026+IF(C1027="敏捷",E1027,0)))</x:f>
        <x:v>0</x:v>
      </x:c>
      <x:c r="BI1027">
        <x:f>MAX(0,MIN(18,BI1026+IF(C1027="智力",E1027,0)))</x:f>
        <x:v>0</x:v>
      </x:c>
      <x:c r="BJ1027">
        <x:f>MAX(0,MIN(18,BJ1026+IF(C1027="意志",E1027,0)))</x:f>
        <x:v>0</x:v>
      </x:c>
      <x:c r="BK1027">
        <x:f>MAX(0,MIN(18,BK1026+IF(C1027="魅力",E1027,0)))</x:f>
        <x:v>0</x:v>
      </x:c>
      <x:c r="BL1027">
        <x:f>MAX(0,MIN(99,BL1026+IF(C1027="技能：非自然知识",E1027,0)))</x:f>
        <x:v>0</x:v>
      </x:c>
      <x:c r="BM1027">
        <x:f>MAX(0,MIN(CEILING((BF1027+BG1027)/2,1),BM1026+IF(C1027="体力",E1027,0)))</x:f>
        <x:v>0</x:v>
      </x:c>
      <x:c r="BN1027">
        <x:f>MAX(0,MIN(BJ1027,BN1026+IF(C1027="毅力",E1027,0)))</x:f>
        <x:v>0</x:v>
      </x:c>
      <x:c r="BO1027">
        <x:f>MAX(0,MIN(99-BL1027,BO1026+IF(C1027="理智",E1027,0)))</x:f>
        <x:v>0</x:v>
      </x:c>
      <x:c r="BP1027">
        <x:f>MAX(0,MIN(99,BP1026+IF(C1027="崩溃点",E1027,0)))</x:f>
        <x:v>0</x:v>
      </x:c>
      <x:c r="BQ1027">
        <x:f>MAX(0,MIN(BK1027,IF(AND(H1027=1,C1027="重要关系1",LEFT('幕间与结算'!H934,8)="建立新的重要关系"),'幕间与结算'!E934+E1027,BQ1026+IF(C1027="重要关系1",E1027,0)+IF(AND(C1027="魅力",E1027&lt;0),E1027,0))))</x:f>
        <x:v>0</x:v>
      </x:c>
      <x:c r="BR1027">
        <x:f>MAX(0,MIN(BK1027,IF(AND(H1027=1,C1027="重要关系2",LEFT('幕间与结算'!H934,8)="建立新的重要关系"),'幕间与结算'!E934+E1027,BR1026+IF(C1027="重要关系2",E1027,0)+IF(AND(C1027="魅力",E1027&lt;0),E1027,0))))</x:f>
        <x:v>0</x:v>
      </x:c>
      <x:c r="BS1027">
        <x:f>MAX(0,MIN(BK1027,IF(AND(H1027=1,C1027="重要关系3",LEFT('幕间与结算'!H934,8)="建立新的重要关系"),'幕间与结算'!E934+E1027,BS1026+IF(C1027="重要关系3",E1027,0)+IF(AND(C1027="魅力",E1027&lt;0),E1027,0))))</x:f>
        <x:v>0</x:v>
      </x:c>
      <x:c r="BT1027">
        <x:f>MAX(0,MIN(BK1027,IF(AND(H1027=1,C1027="重要关系4",LEFT('幕间与结算'!H934,8)="建立新的重要关系"),'幕间与结算'!E934+E1027,BT1026+IF(C1027="重要关系4",E1027,0)+IF(AND(C1027="魅力",E1027&lt;0),E1027,0))))</x:f>
        <x:v>0</x:v>
      </x:c>
      <x:c r="BU1027">
        <x:f>MAX(0,MIN(BK1027,IF(AND(H1027=1,C1027="重要关系5",LEFT('幕间与结算'!H934,8)="建立新的重要关系"),'幕间与结算'!E934+E1027,BU1026+IF(C1027="重要关系5",E1027,0)+IF(AND(C1027="魅力",E1027&lt;0),E1027,0))))</x:f>
        <x:v>0</x:v>
      </x:c>
      <x:c r="BV1027">
        <x:f>MAX(0,MIN(BK1027,IF(AND(H1027=1,C1027="重要关系6",LEFT('幕间与结算'!H934,8)="建立新的重要关系"),'幕间与结算'!E934+E1027,BV1026+IF(C1027="重要关系6",E1027,0)+IF(AND(C1027="魅力",E1027&lt;0),E1027,0))))</x:f>
        <x:v>0</x:v>
      </x:c>
      <x:c r="BW1027">
        <x:f>MAX(0,MIN(BK1027,IF(AND(H1027=1,C1027="重要关系7",LEFT('幕间与结算'!H934,8)="建立新的重要关系"),'幕间与结算'!E934+E1027,BW1026+IF(C1027="重要关系7",E1027,0)+IF(AND(C1027="魅力",E1027&lt;0),E1027,0))))</x:f>
        <x:v>0</x:v>
      </x:c>
    </x:row>
    <x:row r="1028">
      <x:c r="A1028" t="str">
        <x:f>IFERROR(TEXT(VALUE('幕间与结算'!A935),"00"),"")</x:f>
        <x:v>00</x:v>
      </x:c>
      <x:c r="B1028">
        <x:f>'幕间与结算'!B935</x:f>
        <x:v>0</x:v>
      </x:c>
      <x:c r="C1028">
        <x:f>'幕间与结算'!D935</x:f>
        <x:v>0</x:v>
      </x:c>
      <x:c r="D1028">
        <x:f>'幕间与结算'!F935</x:f>
        <x:v>0</x:v>
      </x:c>
      <x:c r="E1028">
        <x:f>IF(H1028=1,MAX(-'幕间与结算'!E935,MIN(D1028,IF(LEFT(C1028,3)="技能：",99,IF(COUNTIF($L$2:$L$7,C1028)&gt;0,18,999))-'幕间与结算'!E935)),0)</x:f>
        <x:v>0</x:v>
      </x:c>
      <x:c r="F1028" t="str">
        <x:f>IF(C1028=0,"",IF(G1028=0,"记录不完整",IF(H1028=0,"重复未计","已计入")))</x:f>
        <x:v/>
      </x:c>
      <x:c r="G1028">
        <x:f>IF(AND(AND('幕间与结算'!A935&lt;&gt;"",'幕间与结算'!B935&lt;&gt;"",'幕间与结算'!I935&lt;&gt;"",OR(LEFT(C1028,3)="技能：",COUNTIF($L$2:$L$19,C1028)&gt;0),ISNUMBER('幕间与结算'!E935),ISNUMBER('幕间与结算'!F935),ISNUMBER('幕间与结算'!G935),'幕间与结算'!E935&gt;=0,'幕间与结算'!G935='幕间与结算'!E935+'幕间与结算'!F935),OR(B1028&lt;&gt;"成长",AND(LEFT(C1028,3)="技能：",C1028&lt;&gt;"技能：非自然知识",'幕间与结算'!E935&gt;=1,'幕间与结算'!E935&lt;=99,'幕间与结算'!F935&gt;=0,'幕间与结算'!F935&lt;=4,'幕间与结算'!G935&lt;=99))),1,0)</x:f>
        <x:v>0</x:v>
      </x:c>
      <x:c r="H1028">
        <x:f>IF(AND(G1028=1,COUNTIFS($I$200:I1028,I1028,$G$200:G1028,1)=1),1,0)</x:f>
        <x:v>0</x:v>
      </x:c>
      <x:c r="I1028" t="str">
        <x:f>IF(G1028=1,IF(B1028="成长",A1028&amp;"-成长-"&amp;C1028,'幕间与结算'!I935),"")</x:f>
        <x:v/>
      </x:c>
      <x:c r="BF1028">
        <x:f>MAX(0,MIN(18,BF1027+IF(C1028="力量",E1028,0)))</x:f>
        <x:v>0</x:v>
      </x:c>
      <x:c r="BG1028">
        <x:f>MAX(0,MIN(18,BG1027+IF(C1028="体质",E1028,0)))</x:f>
        <x:v>0</x:v>
      </x:c>
      <x:c r="BH1028">
        <x:f>MAX(0,MIN(18,BH1027+IF(C1028="敏捷",E1028,0)))</x:f>
        <x:v>0</x:v>
      </x:c>
      <x:c r="BI1028">
        <x:f>MAX(0,MIN(18,BI1027+IF(C1028="智力",E1028,0)))</x:f>
        <x:v>0</x:v>
      </x:c>
      <x:c r="BJ1028">
        <x:f>MAX(0,MIN(18,BJ1027+IF(C1028="意志",E1028,0)))</x:f>
        <x:v>0</x:v>
      </x:c>
      <x:c r="BK1028">
        <x:f>MAX(0,MIN(18,BK1027+IF(C1028="魅力",E1028,0)))</x:f>
        <x:v>0</x:v>
      </x:c>
      <x:c r="BL1028">
        <x:f>MAX(0,MIN(99,BL1027+IF(C1028="技能：非自然知识",E1028,0)))</x:f>
        <x:v>0</x:v>
      </x:c>
      <x:c r="BM1028">
        <x:f>MAX(0,MIN(CEILING((BF1028+BG1028)/2,1),BM1027+IF(C1028="体力",E1028,0)))</x:f>
        <x:v>0</x:v>
      </x:c>
      <x:c r="BN1028">
        <x:f>MAX(0,MIN(BJ1028,BN1027+IF(C1028="毅力",E1028,0)))</x:f>
        <x:v>0</x:v>
      </x:c>
      <x:c r="BO1028">
        <x:f>MAX(0,MIN(99-BL1028,BO1027+IF(C1028="理智",E1028,0)))</x:f>
        <x:v>0</x:v>
      </x:c>
      <x:c r="BP1028">
        <x:f>MAX(0,MIN(99,BP1027+IF(C1028="崩溃点",E1028,0)))</x:f>
        <x:v>0</x:v>
      </x:c>
      <x:c r="BQ1028">
        <x:f>MAX(0,MIN(BK1028,IF(AND(H1028=1,C1028="重要关系1",LEFT('幕间与结算'!H935,8)="建立新的重要关系"),'幕间与结算'!E935+E1028,BQ1027+IF(C1028="重要关系1",E1028,0)+IF(AND(C1028="魅力",E1028&lt;0),E1028,0))))</x:f>
        <x:v>0</x:v>
      </x:c>
      <x:c r="BR1028">
        <x:f>MAX(0,MIN(BK1028,IF(AND(H1028=1,C1028="重要关系2",LEFT('幕间与结算'!H935,8)="建立新的重要关系"),'幕间与结算'!E935+E1028,BR1027+IF(C1028="重要关系2",E1028,0)+IF(AND(C1028="魅力",E1028&lt;0),E1028,0))))</x:f>
        <x:v>0</x:v>
      </x:c>
      <x:c r="BS1028">
        <x:f>MAX(0,MIN(BK1028,IF(AND(H1028=1,C1028="重要关系3",LEFT('幕间与结算'!H935,8)="建立新的重要关系"),'幕间与结算'!E935+E1028,BS1027+IF(C1028="重要关系3",E1028,0)+IF(AND(C1028="魅力",E1028&lt;0),E1028,0))))</x:f>
        <x:v>0</x:v>
      </x:c>
      <x:c r="BT1028">
        <x:f>MAX(0,MIN(BK1028,IF(AND(H1028=1,C1028="重要关系4",LEFT('幕间与结算'!H935,8)="建立新的重要关系"),'幕间与结算'!E935+E1028,BT1027+IF(C1028="重要关系4",E1028,0)+IF(AND(C1028="魅力",E1028&lt;0),E1028,0))))</x:f>
        <x:v>0</x:v>
      </x:c>
      <x:c r="BU1028">
        <x:f>MAX(0,MIN(BK1028,IF(AND(H1028=1,C1028="重要关系5",LEFT('幕间与结算'!H935,8)="建立新的重要关系"),'幕间与结算'!E935+E1028,BU1027+IF(C1028="重要关系5",E1028,0)+IF(AND(C1028="魅力",E1028&lt;0),E1028,0))))</x:f>
        <x:v>0</x:v>
      </x:c>
      <x:c r="BV1028">
        <x:f>MAX(0,MIN(BK1028,IF(AND(H1028=1,C1028="重要关系6",LEFT('幕间与结算'!H935,8)="建立新的重要关系"),'幕间与结算'!E935+E1028,BV1027+IF(C1028="重要关系6",E1028,0)+IF(AND(C1028="魅力",E1028&lt;0),E1028,0))))</x:f>
        <x:v>0</x:v>
      </x:c>
      <x:c r="BW1028">
        <x:f>MAX(0,MIN(BK1028,IF(AND(H1028=1,C1028="重要关系7",LEFT('幕间与结算'!H935,8)="建立新的重要关系"),'幕间与结算'!E935+E1028,BW1027+IF(C1028="重要关系7",E1028,0)+IF(AND(C1028="魅力",E1028&lt;0),E1028,0))))</x:f>
        <x:v>0</x:v>
      </x:c>
    </x:row>
    <x:row r="1029">
      <x:c r="A1029" t="str">
        <x:f>IFERROR(TEXT(VALUE('幕间与结算'!A936),"00"),"")</x:f>
        <x:v>00</x:v>
      </x:c>
      <x:c r="B1029">
        <x:f>'幕间与结算'!B936</x:f>
        <x:v>0</x:v>
      </x:c>
      <x:c r="C1029">
        <x:f>'幕间与结算'!D936</x:f>
        <x:v>0</x:v>
      </x:c>
      <x:c r="D1029">
        <x:f>'幕间与结算'!F936</x:f>
        <x:v>0</x:v>
      </x:c>
      <x:c r="E1029">
        <x:f>IF(H1029=1,MAX(-'幕间与结算'!E936,MIN(D1029,IF(LEFT(C1029,3)="技能：",99,IF(COUNTIF($L$2:$L$7,C1029)&gt;0,18,999))-'幕间与结算'!E936)),0)</x:f>
        <x:v>0</x:v>
      </x:c>
      <x:c r="F1029" t="str">
        <x:f>IF(C1029=0,"",IF(G1029=0,"记录不完整",IF(H1029=0,"重复未计","已计入")))</x:f>
        <x:v/>
      </x:c>
      <x:c r="G1029">
        <x:f>IF(AND(AND('幕间与结算'!A936&lt;&gt;"",'幕间与结算'!B936&lt;&gt;"",'幕间与结算'!I936&lt;&gt;"",OR(LEFT(C1029,3)="技能：",COUNTIF($L$2:$L$19,C1029)&gt;0),ISNUMBER('幕间与结算'!E936),ISNUMBER('幕间与结算'!F936),ISNUMBER('幕间与结算'!G936),'幕间与结算'!E936&gt;=0,'幕间与结算'!G936='幕间与结算'!E936+'幕间与结算'!F936),OR(B1029&lt;&gt;"成长",AND(LEFT(C1029,3)="技能：",C1029&lt;&gt;"技能：非自然知识",'幕间与结算'!E936&gt;=1,'幕间与结算'!E936&lt;=99,'幕间与结算'!F936&gt;=0,'幕间与结算'!F936&lt;=4,'幕间与结算'!G936&lt;=99))),1,0)</x:f>
        <x:v>0</x:v>
      </x:c>
      <x:c r="H1029">
        <x:f>IF(AND(G1029=1,COUNTIFS($I$200:I1029,I1029,$G$200:G1029,1)=1),1,0)</x:f>
        <x:v>0</x:v>
      </x:c>
      <x:c r="I1029" t="str">
        <x:f>IF(G1029=1,IF(B1029="成长",A1029&amp;"-成长-"&amp;C1029,'幕间与结算'!I936),"")</x:f>
        <x:v/>
      </x:c>
      <x:c r="BF1029">
        <x:f>MAX(0,MIN(18,BF1028+IF(C1029="力量",E1029,0)))</x:f>
        <x:v>0</x:v>
      </x:c>
      <x:c r="BG1029">
        <x:f>MAX(0,MIN(18,BG1028+IF(C1029="体质",E1029,0)))</x:f>
        <x:v>0</x:v>
      </x:c>
      <x:c r="BH1029">
        <x:f>MAX(0,MIN(18,BH1028+IF(C1029="敏捷",E1029,0)))</x:f>
        <x:v>0</x:v>
      </x:c>
      <x:c r="BI1029">
        <x:f>MAX(0,MIN(18,BI1028+IF(C1029="智力",E1029,0)))</x:f>
        <x:v>0</x:v>
      </x:c>
      <x:c r="BJ1029">
        <x:f>MAX(0,MIN(18,BJ1028+IF(C1029="意志",E1029,0)))</x:f>
        <x:v>0</x:v>
      </x:c>
      <x:c r="BK1029">
        <x:f>MAX(0,MIN(18,BK1028+IF(C1029="魅力",E1029,0)))</x:f>
        <x:v>0</x:v>
      </x:c>
      <x:c r="BL1029">
        <x:f>MAX(0,MIN(99,BL1028+IF(C1029="技能：非自然知识",E1029,0)))</x:f>
        <x:v>0</x:v>
      </x:c>
      <x:c r="BM1029">
        <x:f>MAX(0,MIN(CEILING((BF1029+BG1029)/2,1),BM1028+IF(C1029="体力",E1029,0)))</x:f>
        <x:v>0</x:v>
      </x:c>
      <x:c r="BN1029">
        <x:f>MAX(0,MIN(BJ1029,BN1028+IF(C1029="毅力",E1029,0)))</x:f>
        <x:v>0</x:v>
      </x:c>
      <x:c r="BO1029">
        <x:f>MAX(0,MIN(99-BL1029,BO1028+IF(C1029="理智",E1029,0)))</x:f>
        <x:v>0</x:v>
      </x:c>
      <x:c r="BP1029">
        <x:f>MAX(0,MIN(99,BP1028+IF(C1029="崩溃点",E1029,0)))</x:f>
        <x:v>0</x:v>
      </x:c>
      <x:c r="BQ1029">
        <x:f>MAX(0,MIN(BK1029,IF(AND(H1029=1,C1029="重要关系1",LEFT('幕间与结算'!H936,8)="建立新的重要关系"),'幕间与结算'!E936+E1029,BQ1028+IF(C1029="重要关系1",E1029,0)+IF(AND(C1029="魅力",E1029&lt;0),E1029,0))))</x:f>
        <x:v>0</x:v>
      </x:c>
      <x:c r="BR1029">
        <x:f>MAX(0,MIN(BK1029,IF(AND(H1029=1,C1029="重要关系2",LEFT('幕间与结算'!H936,8)="建立新的重要关系"),'幕间与结算'!E936+E1029,BR1028+IF(C1029="重要关系2",E1029,0)+IF(AND(C1029="魅力",E1029&lt;0),E1029,0))))</x:f>
        <x:v>0</x:v>
      </x:c>
      <x:c r="BS1029">
        <x:f>MAX(0,MIN(BK1029,IF(AND(H1029=1,C1029="重要关系3",LEFT('幕间与结算'!H936,8)="建立新的重要关系"),'幕间与结算'!E936+E1029,BS1028+IF(C1029="重要关系3",E1029,0)+IF(AND(C1029="魅力",E1029&lt;0),E1029,0))))</x:f>
        <x:v>0</x:v>
      </x:c>
      <x:c r="BT1029">
        <x:f>MAX(0,MIN(BK1029,IF(AND(H1029=1,C1029="重要关系4",LEFT('幕间与结算'!H936,8)="建立新的重要关系"),'幕间与结算'!E936+E1029,BT1028+IF(C1029="重要关系4",E1029,0)+IF(AND(C1029="魅力",E1029&lt;0),E1029,0))))</x:f>
        <x:v>0</x:v>
      </x:c>
      <x:c r="BU1029">
        <x:f>MAX(0,MIN(BK1029,IF(AND(H1029=1,C1029="重要关系5",LEFT('幕间与结算'!H936,8)="建立新的重要关系"),'幕间与结算'!E936+E1029,BU1028+IF(C1029="重要关系5",E1029,0)+IF(AND(C1029="魅力",E1029&lt;0),E1029,0))))</x:f>
        <x:v>0</x:v>
      </x:c>
      <x:c r="BV1029">
        <x:f>MAX(0,MIN(BK1029,IF(AND(H1029=1,C1029="重要关系6",LEFT('幕间与结算'!H936,8)="建立新的重要关系"),'幕间与结算'!E936+E1029,BV1028+IF(C1029="重要关系6",E1029,0)+IF(AND(C1029="魅力",E1029&lt;0),E1029,0))))</x:f>
        <x:v>0</x:v>
      </x:c>
      <x:c r="BW1029">
        <x:f>MAX(0,MIN(BK1029,IF(AND(H1029=1,C1029="重要关系7",LEFT('幕间与结算'!H936,8)="建立新的重要关系"),'幕间与结算'!E936+E1029,BW1028+IF(C1029="重要关系7",E1029,0)+IF(AND(C1029="魅力",E1029&lt;0),E1029,0))))</x:f>
        <x:v>0</x:v>
      </x:c>
    </x:row>
    <x:row r="1030">
      <x:c r="A1030" t="str">
        <x:f>IFERROR(TEXT(VALUE('幕间与结算'!A937),"00"),"")</x:f>
        <x:v>00</x:v>
      </x:c>
      <x:c r="B1030">
        <x:f>'幕间与结算'!B937</x:f>
        <x:v>0</x:v>
      </x:c>
      <x:c r="C1030">
        <x:f>'幕间与结算'!D937</x:f>
        <x:v>0</x:v>
      </x:c>
      <x:c r="D1030">
        <x:f>'幕间与结算'!F937</x:f>
        <x:v>0</x:v>
      </x:c>
      <x:c r="E1030">
        <x:f>IF(H1030=1,MAX(-'幕间与结算'!E937,MIN(D1030,IF(LEFT(C1030,3)="技能：",99,IF(COUNTIF($L$2:$L$7,C1030)&gt;0,18,999))-'幕间与结算'!E937)),0)</x:f>
        <x:v>0</x:v>
      </x:c>
      <x:c r="F1030" t="str">
        <x:f>IF(C1030=0,"",IF(G1030=0,"记录不完整",IF(H1030=0,"重复未计","已计入")))</x:f>
        <x:v/>
      </x:c>
      <x:c r="G1030">
        <x:f>IF(AND(AND('幕间与结算'!A937&lt;&gt;"",'幕间与结算'!B937&lt;&gt;"",'幕间与结算'!I937&lt;&gt;"",OR(LEFT(C1030,3)="技能：",COUNTIF($L$2:$L$19,C1030)&gt;0),ISNUMBER('幕间与结算'!E937),ISNUMBER('幕间与结算'!F937),ISNUMBER('幕间与结算'!G937),'幕间与结算'!E937&gt;=0,'幕间与结算'!G937='幕间与结算'!E937+'幕间与结算'!F937),OR(B1030&lt;&gt;"成长",AND(LEFT(C1030,3)="技能：",C1030&lt;&gt;"技能：非自然知识",'幕间与结算'!E937&gt;=1,'幕间与结算'!E937&lt;=99,'幕间与结算'!F937&gt;=0,'幕间与结算'!F937&lt;=4,'幕间与结算'!G937&lt;=99))),1,0)</x:f>
        <x:v>0</x:v>
      </x:c>
      <x:c r="H1030">
        <x:f>IF(AND(G1030=1,COUNTIFS($I$200:I1030,I1030,$G$200:G1030,1)=1),1,0)</x:f>
        <x:v>0</x:v>
      </x:c>
      <x:c r="I1030" t="str">
        <x:f>IF(G1030=1,IF(B1030="成长",A1030&amp;"-成长-"&amp;C1030,'幕间与结算'!I937),"")</x:f>
        <x:v/>
      </x:c>
      <x:c r="BF1030">
        <x:f>MAX(0,MIN(18,BF1029+IF(C1030="力量",E1030,0)))</x:f>
        <x:v>0</x:v>
      </x:c>
      <x:c r="BG1030">
        <x:f>MAX(0,MIN(18,BG1029+IF(C1030="体质",E1030,0)))</x:f>
        <x:v>0</x:v>
      </x:c>
      <x:c r="BH1030">
        <x:f>MAX(0,MIN(18,BH1029+IF(C1030="敏捷",E1030,0)))</x:f>
        <x:v>0</x:v>
      </x:c>
      <x:c r="BI1030">
        <x:f>MAX(0,MIN(18,BI1029+IF(C1030="智力",E1030,0)))</x:f>
        <x:v>0</x:v>
      </x:c>
      <x:c r="BJ1030">
        <x:f>MAX(0,MIN(18,BJ1029+IF(C1030="意志",E1030,0)))</x:f>
        <x:v>0</x:v>
      </x:c>
      <x:c r="BK1030">
        <x:f>MAX(0,MIN(18,BK1029+IF(C1030="魅力",E1030,0)))</x:f>
        <x:v>0</x:v>
      </x:c>
      <x:c r="BL1030">
        <x:f>MAX(0,MIN(99,BL1029+IF(C1030="技能：非自然知识",E1030,0)))</x:f>
        <x:v>0</x:v>
      </x:c>
      <x:c r="BM1030">
        <x:f>MAX(0,MIN(CEILING((BF1030+BG1030)/2,1),BM1029+IF(C1030="体力",E1030,0)))</x:f>
        <x:v>0</x:v>
      </x:c>
      <x:c r="BN1030">
        <x:f>MAX(0,MIN(BJ1030,BN1029+IF(C1030="毅力",E1030,0)))</x:f>
        <x:v>0</x:v>
      </x:c>
      <x:c r="BO1030">
        <x:f>MAX(0,MIN(99-BL1030,BO1029+IF(C1030="理智",E1030,0)))</x:f>
        <x:v>0</x:v>
      </x:c>
      <x:c r="BP1030">
        <x:f>MAX(0,MIN(99,BP1029+IF(C1030="崩溃点",E1030,0)))</x:f>
        <x:v>0</x:v>
      </x:c>
      <x:c r="BQ1030">
        <x:f>MAX(0,MIN(BK1030,IF(AND(H1030=1,C1030="重要关系1",LEFT('幕间与结算'!H937,8)="建立新的重要关系"),'幕间与结算'!E937+E1030,BQ1029+IF(C1030="重要关系1",E1030,0)+IF(AND(C1030="魅力",E1030&lt;0),E1030,0))))</x:f>
        <x:v>0</x:v>
      </x:c>
      <x:c r="BR1030">
        <x:f>MAX(0,MIN(BK1030,IF(AND(H1030=1,C1030="重要关系2",LEFT('幕间与结算'!H937,8)="建立新的重要关系"),'幕间与结算'!E937+E1030,BR1029+IF(C1030="重要关系2",E1030,0)+IF(AND(C1030="魅力",E1030&lt;0),E1030,0))))</x:f>
        <x:v>0</x:v>
      </x:c>
      <x:c r="BS1030">
        <x:f>MAX(0,MIN(BK1030,IF(AND(H1030=1,C1030="重要关系3",LEFT('幕间与结算'!H937,8)="建立新的重要关系"),'幕间与结算'!E937+E1030,BS1029+IF(C1030="重要关系3",E1030,0)+IF(AND(C1030="魅力",E1030&lt;0),E1030,0))))</x:f>
        <x:v>0</x:v>
      </x:c>
      <x:c r="BT1030">
        <x:f>MAX(0,MIN(BK1030,IF(AND(H1030=1,C1030="重要关系4",LEFT('幕间与结算'!H937,8)="建立新的重要关系"),'幕间与结算'!E937+E1030,BT1029+IF(C1030="重要关系4",E1030,0)+IF(AND(C1030="魅力",E1030&lt;0),E1030,0))))</x:f>
        <x:v>0</x:v>
      </x:c>
      <x:c r="BU1030">
        <x:f>MAX(0,MIN(BK1030,IF(AND(H1030=1,C1030="重要关系5",LEFT('幕间与结算'!H937,8)="建立新的重要关系"),'幕间与结算'!E937+E1030,BU1029+IF(C1030="重要关系5",E1030,0)+IF(AND(C1030="魅力",E1030&lt;0),E1030,0))))</x:f>
        <x:v>0</x:v>
      </x:c>
      <x:c r="BV1030">
        <x:f>MAX(0,MIN(BK1030,IF(AND(H1030=1,C1030="重要关系6",LEFT('幕间与结算'!H937,8)="建立新的重要关系"),'幕间与结算'!E937+E1030,BV1029+IF(C1030="重要关系6",E1030,0)+IF(AND(C1030="魅力",E1030&lt;0),E1030,0))))</x:f>
        <x:v>0</x:v>
      </x:c>
      <x:c r="BW1030">
        <x:f>MAX(0,MIN(BK1030,IF(AND(H1030=1,C1030="重要关系7",LEFT('幕间与结算'!H937,8)="建立新的重要关系"),'幕间与结算'!E937+E1030,BW1029+IF(C1030="重要关系7",E1030,0)+IF(AND(C1030="魅力",E1030&lt;0),E1030,0))))</x:f>
        <x:v>0</x:v>
      </x:c>
    </x:row>
    <x:row r="1031">
      <x:c r="A1031" t="str">
        <x:f>IFERROR(TEXT(VALUE('幕间与结算'!A938),"00"),"")</x:f>
        <x:v>00</x:v>
      </x:c>
      <x:c r="B1031">
        <x:f>'幕间与结算'!B938</x:f>
        <x:v>0</x:v>
      </x:c>
      <x:c r="C1031">
        <x:f>'幕间与结算'!D938</x:f>
        <x:v>0</x:v>
      </x:c>
      <x:c r="D1031">
        <x:f>'幕间与结算'!F938</x:f>
        <x:v>0</x:v>
      </x:c>
      <x:c r="E1031">
        <x:f>IF(H1031=1,MAX(-'幕间与结算'!E938,MIN(D1031,IF(LEFT(C1031,3)="技能：",99,IF(COUNTIF($L$2:$L$7,C1031)&gt;0,18,999))-'幕间与结算'!E938)),0)</x:f>
        <x:v>0</x:v>
      </x:c>
      <x:c r="F1031" t="str">
        <x:f>IF(C1031=0,"",IF(G1031=0,"记录不完整",IF(H1031=0,"重复未计","已计入")))</x:f>
        <x:v/>
      </x:c>
      <x:c r="G1031">
        <x:f>IF(AND(AND('幕间与结算'!A938&lt;&gt;"",'幕间与结算'!B938&lt;&gt;"",'幕间与结算'!I938&lt;&gt;"",OR(LEFT(C1031,3)="技能：",COUNTIF($L$2:$L$19,C1031)&gt;0),ISNUMBER('幕间与结算'!E938),ISNUMBER('幕间与结算'!F938),ISNUMBER('幕间与结算'!G938),'幕间与结算'!E938&gt;=0,'幕间与结算'!G938='幕间与结算'!E938+'幕间与结算'!F938),OR(B1031&lt;&gt;"成长",AND(LEFT(C1031,3)="技能：",C1031&lt;&gt;"技能：非自然知识",'幕间与结算'!E938&gt;=1,'幕间与结算'!E938&lt;=99,'幕间与结算'!F938&gt;=0,'幕间与结算'!F938&lt;=4,'幕间与结算'!G938&lt;=99))),1,0)</x:f>
        <x:v>0</x:v>
      </x:c>
      <x:c r="H1031">
        <x:f>IF(AND(G1031=1,COUNTIFS($I$200:I1031,I1031,$G$200:G1031,1)=1),1,0)</x:f>
        <x:v>0</x:v>
      </x:c>
      <x:c r="I1031" t="str">
        <x:f>IF(G1031=1,IF(B1031="成长",A1031&amp;"-成长-"&amp;C1031,'幕间与结算'!I938),"")</x:f>
        <x:v/>
      </x:c>
      <x:c r="BF1031">
        <x:f>MAX(0,MIN(18,BF1030+IF(C1031="力量",E1031,0)))</x:f>
        <x:v>0</x:v>
      </x:c>
      <x:c r="BG1031">
        <x:f>MAX(0,MIN(18,BG1030+IF(C1031="体质",E1031,0)))</x:f>
        <x:v>0</x:v>
      </x:c>
      <x:c r="BH1031">
        <x:f>MAX(0,MIN(18,BH1030+IF(C1031="敏捷",E1031,0)))</x:f>
        <x:v>0</x:v>
      </x:c>
      <x:c r="BI1031">
        <x:f>MAX(0,MIN(18,BI1030+IF(C1031="智力",E1031,0)))</x:f>
        <x:v>0</x:v>
      </x:c>
      <x:c r="BJ1031">
        <x:f>MAX(0,MIN(18,BJ1030+IF(C1031="意志",E1031,0)))</x:f>
        <x:v>0</x:v>
      </x:c>
      <x:c r="BK1031">
        <x:f>MAX(0,MIN(18,BK1030+IF(C1031="魅力",E1031,0)))</x:f>
        <x:v>0</x:v>
      </x:c>
      <x:c r="BL1031">
        <x:f>MAX(0,MIN(99,BL1030+IF(C1031="技能：非自然知识",E1031,0)))</x:f>
        <x:v>0</x:v>
      </x:c>
      <x:c r="BM1031">
        <x:f>MAX(0,MIN(CEILING((BF1031+BG1031)/2,1),BM1030+IF(C1031="体力",E1031,0)))</x:f>
        <x:v>0</x:v>
      </x:c>
      <x:c r="BN1031">
        <x:f>MAX(0,MIN(BJ1031,BN1030+IF(C1031="毅力",E1031,0)))</x:f>
        <x:v>0</x:v>
      </x:c>
      <x:c r="BO1031">
        <x:f>MAX(0,MIN(99-BL1031,BO1030+IF(C1031="理智",E1031,0)))</x:f>
        <x:v>0</x:v>
      </x:c>
      <x:c r="BP1031">
        <x:f>MAX(0,MIN(99,BP1030+IF(C1031="崩溃点",E1031,0)))</x:f>
        <x:v>0</x:v>
      </x:c>
      <x:c r="BQ1031">
        <x:f>MAX(0,MIN(BK1031,IF(AND(H1031=1,C1031="重要关系1",LEFT('幕间与结算'!H938,8)="建立新的重要关系"),'幕间与结算'!E938+E1031,BQ1030+IF(C1031="重要关系1",E1031,0)+IF(AND(C1031="魅力",E1031&lt;0),E1031,0))))</x:f>
        <x:v>0</x:v>
      </x:c>
      <x:c r="BR1031">
        <x:f>MAX(0,MIN(BK1031,IF(AND(H1031=1,C1031="重要关系2",LEFT('幕间与结算'!H938,8)="建立新的重要关系"),'幕间与结算'!E938+E1031,BR1030+IF(C1031="重要关系2",E1031,0)+IF(AND(C1031="魅力",E1031&lt;0),E1031,0))))</x:f>
        <x:v>0</x:v>
      </x:c>
      <x:c r="BS1031">
        <x:f>MAX(0,MIN(BK1031,IF(AND(H1031=1,C1031="重要关系3",LEFT('幕间与结算'!H938,8)="建立新的重要关系"),'幕间与结算'!E938+E1031,BS1030+IF(C1031="重要关系3",E1031,0)+IF(AND(C1031="魅力",E1031&lt;0),E1031,0))))</x:f>
        <x:v>0</x:v>
      </x:c>
      <x:c r="BT1031">
        <x:f>MAX(0,MIN(BK1031,IF(AND(H1031=1,C1031="重要关系4",LEFT('幕间与结算'!H938,8)="建立新的重要关系"),'幕间与结算'!E938+E1031,BT1030+IF(C1031="重要关系4",E1031,0)+IF(AND(C1031="魅力",E1031&lt;0),E1031,0))))</x:f>
        <x:v>0</x:v>
      </x:c>
      <x:c r="BU1031">
        <x:f>MAX(0,MIN(BK1031,IF(AND(H1031=1,C1031="重要关系5",LEFT('幕间与结算'!H938,8)="建立新的重要关系"),'幕间与结算'!E938+E1031,BU1030+IF(C1031="重要关系5",E1031,0)+IF(AND(C1031="魅力",E1031&lt;0),E1031,0))))</x:f>
        <x:v>0</x:v>
      </x:c>
      <x:c r="BV1031">
        <x:f>MAX(0,MIN(BK1031,IF(AND(H1031=1,C1031="重要关系6",LEFT('幕间与结算'!H938,8)="建立新的重要关系"),'幕间与结算'!E938+E1031,BV1030+IF(C1031="重要关系6",E1031,0)+IF(AND(C1031="魅力",E1031&lt;0),E1031,0))))</x:f>
        <x:v>0</x:v>
      </x:c>
      <x:c r="BW1031">
        <x:f>MAX(0,MIN(BK1031,IF(AND(H1031=1,C1031="重要关系7",LEFT('幕间与结算'!H938,8)="建立新的重要关系"),'幕间与结算'!E938+E1031,BW1030+IF(C1031="重要关系7",E1031,0)+IF(AND(C1031="魅力",E1031&lt;0),E1031,0))))</x:f>
        <x:v>0</x:v>
      </x:c>
    </x:row>
    <x:row r="1032">
      <x:c r="A1032" t="str">
        <x:f>IFERROR(TEXT(VALUE('幕间与结算'!A939),"00"),"")</x:f>
        <x:v>00</x:v>
      </x:c>
      <x:c r="B1032">
        <x:f>'幕间与结算'!B939</x:f>
        <x:v>0</x:v>
      </x:c>
      <x:c r="C1032">
        <x:f>'幕间与结算'!D939</x:f>
        <x:v>0</x:v>
      </x:c>
      <x:c r="D1032">
        <x:f>'幕间与结算'!F939</x:f>
        <x:v>0</x:v>
      </x:c>
      <x:c r="E1032">
        <x:f>IF(H1032=1,MAX(-'幕间与结算'!E939,MIN(D1032,IF(LEFT(C1032,3)="技能：",99,IF(COUNTIF($L$2:$L$7,C1032)&gt;0,18,999))-'幕间与结算'!E939)),0)</x:f>
        <x:v>0</x:v>
      </x:c>
      <x:c r="F1032" t="str">
        <x:f>IF(C1032=0,"",IF(G1032=0,"记录不完整",IF(H1032=0,"重复未计","已计入")))</x:f>
        <x:v/>
      </x:c>
      <x:c r="G1032">
        <x:f>IF(AND(AND('幕间与结算'!A939&lt;&gt;"",'幕间与结算'!B939&lt;&gt;"",'幕间与结算'!I939&lt;&gt;"",OR(LEFT(C1032,3)="技能：",COUNTIF($L$2:$L$19,C1032)&gt;0),ISNUMBER('幕间与结算'!E939),ISNUMBER('幕间与结算'!F939),ISNUMBER('幕间与结算'!G939),'幕间与结算'!E939&gt;=0,'幕间与结算'!G939='幕间与结算'!E939+'幕间与结算'!F939),OR(B1032&lt;&gt;"成长",AND(LEFT(C1032,3)="技能：",C1032&lt;&gt;"技能：非自然知识",'幕间与结算'!E939&gt;=1,'幕间与结算'!E939&lt;=99,'幕间与结算'!F939&gt;=0,'幕间与结算'!F939&lt;=4,'幕间与结算'!G939&lt;=99))),1,0)</x:f>
        <x:v>0</x:v>
      </x:c>
      <x:c r="H1032">
        <x:f>IF(AND(G1032=1,COUNTIFS($I$200:I1032,I1032,$G$200:G1032,1)=1),1,0)</x:f>
        <x:v>0</x:v>
      </x:c>
      <x:c r="I1032" t="str">
        <x:f>IF(G1032=1,IF(B1032="成长",A1032&amp;"-成长-"&amp;C1032,'幕间与结算'!I939),"")</x:f>
        <x:v/>
      </x:c>
      <x:c r="BF1032">
        <x:f>MAX(0,MIN(18,BF1031+IF(C1032="力量",E1032,0)))</x:f>
        <x:v>0</x:v>
      </x:c>
      <x:c r="BG1032">
        <x:f>MAX(0,MIN(18,BG1031+IF(C1032="体质",E1032,0)))</x:f>
        <x:v>0</x:v>
      </x:c>
      <x:c r="BH1032">
        <x:f>MAX(0,MIN(18,BH1031+IF(C1032="敏捷",E1032,0)))</x:f>
        <x:v>0</x:v>
      </x:c>
      <x:c r="BI1032">
        <x:f>MAX(0,MIN(18,BI1031+IF(C1032="智力",E1032,0)))</x:f>
        <x:v>0</x:v>
      </x:c>
      <x:c r="BJ1032">
        <x:f>MAX(0,MIN(18,BJ1031+IF(C1032="意志",E1032,0)))</x:f>
        <x:v>0</x:v>
      </x:c>
      <x:c r="BK1032">
        <x:f>MAX(0,MIN(18,BK1031+IF(C1032="魅力",E1032,0)))</x:f>
        <x:v>0</x:v>
      </x:c>
      <x:c r="BL1032">
        <x:f>MAX(0,MIN(99,BL1031+IF(C1032="技能：非自然知识",E1032,0)))</x:f>
        <x:v>0</x:v>
      </x:c>
      <x:c r="BM1032">
        <x:f>MAX(0,MIN(CEILING((BF1032+BG1032)/2,1),BM1031+IF(C1032="体力",E1032,0)))</x:f>
        <x:v>0</x:v>
      </x:c>
      <x:c r="BN1032">
        <x:f>MAX(0,MIN(BJ1032,BN1031+IF(C1032="毅力",E1032,0)))</x:f>
        <x:v>0</x:v>
      </x:c>
      <x:c r="BO1032">
        <x:f>MAX(0,MIN(99-BL1032,BO1031+IF(C1032="理智",E1032,0)))</x:f>
        <x:v>0</x:v>
      </x:c>
      <x:c r="BP1032">
        <x:f>MAX(0,MIN(99,BP1031+IF(C1032="崩溃点",E1032,0)))</x:f>
        <x:v>0</x:v>
      </x:c>
      <x:c r="BQ1032">
        <x:f>MAX(0,MIN(BK1032,IF(AND(H1032=1,C1032="重要关系1",LEFT('幕间与结算'!H939,8)="建立新的重要关系"),'幕间与结算'!E939+E1032,BQ1031+IF(C1032="重要关系1",E1032,0)+IF(AND(C1032="魅力",E1032&lt;0),E1032,0))))</x:f>
        <x:v>0</x:v>
      </x:c>
      <x:c r="BR1032">
        <x:f>MAX(0,MIN(BK1032,IF(AND(H1032=1,C1032="重要关系2",LEFT('幕间与结算'!H939,8)="建立新的重要关系"),'幕间与结算'!E939+E1032,BR1031+IF(C1032="重要关系2",E1032,0)+IF(AND(C1032="魅力",E1032&lt;0),E1032,0))))</x:f>
        <x:v>0</x:v>
      </x:c>
      <x:c r="BS1032">
        <x:f>MAX(0,MIN(BK1032,IF(AND(H1032=1,C1032="重要关系3",LEFT('幕间与结算'!H939,8)="建立新的重要关系"),'幕间与结算'!E939+E1032,BS1031+IF(C1032="重要关系3",E1032,0)+IF(AND(C1032="魅力",E1032&lt;0),E1032,0))))</x:f>
        <x:v>0</x:v>
      </x:c>
      <x:c r="BT1032">
        <x:f>MAX(0,MIN(BK1032,IF(AND(H1032=1,C1032="重要关系4",LEFT('幕间与结算'!H939,8)="建立新的重要关系"),'幕间与结算'!E939+E1032,BT1031+IF(C1032="重要关系4",E1032,0)+IF(AND(C1032="魅力",E1032&lt;0),E1032,0))))</x:f>
        <x:v>0</x:v>
      </x:c>
      <x:c r="BU1032">
        <x:f>MAX(0,MIN(BK1032,IF(AND(H1032=1,C1032="重要关系5",LEFT('幕间与结算'!H939,8)="建立新的重要关系"),'幕间与结算'!E939+E1032,BU1031+IF(C1032="重要关系5",E1032,0)+IF(AND(C1032="魅力",E1032&lt;0),E1032,0))))</x:f>
        <x:v>0</x:v>
      </x:c>
      <x:c r="BV1032">
        <x:f>MAX(0,MIN(BK1032,IF(AND(H1032=1,C1032="重要关系6",LEFT('幕间与结算'!H939,8)="建立新的重要关系"),'幕间与结算'!E939+E1032,BV1031+IF(C1032="重要关系6",E1032,0)+IF(AND(C1032="魅力",E1032&lt;0),E1032,0))))</x:f>
        <x:v>0</x:v>
      </x:c>
      <x:c r="BW1032">
        <x:f>MAX(0,MIN(BK1032,IF(AND(H1032=1,C1032="重要关系7",LEFT('幕间与结算'!H939,8)="建立新的重要关系"),'幕间与结算'!E939+E1032,BW1031+IF(C1032="重要关系7",E1032,0)+IF(AND(C1032="魅力",E1032&lt;0),E1032,0))))</x:f>
        <x:v>0</x:v>
      </x:c>
    </x:row>
    <x:row r="1033">
      <x:c r="A1033" t="str">
        <x:f>IFERROR(TEXT(VALUE('幕间与结算'!A940),"00"),"")</x:f>
        <x:v>00</x:v>
      </x:c>
      <x:c r="B1033">
        <x:f>'幕间与结算'!B940</x:f>
        <x:v>0</x:v>
      </x:c>
      <x:c r="C1033">
        <x:f>'幕间与结算'!D940</x:f>
        <x:v>0</x:v>
      </x:c>
      <x:c r="D1033">
        <x:f>'幕间与结算'!F940</x:f>
        <x:v>0</x:v>
      </x:c>
      <x:c r="E1033">
        <x:f>IF(H1033=1,MAX(-'幕间与结算'!E940,MIN(D1033,IF(LEFT(C1033,3)="技能：",99,IF(COUNTIF($L$2:$L$7,C1033)&gt;0,18,999))-'幕间与结算'!E940)),0)</x:f>
        <x:v>0</x:v>
      </x:c>
      <x:c r="F1033" t="str">
        <x:f>IF(C1033=0,"",IF(G1033=0,"记录不完整",IF(H1033=0,"重复未计","已计入")))</x:f>
        <x:v/>
      </x:c>
      <x:c r="G1033">
        <x:f>IF(AND(AND('幕间与结算'!A940&lt;&gt;"",'幕间与结算'!B940&lt;&gt;"",'幕间与结算'!I940&lt;&gt;"",OR(LEFT(C1033,3)="技能：",COUNTIF($L$2:$L$19,C1033)&gt;0),ISNUMBER('幕间与结算'!E940),ISNUMBER('幕间与结算'!F940),ISNUMBER('幕间与结算'!G940),'幕间与结算'!E940&gt;=0,'幕间与结算'!G940='幕间与结算'!E940+'幕间与结算'!F940),OR(B1033&lt;&gt;"成长",AND(LEFT(C1033,3)="技能：",C1033&lt;&gt;"技能：非自然知识",'幕间与结算'!E940&gt;=1,'幕间与结算'!E940&lt;=99,'幕间与结算'!F940&gt;=0,'幕间与结算'!F940&lt;=4,'幕间与结算'!G940&lt;=99))),1,0)</x:f>
        <x:v>0</x:v>
      </x:c>
      <x:c r="H1033">
        <x:f>IF(AND(G1033=1,COUNTIFS($I$200:I1033,I1033,$G$200:G1033,1)=1),1,0)</x:f>
        <x:v>0</x:v>
      </x:c>
      <x:c r="I1033" t="str">
        <x:f>IF(G1033=1,IF(B1033="成长",A1033&amp;"-成长-"&amp;C1033,'幕间与结算'!I940),"")</x:f>
        <x:v/>
      </x:c>
      <x:c r="BF1033">
        <x:f>MAX(0,MIN(18,BF1032+IF(C1033="力量",E1033,0)))</x:f>
        <x:v>0</x:v>
      </x:c>
      <x:c r="BG1033">
        <x:f>MAX(0,MIN(18,BG1032+IF(C1033="体质",E1033,0)))</x:f>
        <x:v>0</x:v>
      </x:c>
      <x:c r="BH1033">
        <x:f>MAX(0,MIN(18,BH1032+IF(C1033="敏捷",E1033,0)))</x:f>
        <x:v>0</x:v>
      </x:c>
      <x:c r="BI1033">
        <x:f>MAX(0,MIN(18,BI1032+IF(C1033="智力",E1033,0)))</x:f>
        <x:v>0</x:v>
      </x:c>
      <x:c r="BJ1033">
        <x:f>MAX(0,MIN(18,BJ1032+IF(C1033="意志",E1033,0)))</x:f>
        <x:v>0</x:v>
      </x:c>
      <x:c r="BK1033">
        <x:f>MAX(0,MIN(18,BK1032+IF(C1033="魅力",E1033,0)))</x:f>
        <x:v>0</x:v>
      </x:c>
      <x:c r="BL1033">
        <x:f>MAX(0,MIN(99,BL1032+IF(C1033="技能：非自然知识",E1033,0)))</x:f>
        <x:v>0</x:v>
      </x:c>
      <x:c r="BM1033">
        <x:f>MAX(0,MIN(CEILING((BF1033+BG1033)/2,1),BM1032+IF(C1033="体力",E1033,0)))</x:f>
        <x:v>0</x:v>
      </x:c>
      <x:c r="BN1033">
        <x:f>MAX(0,MIN(BJ1033,BN1032+IF(C1033="毅力",E1033,0)))</x:f>
        <x:v>0</x:v>
      </x:c>
      <x:c r="BO1033">
        <x:f>MAX(0,MIN(99-BL1033,BO1032+IF(C1033="理智",E1033,0)))</x:f>
        <x:v>0</x:v>
      </x:c>
      <x:c r="BP1033">
        <x:f>MAX(0,MIN(99,BP1032+IF(C1033="崩溃点",E1033,0)))</x:f>
        <x:v>0</x:v>
      </x:c>
      <x:c r="BQ1033">
        <x:f>MAX(0,MIN(BK1033,IF(AND(H1033=1,C1033="重要关系1",LEFT('幕间与结算'!H940,8)="建立新的重要关系"),'幕间与结算'!E940+E1033,BQ1032+IF(C1033="重要关系1",E1033,0)+IF(AND(C1033="魅力",E1033&lt;0),E1033,0))))</x:f>
        <x:v>0</x:v>
      </x:c>
      <x:c r="BR1033">
        <x:f>MAX(0,MIN(BK1033,IF(AND(H1033=1,C1033="重要关系2",LEFT('幕间与结算'!H940,8)="建立新的重要关系"),'幕间与结算'!E940+E1033,BR1032+IF(C1033="重要关系2",E1033,0)+IF(AND(C1033="魅力",E1033&lt;0),E1033,0))))</x:f>
        <x:v>0</x:v>
      </x:c>
      <x:c r="BS1033">
        <x:f>MAX(0,MIN(BK1033,IF(AND(H1033=1,C1033="重要关系3",LEFT('幕间与结算'!H940,8)="建立新的重要关系"),'幕间与结算'!E940+E1033,BS1032+IF(C1033="重要关系3",E1033,0)+IF(AND(C1033="魅力",E1033&lt;0),E1033,0))))</x:f>
        <x:v>0</x:v>
      </x:c>
      <x:c r="BT1033">
        <x:f>MAX(0,MIN(BK1033,IF(AND(H1033=1,C1033="重要关系4",LEFT('幕间与结算'!H940,8)="建立新的重要关系"),'幕间与结算'!E940+E1033,BT1032+IF(C1033="重要关系4",E1033,0)+IF(AND(C1033="魅力",E1033&lt;0),E1033,0))))</x:f>
        <x:v>0</x:v>
      </x:c>
      <x:c r="BU1033">
        <x:f>MAX(0,MIN(BK1033,IF(AND(H1033=1,C1033="重要关系5",LEFT('幕间与结算'!H940,8)="建立新的重要关系"),'幕间与结算'!E940+E1033,BU1032+IF(C1033="重要关系5",E1033,0)+IF(AND(C1033="魅力",E1033&lt;0),E1033,0))))</x:f>
        <x:v>0</x:v>
      </x:c>
      <x:c r="BV1033">
        <x:f>MAX(0,MIN(BK1033,IF(AND(H1033=1,C1033="重要关系6",LEFT('幕间与结算'!H940,8)="建立新的重要关系"),'幕间与结算'!E940+E1033,BV1032+IF(C1033="重要关系6",E1033,0)+IF(AND(C1033="魅力",E1033&lt;0),E1033,0))))</x:f>
        <x:v>0</x:v>
      </x:c>
      <x:c r="BW1033">
        <x:f>MAX(0,MIN(BK1033,IF(AND(H1033=1,C1033="重要关系7",LEFT('幕间与结算'!H940,8)="建立新的重要关系"),'幕间与结算'!E940+E1033,BW1032+IF(C1033="重要关系7",E1033,0)+IF(AND(C1033="魅力",E1033&lt;0),E1033,0))))</x:f>
        <x:v>0</x:v>
      </x:c>
    </x:row>
    <x:row r="1034">
      <x:c r="A1034" t="str">
        <x:f>IFERROR(TEXT(VALUE('幕间与结算'!A941),"00"),"")</x:f>
        <x:v>00</x:v>
      </x:c>
      <x:c r="B1034">
        <x:f>'幕间与结算'!B941</x:f>
        <x:v>0</x:v>
      </x:c>
      <x:c r="C1034">
        <x:f>'幕间与结算'!D941</x:f>
        <x:v>0</x:v>
      </x:c>
      <x:c r="D1034">
        <x:f>'幕间与结算'!F941</x:f>
        <x:v>0</x:v>
      </x:c>
      <x:c r="E1034">
        <x:f>IF(H1034=1,MAX(-'幕间与结算'!E941,MIN(D1034,IF(LEFT(C1034,3)="技能：",99,IF(COUNTIF($L$2:$L$7,C1034)&gt;0,18,999))-'幕间与结算'!E941)),0)</x:f>
        <x:v>0</x:v>
      </x:c>
      <x:c r="F1034" t="str">
        <x:f>IF(C1034=0,"",IF(G1034=0,"记录不完整",IF(H1034=0,"重复未计","已计入")))</x:f>
        <x:v/>
      </x:c>
      <x:c r="G1034">
        <x:f>IF(AND(AND('幕间与结算'!A941&lt;&gt;"",'幕间与结算'!B941&lt;&gt;"",'幕间与结算'!I941&lt;&gt;"",OR(LEFT(C1034,3)="技能：",COUNTIF($L$2:$L$19,C1034)&gt;0),ISNUMBER('幕间与结算'!E941),ISNUMBER('幕间与结算'!F941),ISNUMBER('幕间与结算'!G941),'幕间与结算'!E941&gt;=0,'幕间与结算'!G941='幕间与结算'!E941+'幕间与结算'!F941),OR(B1034&lt;&gt;"成长",AND(LEFT(C1034,3)="技能：",C1034&lt;&gt;"技能：非自然知识",'幕间与结算'!E941&gt;=1,'幕间与结算'!E941&lt;=99,'幕间与结算'!F941&gt;=0,'幕间与结算'!F941&lt;=4,'幕间与结算'!G941&lt;=99))),1,0)</x:f>
        <x:v>0</x:v>
      </x:c>
      <x:c r="H1034">
        <x:f>IF(AND(G1034=1,COUNTIFS($I$200:I1034,I1034,$G$200:G1034,1)=1),1,0)</x:f>
        <x:v>0</x:v>
      </x:c>
      <x:c r="I1034" t="str">
        <x:f>IF(G1034=1,IF(B1034="成长",A1034&amp;"-成长-"&amp;C1034,'幕间与结算'!I941),"")</x:f>
        <x:v/>
      </x:c>
      <x:c r="BF1034">
        <x:f>MAX(0,MIN(18,BF1033+IF(C1034="力量",E1034,0)))</x:f>
        <x:v>0</x:v>
      </x:c>
      <x:c r="BG1034">
        <x:f>MAX(0,MIN(18,BG1033+IF(C1034="体质",E1034,0)))</x:f>
        <x:v>0</x:v>
      </x:c>
      <x:c r="BH1034">
        <x:f>MAX(0,MIN(18,BH1033+IF(C1034="敏捷",E1034,0)))</x:f>
        <x:v>0</x:v>
      </x:c>
      <x:c r="BI1034">
        <x:f>MAX(0,MIN(18,BI1033+IF(C1034="智力",E1034,0)))</x:f>
        <x:v>0</x:v>
      </x:c>
      <x:c r="BJ1034">
        <x:f>MAX(0,MIN(18,BJ1033+IF(C1034="意志",E1034,0)))</x:f>
        <x:v>0</x:v>
      </x:c>
      <x:c r="BK1034">
        <x:f>MAX(0,MIN(18,BK1033+IF(C1034="魅力",E1034,0)))</x:f>
        <x:v>0</x:v>
      </x:c>
      <x:c r="BL1034">
        <x:f>MAX(0,MIN(99,BL1033+IF(C1034="技能：非自然知识",E1034,0)))</x:f>
        <x:v>0</x:v>
      </x:c>
      <x:c r="BM1034">
        <x:f>MAX(0,MIN(CEILING((BF1034+BG1034)/2,1),BM1033+IF(C1034="体力",E1034,0)))</x:f>
        <x:v>0</x:v>
      </x:c>
      <x:c r="BN1034">
        <x:f>MAX(0,MIN(BJ1034,BN1033+IF(C1034="毅力",E1034,0)))</x:f>
        <x:v>0</x:v>
      </x:c>
      <x:c r="BO1034">
        <x:f>MAX(0,MIN(99-BL1034,BO1033+IF(C1034="理智",E1034,0)))</x:f>
        <x:v>0</x:v>
      </x:c>
      <x:c r="BP1034">
        <x:f>MAX(0,MIN(99,BP1033+IF(C1034="崩溃点",E1034,0)))</x:f>
        <x:v>0</x:v>
      </x:c>
      <x:c r="BQ1034">
        <x:f>MAX(0,MIN(BK1034,IF(AND(H1034=1,C1034="重要关系1",LEFT('幕间与结算'!H941,8)="建立新的重要关系"),'幕间与结算'!E941+E1034,BQ1033+IF(C1034="重要关系1",E1034,0)+IF(AND(C1034="魅力",E1034&lt;0),E1034,0))))</x:f>
        <x:v>0</x:v>
      </x:c>
      <x:c r="BR1034">
        <x:f>MAX(0,MIN(BK1034,IF(AND(H1034=1,C1034="重要关系2",LEFT('幕间与结算'!H941,8)="建立新的重要关系"),'幕间与结算'!E941+E1034,BR1033+IF(C1034="重要关系2",E1034,0)+IF(AND(C1034="魅力",E1034&lt;0),E1034,0))))</x:f>
        <x:v>0</x:v>
      </x:c>
      <x:c r="BS1034">
        <x:f>MAX(0,MIN(BK1034,IF(AND(H1034=1,C1034="重要关系3",LEFT('幕间与结算'!H941,8)="建立新的重要关系"),'幕间与结算'!E941+E1034,BS1033+IF(C1034="重要关系3",E1034,0)+IF(AND(C1034="魅力",E1034&lt;0),E1034,0))))</x:f>
        <x:v>0</x:v>
      </x:c>
      <x:c r="BT1034">
        <x:f>MAX(0,MIN(BK1034,IF(AND(H1034=1,C1034="重要关系4",LEFT('幕间与结算'!H941,8)="建立新的重要关系"),'幕间与结算'!E941+E1034,BT1033+IF(C1034="重要关系4",E1034,0)+IF(AND(C1034="魅力",E1034&lt;0),E1034,0))))</x:f>
        <x:v>0</x:v>
      </x:c>
      <x:c r="BU1034">
        <x:f>MAX(0,MIN(BK1034,IF(AND(H1034=1,C1034="重要关系5",LEFT('幕间与结算'!H941,8)="建立新的重要关系"),'幕间与结算'!E941+E1034,BU1033+IF(C1034="重要关系5",E1034,0)+IF(AND(C1034="魅力",E1034&lt;0),E1034,0))))</x:f>
        <x:v>0</x:v>
      </x:c>
      <x:c r="BV1034">
        <x:f>MAX(0,MIN(BK1034,IF(AND(H1034=1,C1034="重要关系6",LEFT('幕间与结算'!H941,8)="建立新的重要关系"),'幕间与结算'!E941+E1034,BV1033+IF(C1034="重要关系6",E1034,0)+IF(AND(C1034="魅力",E1034&lt;0),E1034,0))))</x:f>
        <x:v>0</x:v>
      </x:c>
      <x:c r="BW1034">
        <x:f>MAX(0,MIN(BK1034,IF(AND(H1034=1,C1034="重要关系7",LEFT('幕间与结算'!H941,8)="建立新的重要关系"),'幕间与结算'!E941+E1034,BW1033+IF(C1034="重要关系7",E1034,0)+IF(AND(C1034="魅力",E1034&lt;0),E1034,0))))</x:f>
        <x:v>0</x:v>
      </x:c>
    </x:row>
    <x:row r="1035">
      <x:c r="A1035" t="str">
        <x:f>IFERROR(TEXT(VALUE('幕间与结算'!A942),"00"),"")</x:f>
        <x:v>00</x:v>
      </x:c>
      <x:c r="B1035">
        <x:f>'幕间与结算'!B942</x:f>
        <x:v>0</x:v>
      </x:c>
      <x:c r="C1035">
        <x:f>'幕间与结算'!D942</x:f>
        <x:v>0</x:v>
      </x:c>
      <x:c r="D1035">
        <x:f>'幕间与结算'!F942</x:f>
        <x:v>0</x:v>
      </x:c>
      <x:c r="E1035">
        <x:f>IF(H1035=1,MAX(-'幕间与结算'!E942,MIN(D1035,IF(LEFT(C1035,3)="技能：",99,IF(COUNTIF($L$2:$L$7,C1035)&gt;0,18,999))-'幕间与结算'!E942)),0)</x:f>
        <x:v>0</x:v>
      </x:c>
      <x:c r="F1035" t="str">
        <x:f>IF(C1035=0,"",IF(G1035=0,"记录不完整",IF(H1035=0,"重复未计","已计入")))</x:f>
        <x:v/>
      </x:c>
      <x:c r="G1035">
        <x:f>IF(AND(AND('幕间与结算'!A942&lt;&gt;"",'幕间与结算'!B942&lt;&gt;"",'幕间与结算'!I942&lt;&gt;"",OR(LEFT(C1035,3)="技能：",COUNTIF($L$2:$L$19,C1035)&gt;0),ISNUMBER('幕间与结算'!E942),ISNUMBER('幕间与结算'!F942),ISNUMBER('幕间与结算'!G942),'幕间与结算'!E942&gt;=0,'幕间与结算'!G942='幕间与结算'!E942+'幕间与结算'!F942),OR(B1035&lt;&gt;"成长",AND(LEFT(C1035,3)="技能：",C1035&lt;&gt;"技能：非自然知识",'幕间与结算'!E942&gt;=1,'幕间与结算'!E942&lt;=99,'幕间与结算'!F942&gt;=0,'幕间与结算'!F942&lt;=4,'幕间与结算'!G942&lt;=99))),1,0)</x:f>
        <x:v>0</x:v>
      </x:c>
      <x:c r="H1035">
        <x:f>IF(AND(G1035=1,COUNTIFS($I$200:I1035,I1035,$G$200:G1035,1)=1),1,0)</x:f>
        <x:v>0</x:v>
      </x:c>
      <x:c r="I1035" t="str">
        <x:f>IF(G1035=1,IF(B1035="成长",A1035&amp;"-成长-"&amp;C1035,'幕间与结算'!I942),"")</x:f>
        <x:v/>
      </x:c>
      <x:c r="BF1035">
        <x:f>MAX(0,MIN(18,BF1034+IF(C1035="力量",E1035,0)))</x:f>
        <x:v>0</x:v>
      </x:c>
      <x:c r="BG1035">
        <x:f>MAX(0,MIN(18,BG1034+IF(C1035="体质",E1035,0)))</x:f>
        <x:v>0</x:v>
      </x:c>
      <x:c r="BH1035">
        <x:f>MAX(0,MIN(18,BH1034+IF(C1035="敏捷",E1035,0)))</x:f>
        <x:v>0</x:v>
      </x:c>
      <x:c r="BI1035">
        <x:f>MAX(0,MIN(18,BI1034+IF(C1035="智力",E1035,0)))</x:f>
        <x:v>0</x:v>
      </x:c>
      <x:c r="BJ1035">
        <x:f>MAX(0,MIN(18,BJ1034+IF(C1035="意志",E1035,0)))</x:f>
        <x:v>0</x:v>
      </x:c>
      <x:c r="BK1035">
        <x:f>MAX(0,MIN(18,BK1034+IF(C1035="魅力",E1035,0)))</x:f>
        <x:v>0</x:v>
      </x:c>
      <x:c r="BL1035">
        <x:f>MAX(0,MIN(99,BL1034+IF(C1035="技能：非自然知识",E1035,0)))</x:f>
        <x:v>0</x:v>
      </x:c>
      <x:c r="BM1035">
        <x:f>MAX(0,MIN(CEILING((BF1035+BG1035)/2,1),BM1034+IF(C1035="体力",E1035,0)))</x:f>
        <x:v>0</x:v>
      </x:c>
      <x:c r="BN1035">
        <x:f>MAX(0,MIN(BJ1035,BN1034+IF(C1035="毅力",E1035,0)))</x:f>
        <x:v>0</x:v>
      </x:c>
      <x:c r="BO1035">
        <x:f>MAX(0,MIN(99-BL1035,BO1034+IF(C1035="理智",E1035,0)))</x:f>
        <x:v>0</x:v>
      </x:c>
      <x:c r="BP1035">
        <x:f>MAX(0,MIN(99,BP1034+IF(C1035="崩溃点",E1035,0)))</x:f>
        <x:v>0</x:v>
      </x:c>
      <x:c r="BQ1035">
        <x:f>MAX(0,MIN(BK1035,IF(AND(H1035=1,C1035="重要关系1",LEFT('幕间与结算'!H942,8)="建立新的重要关系"),'幕间与结算'!E942+E1035,BQ1034+IF(C1035="重要关系1",E1035,0)+IF(AND(C1035="魅力",E1035&lt;0),E1035,0))))</x:f>
        <x:v>0</x:v>
      </x:c>
      <x:c r="BR1035">
        <x:f>MAX(0,MIN(BK1035,IF(AND(H1035=1,C1035="重要关系2",LEFT('幕间与结算'!H942,8)="建立新的重要关系"),'幕间与结算'!E942+E1035,BR1034+IF(C1035="重要关系2",E1035,0)+IF(AND(C1035="魅力",E1035&lt;0),E1035,0))))</x:f>
        <x:v>0</x:v>
      </x:c>
      <x:c r="BS1035">
        <x:f>MAX(0,MIN(BK1035,IF(AND(H1035=1,C1035="重要关系3",LEFT('幕间与结算'!H942,8)="建立新的重要关系"),'幕间与结算'!E942+E1035,BS1034+IF(C1035="重要关系3",E1035,0)+IF(AND(C1035="魅力",E1035&lt;0),E1035,0))))</x:f>
        <x:v>0</x:v>
      </x:c>
      <x:c r="BT1035">
        <x:f>MAX(0,MIN(BK1035,IF(AND(H1035=1,C1035="重要关系4",LEFT('幕间与结算'!H942,8)="建立新的重要关系"),'幕间与结算'!E942+E1035,BT1034+IF(C1035="重要关系4",E1035,0)+IF(AND(C1035="魅力",E1035&lt;0),E1035,0))))</x:f>
        <x:v>0</x:v>
      </x:c>
      <x:c r="BU1035">
        <x:f>MAX(0,MIN(BK1035,IF(AND(H1035=1,C1035="重要关系5",LEFT('幕间与结算'!H942,8)="建立新的重要关系"),'幕间与结算'!E942+E1035,BU1034+IF(C1035="重要关系5",E1035,0)+IF(AND(C1035="魅力",E1035&lt;0),E1035,0))))</x:f>
        <x:v>0</x:v>
      </x:c>
      <x:c r="BV1035">
        <x:f>MAX(0,MIN(BK1035,IF(AND(H1035=1,C1035="重要关系6",LEFT('幕间与结算'!H942,8)="建立新的重要关系"),'幕间与结算'!E942+E1035,BV1034+IF(C1035="重要关系6",E1035,0)+IF(AND(C1035="魅力",E1035&lt;0),E1035,0))))</x:f>
        <x:v>0</x:v>
      </x:c>
      <x:c r="BW1035">
        <x:f>MAX(0,MIN(BK1035,IF(AND(H1035=1,C1035="重要关系7",LEFT('幕间与结算'!H942,8)="建立新的重要关系"),'幕间与结算'!E942+E1035,BW1034+IF(C1035="重要关系7",E1035,0)+IF(AND(C1035="魅力",E1035&lt;0),E1035,0))))</x:f>
        <x:v>0</x:v>
      </x:c>
    </x:row>
    <x:row r="1036">
      <x:c r="A1036" t="str">
        <x:f>IFERROR(TEXT(VALUE('幕间与结算'!A943),"00"),"")</x:f>
        <x:v>00</x:v>
      </x:c>
      <x:c r="B1036">
        <x:f>'幕间与结算'!B943</x:f>
        <x:v>0</x:v>
      </x:c>
      <x:c r="C1036">
        <x:f>'幕间与结算'!D943</x:f>
        <x:v>0</x:v>
      </x:c>
      <x:c r="D1036">
        <x:f>'幕间与结算'!F943</x:f>
        <x:v>0</x:v>
      </x:c>
      <x:c r="E1036">
        <x:f>IF(H1036=1,MAX(-'幕间与结算'!E943,MIN(D1036,IF(LEFT(C1036,3)="技能：",99,IF(COUNTIF($L$2:$L$7,C1036)&gt;0,18,999))-'幕间与结算'!E943)),0)</x:f>
        <x:v>0</x:v>
      </x:c>
      <x:c r="F1036" t="str">
        <x:f>IF(C1036=0,"",IF(G1036=0,"记录不完整",IF(H1036=0,"重复未计","已计入")))</x:f>
        <x:v/>
      </x:c>
      <x:c r="G1036">
        <x:f>IF(AND(AND('幕间与结算'!A943&lt;&gt;"",'幕间与结算'!B943&lt;&gt;"",'幕间与结算'!I943&lt;&gt;"",OR(LEFT(C1036,3)="技能：",COUNTIF($L$2:$L$19,C1036)&gt;0),ISNUMBER('幕间与结算'!E943),ISNUMBER('幕间与结算'!F943),ISNUMBER('幕间与结算'!G943),'幕间与结算'!E943&gt;=0,'幕间与结算'!G943='幕间与结算'!E943+'幕间与结算'!F943),OR(B1036&lt;&gt;"成长",AND(LEFT(C1036,3)="技能：",C1036&lt;&gt;"技能：非自然知识",'幕间与结算'!E943&gt;=1,'幕间与结算'!E943&lt;=99,'幕间与结算'!F943&gt;=0,'幕间与结算'!F943&lt;=4,'幕间与结算'!G943&lt;=99))),1,0)</x:f>
        <x:v>0</x:v>
      </x:c>
      <x:c r="H1036">
        <x:f>IF(AND(G1036=1,COUNTIFS($I$200:I1036,I1036,$G$200:G1036,1)=1),1,0)</x:f>
        <x:v>0</x:v>
      </x:c>
      <x:c r="I1036" t="str">
        <x:f>IF(G1036=1,IF(B1036="成长",A1036&amp;"-成长-"&amp;C1036,'幕间与结算'!I943),"")</x:f>
        <x:v/>
      </x:c>
      <x:c r="BF1036">
        <x:f>MAX(0,MIN(18,BF1035+IF(C1036="力量",E1036,0)))</x:f>
        <x:v>0</x:v>
      </x:c>
      <x:c r="BG1036">
        <x:f>MAX(0,MIN(18,BG1035+IF(C1036="体质",E1036,0)))</x:f>
        <x:v>0</x:v>
      </x:c>
      <x:c r="BH1036">
        <x:f>MAX(0,MIN(18,BH1035+IF(C1036="敏捷",E1036,0)))</x:f>
        <x:v>0</x:v>
      </x:c>
      <x:c r="BI1036">
        <x:f>MAX(0,MIN(18,BI1035+IF(C1036="智力",E1036,0)))</x:f>
        <x:v>0</x:v>
      </x:c>
      <x:c r="BJ1036">
        <x:f>MAX(0,MIN(18,BJ1035+IF(C1036="意志",E1036,0)))</x:f>
        <x:v>0</x:v>
      </x:c>
      <x:c r="BK1036">
        <x:f>MAX(0,MIN(18,BK1035+IF(C1036="魅力",E1036,0)))</x:f>
        <x:v>0</x:v>
      </x:c>
      <x:c r="BL1036">
        <x:f>MAX(0,MIN(99,BL1035+IF(C1036="技能：非自然知识",E1036,0)))</x:f>
        <x:v>0</x:v>
      </x:c>
      <x:c r="BM1036">
        <x:f>MAX(0,MIN(CEILING((BF1036+BG1036)/2,1),BM1035+IF(C1036="体力",E1036,0)))</x:f>
        <x:v>0</x:v>
      </x:c>
      <x:c r="BN1036">
        <x:f>MAX(0,MIN(BJ1036,BN1035+IF(C1036="毅力",E1036,0)))</x:f>
        <x:v>0</x:v>
      </x:c>
      <x:c r="BO1036">
        <x:f>MAX(0,MIN(99-BL1036,BO1035+IF(C1036="理智",E1036,0)))</x:f>
        <x:v>0</x:v>
      </x:c>
      <x:c r="BP1036">
        <x:f>MAX(0,MIN(99,BP1035+IF(C1036="崩溃点",E1036,0)))</x:f>
        <x:v>0</x:v>
      </x:c>
      <x:c r="BQ1036">
        <x:f>MAX(0,MIN(BK1036,IF(AND(H1036=1,C1036="重要关系1",LEFT('幕间与结算'!H943,8)="建立新的重要关系"),'幕间与结算'!E943+E1036,BQ1035+IF(C1036="重要关系1",E1036,0)+IF(AND(C1036="魅力",E1036&lt;0),E1036,0))))</x:f>
        <x:v>0</x:v>
      </x:c>
      <x:c r="BR1036">
        <x:f>MAX(0,MIN(BK1036,IF(AND(H1036=1,C1036="重要关系2",LEFT('幕间与结算'!H943,8)="建立新的重要关系"),'幕间与结算'!E943+E1036,BR1035+IF(C1036="重要关系2",E1036,0)+IF(AND(C1036="魅力",E1036&lt;0),E1036,0))))</x:f>
        <x:v>0</x:v>
      </x:c>
      <x:c r="BS1036">
        <x:f>MAX(0,MIN(BK1036,IF(AND(H1036=1,C1036="重要关系3",LEFT('幕间与结算'!H943,8)="建立新的重要关系"),'幕间与结算'!E943+E1036,BS1035+IF(C1036="重要关系3",E1036,0)+IF(AND(C1036="魅力",E1036&lt;0),E1036,0))))</x:f>
        <x:v>0</x:v>
      </x:c>
      <x:c r="BT1036">
        <x:f>MAX(0,MIN(BK1036,IF(AND(H1036=1,C1036="重要关系4",LEFT('幕间与结算'!H943,8)="建立新的重要关系"),'幕间与结算'!E943+E1036,BT1035+IF(C1036="重要关系4",E1036,0)+IF(AND(C1036="魅力",E1036&lt;0),E1036,0))))</x:f>
        <x:v>0</x:v>
      </x:c>
      <x:c r="BU1036">
        <x:f>MAX(0,MIN(BK1036,IF(AND(H1036=1,C1036="重要关系5",LEFT('幕间与结算'!H943,8)="建立新的重要关系"),'幕间与结算'!E943+E1036,BU1035+IF(C1036="重要关系5",E1036,0)+IF(AND(C1036="魅力",E1036&lt;0),E1036,0))))</x:f>
        <x:v>0</x:v>
      </x:c>
      <x:c r="BV1036">
        <x:f>MAX(0,MIN(BK1036,IF(AND(H1036=1,C1036="重要关系6",LEFT('幕间与结算'!H943,8)="建立新的重要关系"),'幕间与结算'!E943+E1036,BV1035+IF(C1036="重要关系6",E1036,0)+IF(AND(C1036="魅力",E1036&lt;0),E1036,0))))</x:f>
        <x:v>0</x:v>
      </x:c>
      <x:c r="BW1036">
        <x:f>MAX(0,MIN(BK1036,IF(AND(H1036=1,C1036="重要关系7",LEFT('幕间与结算'!H943,8)="建立新的重要关系"),'幕间与结算'!E943+E1036,BW1035+IF(C1036="重要关系7",E1036,0)+IF(AND(C1036="魅力",E1036&lt;0),E1036,0))))</x:f>
        <x:v>0</x:v>
      </x:c>
    </x:row>
    <x:row r="1037">
      <x:c r="A1037" t="str">
        <x:f>IFERROR(TEXT(VALUE('幕间与结算'!A944),"00"),"")</x:f>
        <x:v>00</x:v>
      </x:c>
      <x:c r="B1037">
        <x:f>'幕间与结算'!B944</x:f>
        <x:v>0</x:v>
      </x:c>
      <x:c r="C1037">
        <x:f>'幕间与结算'!D944</x:f>
        <x:v>0</x:v>
      </x:c>
      <x:c r="D1037">
        <x:f>'幕间与结算'!F944</x:f>
        <x:v>0</x:v>
      </x:c>
      <x:c r="E1037">
        <x:f>IF(H1037=1,MAX(-'幕间与结算'!E944,MIN(D1037,IF(LEFT(C1037,3)="技能：",99,IF(COUNTIF($L$2:$L$7,C1037)&gt;0,18,999))-'幕间与结算'!E944)),0)</x:f>
        <x:v>0</x:v>
      </x:c>
      <x:c r="F1037" t="str">
        <x:f>IF(C1037=0,"",IF(G1037=0,"记录不完整",IF(H1037=0,"重复未计","已计入")))</x:f>
        <x:v/>
      </x:c>
      <x:c r="G1037">
        <x:f>IF(AND(AND('幕间与结算'!A944&lt;&gt;"",'幕间与结算'!B944&lt;&gt;"",'幕间与结算'!I944&lt;&gt;"",OR(LEFT(C1037,3)="技能：",COUNTIF($L$2:$L$19,C1037)&gt;0),ISNUMBER('幕间与结算'!E944),ISNUMBER('幕间与结算'!F944),ISNUMBER('幕间与结算'!G944),'幕间与结算'!E944&gt;=0,'幕间与结算'!G944='幕间与结算'!E944+'幕间与结算'!F944),OR(B1037&lt;&gt;"成长",AND(LEFT(C1037,3)="技能：",C1037&lt;&gt;"技能：非自然知识",'幕间与结算'!E944&gt;=1,'幕间与结算'!E944&lt;=99,'幕间与结算'!F944&gt;=0,'幕间与结算'!F944&lt;=4,'幕间与结算'!G944&lt;=99))),1,0)</x:f>
        <x:v>0</x:v>
      </x:c>
      <x:c r="H1037">
        <x:f>IF(AND(G1037=1,COUNTIFS($I$200:I1037,I1037,$G$200:G1037,1)=1),1,0)</x:f>
        <x:v>0</x:v>
      </x:c>
      <x:c r="I1037" t="str">
        <x:f>IF(G1037=1,IF(B1037="成长",A1037&amp;"-成长-"&amp;C1037,'幕间与结算'!I944),"")</x:f>
        <x:v/>
      </x:c>
      <x:c r="BF1037">
        <x:f>MAX(0,MIN(18,BF1036+IF(C1037="力量",E1037,0)))</x:f>
        <x:v>0</x:v>
      </x:c>
      <x:c r="BG1037">
        <x:f>MAX(0,MIN(18,BG1036+IF(C1037="体质",E1037,0)))</x:f>
        <x:v>0</x:v>
      </x:c>
      <x:c r="BH1037">
        <x:f>MAX(0,MIN(18,BH1036+IF(C1037="敏捷",E1037,0)))</x:f>
        <x:v>0</x:v>
      </x:c>
      <x:c r="BI1037">
        <x:f>MAX(0,MIN(18,BI1036+IF(C1037="智力",E1037,0)))</x:f>
        <x:v>0</x:v>
      </x:c>
      <x:c r="BJ1037">
        <x:f>MAX(0,MIN(18,BJ1036+IF(C1037="意志",E1037,0)))</x:f>
        <x:v>0</x:v>
      </x:c>
      <x:c r="BK1037">
        <x:f>MAX(0,MIN(18,BK1036+IF(C1037="魅力",E1037,0)))</x:f>
        <x:v>0</x:v>
      </x:c>
      <x:c r="BL1037">
        <x:f>MAX(0,MIN(99,BL1036+IF(C1037="技能：非自然知识",E1037,0)))</x:f>
        <x:v>0</x:v>
      </x:c>
      <x:c r="BM1037">
        <x:f>MAX(0,MIN(CEILING((BF1037+BG1037)/2,1),BM1036+IF(C1037="体力",E1037,0)))</x:f>
        <x:v>0</x:v>
      </x:c>
      <x:c r="BN1037">
        <x:f>MAX(0,MIN(BJ1037,BN1036+IF(C1037="毅力",E1037,0)))</x:f>
        <x:v>0</x:v>
      </x:c>
      <x:c r="BO1037">
        <x:f>MAX(0,MIN(99-BL1037,BO1036+IF(C1037="理智",E1037,0)))</x:f>
        <x:v>0</x:v>
      </x:c>
      <x:c r="BP1037">
        <x:f>MAX(0,MIN(99,BP1036+IF(C1037="崩溃点",E1037,0)))</x:f>
        <x:v>0</x:v>
      </x:c>
      <x:c r="BQ1037">
        <x:f>MAX(0,MIN(BK1037,IF(AND(H1037=1,C1037="重要关系1",LEFT('幕间与结算'!H944,8)="建立新的重要关系"),'幕间与结算'!E944+E1037,BQ1036+IF(C1037="重要关系1",E1037,0)+IF(AND(C1037="魅力",E1037&lt;0),E1037,0))))</x:f>
        <x:v>0</x:v>
      </x:c>
      <x:c r="BR1037">
        <x:f>MAX(0,MIN(BK1037,IF(AND(H1037=1,C1037="重要关系2",LEFT('幕间与结算'!H944,8)="建立新的重要关系"),'幕间与结算'!E944+E1037,BR1036+IF(C1037="重要关系2",E1037,0)+IF(AND(C1037="魅力",E1037&lt;0),E1037,0))))</x:f>
        <x:v>0</x:v>
      </x:c>
      <x:c r="BS1037">
        <x:f>MAX(0,MIN(BK1037,IF(AND(H1037=1,C1037="重要关系3",LEFT('幕间与结算'!H944,8)="建立新的重要关系"),'幕间与结算'!E944+E1037,BS1036+IF(C1037="重要关系3",E1037,0)+IF(AND(C1037="魅力",E1037&lt;0),E1037,0))))</x:f>
        <x:v>0</x:v>
      </x:c>
      <x:c r="BT1037">
        <x:f>MAX(0,MIN(BK1037,IF(AND(H1037=1,C1037="重要关系4",LEFT('幕间与结算'!H944,8)="建立新的重要关系"),'幕间与结算'!E944+E1037,BT1036+IF(C1037="重要关系4",E1037,0)+IF(AND(C1037="魅力",E1037&lt;0),E1037,0))))</x:f>
        <x:v>0</x:v>
      </x:c>
      <x:c r="BU1037">
        <x:f>MAX(0,MIN(BK1037,IF(AND(H1037=1,C1037="重要关系5",LEFT('幕间与结算'!H944,8)="建立新的重要关系"),'幕间与结算'!E944+E1037,BU1036+IF(C1037="重要关系5",E1037,0)+IF(AND(C1037="魅力",E1037&lt;0),E1037,0))))</x:f>
        <x:v>0</x:v>
      </x:c>
      <x:c r="BV1037">
        <x:f>MAX(0,MIN(BK1037,IF(AND(H1037=1,C1037="重要关系6",LEFT('幕间与结算'!H944,8)="建立新的重要关系"),'幕间与结算'!E944+E1037,BV1036+IF(C1037="重要关系6",E1037,0)+IF(AND(C1037="魅力",E1037&lt;0),E1037,0))))</x:f>
        <x:v>0</x:v>
      </x:c>
      <x:c r="BW1037">
        <x:f>MAX(0,MIN(BK1037,IF(AND(H1037=1,C1037="重要关系7",LEFT('幕间与结算'!H944,8)="建立新的重要关系"),'幕间与结算'!E944+E1037,BW1036+IF(C1037="重要关系7",E1037,0)+IF(AND(C1037="魅力",E1037&lt;0),E1037,0))))</x:f>
        <x:v>0</x:v>
      </x:c>
    </x:row>
    <x:row r="1038">
      <x:c r="A1038" t="str">
        <x:f>IFERROR(TEXT(VALUE('幕间与结算'!A945),"00"),"")</x:f>
        <x:v>00</x:v>
      </x:c>
      <x:c r="B1038">
        <x:f>'幕间与结算'!B945</x:f>
        <x:v>0</x:v>
      </x:c>
      <x:c r="C1038">
        <x:f>'幕间与结算'!D945</x:f>
        <x:v>0</x:v>
      </x:c>
      <x:c r="D1038">
        <x:f>'幕间与结算'!F945</x:f>
        <x:v>0</x:v>
      </x:c>
      <x:c r="E1038">
        <x:f>IF(H1038=1,MAX(-'幕间与结算'!E945,MIN(D1038,IF(LEFT(C1038,3)="技能：",99,IF(COUNTIF($L$2:$L$7,C1038)&gt;0,18,999))-'幕间与结算'!E945)),0)</x:f>
        <x:v>0</x:v>
      </x:c>
      <x:c r="F1038" t="str">
        <x:f>IF(C1038=0,"",IF(G1038=0,"记录不完整",IF(H1038=0,"重复未计","已计入")))</x:f>
        <x:v/>
      </x:c>
      <x:c r="G1038">
        <x:f>IF(AND(AND('幕间与结算'!A945&lt;&gt;"",'幕间与结算'!B945&lt;&gt;"",'幕间与结算'!I945&lt;&gt;"",OR(LEFT(C1038,3)="技能：",COUNTIF($L$2:$L$19,C1038)&gt;0),ISNUMBER('幕间与结算'!E945),ISNUMBER('幕间与结算'!F945),ISNUMBER('幕间与结算'!G945),'幕间与结算'!E945&gt;=0,'幕间与结算'!G945='幕间与结算'!E945+'幕间与结算'!F945),OR(B1038&lt;&gt;"成长",AND(LEFT(C1038,3)="技能：",C1038&lt;&gt;"技能：非自然知识",'幕间与结算'!E945&gt;=1,'幕间与结算'!E945&lt;=99,'幕间与结算'!F945&gt;=0,'幕间与结算'!F945&lt;=4,'幕间与结算'!G945&lt;=99))),1,0)</x:f>
        <x:v>0</x:v>
      </x:c>
      <x:c r="H1038">
        <x:f>IF(AND(G1038=1,COUNTIFS($I$200:I1038,I1038,$G$200:G1038,1)=1),1,0)</x:f>
        <x:v>0</x:v>
      </x:c>
      <x:c r="I1038" t="str">
        <x:f>IF(G1038=1,IF(B1038="成长",A1038&amp;"-成长-"&amp;C1038,'幕间与结算'!I945),"")</x:f>
        <x:v/>
      </x:c>
      <x:c r="BF1038">
        <x:f>MAX(0,MIN(18,BF1037+IF(C1038="力量",E1038,0)))</x:f>
        <x:v>0</x:v>
      </x:c>
      <x:c r="BG1038">
        <x:f>MAX(0,MIN(18,BG1037+IF(C1038="体质",E1038,0)))</x:f>
        <x:v>0</x:v>
      </x:c>
      <x:c r="BH1038">
        <x:f>MAX(0,MIN(18,BH1037+IF(C1038="敏捷",E1038,0)))</x:f>
        <x:v>0</x:v>
      </x:c>
      <x:c r="BI1038">
        <x:f>MAX(0,MIN(18,BI1037+IF(C1038="智力",E1038,0)))</x:f>
        <x:v>0</x:v>
      </x:c>
      <x:c r="BJ1038">
        <x:f>MAX(0,MIN(18,BJ1037+IF(C1038="意志",E1038,0)))</x:f>
        <x:v>0</x:v>
      </x:c>
      <x:c r="BK1038">
        <x:f>MAX(0,MIN(18,BK1037+IF(C1038="魅力",E1038,0)))</x:f>
        <x:v>0</x:v>
      </x:c>
      <x:c r="BL1038">
        <x:f>MAX(0,MIN(99,BL1037+IF(C1038="技能：非自然知识",E1038,0)))</x:f>
        <x:v>0</x:v>
      </x:c>
      <x:c r="BM1038">
        <x:f>MAX(0,MIN(CEILING((BF1038+BG1038)/2,1),BM1037+IF(C1038="体力",E1038,0)))</x:f>
        <x:v>0</x:v>
      </x:c>
      <x:c r="BN1038">
        <x:f>MAX(0,MIN(BJ1038,BN1037+IF(C1038="毅力",E1038,0)))</x:f>
        <x:v>0</x:v>
      </x:c>
      <x:c r="BO1038">
        <x:f>MAX(0,MIN(99-BL1038,BO1037+IF(C1038="理智",E1038,0)))</x:f>
        <x:v>0</x:v>
      </x:c>
      <x:c r="BP1038">
        <x:f>MAX(0,MIN(99,BP1037+IF(C1038="崩溃点",E1038,0)))</x:f>
        <x:v>0</x:v>
      </x:c>
      <x:c r="BQ1038">
        <x:f>MAX(0,MIN(BK1038,IF(AND(H1038=1,C1038="重要关系1",LEFT('幕间与结算'!H945,8)="建立新的重要关系"),'幕间与结算'!E945+E1038,BQ1037+IF(C1038="重要关系1",E1038,0)+IF(AND(C1038="魅力",E1038&lt;0),E1038,0))))</x:f>
        <x:v>0</x:v>
      </x:c>
      <x:c r="BR1038">
        <x:f>MAX(0,MIN(BK1038,IF(AND(H1038=1,C1038="重要关系2",LEFT('幕间与结算'!H945,8)="建立新的重要关系"),'幕间与结算'!E945+E1038,BR1037+IF(C1038="重要关系2",E1038,0)+IF(AND(C1038="魅力",E1038&lt;0),E1038,0))))</x:f>
        <x:v>0</x:v>
      </x:c>
      <x:c r="BS1038">
        <x:f>MAX(0,MIN(BK1038,IF(AND(H1038=1,C1038="重要关系3",LEFT('幕间与结算'!H945,8)="建立新的重要关系"),'幕间与结算'!E945+E1038,BS1037+IF(C1038="重要关系3",E1038,0)+IF(AND(C1038="魅力",E1038&lt;0),E1038,0))))</x:f>
        <x:v>0</x:v>
      </x:c>
      <x:c r="BT1038">
        <x:f>MAX(0,MIN(BK1038,IF(AND(H1038=1,C1038="重要关系4",LEFT('幕间与结算'!H945,8)="建立新的重要关系"),'幕间与结算'!E945+E1038,BT1037+IF(C1038="重要关系4",E1038,0)+IF(AND(C1038="魅力",E1038&lt;0),E1038,0))))</x:f>
        <x:v>0</x:v>
      </x:c>
      <x:c r="BU1038">
        <x:f>MAX(0,MIN(BK1038,IF(AND(H1038=1,C1038="重要关系5",LEFT('幕间与结算'!H945,8)="建立新的重要关系"),'幕间与结算'!E945+E1038,BU1037+IF(C1038="重要关系5",E1038,0)+IF(AND(C1038="魅力",E1038&lt;0),E1038,0))))</x:f>
        <x:v>0</x:v>
      </x:c>
      <x:c r="BV1038">
        <x:f>MAX(0,MIN(BK1038,IF(AND(H1038=1,C1038="重要关系6",LEFT('幕间与结算'!H945,8)="建立新的重要关系"),'幕间与结算'!E945+E1038,BV1037+IF(C1038="重要关系6",E1038,0)+IF(AND(C1038="魅力",E1038&lt;0),E1038,0))))</x:f>
        <x:v>0</x:v>
      </x:c>
      <x:c r="BW1038">
        <x:f>MAX(0,MIN(BK1038,IF(AND(H1038=1,C1038="重要关系7",LEFT('幕间与结算'!H945,8)="建立新的重要关系"),'幕间与结算'!E945+E1038,BW1037+IF(C1038="重要关系7",E1038,0)+IF(AND(C1038="魅力",E1038&lt;0),E1038,0))))</x:f>
        <x:v>0</x:v>
      </x:c>
    </x:row>
    <x:row r="1039">
      <x:c r="A1039" t="str">
        <x:f>IFERROR(TEXT(VALUE('幕间与结算'!A946),"00"),"")</x:f>
        <x:v>00</x:v>
      </x:c>
      <x:c r="B1039">
        <x:f>'幕间与结算'!B946</x:f>
        <x:v>0</x:v>
      </x:c>
      <x:c r="C1039">
        <x:f>'幕间与结算'!D946</x:f>
        <x:v>0</x:v>
      </x:c>
      <x:c r="D1039">
        <x:f>'幕间与结算'!F946</x:f>
        <x:v>0</x:v>
      </x:c>
      <x:c r="E1039">
        <x:f>IF(H1039=1,MAX(-'幕间与结算'!E946,MIN(D1039,IF(LEFT(C1039,3)="技能：",99,IF(COUNTIF($L$2:$L$7,C1039)&gt;0,18,999))-'幕间与结算'!E946)),0)</x:f>
        <x:v>0</x:v>
      </x:c>
      <x:c r="F1039" t="str">
        <x:f>IF(C1039=0,"",IF(G1039=0,"记录不完整",IF(H1039=0,"重复未计","已计入")))</x:f>
        <x:v/>
      </x:c>
      <x:c r="G1039">
        <x:f>IF(AND(AND('幕间与结算'!A946&lt;&gt;"",'幕间与结算'!B946&lt;&gt;"",'幕间与结算'!I946&lt;&gt;"",OR(LEFT(C1039,3)="技能：",COUNTIF($L$2:$L$19,C1039)&gt;0),ISNUMBER('幕间与结算'!E946),ISNUMBER('幕间与结算'!F946),ISNUMBER('幕间与结算'!G946),'幕间与结算'!E946&gt;=0,'幕间与结算'!G946='幕间与结算'!E946+'幕间与结算'!F946),OR(B1039&lt;&gt;"成长",AND(LEFT(C1039,3)="技能：",C1039&lt;&gt;"技能：非自然知识",'幕间与结算'!E946&gt;=1,'幕间与结算'!E946&lt;=99,'幕间与结算'!F946&gt;=0,'幕间与结算'!F946&lt;=4,'幕间与结算'!G946&lt;=99))),1,0)</x:f>
        <x:v>0</x:v>
      </x:c>
      <x:c r="H1039">
        <x:f>IF(AND(G1039=1,COUNTIFS($I$200:I1039,I1039,$G$200:G1039,1)=1),1,0)</x:f>
        <x:v>0</x:v>
      </x:c>
      <x:c r="I1039" t="str">
        <x:f>IF(G1039=1,IF(B1039="成长",A1039&amp;"-成长-"&amp;C1039,'幕间与结算'!I946),"")</x:f>
        <x:v/>
      </x:c>
      <x:c r="BF1039">
        <x:f>MAX(0,MIN(18,BF1038+IF(C1039="力量",E1039,0)))</x:f>
        <x:v>0</x:v>
      </x:c>
      <x:c r="BG1039">
        <x:f>MAX(0,MIN(18,BG1038+IF(C1039="体质",E1039,0)))</x:f>
        <x:v>0</x:v>
      </x:c>
      <x:c r="BH1039">
        <x:f>MAX(0,MIN(18,BH1038+IF(C1039="敏捷",E1039,0)))</x:f>
        <x:v>0</x:v>
      </x:c>
      <x:c r="BI1039">
        <x:f>MAX(0,MIN(18,BI1038+IF(C1039="智力",E1039,0)))</x:f>
        <x:v>0</x:v>
      </x:c>
      <x:c r="BJ1039">
        <x:f>MAX(0,MIN(18,BJ1038+IF(C1039="意志",E1039,0)))</x:f>
        <x:v>0</x:v>
      </x:c>
      <x:c r="BK1039">
        <x:f>MAX(0,MIN(18,BK1038+IF(C1039="魅力",E1039,0)))</x:f>
        <x:v>0</x:v>
      </x:c>
      <x:c r="BL1039">
        <x:f>MAX(0,MIN(99,BL1038+IF(C1039="技能：非自然知识",E1039,0)))</x:f>
        <x:v>0</x:v>
      </x:c>
      <x:c r="BM1039">
        <x:f>MAX(0,MIN(CEILING((BF1039+BG1039)/2,1),BM1038+IF(C1039="体力",E1039,0)))</x:f>
        <x:v>0</x:v>
      </x:c>
      <x:c r="BN1039">
        <x:f>MAX(0,MIN(BJ1039,BN1038+IF(C1039="毅力",E1039,0)))</x:f>
        <x:v>0</x:v>
      </x:c>
      <x:c r="BO1039">
        <x:f>MAX(0,MIN(99-BL1039,BO1038+IF(C1039="理智",E1039,0)))</x:f>
        <x:v>0</x:v>
      </x:c>
      <x:c r="BP1039">
        <x:f>MAX(0,MIN(99,BP1038+IF(C1039="崩溃点",E1039,0)))</x:f>
        <x:v>0</x:v>
      </x:c>
      <x:c r="BQ1039">
        <x:f>MAX(0,MIN(BK1039,IF(AND(H1039=1,C1039="重要关系1",LEFT('幕间与结算'!H946,8)="建立新的重要关系"),'幕间与结算'!E946+E1039,BQ1038+IF(C1039="重要关系1",E1039,0)+IF(AND(C1039="魅力",E1039&lt;0),E1039,0))))</x:f>
        <x:v>0</x:v>
      </x:c>
      <x:c r="BR1039">
        <x:f>MAX(0,MIN(BK1039,IF(AND(H1039=1,C1039="重要关系2",LEFT('幕间与结算'!H946,8)="建立新的重要关系"),'幕间与结算'!E946+E1039,BR1038+IF(C1039="重要关系2",E1039,0)+IF(AND(C1039="魅力",E1039&lt;0),E1039,0))))</x:f>
        <x:v>0</x:v>
      </x:c>
      <x:c r="BS1039">
        <x:f>MAX(0,MIN(BK1039,IF(AND(H1039=1,C1039="重要关系3",LEFT('幕间与结算'!H946,8)="建立新的重要关系"),'幕间与结算'!E946+E1039,BS1038+IF(C1039="重要关系3",E1039,0)+IF(AND(C1039="魅力",E1039&lt;0),E1039,0))))</x:f>
        <x:v>0</x:v>
      </x:c>
      <x:c r="BT1039">
        <x:f>MAX(0,MIN(BK1039,IF(AND(H1039=1,C1039="重要关系4",LEFT('幕间与结算'!H946,8)="建立新的重要关系"),'幕间与结算'!E946+E1039,BT1038+IF(C1039="重要关系4",E1039,0)+IF(AND(C1039="魅力",E1039&lt;0),E1039,0))))</x:f>
        <x:v>0</x:v>
      </x:c>
      <x:c r="BU1039">
        <x:f>MAX(0,MIN(BK1039,IF(AND(H1039=1,C1039="重要关系5",LEFT('幕间与结算'!H946,8)="建立新的重要关系"),'幕间与结算'!E946+E1039,BU1038+IF(C1039="重要关系5",E1039,0)+IF(AND(C1039="魅力",E1039&lt;0),E1039,0))))</x:f>
        <x:v>0</x:v>
      </x:c>
      <x:c r="BV1039">
        <x:f>MAX(0,MIN(BK1039,IF(AND(H1039=1,C1039="重要关系6",LEFT('幕间与结算'!H946,8)="建立新的重要关系"),'幕间与结算'!E946+E1039,BV1038+IF(C1039="重要关系6",E1039,0)+IF(AND(C1039="魅力",E1039&lt;0),E1039,0))))</x:f>
        <x:v>0</x:v>
      </x:c>
      <x:c r="BW1039">
        <x:f>MAX(0,MIN(BK1039,IF(AND(H1039=1,C1039="重要关系7",LEFT('幕间与结算'!H946,8)="建立新的重要关系"),'幕间与结算'!E946+E1039,BW1038+IF(C1039="重要关系7",E1039,0)+IF(AND(C1039="魅力",E1039&lt;0),E1039,0))))</x:f>
        <x:v>0</x:v>
      </x:c>
    </x:row>
    <x:row r="1040">
      <x:c r="A1040" t="str">
        <x:f>IFERROR(TEXT(VALUE('幕间与结算'!A947),"00"),"")</x:f>
        <x:v>00</x:v>
      </x:c>
      <x:c r="B1040">
        <x:f>'幕间与结算'!B947</x:f>
        <x:v>0</x:v>
      </x:c>
      <x:c r="C1040">
        <x:f>'幕间与结算'!D947</x:f>
        <x:v>0</x:v>
      </x:c>
      <x:c r="D1040">
        <x:f>'幕间与结算'!F947</x:f>
        <x:v>0</x:v>
      </x:c>
      <x:c r="E1040">
        <x:f>IF(H1040=1,MAX(-'幕间与结算'!E947,MIN(D1040,IF(LEFT(C1040,3)="技能：",99,IF(COUNTIF($L$2:$L$7,C1040)&gt;0,18,999))-'幕间与结算'!E947)),0)</x:f>
        <x:v>0</x:v>
      </x:c>
      <x:c r="F1040" t="str">
        <x:f>IF(C1040=0,"",IF(G1040=0,"记录不完整",IF(H1040=0,"重复未计","已计入")))</x:f>
        <x:v/>
      </x:c>
      <x:c r="G1040">
        <x:f>IF(AND(AND('幕间与结算'!A947&lt;&gt;"",'幕间与结算'!B947&lt;&gt;"",'幕间与结算'!I947&lt;&gt;"",OR(LEFT(C1040,3)="技能：",COUNTIF($L$2:$L$19,C1040)&gt;0),ISNUMBER('幕间与结算'!E947),ISNUMBER('幕间与结算'!F947),ISNUMBER('幕间与结算'!G947),'幕间与结算'!E947&gt;=0,'幕间与结算'!G947='幕间与结算'!E947+'幕间与结算'!F947),OR(B1040&lt;&gt;"成长",AND(LEFT(C1040,3)="技能：",C1040&lt;&gt;"技能：非自然知识",'幕间与结算'!E947&gt;=1,'幕间与结算'!E947&lt;=99,'幕间与结算'!F947&gt;=0,'幕间与结算'!F947&lt;=4,'幕间与结算'!G947&lt;=99))),1,0)</x:f>
        <x:v>0</x:v>
      </x:c>
      <x:c r="H1040">
        <x:f>IF(AND(G1040=1,COUNTIFS($I$200:I1040,I1040,$G$200:G1040,1)=1),1,0)</x:f>
        <x:v>0</x:v>
      </x:c>
      <x:c r="I1040" t="str">
        <x:f>IF(G1040=1,IF(B1040="成长",A1040&amp;"-成长-"&amp;C1040,'幕间与结算'!I947),"")</x:f>
        <x:v/>
      </x:c>
      <x:c r="BF1040">
        <x:f>MAX(0,MIN(18,BF1039+IF(C1040="力量",E1040,0)))</x:f>
        <x:v>0</x:v>
      </x:c>
      <x:c r="BG1040">
        <x:f>MAX(0,MIN(18,BG1039+IF(C1040="体质",E1040,0)))</x:f>
        <x:v>0</x:v>
      </x:c>
      <x:c r="BH1040">
        <x:f>MAX(0,MIN(18,BH1039+IF(C1040="敏捷",E1040,0)))</x:f>
        <x:v>0</x:v>
      </x:c>
      <x:c r="BI1040">
        <x:f>MAX(0,MIN(18,BI1039+IF(C1040="智力",E1040,0)))</x:f>
        <x:v>0</x:v>
      </x:c>
      <x:c r="BJ1040">
        <x:f>MAX(0,MIN(18,BJ1039+IF(C1040="意志",E1040,0)))</x:f>
        <x:v>0</x:v>
      </x:c>
      <x:c r="BK1040">
        <x:f>MAX(0,MIN(18,BK1039+IF(C1040="魅力",E1040,0)))</x:f>
        <x:v>0</x:v>
      </x:c>
      <x:c r="BL1040">
        <x:f>MAX(0,MIN(99,BL1039+IF(C1040="技能：非自然知识",E1040,0)))</x:f>
        <x:v>0</x:v>
      </x:c>
      <x:c r="BM1040">
        <x:f>MAX(0,MIN(CEILING((BF1040+BG1040)/2,1),BM1039+IF(C1040="体力",E1040,0)))</x:f>
        <x:v>0</x:v>
      </x:c>
      <x:c r="BN1040">
        <x:f>MAX(0,MIN(BJ1040,BN1039+IF(C1040="毅力",E1040,0)))</x:f>
        <x:v>0</x:v>
      </x:c>
      <x:c r="BO1040">
        <x:f>MAX(0,MIN(99-BL1040,BO1039+IF(C1040="理智",E1040,0)))</x:f>
        <x:v>0</x:v>
      </x:c>
      <x:c r="BP1040">
        <x:f>MAX(0,MIN(99,BP1039+IF(C1040="崩溃点",E1040,0)))</x:f>
        <x:v>0</x:v>
      </x:c>
      <x:c r="BQ1040">
        <x:f>MAX(0,MIN(BK1040,IF(AND(H1040=1,C1040="重要关系1",LEFT('幕间与结算'!H947,8)="建立新的重要关系"),'幕间与结算'!E947+E1040,BQ1039+IF(C1040="重要关系1",E1040,0)+IF(AND(C1040="魅力",E1040&lt;0),E1040,0))))</x:f>
        <x:v>0</x:v>
      </x:c>
      <x:c r="BR1040">
        <x:f>MAX(0,MIN(BK1040,IF(AND(H1040=1,C1040="重要关系2",LEFT('幕间与结算'!H947,8)="建立新的重要关系"),'幕间与结算'!E947+E1040,BR1039+IF(C1040="重要关系2",E1040,0)+IF(AND(C1040="魅力",E1040&lt;0),E1040,0))))</x:f>
        <x:v>0</x:v>
      </x:c>
      <x:c r="BS1040">
        <x:f>MAX(0,MIN(BK1040,IF(AND(H1040=1,C1040="重要关系3",LEFT('幕间与结算'!H947,8)="建立新的重要关系"),'幕间与结算'!E947+E1040,BS1039+IF(C1040="重要关系3",E1040,0)+IF(AND(C1040="魅力",E1040&lt;0),E1040,0))))</x:f>
        <x:v>0</x:v>
      </x:c>
      <x:c r="BT1040">
        <x:f>MAX(0,MIN(BK1040,IF(AND(H1040=1,C1040="重要关系4",LEFT('幕间与结算'!H947,8)="建立新的重要关系"),'幕间与结算'!E947+E1040,BT1039+IF(C1040="重要关系4",E1040,0)+IF(AND(C1040="魅力",E1040&lt;0),E1040,0))))</x:f>
        <x:v>0</x:v>
      </x:c>
      <x:c r="BU1040">
        <x:f>MAX(0,MIN(BK1040,IF(AND(H1040=1,C1040="重要关系5",LEFT('幕间与结算'!H947,8)="建立新的重要关系"),'幕间与结算'!E947+E1040,BU1039+IF(C1040="重要关系5",E1040,0)+IF(AND(C1040="魅力",E1040&lt;0),E1040,0))))</x:f>
        <x:v>0</x:v>
      </x:c>
      <x:c r="BV1040">
        <x:f>MAX(0,MIN(BK1040,IF(AND(H1040=1,C1040="重要关系6",LEFT('幕间与结算'!H947,8)="建立新的重要关系"),'幕间与结算'!E947+E1040,BV1039+IF(C1040="重要关系6",E1040,0)+IF(AND(C1040="魅力",E1040&lt;0),E1040,0))))</x:f>
        <x:v>0</x:v>
      </x:c>
      <x:c r="BW1040">
        <x:f>MAX(0,MIN(BK1040,IF(AND(H1040=1,C1040="重要关系7",LEFT('幕间与结算'!H947,8)="建立新的重要关系"),'幕间与结算'!E947+E1040,BW1039+IF(C1040="重要关系7",E1040,0)+IF(AND(C1040="魅力",E1040&lt;0),E1040,0))))</x:f>
        <x:v>0</x:v>
      </x:c>
    </x:row>
    <x:row r="1041">
      <x:c r="A1041" t="str">
        <x:f>IFERROR(TEXT(VALUE('幕间与结算'!A948),"00"),"")</x:f>
        <x:v>00</x:v>
      </x:c>
      <x:c r="B1041">
        <x:f>'幕间与结算'!B948</x:f>
        <x:v>0</x:v>
      </x:c>
      <x:c r="C1041">
        <x:f>'幕间与结算'!D948</x:f>
        <x:v>0</x:v>
      </x:c>
      <x:c r="D1041">
        <x:f>'幕间与结算'!F948</x:f>
        <x:v>0</x:v>
      </x:c>
      <x:c r="E1041">
        <x:f>IF(H1041=1,MAX(-'幕间与结算'!E948,MIN(D1041,IF(LEFT(C1041,3)="技能：",99,IF(COUNTIF($L$2:$L$7,C1041)&gt;0,18,999))-'幕间与结算'!E948)),0)</x:f>
        <x:v>0</x:v>
      </x:c>
      <x:c r="F1041" t="str">
        <x:f>IF(C1041=0,"",IF(G1041=0,"记录不完整",IF(H1041=0,"重复未计","已计入")))</x:f>
        <x:v/>
      </x:c>
      <x:c r="G1041">
        <x:f>IF(AND(AND('幕间与结算'!A948&lt;&gt;"",'幕间与结算'!B948&lt;&gt;"",'幕间与结算'!I948&lt;&gt;"",OR(LEFT(C1041,3)="技能：",COUNTIF($L$2:$L$19,C1041)&gt;0),ISNUMBER('幕间与结算'!E948),ISNUMBER('幕间与结算'!F948),ISNUMBER('幕间与结算'!G948),'幕间与结算'!E948&gt;=0,'幕间与结算'!G948='幕间与结算'!E948+'幕间与结算'!F948),OR(B1041&lt;&gt;"成长",AND(LEFT(C1041,3)="技能：",C1041&lt;&gt;"技能：非自然知识",'幕间与结算'!E948&gt;=1,'幕间与结算'!E948&lt;=99,'幕间与结算'!F948&gt;=0,'幕间与结算'!F948&lt;=4,'幕间与结算'!G948&lt;=99))),1,0)</x:f>
        <x:v>0</x:v>
      </x:c>
      <x:c r="H1041">
        <x:f>IF(AND(G1041=1,COUNTIFS($I$200:I1041,I1041,$G$200:G1041,1)=1),1,0)</x:f>
        <x:v>0</x:v>
      </x:c>
      <x:c r="I1041" t="str">
        <x:f>IF(G1041=1,IF(B1041="成长",A1041&amp;"-成长-"&amp;C1041,'幕间与结算'!I948),"")</x:f>
        <x:v/>
      </x:c>
      <x:c r="BF1041">
        <x:f>MAX(0,MIN(18,BF1040+IF(C1041="力量",E1041,0)))</x:f>
        <x:v>0</x:v>
      </x:c>
      <x:c r="BG1041">
        <x:f>MAX(0,MIN(18,BG1040+IF(C1041="体质",E1041,0)))</x:f>
        <x:v>0</x:v>
      </x:c>
      <x:c r="BH1041">
        <x:f>MAX(0,MIN(18,BH1040+IF(C1041="敏捷",E1041,0)))</x:f>
        <x:v>0</x:v>
      </x:c>
      <x:c r="BI1041">
        <x:f>MAX(0,MIN(18,BI1040+IF(C1041="智力",E1041,0)))</x:f>
        <x:v>0</x:v>
      </x:c>
      <x:c r="BJ1041">
        <x:f>MAX(0,MIN(18,BJ1040+IF(C1041="意志",E1041,0)))</x:f>
        <x:v>0</x:v>
      </x:c>
      <x:c r="BK1041">
        <x:f>MAX(0,MIN(18,BK1040+IF(C1041="魅力",E1041,0)))</x:f>
        <x:v>0</x:v>
      </x:c>
      <x:c r="BL1041">
        <x:f>MAX(0,MIN(99,BL1040+IF(C1041="技能：非自然知识",E1041,0)))</x:f>
        <x:v>0</x:v>
      </x:c>
      <x:c r="BM1041">
        <x:f>MAX(0,MIN(CEILING((BF1041+BG1041)/2,1),BM1040+IF(C1041="体力",E1041,0)))</x:f>
        <x:v>0</x:v>
      </x:c>
      <x:c r="BN1041">
        <x:f>MAX(0,MIN(BJ1041,BN1040+IF(C1041="毅力",E1041,0)))</x:f>
        <x:v>0</x:v>
      </x:c>
      <x:c r="BO1041">
        <x:f>MAX(0,MIN(99-BL1041,BO1040+IF(C1041="理智",E1041,0)))</x:f>
        <x:v>0</x:v>
      </x:c>
      <x:c r="BP1041">
        <x:f>MAX(0,MIN(99,BP1040+IF(C1041="崩溃点",E1041,0)))</x:f>
        <x:v>0</x:v>
      </x:c>
      <x:c r="BQ1041">
        <x:f>MAX(0,MIN(BK1041,IF(AND(H1041=1,C1041="重要关系1",LEFT('幕间与结算'!H948,8)="建立新的重要关系"),'幕间与结算'!E948+E1041,BQ1040+IF(C1041="重要关系1",E1041,0)+IF(AND(C1041="魅力",E1041&lt;0),E1041,0))))</x:f>
        <x:v>0</x:v>
      </x:c>
      <x:c r="BR1041">
        <x:f>MAX(0,MIN(BK1041,IF(AND(H1041=1,C1041="重要关系2",LEFT('幕间与结算'!H948,8)="建立新的重要关系"),'幕间与结算'!E948+E1041,BR1040+IF(C1041="重要关系2",E1041,0)+IF(AND(C1041="魅力",E1041&lt;0),E1041,0))))</x:f>
        <x:v>0</x:v>
      </x:c>
      <x:c r="BS1041">
        <x:f>MAX(0,MIN(BK1041,IF(AND(H1041=1,C1041="重要关系3",LEFT('幕间与结算'!H948,8)="建立新的重要关系"),'幕间与结算'!E948+E1041,BS1040+IF(C1041="重要关系3",E1041,0)+IF(AND(C1041="魅力",E1041&lt;0),E1041,0))))</x:f>
        <x:v>0</x:v>
      </x:c>
      <x:c r="BT1041">
        <x:f>MAX(0,MIN(BK1041,IF(AND(H1041=1,C1041="重要关系4",LEFT('幕间与结算'!H948,8)="建立新的重要关系"),'幕间与结算'!E948+E1041,BT1040+IF(C1041="重要关系4",E1041,0)+IF(AND(C1041="魅力",E1041&lt;0),E1041,0))))</x:f>
        <x:v>0</x:v>
      </x:c>
      <x:c r="BU1041">
        <x:f>MAX(0,MIN(BK1041,IF(AND(H1041=1,C1041="重要关系5",LEFT('幕间与结算'!H948,8)="建立新的重要关系"),'幕间与结算'!E948+E1041,BU1040+IF(C1041="重要关系5",E1041,0)+IF(AND(C1041="魅力",E1041&lt;0),E1041,0))))</x:f>
        <x:v>0</x:v>
      </x:c>
      <x:c r="BV1041">
        <x:f>MAX(0,MIN(BK1041,IF(AND(H1041=1,C1041="重要关系6",LEFT('幕间与结算'!H948,8)="建立新的重要关系"),'幕间与结算'!E948+E1041,BV1040+IF(C1041="重要关系6",E1041,0)+IF(AND(C1041="魅力",E1041&lt;0),E1041,0))))</x:f>
        <x:v>0</x:v>
      </x:c>
      <x:c r="BW1041">
        <x:f>MAX(0,MIN(BK1041,IF(AND(H1041=1,C1041="重要关系7",LEFT('幕间与结算'!H948,8)="建立新的重要关系"),'幕间与结算'!E948+E1041,BW1040+IF(C1041="重要关系7",E1041,0)+IF(AND(C1041="魅力",E1041&lt;0),E1041,0))))</x:f>
        <x:v>0</x:v>
      </x:c>
    </x:row>
    <x:row r="1042">
      <x:c r="A1042" t="str">
        <x:f>IFERROR(TEXT(VALUE('幕间与结算'!A949),"00"),"")</x:f>
        <x:v>00</x:v>
      </x:c>
      <x:c r="B1042">
        <x:f>'幕间与结算'!B949</x:f>
        <x:v>0</x:v>
      </x:c>
      <x:c r="C1042">
        <x:f>'幕间与结算'!D949</x:f>
        <x:v>0</x:v>
      </x:c>
      <x:c r="D1042">
        <x:f>'幕间与结算'!F949</x:f>
        <x:v>0</x:v>
      </x:c>
      <x:c r="E1042">
        <x:f>IF(H1042=1,MAX(-'幕间与结算'!E949,MIN(D1042,IF(LEFT(C1042,3)="技能：",99,IF(COUNTIF($L$2:$L$7,C1042)&gt;0,18,999))-'幕间与结算'!E949)),0)</x:f>
        <x:v>0</x:v>
      </x:c>
      <x:c r="F1042" t="str">
        <x:f>IF(C1042=0,"",IF(G1042=0,"记录不完整",IF(H1042=0,"重复未计","已计入")))</x:f>
        <x:v/>
      </x:c>
      <x:c r="G1042">
        <x:f>IF(AND(AND('幕间与结算'!A949&lt;&gt;"",'幕间与结算'!B949&lt;&gt;"",'幕间与结算'!I949&lt;&gt;"",OR(LEFT(C1042,3)="技能：",COUNTIF($L$2:$L$19,C1042)&gt;0),ISNUMBER('幕间与结算'!E949),ISNUMBER('幕间与结算'!F949),ISNUMBER('幕间与结算'!G949),'幕间与结算'!E949&gt;=0,'幕间与结算'!G949='幕间与结算'!E949+'幕间与结算'!F949),OR(B1042&lt;&gt;"成长",AND(LEFT(C1042,3)="技能：",C1042&lt;&gt;"技能：非自然知识",'幕间与结算'!E949&gt;=1,'幕间与结算'!E949&lt;=99,'幕间与结算'!F949&gt;=0,'幕间与结算'!F949&lt;=4,'幕间与结算'!G949&lt;=99))),1,0)</x:f>
        <x:v>0</x:v>
      </x:c>
      <x:c r="H1042">
        <x:f>IF(AND(G1042=1,COUNTIFS($I$200:I1042,I1042,$G$200:G1042,1)=1),1,0)</x:f>
        <x:v>0</x:v>
      </x:c>
      <x:c r="I1042" t="str">
        <x:f>IF(G1042=1,IF(B1042="成长",A1042&amp;"-成长-"&amp;C1042,'幕间与结算'!I949),"")</x:f>
        <x:v/>
      </x:c>
      <x:c r="BF1042">
        <x:f>MAX(0,MIN(18,BF1041+IF(C1042="力量",E1042,0)))</x:f>
        <x:v>0</x:v>
      </x:c>
      <x:c r="BG1042">
        <x:f>MAX(0,MIN(18,BG1041+IF(C1042="体质",E1042,0)))</x:f>
        <x:v>0</x:v>
      </x:c>
      <x:c r="BH1042">
        <x:f>MAX(0,MIN(18,BH1041+IF(C1042="敏捷",E1042,0)))</x:f>
        <x:v>0</x:v>
      </x:c>
      <x:c r="BI1042">
        <x:f>MAX(0,MIN(18,BI1041+IF(C1042="智力",E1042,0)))</x:f>
        <x:v>0</x:v>
      </x:c>
      <x:c r="BJ1042">
        <x:f>MAX(0,MIN(18,BJ1041+IF(C1042="意志",E1042,0)))</x:f>
        <x:v>0</x:v>
      </x:c>
      <x:c r="BK1042">
        <x:f>MAX(0,MIN(18,BK1041+IF(C1042="魅力",E1042,0)))</x:f>
        <x:v>0</x:v>
      </x:c>
      <x:c r="BL1042">
        <x:f>MAX(0,MIN(99,BL1041+IF(C1042="技能：非自然知识",E1042,0)))</x:f>
        <x:v>0</x:v>
      </x:c>
      <x:c r="BM1042">
        <x:f>MAX(0,MIN(CEILING((BF1042+BG1042)/2,1),BM1041+IF(C1042="体力",E1042,0)))</x:f>
        <x:v>0</x:v>
      </x:c>
      <x:c r="BN1042">
        <x:f>MAX(0,MIN(BJ1042,BN1041+IF(C1042="毅力",E1042,0)))</x:f>
        <x:v>0</x:v>
      </x:c>
      <x:c r="BO1042">
        <x:f>MAX(0,MIN(99-BL1042,BO1041+IF(C1042="理智",E1042,0)))</x:f>
        <x:v>0</x:v>
      </x:c>
      <x:c r="BP1042">
        <x:f>MAX(0,MIN(99,BP1041+IF(C1042="崩溃点",E1042,0)))</x:f>
        <x:v>0</x:v>
      </x:c>
      <x:c r="BQ1042">
        <x:f>MAX(0,MIN(BK1042,IF(AND(H1042=1,C1042="重要关系1",LEFT('幕间与结算'!H949,8)="建立新的重要关系"),'幕间与结算'!E949+E1042,BQ1041+IF(C1042="重要关系1",E1042,0)+IF(AND(C1042="魅力",E1042&lt;0),E1042,0))))</x:f>
        <x:v>0</x:v>
      </x:c>
      <x:c r="BR1042">
        <x:f>MAX(0,MIN(BK1042,IF(AND(H1042=1,C1042="重要关系2",LEFT('幕间与结算'!H949,8)="建立新的重要关系"),'幕间与结算'!E949+E1042,BR1041+IF(C1042="重要关系2",E1042,0)+IF(AND(C1042="魅力",E1042&lt;0),E1042,0))))</x:f>
        <x:v>0</x:v>
      </x:c>
      <x:c r="BS1042">
        <x:f>MAX(0,MIN(BK1042,IF(AND(H1042=1,C1042="重要关系3",LEFT('幕间与结算'!H949,8)="建立新的重要关系"),'幕间与结算'!E949+E1042,BS1041+IF(C1042="重要关系3",E1042,0)+IF(AND(C1042="魅力",E1042&lt;0),E1042,0))))</x:f>
        <x:v>0</x:v>
      </x:c>
      <x:c r="BT1042">
        <x:f>MAX(0,MIN(BK1042,IF(AND(H1042=1,C1042="重要关系4",LEFT('幕间与结算'!H949,8)="建立新的重要关系"),'幕间与结算'!E949+E1042,BT1041+IF(C1042="重要关系4",E1042,0)+IF(AND(C1042="魅力",E1042&lt;0),E1042,0))))</x:f>
        <x:v>0</x:v>
      </x:c>
      <x:c r="BU1042">
        <x:f>MAX(0,MIN(BK1042,IF(AND(H1042=1,C1042="重要关系5",LEFT('幕间与结算'!H949,8)="建立新的重要关系"),'幕间与结算'!E949+E1042,BU1041+IF(C1042="重要关系5",E1042,0)+IF(AND(C1042="魅力",E1042&lt;0),E1042,0))))</x:f>
        <x:v>0</x:v>
      </x:c>
      <x:c r="BV1042">
        <x:f>MAX(0,MIN(BK1042,IF(AND(H1042=1,C1042="重要关系6",LEFT('幕间与结算'!H949,8)="建立新的重要关系"),'幕间与结算'!E949+E1042,BV1041+IF(C1042="重要关系6",E1042,0)+IF(AND(C1042="魅力",E1042&lt;0),E1042,0))))</x:f>
        <x:v>0</x:v>
      </x:c>
      <x:c r="BW1042">
        <x:f>MAX(0,MIN(BK1042,IF(AND(H1042=1,C1042="重要关系7",LEFT('幕间与结算'!H949,8)="建立新的重要关系"),'幕间与结算'!E949+E1042,BW1041+IF(C1042="重要关系7",E1042,0)+IF(AND(C1042="魅力",E1042&lt;0),E1042,0))))</x:f>
        <x:v>0</x:v>
      </x:c>
    </x:row>
    <x:row r="1043">
      <x:c r="A1043" t="str">
        <x:f>IFERROR(TEXT(VALUE('幕间与结算'!A950),"00"),"")</x:f>
        <x:v>00</x:v>
      </x:c>
      <x:c r="B1043">
        <x:f>'幕间与结算'!B950</x:f>
        <x:v>0</x:v>
      </x:c>
      <x:c r="C1043">
        <x:f>'幕间与结算'!D950</x:f>
        <x:v>0</x:v>
      </x:c>
      <x:c r="D1043">
        <x:f>'幕间与结算'!F950</x:f>
        <x:v>0</x:v>
      </x:c>
      <x:c r="E1043">
        <x:f>IF(H1043=1,MAX(-'幕间与结算'!E950,MIN(D1043,IF(LEFT(C1043,3)="技能：",99,IF(COUNTIF($L$2:$L$7,C1043)&gt;0,18,999))-'幕间与结算'!E950)),0)</x:f>
        <x:v>0</x:v>
      </x:c>
      <x:c r="F1043" t="str">
        <x:f>IF(C1043=0,"",IF(G1043=0,"记录不完整",IF(H1043=0,"重复未计","已计入")))</x:f>
        <x:v/>
      </x:c>
      <x:c r="G1043">
        <x:f>IF(AND(AND('幕间与结算'!A950&lt;&gt;"",'幕间与结算'!B950&lt;&gt;"",'幕间与结算'!I950&lt;&gt;"",OR(LEFT(C1043,3)="技能：",COUNTIF($L$2:$L$19,C1043)&gt;0),ISNUMBER('幕间与结算'!E950),ISNUMBER('幕间与结算'!F950),ISNUMBER('幕间与结算'!G950),'幕间与结算'!E950&gt;=0,'幕间与结算'!G950='幕间与结算'!E950+'幕间与结算'!F950),OR(B1043&lt;&gt;"成长",AND(LEFT(C1043,3)="技能：",C1043&lt;&gt;"技能：非自然知识",'幕间与结算'!E950&gt;=1,'幕间与结算'!E950&lt;=99,'幕间与结算'!F950&gt;=0,'幕间与结算'!F950&lt;=4,'幕间与结算'!G950&lt;=99))),1,0)</x:f>
        <x:v>0</x:v>
      </x:c>
      <x:c r="H1043">
        <x:f>IF(AND(G1043=1,COUNTIFS($I$200:I1043,I1043,$G$200:G1043,1)=1),1,0)</x:f>
        <x:v>0</x:v>
      </x:c>
      <x:c r="I1043" t="str">
        <x:f>IF(G1043=1,IF(B1043="成长",A1043&amp;"-成长-"&amp;C1043,'幕间与结算'!I950),"")</x:f>
        <x:v/>
      </x:c>
      <x:c r="BF1043">
        <x:f>MAX(0,MIN(18,BF1042+IF(C1043="力量",E1043,0)))</x:f>
        <x:v>0</x:v>
      </x:c>
      <x:c r="BG1043">
        <x:f>MAX(0,MIN(18,BG1042+IF(C1043="体质",E1043,0)))</x:f>
        <x:v>0</x:v>
      </x:c>
      <x:c r="BH1043">
        <x:f>MAX(0,MIN(18,BH1042+IF(C1043="敏捷",E1043,0)))</x:f>
        <x:v>0</x:v>
      </x:c>
      <x:c r="BI1043">
        <x:f>MAX(0,MIN(18,BI1042+IF(C1043="智力",E1043,0)))</x:f>
        <x:v>0</x:v>
      </x:c>
      <x:c r="BJ1043">
        <x:f>MAX(0,MIN(18,BJ1042+IF(C1043="意志",E1043,0)))</x:f>
        <x:v>0</x:v>
      </x:c>
      <x:c r="BK1043">
        <x:f>MAX(0,MIN(18,BK1042+IF(C1043="魅力",E1043,0)))</x:f>
        <x:v>0</x:v>
      </x:c>
      <x:c r="BL1043">
        <x:f>MAX(0,MIN(99,BL1042+IF(C1043="技能：非自然知识",E1043,0)))</x:f>
        <x:v>0</x:v>
      </x:c>
      <x:c r="BM1043">
        <x:f>MAX(0,MIN(CEILING((BF1043+BG1043)/2,1),BM1042+IF(C1043="体力",E1043,0)))</x:f>
        <x:v>0</x:v>
      </x:c>
      <x:c r="BN1043">
        <x:f>MAX(0,MIN(BJ1043,BN1042+IF(C1043="毅力",E1043,0)))</x:f>
        <x:v>0</x:v>
      </x:c>
      <x:c r="BO1043">
        <x:f>MAX(0,MIN(99-BL1043,BO1042+IF(C1043="理智",E1043,0)))</x:f>
        <x:v>0</x:v>
      </x:c>
      <x:c r="BP1043">
        <x:f>MAX(0,MIN(99,BP1042+IF(C1043="崩溃点",E1043,0)))</x:f>
        <x:v>0</x:v>
      </x:c>
      <x:c r="BQ1043">
        <x:f>MAX(0,MIN(BK1043,IF(AND(H1043=1,C1043="重要关系1",LEFT('幕间与结算'!H950,8)="建立新的重要关系"),'幕间与结算'!E950+E1043,BQ1042+IF(C1043="重要关系1",E1043,0)+IF(AND(C1043="魅力",E1043&lt;0),E1043,0))))</x:f>
        <x:v>0</x:v>
      </x:c>
      <x:c r="BR1043">
        <x:f>MAX(0,MIN(BK1043,IF(AND(H1043=1,C1043="重要关系2",LEFT('幕间与结算'!H950,8)="建立新的重要关系"),'幕间与结算'!E950+E1043,BR1042+IF(C1043="重要关系2",E1043,0)+IF(AND(C1043="魅力",E1043&lt;0),E1043,0))))</x:f>
        <x:v>0</x:v>
      </x:c>
      <x:c r="BS1043">
        <x:f>MAX(0,MIN(BK1043,IF(AND(H1043=1,C1043="重要关系3",LEFT('幕间与结算'!H950,8)="建立新的重要关系"),'幕间与结算'!E950+E1043,BS1042+IF(C1043="重要关系3",E1043,0)+IF(AND(C1043="魅力",E1043&lt;0),E1043,0))))</x:f>
        <x:v>0</x:v>
      </x:c>
      <x:c r="BT1043">
        <x:f>MAX(0,MIN(BK1043,IF(AND(H1043=1,C1043="重要关系4",LEFT('幕间与结算'!H950,8)="建立新的重要关系"),'幕间与结算'!E950+E1043,BT1042+IF(C1043="重要关系4",E1043,0)+IF(AND(C1043="魅力",E1043&lt;0),E1043,0))))</x:f>
        <x:v>0</x:v>
      </x:c>
      <x:c r="BU1043">
        <x:f>MAX(0,MIN(BK1043,IF(AND(H1043=1,C1043="重要关系5",LEFT('幕间与结算'!H950,8)="建立新的重要关系"),'幕间与结算'!E950+E1043,BU1042+IF(C1043="重要关系5",E1043,0)+IF(AND(C1043="魅力",E1043&lt;0),E1043,0))))</x:f>
        <x:v>0</x:v>
      </x:c>
      <x:c r="BV1043">
        <x:f>MAX(0,MIN(BK1043,IF(AND(H1043=1,C1043="重要关系6",LEFT('幕间与结算'!H950,8)="建立新的重要关系"),'幕间与结算'!E950+E1043,BV1042+IF(C1043="重要关系6",E1043,0)+IF(AND(C1043="魅力",E1043&lt;0),E1043,0))))</x:f>
        <x:v>0</x:v>
      </x:c>
      <x:c r="BW1043">
        <x:f>MAX(0,MIN(BK1043,IF(AND(H1043=1,C1043="重要关系7",LEFT('幕间与结算'!H950,8)="建立新的重要关系"),'幕间与结算'!E950+E1043,BW1042+IF(C1043="重要关系7",E1043,0)+IF(AND(C1043="魅力",E1043&lt;0),E1043,0))))</x:f>
        <x:v>0</x:v>
      </x:c>
    </x:row>
    <x:row r="1044">
      <x:c r="A1044" t="str">
        <x:f>IFERROR(TEXT(VALUE('幕间与结算'!A951),"00"),"")</x:f>
        <x:v>00</x:v>
      </x:c>
      <x:c r="B1044">
        <x:f>'幕间与结算'!B951</x:f>
        <x:v>0</x:v>
      </x:c>
      <x:c r="C1044">
        <x:f>'幕间与结算'!D951</x:f>
        <x:v>0</x:v>
      </x:c>
      <x:c r="D1044">
        <x:f>'幕间与结算'!F951</x:f>
        <x:v>0</x:v>
      </x:c>
      <x:c r="E1044">
        <x:f>IF(H1044=1,MAX(-'幕间与结算'!E951,MIN(D1044,IF(LEFT(C1044,3)="技能：",99,IF(COUNTIF($L$2:$L$7,C1044)&gt;0,18,999))-'幕间与结算'!E951)),0)</x:f>
        <x:v>0</x:v>
      </x:c>
      <x:c r="F1044" t="str">
        <x:f>IF(C1044=0,"",IF(G1044=0,"记录不完整",IF(H1044=0,"重复未计","已计入")))</x:f>
        <x:v/>
      </x:c>
      <x:c r="G1044">
        <x:f>IF(AND(AND('幕间与结算'!A951&lt;&gt;"",'幕间与结算'!B951&lt;&gt;"",'幕间与结算'!I951&lt;&gt;"",OR(LEFT(C1044,3)="技能：",COUNTIF($L$2:$L$19,C1044)&gt;0),ISNUMBER('幕间与结算'!E951),ISNUMBER('幕间与结算'!F951),ISNUMBER('幕间与结算'!G951),'幕间与结算'!E951&gt;=0,'幕间与结算'!G951='幕间与结算'!E951+'幕间与结算'!F951),OR(B1044&lt;&gt;"成长",AND(LEFT(C1044,3)="技能：",C1044&lt;&gt;"技能：非自然知识",'幕间与结算'!E951&gt;=1,'幕间与结算'!E951&lt;=99,'幕间与结算'!F951&gt;=0,'幕间与结算'!F951&lt;=4,'幕间与结算'!G951&lt;=99))),1,0)</x:f>
        <x:v>0</x:v>
      </x:c>
      <x:c r="H1044">
        <x:f>IF(AND(G1044=1,COUNTIFS($I$200:I1044,I1044,$G$200:G1044,1)=1),1,0)</x:f>
        <x:v>0</x:v>
      </x:c>
      <x:c r="I1044" t="str">
        <x:f>IF(G1044=1,IF(B1044="成长",A1044&amp;"-成长-"&amp;C1044,'幕间与结算'!I951),"")</x:f>
        <x:v/>
      </x:c>
      <x:c r="BF1044">
        <x:f>MAX(0,MIN(18,BF1043+IF(C1044="力量",E1044,0)))</x:f>
        <x:v>0</x:v>
      </x:c>
      <x:c r="BG1044">
        <x:f>MAX(0,MIN(18,BG1043+IF(C1044="体质",E1044,0)))</x:f>
        <x:v>0</x:v>
      </x:c>
      <x:c r="BH1044">
        <x:f>MAX(0,MIN(18,BH1043+IF(C1044="敏捷",E1044,0)))</x:f>
        <x:v>0</x:v>
      </x:c>
      <x:c r="BI1044">
        <x:f>MAX(0,MIN(18,BI1043+IF(C1044="智力",E1044,0)))</x:f>
        <x:v>0</x:v>
      </x:c>
      <x:c r="BJ1044">
        <x:f>MAX(0,MIN(18,BJ1043+IF(C1044="意志",E1044,0)))</x:f>
        <x:v>0</x:v>
      </x:c>
      <x:c r="BK1044">
        <x:f>MAX(0,MIN(18,BK1043+IF(C1044="魅力",E1044,0)))</x:f>
        <x:v>0</x:v>
      </x:c>
      <x:c r="BL1044">
        <x:f>MAX(0,MIN(99,BL1043+IF(C1044="技能：非自然知识",E1044,0)))</x:f>
        <x:v>0</x:v>
      </x:c>
      <x:c r="BM1044">
        <x:f>MAX(0,MIN(CEILING((BF1044+BG1044)/2,1),BM1043+IF(C1044="体力",E1044,0)))</x:f>
        <x:v>0</x:v>
      </x:c>
      <x:c r="BN1044">
        <x:f>MAX(0,MIN(BJ1044,BN1043+IF(C1044="毅力",E1044,0)))</x:f>
        <x:v>0</x:v>
      </x:c>
      <x:c r="BO1044">
        <x:f>MAX(0,MIN(99-BL1044,BO1043+IF(C1044="理智",E1044,0)))</x:f>
        <x:v>0</x:v>
      </x:c>
      <x:c r="BP1044">
        <x:f>MAX(0,MIN(99,BP1043+IF(C1044="崩溃点",E1044,0)))</x:f>
        <x:v>0</x:v>
      </x:c>
      <x:c r="BQ1044">
        <x:f>MAX(0,MIN(BK1044,IF(AND(H1044=1,C1044="重要关系1",LEFT('幕间与结算'!H951,8)="建立新的重要关系"),'幕间与结算'!E951+E1044,BQ1043+IF(C1044="重要关系1",E1044,0)+IF(AND(C1044="魅力",E1044&lt;0),E1044,0))))</x:f>
        <x:v>0</x:v>
      </x:c>
      <x:c r="BR1044">
        <x:f>MAX(0,MIN(BK1044,IF(AND(H1044=1,C1044="重要关系2",LEFT('幕间与结算'!H951,8)="建立新的重要关系"),'幕间与结算'!E951+E1044,BR1043+IF(C1044="重要关系2",E1044,0)+IF(AND(C1044="魅力",E1044&lt;0),E1044,0))))</x:f>
        <x:v>0</x:v>
      </x:c>
      <x:c r="BS1044">
        <x:f>MAX(0,MIN(BK1044,IF(AND(H1044=1,C1044="重要关系3",LEFT('幕间与结算'!H951,8)="建立新的重要关系"),'幕间与结算'!E951+E1044,BS1043+IF(C1044="重要关系3",E1044,0)+IF(AND(C1044="魅力",E1044&lt;0),E1044,0))))</x:f>
        <x:v>0</x:v>
      </x:c>
      <x:c r="BT1044">
        <x:f>MAX(0,MIN(BK1044,IF(AND(H1044=1,C1044="重要关系4",LEFT('幕间与结算'!H951,8)="建立新的重要关系"),'幕间与结算'!E951+E1044,BT1043+IF(C1044="重要关系4",E1044,0)+IF(AND(C1044="魅力",E1044&lt;0),E1044,0))))</x:f>
        <x:v>0</x:v>
      </x:c>
      <x:c r="BU1044">
        <x:f>MAX(0,MIN(BK1044,IF(AND(H1044=1,C1044="重要关系5",LEFT('幕间与结算'!H951,8)="建立新的重要关系"),'幕间与结算'!E951+E1044,BU1043+IF(C1044="重要关系5",E1044,0)+IF(AND(C1044="魅力",E1044&lt;0),E1044,0))))</x:f>
        <x:v>0</x:v>
      </x:c>
      <x:c r="BV1044">
        <x:f>MAX(0,MIN(BK1044,IF(AND(H1044=1,C1044="重要关系6",LEFT('幕间与结算'!H951,8)="建立新的重要关系"),'幕间与结算'!E951+E1044,BV1043+IF(C1044="重要关系6",E1044,0)+IF(AND(C1044="魅力",E1044&lt;0),E1044,0))))</x:f>
        <x:v>0</x:v>
      </x:c>
      <x:c r="BW1044">
        <x:f>MAX(0,MIN(BK1044,IF(AND(H1044=1,C1044="重要关系7",LEFT('幕间与结算'!H951,8)="建立新的重要关系"),'幕间与结算'!E951+E1044,BW1043+IF(C1044="重要关系7",E1044,0)+IF(AND(C1044="魅力",E1044&lt;0),E1044,0))))</x:f>
        <x:v>0</x:v>
      </x:c>
    </x:row>
    <x:row r="1045">
      <x:c r="A1045" t="str">
        <x:f>IFERROR(TEXT(VALUE('幕间与结算'!A952),"00"),"")</x:f>
        <x:v>00</x:v>
      </x:c>
      <x:c r="B1045">
        <x:f>'幕间与结算'!B952</x:f>
        <x:v>0</x:v>
      </x:c>
      <x:c r="C1045">
        <x:f>'幕间与结算'!D952</x:f>
        <x:v>0</x:v>
      </x:c>
      <x:c r="D1045">
        <x:f>'幕间与结算'!F952</x:f>
        <x:v>0</x:v>
      </x:c>
      <x:c r="E1045">
        <x:f>IF(H1045=1,MAX(-'幕间与结算'!E952,MIN(D1045,IF(LEFT(C1045,3)="技能：",99,IF(COUNTIF($L$2:$L$7,C1045)&gt;0,18,999))-'幕间与结算'!E952)),0)</x:f>
        <x:v>0</x:v>
      </x:c>
      <x:c r="F1045" t="str">
        <x:f>IF(C1045=0,"",IF(G1045=0,"记录不完整",IF(H1045=0,"重复未计","已计入")))</x:f>
        <x:v/>
      </x:c>
      <x:c r="G1045">
        <x:f>IF(AND(AND('幕间与结算'!A952&lt;&gt;"",'幕间与结算'!B952&lt;&gt;"",'幕间与结算'!I952&lt;&gt;"",OR(LEFT(C1045,3)="技能：",COUNTIF($L$2:$L$19,C1045)&gt;0),ISNUMBER('幕间与结算'!E952),ISNUMBER('幕间与结算'!F952),ISNUMBER('幕间与结算'!G952),'幕间与结算'!E952&gt;=0,'幕间与结算'!G952='幕间与结算'!E952+'幕间与结算'!F952),OR(B1045&lt;&gt;"成长",AND(LEFT(C1045,3)="技能：",C1045&lt;&gt;"技能：非自然知识",'幕间与结算'!E952&gt;=1,'幕间与结算'!E952&lt;=99,'幕间与结算'!F952&gt;=0,'幕间与结算'!F952&lt;=4,'幕间与结算'!G952&lt;=99))),1,0)</x:f>
        <x:v>0</x:v>
      </x:c>
      <x:c r="H1045">
        <x:f>IF(AND(G1045=1,COUNTIFS($I$200:I1045,I1045,$G$200:G1045,1)=1),1,0)</x:f>
        <x:v>0</x:v>
      </x:c>
      <x:c r="I1045" t="str">
        <x:f>IF(G1045=1,IF(B1045="成长",A1045&amp;"-成长-"&amp;C1045,'幕间与结算'!I952),"")</x:f>
        <x:v/>
      </x:c>
      <x:c r="BF1045">
        <x:f>MAX(0,MIN(18,BF1044+IF(C1045="力量",E1045,0)))</x:f>
        <x:v>0</x:v>
      </x:c>
      <x:c r="BG1045">
        <x:f>MAX(0,MIN(18,BG1044+IF(C1045="体质",E1045,0)))</x:f>
        <x:v>0</x:v>
      </x:c>
      <x:c r="BH1045">
        <x:f>MAX(0,MIN(18,BH1044+IF(C1045="敏捷",E1045,0)))</x:f>
        <x:v>0</x:v>
      </x:c>
      <x:c r="BI1045">
        <x:f>MAX(0,MIN(18,BI1044+IF(C1045="智力",E1045,0)))</x:f>
        <x:v>0</x:v>
      </x:c>
      <x:c r="BJ1045">
        <x:f>MAX(0,MIN(18,BJ1044+IF(C1045="意志",E1045,0)))</x:f>
        <x:v>0</x:v>
      </x:c>
      <x:c r="BK1045">
        <x:f>MAX(0,MIN(18,BK1044+IF(C1045="魅力",E1045,0)))</x:f>
        <x:v>0</x:v>
      </x:c>
      <x:c r="BL1045">
        <x:f>MAX(0,MIN(99,BL1044+IF(C1045="技能：非自然知识",E1045,0)))</x:f>
        <x:v>0</x:v>
      </x:c>
      <x:c r="BM1045">
        <x:f>MAX(0,MIN(CEILING((BF1045+BG1045)/2,1),BM1044+IF(C1045="体力",E1045,0)))</x:f>
        <x:v>0</x:v>
      </x:c>
      <x:c r="BN1045">
        <x:f>MAX(0,MIN(BJ1045,BN1044+IF(C1045="毅力",E1045,0)))</x:f>
        <x:v>0</x:v>
      </x:c>
      <x:c r="BO1045">
        <x:f>MAX(0,MIN(99-BL1045,BO1044+IF(C1045="理智",E1045,0)))</x:f>
        <x:v>0</x:v>
      </x:c>
      <x:c r="BP1045">
        <x:f>MAX(0,MIN(99,BP1044+IF(C1045="崩溃点",E1045,0)))</x:f>
        <x:v>0</x:v>
      </x:c>
      <x:c r="BQ1045">
        <x:f>MAX(0,MIN(BK1045,IF(AND(H1045=1,C1045="重要关系1",LEFT('幕间与结算'!H952,8)="建立新的重要关系"),'幕间与结算'!E952+E1045,BQ1044+IF(C1045="重要关系1",E1045,0)+IF(AND(C1045="魅力",E1045&lt;0),E1045,0))))</x:f>
        <x:v>0</x:v>
      </x:c>
      <x:c r="BR1045">
        <x:f>MAX(0,MIN(BK1045,IF(AND(H1045=1,C1045="重要关系2",LEFT('幕间与结算'!H952,8)="建立新的重要关系"),'幕间与结算'!E952+E1045,BR1044+IF(C1045="重要关系2",E1045,0)+IF(AND(C1045="魅力",E1045&lt;0),E1045,0))))</x:f>
        <x:v>0</x:v>
      </x:c>
      <x:c r="BS1045">
        <x:f>MAX(0,MIN(BK1045,IF(AND(H1045=1,C1045="重要关系3",LEFT('幕间与结算'!H952,8)="建立新的重要关系"),'幕间与结算'!E952+E1045,BS1044+IF(C1045="重要关系3",E1045,0)+IF(AND(C1045="魅力",E1045&lt;0),E1045,0))))</x:f>
        <x:v>0</x:v>
      </x:c>
      <x:c r="BT1045">
        <x:f>MAX(0,MIN(BK1045,IF(AND(H1045=1,C1045="重要关系4",LEFT('幕间与结算'!H952,8)="建立新的重要关系"),'幕间与结算'!E952+E1045,BT1044+IF(C1045="重要关系4",E1045,0)+IF(AND(C1045="魅力",E1045&lt;0),E1045,0))))</x:f>
        <x:v>0</x:v>
      </x:c>
      <x:c r="BU1045">
        <x:f>MAX(0,MIN(BK1045,IF(AND(H1045=1,C1045="重要关系5",LEFT('幕间与结算'!H952,8)="建立新的重要关系"),'幕间与结算'!E952+E1045,BU1044+IF(C1045="重要关系5",E1045,0)+IF(AND(C1045="魅力",E1045&lt;0),E1045,0))))</x:f>
        <x:v>0</x:v>
      </x:c>
      <x:c r="BV1045">
        <x:f>MAX(0,MIN(BK1045,IF(AND(H1045=1,C1045="重要关系6",LEFT('幕间与结算'!H952,8)="建立新的重要关系"),'幕间与结算'!E952+E1045,BV1044+IF(C1045="重要关系6",E1045,0)+IF(AND(C1045="魅力",E1045&lt;0),E1045,0))))</x:f>
        <x:v>0</x:v>
      </x:c>
      <x:c r="BW1045">
        <x:f>MAX(0,MIN(BK1045,IF(AND(H1045=1,C1045="重要关系7",LEFT('幕间与结算'!H952,8)="建立新的重要关系"),'幕间与结算'!E952+E1045,BW1044+IF(C1045="重要关系7",E1045,0)+IF(AND(C1045="魅力",E1045&lt;0),E1045,0))))</x:f>
        <x:v>0</x:v>
      </x:c>
    </x:row>
    <x:row r="1046">
      <x:c r="A1046" t="str">
        <x:f>IFERROR(TEXT(VALUE('幕间与结算'!A953),"00"),"")</x:f>
        <x:v>00</x:v>
      </x:c>
      <x:c r="B1046">
        <x:f>'幕间与结算'!B953</x:f>
        <x:v>0</x:v>
      </x:c>
      <x:c r="C1046">
        <x:f>'幕间与结算'!D953</x:f>
        <x:v>0</x:v>
      </x:c>
      <x:c r="D1046">
        <x:f>'幕间与结算'!F953</x:f>
        <x:v>0</x:v>
      </x:c>
      <x:c r="E1046">
        <x:f>IF(H1046=1,MAX(-'幕间与结算'!E953,MIN(D1046,IF(LEFT(C1046,3)="技能：",99,IF(COUNTIF($L$2:$L$7,C1046)&gt;0,18,999))-'幕间与结算'!E953)),0)</x:f>
        <x:v>0</x:v>
      </x:c>
      <x:c r="F1046" t="str">
        <x:f>IF(C1046=0,"",IF(G1046=0,"记录不完整",IF(H1046=0,"重复未计","已计入")))</x:f>
        <x:v/>
      </x:c>
      <x:c r="G1046">
        <x:f>IF(AND(AND('幕间与结算'!A953&lt;&gt;"",'幕间与结算'!B953&lt;&gt;"",'幕间与结算'!I953&lt;&gt;"",OR(LEFT(C1046,3)="技能：",COUNTIF($L$2:$L$19,C1046)&gt;0),ISNUMBER('幕间与结算'!E953),ISNUMBER('幕间与结算'!F953),ISNUMBER('幕间与结算'!G953),'幕间与结算'!E953&gt;=0,'幕间与结算'!G953='幕间与结算'!E953+'幕间与结算'!F953),OR(B1046&lt;&gt;"成长",AND(LEFT(C1046,3)="技能：",C1046&lt;&gt;"技能：非自然知识",'幕间与结算'!E953&gt;=1,'幕间与结算'!E953&lt;=99,'幕间与结算'!F953&gt;=0,'幕间与结算'!F953&lt;=4,'幕间与结算'!G953&lt;=99))),1,0)</x:f>
        <x:v>0</x:v>
      </x:c>
      <x:c r="H1046">
        <x:f>IF(AND(G1046=1,COUNTIFS($I$200:I1046,I1046,$G$200:G1046,1)=1),1,0)</x:f>
        <x:v>0</x:v>
      </x:c>
      <x:c r="I1046" t="str">
        <x:f>IF(G1046=1,IF(B1046="成长",A1046&amp;"-成长-"&amp;C1046,'幕间与结算'!I953),"")</x:f>
        <x:v/>
      </x:c>
      <x:c r="BF1046">
        <x:f>MAX(0,MIN(18,BF1045+IF(C1046="力量",E1046,0)))</x:f>
        <x:v>0</x:v>
      </x:c>
      <x:c r="BG1046">
        <x:f>MAX(0,MIN(18,BG1045+IF(C1046="体质",E1046,0)))</x:f>
        <x:v>0</x:v>
      </x:c>
      <x:c r="BH1046">
        <x:f>MAX(0,MIN(18,BH1045+IF(C1046="敏捷",E1046,0)))</x:f>
        <x:v>0</x:v>
      </x:c>
      <x:c r="BI1046">
        <x:f>MAX(0,MIN(18,BI1045+IF(C1046="智力",E1046,0)))</x:f>
        <x:v>0</x:v>
      </x:c>
      <x:c r="BJ1046">
        <x:f>MAX(0,MIN(18,BJ1045+IF(C1046="意志",E1046,0)))</x:f>
        <x:v>0</x:v>
      </x:c>
      <x:c r="BK1046">
        <x:f>MAX(0,MIN(18,BK1045+IF(C1046="魅力",E1046,0)))</x:f>
        <x:v>0</x:v>
      </x:c>
      <x:c r="BL1046">
        <x:f>MAX(0,MIN(99,BL1045+IF(C1046="技能：非自然知识",E1046,0)))</x:f>
        <x:v>0</x:v>
      </x:c>
      <x:c r="BM1046">
        <x:f>MAX(0,MIN(CEILING((BF1046+BG1046)/2,1),BM1045+IF(C1046="体力",E1046,0)))</x:f>
        <x:v>0</x:v>
      </x:c>
      <x:c r="BN1046">
        <x:f>MAX(0,MIN(BJ1046,BN1045+IF(C1046="毅力",E1046,0)))</x:f>
        <x:v>0</x:v>
      </x:c>
      <x:c r="BO1046">
        <x:f>MAX(0,MIN(99-BL1046,BO1045+IF(C1046="理智",E1046,0)))</x:f>
        <x:v>0</x:v>
      </x:c>
      <x:c r="BP1046">
        <x:f>MAX(0,MIN(99,BP1045+IF(C1046="崩溃点",E1046,0)))</x:f>
        <x:v>0</x:v>
      </x:c>
      <x:c r="BQ1046">
        <x:f>MAX(0,MIN(BK1046,IF(AND(H1046=1,C1046="重要关系1",LEFT('幕间与结算'!H953,8)="建立新的重要关系"),'幕间与结算'!E953+E1046,BQ1045+IF(C1046="重要关系1",E1046,0)+IF(AND(C1046="魅力",E1046&lt;0),E1046,0))))</x:f>
        <x:v>0</x:v>
      </x:c>
      <x:c r="BR1046">
        <x:f>MAX(0,MIN(BK1046,IF(AND(H1046=1,C1046="重要关系2",LEFT('幕间与结算'!H953,8)="建立新的重要关系"),'幕间与结算'!E953+E1046,BR1045+IF(C1046="重要关系2",E1046,0)+IF(AND(C1046="魅力",E1046&lt;0),E1046,0))))</x:f>
        <x:v>0</x:v>
      </x:c>
      <x:c r="BS1046">
        <x:f>MAX(0,MIN(BK1046,IF(AND(H1046=1,C1046="重要关系3",LEFT('幕间与结算'!H953,8)="建立新的重要关系"),'幕间与结算'!E953+E1046,BS1045+IF(C1046="重要关系3",E1046,0)+IF(AND(C1046="魅力",E1046&lt;0),E1046,0))))</x:f>
        <x:v>0</x:v>
      </x:c>
      <x:c r="BT1046">
        <x:f>MAX(0,MIN(BK1046,IF(AND(H1046=1,C1046="重要关系4",LEFT('幕间与结算'!H953,8)="建立新的重要关系"),'幕间与结算'!E953+E1046,BT1045+IF(C1046="重要关系4",E1046,0)+IF(AND(C1046="魅力",E1046&lt;0),E1046,0))))</x:f>
        <x:v>0</x:v>
      </x:c>
      <x:c r="BU1046">
        <x:f>MAX(0,MIN(BK1046,IF(AND(H1046=1,C1046="重要关系5",LEFT('幕间与结算'!H953,8)="建立新的重要关系"),'幕间与结算'!E953+E1046,BU1045+IF(C1046="重要关系5",E1046,0)+IF(AND(C1046="魅力",E1046&lt;0),E1046,0))))</x:f>
        <x:v>0</x:v>
      </x:c>
      <x:c r="BV1046">
        <x:f>MAX(0,MIN(BK1046,IF(AND(H1046=1,C1046="重要关系6",LEFT('幕间与结算'!H953,8)="建立新的重要关系"),'幕间与结算'!E953+E1046,BV1045+IF(C1046="重要关系6",E1046,0)+IF(AND(C1046="魅力",E1046&lt;0),E1046,0))))</x:f>
        <x:v>0</x:v>
      </x:c>
      <x:c r="BW1046">
        <x:f>MAX(0,MIN(BK1046,IF(AND(H1046=1,C1046="重要关系7",LEFT('幕间与结算'!H953,8)="建立新的重要关系"),'幕间与结算'!E953+E1046,BW1045+IF(C1046="重要关系7",E1046,0)+IF(AND(C1046="魅力",E1046&lt;0),E1046,0))))</x:f>
        <x:v>0</x:v>
      </x:c>
    </x:row>
    <x:row r="1047">
      <x:c r="A1047" t="str">
        <x:f>IFERROR(TEXT(VALUE('幕间与结算'!A954),"00"),"")</x:f>
        <x:v>00</x:v>
      </x:c>
      <x:c r="B1047">
        <x:f>'幕间与结算'!B954</x:f>
        <x:v>0</x:v>
      </x:c>
      <x:c r="C1047">
        <x:f>'幕间与结算'!D954</x:f>
        <x:v>0</x:v>
      </x:c>
      <x:c r="D1047">
        <x:f>'幕间与结算'!F954</x:f>
        <x:v>0</x:v>
      </x:c>
      <x:c r="E1047">
        <x:f>IF(H1047=1,MAX(-'幕间与结算'!E954,MIN(D1047,IF(LEFT(C1047,3)="技能：",99,IF(COUNTIF($L$2:$L$7,C1047)&gt;0,18,999))-'幕间与结算'!E954)),0)</x:f>
        <x:v>0</x:v>
      </x:c>
      <x:c r="F1047" t="str">
        <x:f>IF(C1047=0,"",IF(G1047=0,"记录不完整",IF(H1047=0,"重复未计","已计入")))</x:f>
        <x:v/>
      </x:c>
      <x:c r="G1047">
        <x:f>IF(AND(AND('幕间与结算'!A954&lt;&gt;"",'幕间与结算'!B954&lt;&gt;"",'幕间与结算'!I954&lt;&gt;"",OR(LEFT(C1047,3)="技能：",COUNTIF($L$2:$L$19,C1047)&gt;0),ISNUMBER('幕间与结算'!E954),ISNUMBER('幕间与结算'!F954),ISNUMBER('幕间与结算'!G954),'幕间与结算'!E954&gt;=0,'幕间与结算'!G954='幕间与结算'!E954+'幕间与结算'!F954),OR(B1047&lt;&gt;"成长",AND(LEFT(C1047,3)="技能：",C1047&lt;&gt;"技能：非自然知识",'幕间与结算'!E954&gt;=1,'幕间与结算'!E954&lt;=99,'幕间与结算'!F954&gt;=0,'幕间与结算'!F954&lt;=4,'幕间与结算'!G954&lt;=99))),1,0)</x:f>
        <x:v>0</x:v>
      </x:c>
      <x:c r="H1047">
        <x:f>IF(AND(G1047=1,COUNTIFS($I$200:I1047,I1047,$G$200:G1047,1)=1),1,0)</x:f>
        <x:v>0</x:v>
      </x:c>
      <x:c r="I1047" t="str">
        <x:f>IF(G1047=1,IF(B1047="成长",A1047&amp;"-成长-"&amp;C1047,'幕间与结算'!I954),"")</x:f>
        <x:v/>
      </x:c>
      <x:c r="BF1047">
        <x:f>MAX(0,MIN(18,BF1046+IF(C1047="力量",E1047,0)))</x:f>
        <x:v>0</x:v>
      </x:c>
      <x:c r="BG1047">
        <x:f>MAX(0,MIN(18,BG1046+IF(C1047="体质",E1047,0)))</x:f>
        <x:v>0</x:v>
      </x:c>
      <x:c r="BH1047">
        <x:f>MAX(0,MIN(18,BH1046+IF(C1047="敏捷",E1047,0)))</x:f>
        <x:v>0</x:v>
      </x:c>
      <x:c r="BI1047">
        <x:f>MAX(0,MIN(18,BI1046+IF(C1047="智力",E1047,0)))</x:f>
        <x:v>0</x:v>
      </x:c>
      <x:c r="BJ1047">
        <x:f>MAX(0,MIN(18,BJ1046+IF(C1047="意志",E1047,0)))</x:f>
        <x:v>0</x:v>
      </x:c>
      <x:c r="BK1047">
        <x:f>MAX(0,MIN(18,BK1046+IF(C1047="魅力",E1047,0)))</x:f>
        <x:v>0</x:v>
      </x:c>
      <x:c r="BL1047">
        <x:f>MAX(0,MIN(99,BL1046+IF(C1047="技能：非自然知识",E1047,0)))</x:f>
        <x:v>0</x:v>
      </x:c>
      <x:c r="BM1047">
        <x:f>MAX(0,MIN(CEILING((BF1047+BG1047)/2,1),BM1046+IF(C1047="体力",E1047,0)))</x:f>
        <x:v>0</x:v>
      </x:c>
      <x:c r="BN1047">
        <x:f>MAX(0,MIN(BJ1047,BN1046+IF(C1047="毅力",E1047,0)))</x:f>
        <x:v>0</x:v>
      </x:c>
      <x:c r="BO1047">
        <x:f>MAX(0,MIN(99-BL1047,BO1046+IF(C1047="理智",E1047,0)))</x:f>
        <x:v>0</x:v>
      </x:c>
      <x:c r="BP1047">
        <x:f>MAX(0,MIN(99,BP1046+IF(C1047="崩溃点",E1047,0)))</x:f>
        <x:v>0</x:v>
      </x:c>
      <x:c r="BQ1047">
        <x:f>MAX(0,MIN(BK1047,IF(AND(H1047=1,C1047="重要关系1",LEFT('幕间与结算'!H954,8)="建立新的重要关系"),'幕间与结算'!E954+E1047,BQ1046+IF(C1047="重要关系1",E1047,0)+IF(AND(C1047="魅力",E1047&lt;0),E1047,0))))</x:f>
        <x:v>0</x:v>
      </x:c>
      <x:c r="BR1047">
        <x:f>MAX(0,MIN(BK1047,IF(AND(H1047=1,C1047="重要关系2",LEFT('幕间与结算'!H954,8)="建立新的重要关系"),'幕间与结算'!E954+E1047,BR1046+IF(C1047="重要关系2",E1047,0)+IF(AND(C1047="魅力",E1047&lt;0),E1047,0))))</x:f>
        <x:v>0</x:v>
      </x:c>
      <x:c r="BS1047">
        <x:f>MAX(0,MIN(BK1047,IF(AND(H1047=1,C1047="重要关系3",LEFT('幕间与结算'!H954,8)="建立新的重要关系"),'幕间与结算'!E954+E1047,BS1046+IF(C1047="重要关系3",E1047,0)+IF(AND(C1047="魅力",E1047&lt;0),E1047,0))))</x:f>
        <x:v>0</x:v>
      </x:c>
      <x:c r="BT1047">
        <x:f>MAX(0,MIN(BK1047,IF(AND(H1047=1,C1047="重要关系4",LEFT('幕间与结算'!H954,8)="建立新的重要关系"),'幕间与结算'!E954+E1047,BT1046+IF(C1047="重要关系4",E1047,0)+IF(AND(C1047="魅力",E1047&lt;0),E1047,0))))</x:f>
        <x:v>0</x:v>
      </x:c>
      <x:c r="BU1047">
        <x:f>MAX(0,MIN(BK1047,IF(AND(H1047=1,C1047="重要关系5",LEFT('幕间与结算'!H954,8)="建立新的重要关系"),'幕间与结算'!E954+E1047,BU1046+IF(C1047="重要关系5",E1047,0)+IF(AND(C1047="魅力",E1047&lt;0),E1047,0))))</x:f>
        <x:v>0</x:v>
      </x:c>
      <x:c r="BV1047">
        <x:f>MAX(0,MIN(BK1047,IF(AND(H1047=1,C1047="重要关系6",LEFT('幕间与结算'!H954,8)="建立新的重要关系"),'幕间与结算'!E954+E1047,BV1046+IF(C1047="重要关系6",E1047,0)+IF(AND(C1047="魅力",E1047&lt;0),E1047,0))))</x:f>
        <x:v>0</x:v>
      </x:c>
      <x:c r="BW1047">
        <x:f>MAX(0,MIN(BK1047,IF(AND(H1047=1,C1047="重要关系7",LEFT('幕间与结算'!H954,8)="建立新的重要关系"),'幕间与结算'!E954+E1047,BW1046+IF(C1047="重要关系7",E1047,0)+IF(AND(C1047="魅力",E1047&lt;0),E1047,0))))</x:f>
        <x:v>0</x:v>
      </x:c>
    </x:row>
    <x:row r="1048">
      <x:c r="A1048" t="str">
        <x:f>IFERROR(TEXT(VALUE('幕间与结算'!A955),"00"),"")</x:f>
        <x:v>00</x:v>
      </x:c>
      <x:c r="B1048">
        <x:f>'幕间与结算'!B955</x:f>
        <x:v>0</x:v>
      </x:c>
      <x:c r="C1048">
        <x:f>'幕间与结算'!D955</x:f>
        <x:v>0</x:v>
      </x:c>
      <x:c r="D1048">
        <x:f>'幕间与结算'!F955</x:f>
        <x:v>0</x:v>
      </x:c>
      <x:c r="E1048">
        <x:f>IF(H1048=1,MAX(-'幕间与结算'!E955,MIN(D1048,IF(LEFT(C1048,3)="技能：",99,IF(COUNTIF($L$2:$L$7,C1048)&gt;0,18,999))-'幕间与结算'!E955)),0)</x:f>
        <x:v>0</x:v>
      </x:c>
      <x:c r="F1048" t="str">
        <x:f>IF(C1048=0,"",IF(G1048=0,"记录不完整",IF(H1048=0,"重复未计","已计入")))</x:f>
        <x:v/>
      </x:c>
      <x:c r="G1048">
        <x:f>IF(AND(AND('幕间与结算'!A955&lt;&gt;"",'幕间与结算'!B955&lt;&gt;"",'幕间与结算'!I955&lt;&gt;"",OR(LEFT(C1048,3)="技能：",COUNTIF($L$2:$L$19,C1048)&gt;0),ISNUMBER('幕间与结算'!E955),ISNUMBER('幕间与结算'!F955),ISNUMBER('幕间与结算'!G955),'幕间与结算'!E955&gt;=0,'幕间与结算'!G955='幕间与结算'!E955+'幕间与结算'!F955),OR(B1048&lt;&gt;"成长",AND(LEFT(C1048,3)="技能：",C1048&lt;&gt;"技能：非自然知识",'幕间与结算'!E955&gt;=1,'幕间与结算'!E955&lt;=99,'幕间与结算'!F955&gt;=0,'幕间与结算'!F955&lt;=4,'幕间与结算'!G955&lt;=99))),1,0)</x:f>
        <x:v>0</x:v>
      </x:c>
      <x:c r="H1048">
        <x:f>IF(AND(G1048=1,COUNTIFS($I$200:I1048,I1048,$G$200:G1048,1)=1),1,0)</x:f>
        <x:v>0</x:v>
      </x:c>
      <x:c r="I1048" t="str">
        <x:f>IF(G1048=1,IF(B1048="成长",A1048&amp;"-成长-"&amp;C1048,'幕间与结算'!I955),"")</x:f>
        <x:v/>
      </x:c>
      <x:c r="BF1048">
        <x:f>MAX(0,MIN(18,BF1047+IF(C1048="力量",E1048,0)))</x:f>
        <x:v>0</x:v>
      </x:c>
      <x:c r="BG1048">
        <x:f>MAX(0,MIN(18,BG1047+IF(C1048="体质",E1048,0)))</x:f>
        <x:v>0</x:v>
      </x:c>
      <x:c r="BH1048">
        <x:f>MAX(0,MIN(18,BH1047+IF(C1048="敏捷",E1048,0)))</x:f>
        <x:v>0</x:v>
      </x:c>
      <x:c r="BI1048">
        <x:f>MAX(0,MIN(18,BI1047+IF(C1048="智力",E1048,0)))</x:f>
        <x:v>0</x:v>
      </x:c>
      <x:c r="BJ1048">
        <x:f>MAX(0,MIN(18,BJ1047+IF(C1048="意志",E1048,0)))</x:f>
        <x:v>0</x:v>
      </x:c>
      <x:c r="BK1048">
        <x:f>MAX(0,MIN(18,BK1047+IF(C1048="魅力",E1048,0)))</x:f>
        <x:v>0</x:v>
      </x:c>
      <x:c r="BL1048">
        <x:f>MAX(0,MIN(99,BL1047+IF(C1048="技能：非自然知识",E1048,0)))</x:f>
        <x:v>0</x:v>
      </x:c>
      <x:c r="BM1048">
        <x:f>MAX(0,MIN(CEILING((BF1048+BG1048)/2,1),BM1047+IF(C1048="体力",E1048,0)))</x:f>
        <x:v>0</x:v>
      </x:c>
      <x:c r="BN1048">
        <x:f>MAX(0,MIN(BJ1048,BN1047+IF(C1048="毅力",E1048,0)))</x:f>
        <x:v>0</x:v>
      </x:c>
      <x:c r="BO1048">
        <x:f>MAX(0,MIN(99-BL1048,BO1047+IF(C1048="理智",E1048,0)))</x:f>
        <x:v>0</x:v>
      </x:c>
      <x:c r="BP1048">
        <x:f>MAX(0,MIN(99,BP1047+IF(C1048="崩溃点",E1048,0)))</x:f>
        <x:v>0</x:v>
      </x:c>
      <x:c r="BQ1048">
        <x:f>MAX(0,MIN(BK1048,IF(AND(H1048=1,C1048="重要关系1",LEFT('幕间与结算'!H955,8)="建立新的重要关系"),'幕间与结算'!E955+E1048,BQ1047+IF(C1048="重要关系1",E1048,0)+IF(AND(C1048="魅力",E1048&lt;0),E1048,0))))</x:f>
        <x:v>0</x:v>
      </x:c>
      <x:c r="BR1048">
        <x:f>MAX(0,MIN(BK1048,IF(AND(H1048=1,C1048="重要关系2",LEFT('幕间与结算'!H955,8)="建立新的重要关系"),'幕间与结算'!E955+E1048,BR1047+IF(C1048="重要关系2",E1048,0)+IF(AND(C1048="魅力",E1048&lt;0),E1048,0))))</x:f>
        <x:v>0</x:v>
      </x:c>
      <x:c r="BS1048">
        <x:f>MAX(0,MIN(BK1048,IF(AND(H1048=1,C1048="重要关系3",LEFT('幕间与结算'!H955,8)="建立新的重要关系"),'幕间与结算'!E955+E1048,BS1047+IF(C1048="重要关系3",E1048,0)+IF(AND(C1048="魅力",E1048&lt;0),E1048,0))))</x:f>
        <x:v>0</x:v>
      </x:c>
      <x:c r="BT1048">
        <x:f>MAX(0,MIN(BK1048,IF(AND(H1048=1,C1048="重要关系4",LEFT('幕间与结算'!H955,8)="建立新的重要关系"),'幕间与结算'!E955+E1048,BT1047+IF(C1048="重要关系4",E1048,0)+IF(AND(C1048="魅力",E1048&lt;0),E1048,0))))</x:f>
        <x:v>0</x:v>
      </x:c>
      <x:c r="BU1048">
        <x:f>MAX(0,MIN(BK1048,IF(AND(H1048=1,C1048="重要关系5",LEFT('幕间与结算'!H955,8)="建立新的重要关系"),'幕间与结算'!E955+E1048,BU1047+IF(C1048="重要关系5",E1048,0)+IF(AND(C1048="魅力",E1048&lt;0),E1048,0))))</x:f>
        <x:v>0</x:v>
      </x:c>
      <x:c r="BV1048">
        <x:f>MAX(0,MIN(BK1048,IF(AND(H1048=1,C1048="重要关系6",LEFT('幕间与结算'!H955,8)="建立新的重要关系"),'幕间与结算'!E955+E1048,BV1047+IF(C1048="重要关系6",E1048,0)+IF(AND(C1048="魅力",E1048&lt;0),E1048,0))))</x:f>
        <x:v>0</x:v>
      </x:c>
      <x:c r="BW1048">
        <x:f>MAX(0,MIN(BK1048,IF(AND(H1048=1,C1048="重要关系7",LEFT('幕间与结算'!H955,8)="建立新的重要关系"),'幕间与结算'!E955+E1048,BW1047+IF(C1048="重要关系7",E1048,0)+IF(AND(C1048="魅力",E1048&lt;0),E1048,0))))</x:f>
        <x:v>0</x:v>
      </x:c>
    </x:row>
    <x:row r="1049">
      <x:c r="A1049" t="str">
        <x:f>IFERROR(TEXT(VALUE('幕间与结算'!A956),"00"),"")</x:f>
        <x:v>00</x:v>
      </x:c>
      <x:c r="B1049">
        <x:f>'幕间与结算'!B956</x:f>
        <x:v>0</x:v>
      </x:c>
      <x:c r="C1049">
        <x:f>'幕间与结算'!D956</x:f>
        <x:v>0</x:v>
      </x:c>
      <x:c r="D1049">
        <x:f>'幕间与结算'!F956</x:f>
        <x:v>0</x:v>
      </x:c>
      <x:c r="E1049">
        <x:f>IF(H1049=1,MAX(-'幕间与结算'!E956,MIN(D1049,IF(LEFT(C1049,3)="技能：",99,IF(COUNTIF($L$2:$L$7,C1049)&gt;0,18,999))-'幕间与结算'!E956)),0)</x:f>
        <x:v>0</x:v>
      </x:c>
      <x:c r="F1049" t="str">
        <x:f>IF(C1049=0,"",IF(G1049=0,"记录不完整",IF(H1049=0,"重复未计","已计入")))</x:f>
        <x:v/>
      </x:c>
      <x:c r="G1049">
        <x:f>IF(AND(AND('幕间与结算'!A956&lt;&gt;"",'幕间与结算'!B956&lt;&gt;"",'幕间与结算'!I956&lt;&gt;"",OR(LEFT(C1049,3)="技能：",COUNTIF($L$2:$L$19,C1049)&gt;0),ISNUMBER('幕间与结算'!E956),ISNUMBER('幕间与结算'!F956),ISNUMBER('幕间与结算'!G956),'幕间与结算'!E956&gt;=0,'幕间与结算'!G956='幕间与结算'!E956+'幕间与结算'!F956),OR(B1049&lt;&gt;"成长",AND(LEFT(C1049,3)="技能：",C1049&lt;&gt;"技能：非自然知识",'幕间与结算'!E956&gt;=1,'幕间与结算'!E956&lt;=99,'幕间与结算'!F956&gt;=0,'幕间与结算'!F956&lt;=4,'幕间与结算'!G956&lt;=99))),1,0)</x:f>
        <x:v>0</x:v>
      </x:c>
      <x:c r="H1049">
        <x:f>IF(AND(G1049=1,COUNTIFS($I$200:I1049,I1049,$G$200:G1049,1)=1),1,0)</x:f>
        <x:v>0</x:v>
      </x:c>
      <x:c r="I1049" t="str">
        <x:f>IF(G1049=1,IF(B1049="成长",A1049&amp;"-成长-"&amp;C1049,'幕间与结算'!I956),"")</x:f>
        <x:v/>
      </x:c>
      <x:c r="BF1049">
        <x:f>MAX(0,MIN(18,BF1048+IF(C1049="力量",E1049,0)))</x:f>
        <x:v>0</x:v>
      </x:c>
      <x:c r="BG1049">
        <x:f>MAX(0,MIN(18,BG1048+IF(C1049="体质",E1049,0)))</x:f>
        <x:v>0</x:v>
      </x:c>
      <x:c r="BH1049">
        <x:f>MAX(0,MIN(18,BH1048+IF(C1049="敏捷",E1049,0)))</x:f>
        <x:v>0</x:v>
      </x:c>
      <x:c r="BI1049">
        <x:f>MAX(0,MIN(18,BI1048+IF(C1049="智力",E1049,0)))</x:f>
        <x:v>0</x:v>
      </x:c>
      <x:c r="BJ1049">
        <x:f>MAX(0,MIN(18,BJ1048+IF(C1049="意志",E1049,0)))</x:f>
        <x:v>0</x:v>
      </x:c>
      <x:c r="BK1049">
        <x:f>MAX(0,MIN(18,BK1048+IF(C1049="魅力",E1049,0)))</x:f>
        <x:v>0</x:v>
      </x:c>
      <x:c r="BL1049">
        <x:f>MAX(0,MIN(99,BL1048+IF(C1049="技能：非自然知识",E1049,0)))</x:f>
        <x:v>0</x:v>
      </x:c>
      <x:c r="BM1049">
        <x:f>MAX(0,MIN(CEILING((BF1049+BG1049)/2,1),BM1048+IF(C1049="体力",E1049,0)))</x:f>
        <x:v>0</x:v>
      </x:c>
      <x:c r="BN1049">
        <x:f>MAX(0,MIN(BJ1049,BN1048+IF(C1049="毅力",E1049,0)))</x:f>
        <x:v>0</x:v>
      </x:c>
      <x:c r="BO1049">
        <x:f>MAX(0,MIN(99-BL1049,BO1048+IF(C1049="理智",E1049,0)))</x:f>
        <x:v>0</x:v>
      </x:c>
      <x:c r="BP1049">
        <x:f>MAX(0,MIN(99,BP1048+IF(C1049="崩溃点",E1049,0)))</x:f>
        <x:v>0</x:v>
      </x:c>
      <x:c r="BQ1049">
        <x:f>MAX(0,MIN(BK1049,IF(AND(H1049=1,C1049="重要关系1",LEFT('幕间与结算'!H956,8)="建立新的重要关系"),'幕间与结算'!E956+E1049,BQ1048+IF(C1049="重要关系1",E1049,0)+IF(AND(C1049="魅力",E1049&lt;0),E1049,0))))</x:f>
        <x:v>0</x:v>
      </x:c>
      <x:c r="BR1049">
        <x:f>MAX(0,MIN(BK1049,IF(AND(H1049=1,C1049="重要关系2",LEFT('幕间与结算'!H956,8)="建立新的重要关系"),'幕间与结算'!E956+E1049,BR1048+IF(C1049="重要关系2",E1049,0)+IF(AND(C1049="魅力",E1049&lt;0),E1049,0))))</x:f>
        <x:v>0</x:v>
      </x:c>
      <x:c r="BS1049">
        <x:f>MAX(0,MIN(BK1049,IF(AND(H1049=1,C1049="重要关系3",LEFT('幕间与结算'!H956,8)="建立新的重要关系"),'幕间与结算'!E956+E1049,BS1048+IF(C1049="重要关系3",E1049,0)+IF(AND(C1049="魅力",E1049&lt;0),E1049,0))))</x:f>
        <x:v>0</x:v>
      </x:c>
      <x:c r="BT1049">
        <x:f>MAX(0,MIN(BK1049,IF(AND(H1049=1,C1049="重要关系4",LEFT('幕间与结算'!H956,8)="建立新的重要关系"),'幕间与结算'!E956+E1049,BT1048+IF(C1049="重要关系4",E1049,0)+IF(AND(C1049="魅力",E1049&lt;0),E1049,0))))</x:f>
        <x:v>0</x:v>
      </x:c>
      <x:c r="BU1049">
        <x:f>MAX(0,MIN(BK1049,IF(AND(H1049=1,C1049="重要关系5",LEFT('幕间与结算'!H956,8)="建立新的重要关系"),'幕间与结算'!E956+E1049,BU1048+IF(C1049="重要关系5",E1049,0)+IF(AND(C1049="魅力",E1049&lt;0),E1049,0))))</x:f>
        <x:v>0</x:v>
      </x:c>
      <x:c r="BV1049">
        <x:f>MAX(0,MIN(BK1049,IF(AND(H1049=1,C1049="重要关系6",LEFT('幕间与结算'!H956,8)="建立新的重要关系"),'幕间与结算'!E956+E1049,BV1048+IF(C1049="重要关系6",E1049,0)+IF(AND(C1049="魅力",E1049&lt;0),E1049,0))))</x:f>
        <x:v>0</x:v>
      </x:c>
      <x:c r="BW1049">
        <x:f>MAX(0,MIN(BK1049,IF(AND(H1049=1,C1049="重要关系7",LEFT('幕间与结算'!H956,8)="建立新的重要关系"),'幕间与结算'!E956+E1049,BW1048+IF(C1049="重要关系7",E1049,0)+IF(AND(C1049="魅力",E1049&lt;0),E1049,0))))</x:f>
        <x:v>0</x:v>
      </x:c>
    </x:row>
    <x:row r="1050">
      <x:c r="A1050" t="str">
        <x:f>IFERROR(TEXT(VALUE('幕间与结算'!A957),"00"),"")</x:f>
        <x:v>00</x:v>
      </x:c>
      <x:c r="B1050">
        <x:f>'幕间与结算'!B957</x:f>
        <x:v>0</x:v>
      </x:c>
      <x:c r="C1050">
        <x:f>'幕间与结算'!D957</x:f>
        <x:v>0</x:v>
      </x:c>
      <x:c r="D1050">
        <x:f>'幕间与结算'!F957</x:f>
        <x:v>0</x:v>
      </x:c>
      <x:c r="E1050">
        <x:f>IF(H1050=1,MAX(-'幕间与结算'!E957,MIN(D1050,IF(LEFT(C1050,3)="技能：",99,IF(COUNTIF($L$2:$L$7,C1050)&gt;0,18,999))-'幕间与结算'!E957)),0)</x:f>
        <x:v>0</x:v>
      </x:c>
      <x:c r="F1050" t="str">
        <x:f>IF(C1050=0,"",IF(G1050=0,"记录不完整",IF(H1050=0,"重复未计","已计入")))</x:f>
        <x:v/>
      </x:c>
      <x:c r="G1050">
        <x:f>IF(AND(AND('幕间与结算'!A957&lt;&gt;"",'幕间与结算'!B957&lt;&gt;"",'幕间与结算'!I957&lt;&gt;"",OR(LEFT(C1050,3)="技能：",COUNTIF($L$2:$L$19,C1050)&gt;0),ISNUMBER('幕间与结算'!E957),ISNUMBER('幕间与结算'!F957),ISNUMBER('幕间与结算'!G957),'幕间与结算'!E957&gt;=0,'幕间与结算'!G957='幕间与结算'!E957+'幕间与结算'!F957),OR(B1050&lt;&gt;"成长",AND(LEFT(C1050,3)="技能：",C1050&lt;&gt;"技能：非自然知识",'幕间与结算'!E957&gt;=1,'幕间与结算'!E957&lt;=99,'幕间与结算'!F957&gt;=0,'幕间与结算'!F957&lt;=4,'幕间与结算'!G957&lt;=99))),1,0)</x:f>
        <x:v>0</x:v>
      </x:c>
      <x:c r="H1050">
        <x:f>IF(AND(G1050=1,COUNTIFS($I$200:I1050,I1050,$G$200:G1050,1)=1),1,0)</x:f>
        <x:v>0</x:v>
      </x:c>
      <x:c r="I1050" t="str">
        <x:f>IF(G1050=1,IF(B1050="成长",A1050&amp;"-成长-"&amp;C1050,'幕间与结算'!I957),"")</x:f>
        <x:v/>
      </x:c>
      <x:c r="BF1050">
        <x:f>MAX(0,MIN(18,BF1049+IF(C1050="力量",E1050,0)))</x:f>
        <x:v>0</x:v>
      </x:c>
      <x:c r="BG1050">
        <x:f>MAX(0,MIN(18,BG1049+IF(C1050="体质",E1050,0)))</x:f>
        <x:v>0</x:v>
      </x:c>
      <x:c r="BH1050">
        <x:f>MAX(0,MIN(18,BH1049+IF(C1050="敏捷",E1050,0)))</x:f>
        <x:v>0</x:v>
      </x:c>
      <x:c r="BI1050">
        <x:f>MAX(0,MIN(18,BI1049+IF(C1050="智力",E1050,0)))</x:f>
        <x:v>0</x:v>
      </x:c>
      <x:c r="BJ1050">
        <x:f>MAX(0,MIN(18,BJ1049+IF(C1050="意志",E1050,0)))</x:f>
        <x:v>0</x:v>
      </x:c>
      <x:c r="BK1050">
        <x:f>MAX(0,MIN(18,BK1049+IF(C1050="魅力",E1050,0)))</x:f>
        <x:v>0</x:v>
      </x:c>
      <x:c r="BL1050">
        <x:f>MAX(0,MIN(99,BL1049+IF(C1050="技能：非自然知识",E1050,0)))</x:f>
        <x:v>0</x:v>
      </x:c>
      <x:c r="BM1050">
        <x:f>MAX(0,MIN(CEILING((BF1050+BG1050)/2,1),BM1049+IF(C1050="体力",E1050,0)))</x:f>
        <x:v>0</x:v>
      </x:c>
      <x:c r="BN1050">
        <x:f>MAX(0,MIN(BJ1050,BN1049+IF(C1050="毅力",E1050,0)))</x:f>
        <x:v>0</x:v>
      </x:c>
      <x:c r="BO1050">
        <x:f>MAX(0,MIN(99-BL1050,BO1049+IF(C1050="理智",E1050,0)))</x:f>
        <x:v>0</x:v>
      </x:c>
      <x:c r="BP1050">
        <x:f>MAX(0,MIN(99,BP1049+IF(C1050="崩溃点",E1050,0)))</x:f>
        <x:v>0</x:v>
      </x:c>
      <x:c r="BQ1050">
        <x:f>MAX(0,MIN(BK1050,IF(AND(H1050=1,C1050="重要关系1",LEFT('幕间与结算'!H957,8)="建立新的重要关系"),'幕间与结算'!E957+E1050,BQ1049+IF(C1050="重要关系1",E1050,0)+IF(AND(C1050="魅力",E1050&lt;0),E1050,0))))</x:f>
        <x:v>0</x:v>
      </x:c>
      <x:c r="BR1050">
        <x:f>MAX(0,MIN(BK1050,IF(AND(H1050=1,C1050="重要关系2",LEFT('幕间与结算'!H957,8)="建立新的重要关系"),'幕间与结算'!E957+E1050,BR1049+IF(C1050="重要关系2",E1050,0)+IF(AND(C1050="魅力",E1050&lt;0),E1050,0))))</x:f>
        <x:v>0</x:v>
      </x:c>
      <x:c r="BS1050">
        <x:f>MAX(0,MIN(BK1050,IF(AND(H1050=1,C1050="重要关系3",LEFT('幕间与结算'!H957,8)="建立新的重要关系"),'幕间与结算'!E957+E1050,BS1049+IF(C1050="重要关系3",E1050,0)+IF(AND(C1050="魅力",E1050&lt;0),E1050,0))))</x:f>
        <x:v>0</x:v>
      </x:c>
      <x:c r="BT1050">
        <x:f>MAX(0,MIN(BK1050,IF(AND(H1050=1,C1050="重要关系4",LEFT('幕间与结算'!H957,8)="建立新的重要关系"),'幕间与结算'!E957+E1050,BT1049+IF(C1050="重要关系4",E1050,0)+IF(AND(C1050="魅力",E1050&lt;0),E1050,0))))</x:f>
        <x:v>0</x:v>
      </x:c>
      <x:c r="BU1050">
        <x:f>MAX(0,MIN(BK1050,IF(AND(H1050=1,C1050="重要关系5",LEFT('幕间与结算'!H957,8)="建立新的重要关系"),'幕间与结算'!E957+E1050,BU1049+IF(C1050="重要关系5",E1050,0)+IF(AND(C1050="魅力",E1050&lt;0),E1050,0))))</x:f>
        <x:v>0</x:v>
      </x:c>
      <x:c r="BV1050">
        <x:f>MAX(0,MIN(BK1050,IF(AND(H1050=1,C1050="重要关系6",LEFT('幕间与结算'!H957,8)="建立新的重要关系"),'幕间与结算'!E957+E1050,BV1049+IF(C1050="重要关系6",E1050,0)+IF(AND(C1050="魅力",E1050&lt;0),E1050,0))))</x:f>
        <x:v>0</x:v>
      </x:c>
      <x:c r="BW1050">
        <x:f>MAX(0,MIN(BK1050,IF(AND(H1050=1,C1050="重要关系7",LEFT('幕间与结算'!H957,8)="建立新的重要关系"),'幕间与结算'!E957+E1050,BW1049+IF(C1050="重要关系7",E1050,0)+IF(AND(C1050="魅力",E1050&lt;0),E1050,0))))</x:f>
        <x:v>0</x:v>
      </x:c>
    </x:row>
    <x:row r="1051">
      <x:c r="A1051" t="str">
        <x:f>IFERROR(TEXT(VALUE('幕间与结算'!A958),"00"),"")</x:f>
        <x:v>00</x:v>
      </x:c>
      <x:c r="B1051">
        <x:f>'幕间与结算'!B958</x:f>
        <x:v>0</x:v>
      </x:c>
      <x:c r="C1051">
        <x:f>'幕间与结算'!D958</x:f>
        <x:v>0</x:v>
      </x:c>
      <x:c r="D1051">
        <x:f>'幕间与结算'!F958</x:f>
        <x:v>0</x:v>
      </x:c>
      <x:c r="E1051">
        <x:f>IF(H1051=1,MAX(-'幕间与结算'!E958,MIN(D1051,IF(LEFT(C1051,3)="技能：",99,IF(COUNTIF($L$2:$L$7,C1051)&gt;0,18,999))-'幕间与结算'!E958)),0)</x:f>
        <x:v>0</x:v>
      </x:c>
      <x:c r="F1051" t="str">
        <x:f>IF(C1051=0,"",IF(G1051=0,"记录不完整",IF(H1051=0,"重复未计","已计入")))</x:f>
        <x:v/>
      </x:c>
      <x:c r="G1051">
        <x:f>IF(AND(AND('幕间与结算'!A958&lt;&gt;"",'幕间与结算'!B958&lt;&gt;"",'幕间与结算'!I958&lt;&gt;"",OR(LEFT(C1051,3)="技能：",COUNTIF($L$2:$L$19,C1051)&gt;0),ISNUMBER('幕间与结算'!E958),ISNUMBER('幕间与结算'!F958),ISNUMBER('幕间与结算'!G958),'幕间与结算'!E958&gt;=0,'幕间与结算'!G958='幕间与结算'!E958+'幕间与结算'!F958),OR(B1051&lt;&gt;"成长",AND(LEFT(C1051,3)="技能：",C1051&lt;&gt;"技能：非自然知识",'幕间与结算'!E958&gt;=1,'幕间与结算'!E958&lt;=99,'幕间与结算'!F958&gt;=0,'幕间与结算'!F958&lt;=4,'幕间与结算'!G958&lt;=99))),1,0)</x:f>
        <x:v>0</x:v>
      </x:c>
      <x:c r="H1051">
        <x:f>IF(AND(G1051=1,COUNTIFS($I$200:I1051,I1051,$G$200:G1051,1)=1),1,0)</x:f>
        <x:v>0</x:v>
      </x:c>
      <x:c r="I1051" t="str">
        <x:f>IF(G1051=1,IF(B1051="成长",A1051&amp;"-成长-"&amp;C1051,'幕间与结算'!I958),"")</x:f>
        <x:v/>
      </x:c>
      <x:c r="BF1051">
        <x:f>MAX(0,MIN(18,BF1050+IF(C1051="力量",E1051,0)))</x:f>
        <x:v>0</x:v>
      </x:c>
      <x:c r="BG1051">
        <x:f>MAX(0,MIN(18,BG1050+IF(C1051="体质",E1051,0)))</x:f>
        <x:v>0</x:v>
      </x:c>
      <x:c r="BH1051">
        <x:f>MAX(0,MIN(18,BH1050+IF(C1051="敏捷",E1051,0)))</x:f>
        <x:v>0</x:v>
      </x:c>
      <x:c r="BI1051">
        <x:f>MAX(0,MIN(18,BI1050+IF(C1051="智力",E1051,0)))</x:f>
        <x:v>0</x:v>
      </x:c>
      <x:c r="BJ1051">
        <x:f>MAX(0,MIN(18,BJ1050+IF(C1051="意志",E1051,0)))</x:f>
        <x:v>0</x:v>
      </x:c>
      <x:c r="BK1051">
        <x:f>MAX(0,MIN(18,BK1050+IF(C1051="魅力",E1051,0)))</x:f>
        <x:v>0</x:v>
      </x:c>
      <x:c r="BL1051">
        <x:f>MAX(0,MIN(99,BL1050+IF(C1051="技能：非自然知识",E1051,0)))</x:f>
        <x:v>0</x:v>
      </x:c>
      <x:c r="BM1051">
        <x:f>MAX(0,MIN(CEILING((BF1051+BG1051)/2,1),BM1050+IF(C1051="体力",E1051,0)))</x:f>
        <x:v>0</x:v>
      </x:c>
      <x:c r="BN1051">
        <x:f>MAX(0,MIN(BJ1051,BN1050+IF(C1051="毅力",E1051,0)))</x:f>
        <x:v>0</x:v>
      </x:c>
      <x:c r="BO1051">
        <x:f>MAX(0,MIN(99-BL1051,BO1050+IF(C1051="理智",E1051,0)))</x:f>
        <x:v>0</x:v>
      </x:c>
      <x:c r="BP1051">
        <x:f>MAX(0,MIN(99,BP1050+IF(C1051="崩溃点",E1051,0)))</x:f>
        <x:v>0</x:v>
      </x:c>
      <x:c r="BQ1051">
        <x:f>MAX(0,MIN(BK1051,IF(AND(H1051=1,C1051="重要关系1",LEFT('幕间与结算'!H958,8)="建立新的重要关系"),'幕间与结算'!E958+E1051,BQ1050+IF(C1051="重要关系1",E1051,0)+IF(AND(C1051="魅力",E1051&lt;0),E1051,0))))</x:f>
        <x:v>0</x:v>
      </x:c>
      <x:c r="BR1051">
        <x:f>MAX(0,MIN(BK1051,IF(AND(H1051=1,C1051="重要关系2",LEFT('幕间与结算'!H958,8)="建立新的重要关系"),'幕间与结算'!E958+E1051,BR1050+IF(C1051="重要关系2",E1051,0)+IF(AND(C1051="魅力",E1051&lt;0),E1051,0))))</x:f>
        <x:v>0</x:v>
      </x:c>
      <x:c r="BS1051">
        <x:f>MAX(0,MIN(BK1051,IF(AND(H1051=1,C1051="重要关系3",LEFT('幕间与结算'!H958,8)="建立新的重要关系"),'幕间与结算'!E958+E1051,BS1050+IF(C1051="重要关系3",E1051,0)+IF(AND(C1051="魅力",E1051&lt;0),E1051,0))))</x:f>
        <x:v>0</x:v>
      </x:c>
      <x:c r="BT1051">
        <x:f>MAX(0,MIN(BK1051,IF(AND(H1051=1,C1051="重要关系4",LEFT('幕间与结算'!H958,8)="建立新的重要关系"),'幕间与结算'!E958+E1051,BT1050+IF(C1051="重要关系4",E1051,0)+IF(AND(C1051="魅力",E1051&lt;0),E1051,0))))</x:f>
        <x:v>0</x:v>
      </x:c>
      <x:c r="BU1051">
        <x:f>MAX(0,MIN(BK1051,IF(AND(H1051=1,C1051="重要关系5",LEFT('幕间与结算'!H958,8)="建立新的重要关系"),'幕间与结算'!E958+E1051,BU1050+IF(C1051="重要关系5",E1051,0)+IF(AND(C1051="魅力",E1051&lt;0),E1051,0))))</x:f>
        <x:v>0</x:v>
      </x:c>
      <x:c r="BV1051">
        <x:f>MAX(0,MIN(BK1051,IF(AND(H1051=1,C1051="重要关系6",LEFT('幕间与结算'!H958,8)="建立新的重要关系"),'幕间与结算'!E958+E1051,BV1050+IF(C1051="重要关系6",E1051,0)+IF(AND(C1051="魅力",E1051&lt;0),E1051,0))))</x:f>
        <x:v>0</x:v>
      </x:c>
      <x:c r="BW1051">
        <x:f>MAX(0,MIN(BK1051,IF(AND(H1051=1,C1051="重要关系7",LEFT('幕间与结算'!H958,8)="建立新的重要关系"),'幕间与结算'!E958+E1051,BW1050+IF(C1051="重要关系7",E1051,0)+IF(AND(C1051="魅力",E1051&lt;0),E1051,0))))</x:f>
        <x:v>0</x:v>
      </x:c>
    </x:row>
    <x:row r="1052">
      <x:c r="A1052" t="str">
        <x:f>IFERROR(TEXT(VALUE('幕间与结算'!A959),"00"),"")</x:f>
        <x:v>00</x:v>
      </x:c>
      <x:c r="B1052">
        <x:f>'幕间与结算'!B959</x:f>
        <x:v>0</x:v>
      </x:c>
      <x:c r="C1052">
        <x:f>'幕间与结算'!D959</x:f>
        <x:v>0</x:v>
      </x:c>
      <x:c r="D1052">
        <x:f>'幕间与结算'!F959</x:f>
        <x:v>0</x:v>
      </x:c>
      <x:c r="E1052">
        <x:f>IF(H1052=1,MAX(-'幕间与结算'!E959,MIN(D1052,IF(LEFT(C1052,3)="技能：",99,IF(COUNTIF($L$2:$L$7,C1052)&gt;0,18,999))-'幕间与结算'!E959)),0)</x:f>
        <x:v>0</x:v>
      </x:c>
      <x:c r="F1052" t="str">
        <x:f>IF(C1052=0,"",IF(G1052=0,"记录不完整",IF(H1052=0,"重复未计","已计入")))</x:f>
        <x:v/>
      </x:c>
      <x:c r="G1052">
        <x:f>IF(AND(AND('幕间与结算'!A959&lt;&gt;"",'幕间与结算'!B959&lt;&gt;"",'幕间与结算'!I959&lt;&gt;"",OR(LEFT(C1052,3)="技能：",COUNTIF($L$2:$L$19,C1052)&gt;0),ISNUMBER('幕间与结算'!E959),ISNUMBER('幕间与结算'!F959),ISNUMBER('幕间与结算'!G959),'幕间与结算'!E959&gt;=0,'幕间与结算'!G959='幕间与结算'!E959+'幕间与结算'!F959),OR(B1052&lt;&gt;"成长",AND(LEFT(C1052,3)="技能：",C1052&lt;&gt;"技能：非自然知识",'幕间与结算'!E959&gt;=1,'幕间与结算'!E959&lt;=99,'幕间与结算'!F959&gt;=0,'幕间与结算'!F959&lt;=4,'幕间与结算'!G959&lt;=99))),1,0)</x:f>
        <x:v>0</x:v>
      </x:c>
      <x:c r="H1052">
        <x:f>IF(AND(G1052=1,COUNTIFS($I$200:I1052,I1052,$G$200:G1052,1)=1),1,0)</x:f>
        <x:v>0</x:v>
      </x:c>
      <x:c r="I1052" t="str">
        <x:f>IF(G1052=1,IF(B1052="成长",A1052&amp;"-成长-"&amp;C1052,'幕间与结算'!I959),"")</x:f>
        <x:v/>
      </x:c>
      <x:c r="BF1052">
        <x:f>MAX(0,MIN(18,BF1051+IF(C1052="力量",E1052,0)))</x:f>
        <x:v>0</x:v>
      </x:c>
      <x:c r="BG1052">
        <x:f>MAX(0,MIN(18,BG1051+IF(C1052="体质",E1052,0)))</x:f>
        <x:v>0</x:v>
      </x:c>
      <x:c r="BH1052">
        <x:f>MAX(0,MIN(18,BH1051+IF(C1052="敏捷",E1052,0)))</x:f>
        <x:v>0</x:v>
      </x:c>
      <x:c r="BI1052">
        <x:f>MAX(0,MIN(18,BI1051+IF(C1052="智力",E1052,0)))</x:f>
        <x:v>0</x:v>
      </x:c>
      <x:c r="BJ1052">
        <x:f>MAX(0,MIN(18,BJ1051+IF(C1052="意志",E1052,0)))</x:f>
        <x:v>0</x:v>
      </x:c>
      <x:c r="BK1052">
        <x:f>MAX(0,MIN(18,BK1051+IF(C1052="魅力",E1052,0)))</x:f>
        <x:v>0</x:v>
      </x:c>
      <x:c r="BL1052">
        <x:f>MAX(0,MIN(99,BL1051+IF(C1052="技能：非自然知识",E1052,0)))</x:f>
        <x:v>0</x:v>
      </x:c>
      <x:c r="BM1052">
        <x:f>MAX(0,MIN(CEILING((BF1052+BG1052)/2,1),BM1051+IF(C1052="体力",E1052,0)))</x:f>
        <x:v>0</x:v>
      </x:c>
      <x:c r="BN1052">
        <x:f>MAX(0,MIN(BJ1052,BN1051+IF(C1052="毅力",E1052,0)))</x:f>
        <x:v>0</x:v>
      </x:c>
      <x:c r="BO1052">
        <x:f>MAX(0,MIN(99-BL1052,BO1051+IF(C1052="理智",E1052,0)))</x:f>
        <x:v>0</x:v>
      </x:c>
      <x:c r="BP1052">
        <x:f>MAX(0,MIN(99,BP1051+IF(C1052="崩溃点",E1052,0)))</x:f>
        <x:v>0</x:v>
      </x:c>
      <x:c r="BQ1052">
        <x:f>MAX(0,MIN(BK1052,IF(AND(H1052=1,C1052="重要关系1",LEFT('幕间与结算'!H959,8)="建立新的重要关系"),'幕间与结算'!E959+E1052,BQ1051+IF(C1052="重要关系1",E1052,0)+IF(AND(C1052="魅力",E1052&lt;0),E1052,0))))</x:f>
        <x:v>0</x:v>
      </x:c>
      <x:c r="BR1052">
        <x:f>MAX(0,MIN(BK1052,IF(AND(H1052=1,C1052="重要关系2",LEFT('幕间与结算'!H959,8)="建立新的重要关系"),'幕间与结算'!E959+E1052,BR1051+IF(C1052="重要关系2",E1052,0)+IF(AND(C1052="魅力",E1052&lt;0),E1052,0))))</x:f>
        <x:v>0</x:v>
      </x:c>
      <x:c r="BS1052">
        <x:f>MAX(0,MIN(BK1052,IF(AND(H1052=1,C1052="重要关系3",LEFT('幕间与结算'!H959,8)="建立新的重要关系"),'幕间与结算'!E959+E1052,BS1051+IF(C1052="重要关系3",E1052,0)+IF(AND(C1052="魅力",E1052&lt;0),E1052,0))))</x:f>
        <x:v>0</x:v>
      </x:c>
      <x:c r="BT1052">
        <x:f>MAX(0,MIN(BK1052,IF(AND(H1052=1,C1052="重要关系4",LEFT('幕间与结算'!H959,8)="建立新的重要关系"),'幕间与结算'!E959+E1052,BT1051+IF(C1052="重要关系4",E1052,0)+IF(AND(C1052="魅力",E1052&lt;0),E1052,0))))</x:f>
        <x:v>0</x:v>
      </x:c>
      <x:c r="BU1052">
        <x:f>MAX(0,MIN(BK1052,IF(AND(H1052=1,C1052="重要关系5",LEFT('幕间与结算'!H959,8)="建立新的重要关系"),'幕间与结算'!E959+E1052,BU1051+IF(C1052="重要关系5",E1052,0)+IF(AND(C1052="魅力",E1052&lt;0),E1052,0))))</x:f>
        <x:v>0</x:v>
      </x:c>
      <x:c r="BV1052">
        <x:f>MAX(0,MIN(BK1052,IF(AND(H1052=1,C1052="重要关系6",LEFT('幕间与结算'!H959,8)="建立新的重要关系"),'幕间与结算'!E959+E1052,BV1051+IF(C1052="重要关系6",E1052,0)+IF(AND(C1052="魅力",E1052&lt;0),E1052,0))))</x:f>
        <x:v>0</x:v>
      </x:c>
      <x:c r="BW1052">
        <x:f>MAX(0,MIN(BK1052,IF(AND(H1052=1,C1052="重要关系7",LEFT('幕间与结算'!H959,8)="建立新的重要关系"),'幕间与结算'!E959+E1052,BW1051+IF(C1052="重要关系7",E1052,0)+IF(AND(C1052="魅力",E1052&lt;0),E1052,0))))</x:f>
        <x:v>0</x:v>
      </x:c>
    </x:row>
    <x:row r="1053">
      <x:c r="A1053" t="str">
        <x:f>IFERROR(TEXT(VALUE('幕间与结算'!A960),"00"),"")</x:f>
        <x:v>00</x:v>
      </x:c>
      <x:c r="B1053">
        <x:f>'幕间与结算'!B960</x:f>
        <x:v>0</x:v>
      </x:c>
      <x:c r="C1053">
        <x:f>'幕间与结算'!D960</x:f>
        <x:v>0</x:v>
      </x:c>
      <x:c r="D1053">
        <x:f>'幕间与结算'!F960</x:f>
        <x:v>0</x:v>
      </x:c>
      <x:c r="E1053">
        <x:f>IF(H1053=1,MAX(-'幕间与结算'!E960,MIN(D1053,IF(LEFT(C1053,3)="技能：",99,IF(COUNTIF($L$2:$L$7,C1053)&gt;0,18,999))-'幕间与结算'!E960)),0)</x:f>
        <x:v>0</x:v>
      </x:c>
      <x:c r="F1053" t="str">
        <x:f>IF(C1053=0,"",IF(G1053=0,"记录不完整",IF(H1053=0,"重复未计","已计入")))</x:f>
        <x:v/>
      </x:c>
      <x:c r="G1053">
        <x:f>IF(AND(AND('幕间与结算'!A960&lt;&gt;"",'幕间与结算'!B960&lt;&gt;"",'幕间与结算'!I960&lt;&gt;"",OR(LEFT(C1053,3)="技能：",COUNTIF($L$2:$L$19,C1053)&gt;0),ISNUMBER('幕间与结算'!E960),ISNUMBER('幕间与结算'!F960),ISNUMBER('幕间与结算'!G960),'幕间与结算'!E960&gt;=0,'幕间与结算'!G960='幕间与结算'!E960+'幕间与结算'!F960),OR(B1053&lt;&gt;"成长",AND(LEFT(C1053,3)="技能：",C1053&lt;&gt;"技能：非自然知识",'幕间与结算'!E960&gt;=1,'幕间与结算'!E960&lt;=99,'幕间与结算'!F960&gt;=0,'幕间与结算'!F960&lt;=4,'幕间与结算'!G960&lt;=99))),1,0)</x:f>
        <x:v>0</x:v>
      </x:c>
      <x:c r="H1053">
        <x:f>IF(AND(G1053=1,COUNTIFS($I$200:I1053,I1053,$G$200:G1053,1)=1),1,0)</x:f>
        <x:v>0</x:v>
      </x:c>
      <x:c r="I1053" t="str">
        <x:f>IF(G1053=1,IF(B1053="成长",A1053&amp;"-成长-"&amp;C1053,'幕间与结算'!I960),"")</x:f>
        <x:v/>
      </x:c>
      <x:c r="BF1053">
        <x:f>MAX(0,MIN(18,BF1052+IF(C1053="力量",E1053,0)))</x:f>
        <x:v>0</x:v>
      </x:c>
      <x:c r="BG1053">
        <x:f>MAX(0,MIN(18,BG1052+IF(C1053="体质",E1053,0)))</x:f>
        <x:v>0</x:v>
      </x:c>
      <x:c r="BH1053">
        <x:f>MAX(0,MIN(18,BH1052+IF(C1053="敏捷",E1053,0)))</x:f>
        <x:v>0</x:v>
      </x:c>
      <x:c r="BI1053">
        <x:f>MAX(0,MIN(18,BI1052+IF(C1053="智力",E1053,0)))</x:f>
        <x:v>0</x:v>
      </x:c>
      <x:c r="BJ1053">
        <x:f>MAX(0,MIN(18,BJ1052+IF(C1053="意志",E1053,0)))</x:f>
        <x:v>0</x:v>
      </x:c>
      <x:c r="BK1053">
        <x:f>MAX(0,MIN(18,BK1052+IF(C1053="魅力",E1053,0)))</x:f>
        <x:v>0</x:v>
      </x:c>
      <x:c r="BL1053">
        <x:f>MAX(0,MIN(99,BL1052+IF(C1053="技能：非自然知识",E1053,0)))</x:f>
        <x:v>0</x:v>
      </x:c>
      <x:c r="BM1053">
        <x:f>MAX(0,MIN(CEILING((BF1053+BG1053)/2,1),BM1052+IF(C1053="体力",E1053,0)))</x:f>
        <x:v>0</x:v>
      </x:c>
      <x:c r="BN1053">
        <x:f>MAX(0,MIN(BJ1053,BN1052+IF(C1053="毅力",E1053,0)))</x:f>
        <x:v>0</x:v>
      </x:c>
      <x:c r="BO1053">
        <x:f>MAX(0,MIN(99-BL1053,BO1052+IF(C1053="理智",E1053,0)))</x:f>
        <x:v>0</x:v>
      </x:c>
      <x:c r="BP1053">
        <x:f>MAX(0,MIN(99,BP1052+IF(C1053="崩溃点",E1053,0)))</x:f>
        <x:v>0</x:v>
      </x:c>
      <x:c r="BQ1053">
        <x:f>MAX(0,MIN(BK1053,IF(AND(H1053=1,C1053="重要关系1",LEFT('幕间与结算'!H960,8)="建立新的重要关系"),'幕间与结算'!E960+E1053,BQ1052+IF(C1053="重要关系1",E1053,0)+IF(AND(C1053="魅力",E1053&lt;0),E1053,0))))</x:f>
        <x:v>0</x:v>
      </x:c>
      <x:c r="BR1053">
        <x:f>MAX(0,MIN(BK1053,IF(AND(H1053=1,C1053="重要关系2",LEFT('幕间与结算'!H960,8)="建立新的重要关系"),'幕间与结算'!E960+E1053,BR1052+IF(C1053="重要关系2",E1053,0)+IF(AND(C1053="魅力",E1053&lt;0),E1053,0))))</x:f>
        <x:v>0</x:v>
      </x:c>
      <x:c r="BS1053">
        <x:f>MAX(0,MIN(BK1053,IF(AND(H1053=1,C1053="重要关系3",LEFT('幕间与结算'!H960,8)="建立新的重要关系"),'幕间与结算'!E960+E1053,BS1052+IF(C1053="重要关系3",E1053,0)+IF(AND(C1053="魅力",E1053&lt;0),E1053,0))))</x:f>
        <x:v>0</x:v>
      </x:c>
      <x:c r="BT1053">
        <x:f>MAX(0,MIN(BK1053,IF(AND(H1053=1,C1053="重要关系4",LEFT('幕间与结算'!H960,8)="建立新的重要关系"),'幕间与结算'!E960+E1053,BT1052+IF(C1053="重要关系4",E1053,0)+IF(AND(C1053="魅力",E1053&lt;0),E1053,0))))</x:f>
        <x:v>0</x:v>
      </x:c>
      <x:c r="BU1053">
        <x:f>MAX(0,MIN(BK1053,IF(AND(H1053=1,C1053="重要关系5",LEFT('幕间与结算'!H960,8)="建立新的重要关系"),'幕间与结算'!E960+E1053,BU1052+IF(C1053="重要关系5",E1053,0)+IF(AND(C1053="魅力",E1053&lt;0),E1053,0))))</x:f>
        <x:v>0</x:v>
      </x:c>
      <x:c r="BV1053">
        <x:f>MAX(0,MIN(BK1053,IF(AND(H1053=1,C1053="重要关系6",LEFT('幕间与结算'!H960,8)="建立新的重要关系"),'幕间与结算'!E960+E1053,BV1052+IF(C1053="重要关系6",E1053,0)+IF(AND(C1053="魅力",E1053&lt;0),E1053,0))))</x:f>
        <x:v>0</x:v>
      </x:c>
      <x:c r="BW1053">
        <x:f>MAX(0,MIN(BK1053,IF(AND(H1053=1,C1053="重要关系7",LEFT('幕间与结算'!H960,8)="建立新的重要关系"),'幕间与结算'!E960+E1053,BW1052+IF(C1053="重要关系7",E1053,0)+IF(AND(C1053="魅力",E1053&lt;0),E1053,0))))</x:f>
        <x:v>0</x:v>
      </x:c>
    </x:row>
    <x:row r="1054">
      <x:c r="A1054" t="str">
        <x:f>IFERROR(TEXT(VALUE('幕间与结算'!A961),"00"),"")</x:f>
        <x:v>00</x:v>
      </x:c>
      <x:c r="B1054">
        <x:f>'幕间与结算'!B961</x:f>
        <x:v>0</x:v>
      </x:c>
      <x:c r="C1054">
        <x:f>'幕间与结算'!D961</x:f>
        <x:v>0</x:v>
      </x:c>
      <x:c r="D1054">
        <x:f>'幕间与结算'!F961</x:f>
        <x:v>0</x:v>
      </x:c>
      <x:c r="E1054">
        <x:f>IF(H1054=1,MAX(-'幕间与结算'!E961,MIN(D1054,IF(LEFT(C1054,3)="技能：",99,IF(COUNTIF($L$2:$L$7,C1054)&gt;0,18,999))-'幕间与结算'!E961)),0)</x:f>
        <x:v>0</x:v>
      </x:c>
      <x:c r="F1054" t="str">
        <x:f>IF(C1054=0,"",IF(G1054=0,"记录不完整",IF(H1054=0,"重复未计","已计入")))</x:f>
        <x:v/>
      </x:c>
      <x:c r="G1054">
        <x:f>IF(AND(AND('幕间与结算'!A961&lt;&gt;"",'幕间与结算'!B961&lt;&gt;"",'幕间与结算'!I961&lt;&gt;"",OR(LEFT(C1054,3)="技能：",COUNTIF($L$2:$L$19,C1054)&gt;0),ISNUMBER('幕间与结算'!E961),ISNUMBER('幕间与结算'!F961),ISNUMBER('幕间与结算'!G961),'幕间与结算'!E961&gt;=0,'幕间与结算'!G961='幕间与结算'!E961+'幕间与结算'!F961),OR(B1054&lt;&gt;"成长",AND(LEFT(C1054,3)="技能：",C1054&lt;&gt;"技能：非自然知识",'幕间与结算'!E961&gt;=1,'幕间与结算'!E961&lt;=99,'幕间与结算'!F961&gt;=0,'幕间与结算'!F961&lt;=4,'幕间与结算'!G961&lt;=99))),1,0)</x:f>
        <x:v>0</x:v>
      </x:c>
      <x:c r="H1054">
        <x:f>IF(AND(G1054=1,COUNTIFS($I$200:I1054,I1054,$G$200:G1054,1)=1),1,0)</x:f>
        <x:v>0</x:v>
      </x:c>
      <x:c r="I1054" t="str">
        <x:f>IF(G1054=1,IF(B1054="成长",A1054&amp;"-成长-"&amp;C1054,'幕间与结算'!I961),"")</x:f>
        <x:v/>
      </x:c>
      <x:c r="BF1054">
        <x:f>MAX(0,MIN(18,BF1053+IF(C1054="力量",E1054,0)))</x:f>
        <x:v>0</x:v>
      </x:c>
      <x:c r="BG1054">
        <x:f>MAX(0,MIN(18,BG1053+IF(C1054="体质",E1054,0)))</x:f>
        <x:v>0</x:v>
      </x:c>
      <x:c r="BH1054">
        <x:f>MAX(0,MIN(18,BH1053+IF(C1054="敏捷",E1054,0)))</x:f>
        <x:v>0</x:v>
      </x:c>
      <x:c r="BI1054">
        <x:f>MAX(0,MIN(18,BI1053+IF(C1054="智力",E1054,0)))</x:f>
        <x:v>0</x:v>
      </x:c>
      <x:c r="BJ1054">
        <x:f>MAX(0,MIN(18,BJ1053+IF(C1054="意志",E1054,0)))</x:f>
        <x:v>0</x:v>
      </x:c>
      <x:c r="BK1054">
        <x:f>MAX(0,MIN(18,BK1053+IF(C1054="魅力",E1054,0)))</x:f>
        <x:v>0</x:v>
      </x:c>
      <x:c r="BL1054">
        <x:f>MAX(0,MIN(99,BL1053+IF(C1054="技能：非自然知识",E1054,0)))</x:f>
        <x:v>0</x:v>
      </x:c>
      <x:c r="BM1054">
        <x:f>MAX(0,MIN(CEILING((BF1054+BG1054)/2,1),BM1053+IF(C1054="体力",E1054,0)))</x:f>
        <x:v>0</x:v>
      </x:c>
      <x:c r="BN1054">
        <x:f>MAX(0,MIN(BJ1054,BN1053+IF(C1054="毅力",E1054,0)))</x:f>
        <x:v>0</x:v>
      </x:c>
      <x:c r="BO1054">
        <x:f>MAX(0,MIN(99-BL1054,BO1053+IF(C1054="理智",E1054,0)))</x:f>
        <x:v>0</x:v>
      </x:c>
      <x:c r="BP1054">
        <x:f>MAX(0,MIN(99,BP1053+IF(C1054="崩溃点",E1054,0)))</x:f>
        <x:v>0</x:v>
      </x:c>
      <x:c r="BQ1054">
        <x:f>MAX(0,MIN(BK1054,IF(AND(H1054=1,C1054="重要关系1",LEFT('幕间与结算'!H961,8)="建立新的重要关系"),'幕间与结算'!E961+E1054,BQ1053+IF(C1054="重要关系1",E1054,0)+IF(AND(C1054="魅力",E1054&lt;0),E1054,0))))</x:f>
        <x:v>0</x:v>
      </x:c>
      <x:c r="BR1054">
        <x:f>MAX(0,MIN(BK1054,IF(AND(H1054=1,C1054="重要关系2",LEFT('幕间与结算'!H961,8)="建立新的重要关系"),'幕间与结算'!E961+E1054,BR1053+IF(C1054="重要关系2",E1054,0)+IF(AND(C1054="魅力",E1054&lt;0),E1054,0))))</x:f>
        <x:v>0</x:v>
      </x:c>
      <x:c r="BS1054">
        <x:f>MAX(0,MIN(BK1054,IF(AND(H1054=1,C1054="重要关系3",LEFT('幕间与结算'!H961,8)="建立新的重要关系"),'幕间与结算'!E961+E1054,BS1053+IF(C1054="重要关系3",E1054,0)+IF(AND(C1054="魅力",E1054&lt;0),E1054,0))))</x:f>
        <x:v>0</x:v>
      </x:c>
      <x:c r="BT1054">
        <x:f>MAX(0,MIN(BK1054,IF(AND(H1054=1,C1054="重要关系4",LEFT('幕间与结算'!H961,8)="建立新的重要关系"),'幕间与结算'!E961+E1054,BT1053+IF(C1054="重要关系4",E1054,0)+IF(AND(C1054="魅力",E1054&lt;0),E1054,0))))</x:f>
        <x:v>0</x:v>
      </x:c>
      <x:c r="BU1054">
        <x:f>MAX(0,MIN(BK1054,IF(AND(H1054=1,C1054="重要关系5",LEFT('幕间与结算'!H961,8)="建立新的重要关系"),'幕间与结算'!E961+E1054,BU1053+IF(C1054="重要关系5",E1054,0)+IF(AND(C1054="魅力",E1054&lt;0),E1054,0))))</x:f>
        <x:v>0</x:v>
      </x:c>
      <x:c r="BV1054">
        <x:f>MAX(0,MIN(BK1054,IF(AND(H1054=1,C1054="重要关系6",LEFT('幕间与结算'!H961,8)="建立新的重要关系"),'幕间与结算'!E961+E1054,BV1053+IF(C1054="重要关系6",E1054,0)+IF(AND(C1054="魅力",E1054&lt;0),E1054,0))))</x:f>
        <x:v>0</x:v>
      </x:c>
      <x:c r="BW1054">
        <x:f>MAX(0,MIN(BK1054,IF(AND(H1054=1,C1054="重要关系7",LEFT('幕间与结算'!H961,8)="建立新的重要关系"),'幕间与结算'!E961+E1054,BW1053+IF(C1054="重要关系7",E1054,0)+IF(AND(C1054="魅力",E1054&lt;0),E1054,0))))</x:f>
        <x:v>0</x:v>
      </x:c>
    </x:row>
    <x:row r="1055">
      <x:c r="A1055" t="str">
        <x:f>IFERROR(TEXT(VALUE('幕间与结算'!A962),"00"),"")</x:f>
        <x:v>00</x:v>
      </x:c>
      <x:c r="B1055">
        <x:f>'幕间与结算'!B962</x:f>
        <x:v>0</x:v>
      </x:c>
      <x:c r="C1055">
        <x:f>'幕间与结算'!D962</x:f>
        <x:v>0</x:v>
      </x:c>
      <x:c r="D1055">
        <x:f>'幕间与结算'!F962</x:f>
        <x:v>0</x:v>
      </x:c>
      <x:c r="E1055">
        <x:f>IF(H1055=1,MAX(-'幕间与结算'!E962,MIN(D1055,IF(LEFT(C1055,3)="技能：",99,IF(COUNTIF($L$2:$L$7,C1055)&gt;0,18,999))-'幕间与结算'!E962)),0)</x:f>
        <x:v>0</x:v>
      </x:c>
      <x:c r="F1055" t="str">
        <x:f>IF(C1055=0,"",IF(G1055=0,"记录不完整",IF(H1055=0,"重复未计","已计入")))</x:f>
        <x:v/>
      </x:c>
      <x:c r="G1055">
        <x:f>IF(AND(AND('幕间与结算'!A962&lt;&gt;"",'幕间与结算'!B962&lt;&gt;"",'幕间与结算'!I962&lt;&gt;"",OR(LEFT(C1055,3)="技能：",COUNTIF($L$2:$L$19,C1055)&gt;0),ISNUMBER('幕间与结算'!E962),ISNUMBER('幕间与结算'!F962),ISNUMBER('幕间与结算'!G962),'幕间与结算'!E962&gt;=0,'幕间与结算'!G962='幕间与结算'!E962+'幕间与结算'!F962),OR(B1055&lt;&gt;"成长",AND(LEFT(C1055,3)="技能：",C1055&lt;&gt;"技能：非自然知识",'幕间与结算'!E962&gt;=1,'幕间与结算'!E962&lt;=99,'幕间与结算'!F962&gt;=0,'幕间与结算'!F962&lt;=4,'幕间与结算'!G962&lt;=99))),1,0)</x:f>
        <x:v>0</x:v>
      </x:c>
      <x:c r="H1055">
        <x:f>IF(AND(G1055=1,COUNTIFS($I$200:I1055,I1055,$G$200:G1055,1)=1),1,0)</x:f>
        <x:v>0</x:v>
      </x:c>
      <x:c r="I1055" t="str">
        <x:f>IF(G1055=1,IF(B1055="成长",A1055&amp;"-成长-"&amp;C1055,'幕间与结算'!I962),"")</x:f>
        <x:v/>
      </x:c>
      <x:c r="BF1055">
        <x:f>MAX(0,MIN(18,BF1054+IF(C1055="力量",E1055,0)))</x:f>
        <x:v>0</x:v>
      </x:c>
      <x:c r="BG1055">
        <x:f>MAX(0,MIN(18,BG1054+IF(C1055="体质",E1055,0)))</x:f>
        <x:v>0</x:v>
      </x:c>
      <x:c r="BH1055">
        <x:f>MAX(0,MIN(18,BH1054+IF(C1055="敏捷",E1055,0)))</x:f>
        <x:v>0</x:v>
      </x:c>
      <x:c r="BI1055">
        <x:f>MAX(0,MIN(18,BI1054+IF(C1055="智力",E1055,0)))</x:f>
        <x:v>0</x:v>
      </x:c>
      <x:c r="BJ1055">
        <x:f>MAX(0,MIN(18,BJ1054+IF(C1055="意志",E1055,0)))</x:f>
        <x:v>0</x:v>
      </x:c>
      <x:c r="BK1055">
        <x:f>MAX(0,MIN(18,BK1054+IF(C1055="魅力",E1055,0)))</x:f>
        <x:v>0</x:v>
      </x:c>
      <x:c r="BL1055">
        <x:f>MAX(0,MIN(99,BL1054+IF(C1055="技能：非自然知识",E1055,0)))</x:f>
        <x:v>0</x:v>
      </x:c>
      <x:c r="BM1055">
        <x:f>MAX(0,MIN(CEILING((BF1055+BG1055)/2,1),BM1054+IF(C1055="体力",E1055,0)))</x:f>
        <x:v>0</x:v>
      </x:c>
      <x:c r="BN1055">
        <x:f>MAX(0,MIN(BJ1055,BN1054+IF(C1055="毅力",E1055,0)))</x:f>
        <x:v>0</x:v>
      </x:c>
      <x:c r="BO1055">
        <x:f>MAX(0,MIN(99-BL1055,BO1054+IF(C1055="理智",E1055,0)))</x:f>
        <x:v>0</x:v>
      </x:c>
      <x:c r="BP1055">
        <x:f>MAX(0,MIN(99,BP1054+IF(C1055="崩溃点",E1055,0)))</x:f>
        <x:v>0</x:v>
      </x:c>
      <x:c r="BQ1055">
        <x:f>MAX(0,MIN(BK1055,IF(AND(H1055=1,C1055="重要关系1",LEFT('幕间与结算'!H962,8)="建立新的重要关系"),'幕间与结算'!E962+E1055,BQ1054+IF(C1055="重要关系1",E1055,0)+IF(AND(C1055="魅力",E1055&lt;0),E1055,0))))</x:f>
        <x:v>0</x:v>
      </x:c>
      <x:c r="BR1055">
        <x:f>MAX(0,MIN(BK1055,IF(AND(H1055=1,C1055="重要关系2",LEFT('幕间与结算'!H962,8)="建立新的重要关系"),'幕间与结算'!E962+E1055,BR1054+IF(C1055="重要关系2",E1055,0)+IF(AND(C1055="魅力",E1055&lt;0),E1055,0))))</x:f>
        <x:v>0</x:v>
      </x:c>
      <x:c r="BS1055">
        <x:f>MAX(0,MIN(BK1055,IF(AND(H1055=1,C1055="重要关系3",LEFT('幕间与结算'!H962,8)="建立新的重要关系"),'幕间与结算'!E962+E1055,BS1054+IF(C1055="重要关系3",E1055,0)+IF(AND(C1055="魅力",E1055&lt;0),E1055,0))))</x:f>
        <x:v>0</x:v>
      </x:c>
      <x:c r="BT1055">
        <x:f>MAX(0,MIN(BK1055,IF(AND(H1055=1,C1055="重要关系4",LEFT('幕间与结算'!H962,8)="建立新的重要关系"),'幕间与结算'!E962+E1055,BT1054+IF(C1055="重要关系4",E1055,0)+IF(AND(C1055="魅力",E1055&lt;0),E1055,0))))</x:f>
        <x:v>0</x:v>
      </x:c>
      <x:c r="BU1055">
        <x:f>MAX(0,MIN(BK1055,IF(AND(H1055=1,C1055="重要关系5",LEFT('幕间与结算'!H962,8)="建立新的重要关系"),'幕间与结算'!E962+E1055,BU1054+IF(C1055="重要关系5",E1055,0)+IF(AND(C1055="魅力",E1055&lt;0),E1055,0))))</x:f>
        <x:v>0</x:v>
      </x:c>
      <x:c r="BV1055">
        <x:f>MAX(0,MIN(BK1055,IF(AND(H1055=1,C1055="重要关系6",LEFT('幕间与结算'!H962,8)="建立新的重要关系"),'幕间与结算'!E962+E1055,BV1054+IF(C1055="重要关系6",E1055,0)+IF(AND(C1055="魅力",E1055&lt;0),E1055,0))))</x:f>
        <x:v>0</x:v>
      </x:c>
      <x:c r="BW1055">
        <x:f>MAX(0,MIN(BK1055,IF(AND(H1055=1,C1055="重要关系7",LEFT('幕间与结算'!H962,8)="建立新的重要关系"),'幕间与结算'!E962+E1055,BW1054+IF(C1055="重要关系7",E1055,0)+IF(AND(C1055="魅力",E1055&lt;0),E1055,0))))</x:f>
        <x:v>0</x:v>
      </x:c>
    </x:row>
    <x:row r="1056">
      <x:c r="A1056" t="str">
        <x:f>IFERROR(TEXT(VALUE('幕间与结算'!A963),"00"),"")</x:f>
        <x:v>00</x:v>
      </x:c>
      <x:c r="B1056">
        <x:f>'幕间与结算'!B963</x:f>
        <x:v>0</x:v>
      </x:c>
      <x:c r="C1056">
        <x:f>'幕间与结算'!D963</x:f>
        <x:v>0</x:v>
      </x:c>
      <x:c r="D1056">
        <x:f>'幕间与结算'!F963</x:f>
        <x:v>0</x:v>
      </x:c>
      <x:c r="E1056">
        <x:f>IF(H1056=1,MAX(-'幕间与结算'!E963,MIN(D1056,IF(LEFT(C1056,3)="技能：",99,IF(COUNTIF($L$2:$L$7,C1056)&gt;0,18,999))-'幕间与结算'!E963)),0)</x:f>
        <x:v>0</x:v>
      </x:c>
      <x:c r="F1056" t="str">
        <x:f>IF(C1056=0,"",IF(G1056=0,"记录不完整",IF(H1056=0,"重复未计","已计入")))</x:f>
        <x:v/>
      </x:c>
      <x:c r="G1056">
        <x:f>IF(AND(AND('幕间与结算'!A963&lt;&gt;"",'幕间与结算'!B963&lt;&gt;"",'幕间与结算'!I963&lt;&gt;"",OR(LEFT(C1056,3)="技能：",COUNTIF($L$2:$L$19,C1056)&gt;0),ISNUMBER('幕间与结算'!E963),ISNUMBER('幕间与结算'!F963),ISNUMBER('幕间与结算'!G963),'幕间与结算'!E963&gt;=0,'幕间与结算'!G963='幕间与结算'!E963+'幕间与结算'!F963),OR(B1056&lt;&gt;"成长",AND(LEFT(C1056,3)="技能：",C1056&lt;&gt;"技能：非自然知识",'幕间与结算'!E963&gt;=1,'幕间与结算'!E963&lt;=99,'幕间与结算'!F963&gt;=0,'幕间与结算'!F963&lt;=4,'幕间与结算'!G963&lt;=99))),1,0)</x:f>
        <x:v>0</x:v>
      </x:c>
      <x:c r="H1056">
        <x:f>IF(AND(G1056=1,COUNTIFS($I$200:I1056,I1056,$G$200:G1056,1)=1),1,0)</x:f>
        <x:v>0</x:v>
      </x:c>
      <x:c r="I1056" t="str">
        <x:f>IF(G1056=1,IF(B1056="成长",A1056&amp;"-成长-"&amp;C1056,'幕间与结算'!I963),"")</x:f>
        <x:v/>
      </x:c>
      <x:c r="BF1056">
        <x:f>MAX(0,MIN(18,BF1055+IF(C1056="力量",E1056,0)))</x:f>
        <x:v>0</x:v>
      </x:c>
      <x:c r="BG1056">
        <x:f>MAX(0,MIN(18,BG1055+IF(C1056="体质",E1056,0)))</x:f>
        <x:v>0</x:v>
      </x:c>
      <x:c r="BH1056">
        <x:f>MAX(0,MIN(18,BH1055+IF(C1056="敏捷",E1056,0)))</x:f>
        <x:v>0</x:v>
      </x:c>
      <x:c r="BI1056">
        <x:f>MAX(0,MIN(18,BI1055+IF(C1056="智力",E1056,0)))</x:f>
        <x:v>0</x:v>
      </x:c>
      <x:c r="BJ1056">
        <x:f>MAX(0,MIN(18,BJ1055+IF(C1056="意志",E1056,0)))</x:f>
        <x:v>0</x:v>
      </x:c>
      <x:c r="BK1056">
        <x:f>MAX(0,MIN(18,BK1055+IF(C1056="魅力",E1056,0)))</x:f>
        <x:v>0</x:v>
      </x:c>
      <x:c r="BL1056">
        <x:f>MAX(0,MIN(99,BL1055+IF(C1056="技能：非自然知识",E1056,0)))</x:f>
        <x:v>0</x:v>
      </x:c>
      <x:c r="BM1056">
        <x:f>MAX(0,MIN(CEILING((BF1056+BG1056)/2,1),BM1055+IF(C1056="体力",E1056,0)))</x:f>
        <x:v>0</x:v>
      </x:c>
      <x:c r="BN1056">
        <x:f>MAX(0,MIN(BJ1056,BN1055+IF(C1056="毅力",E1056,0)))</x:f>
        <x:v>0</x:v>
      </x:c>
      <x:c r="BO1056">
        <x:f>MAX(0,MIN(99-BL1056,BO1055+IF(C1056="理智",E1056,0)))</x:f>
        <x:v>0</x:v>
      </x:c>
      <x:c r="BP1056">
        <x:f>MAX(0,MIN(99,BP1055+IF(C1056="崩溃点",E1056,0)))</x:f>
        <x:v>0</x:v>
      </x:c>
      <x:c r="BQ1056">
        <x:f>MAX(0,MIN(BK1056,IF(AND(H1056=1,C1056="重要关系1",LEFT('幕间与结算'!H963,8)="建立新的重要关系"),'幕间与结算'!E963+E1056,BQ1055+IF(C1056="重要关系1",E1056,0)+IF(AND(C1056="魅力",E1056&lt;0),E1056,0))))</x:f>
        <x:v>0</x:v>
      </x:c>
      <x:c r="BR1056">
        <x:f>MAX(0,MIN(BK1056,IF(AND(H1056=1,C1056="重要关系2",LEFT('幕间与结算'!H963,8)="建立新的重要关系"),'幕间与结算'!E963+E1056,BR1055+IF(C1056="重要关系2",E1056,0)+IF(AND(C1056="魅力",E1056&lt;0),E1056,0))))</x:f>
        <x:v>0</x:v>
      </x:c>
      <x:c r="BS1056">
        <x:f>MAX(0,MIN(BK1056,IF(AND(H1056=1,C1056="重要关系3",LEFT('幕间与结算'!H963,8)="建立新的重要关系"),'幕间与结算'!E963+E1056,BS1055+IF(C1056="重要关系3",E1056,0)+IF(AND(C1056="魅力",E1056&lt;0),E1056,0))))</x:f>
        <x:v>0</x:v>
      </x:c>
      <x:c r="BT1056">
        <x:f>MAX(0,MIN(BK1056,IF(AND(H1056=1,C1056="重要关系4",LEFT('幕间与结算'!H963,8)="建立新的重要关系"),'幕间与结算'!E963+E1056,BT1055+IF(C1056="重要关系4",E1056,0)+IF(AND(C1056="魅力",E1056&lt;0),E1056,0))))</x:f>
        <x:v>0</x:v>
      </x:c>
      <x:c r="BU1056">
        <x:f>MAX(0,MIN(BK1056,IF(AND(H1056=1,C1056="重要关系5",LEFT('幕间与结算'!H963,8)="建立新的重要关系"),'幕间与结算'!E963+E1056,BU1055+IF(C1056="重要关系5",E1056,0)+IF(AND(C1056="魅力",E1056&lt;0),E1056,0))))</x:f>
        <x:v>0</x:v>
      </x:c>
      <x:c r="BV1056">
        <x:f>MAX(0,MIN(BK1056,IF(AND(H1056=1,C1056="重要关系6",LEFT('幕间与结算'!H963,8)="建立新的重要关系"),'幕间与结算'!E963+E1056,BV1055+IF(C1056="重要关系6",E1056,0)+IF(AND(C1056="魅力",E1056&lt;0),E1056,0))))</x:f>
        <x:v>0</x:v>
      </x:c>
      <x:c r="BW1056">
        <x:f>MAX(0,MIN(BK1056,IF(AND(H1056=1,C1056="重要关系7",LEFT('幕间与结算'!H963,8)="建立新的重要关系"),'幕间与结算'!E963+E1056,BW1055+IF(C1056="重要关系7",E1056,0)+IF(AND(C1056="魅力",E1056&lt;0),E1056,0))))</x:f>
        <x:v>0</x:v>
      </x:c>
    </x:row>
    <x:row r="1057">
      <x:c r="A1057" t="str">
        <x:f>IFERROR(TEXT(VALUE('幕间与结算'!A964),"00"),"")</x:f>
        <x:v>00</x:v>
      </x:c>
      <x:c r="B1057">
        <x:f>'幕间与结算'!B964</x:f>
        <x:v>0</x:v>
      </x:c>
      <x:c r="C1057">
        <x:f>'幕间与结算'!D964</x:f>
        <x:v>0</x:v>
      </x:c>
      <x:c r="D1057">
        <x:f>'幕间与结算'!F964</x:f>
        <x:v>0</x:v>
      </x:c>
      <x:c r="E1057">
        <x:f>IF(H1057=1,MAX(-'幕间与结算'!E964,MIN(D1057,IF(LEFT(C1057,3)="技能：",99,IF(COUNTIF($L$2:$L$7,C1057)&gt;0,18,999))-'幕间与结算'!E964)),0)</x:f>
        <x:v>0</x:v>
      </x:c>
      <x:c r="F1057" t="str">
        <x:f>IF(C1057=0,"",IF(G1057=0,"记录不完整",IF(H1057=0,"重复未计","已计入")))</x:f>
        <x:v/>
      </x:c>
      <x:c r="G1057">
        <x:f>IF(AND(AND('幕间与结算'!A964&lt;&gt;"",'幕间与结算'!B964&lt;&gt;"",'幕间与结算'!I964&lt;&gt;"",OR(LEFT(C1057,3)="技能：",COUNTIF($L$2:$L$19,C1057)&gt;0),ISNUMBER('幕间与结算'!E964),ISNUMBER('幕间与结算'!F964),ISNUMBER('幕间与结算'!G964),'幕间与结算'!E964&gt;=0,'幕间与结算'!G964='幕间与结算'!E964+'幕间与结算'!F964),OR(B1057&lt;&gt;"成长",AND(LEFT(C1057,3)="技能：",C1057&lt;&gt;"技能：非自然知识",'幕间与结算'!E964&gt;=1,'幕间与结算'!E964&lt;=99,'幕间与结算'!F964&gt;=0,'幕间与结算'!F964&lt;=4,'幕间与结算'!G964&lt;=99))),1,0)</x:f>
        <x:v>0</x:v>
      </x:c>
      <x:c r="H1057">
        <x:f>IF(AND(G1057=1,COUNTIFS($I$200:I1057,I1057,$G$200:G1057,1)=1),1,0)</x:f>
        <x:v>0</x:v>
      </x:c>
      <x:c r="I1057" t="str">
        <x:f>IF(G1057=1,IF(B1057="成长",A1057&amp;"-成长-"&amp;C1057,'幕间与结算'!I964),"")</x:f>
        <x:v/>
      </x:c>
      <x:c r="BF1057">
        <x:f>MAX(0,MIN(18,BF1056+IF(C1057="力量",E1057,0)))</x:f>
        <x:v>0</x:v>
      </x:c>
      <x:c r="BG1057">
        <x:f>MAX(0,MIN(18,BG1056+IF(C1057="体质",E1057,0)))</x:f>
        <x:v>0</x:v>
      </x:c>
      <x:c r="BH1057">
        <x:f>MAX(0,MIN(18,BH1056+IF(C1057="敏捷",E1057,0)))</x:f>
        <x:v>0</x:v>
      </x:c>
      <x:c r="BI1057">
        <x:f>MAX(0,MIN(18,BI1056+IF(C1057="智力",E1057,0)))</x:f>
        <x:v>0</x:v>
      </x:c>
      <x:c r="BJ1057">
        <x:f>MAX(0,MIN(18,BJ1056+IF(C1057="意志",E1057,0)))</x:f>
        <x:v>0</x:v>
      </x:c>
      <x:c r="BK1057">
        <x:f>MAX(0,MIN(18,BK1056+IF(C1057="魅力",E1057,0)))</x:f>
        <x:v>0</x:v>
      </x:c>
      <x:c r="BL1057">
        <x:f>MAX(0,MIN(99,BL1056+IF(C1057="技能：非自然知识",E1057,0)))</x:f>
        <x:v>0</x:v>
      </x:c>
      <x:c r="BM1057">
        <x:f>MAX(0,MIN(CEILING((BF1057+BG1057)/2,1),BM1056+IF(C1057="体力",E1057,0)))</x:f>
        <x:v>0</x:v>
      </x:c>
      <x:c r="BN1057">
        <x:f>MAX(0,MIN(BJ1057,BN1056+IF(C1057="毅力",E1057,0)))</x:f>
        <x:v>0</x:v>
      </x:c>
      <x:c r="BO1057">
        <x:f>MAX(0,MIN(99-BL1057,BO1056+IF(C1057="理智",E1057,0)))</x:f>
        <x:v>0</x:v>
      </x:c>
      <x:c r="BP1057">
        <x:f>MAX(0,MIN(99,BP1056+IF(C1057="崩溃点",E1057,0)))</x:f>
        <x:v>0</x:v>
      </x:c>
      <x:c r="BQ1057">
        <x:f>MAX(0,MIN(BK1057,IF(AND(H1057=1,C1057="重要关系1",LEFT('幕间与结算'!H964,8)="建立新的重要关系"),'幕间与结算'!E964+E1057,BQ1056+IF(C1057="重要关系1",E1057,0)+IF(AND(C1057="魅力",E1057&lt;0),E1057,0))))</x:f>
        <x:v>0</x:v>
      </x:c>
      <x:c r="BR1057">
        <x:f>MAX(0,MIN(BK1057,IF(AND(H1057=1,C1057="重要关系2",LEFT('幕间与结算'!H964,8)="建立新的重要关系"),'幕间与结算'!E964+E1057,BR1056+IF(C1057="重要关系2",E1057,0)+IF(AND(C1057="魅力",E1057&lt;0),E1057,0))))</x:f>
        <x:v>0</x:v>
      </x:c>
      <x:c r="BS1057">
        <x:f>MAX(0,MIN(BK1057,IF(AND(H1057=1,C1057="重要关系3",LEFT('幕间与结算'!H964,8)="建立新的重要关系"),'幕间与结算'!E964+E1057,BS1056+IF(C1057="重要关系3",E1057,0)+IF(AND(C1057="魅力",E1057&lt;0),E1057,0))))</x:f>
        <x:v>0</x:v>
      </x:c>
      <x:c r="BT1057">
        <x:f>MAX(0,MIN(BK1057,IF(AND(H1057=1,C1057="重要关系4",LEFT('幕间与结算'!H964,8)="建立新的重要关系"),'幕间与结算'!E964+E1057,BT1056+IF(C1057="重要关系4",E1057,0)+IF(AND(C1057="魅力",E1057&lt;0),E1057,0))))</x:f>
        <x:v>0</x:v>
      </x:c>
      <x:c r="BU1057">
        <x:f>MAX(0,MIN(BK1057,IF(AND(H1057=1,C1057="重要关系5",LEFT('幕间与结算'!H964,8)="建立新的重要关系"),'幕间与结算'!E964+E1057,BU1056+IF(C1057="重要关系5",E1057,0)+IF(AND(C1057="魅力",E1057&lt;0),E1057,0))))</x:f>
        <x:v>0</x:v>
      </x:c>
      <x:c r="BV1057">
        <x:f>MAX(0,MIN(BK1057,IF(AND(H1057=1,C1057="重要关系6",LEFT('幕间与结算'!H964,8)="建立新的重要关系"),'幕间与结算'!E964+E1057,BV1056+IF(C1057="重要关系6",E1057,0)+IF(AND(C1057="魅力",E1057&lt;0),E1057,0))))</x:f>
        <x:v>0</x:v>
      </x:c>
      <x:c r="BW1057">
        <x:f>MAX(0,MIN(BK1057,IF(AND(H1057=1,C1057="重要关系7",LEFT('幕间与结算'!H964,8)="建立新的重要关系"),'幕间与结算'!E964+E1057,BW1056+IF(C1057="重要关系7",E1057,0)+IF(AND(C1057="魅力",E1057&lt;0),E1057,0))))</x:f>
        <x:v>0</x:v>
      </x:c>
    </x:row>
    <x:row r="1058">
      <x:c r="A1058" t="str">
        <x:f>IFERROR(TEXT(VALUE('幕间与结算'!A965),"00"),"")</x:f>
        <x:v>00</x:v>
      </x:c>
      <x:c r="B1058">
        <x:f>'幕间与结算'!B965</x:f>
        <x:v>0</x:v>
      </x:c>
      <x:c r="C1058">
        <x:f>'幕间与结算'!D965</x:f>
        <x:v>0</x:v>
      </x:c>
      <x:c r="D1058">
        <x:f>'幕间与结算'!F965</x:f>
        <x:v>0</x:v>
      </x:c>
      <x:c r="E1058">
        <x:f>IF(H1058=1,MAX(-'幕间与结算'!E965,MIN(D1058,IF(LEFT(C1058,3)="技能：",99,IF(COUNTIF($L$2:$L$7,C1058)&gt;0,18,999))-'幕间与结算'!E965)),0)</x:f>
        <x:v>0</x:v>
      </x:c>
      <x:c r="F1058" t="str">
        <x:f>IF(C1058=0,"",IF(G1058=0,"记录不完整",IF(H1058=0,"重复未计","已计入")))</x:f>
        <x:v/>
      </x:c>
      <x:c r="G1058">
        <x:f>IF(AND(AND('幕间与结算'!A965&lt;&gt;"",'幕间与结算'!B965&lt;&gt;"",'幕间与结算'!I965&lt;&gt;"",OR(LEFT(C1058,3)="技能：",COUNTIF($L$2:$L$19,C1058)&gt;0),ISNUMBER('幕间与结算'!E965),ISNUMBER('幕间与结算'!F965),ISNUMBER('幕间与结算'!G965),'幕间与结算'!E965&gt;=0,'幕间与结算'!G965='幕间与结算'!E965+'幕间与结算'!F965),OR(B1058&lt;&gt;"成长",AND(LEFT(C1058,3)="技能：",C1058&lt;&gt;"技能：非自然知识",'幕间与结算'!E965&gt;=1,'幕间与结算'!E965&lt;=99,'幕间与结算'!F965&gt;=0,'幕间与结算'!F965&lt;=4,'幕间与结算'!G965&lt;=99))),1,0)</x:f>
        <x:v>0</x:v>
      </x:c>
      <x:c r="H1058">
        <x:f>IF(AND(G1058=1,COUNTIFS($I$200:I1058,I1058,$G$200:G1058,1)=1),1,0)</x:f>
        <x:v>0</x:v>
      </x:c>
      <x:c r="I1058" t="str">
        <x:f>IF(G1058=1,IF(B1058="成长",A1058&amp;"-成长-"&amp;C1058,'幕间与结算'!I965),"")</x:f>
        <x:v/>
      </x:c>
      <x:c r="BF1058">
        <x:f>MAX(0,MIN(18,BF1057+IF(C1058="力量",E1058,0)))</x:f>
        <x:v>0</x:v>
      </x:c>
      <x:c r="BG1058">
        <x:f>MAX(0,MIN(18,BG1057+IF(C1058="体质",E1058,0)))</x:f>
        <x:v>0</x:v>
      </x:c>
      <x:c r="BH1058">
        <x:f>MAX(0,MIN(18,BH1057+IF(C1058="敏捷",E1058,0)))</x:f>
        <x:v>0</x:v>
      </x:c>
      <x:c r="BI1058">
        <x:f>MAX(0,MIN(18,BI1057+IF(C1058="智力",E1058,0)))</x:f>
        <x:v>0</x:v>
      </x:c>
      <x:c r="BJ1058">
        <x:f>MAX(0,MIN(18,BJ1057+IF(C1058="意志",E1058,0)))</x:f>
        <x:v>0</x:v>
      </x:c>
      <x:c r="BK1058">
        <x:f>MAX(0,MIN(18,BK1057+IF(C1058="魅力",E1058,0)))</x:f>
        <x:v>0</x:v>
      </x:c>
      <x:c r="BL1058">
        <x:f>MAX(0,MIN(99,BL1057+IF(C1058="技能：非自然知识",E1058,0)))</x:f>
        <x:v>0</x:v>
      </x:c>
      <x:c r="BM1058">
        <x:f>MAX(0,MIN(CEILING((BF1058+BG1058)/2,1),BM1057+IF(C1058="体力",E1058,0)))</x:f>
        <x:v>0</x:v>
      </x:c>
      <x:c r="BN1058">
        <x:f>MAX(0,MIN(BJ1058,BN1057+IF(C1058="毅力",E1058,0)))</x:f>
        <x:v>0</x:v>
      </x:c>
      <x:c r="BO1058">
        <x:f>MAX(0,MIN(99-BL1058,BO1057+IF(C1058="理智",E1058,0)))</x:f>
        <x:v>0</x:v>
      </x:c>
      <x:c r="BP1058">
        <x:f>MAX(0,MIN(99,BP1057+IF(C1058="崩溃点",E1058,0)))</x:f>
        <x:v>0</x:v>
      </x:c>
      <x:c r="BQ1058">
        <x:f>MAX(0,MIN(BK1058,IF(AND(H1058=1,C1058="重要关系1",LEFT('幕间与结算'!H965,8)="建立新的重要关系"),'幕间与结算'!E965+E1058,BQ1057+IF(C1058="重要关系1",E1058,0)+IF(AND(C1058="魅力",E1058&lt;0),E1058,0))))</x:f>
        <x:v>0</x:v>
      </x:c>
      <x:c r="BR1058">
        <x:f>MAX(0,MIN(BK1058,IF(AND(H1058=1,C1058="重要关系2",LEFT('幕间与结算'!H965,8)="建立新的重要关系"),'幕间与结算'!E965+E1058,BR1057+IF(C1058="重要关系2",E1058,0)+IF(AND(C1058="魅力",E1058&lt;0),E1058,0))))</x:f>
        <x:v>0</x:v>
      </x:c>
      <x:c r="BS1058">
        <x:f>MAX(0,MIN(BK1058,IF(AND(H1058=1,C1058="重要关系3",LEFT('幕间与结算'!H965,8)="建立新的重要关系"),'幕间与结算'!E965+E1058,BS1057+IF(C1058="重要关系3",E1058,0)+IF(AND(C1058="魅力",E1058&lt;0),E1058,0))))</x:f>
        <x:v>0</x:v>
      </x:c>
      <x:c r="BT1058">
        <x:f>MAX(0,MIN(BK1058,IF(AND(H1058=1,C1058="重要关系4",LEFT('幕间与结算'!H965,8)="建立新的重要关系"),'幕间与结算'!E965+E1058,BT1057+IF(C1058="重要关系4",E1058,0)+IF(AND(C1058="魅力",E1058&lt;0),E1058,0))))</x:f>
        <x:v>0</x:v>
      </x:c>
      <x:c r="BU1058">
        <x:f>MAX(0,MIN(BK1058,IF(AND(H1058=1,C1058="重要关系5",LEFT('幕间与结算'!H965,8)="建立新的重要关系"),'幕间与结算'!E965+E1058,BU1057+IF(C1058="重要关系5",E1058,0)+IF(AND(C1058="魅力",E1058&lt;0),E1058,0))))</x:f>
        <x:v>0</x:v>
      </x:c>
      <x:c r="BV1058">
        <x:f>MAX(0,MIN(BK1058,IF(AND(H1058=1,C1058="重要关系6",LEFT('幕间与结算'!H965,8)="建立新的重要关系"),'幕间与结算'!E965+E1058,BV1057+IF(C1058="重要关系6",E1058,0)+IF(AND(C1058="魅力",E1058&lt;0),E1058,0))))</x:f>
        <x:v>0</x:v>
      </x:c>
      <x:c r="BW1058">
        <x:f>MAX(0,MIN(BK1058,IF(AND(H1058=1,C1058="重要关系7",LEFT('幕间与结算'!H965,8)="建立新的重要关系"),'幕间与结算'!E965+E1058,BW1057+IF(C1058="重要关系7",E1058,0)+IF(AND(C1058="魅力",E1058&lt;0),E1058,0))))</x:f>
        <x:v>0</x:v>
      </x:c>
    </x:row>
    <x:row r="1059">
      <x:c r="A1059" t="str">
        <x:f>IFERROR(TEXT(VALUE('幕间与结算'!A966),"00"),"")</x:f>
        <x:v>00</x:v>
      </x:c>
      <x:c r="B1059">
        <x:f>'幕间与结算'!B966</x:f>
        <x:v>0</x:v>
      </x:c>
      <x:c r="C1059">
        <x:f>'幕间与结算'!D966</x:f>
        <x:v>0</x:v>
      </x:c>
      <x:c r="D1059">
        <x:f>'幕间与结算'!F966</x:f>
        <x:v>0</x:v>
      </x:c>
      <x:c r="E1059">
        <x:f>IF(H1059=1,MAX(-'幕间与结算'!E966,MIN(D1059,IF(LEFT(C1059,3)="技能：",99,IF(COUNTIF($L$2:$L$7,C1059)&gt;0,18,999))-'幕间与结算'!E966)),0)</x:f>
        <x:v>0</x:v>
      </x:c>
      <x:c r="F1059" t="str">
        <x:f>IF(C1059=0,"",IF(G1059=0,"记录不完整",IF(H1059=0,"重复未计","已计入")))</x:f>
        <x:v/>
      </x:c>
      <x:c r="G1059">
        <x:f>IF(AND(AND('幕间与结算'!A966&lt;&gt;"",'幕间与结算'!B966&lt;&gt;"",'幕间与结算'!I966&lt;&gt;"",OR(LEFT(C1059,3)="技能：",COUNTIF($L$2:$L$19,C1059)&gt;0),ISNUMBER('幕间与结算'!E966),ISNUMBER('幕间与结算'!F966),ISNUMBER('幕间与结算'!G966),'幕间与结算'!E966&gt;=0,'幕间与结算'!G966='幕间与结算'!E966+'幕间与结算'!F966),OR(B1059&lt;&gt;"成长",AND(LEFT(C1059,3)="技能：",C1059&lt;&gt;"技能：非自然知识",'幕间与结算'!E966&gt;=1,'幕间与结算'!E966&lt;=99,'幕间与结算'!F966&gt;=0,'幕间与结算'!F966&lt;=4,'幕间与结算'!G966&lt;=99))),1,0)</x:f>
        <x:v>0</x:v>
      </x:c>
      <x:c r="H1059">
        <x:f>IF(AND(G1059=1,COUNTIFS($I$200:I1059,I1059,$G$200:G1059,1)=1),1,0)</x:f>
        <x:v>0</x:v>
      </x:c>
      <x:c r="I1059" t="str">
        <x:f>IF(G1059=1,IF(B1059="成长",A1059&amp;"-成长-"&amp;C1059,'幕间与结算'!I966),"")</x:f>
        <x:v/>
      </x:c>
      <x:c r="BF1059">
        <x:f>MAX(0,MIN(18,BF1058+IF(C1059="力量",E1059,0)))</x:f>
        <x:v>0</x:v>
      </x:c>
      <x:c r="BG1059">
        <x:f>MAX(0,MIN(18,BG1058+IF(C1059="体质",E1059,0)))</x:f>
        <x:v>0</x:v>
      </x:c>
      <x:c r="BH1059">
        <x:f>MAX(0,MIN(18,BH1058+IF(C1059="敏捷",E1059,0)))</x:f>
        <x:v>0</x:v>
      </x:c>
      <x:c r="BI1059">
        <x:f>MAX(0,MIN(18,BI1058+IF(C1059="智力",E1059,0)))</x:f>
        <x:v>0</x:v>
      </x:c>
      <x:c r="BJ1059">
        <x:f>MAX(0,MIN(18,BJ1058+IF(C1059="意志",E1059,0)))</x:f>
        <x:v>0</x:v>
      </x:c>
      <x:c r="BK1059">
        <x:f>MAX(0,MIN(18,BK1058+IF(C1059="魅力",E1059,0)))</x:f>
        <x:v>0</x:v>
      </x:c>
      <x:c r="BL1059">
        <x:f>MAX(0,MIN(99,BL1058+IF(C1059="技能：非自然知识",E1059,0)))</x:f>
        <x:v>0</x:v>
      </x:c>
      <x:c r="BM1059">
        <x:f>MAX(0,MIN(CEILING((BF1059+BG1059)/2,1),BM1058+IF(C1059="体力",E1059,0)))</x:f>
        <x:v>0</x:v>
      </x:c>
      <x:c r="BN1059">
        <x:f>MAX(0,MIN(BJ1059,BN1058+IF(C1059="毅力",E1059,0)))</x:f>
        <x:v>0</x:v>
      </x:c>
      <x:c r="BO1059">
        <x:f>MAX(0,MIN(99-BL1059,BO1058+IF(C1059="理智",E1059,0)))</x:f>
        <x:v>0</x:v>
      </x:c>
      <x:c r="BP1059">
        <x:f>MAX(0,MIN(99,BP1058+IF(C1059="崩溃点",E1059,0)))</x:f>
        <x:v>0</x:v>
      </x:c>
      <x:c r="BQ1059">
        <x:f>MAX(0,MIN(BK1059,IF(AND(H1059=1,C1059="重要关系1",LEFT('幕间与结算'!H966,8)="建立新的重要关系"),'幕间与结算'!E966+E1059,BQ1058+IF(C1059="重要关系1",E1059,0)+IF(AND(C1059="魅力",E1059&lt;0),E1059,0))))</x:f>
        <x:v>0</x:v>
      </x:c>
      <x:c r="BR1059">
        <x:f>MAX(0,MIN(BK1059,IF(AND(H1059=1,C1059="重要关系2",LEFT('幕间与结算'!H966,8)="建立新的重要关系"),'幕间与结算'!E966+E1059,BR1058+IF(C1059="重要关系2",E1059,0)+IF(AND(C1059="魅力",E1059&lt;0),E1059,0))))</x:f>
        <x:v>0</x:v>
      </x:c>
      <x:c r="BS1059">
        <x:f>MAX(0,MIN(BK1059,IF(AND(H1059=1,C1059="重要关系3",LEFT('幕间与结算'!H966,8)="建立新的重要关系"),'幕间与结算'!E966+E1059,BS1058+IF(C1059="重要关系3",E1059,0)+IF(AND(C1059="魅力",E1059&lt;0),E1059,0))))</x:f>
        <x:v>0</x:v>
      </x:c>
      <x:c r="BT1059">
        <x:f>MAX(0,MIN(BK1059,IF(AND(H1059=1,C1059="重要关系4",LEFT('幕间与结算'!H966,8)="建立新的重要关系"),'幕间与结算'!E966+E1059,BT1058+IF(C1059="重要关系4",E1059,0)+IF(AND(C1059="魅力",E1059&lt;0),E1059,0))))</x:f>
        <x:v>0</x:v>
      </x:c>
      <x:c r="BU1059">
        <x:f>MAX(0,MIN(BK1059,IF(AND(H1059=1,C1059="重要关系5",LEFT('幕间与结算'!H966,8)="建立新的重要关系"),'幕间与结算'!E966+E1059,BU1058+IF(C1059="重要关系5",E1059,0)+IF(AND(C1059="魅力",E1059&lt;0),E1059,0))))</x:f>
        <x:v>0</x:v>
      </x:c>
      <x:c r="BV1059">
        <x:f>MAX(0,MIN(BK1059,IF(AND(H1059=1,C1059="重要关系6",LEFT('幕间与结算'!H966,8)="建立新的重要关系"),'幕间与结算'!E966+E1059,BV1058+IF(C1059="重要关系6",E1059,0)+IF(AND(C1059="魅力",E1059&lt;0),E1059,0))))</x:f>
        <x:v>0</x:v>
      </x:c>
      <x:c r="BW1059">
        <x:f>MAX(0,MIN(BK1059,IF(AND(H1059=1,C1059="重要关系7",LEFT('幕间与结算'!H966,8)="建立新的重要关系"),'幕间与结算'!E966+E1059,BW1058+IF(C1059="重要关系7",E1059,0)+IF(AND(C1059="魅力",E1059&lt;0),E1059,0))))</x:f>
        <x:v>0</x:v>
      </x:c>
    </x:row>
    <x:row r="1060">
      <x:c r="A1060" t="str">
        <x:f>IFERROR(TEXT(VALUE('幕间与结算'!A967),"00"),"")</x:f>
        <x:v>00</x:v>
      </x:c>
      <x:c r="B1060">
        <x:f>'幕间与结算'!B967</x:f>
        <x:v>0</x:v>
      </x:c>
      <x:c r="C1060">
        <x:f>'幕间与结算'!D967</x:f>
        <x:v>0</x:v>
      </x:c>
      <x:c r="D1060">
        <x:f>'幕间与结算'!F967</x:f>
        <x:v>0</x:v>
      </x:c>
      <x:c r="E1060">
        <x:f>IF(H1060=1,MAX(-'幕间与结算'!E967,MIN(D1060,IF(LEFT(C1060,3)="技能：",99,IF(COUNTIF($L$2:$L$7,C1060)&gt;0,18,999))-'幕间与结算'!E967)),0)</x:f>
        <x:v>0</x:v>
      </x:c>
      <x:c r="F1060" t="str">
        <x:f>IF(C1060=0,"",IF(G1060=0,"记录不完整",IF(H1060=0,"重复未计","已计入")))</x:f>
        <x:v/>
      </x:c>
      <x:c r="G1060">
        <x:f>IF(AND(AND('幕间与结算'!A967&lt;&gt;"",'幕间与结算'!B967&lt;&gt;"",'幕间与结算'!I967&lt;&gt;"",OR(LEFT(C1060,3)="技能：",COUNTIF($L$2:$L$19,C1060)&gt;0),ISNUMBER('幕间与结算'!E967),ISNUMBER('幕间与结算'!F967),ISNUMBER('幕间与结算'!G967),'幕间与结算'!E967&gt;=0,'幕间与结算'!G967='幕间与结算'!E967+'幕间与结算'!F967),OR(B1060&lt;&gt;"成长",AND(LEFT(C1060,3)="技能：",C1060&lt;&gt;"技能：非自然知识",'幕间与结算'!E967&gt;=1,'幕间与结算'!E967&lt;=99,'幕间与结算'!F967&gt;=0,'幕间与结算'!F967&lt;=4,'幕间与结算'!G967&lt;=99))),1,0)</x:f>
        <x:v>0</x:v>
      </x:c>
      <x:c r="H1060">
        <x:f>IF(AND(G1060=1,COUNTIFS($I$200:I1060,I1060,$G$200:G1060,1)=1),1,0)</x:f>
        <x:v>0</x:v>
      </x:c>
      <x:c r="I1060" t="str">
        <x:f>IF(G1060=1,IF(B1060="成长",A1060&amp;"-成长-"&amp;C1060,'幕间与结算'!I967),"")</x:f>
        <x:v/>
      </x:c>
      <x:c r="BF1060">
        <x:f>MAX(0,MIN(18,BF1059+IF(C1060="力量",E1060,0)))</x:f>
        <x:v>0</x:v>
      </x:c>
      <x:c r="BG1060">
        <x:f>MAX(0,MIN(18,BG1059+IF(C1060="体质",E1060,0)))</x:f>
        <x:v>0</x:v>
      </x:c>
      <x:c r="BH1060">
        <x:f>MAX(0,MIN(18,BH1059+IF(C1060="敏捷",E1060,0)))</x:f>
        <x:v>0</x:v>
      </x:c>
      <x:c r="BI1060">
        <x:f>MAX(0,MIN(18,BI1059+IF(C1060="智力",E1060,0)))</x:f>
        <x:v>0</x:v>
      </x:c>
      <x:c r="BJ1060">
        <x:f>MAX(0,MIN(18,BJ1059+IF(C1060="意志",E1060,0)))</x:f>
        <x:v>0</x:v>
      </x:c>
      <x:c r="BK1060">
        <x:f>MAX(0,MIN(18,BK1059+IF(C1060="魅力",E1060,0)))</x:f>
        <x:v>0</x:v>
      </x:c>
      <x:c r="BL1060">
        <x:f>MAX(0,MIN(99,BL1059+IF(C1060="技能：非自然知识",E1060,0)))</x:f>
        <x:v>0</x:v>
      </x:c>
      <x:c r="BM1060">
        <x:f>MAX(0,MIN(CEILING((BF1060+BG1060)/2,1),BM1059+IF(C1060="体力",E1060,0)))</x:f>
        <x:v>0</x:v>
      </x:c>
      <x:c r="BN1060">
        <x:f>MAX(0,MIN(BJ1060,BN1059+IF(C1060="毅力",E1060,0)))</x:f>
        <x:v>0</x:v>
      </x:c>
      <x:c r="BO1060">
        <x:f>MAX(0,MIN(99-BL1060,BO1059+IF(C1060="理智",E1060,0)))</x:f>
        <x:v>0</x:v>
      </x:c>
      <x:c r="BP1060">
        <x:f>MAX(0,MIN(99,BP1059+IF(C1060="崩溃点",E1060,0)))</x:f>
        <x:v>0</x:v>
      </x:c>
      <x:c r="BQ1060">
        <x:f>MAX(0,MIN(BK1060,IF(AND(H1060=1,C1060="重要关系1",LEFT('幕间与结算'!H967,8)="建立新的重要关系"),'幕间与结算'!E967+E1060,BQ1059+IF(C1060="重要关系1",E1060,0)+IF(AND(C1060="魅力",E1060&lt;0),E1060,0))))</x:f>
        <x:v>0</x:v>
      </x:c>
      <x:c r="BR1060">
        <x:f>MAX(0,MIN(BK1060,IF(AND(H1060=1,C1060="重要关系2",LEFT('幕间与结算'!H967,8)="建立新的重要关系"),'幕间与结算'!E967+E1060,BR1059+IF(C1060="重要关系2",E1060,0)+IF(AND(C1060="魅力",E1060&lt;0),E1060,0))))</x:f>
        <x:v>0</x:v>
      </x:c>
      <x:c r="BS1060">
        <x:f>MAX(0,MIN(BK1060,IF(AND(H1060=1,C1060="重要关系3",LEFT('幕间与结算'!H967,8)="建立新的重要关系"),'幕间与结算'!E967+E1060,BS1059+IF(C1060="重要关系3",E1060,0)+IF(AND(C1060="魅力",E1060&lt;0),E1060,0))))</x:f>
        <x:v>0</x:v>
      </x:c>
      <x:c r="BT1060">
        <x:f>MAX(0,MIN(BK1060,IF(AND(H1060=1,C1060="重要关系4",LEFT('幕间与结算'!H967,8)="建立新的重要关系"),'幕间与结算'!E967+E1060,BT1059+IF(C1060="重要关系4",E1060,0)+IF(AND(C1060="魅力",E1060&lt;0),E1060,0))))</x:f>
        <x:v>0</x:v>
      </x:c>
      <x:c r="BU1060">
        <x:f>MAX(0,MIN(BK1060,IF(AND(H1060=1,C1060="重要关系5",LEFT('幕间与结算'!H967,8)="建立新的重要关系"),'幕间与结算'!E967+E1060,BU1059+IF(C1060="重要关系5",E1060,0)+IF(AND(C1060="魅力",E1060&lt;0),E1060,0))))</x:f>
        <x:v>0</x:v>
      </x:c>
      <x:c r="BV1060">
        <x:f>MAX(0,MIN(BK1060,IF(AND(H1060=1,C1060="重要关系6",LEFT('幕间与结算'!H967,8)="建立新的重要关系"),'幕间与结算'!E967+E1060,BV1059+IF(C1060="重要关系6",E1060,0)+IF(AND(C1060="魅力",E1060&lt;0),E1060,0))))</x:f>
        <x:v>0</x:v>
      </x:c>
      <x:c r="BW1060">
        <x:f>MAX(0,MIN(BK1060,IF(AND(H1060=1,C1060="重要关系7",LEFT('幕间与结算'!H967,8)="建立新的重要关系"),'幕间与结算'!E967+E1060,BW1059+IF(C1060="重要关系7",E1060,0)+IF(AND(C1060="魅力",E1060&lt;0),E1060,0))))</x:f>
        <x:v>0</x:v>
      </x:c>
    </x:row>
    <x:row r="1061">
      <x:c r="A1061" t="str">
        <x:f>IFERROR(TEXT(VALUE('幕间与结算'!A968),"00"),"")</x:f>
        <x:v>00</x:v>
      </x:c>
      <x:c r="B1061">
        <x:f>'幕间与结算'!B968</x:f>
        <x:v>0</x:v>
      </x:c>
      <x:c r="C1061">
        <x:f>'幕间与结算'!D968</x:f>
        <x:v>0</x:v>
      </x:c>
      <x:c r="D1061">
        <x:f>'幕间与结算'!F968</x:f>
        <x:v>0</x:v>
      </x:c>
      <x:c r="E1061">
        <x:f>IF(H1061=1,MAX(-'幕间与结算'!E968,MIN(D1061,IF(LEFT(C1061,3)="技能：",99,IF(COUNTIF($L$2:$L$7,C1061)&gt;0,18,999))-'幕间与结算'!E968)),0)</x:f>
        <x:v>0</x:v>
      </x:c>
      <x:c r="F1061" t="str">
        <x:f>IF(C1061=0,"",IF(G1061=0,"记录不完整",IF(H1061=0,"重复未计","已计入")))</x:f>
        <x:v/>
      </x:c>
      <x:c r="G1061">
        <x:f>IF(AND(AND('幕间与结算'!A968&lt;&gt;"",'幕间与结算'!B968&lt;&gt;"",'幕间与结算'!I968&lt;&gt;"",OR(LEFT(C1061,3)="技能：",COUNTIF($L$2:$L$19,C1061)&gt;0),ISNUMBER('幕间与结算'!E968),ISNUMBER('幕间与结算'!F968),ISNUMBER('幕间与结算'!G968),'幕间与结算'!E968&gt;=0,'幕间与结算'!G968='幕间与结算'!E968+'幕间与结算'!F968),OR(B1061&lt;&gt;"成长",AND(LEFT(C1061,3)="技能：",C1061&lt;&gt;"技能：非自然知识",'幕间与结算'!E968&gt;=1,'幕间与结算'!E968&lt;=99,'幕间与结算'!F968&gt;=0,'幕间与结算'!F968&lt;=4,'幕间与结算'!G968&lt;=99))),1,0)</x:f>
        <x:v>0</x:v>
      </x:c>
      <x:c r="H1061">
        <x:f>IF(AND(G1061=1,COUNTIFS($I$200:I1061,I1061,$G$200:G1061,1)=1),1,0)</x:f>
        <x:v>0</x:v>
      </x:c>
      <x:c r="I1061" t="str">
        <x:f>IF(G1061=1,IF(B1061="成长",A1061&amp;"-成长-"&amp;C1061,'幕间与结算'!I968),"")</x:f>
        <x:v/>
      </x:c>
      <x:c r="BF1061">
        <x:f>MAX(0,MIN(18,BF1060+IF(C1061="力量",E1061,0)))</x:f>
        <x:v>0</x:v>
      </x:c>
      <x:c r="BG1061">
        <x:f>MAX(0,MIN(18,BG1060+IF(C1061="体质",E1061,0)))</x:f>
        <x:v>0</x:v>
      </x:c>
      <x:c r="BH1061">
        <x:f>MAX(0,MIN(18,BH1060+IF(C1061="敏捷",E1061,0)))</x:f>
        <x:v>0</x:v>
      </x:c>
      <x:c r="BI1061">
        <x:f>MAX(0,MIN(18,BI1060+IF(C1061="智力",E1061,0)))</x:f>
        <x:v>0</x:v>
      </x:c>
      <x:c r="BJ1061">
        <x:f>MAX(0,MIN(18,BJ1060+IF(C1061="意志",E1061,0)))</x:f>
        <x:v>0</x:v>
      </x:c>
      <x:c r="BK1061">
        <x:f>MAX(0,MIN(18,BK1060+IF(C1061="魅力",E1061,0)))</x:f>
        <x:v>0</x:v>
      </x:c>
      <x:c r="BL1061">
        <x:f>MAX(0,MIN(99,BL1060+IF(C1061="技能：非自然知识",E1061,0)))</x:f>
        <x:v>0</x:v>
      </x:c>
      <x:c r="BM1061">
        <x:f>MAX(0,MIN(CEILING((BF1061+BG1061)/2,1),BM1060+IF(C1061="体力",E1061,0)))</x:f>
        <x:v>0</x:v>
      </x:c>
      <x:c r="BN1061">
        <x:f>MAX(0,MIN(BJ1061,BN1060+IF(C1061="毅力",E1061,0)))</x:f>
        <x:v>0</x:v>
      </x:c>
      <x:c r="BO1061">
        <x:f>MAX(0,MIN(99-BL1061,BO1060+IF(C1061="理智",E1061,0)))</x:f>
        <x:v>0</x:v>
      </x:c>
      <x:c r="BP1061">
        <x:f>MAX(0,MIN(99,BP1060+IF(C1061="崩溃点",E1061,0)))</x:f>
        <x:v>0</x:v>
      </x:c>
      <x:c r="BQ1061">
        <x:f>MAX(0,MIN(BK1061,IF(AND(H1061=1,C1061="重要关系1",LEFT('幕间与结算'!H968,8)="建立新的重要关系"),'幕间与结算'!E968+E1061,BQ1060+IF(C1061="重要关系1",E1061,0)+IF(AND(C1061="魅力",E1061&lt;0),E1061,0))))</x:f>
        <x:v>0</x:v>
      </x:c>
      <x:c r="BR1061">
        <x:f>MAX(0,MIN(BK1061,IF(AND(H1061=1,C1061="重要关系2",LEFT('幕间与结算'!H968,8)="建立新的重要关系"),'幕间与结算'!E968+E1061,BR1060+IF(C1061="重要关系2",E1061,0)+IF(AND(C1061="魅力",E1061&lt;0),E1061,0))))</x:f>
        <x:v>0</x:v>
      </x:c>
      <x:c r="BS1061">
        <x:f>MAX(0,MIN(BK1061,IF(AND(H1061=1,C1061="重要关系3",LEFT('幕间与结算'!H968,8)="建立新的重要关系"),'幕间与结算'!E968+E1061,BS1060+IF(C1061="重要关系3",E1061,0)+IF(AND(C1061="魅力",E1061&lt;0),E1061,0))))</x:f>
        <x:v>0</x:v>
      </x:c>
      <x:c r="BT1061">
        <x:f>MAX(0,MIN(BK1061,IF(AND(H1061=1,C1061="重要关系4",LEFT('幕间与结算'!H968,8)="建立新的重要关系"),'幕间与结算'!E968+E1061,BT1060+IF(C1061="重要关系4",E1061,0)+IF(AND(C1061="魅力",E1061&lt;0),E1061,0))))</x:f>
        <x:v>0</x:v>
      </x:c>
      <x:c r="BU1061">
        <x:f>MAX(0,MIN(BK1061,IF(AND(H1061=1,C1061="重要关系5",LEFT('幕间与结算'!H968,8)="建立新的重要关系"),'幕间与结算'!E968+E1061,BU1060+IF(C1061="重要关系5",E1061,0)+IF(AND(C1061="魅力",E1061&lt;0),E1061,0))))</x:f>
        <x:v>0</x:v>
      </x:c>
      <x:c r="BV1061">
        <x:f>MAX(0,MIN(BK1061,IF(AND(H1061=1,C1061="重要关系6",LEFT('幕间与结算'!H968,8)="建立新的重要关系"),'幕间与结算'!E968+E1061,BV1060+IF(C1061="重要关系6",E1061,0)+IF(AND(C1061="魅力",E1061&lt;0),E1061,0))))</x:f>
        <x:v>0</x:v>
      </x:c>
      <x:c r="BW1061">
        <x:f>MAX(0,MIN(BK1061,IF(AND(H1061=1,C1061="重要关系7",LEFT('幕间与结算'!H968,8)="建立新的重要关系"),'幕间与结算'!E968+E1061,BW1060+IF(C1061="重要关系7",E1061,0)+IF(AND(C1061="魅力",E1061&lt;0),E1061,0))))</x:f>
        <x:v>0</x:v>
      </x:c>
    </x:row>
    <x:row r="1062">
      <x:c r="A1062" t="str">
        <x:f>IFERROR(TEXT(VALUE('幕间与结算'!A969),"00"),"")</x:f>
        <x:v>00</x:v>
      </x:c>
      <x:c r="B1062">
        <x:f>'幕间与结算'!B969</x:f>
        <x:v>0</x:v>
      </x:c>
      <x:c r="C1062">
        <x:f>'幕间与结算'!D969</x:f>
        <x:v>0</x:v>
      </x:c>
      <x:c r="D1062">
        <x:f>'幕间与结算'!F969</x:f>
        <x:v>0</x:v>
      </x:c>
      <x:c r="E1062">
        <x:f>IF(H1062=1,MAX(-'幕间与结算'!E969,MIN(D1062,IF(LEFT(C1062,3)="技能：",99,IF(COUNTIF($L$2:$L$7,C1062)&gt;0,18,999))-'幕间与结算'!E969)),0)</x:f>
        <x:v>0</x:v>
      </x:c>
      <x:c r="F1062" t="str">
        <x:f>IF(C1062=0,"",IF(G1062=0,"记录不完整",IF(H1062=0,"重复未计","已计入")))</x:f>
        <x:v/>
      </x:c>
      <x:c r="G1062">
        <x:f>IF(AND(AND('幕间与结算'!A969&lt;&gt;"",'幕间与结算'!B969&lt;&gt;"",'幕间与结算'!I969&lt;&gt;"",OR(LEFT(C1062,3)="技能：",COUNTIF($L$2:$L$19,C1062)&gt;0),ISNUMBER('幕间与结算'!E969),ISNUMBER('幕间与结算'!F969),ISNUMBER('幕间与结算'!G969),'幕间与结算'!E969&gt;=0,'幕间与结算'!G969='幕间与结算'!E969+'幕间与结算'!F969),OR(B1062&lt;&gt;"成长",AND(LEFT(C1062,3)="技能：",C1062&lt;&gt;"技能：非自然知识",'幕间与结算'!E969&gt;=1,'幕间与结算'!E969&lt;=99,'幕间与结算'!F969&gt;=0,'幕间与结算'!F969&lt;=4,'幕间与结算'!G969&lt;=99))),1,0)</x:f>
        <x:v>0</x:v>
      </x:c>
      <x:c r="H1062">
        <x:f>IF(AND(G1062=1,COUNTIFS($I$200:I1062,I1062,$G$200:G1062,1)=1),1,0)</x:f>
        <x:v>0</x:v>
      </x:c>
      <x:c r="I1062" t="str">
        <x:f>IF(G1062=1,IF(B1062="成长",A1062&amp;"-成长-"&amp;C1062,'幕间与结算'!I969),"")</x:f>
        <x:v/>
      </x:c>
      <x:c r="BF1062">
        <x:f>MAX(0,MIN(18,BF1061+IF(C1062="力量",E1062,0)))</x:f>
        <x:v>0</x:v>
      </x:c>
      <x:c r="BG1062">
        <x:f>MAX(0,MIN(18,BG1061+IF(C1062="体质",E1062,0)))</x:f>
        <x:v>0</x:v>
      </x:c>
      <x:c r="BH1062">
        <x:f>MAX(0,MIN(18,BH1061+IF(C1062="敏捷",E1062,0)))</x:f>
        <x:v>0</x:v>
      </x:c>
      <x:c r="BI1062">
        <x:f>MAX(0,MIN(18,BI1061+IF(C1062="智力",E1062,0)))</x:f>
        <x:v>0</x:v>
      </x:c>
      <x:c r="BJ1062">
        <x:f>MAX(0,MIN(18,BJ1061+IF(C1062="意志",E1062,0)))</x:f>
        <x:v>0</x:v>
      </x:c>
      <x:c r="BK1062">
        <x:f>MAX(0,MIN(18,BK1061+IF(C1062="魅力",E1062,0)))</x:f>
        <x:v>0</x:v>
      </x:c>
      <x:c r="BL1062">
        <x:f>MAX(0,MIN(99,BL1061+IF(C1062="技能：非自然知识",E1062,0)))</x:f>
        <x:v>0</x:v>
      </x:c>
      <x:c r="BM1062">
        <x:f>MAX(0,MIN(CEILING((BF1062+BG1062)/2,1),BM1061+IF(C1062="体力",E1062,0)))</x:f>
        <x:v>0</x:v>
      </x:c>
      <x:c r="BN1062">
        <x:f>MAX(0,MIN(BJ1062,BN1061+IF(C1062="毅力",E1062,0)))</x:f>
        <x:v>0</x:v>
      </x:c>
      <x:c r="BO1062">
        <x:f>MAX(0,MIN(99-BL1062,BO1061+IF(C1062="理智",E1062,0)))</x:f>
        <x:v>0</x:v>
      </x:c>
      <x:c r="BP1062">
        <x:f>MAX(0,MIN(99,BP1061+IF(C1062="崩溃点",E1062,0)))</x:f>
        <x:v>0</x:v>
      </x:c>
      <x:c r="BQ1062">
        <x:f>MAX(0,MIN(BK1062,IF(AND(H1062=1,C1062="重要关系1",LEFT('幕间与结算'!H969,8)="建立新的重要关系"),'幕间与结算'!E969+E1062,BQ1061+IF(C1062="重要关系1",E1062,0)+IF(AND(C1062="魅力",E1062&lt;0),E1062,0))))</x:f>
        <x:v>0</x:v>
      </x:c>
      <x:c r="BR1062">
        <x:f>MAX(0,MIN(BK1062,IF(AND(H1062=1,C1062="重要关系2",LEFT('幕间与结算'!H969,8)="建立新的重要关系"),'幕间与结算'!E969+E1062,BR1061+IF(C1062="重要关系2",E1062,0)+IF(AND(C1062="魅力",E1062&lt;0),E1062,0))))</x:f>
        <x:v>0</x:v>
      </x:c>
      <x:c r="BS1062">
        <x:f>MAX(0,MIN(BK1062,IF(AND(H1062=1,C1062="重要关系3",LEFT('幕间与结算'!H969,8)="建立新的重要关系"),'幕间与结算'!E969+E1062,BS1061+IF(C1062="重要关系3",E1062,0)+IF(AND(C1062="魅力",E1062&lt;0),E1062,0))))</x:f>
        <x:v>0</x:v>
      </x:c>
      <x:c r="BT1062">
        <x:f>MAX(0,MIN(BK1062,IF(AND(H1062=1,C1062="重要关系4",LEFT('幕间与结算'!H969,8)="建立新的重要关系"),'幕间与结算'!E969+E1062,BT1061+IF(C1062="重要关系4",E1062,0)+IF(AND(C1062="魅力",E1062&lt;0),E1062,0))))</x:f>
        <x:v>0</x:v>
      </x:c>
      <x:c r="BU1062">
        <x:f>MAX(0,MIN(BK1062,IF(AND(H1062=1,C1062="重要关系5",LEFT('幕间与结算'!H969,8)="建立新的重要关系"),'幕间与结算'!E969+E1062,BU1061+IF(C1062="重要关系5",E1062,0)+IF(AND(C1062="魅力",E1062&lt;0),E1062,0))))</x:f>
        <x:v>0</x:v>
      </x:c>
      <x:c r="BV1062">
        <x:f>MAX(0,MIN(BK1062,IF(AND(H1062=1,C1062="重要关系6",LEFT('幕间与结算'!H969,8)="建立新的重要关系"),'幕间与结算'!E969+E1062,BV1061+IF(C1062="重要关系6",E1062,0)+IF(AND(C1062="魅力",E1062&lt;0),E1062,0))))</x:f>
        <x:v>0</x:v>
      </x:c>
      <x:c r="BW1062">
        <x:f>MAX(0,MIN(BK1062,IF(AND(H1062=1,C1062="重要关系7",LEFT('幕间与结算'!H969,8)="建立新的重要关系"),'幕间与结算'!E969+E1062,BW1061+IF(C1062="重要关系7",E1062,0)+IF(AND(C1062="魅力",E1062&lt;0),E1062,0))))</x:f>
        <x:v>0</x:v>
      </x:c>
    </x:row>
    <x:row r="1063">
      <x:c r="A1063" t="str">
        <x:f>IFERROR(TEXT(VALUE('幕间与结算'!A970),"00"),"")</x:f>
        <x:v>00</x:v>
      </x:c>
      <x:c r="B1063">
        <x:f>'幕间与结算'!B970</x:f>
        <x:v>0</x:v>
      </x:c>
      <x:c r="C1063">
        <x:f>'幕间与结算'!D970</x:f>
        <x:v>0</x:v>
      </x:c>
      <x:c r="D1063">
        <x:f>'幕间与结算'!F970</x:f>
        <x:v>0</x:v>
      </x:c>
      <x:c r="E1063">
        <x:f>IF(H1063=1,MAX(-'幕间与结算'!E970,MIN(D1063,IF(LEFT(C1063,3)="技能：",99,IF(COUNTIF($L$2:$L$7,C1063)&gt;0,18,999))-'幕间与结算'!E970)),0)</x:f>
        <x:v>0</x:v>
      </x:c>
      <x:c r="F1063" t="str">
        <x:f>IF(C1063=0,"",IF(G1063=0,"记录不完整",IF(H1063=0,"重复未计","已计入")))</x:f>
        <x:v/>
      </x:c>
      <x:c r="G1063">
        <x:f>IF(AND(AND('幕间与结算'!A970&lt;&gt;"",'幕间与结算'!B970&lt;&gt;"",'幕间与结算'!I970&lt;&gt;"",OR(LEFT(C1063,3)="技能：",COUNTIF($L$2:$L$19,C1063)&gt;0),ISNUMBER('幕间与结算'!E970),ISNUMBER('幕间与结算'!F970),ISNUMBER('幕间与结算'!G970),'幕间与结算'!E970&gt;=0,'幕间与结算'!G970='幕间与结算'!E970+'幕间与结算'!F970),OR(B1063&lt;&gt;"成长",AND(LEFT(C1063,3)="技能：",C1063&lt;&gt;"技能：非自然知识",'幕间与结算'!E970&gt;=1,'幕间与结算'!E970&lt;=99,'幕间与结算'!F970&gt;=0,'幕间与结算'!F970&lt;=4,'幕间与结算'!G970&lt;=99))),1,0)</x:f>
        <x:v>0</x:v>
      </x:c>
      <x:c r="H1063">
        <x:f>IF(AND(G1063=1,COUNTIFS($I$200:I1063,I1063,$G$200:G1063,1)=1),1,0)</x:f>
        <x:v>0</x:v>
      </x:c>
      <x:c r="I1063" t="str">
        <x:f>IF(G1063=1,IF(B1063="成长",A1063&amp;"-成长-"&amp;C1063,'幕间与结算'!I970),"")</x:f>
        <x:v/>
      </x:c>
      <x:c r="BF1063">
        <x:f>MAX(0,MIN(18,BF1062+IF(C1063="力量",E1063,0)))</x:f>
        <x:v>0</x:v>
      </x:c>
      <x:c r="BG1063">
        <x:f>MAX(0,MIN(18,BG1062+IF(C1063="体质",E1063,0)))</x:f>
        <x:v>0</x:v>
      </x:c>
      <x:c r="BH1063">
        <x:f>MAX(0,MIN(18,BH1062+IF(C1063="敏捷",E1063,0)))</x:f>
        <x:v>0</x:v>
      </x:c>
      <x:c r="BI1063">
        <x:f>MAX(0,MIN(18,BI1062+IF(C1063="智力",E1063,0)))</x:f>
        <x:v>0</x:v>
      </x:c>
      <x:c r="BJ1063">
        <x:f>MAX(0,MIN(18,BJ1062+IF(C1063="意志",E1063,0)))</x:f>
        <x:v>0</x:v>
      </x:c>
      <x:c r="BK1063">
        <x:f>MAX(0,MIN(18,BK1062+IF(C1063="魅力",E1063,0)))</x:f>
        <x:v>0</x:v>
      </x:c>
      <x:c r="BL1063">
        <x:f>MAX(0,MIN(99,BL1062+IF(C1063="技能：非自然知识",E1063,0)))</x:f>
        <x:v>0</x:v>
      </x:c>
      <x:c r="BM1063">
        <x:f>MAX(0,MIN(CEILING((BF1063+BG1063)/2,1),BM1062+IF(C1063="体力",E1063,0)))</x:f>
        <x:v>0</x:v>
      </x:c>
      <x:c r="BN1063">
        <x:f>MAX(0,MIN(BJ1063,BN1062+IF(C1063="毅力",E1063,0)))</x:f>
        <x:v>0</x:v>
      </x:c>
      <x:c r="BO1063">
        <x:f>MAX(0,MIN(99-BL1063,BO1062+IF(C1063="理智",E1063,0)))</x:f>
        <x:v>0</x:v>
      </x:c>
      <x:c r="BP1063">
        <x:f>MAX(0,MIN(99,BP1062+IF(C1063="崩溃点",E1063,0)))</x:f>
        <x:v>0</x:v>
      </x:c>
      <x:c r="BQ1063">
        <x:f>MAX(0,MIN(BK1063,IF(AND(H1063=1,C1063="重要关系1",LEFT('幕间与结算'!H970,8)="建立新的重要关系"),'幕间与结算'!E970+E1063,BQ1062+IF(C1063="重要关系1",E1063,0)+IF(AND(C1063="魅力",E1063&lt;0),E1063,0))))</x:f>
        <x:v>0</x:v>
      </x:c>
      <x:c r="BR1063">
        <x:f>MAX(0,MIN(BK1063,IF(AND(H1063=1,C1063="重要关系2",LEFT('幕间与结算'!H970,8)="建立新的重要关系"),'幕间与结算'!E970+E1063,BR1062+IF(C1063="重要关系2",E1063,0)+IF(AND(C1063="魅力",E1063&lt;0),E1063,0))))</x:f>
        <x:v>0</x:v>
      </x:c>
      <x:c r="BS1063">
        <x:f>MAX(0,MIN(BK1063,IF(AND(H1063=1,C1063="重要关系3",LEFT('幕间与结算'!H970,8)="建立新的重要关系"),'幕间与结算'!E970+E1063,BS1062+IF(C1063="重要关系3",E1063,0)+IF(AND(C1063="魅力",E1063&lt;0),E1063,0))))</x:f>
        <x:v>0</x:v>
      </x:c>
      <x:c r="BT1063">
        <x:f>MAX(0,MIN(BK1063,IF(AND(H1063=1,C1063="重要关系4",LEFT('幕间与结算'!H970,8)="建立新的重要关系"),'幕间与结算'!E970+E1063,BT1062+IF(C1063="重要关系4",E1063,0)+IF(AND(C1063="魅力",E1063&lt;0),E1063,0))))</x:f>
        <x:v>0</x:v>
      </x:c>
      <x:c r="BU1063">
        <x:f>MAX(0,MIN(BK1063,IF(AND(H1063=1,C1063="重要关系5",LEFT('幕间与结算'!H970,8)="建立新的重要关系"),'幕间与结算'!E970+E1063,BU1062+IF(C1063="重要关系5",E1063,0)+IF(AND(C1063="魅力",E1063&lt;0),E1063,0))))</x:f>
        <x:v>0</x:v>
      </x:c>
      <x:c r="BV1063">
        <x:f>MAX(0,MIN(BK1063,IF(AND(H1063=1,C1063="重要关系6",LEFT('幕间与结算'!H970,8)="建立新的重要关系"),'幕间与结算'!E970+E1063,BV1062+IF(C1063="重要关系6",E1063,0)+IF(AND(C1063="魅力",E1063&lt;0),E1063,0))))</x:f>
        <x:v>0</x:v>
      </x:c>
      <x:c r="BW1063">
        <x:f>MAX(0,MIN(BK1063,IF(AND(H1063=1,C1063="重要关系7",LEFT('幕间与结算'!H970,8)="建立新的重要关系"),'幕间与结算'!E970+E1063,BW1062+IF(C1063="重要关系7",E1063,0)+IF(AND(C1063="魅力",E1063&lt;0),E1063,0))))</x:f>
        <x:v>0</x:v>
      </x:c>
    </x:row>
    <x:row r="1064">
      <x:c r="A1064" t="str">
        <x:f>IFERROR(TEXT(VALUE('幕间与结算'!A971),"00"),"")</x:f>
        <x:v>00</x:v>
      </x:c>
      <x:c r="B1064">
        <x:f>'幕间与结算'!B971</x:f>
        <x:v>0</x:v>
      </x:c>
      <x:c r="C1064">
        <x:f>'幕间与结算'!D971</x:f>
        <x:v>0</x:v>
      </x:c>
      <x:c r="D1064">
        <x:f>'幕间与结算'!F971</x:f>
        <x:v>0</x:v>
      </x:c>
      <x:c r="E1064">
        <x:f>IF(H1064=1,MAX(-'幕间与结算'!E971,MIN(D1064,IF(LEFT(C1064,3)="技能：",99,IF(COUNTIF($L$2:$L$7,C1064)&gt;0,18,999))-'幕间与结算'!E971)),0)</x:f>
        <x:v>0</x:v>
      </x:c>
      <x:c r="F1064" t="str">
        <x:f>IF(C1064=0,"",IF(G1064=0,"记录不完整",IF(H1064=0,"重复未计","已计入")))</x:f>
        <x:v/>
      </x:c>
      <x:c r="G1064">
        <x:f>IF(AND(AND('幕间与结算'!A971&lt;&gt;"",'幕间与结算'!B971&lt;&gt;"",'幕间与结算'!I971&lt;&gt;"",OR(LEFT(C1064,3)="技能：",COUNTIF($L$2:$L$19,C1064)&gt;0),ISNUMBER('幕间与结算'!E971),ISNUMBER('幕间与结算'!F971),ISNUMBER('幕间与结算'!G971),'幕间与结算'!E971&gt;=0,'幕间与结算'!G971='幕间与结算'!E971+'幕间与结算'!F971),OR(B1064&lt;&gt;"成长",AND(LEFT(C1064,3)="技能：",C1064&lt;&gt;"技能：非自然知识",'幕间与结算'!E971&gt;=1,'幕间与结算'!E971&lt;=99,'幕间与结算'!F971&gt;=0,'幕间与结算'!F971&lt;=4,'幕间与结算'!G971&lt;=99))),1,0)</x:f>
        <x:v>0</x:v>
      </x:c>
      <x:c r="H1064">
        <x:f>IF(AND(G1064=1,COUNTIFS($I$200:I1064,I1064,$G$200:G1064,1)=1),1,0)</x:f>
        <x:v>0</x:v>
      </x:c>
      <x:c r="I1064" t="str">
        <x:f>IF(G1064=1,IF(B1064="成长",A1064&amp;"-成长-"&amp;C1064,'幕间与结算'!I971),"")</x:f>
        <x:v/>
      </x:c>
      <x:c r="BF1064">
        <x:f>MAX(0,MIN(18,BF1063+IF(C1064="力量",E1064,0)))</x:f>
        <x:v>0</x:v>
      </x:c>
      <x:c r="BG1064">
        <x:f>MAX(0,MIN(18,BG1063+IF(C1064="体质",E1064,0)))</x:f>
        <x:v>0</x:v>
      </x:c>
      <x:c r="BH1064">
        <x:f>MAX(0,MIN(18,BH1063+IF(C1064="敏捷",E1064,0)))</x:f>
        <x:v>0</x:v>
      </x:c>
      <x:c r="BI1064">
        <x:f>MAX(0,MIN(18,BI1063+IF(C1064="智力",E1064,0)))</x:f>
        <x:v>0</x:v>
      </x:c>
      <x:c r="BJ1064">
        <x:f>MAX(0,MIN(18,BJ1063+IF(C1064="意志",E1064,0)))</x:f>
        <x:v>0</x:v>
      </x:c>
      <x:c r="BK1064">
        <x:f>MAX(0,MIN(18,BK1063+IF(C1064="魅力",E1064,0)))</x:f>
        <x:v>0</x:v>
      </x:c>
      <x:c r="BL1064">
        <x:f>MAX(0,MIN(99,BL1063+IF(C1064="技能：非自然知识",E1064,0)))</x:f>
        <x:v>0</x:v>
      </x:c>
      <x:c r="BM1064">
        <x:f>MAX(0,MIN(CEILING((BF1064+BG1064)/2,1),BM1063+IF(C1064="体力",E1064,0)))</x:f>
        <x:v>0</x:v>
      </x:c>
      <x:c r="BN1064">
        <x:f>MAX(0,MIN(BJ1064,BN1063+IF(C1064="毅力",E1064,0)))</x:f>
        <x:v>0</x:v>
      </x:c>
      <x:c r="BO1064">
        <x:f>MAX(0,MIN(99-BL1064,BO1063+IF(C1064="理智",E1064,0)))</x:f>
        <x:v>0</x:v>
      </x:c>
      <x:c r="BP1064">
        <x:f>MAX(0,MIN(99,BP1063+IF(C1064="崩溃点",E1064,0)))</x:f>
        <x:v>0</x:v>
      </x:c>
      <x:c r="BQ1064">
        <x:f>MAX(0,MIN(BK1064,IF(AND(H1064=1,C1064="重要关系1",LEFT('幕间与结算'!H971,8)="建立新的重要关系"),'幕间与结算'!E971+E1064,BQ1063+IF(C1064="重要关系1",E1064,0)+IF(AND(C1064="魅力",E1064&lt;0),E1064,0))))</x:f>
        <x:v>0</x:v>
      </x:c>
      <x:c r="BR1064">
        <x:f>MAX(0,MIN(BK1064,IF(AND(H1064=1,C1064="重要关系2",LEFT('幕间与结算'!H971,8)="建立新的重要关系"),'幕间与结算'!E971+E1064,BR1063+IF(C1064="重要关系2",E1064,0)+IF(AND(C1064="魅力",E1064&lt;0),E1064,0))))</x:f>
        <x:v>0</x:v>
      </x:c>
      <x:c r="BS1064">
        <x:f>MAX(0,MIN(BK1064,IF(AND(H1064=1,C1064="重要关系3",LEFT('幕间与结算'!H971,8)="建立新的重要关系"),'幕间与结算'!E971+E1064,BS1063+IF(C1064="重要关系3",E1064,0)+IF(AND(C1064="魅力",E1064&lt;0),E1064,0))))</x:f>
        <x:v>0</x:v>
      </x:c>
      <x:c r="BT1064">
        <x:f>MAX(0,MIN(BK1064,IF(AND(H1064=1,C1064="重要关系4",LEFT('幕间与结算'!H971,8)="建立新的重要关系"),'幕间与结算'!E971+E1064,BT1063+IF(C1064="重要关系4",E1064,0)+IF(AND(C1064="魅力",E1064&lt;0),E1064,0))))</x:f>
        <x:v>0</x:v>
      </x:c>
      <x:c r="BU1064">
        <x:f>MAX(0,MIN(BK1064,IF(AND(H1064=1,C1064="重要关系5",LEFT('幕间与结算'!H971,8)="建立新的重要关系"),'幕间与结算'!E971+E1064,BU1063+IF(C1064="重要关系5",E1064,0)+IF(AND(C1064="魅力",E1064&lt;0),E1064,0))))</x:f>
        <x:v>0</x:v>
      </x:c>
      <x:c r="BV1064">
        <x:f>MAX(0,MIN(BK1064,IF(AND(H1064=1,C1064="重要关系6",LEFT('幕间与结算'!H971,8)="建立新的重要关系"),'幕间与结算'!E971+E1064,BV1063+IF(C1064="重要关系6",E1064,0)+IF(AND(C1064="魅力",E1064&lt;0),E1064,0))))</x:f>
        <x:v>0</x:v>
      </x:c>
      <x:c r="BW1064">
        <x:f>MAX(0,MIN(BK1064,IF(AND(H1064=1,C1064="重要关系7",LEFT('幕间与结算'!H971,8)="建立新的重要关系"),'幕间与结算'!E971+E1064,BW1063+IF(C1064="重要关系7",E1064,0)+IF(AND(C1064="魅力",E1064&lt;0),E1064,0))))</x:f>
        <x:v>0</x:v>
      </x:c>
    </x:row>
    <x:row r="1065">
      <x:c r="A1065" t="str">
        <x:f>IFERROR(TEXT(VALUE('幕间与结算'!A972),"00"),"")</x:f>
        <x:v>00</x:v>
      </x:c>
      <x:c r="B1065">
        <x:f>'幕间与结算'!B972</x:f>
        <x:v>0</x:v>
      </x:c>
      <x:c r="C1065">
        <x:f>'幕间与结算'!D972</x:f>
        <x:v>0</x:v>
      </x:c>
      <x:c r="D1065">
        <x:f>'幕间与结算'!F972</x:f>
        <x:v>0</x:v>
      </x:c>
      <x:c r="E1065">
        <x:f>IF(H1065=1,MAX(-'幕间与结算'!E972,MIN(D1065,IF(LEFT(C1065,3)="技能：",99,IF(COUNTIF($L$2:$L$7,C1065)&gt;0,18,999))-'幕间与结算'!E972)),0)</x:f>
        <x:v>0</x:v>
      </x:c>
      <x:c r="F1065" t="str">
        <x:f>IF(C1065=0,"",IF(G1065=0,"记录不完整",IF(H1065=0,"重复未计","已计入")))</x:f>
        <x:v/>
      </x:c>
      <x:c r="G1065">
        <x:f>IF(AND(AND('幕间与结算'!A972&lt;&gt;"",'幕间与结算'!B972&lt;&gt;"",'幕间与结算'!I972&lt;&gt;"",OR(LEFT(C1065,3)="技能：",COUNTIF($L$2:$L$19,C1065)&gt;0),ISNUMBER('幕间与结算'!E972),ISNUMBER('幕间与结算'!F972),ISNUMBER('幕间与结算'!G972),'幕间与结算'!E972&gt;=0,'幕间与结算'!G972='幕间与结算'!E972+'幕间与结算'!F972),OR(B1065&lt;&gt;"成长",AND(LEFT(C1065,3)="技能：",C1065&lt;&gt;"技能：非自然知识",'幕间与结算'!E972&gt;=1,'幕间与结算'!E972&lt;=99,'幕间与结算'!F972&gt;=0,'幕间与结算'!F972&lt;=4,'幕间与结算'!G972&lt;=99))),1,0)</x:f>
        <x:v>0</x:v>
      </x:c>
      <x:c r="H1065">
        <x:f>IF(AND(G1065=1,COUNTIFS($I$200:I1065,I1065,$G$200:G1065,1)=1),1,0)</x:f>
        <x:v>0</x:v>
      </x:c>
      <x:c r="I1065" t="str">
        <x:f>IF(G1065=1,IF(B1065="成长",A1065&amp;"-成长-"&amp;C1065,'幕间与结算'!I972),"")</x:f>
        <x:v/>
      </x:c>
      <x:c r="BF1065">
        <x:f>MAX(0,MIN(18,BF1064+IF(C1065="力量",E1065,0)))</x:f>
        <x:v>0</x:v>
      </x:c>
      <x:c r="BG1065">
        <x:f>MAX(0,MIN(18,BG1064+IF(C1065="体质",E1065,0)))</x:f>
        <x:v>0</x:v>
      </x:c>
      <x:c r="BH1065">
        <x:f>MAX(0,MIN(18,BH1064+IF(C1065="敏捷",E1065,0)))</x:f>
        <x:v>0</x:v>
      </x:c>
      <x:c r="BI1065">
        <x:f>MAX(0,MIN(18,BI1064+IF(C1065="智力",E1065,0)))</x:f>
        <x:v>0</x:v>
      </x:c>
      <x:c r="BJ1065">
        <x:f>MAX(0,MIN(18,BJ1064+IF(C1065="意志",E1065,0)))</x:f>
        <x:v>0</x:v>
      </x:c>
      <x:c r="BK1065">
        <x:f>MAX(0,MIN(18,BK1064+IF(C1065="魅力",E1065,0)))</x:f>
        <x:v>0</x:v>
      </x:c>
      <x:c r="BL1065">
        <x:f>MAX(0,MIN(99,BL1064+IF(C1065="技能：非自然知识",E1065,0)))</x:f>
        <x:v>0</x:v>
      </x:c>
      <x:c r="BM1065">
        <x:f>MAX(0,MIN(CEILING((BF1065+BG1065)/2,1),BM1064+IF(C1065="体力",E1065,0)))</x:f>
        <x:v>0</x:v>
      </x:c>
      <x:c r="BN1065">
        <x:f>MAX(0,MIN(BJ1065,BN1064+IF(C1065="毅力",E1065,0)))</x:f>
        <x:v>0</x:v>
      </x:c>
      <x:c r="BO1065">
        <x:f>MAX(0,MIN(99-BL1065,BO1064+IF(C1065="理智",E1065,0)))</x:f>
        <x:v>0</x:v>
      </x:c>
      <x:c r="BP1065">
        <x:f>MAX(0,MIN(99,BP1064+IF(C1065="崩溃点",E1065,0)))</x:f>
        <x:v>0</x:v>
      </x:c>
      <x:c r="BQ1065">
        <x:f>MAX(0,MIN(BK1065,IF(AND(H1065=1,C1065="重要关系1",LEFT('幕间与结算'!H972,8)="建立新的重要关系"),'幕间与结算'!E972+E1065,BQ1064+IF(C1065="重要关系1",E1065,0)+IF(AND(C1065="魅力",E1065&lt;0),E1065,0))))</x:f>
        <x:v>0</x:v>
      </x:c>
      <x:c r="BR1065">
        <x:f>MAX(0,MIN(BK1065,IF(AND(H1065=1,C1065="重要关系2",LEFT('幕间与结算'!H972,8)="建立新的重要关系"),'幕间与结算'!E972+E1065,BR1064+IF(C1065="重要关系2",E1065,0)+IF(AND(C1065="魅力",E1065&lt;0),E1065,0))))</x:f>
        <x:v>0</x:v>
      </x:c>
      <x:c r="BS1065">
        <x:f>MAX(0,MIN(BK1065,IF(AND(H1065=1,C1065="重要关系3",LEFT('幕间与结算'!H972,8)="建立新的重要关系"),'幕间与结算'!E972+E1065,BS1064+IF(C1065="重要关系3",E1065,0)+IF(AND(C1065="魅力",E1065&lt;0),E1065,0))))</x:f>
        <x:v>0</x:v>
      </x:c>
      <x:c r="BT1065">
        <x:f>MAX(0,MIN(BK1065,IF(AND(H1065=1,C1065="重要关系4",LEFT('幕间与结算'!H972,8)="建立新的重要关系"),'幕间与结算'!E972+E1065,BT1064+IF(C1065="重要关系4",E1065,0)+IF(AND(C1065="魅力",E1065&lt;0),E1065,0))))</x:f>
        <x:v>0</x:v>
      </x:c>
      <x:c r="BU1065">
        <x:f>MAX(0,MIN(BK1065,IF(AND(H1065=1,C1065="重要关系5",LEFT('幕间与结算'!H972,8)="建立新的重要关系"),'幕间与结算'!E972+E1065,BU1064+IF(C1065="重要关系5",E1065,0)+IF(AND(C1065="魅力",E1065&lt;0),E1065,0))))</x:f>
        <x:v>0</x:v>
      </x:c>
      <x:c r="BV1065">
        <x:f>MAX(0,MIN(BK1065,IF(AND(H1065=1,C1065="重要关系6",LEFT('幕间与结算'!H972,8)="建立新的重要关系"),'幕间与结算'!E972+E1065,BV1064+IF(C1065="重要关系6",E1065,0)+IF(AND(C1065="魅力",E1065&lt;0),E1065,0))))</x:f>
        <x:v>0</x:v>
      </x:c>
      <x:c r="BW1065">
        <x:f>MAX(0,MIN(BK1065,IF(AND(H1065=1,C1065="重要关系7",LEFT('幕间与结算'!H972,8)="建立新的重要关系"),'幕间与结算'!E972+E1065,BW1064+IF(C1065="重要关系7",E1065,0)+IF(AND(C1065="魅力",E1065&lt;0),E1065,0))))</x:f>
        <x:v>0</x:v>
      </x:c>
    </x:row>
    <x:row r="1066">
      <x:c r="A1066" t="str">
        <x:f>IFERROR(TEXT(VALUE('幕间与结算'!A973),"00"),"")</x:f>
        <x:v>00</x:v>
      </x:c>
      <x:c r="B1066">
        <x:f>'幕间与结算'!B973</x:f>
        <x:v>0</x:v>
      </x:c>
      <x:c r="C1066">
        <x:f>'幕间与结算'!D973</x:f>
        <x:v>0</x:v>
      </x:c>
      <x:c r="D1066">
        <x:f>'幕间与结算'!F973</x:f>
        <x:v>0</x:v>
      </x:c>
      <x:c r="E1066">
        <x:f>IF(H1066=1,MAX(-'幕间与结算'!E973,MIN(D1066,IF(LEFT(C1066,3)="技能：",99,IF(COUNTIF($L$2:$L$7,C1066)&gt;0,18,999))-'幕间与结算'!E973)),0)</x:f>
        <x:v>0</x:v>
      </x:c>
      <x:c r="F1066" t="str">
        <x:f>IF(C1066=0,"",IF(G1066=0,"记录不完整",IF(H1066=0,"重复未计","已计入")))</x:f>
        <x:v/>
      </x:c>
      <x:c r="G1066">
        <x:f>IF(AND(AND('幕间与结算'!A973&lt;&gt;"",'幕间与结算'!B973&lt;&gt;"",'幕间与结算'!I973&lt;&gt;"",OR(LEFT(C1066,3)="技能：",COUNTIF($L$2:$L$19,C1066)&gt;0),ISNUMBER('幕间与结算'!E973),ISNUMBER('幕间与结算'!F973),ISNUMBER('幕间与结算'!G973),'幕间与结算'!E973&gt;=0,'幕间与结算'!G973='幕间与结算'!E973+'幕间与结算'!F973),OR(B1066&lt;&gt;"成长",AND(LEFT(C1066,3)="技能：",C1066&lt;&gt;"技能：非自然知识",'幕间与结算'!E973&gt;=1,'幕间与结算'!E973&lt;=99,'幕间与结算'!F973&gt;=0,'幕间与结算'!F973&lt;=4,'幕间与结算'!G973&lt;=99))),1,0)</x:f>
        <x:v>0</x:v>
      </x:c>
      <x:c r="H1066">
        <x:f>IF(AND(G1066=1,COUNTIFS($I$200:I1066,I1066,$G$200:G1066,1)=1),1,0)</x:f>
        <x:v>0</x:v>
      </x:c>
      <x:c r="I1066" t="str">
        <x:f>IF(G1066=1,IF(B1066="成长",A1066&amp;"-成长-"&amp;C1066,'幕间与结算'!I973),"")</x:f>
        <x:v/>
      </x:c>
      <x:c r="BF1066">
        <x:f>MAX(0,MIN(18,BF1065+IF(C1066="力量",E1066,0)))</x:f>
        <x:v>0</x:v>
      </x:c>
      <x:c r="BG1066">
        <x:f>MAX(0,MIN(18,BG1065+IF(C1066="体质",E1066,0)))</x:f>
        <x:v>0</x:v>
      </x:c>
      <x:c r="BH1066">
        <x:f>MAX(0,MIN(18,BH1065+IF(C1066="敏捷",E1066,0)))</x:f>
        <x:v>0</x:v>
      </x:c>
      <x:c r="BI1066">
        <x:f>MAX(0,MIN(18,BI1065+IF(C1066="智力",E1066,0)))</x:f>
        <x:v>0</x:v>
      </x:c>
      <x:c r="BJ1066">
        <x:f>MAX(0,MIN(18,BJ1065+IF(C1066="意志",E1066,0)))</x:f>
        <x:v>0</x:v>
      </x:c>
      <x:c r="BK1066">
        <x:f>MAX(0,MIN(18,BK1065+IF(C1066="魅力",E1066,0)))</x:f>
        <x:v>0</x:v>
      </x:c>
      <x:c r="BL1066">
        <x:f>MAX(0,MIN(99,BL1065+IF(C1066="技能：非自然知识",E1066,0)))</x:f>
        <x:v>0</x:v>
      </x:c>
      <x:c r="BM1066">
        <x:f>MAX(0,MIN(CEILING((BF1066+BG1066)/2,1),BM1065+IF(C1066="体力",E1066,0)))</x:f>
        <x:v>0</x:v>
      </x:c>
      <x:c r="BN1066">
        <x:f>MAX(0,MIN(BJ1066,BN1065+IF(C1066="毅力",E1066,0)))</x:f>
        <x:v>0</x:v>
      </x:c>
      <x:c r="BO1066">
        <x:f>MAX(0,MIN(99-BL1066,BO1065+IF(C1066="理智",E1066,0)))</x:f>
        <x:v>0</x:v>
      </x:c>
      <x:c r="BP1066">
        <x:f>MAX(0,MIN(99,BP1065+IF(C1066="崩溃点",E1066,0)))</x:f>
        <x:v>0</x:v>
      </x:c>
      <x:c r="BQ1066">
        <x:f>MAX(0,MIN(BK1066,IF(AND(H1066=1,C1066="重要关系1",LEFT('幕间与结算'!H973,8)="建立新的重要关系"),'幕间与结算'!E973+E1066,BQ1065+IF(C1066="重要关系1",E1066,0)+IF(AND(C1066="魅力",E1066&lt;0),E1066,0))))</x:f>
        <x:v>0</x:v>
      </x:c>
      <x:c r="BR1066">
        <x:f>MAX(0,MIN(BK1066,IF(AND(H1066=1,C1066="重要关系2",LEFT('幕间与结算'!H973,8)="建立新的重要关系"),'幕间与结算'!E973+E1066,BR1065+IF(C1066="重要关系2",E1066,0)+IF(AND(C1066="魅力",E1066&lt;0),E1066,0))))</x:f>
        <x:v>0</x:v>
      </x:c>
      <x:c r="BS1066">
        <x:f>MAX(0,MIN(BK1066,IF(AND(H1066=1,C1066="重要关系3",LEFT('幕间与结算'!H973,8)="建立新的重要关系"),'幕间与结算'!E973+E1066,BS1065+IF(C1066="重要关系3",E1066,0)+IF(AND(C1066="魅力",E1066&lt;0),E1066,0))))</x:f>
        <x:v>0</x:v>
      </x:c>
      <x:c r="BT1066">
        <x:f>MAX(0,MIN(BK1066,IF(AND(H1066=1,C1066="重要关系4",LEFT('幕间与结算'!H973,8)="建立新的重要关系"),'幕间与结算'!E973+E1066,BT1065+IF(C1066="重要关系4",E1066,0)+IF(AND(C1066="魅力",E1066&lt;0),E1066,0))))</x:f>
        <x:v>0</x:v>
      </x:c>
      <x:c r="BU1066">
        <x:f>MAX(0,MIN(BK1066,IF(AND(H1066=1,C1066="重要关系5",LEFT('幕间与结算'!H973,8)="建立新的重要关系"),'幕间与结算'!E973+E1066,BU1065+IF(C1066="重要关系5",E1066,0)+IF(AND(C1066="魅力",E1066&lt;0),E1066,0))))</x:f>
        <x:v>0</x:v>
      </x:c>
      <x:c r="BV1066">
        <x:f>MAX(0,MIN(BK1066,IF(AND(H1066=1,C1066="重要关系6",LEFT('幕间与结算'!H973,8)="建立新的重要关系"),'幕间与结算'!E973+E1066,BV1065+IF(C1066="重要关系6",E1066,0)+IF(AND(C1066="魅力",E1066&lt;0),E1066,0))))</x:f>
        <x:v>0</x:v>
      </x:c>
      <x:c r="BW1066">
        <x:f>MAX(0,MIN(BK1066,IF(AND(H1066=1,C1066="重要关系7",LEFT('幕间与结算'!H973,8)="建立新的重要关系"),'幕间与结算'!E973+E1066,BW1065+IF(C1066="重要关系7",E1066,0)+IF(AND(C1066="魅力",E1066&lt;0),E1066,0))))</x:f>
        <x:v>0</x:v>
      </x:c>
    </x:row>
    <x:row r="1067">
      <x:c r="A1067" t="str">
        <x:f>IFERROR(TEXT(VALUE('幕间与结算'!A974),"00"),"")</x:f>
        <x:v>00</x:v>
      </x:c>
      <x:c r="B1067">
        <x:f>'幕间与结算'!B974</x:f>
        <x:v>0</x:v>
      </x:c>
      <x:c r="C1067">
        <x:f>'幕间与结算'!D974</x:f>
        <x:v>0</x:v>
      </x:c>
      <x:c r="D1067">
        <x:f>'幕间与结算'!F974</x:f>
        <x:v>0</x:v>
      </x:c>
      <x:c r="E1067">
        <x:f>IF(H1067=1,MAX(-'幕间与结算'!E974,MIN(D1067,IF(LEFT(C1067,3)="技能：",99,IF(COUNTIF($L$2:$L$7,C1067)&gt;0,18,999))-'幕间与结算'!E974)),0)</x:f>
        <x:v>0</x:v>
      </x:c>
      <x:c r="F1067" t="str">
        <x:f>IF(C1067=0,"",IF(G1067=0,"记录不完整",IF(H1067=0,"重复未计","已计入")))</x:f>
        <x:v/>
      </x:c>
      <x:c r="G1067">
        <x:f>IF(AND(AND('幕间与结算'!A974&lt;&gt;"",'幕间与结算'!B974&lt;&gt;"",'幕间与结算'!I974&lt;&gt;"",OR(LEFT(C1067,3)="技能：",COUNTIF($L$2:$L$19,C1067)&gt;0),ISNUMBER('幕间与结算'!E974),ISNUMBER('幕间与结算'!F974),ISNUMBER('幕间与结算'!G974),'幕间与结算'!E974&gt;=0,'幕间与结算'!G974='幕间与结算'!E974+'幕间与结算'!F974),OR(B1067&lt;&gt;"成长",AND(LEFT(C1067,3)="技能：",C1067&lt;&gt;"技能：非自然知识",'幕间与结算'!E974&gt;=1,'幕间与结算'!E974&lt;=99,'幕间与结算'!F974&gt;=0,'幕间与结算'!F974&lt;=4,'幕间与结算'!G974&lt;=99))),1,0)</x:f>
        <x:v>0</x:v>
      </x:c>
      <x:c r="H1067">
        <x:f>IF(AND(G1067=1,COUNTIFS($I$200:I1067,I1067,$G$200:G1067,1)=1),1,0)</x:f>
        <x:v>0</x:v>
      </x:c>
      <x:c r="I1067" t="str">
        <x:f>IF(G1067=1,IF(B1067="成长",A1067&amp;"-成长-"&amp;C1067,'幕间与结算'!I974),"")</x:f>
        <x:v/>
      </x:c>
      <x:c r="BF1067">
        <x:f>MAX(0,MIN(18,BF1066+IF(C1067="力量",E1067,0)))</x:f>
        <x:v>0</x:v>
      </x:c>
      <x:c r="BG1067">
        <x:f>MAX(0,MIN(18,BG1066+IF(C1067="体质",E1067,0)))</x:f>
        <x:v>0</x:v>
      </x:c>
      <x:c r="BH1067">
        <x:f>MAX(0,MIN(18,BH1066+IF(C1067="敏捷",E1067,0)))</x:f>
        <x:v>0</x:v>
      </x:c>
      <x:c r="BI1067">
        <x:f>MAX(0,MIN(18,BI1066+IF(C1067="智力",E1067,0)))</x:f>
        <x:v>0</x:v>
      </x:c>
      <x:c r="BJ1067">
        <x:f>MAX(0,MIN(18,BJ1066+IF(C1067="意志",E1067,0)))</x:f>
        <x:v>0</x:v>
      </x:c>
      <x:c r="BK1067">
        <x:f>MAX(0,MIN(18,BK1066+IF(C1067="魅力",E1067,0)))</x:f>
        <x:v>0</x:v>
      </x:c>
      <x:c r="BL1067">
        <x:f>MAX(0,MIN(99,BL1066+IF(C1067="技能：非自然知识",E1067,0)))</x:f>
        <x:v>0</x:v>
      </x:c>
      <x:c r="BM1067">
        <x:f>MAX(0,MIN(CEILING((BF1067+BG1067)/2,1),BM1066+IF(C1067="体力",E1067,0)))</x:f>
        <x:v>0</x:v>
      </x:c>
      <x:c r="BN1067">
        <x:f>MAX(0,MIN(BJ1067,BN1066+IF(C1067="毅力",E1067,0)))</x:f>
        <x:v>0</x:v>
      </x:c>
      <x:c r="BO1067">
        <x:f>MAX(0,MIN(99-BL1067,BO1066+IF(C1067="理智",E1067,0)))</x:f>
        <x:v>0</x:v>
      </x:c>
      <x:c r="BP1067">
        <x:f>MAX(0,MIN(99,BP1066+IF(C1067="崩溃点",E1067,0)))</x:f>
        <x:v>0</x:v>
      </x:c>
      <x:c r="BQ1067">
        <x:f>MAX(0,MIN(BK1067,IF(AND(H1067=1,C1067="重要关系1",LEFT('幕间与结算'!H974,8)="建立新的重要关系"),'幕间与结算'!E974+E1067,BQ1066+IF(C1067="重要关系1",E1067,0)+IF(AND(C1067="魅力",E1067&lt;0),E1067,0))))</x:f>
        <x:v>0</x:v>
      </x:c>
      <x:c r="BR1067">
        <x:f>MAX(0,MIN(BK1067,IF(AND(H1067=1,C1067="重要关系2",LEFT('幕间与结算'!H974,8)="建立新的重要关系"),'幕间与结算'!E974+E1067,BR1066+IF(C1067="重要关系2",E1067,0)+IF(AND(C1067="魅力",E1067&lt;0),E1067,0))))</x:f>
        <x:v>0</x:v>
      </x:c>
      <x:c r="BS1067">
        <x:f>MAX(0,MIN(BK1067,IF(AND(H1067=1,C1067="重要关系3",LEFT('幕间与结算'!H974,8)="建立新的重要关系"),'幕间与结算'!E974+E1067,BS1066+IF(C1067="重要关系3",E1067,0)+IF(AND(C1067="魅力",E1067&lt;0),E1067,0))))</x:f>
        <x:v>0</x:v>
      </x:c>
      <x:c r="BT1067">
        <x:f>MAX(0,MIN(BK1067,IF(AND(H1067=1,C1067="重要关系4",LEFT('幕间与结算'!H974,8)="建立新的重要关系"),'幕间与结算'!E974+E1067,BT1066+IF(C1067="重要关系4",E1067,0)+IF(AND(C1067="魅力",E1067&lt;0),E1067,0))))</x:f>
        <x:v>0</x:v>
      </x:c>
      <x:c r="BU1067">
        <x:f>MAX(0,MIN(BK1067,IF(AND(H1067=1,C1067="重要关系5",LEFT('幕间与结算'!H974,8)="建立新的重要关系"),'幕间与结算'!E974+E1067,BU1066+IF(C1067="重要关系5",E1067,0)+IF(AND(C1067="魅力",E1067&lt;0),E1067,0))))</x:f>
        <x:v>0</x:v>
      </x:c>
      <x:c r="BV1067">
        <x:f>MAX(0,MIN(BK1067,IF(AND(H1067=1,C1067="重要关系6",LEFT('幕间与结算'!H974,8)="建立新的重要关系"),'幕间与结算'!E974+E1067,BV1066+IF(C1067="重要关系6",E1067,0)+IF(AND(C1067="魅力",E1067&lt;0),E1067,0))))</x:f>
        <x:v>0</x:v>
      </x:c>
      <x:c r="BW1067">
        <x:f>MAX(0,MIN(BK1067,IF(AND(H1067=1,C1067="重要关系7",LEFT('幕间与结算'!H974,8)="建立新的重要关系"),'幕间与结算'!E974+E1067,BW1066+IF(C1067="重要关系7",E1067,0)+IF(AND(C1067="魅力",E1067&lt;0),E1067,0))))</x:f>
        <x:v>0</x:v>
      </x:c>
    </x:row>
    <x:row r="1068">
      <x:c r="A1068" t="str">
        <x:f>IFERROR(TEXT(VALUE('幕间与结算'!A975),"00"),"")</x:f>
        <x:v>00</x:v>
      </x:c>
      <x:c r="B1068">
        <x:f>'幕间与结算'!B975</x:f>
        <x:v>0</x:v>
      </x:c>
      <x:c r="C1068">
        <x:f>'幕间与结算'!D975</x:f>
        <x:v>0</x:v>
      </x:c>
      <x:c r="D1068">
        <x:f>'幕间与结算'!F975</x:f>
        <x:v>0</x:v>
      </x:c>
      <x:c r="E1068">
        <x:f>IF(H1068=1,MAX(-'幕间与结算'!E975,MIN(D1068,IF(LEFT(C1068,3)="技能：",99,IF(COUNTIF($L$2:$L$7,C1068)&gt;0,18,999))-'幕间与结算'!E975)),0)</x:f>
        <x:v>0</x:v>
      </x:c>
      <x:c r="F1068" t="str">
        <x:f>IF(C1068=0,"",IF(G1068=0,"记录不完整",IF(H1068=0,"重复未计","已计入")))</x:f>
        <x:v/>
      </x:c>
      <x:c r="G1068">
        <x:f>IF(AND(AND('幕间与结算'!A975&lt;&gt;"",'幕间与结算'!B975&lt;&gt;"",'幕间与结算'!I975&lt;&gt;"",OR(LEFT(C1068,3)="技能：",COUNTIF($L$2:$L$19,C1068)&gt;0),ISNUMBER('幕间与结算'!E975),ISNUMBER('幕间与结算'!F975),ISNUMBER('幕间与结算'!G975),'幕间与结算'!E975&gt;=0,'幕间与结算'!G975='幕间与结算'!E975+'幕间与结算'!F975),OR(B1068&lt;&gt;"成长",AND(LEFT(C1068,3)="技能：",C1068&lt;&gt;"技能：非自然知识",'幕间与结算'!E975&gt;=1,'幕间与结算'!E975&lt;=99,'幕间与结算'!F975&gt;=0,'幕间与结算'!F975&lt;=4,'幕间与结算'!G975&lt;=99))),1,0)</x:f>
        <x:v>0</x:v>
      </x:c>
      <x:c r="H1068">
        <x:f>IF(AND(G1068=1,COUNTIFS($I$200:I1068,I1068,$G$200:G1068,1)=1),1,0)</x:f>
        <x:v>0</x:v>
      </x:c>
      <x:c r="I1068" t="str">
        <x:f>IF(G1068=1,IF(B1068="成长",A1068&amp;"-成长-"&amp;C1068,'幕间与结算'!I975),"")</x:f>
        <x:v/>
      </x:c>
      <x:c r="BF1068">
        <x:f>MAX(0,MIN(18,BF1067+IF(C1068="力量",E1068,0)))</x:f>
        <x:v>0</x:v>
      </x:c>
      <x:c r="BG1068">
        <x:f>MAX(0,MIN(18,BG1067+IF(C1068="体质",E1068,0)))</x:f>
        <x:v>0</x:v>
      </x:c>
      <x:c r="BH1068">
        <x:f>MAX(0,MIN(18,BH1067+IF(C1068="敏捷",E1068,0)))</x:f>
        <x:v>0</x:v>
      </x:c>
      <x:c r="BI1068">
        <x:f>MAX(0,MIN(18,BI1067+IF(C1068="智力",E1068,0)))</x:f>
        <x:v>0</x:v>
      </x:c>
      <x:c r="BJ1068">
        <x:f>MAX(0,MIN(18,BJ1067+IF(C1068="意志",E1068,0)))</x:f>
        <x:v>0</x:v>
      </x:c>
      <x:c r="BK1068">
        <x:f>MAX(0,MIN(18,BK1067+IF(C1068="魅力",E1068,0)))</x:f>
        <x:v>0</x:v>
      </x:c>
      <x:c r="BL1068">
        <x:f>MAX(0,MIN(99,BL1067+IF(C1068="技能：非自然知识",E1068,0)))</x:f>
        <x:v>0</x:v>
      </x:c>
      <x:c r="BM1068">
        <x:f>MAX(0,MIN(CEILING((BF1068+BG1068)/2,1),BM1067+IF(C1068="体力",E1068,0)))</x:f>
        <x:v>0</x:v>
      </x:c>
      <x:c r="BN1068">
        <x:f>MAX(0,MIN(BJ1068,BN1067+IF(C1068="毅力",E1068,0)))</x:f>
        <x:v>0</x:v>
      </x:c>
      <x:c r="BO1068">
        <x:f>MAX(0,MIN(99-BL1068,BO1067+IF(C1068="理智",E1068,0)))</x:f>
        <x:v>0</x:v>
      </x:c>
      <x:c r="BP1068">
        <x:f>MAX(0,MIN(99,BP1067+IF(C1068="崩溃点",E1068,0)))</x:f>
        <x:v>0</x:v>
      </x:c>
      <x:c r="BQ1068">
        <x:f>MAX(0,MIN(BK1068,IF(AND(H1068=1,C1068="重要关系1",LEFT('幕间与结算'!H975,8)="建立新的重要关系"),'幕间与结算'!E975+E1068,BQ1067+IF(C1068="重要关系1",E1068,0)+IF(AND(C1068="魅力",E1068&lt;0),E1068,0))))</x:f>
        <x:v>0</x:v>
      </x:c>
      <x:c r="BR1068">
        <x:f>MAX(0,MIN(BK1068,IF(AND(H1068=1,C1068="重要关系2",LEFT('幕间与结算'!H975,8)="建立新的重要关系"),'幕间与结算'!E975+E1068,BR1067+IF(C1068="重要关系2",E1068,0)+IF(AND(C1068="魅力",E1068&lt;0),E1068,0))))</x:f>
        <x:v>0</x:v>
      </x:c>
      <x:c r="BS1068">
        <x:f>MAX(0,MIN(BK1068,IF(AND(H1068=1,C1068="重要关系3",LEFT('幕间与结算'!H975,8)="建立新的重要关系"),'幕间与结算'!E975+E1068,BS1067+IF(C1068="重要关系3",E1068,0)+IF(AND(C1068="魅力",E1068&lt;0),E1068,0))))</x:f>
        <x:v>0</x:v>
      </x:c>
      <x:c r="BT1068">
        <x:f>MAX(0,MIN(BK1068,IF(AND(H1068=1,C1068="重要关系4",LEFT('幕间与结算'!H975,8)="建立新的重要关系"),'幕间与结算'!E975+E1068,BT1067+IF(C1068="重要关系4",E1068,0)+IF(AND(C1068="魅力",E1068&lt;0),E1068,0))))</x:f>
        <x:v>0</x:v>
      </x:c>
      <x:c r="BU1068">
        <x:f>MAX(0,MIN(BK1068,IF(AND(H1068=1,C1068="重要关系5",LEFT('幕间与结算'!H975,8)="建立新的重要关系"),'幕间与结算'!E975+E1068,BU1067+IF(C1068="重要关系5",E1068,0)+IF(AND(C1068="魅力",E1068&lt;0),E1068,0))))</x:f>
        <x:v>0</x:v>
      </x:c>
      <x:c r="BV1068">
        <x:f>MAX(0,MIN(BK1068,IF(AND(H1068=1,C1068="重要关系6",LEFT('幕间与结算'!H975,8)="建立新的重要关系"),'幕间与结算'!E975+E1068,BV1067+IF(C1068="重要关系6",E1068,0)+IF(AND(C1068="魅力",E1068&lt;0),E1068,0))))</x:f>
        <x:v>0</x:v>
      </x:c>
      <x:c r="BW1068">
        <x:f>MAX(0,MIN(BK1068,IF(AND(H1068=1,C1068="重要关系7",LEFT('幕间与结算'!H975,8)="建立新的重要关系"),'幕间与结算'!E975+E1068,BW1067+IF(C1068="重要关系7",E1068,0)+IF(AND(C1068="魅力",E1068&lt;0),E1068,0))))</x:f>
        <x:v>0</x:v>
      </x:c>
    </x:row>
    <x:row r="1069">
      <x:c r="A1069" t="str">
        <x:f>IFERROR(TEXT(VALUE('幕间与结算'!A976),"00"),"")</x:f>
        <x:v>00</x:v>
      </x:c>
      <x:c r="B1069">
        <x:f>'幕间与结算'!B976</x:f>
        <x:v>0</x:v>
      </x:c>
      <x:c r="C1069">
        <x:f>'幕间与结算'!D976</x:f>
        <x:v>0</x:v>
      </x:c>
      <x:c r="D1069">
        <x:f>'幕间与结算'!F976</x:f>
        <x:v>0</x:v>
      </x:c>
      <x:c r="E1069">
        <x:f>IF(H1069=1,MAX(-'幕间与结算'!E976,MIN(D1069,IF(LEFT(C1069,3)="技能：",99,IF(COUNTIF($L$2:$L$7,C1069)&gt;0,18,999))-'幕间与结算'!E976)),0)</x:f>
        <x:v>0</x:v>
      </x:c>
      <x:c r="F1069" t="str">
        <x:f>IF(C1069=0,"",IF(G1069=0,"记录不完整",IF(H1069=0,"重复未计","已计入")))</x:f>
        <x:v/>
      </x:c>
      <x:c r="G1069">
        <x:f>IF(AND(AND('幕间与结算'!A976&lt;&gt;"",'幕间与结算'!B976&lt;&gt;"",'幕间与结算'!I976&lt;&gt;"",OR(LEFT(C1069,3)="技能：",COUNTIF($L$2:$L$19,C1069)&gt;0),ISNUMBER('幕间与结算'!E976),ISNUMBER('幕间与结算'!F976),ISNUMBER('幕间与结算'!G976),'幕间与结算'!E976&gt;=0,'幕间与结算'!G976='幕间与结算'!E976+'幕间与结算'!F976),OR(B1069&lt;&gt;"成长",AND(LEFT(C1069,3)="技能：",C1069&lt;&gt;"技能：非自然知识",'幕间与结算'!E976&gt;=1,'幕间与结算'!E976&lt;=99,'幕间与结算'!F976&gt;=0,'幕间与结算'!F976&lt;=4,'幕间与结算'!G976&lt;=99))),1,0)</x:f>
        <x:v>0</x:v>
      </x:c>
      <x:c r="H1069">
        <x:f>IF(AND(G1069=1,COUNTIFS($I$200:I1069,I1069,$G$200:G1069,1)=1),1,0)</x:f>
        <x:v>0</x:v>
      </x:c>
      <x:c r="I1069" t="str">
        <x:f>IF(G1069=1,IF(B1069="成长",A1069&amp;"-成长-"&amp;C1069,'幕间与结算'!I976),"")</x:f>
        <x:v/>
      </x:c>
      <x:c r="BF1069">
        <x:f>MAX(0,MIN(18,BF1068+IF(C1069="力量",E1069,0)))</x:f>
        <x:v>0</x:v>
      </x:c>
      <x:c r="BG1069">
        <x:f>MAX(0,MIN(18,BG1068+IF(C1069="体质",E1069,0)))</x:f>
        <x:v>0</x:v>
      </x:c>
      <x:c r="BH1069">
        <x:f>MAX(0,MIN(18,BH1068+IF(C1069="敏捷",E1069,0)))</x:f>
        <x:v>0</x:v>
      </x:c>
      <x:c r="BI1069">
        <x:f>MAX(0,MIN(18,BI1068+IF(C1069="智力",E1069,0)))</x:f>
        <x:v>0</x:v>
      </x:c>
      <x:c r="BJ1069">
        <x:f>MAX(0,MIN(18,BJ1068+IF(C1069="意志",E1069,0)))</x:f>
        <x:v>0</x:v>
      </x:c>
      <x:c r="BK1069">
        <x:f>MAX(0,MIN(18,BK1068+IF(C1069="魅力",E1069,0)))</x:f>
        <x:v>0</x:v>
      </x:c>
      <x:c r="BL1069">
        <x:f>MAX(0,MIN(99,BL1068+IF(C1069="技能：非自然知识",E1069,0)))</x:f>
        <x:v>0</x:v>
      </x:c>
      <x:c r="BM1069">
        <x:f>MAX(0,MIN(CEILING((BF1069+BG1069)/2,1),BM1068+IF(C1069="体力",E1069,0)))</x:f>
        <x:v>0</x:v>
      </x:c>
      <x:c r="BN1069">
        <x:f>MAX(0,MIN(BJ1069,BN1068+IF(C1069="毅力",E1069,0)))</x:f>
        <x:v>0</x:v>
      </x:c>
      <x:c r="BO1069">
        <x:f>MAX(0,MIN(99-BL1069,BO1068+IF(C1069="理智",E1069,0)))</x:f>
        <x:v>0</x:v>
      </x:c>
      <x:c r="BP1069">
        <x:f>MAX(0,MIN(99,BP1068+IF(C1069="崩溃点",E1069,0)))</x:f>
        <x:v>0</x:v>
      </x:c>
      <x:c r="BQ1069">
        <x:f>MAX(0,MIN(BK1069,IF(AND(H1069=1,C1069="重要关系1",LEFT('幕间与结算'!H976,8)="建立新的重要关系"),'幕间与结算'!E976+E1069,BQ1068+IF(C1069="重要关系1",E1069,0)+IF(AND(C1069="魅力",E1069&lt;0),E1069,0))))</x:f>
        <x:v>0</x:v>
      </x:c>
      <x:c r="BR1069">
        <x:f>MAX(0,MIN(BK1069,IF(AND(H1069=1,C1069="重要关系2",LEFT('幕间与结算'!H976,8)="建立新的重要关系"),'幕间与结算'!E976+E1069,BR1068+IF(C1069="重要关系2",E1069,0)+IF(AND(C1069="魅力",E1069&lt;0),E1069,0))))</x:f>
        <x:v>0</x:v>
      </x:c>
      <x:c r="BS1069">
        <x:f>MAX(0,MIN(BK1069,IF(AND(H1069=1,C1069="重要关系3",LEFT('幕间与结算'!H976,8)="建立新的重要关系"),'幕间与结算'!E976+E1069,BS1068+IF(C1069="重要关系3",E1069,0)+IF(AND(C1069="魅力",E1069&lt;0),E1069,0))))</x:f>
        <x:v>0</x:v>
      </x:c>
      <x:c r="BT1069">
        <x:f>MAX(0,MIN(BK1069,IF(AND(H1069=1,C1069="重要关系4",LEFT('幕间与结算'!H976,8)="建立新的重要关系"),'幕间与结算'!E976+E1069,BT1068+IF(C1069="重要关系4",E1069,0)+IF(AND(C1069="魅力",E1069&lt;0),E1069,0))))</x:f>
        <x:v>0</x:v>
      </x:c>
      <x:c r="BU1069">
        <x:f>MAX(0,MIN(BK1069,IF(AND(H1069=1,C1069="重要关系5",LEFT('幕间与结算'!H976,8)="建立新的重要关系"),'幕间与结算'!E976+E1069,BU1068+IF(C1069="重要关系5",E1069,0)+IF(AND(C1069="魅力",E1069&lt;0),E1069,0))))</x:f>
        <x:v>0</x:v>
      </x:c>
      <x:c r="BV1069">
        <x:f>MAX(0,MIN(BK1069,IF(AND(H1069=1,C1069="重要关系6",LEFT('幕间与结算'!H976,8)="建立新的重要关系"),'幕间与结算'!E976+E1069,BV1068+IF(C1069="重要关系6",E1069,0)+IF(AND(C1069="魅力",E1069&lt;0),E1069,0))))</x:f>
        <x:v>0</x:v>
      </x:c>
      <x:c r="BW1069">
        <x:f>MAX(0,MIN(BK1069,IF(AND(H1069=1,C1069="重要关系7",LEFT('幕间与结算'!H976,8)="建立新的重要关系"),'幕间与结算'!E976+E1069,BW1068+IF(C1069="重要关系7",E1069,0)+IF(AND(C1069="魅力",E1069&lt;0),E1069,0))))</x:f>
        <x:v>0</x:v>
      </x:c>
    </x:row>
    <x:row r="1070">
      <x:c r="A1070" t="str">
        <x:f>IFERROR(TEXT(VALUE('幕间与结算'!A977),"00"),"")</x:f>
        <x:v>00</x:v>
      </x:c>
      <x:c r="B1070">
        <x:f>'幕间与结算'!B977</x:f>
        <x:v>0</x:v>
      </x:c>
      <x:c r="C1070">
        <x:f>'幕间与结算'!D977</x:f>
        <x:v>0</x:v>
      </x:c>
      <x:c r="D1070">
        <x:f>'幕间与结算'!F977</x:f>
        <x:v>0</x:v>
      </x:c>
      <x:c r="E1070">
        <x:f>IF(H1070=1,MAX(-'幕间与结算'!E977,MIN(D1070,IF(LEFT(C1070,3)="技能：",99,IF(COUNTIF($L$2:$L$7,C1070)&gt;0,18,999))-'幕间与结算'!E977)),0)</x:f>
        <x:v>0</x:v>
      </x:c>
      <x:c r="F1070" t="str">
        <x:f>IF(C1070=0,"",IF(G1070=0,"记录不完整",IF(H1070=0,"重复未计","已计入")))</x:f>
        <x:v/>
      </x:c>
      <x:c r="G1070">
        <x:f>IF(AND(AND('幕间与结算'!A977&lt;&gt;"",'幕间与结算'!B977&lt;&gt;"",'幕间与结算'!I977&lt;&gt;"",OR(LEFT(C1070,3)="技能：",COUNTIF($L$2:$L$19,C1070)&gt;0),ISNUMBER('幕间与结算'!E977),ISNUMBER('幕间与结算'!F977),ISNUMBER('幕间与结算'!G977),'幕间与结算'!E977&gt;=0,'幕间与结算'!G977='幕间与结算'!E977+'幕间与结算'!F977),OR(B1070&lt;&gt;"成长",AND(LEFT(C1070,3)="技能：",C1070&lt;&gt;"技能：非自然知识",'幕间与结算'!E977&gt;=1,'幕间与结算'!E977&lt;=99,'幕间与结算'!F977&gt;=0,'幕间与结算'!F977&lt;=4,'幕间与结算'!G977&lt;=99))),1,0)</x:f>
        <x:v>0</x:v>
      </x:c>
      <x:c r="H1070">
        <x:f>IF(AND(G1070=1,COUNTIFS($I$200:I1070,I1070,$G$200:G1070,1)=1),1,0)</x:f>
        <x:v>0</x:v>
      </x:c>
      <x:c r="I1070" t="str">
        <x:f>IF(G1070=1,IF(B1070="成长",A1070&amp;"-成长-"&amp;C1070,'幕间与结算'!I977),"")</x:f>
        <x:v/>
      </x:c>
      <x:c r="BF1070">
        <x:f>MAX(0,MIN(18,BF1069+IF(C1070="力量",E1070,0)))</x:f>
        <x:v>0</x:v>
      </x:c>
      <x:c r="BG1070">
        <x:f>MAX(0,MIN(18,BG1069+IF(C1070="体质",E1070,0)))</x:f>
        <x:v>0</x:v>
      </x:c>
      <x:c r="BH1070">
        <x:f>MAX(0,MIN(18,BH1069+IF(C1070="敏捷",E1070,0)))</x:f>
        <x:v>0</x:v>
      </x:c>
      <x:c r="BI1070">
        <x:f>MAX(0,MIN(18,BI1069+IF(C1070="智力",E1070,0)))</x:f>
        <x:v>0</x:v>
      </x:c>
      <x:c r="BJ1070">
        <x:f>MAX(0,MIN(18,BJ1069+IF(C1070="意志",E1070,0)))</x:f>
        <x:v>0</x:v>
      </x:c>
      <x:c r="BK1070">
        <x:f>MAX(0,MIN(18,BK1069+IF(C1070="魅力",E1070,0)))</x:f>
        <x:v>0</x:v>
      </x:c>
      <x:c r="BL1070">
        <x:f>MAX(0,MIN(99,BL1069+IF(C1070="技能：非自然知识",E1070,0)))</x:f>
        <x:v>0</x:v>
      </x:c>
      <x:c r="BM1070">
        <x:f>MAX(0,MIN(CEILING((BF1070+BG1070)/2,1),BM1069+IF(C1070="体力",E1070,0)))</x:f>
        <x:v>0</x:v>
      </x:c>
      <x:c r="BN1070">
        <x:f>MAX(0,MIN(BJ1070,BN1069+IF(C1070="毅力",E1070,0)))</x:f>
        <x:v>0</x:v>
      </x:c>
      <x:c r="BO1070">
        <x:f>MAX(0,MIN(99-BL1070,BO1069+IF(C1070="理智",E1070,0)))</x:f>
        <x:v>0</x:v>
      </x:c>
      <x:c r="BP1070">
        <x:f>MAX(0,MIN(99,BP1069+IF(C1070="崩溃点",E1070,0)))</x:f>
        <x:v>0</x:v>
      </x:c>
      <x:c r="BQ1070">
        <x:f>MAX(0,MIN(BK1070,IF(AND(H1070=1,C1070="重要关系1",LEFT('幕间与结算'!H977,8)="建立新的重要关系"),'幕间与结算'!E977+E1070,BQ1069+IF(C1070="重要关系1",E1070,0)+IF(AND(C1070="魅力",E1070&lt;0),E1070,0))))</x:f>
        <x:v>0</x:v>
      </x:c>
      <x:c r="BR1070">
        <x:f>MAX(0,MIN(BK1070,IF(AND(H1070=1,C1070="重要关系2",LEFT('幕间与结算'!H977,8)="建立新的重要关系"),'幕间与结算'!E977+E1070,BR1069+IF(C1070="重要关系2",E1070,0)+IF(AND(C1070="魅力",E1070&lt;0),E1070,0))))</x:f>
        <x:v>0</x:v>
      </x:c>
      <x:c r="BS1070">
        <x:f>MAX(0,MIN(BK1070,IF(AND(H1070=1,C1070="重要关系3",LEFT('幕间与结算'!H977,8)="建立新的重要关系"),'幕间与结算'!E977+E1070,BS1069+IF(C1070="重要关系3",E1070,0)+IF(AND(C1070="魅力",E1070&lt;0),E1070,0))))</x:f>
        <x:v>0</x:v>
      </x:c>
      <x:c r="BT1070">
        <x:f>MAX(0,MIN(BK1070,IF(AND(H1070=1,C1070="重要关系4",LEFT('幕间与结算'!H977,8)="建立新的重要关系"),'幕间与结算'!E977+E1070,BT1069+IF(C1070="重要关系4",E1070,0)+IF(AND(C1070="魅力",E1070&lt;0),E1070,0))))</x:f>
        <x:v>0</x:v>
      </x:c>
      <x:c r="BU1070">
        <x:f>MAX(0,MIN(BK1070,IF(AND(H1070=1,C1070="重要关系5",LEFT('幕间与结算'!H977,8)="建立新的重要关系"),'幕间与结算'!E977+E1070,BU1069+IF(C1070="重要关系5",E1070,0)+IF(AND(C1070="魅力",E1070&lt;0),E1070,0))))</x:f>
        <x:v>0</x:v>
      </x:c>
      <x:c r="BV1070">
        <x:f>MAX(0,MIN(BK1070,IF(AND(H1070=1,C1070="重要关系6",LEFT('幕间与结算'!H977,8)="建立新的重要关系"),'幕间与结算'!E977+E1070,BV1069+IF(C1070="重要关系6",E1070,0)+IF(AND(C1070="魅力",E1070&lt;0),E1070,0))))</x:f>
        <x:v>0</x:v>
      </x:c>
      <x:c r="BW1070">
        <x:f>MAX(0,MIN(BK1070,IF(AND(H1070=1,C1070="重要关系7",LEFT('幕间与结算'!H977,8)="建立新的重要关系"),'幕间与结算'!E977+E1070,BW1069+IF(C1070="重要关系7",E1070,0)+IF(AND(C1070="魅力",E1070&lt;0),E1070,0))))</x:f>
        <x:v>0</x:v>
      </x:c>
    </x:row>
    <x:row r="1071">
      <x:c r="A1071" t="str">
        <x:f>IFERROR(TEXT(VALUE('幕间与结算'!A978),"00"),"")</x:f>
        <x:v>00</x:v>
      </x:c>
      <x:c r="B1071">
        <x:f>'幕间与结算'!B978</x:f>
        <x:v>0</x:v>
      </x:c>
      <x:c r="C1071">
        <x:f>'幕间与结算'!D978</x:f>
        <x:v>0</x:v>
      </x:c>
      <x:c r="D1071">
        <x:f>'幕间与结算'!F978</x:f>
        <x:v>0</x:v>
      </x:c>
      <x:c r="E1071">
        <x:f>IF(H1071=1,MAX(-'幕间与结算'!E978,MIN(D1071,IF(LEFT(C1071,3)="技能：",99,IF(COUNTIF($L$2:$L$7,C1071)&gt;0,18,999))-'幕间与结算'!E978)),0)</x:f>
        <x:v>0</x:v>
      </x:c>
      <x:c r="F1071" t="str">
        <x:f>IF(C1071=0,"",IF(G1071=0,"记录不完整",IF(H1071=0,"重复未计","已计入")))</x:f>
        <x:v/>
      </x:c>
      <x:c r="G1071">
        <x:f>IF(AND(AND('幕间与结算'!A978&lt;&gt;"",'幕间与结算'!B978&lt;&gt;"",'幕间与结算'!I978&lt;&gt;"",OR(LEFT(C1071,3)="技能：",COUNTIF($L$2:$L$19,C1071)&gt;0),ISNUMBER('幕间与结算'!E978),ISNUMBER('幕间与结算'!F978),ISNUMBER('幕间与结算'!G978),'幕间与结算'!E978&gt;=0,'幕间与结算'!G978='幕间与结算'!E978+'幕间与结算'!F978),OR(B1071&lt;&gt;"成长",AND(LEFT(C1071,3)="技能：",C1071&lt;&gt;"技能：非自然知识",'幕间与结算'!E978&gt;=1,'幕间与结算'!E978&lt;=99,'幕间与结算'!F978&gt;=0,'幕间与结算'!F978&lt;=4,'幕间与结算'!G978&lt;=99))),1,0)</x:f>
        <x:v>0</x:v>
      </x:c>
      <x:c r="H1071">
        <x:f>IF(AND(G1071=1,COUNTIFS($I$200:I1071,I1071,$G$200:G1071,1)=1),1,0)</x:f>
        <x:v>0</x:v>
      </x:c>
      <x:c r="I1071" t="str">
        <x:f>IF(G1071=1,IF(B1071="成长",A1071&amp;"-成长-"&amp;C1071,'幕间与结算'!I978),"")</x:f>
        <x:v/>
      </x:c>
      <x:c r="BF1071">
        <x:f>MAX(0,MIN(18,BF1070+IF(C1071="力量",E1071,0)))</x:f>
        <x:v>0</x:v>
      </x:c>
      <x:c r="BG1071">
        <x:f>MAX(0,MIN(18,BG1070+IF(C1071="体质",E1071,0)))</x:f>
        <x:v>0</x:v>
      </x:c>
      <x:c r="BH1071">
        <x:f>MAX(0,MIN(18,BH1070+IF(C1071="敏捷",E1071,0)))</x:f>
        <x:v>0</x:v>
      </x:c>
      <x:c r="BI1071">
        <x:f>MAX(0,MIN(18,BI1070+IF(C1071="智力",E1071,0)))</x:f>
        <x:v>0</x:v>
      </x:c>
      <x:c r="BJ1071">
        <x:f>MAX(0,MIN(18,BJ1070+IF(C1071="意志",E1071,0)))</x:f>
        <x:v>0</x:v>
      </x:c>
      <x:c r="BK1071">
        <x:f>MAX(0,MIN(18,BK1070+IF(C1071="魅力",E1071,0)))</x:f>
        <x:v>0</x:v>
      </x:c>
      <x:c r="BL1071">
        <x:f>MAX(0,MIN(99,BL1070+IF(C1071="技能：非自然知识",E1071,0)))</x:f>
        <x:v>0</x:v>
      </x:c>
      <x:c r="BM1071">
        <x:f>MAX(0,MIN(CEILING((BF1071+BG1071)/2,1),BM1070+IF(C1071="体力",E1071,0)))</x:f>
        <x:v>0</x:v>
      </x:c>
      <x:c r="BN1071">
        <x:f>MAX(0,MIN(BJ1071,BN1070+IF(C1071="毅力",E1071,0)))</x:f>
        <x:v>0</x:v>
      </x:c>
      <x:c r="BO1071">
        <x:f>MAX(0,MIN(99-BL1071,BO1070+IF(C1071="理智",E1071,0)))</x:f>
        <x:v>0</x:v>
      </x:c>
      <x:c r="BP1071">
        <x:f>MAX(0,MIN(99,BP1070+IF(C1071="崩溃点",E1071,0)))</x:f>
        <x:v>0</x:v>
      </x:c>
      <x:c r="BQ1071">
        <x:f>MAX(0,MIN(BK1071,IF(AND(H1071=1,C1071="重要关系1",LEFT('幕间与结算'!H978,8)="建立新的重要关系"),'幕间与结算'!E978+E1071,BQ1070+IF(C1071="重要关系1",E1071,0)+IF(AND(C1071="魅力",E1071&lt;0),E1071,0))))</x:f>
        <x:v>0</x:v>
      </x:c>
      <x:c r="BR1071">
        <x:f>MAX(0,MIN(BK1071,IF(AND(H1071=1,C1071="重要关系2",LEFT('幕间与结算'!H978,8)="建立新的重要关系"),'幕间与结算'!E978+E1071,BR1070+IF(C1071="重要关系2",E1071,0)+IF(AND(C1071="魅力",E1071&lt;0),E1071,0))))</x:f>
        <x:v>0</x:v>
      </x:c>
      <x:c r="BS1071">
        <x:f>MAX(0,MIN(BK1071,IF(AND(H1071=1,C1071="重要关系3",LEFT('幕间与结算'!H978,8)="建立新的重要关系"),'幕间与结算'!E978+E1071,BS1070+IF(C1071="重要关系3",E1071,0)+IF(AND(C1071="魅力",E1071&lt;0),E1071,0))))</x:f>
        <x:v>0</x:v>
      </x:c>
      <x:c r="BT1071">
        <x:f>MAX(0,MIN(BK1071,IF(AND(H1071=1,C1071="重要关系4",LEFT('幕间与结算'!H978,8)="建立新的重要关系"),'幕间与结算'!E978+E1071,BT1070+IF(C1071="重要关系4",E1071,0)+IF(AND(C1071="魅力",E1071&lt;0),E1071,0))))</x:f>
        <x:v>0</x:v>
      </x:c>
      <x:c r="BU1071">
        <x:f>MAX(0,MIN(BK1071,IF(AND(H1071=1,C1071="重要关系5",LEFT('幕间与结算'!H978,8)="建立新的重要关系"),'幕间与结算'!E978+E1071,BU1070+IF(C1071="重要关系5",E1071,0)+IF(AND(C1071="魅力",E1071&lt;0),E1071,0))))</x:f>
        <x:v>0</x:v>
      </x:c>
      <x:c r="BV1071">
        <x:f>MAX(0,MIN(BK1071,IF(AND(H1071=1,C1071="重要关系6",LEFT('幕间与结算'!H978,8)="建立新的重要关系"),'幕间与结算'!E978+E1071,BV1070+IF(C1071="重要关系6",E1071,0)+IF(AND(C1071="魅力",E1071&lt;0),E1071,0))))</x:f>
        <x:v>0</x:v>
      </x:c>
      <x:c r="BW1071">
        <x:f>MAX(0,MIN(BK1071,IF(AND(H1071=1,C1071="重要关系7",LEFT('幕间与结算'!H978,8)="建立新的重要关系"),'幕间与结算'!E978+E1071,BW1070+IF(C1071="重要关系7",E1071,0)+IF(AND(C1071="魅力",E1071&lt;0),E1071,0))))</x:f>
        <x:v>0</x:v>
      </x:c>
    </x:row>
    <x:row r="1072">
      <x:c r="A1072" t="str">
        <x:f>IFERROR(TEXT(VALUE('幕间与结算'!A979),"00"),"")</x:f>
        <x:v>00</x:v>
      </x:c>
      <x:c r="B1072">
        <x:f>'幕间与结算'!B979</x:f>
        <x:v>0</x:v>
      </x:c>
      <x:c r="C1072">
        <x:f>'幕间与结算'!D979</x:f>
        <x:v>0</x:v>
      </x:c>
      <x:c r="D1072">
        <x:f>'幕间与结算'!F979</x:f>
        <x:v>0</x:v>
      </x:c>
      <x:c r="E1072">
        <x:f>IF(H1072=1,MAX(-'幕间与结算'!E979,MIN(D1072,IF(LEFT(C1072,3)="技能：",99,IF(COUNTIF($L$2:$L$7,C1072)&gt;0,18,999))-'幕间与结算'!E979)),0)</x:f>
        <x:v>0</x:v>
      </x:c>
      <x:c r="F1072" t="str">
        <x:f>IF(C1072=0,"",IF(G1072=0,"记录不完整",IF(H1072=0,"重复未计","已计入")))</x:f>
        <x:v/>
      </x:c>
      <x:c r="G1072">
        <x:f>IF(AND(AND('幕间与结算'!A979&lt;&gt;"",'幕间与结算'!B979&lt;&gt;"",'幕间与结算'!I979&lt;&gt;"",OR(LEFT(C1072,3)="技能：",COUNTIF($L$2:$L$19,C1072)&gt;0),ISNUMBER('幕间与结算'!E979),ISNUMBER('幕间与结算'!F979),ISNUMBER('幕间与结算'!G979),'幕间与结算'!E979&gt;=0,'幕间与结算'!G979='幕间与结算'!E979+'幕间与结算'!F979),OR(B1072&lt;&gt;"成长",AND(LEFT(C1072,3)="技能：",C1072&lt;&gt;"技能：非自然知识",'幕间与结算'!E979&gt;=1,'幕间与结算'!E979&lt;=99,'幕间与结算'!F979&gt;=0,'幕间与结算'!F979&lt;=4,'幕间与结算'!G979&lt;=99))),1,0)</x:f>
        <x:v>0</x:v>
      </x:c>
      <x:c r="H1072">
        <x:f>IF(AND(G1072=1,COUNTIFS($I$200:I1072,I1072,$G$200:G1072,1)=1),1,0)</x:f>
        <x:v>0</x:v>
      </x:c>
      <x:c r="I1072" t="str">
        <x:f>IF(G1072=1,IF(B1072="成长",A1072&amp;"-成长-"&amp;C1072,'幕间与结算'!I979),"")</x:f>
        <x:v/>
      </x:c>
      <x:c r="BF1072">
        <x:f>MAX(0,MIN(18,BF1071+IF(C1072="力量",E1072,0)))</x:f>
        <x:v>0</x:v>
      </x:c>
      <x:c r="BG1072">
        <x:f>MAX(0,MIN(18,BG1071+IF(C1072="体质",E1072,0)))</x:f>
        <x:v>0</x:v>
      </x:c>
      <x:c r="BH1072">
        <x:f>MAX(0,MIN(18,BH1071+IF(C1072="敏捷",E1072,0)))</x:f>
        <x:v>0</x:v>
      </x:c>
      <x:c r="BI1072">
        <x:f>MAX(0,MIN(18,BI1071+IF(C1072="智力",E1072,0)))</x:f>
        <x:v>0</x:v>
      </x:c>
      <x:c r="BJ1072">
        <x:f>MAX(0,MIN(18,BJ1071+IF(C1072="意志",E1072,0)))</x:f>
        <x:v>0</x:v>
      </x:c>
      <x:c r="BK1072">
        <x:f>MAX(0,MIN(18,BK1071+IF(C1072="魅力",E1072,0)))</x:f>
        <x:v>0</x:v>
      </x:c>
      <x:c r="BL1072">
        <x:f>MAX(0,MIN(99,BL1071+IF(C1072="技能：非自然知识",E1072,0)))</x:f>
        <x:v>0</x:v>
      </x:c>
      <x:c r="BM1072">
        <x:f>MAX(0,MIN(CEILING((BF1072+BG1072)/2,1),BM1071+IF(C1072="体力",E1072,0)))</x:f>
        <x:v>0</x:v>
      </x:c>
      <x:c r="BN1072">
        <x:f>MAX(0,MIN(BJ1072,BN1071+IF(C1072="毅力",E1072,0)))</x:f>
        <x:v>0</x:v>
      </x:c>
      <x:c r="BO1072">
        <x:f>MAX(0,MIN(99-BL1072,BO1071+IF(C1072="理智",E1072,0)))</x:f>
        <x:v>0</x:v>
      </x:c>
      <x:c r="BP1072">
        <x:f>MAX(0,MIN(99,BP1071+IF(C1072="崩溃点",E1072,0)))</x:f>
        <x:v>0</x:v>
      </x:c>
      <x:c r="BQ1072">
        <x:f>MAX(0,MIN(BK1072,IF(AND(H1072=1,C1072="重要关系1",LEFT('幕间与结算'!H979,8)="建立新的重要关系"),'幕间与结算'!E979+E1072,BQ1071+IF(C1072="重要关系1",E1072,0)+IF(AND(C1072="魅力",E1072&lt;0),E1072,0))))</x:f>
        <x:v>0</x:v>
      </x:c>
      <x:c r="BR1072">
        <x:f>MAX(0,MIN(BK1072,IF(AND(H1072=1,C1072="重要关系2",LEFT('幕间与结算'!H979,8)="建立新的重要关系"),'幕间与结算'!E979+E1072,BR1071+IF(C1072="重要关系2",E1072,0)+IF(AND(C1072="魅力",E1072&lt;0),E1072,0))))</x:f>
        <x:v>0</x:v>
      </x:c>
      <x:c r="BS1072">
        <x:f>MAX(0,MIN(BK1072,IF(AND(H1072=1,C1072="重要关系3",LEFT('幕间与结算'!H979,8)="建立新的重要关系"),'幕间与结算'!E979+E1072,BS1071+IF(C1072="重要关系3",E1072,0)+IF(AND(C1072="魅力",E1072&lt;0),E1072,0))))</x:f>
        <x:v>0</x:v>
      </x:c>
      <x:c r="BT1072">
        <x:f>MAX(0,MIN(BK1072,IF(AND(H1072=1,C1072="重要关系4",LEFT('幕间与结算'!H979,8)="建立新的重要关系"),'幕间与结算'!E979+E1072,BT1071+IF(C1072="重要关系4",E1072,0)+IF(AND(C1072="魅力",E1072&lt;0),E1072,0))))</x:f>
        <x:v>0</x:v>
      </x:c>
      <x:c r="BU1072">
        <x:f>MAX(0,MIN(BK1072,IF(AND(H1072=1,C1072="重要关系5",LEFT('幕间与结算'!H979,8)="建立新的重要关系"),'幕间与结算'!E979+E1072,BU1071+IF(C1072="重要关系5",E1072,0)+IF(AND(C1072="魅力",E1072&lt;0),E1072,0))))</x:f>
        <x:v>0</x:v>
      </x:c>
      <x:c r="BV1072">
        <x:f>MAX(0,MIN(BK1072,IF(AND(H1072=1,C1072="重要关系6",LEFT('幕间与结算'!H979,8)="建立新的重要关系"),'幕间与结算'!E979+E1072,BV1071+IF(C1072="重要关系6",E1072,0)+IF(AND(C1072="魅力",E1072&lt;0),E1072,0))))</x:f>
        <x:v>0</x:v>
      </x:c>
      <x:c r="BW1072">
        <x:f>MAX(0,MIN(BK1072,IF(AND(H1072=1,C1072="重要关系7",LEFT('幕间与结算'!H979,8)="建立新的重要关系"),'幕间与结算'!E979+E1072,BW1071+IF(C1072="重要关系7",E1072,0)+IF(AND(C1072="魅力",E1072&lt;0),E1072,0))))</x:f>
        <x:v>0</x:v>
      </x:c>
    </x:row>
    <x:row r="1073">
      <x:c r="A1073" t="str">
        <x:f>IFERROR(TEXT(VALUE('幕间与结算'!A980),"00"),"")</x:f>
        <x:v>00</x:v>
      </x:c>
      <x:c r="B1073">
        <x:f>'幕间与结算'!B980</x:f>
        <x:v>0</x:v>
      </x:c>
      <x:c r="C1073">
        <x:f>'幕间与结算'!D980</x:f>
        <x:v>0</x:v>
      </x:c>
      <x:c r="D1073">
        <x:f>'幕间与结算'!F980</x:f>
        <x:v>0</x:v>
      </x:c>
      <x:c r="E1073">
        <x:f>IF(H1073=1,MAX(-'幕间与结算'!E980,MIN(D1073,IF(LEFT(C1073,3)="技能：",99,IF(COUNTIF($L$2:$L$7,C1073)&gt;0,18,999))-'幕间与结算'!E980)),0)</x:f>
        <x:v>0</x:v>
      </x:c>
      <x:c r="F1073" t="str">
        <x:f>IF(C1073=0,"",IF(G1073=0,"记录不完整",IF(H1073=0,"重复未计","已计入")))</x:f>
        <x:v/>
      </x:c>
      <x:c r="G1073">
        <x:f>IF(AND(AND('幕间与结算'!A980&lt;&gt;"",'幕间与结算'!B980&lt;&gt;"",'幕间与结算'!I980&lt;&gt;"",OR(LEFT(C1073,3)="技能：",COUNTIF($L$2:$L$19,C1073)&gt;0),ISNUMBER('幕间与结算'!E980),ISNUMBER('幕间与结算'!F980),ISNUMBER('幕间与结算'!G980),'幕间与结算'!E980&gt;=0,'幕间与结算'!G980='幕间与结算'!E980+'幕间与结算'!F980),OR(B1073&lt;&gt;"成长",AND(LEFT(C1073,3)="技能：",C1073&lt;&gt;"技能：非自然知识",'幕间与结算'!E980&gt;=1,'幕间与结算'!E980&lt;=99,'幕间与结算'!F980&gt;=0,'幕间与结算'!F980&lt;=4,'幕间与结算'!G980&lt;=99))),1,0)</x:f>
        <x:v>0</x:v>
      </x:c>
      <x:c r="H1073">
        <x:f>IF(AND(G1073=1,COUNTIFS($I$200:I1073,I1073,$G$200:G1073,1)=1),1,0)</x:f>
        <x:v>0</x:v>
      </x:c>
      <x:c r="I1073" t="str">
        <x:f>IF(G1073=1,IF(B1073="成长",A1073&amp;"-成长-"&amp;C1073,'幕间与结算'!I980),"")</x:f>
        <x:v/>
      </x:c>
      <x:c r="BF1073">
        <x:f>MAX(0,MIN(18,BF1072+IF(C1073="力量",E1073,0)))</x:f>
        <x:v>0</x:v>
      </x:c>
      <x:c r="BG1073">
        <x:f>MAX(0,MIN(18,BG1072+IF(C1073="体质",E1073,0)))</x:f>
        <x:v>0</x:v>
      </x:c>
      <x:c r="BH1073">
        <x:f>MAX(0,MIN(18,BH1072+IF(C1073="敏捷",E1073,0)))</x:f>
        <x:v>0</x:v>
      </x:c>
      <x:c r="BI1073">
        <x:f>MAX(0,MIN(18,BI1072+IF(C1073="智力",E1073,0)))</x:f>
        <x:v>0</x:v>
      </x:c>
      <x:c r="BJ1073">
        <x:f>MAX(0,MIN(18,BJ1072+IF(C1073="意志",E1073,0)))</x:f>
        <x:v>0</x:v>
      </x:c>
      <x:c r="BK1073">
        <x:f>MAX(0,MIN(18,BK1072+IF(C1073="魅力",E1073,0)))</x:f>
        <x:v>0</x:v>
      </x:c>
      <x:c r="BL1073">
        <x:f>MAX(0,MIN(99,BL1072+IF(C1073="技能：非自然知识",E1073,0)))</x:f>
        <x:v>0</x:v>
      </x:c>
      <x:c r="BM1073">
        <x:f>MAX(0,MIN(CEILING((BF1073+BG1073)/2,1),BM1072+IF(C1073="体力",E1073,0)))</x:f>
        <x:v>0</x:v>
      </x:c>
      <x:c r="BN1073">
        <x:f>MAX(0,MIN(BJ1073,BN1072+IF(C1073="毅力",E1073,0)))</x:f>
        <x:v>0</x:v>
      </x:c>
      <x:c r="BO1073">
        <x:f>MAX(0,MIN(99-BL1073,BO1072+IF(C1073="理智",E1073,0)))</x:f>
        <x:v>0</x:v>
      </x:c>
      <x:c r="BP1073">
        <x:f>MAX(0,MIN(99,BP1072+IF(C1073="崩溃点",E1073,0)))</x:f>
        <x:v>0</x:v>
      </x:c>
      <x:c r="BQ1073">
        <x:f>MAX(0,MIN(BK1073,IF(AND(H1073=1,C1073="重要关系1",LEFT('幕间与结算'!H980,8)="建立新的重要关系"),'幕间与结算'!E980+E1073,BQ1072+IF(C1073="重要关系1",E1073,0)+IF(AND(C1073="魅力",E1073&lt;0),E1073,0))))</x:f>
        <x:v>0</x:v>
      </x:c>
      <x:c r="BR1073">
        <x:f>MAX(0,MIN(BK1073,IF(AND(H1073=1,C1073="重要关系2",LEFT('幕间与结算'!H980,8)="建立新的重要关系"),'幕间与结算'!E980+E1073,BR1072+IF(C1073="重要关系2",E1073,0)+IF(AND(C1073="魅力",E1073&lt;0),E1073,0))))</x:f>
        <x:v>0</x:v>
      </x:c>
      <x:c r="BS1073">
        <x:f>MAX(0,MIN(BK1073,IF(AND(H1073=1,C1073="重要关系3",LEFT('幕间与结算'!H980,8)="建立新的重要关系"),'幕间与结算'!E980+E1073,BS1072+IF(C1073="重要关系3",E1073,0)+IF(AND(C1073="魅力",E1073&lt;0),E1073,0))))</x:f>
        <x:v>0</x:v>
      </x:c>
      <x:c r="BT1073">
        <x:f>MAX(0,MIN(BK1073,IF(AND(H1073=1,C1073="重要关系4",LEFT('幕间与结算'!H980,8)="建立新的重要关系"),'幕间与结算'!E980+E1073,BT1072+IF(C1073="重要关系4",E1073,0)+IF(AND(C1073="魅力",E1073&lt;0),E1073,0))))</x:f>
        <x:v>0</x:v>
      </x:c>
      <x:c r="BU1073">
        <x:f>MAX(0,MIN(BK1073,IF(AND(H1073=1,C1073="重要关系5",LEFT('幕间与结算'!H980,8)="建立新的重要关系"),'幕间与结算'!E980+E1073,BU1072+IF(C1073="重要关系5",E1073,0)+IF(AND(C1073="魅力",E1073&lt;0),E1073,0))))</x:f>
        <x:v>0</x:v>
      </x:c>
      <x:c r="BV1073">
        <x:f>MAX(0,MIN(BK1073,IF(AND(H1073=1,C1073="重要关系6",LEFT('幕间与结算'!H980,8)="建立新的重要关系"),'幕间与结算'!E980+E1073,BV1072+IF(C1073="重要关系6",E1073,0)+IF(AND(C1073="魅力",E1073&lt;0),E1073,0))))</x:f>
        <x:v>0</x:v>
      </x:c>
      <x:c r="BW1073">
        <x:f>MAX(0,MIN(BK1073,IF(AND(H1073=1,C1073="重要关系7",LEFT('幕间与结算'!H980,8)="建立新的重要关系"),'幕间与结算'!E980+E1073,BW1072+IF(C1073="重要关系7",E1073,0)+IF(AND(C1073="魅力",E1073&lt;0),E1073,0))))</x:f>
        <x:v>0</x:v>
      </x:c>
    </x:row>
    <x:row r="1074">
      <x:c r="A1074" t="str">
        <x:f>IFERROR(TEXT(VALUE('幕间与结算'!A981),"00"),"")</x:f>
        <x:v>00</x:v>
      </x:c>
      <x:c r="B1074">
        <x:f>'幕间与结算'!B981</x:f>
        <x:v>0</x:v>
      </x:c>
      <x:c r="C1074">
        <x:f>'幕间与结算'!D981</x:f>
        <x:v>0</x:v>
      </x:c>
      <x:c r="D1074">
        <x:f>'幕间与结算'!F981</x:f>
        <x:v>0</x:v>
      </x:c>
      <x:c r="E1074">
        <x:f>IF(H1074=1,MAX(-'幕间与结算'!E981,MIN(D1074,IF(LEFT(C1074,3)="技能：",99,IF(COUNTIF($L$2:$L$7,C1074)&gt;0,18,999))-'幕间与结算'!E981)),0)</x:f>
        <x:v>0</x:v>
      </x:c>
      <x:c r="F1074" t="str">
        <x:f>IF(C1074=0,"",IF(G1074=0,"记录不完整",IF(H1074=0,"重复未计","已计入")))</x:f>
        <x:v/>
      </x:c>
      <x:c r="G1074">
        <x:f>IF(AND(AND('幕间与结算'!A981&lt;&gt;"",'幕间与结算'!B981&lt;&gt;"",'幕间与结算'!I981&lt;&gt;"",OR(LEFT(C1074,3)="技能：",COUNTIF($L$2:$L$19,C1074)&gt;0),ISNUMBER('幕间与结算'!E981),ISNUMBER('幕间与结算'!F981),ISNUMBER('幕间与结算'!G981),'幕间与结算'!E981&gt;=0,'幕间与结算'!G981='幕间与结算'!E981+'幕间与结算'!F981),OR(B1074&lt;&gt;"成长",AND(LEFT(C1074,3)="技能：",C1074&lt;&gt;"技能：非自然知识",'幕间与结算'!E981&gt;=1,'幕间与结算'!E981&lt;=99,'幕间与结算'!F981&gt;=0,'幕间与结算'!F981&lt;=4,'幕间与结算'!G981&lt;=99))),1,0)</x:f>
        <x:v>0</x:v>
      </x:c>
      <x:c r="H1074">
        <x:f>IF(AND(G1074=1,COUNTIFS($I$200:I1074,I1074,$G$200:G1074,1)=1),1,0)</x:f>
        <x:v>0</x:v>
      </x:c>
      <x:c r="I1074" t="str">
        <x:f>IF(G1074=1,IF(B1074="成长",A1074&amp;"-成长-"&amp;C1074,'幕间与结算'!I981),"")</x:f>
        <x:v/>
      </x:c>
      <x:c r="BF1074">
        <x:f>MAX(0,MIN(18,BF1073+IF(C1074="力量",E1074,0)))</x:f>
        <x:v>0</x:v>
      </x:c>
      <x:c r="BG1074">
        <x:f>MAX(0,MIN(18,BG1073+IF(C1074="体质",E1074,0)))</x:f>
        <x:v>0</x:v>
      </x:c>
      <x:c r="BH1074">
        <x:f>MAX(0,MIN(18,BH1073+IF(C1074="敏捷",E1074,0)))</x:f>
        <x:v>0</x:v>
      </x:c>
      <x:c r="BI1074">
        <x:f>MAX(0,MIN(18,BI1073+IF(C1074="智力",E1074,0)))</x:f>
        <x:v>0</x:v>
      </x:c>
      <x:c r="BJ1074">
        <x:f>MAX(0,MIN(18,BJ1073+IF(C1074="意志",E1074,0)))</x:f>
        <x:v>0</x:v>
      </x:c>
      <x:c r="BK1074">
        <x:f>MAX(0,MIN(18,BK1073+IF(C1074="魅力",E1074,0)))</x:f>
        <x:v>0</x:v>
      </x:c>
      <x:c r="BL1074">
        <x:f>MAX(0,MIN(99,BL1073+IF(C1074="技能：非自然知识",E1074,0)))</x:f>
        <x:v>0</x:v>
      </x:c>
      <x:c r="BM1074">
        <x:f>MAX(0,MIN(CEILING((BF1074+BG1074)/2,1),BM1073+IF(C1074="体力",E1074,0)))</x:f>
        <x:v>0</x:v>
      </x:c>
      <x:c r="BN1074">
        <x:f>MAX(0,MIN(BJ1074,BN1073+IF(C1074="毅力",E1074,0)))</x:f>
        <x:v>0</x:v>
      </x:c>
      <x:c r="BO1074">
        <x:f>MAX(0,MIN(99-BL1074,BO1073+IF(C1074="理智",E1074,0)))</x:f>
        <x:v>0</x:v>
      </x:c>
      <x:c r="BP1074">
        <x:f>MAX(0,MIN(99,BP1073+IF(C1074="崩溃点",E1074,0)))</x:f>
        <x:v>0</x:v>
      </x:c>
      <x:c r="BQ1074">
        <x:f>MAX(0,MIN(BK1074,IF(AND(H1074=1,C1074="重要关系1",LEFT('幕间与结算'!H981,8)="建立新的重要关系"),'幕间与结算'!E981+E1074,BQ1073+IF(C1074="重要关系1",E1074,0)+IF(AND(C1074="魅力",E1074&lt;0),E1074,0))))</x:f>
        <x:v>0</x:v>
      </x:c>
      <x:c r="BR1074">
        <x:f>MAX(0,MIN(BK1074,IF(AND(H1074=1,C1074="重要关系2",LEFT('幕间与结算'!H981,8)="建立新的重要关系"),'幕间与结算'!E981+E1074,BR1073+IF(C1074="重要关系2",E1074,0)+IF(AND(C1074="魅力",E1074&lt;0),E1074,0))))</x:f>
        <x:v>0</x:v>
      </x:c>
      <x:c r="BS1074">
        <x:f>MAX(0,MIN(BK1074,IF(AND(H1074=1,C1074="重要关系3",LEFT('幕间与结算'!H981,8)="建立新的重要关系"),'幕间与结算'!E981+E1074,BS1073+IF(C1074="重要关系3",E1074,0)+IF(AND(C1074="魅力",E1074&lt;0),E1074,0))))</x:f>
        <x:v>0</x:v>
      </x:c>
      <x:c r="BT1074">
        <x:f>MAX(0,MIN(BK1074,IF(AND(H1074=1,C1074="重要关系4",LEFT('幕间与结算'!H981,8)="建立新的重要关系"),'幕间与结算'!E981+E1074,BT1073+IF(C1074="重要关系4",E1074,0)+IF(AND(C1074="魅力",E1074&lt;0),E1074,0))))</x:f>
        <x:v>0</x:v>
      </x:c>
      <x:c r="BU1074">
        <x:f>MAX(0,MIN(BK1074,IF(AND(H1074=1,C1074="重要关系5",LEFT('幕间与结算'!H981,8)="建立新的重要关系"),'幕间与结算'!E981+E1074,BU1073+IF(C1074="重要关系5",E1074,0)+IF(AND(C1074="魅力",E1074&lt;0),E1074,0))))</x:f>
        <x:v>0</x:v>
      </x:c>
      <x:c r="BV1074">
        <x:f>MAX(0,MIN(BK1074,IF(AND(H1074=1,C1074="重要关系6",LEFT('幕间与结算'!H981,8)="建立新的重要关系"),'幕间与结算'!E981+E1074,BV1073+IF(C1074="重要关系6",E1074,0)+IF(AND(C1074="魅力",E1074&lt;0),E1074,0))))</x:f>
        <x:v>0</x:v>
      </x:c>
      <x:c r="BW1074">
        <x:f>MAX(0,MIN(BK1074,IF(AND(H1074=1,C1074="重要关系7",LEFT('幕间与结算'!H981,8)="建立新的重要关系"),'幕间与结算'!E981+E1074,BW1073+IF(C1074="重要关系7",E1074,0)+IF(AND(C1074="魅力",E1074&lt;0),E1074,0))))</x:f>
        <x:v>0</x:v>
      </x:c>
    </x:row>
    <x:row r="1075">
      <x:c r="A1075" t="str">
        <x:f>IFERROR(TEXT(VALUE('幕间与结算'!A982),"00"),"")</x:f>
        <x:v>00</x:v>
      </x:c>
      <x:c r="B1075">
        <x:f>'幕间与结算'!B982</x:f>
        <x:v>0</x:v>
      </x:c>
      <x:c r="C1075">
        <x:f>'幕间与结算'!D982</x:f>
        <x:v>0</x:v>
      </x:c>
      <x:c r="D1075">
        <x:f>'幕间与结算'!F982</x:f>
        <x:v>0</x:v>
      </x:c>
      <x:c r="E1075">
        <x:f>IF(H1075=1,MAX(-'幕间与结算'!E982,MIN(D1075,IF(LEFT(C1075,3)="技能：",99,IF(COUNTIF($L$2:$L$7,C1075)&gt;0,18,999))-'幕间与结算'!E982)),0)</x:f>
        <x:v>0</x:v>
      </x:c>
      <x:c r="F1075" t="str">
        <x:f>IF(C1075=0,"",IF(G1075=0,"记录不完整",IF(H1075=0,"重复未计","已计入")))</x:f>
        <x:v/>
      </x:c>
      <x:c r="G1075">
        <x:f>IF(AND(AND('幕间与结算'!A982&lt;&gt;"",'幕间与结算'!B982&lt;&gt;"",'幕间与结算'!I982&lt;&gt;"",OR(LEFT(C1075,3)="技能：",COUNTIF($L$2:$L$19,C1075)&gt;0),ISNUMBER('幕间与结算'!E982),ISNUMBER('幕间与结算'!F982),ISNUMBER('幕间与结算'!G982),'幕间与结算'!E982&gt;=0,'幕间与结算'!G982='幕间与结算'!E982+'幕间与结算'!F982),OR(B1075&lt;&gt;"成长",AND(LEFT(C1075,3)="技能：",C1075&lt;&gt;"技能：非自然知识",'幕间与结算'!E982&gt;=1,'幕间与结算'!E982&lt;=99,'幕间与结算'!F982&gt;=0,'幕间与结算'!F982&lt;=4,'幕间与结算'!G982&lt;=99))),1,0)</x:f>
        <x:v>0</x:v>
      </x:c>
      <x:c r="H1075">
        <x:f>IF(AND(G1075=1,COUNTIFS($I$200:I1075,I1075,$G$200:G1075,1)=1),1,0)</x:f>
        <x:v>0</x:v>
      </x:c>
      <x:c r="I1075" t="str">
        <x:f>IF(G1075=1,IF(B1075="成长",A1075&amp;"-成长-"&amp;C1075,'幕间与结算'!I982),"")</x:f>
        <x:v/>
      </x:c>
      <x:c r="BF1075">
        <x:f>MAX(0,MIN(18,BF1074+IF(C1075="力量",E1075,0)))</x:f>
        <x:v>0</x:v>
      </x:c>
      <x:c r="BG1075">
        <x:f>MAX(0,MIN(18,BG1074+IF(C1075="体质",E1075,0)))</x:f>
        <x:v>0</x:v>
      </x:c>
      <x:c r="BH1075">
        <x:f>MAX(0,MIN(18,BH1074+IF(C1075="敏捷",E1075,0)))</x:f>
        <x:v>0</x:v>
      </x:c>
      <x:c r="BI1075">
        <x:f>MAX(0,MIN(18,BI1074+IF(C1075="智力",E1075,0)))</x:f>
        <x:v>0</x:v>
      </x:c>
      <x:c r="BJ1075">
        <x:f>MAX(0,MIN(18,BJ1074+IF(C1075="意志",E1075,0)))</x:f>
        <x:v>0</x:v>
      </x:c>
      <x:c r="BK1075">
        <x:f>MAX(0,MIN(18,BK1074+IF(C1075="魅力",E1075,0)))</x:f>
        <x:v>0</x:v>
      </x:c>
      <x:c r="BL1075">
        <x:f>MAX(0,MIN(99,BL1074+IF(C1075="技能：非自然知识",E1075,0)))</x:f>
        <x:v>0</x:v>
      </x:c>
      <x:c r="BM1075">
        <x:f>MAX(0,MIN(CEILING((BF1075+BG1075)/2,1),BM1074+IF(C1075="体力",E1075,0)))</x:f>
        <x:v>0</x:v>
      </x:c>
      <x:c r="BN1075">
        <x:f>MAX(0,MIN(BJ1075,BN1074+IF(C1075="毅力",E1075,0)))</x:f>
        <x:v>0</x:v>
      </x:c>
      <x:c r="BO1075">
        <x:f>MAX(0,MIN(99-BL1075,BO1074+IF(C1075="理智",E1075,0)))</x:f>
        <x:v>0</x:v>
      </x:c>
      <x:c r="BP1075">
        <x:f>MAX(0,MIN(99,BP1074+IF(C1075="崩溃点",E1075,0)))</x:f>
        <x:v>0</x:v>
      </x:c>
      <x:c r="BQ1075">
        <x:f>MAX(0,MIN(BK1075,IF(AND(H1075=1,C1075="重要关系1",LEFT('幕间与结算'!H982,8)="建立新的重要关系"),'幕间与结算'!E982+E1075,BQ1074+IF(C1075="重要关系1",E1075,0)+IF(AND(C1075="魅力",E1075&lt;0),E1075,0))))</x:f>
        <x:v>0</x:v>
      </x:c>
      <x:c r="BR1075">
        <x:f>MAX(0,MIN(BK1075,IF(AND(H1075=1,C1075="重要关系2",LEFT('幕间与结算'!H982,8)="建立新的重要关系"),'幕间与结算'!E982+E1075,BR1074+IF(C1075="重要关系2",E1075,0)+IF(AND(C1075="魅力",E1075&lt;0),E1075,0))))</x:f>
        <x:v>0</x:v>
      </x:c>
      <x:c r="BS1075">
        <x:f>MAX(0,MIN(BK1075,IF(AND(H1075=1,C1075="重要关系3",LEFT('幕间与结算'!H982,8)="建立新的重要关系"),'幕间与结算'!E982+E1075,BS1074+IF(C1075="重要关系3",E1075,0)+IF(AND(C1075="魅力",E1075&lt;0),E1075,0))))</x:f>
        <x:v>0</x:v>
      </x:c>
      <x:c r="BT1075">
        <x:f>MAX(0,MIN(BK1075,IF(AND(H1075=1,C1075="重要关系4",LEFT('幕间与结算'!H982,8)="建立新的重要关系"),'幕间与结算'!E982+E1075,BT1074+IF(C1075="重要关系4",E1075,0)+IF(AND(C1075="魅力",E1075&lt;0),E1075,0))))</x:f>
        <x:v>0</x:v>
      </x:c>
      <x:c r="BU1075">
        <x:f>MAX(0,MIN(BK1075,IF(AND(H1075=1,C1075="重要关系5",LEFT('幕间与结算'!H982,8)="建立新的重要关系"),'幕间与结算'!E982+E1075,BU1074+IF(C1075="重要关系5",E1075,0)+IF(AND(C1075="魅力",E1075&lt;0),E1075,0))))</x:f>
        <x:v>0</x:v>
      </x:c>
      <x:c r="BV1075">
        <x:f>MAX(0,MIN(BK1075,IF(AND(H1075=1,C1075="重要关系6",LEFT('幕间与结算'!H982,8)="建立新的重要关系"),'幕间与结算'!E982+E1075,BV1074+IF(C1075="重要关系6",E1075,0)+IF(AND(C1075="魅力",E1075&lt;0),E1075,0))))</x:f>
        <x:v>0</x:v>
      </x:c>
      <x:c r="BW1075">
        <x:f>MAX(0,MIN(BK1075,IF(AND(H1075=1,C1075="重要关系7",LEFT('幕间与结算'!H982,8)="建立新的重要关系"),'幕间与结算'!E982+E1075,BW1074+IF(C1075="重要关系7",E1075,0)+IF(AND(C1075="魅力",E1075&lt;0),E1075,0))))</x:f>
        <x:v>0</x:v>
      </x:c>
    </x:row>
    <x:row r="1076">
      <x:c r="A1076" t="str">
        <x:f>IFERROR(TEXT(VALUE('幕间与结算'!A983),"00"),"")</x:f>
        <x:v>00</x:v>
      </x:c>
      <x:c r="B1076">
        <x:f>'幕间与结算'!B983</x:f>
        <x:v>0</x:v>
      </x:c>
      <x:c r="C1076">
        <x:f>'幕间与结算'!D983</x:f>
        <x:v>0</x:v>
      </x:c>
      <x:c r="D1076">
        <x:f>'幕间与结算'!F983</x:f>
        <x:v>0</x:v>
      </x:c>
      <x:c r="E1076">
        <x:f>IF(H1076=1,MAX(-'幕间与结算'!E983,MIN(D1076,IF(LEFT(C1076,3)="技能：",99,IF(COUNTIF($L$2:$L$7,C1076)&gt;0,18,999))-'幕间与结算'!E983)),0)</x:f>
        <x:v>0</x:v>
      </x:c>
      <x:c r="F1076" t="str">
        <x:f>IF(C1076=0,"",IF(G1076=0,"记录不完整",IF(H1076=0,"重复未计","已计入")))</x:f>
        <x:v/>
      </x:c>
      <x:c r="G1076">
        <x:f>IF(AND(AND('幕间与结算'!A983&lt;&gt;"",'幕间与结算'!B983&lt;&gt;"",'幕间与结算'!I983&lt;&gt;"",OR(LEFT(C1076,3)="技能：",COUNTIF($L$2:$L$19,C1076)&gt;0),ISNUMBER('幕间与结算'!E983),ISNUMBER('幕间与结算'!F983),ISNUMBER('幕间与结算'!G983),'幕间与结算'!E983&gt;=0,'幕间与结算'!G983='幕间与结算'!E983+'幕间与结算'!F983),OR(B1076&lt;&gt;"成长",AND(LEFT(C1076,3)="技能：",C1076&lt;&gt;"技能：非自然知识",'幕间与结算'!E983&gt;=1,'幕间与结算'!E983&lt;=99,'幕间与结算'!F983&gt;=0,'幕间与结算'!F983&lt;=4,'幕间与结算'!G983&lt;=99))),1,0)</x:f>
        <x:v>0</x:v>
      </x:c>
      <x:c r="H1076">
        <x:f>IF(AND(G1076=1,COUNTIFS($I$200:I1076,I1076,$G$200:G1076,1)=1),1,0)</x:f>
        <x:v>0</x:v>
      </x:c>
      <x:c r="I1076" t="str">
        <x:f>IF(G1076=1,IF(B1076="成长",A1076&amp;"-成长-"&amp;C1076,'幕间与结算'!I983),"")</x:f>
        <x:v/>
      </x:c>
      <x:c r="BF1076">
        <x:f>MAX(0,MIN(18,BF1075+IF(C1076="力量",E1076,0)))</x:f>
        <x:v>0</x:v>
      </x:c>
      <x:c r="BG1076">
        <x:f>MAX(0,MIN(18,BG1075+IF(C1076="体质",E1076,0)))</x:f>
        <x:v>0</x:v>
      </x:c>
      <x:c r="BH1076">
        <x:f>MAX(0,MIN(18,BH1075+IF(C1076="敏捷",E1076,0)))</x:f>
        <x:v>0</x:v>
      </x:c>
      <x:c r="BI1076">
        <x:f>MAX(0,MIN(18,BI1075+IF(C1076="智力",E1076,0)))</x:f>
        <x:v>0</x:v>
      </x:c>
      <x:c r="BJ1076">
        <x:f>MAX(0,MIN(18,BJ1075+IF(C1076="意志",E1076,0)))</x:f>
        <x:v>0</x:v>
      </x:c>
      <x:c r="BK1076">
        <x:f>MAX(0,MIN(18,BK1075+IF(C1076="魅力",E1076,0)))</x:f>
        <x:v>0</x:v>
      </x:c>
      <x:c r="BL1076">
        <x:f>MAX(0,MIN(99,BL1075+IF(C1076="技能：非自然知识",E1076,0)))</x:f>
        <x:v>0</x:v>
      </x:c>
      <x:c r="BM1076">
        <x:f>MAX(0,MIN(CEILING((BF1076+BG1076)/2,1),BM1075+IF(C1076="体力",E1076,0)))</x:f>
        <x:v>0</x:v>
      </x:c>
      <x:c r="BN1076">
        <x:f>MAX(0,MIN(BJ1076,BN1075+IF(C1076="毅力",E1076,0)))</x:f>
        <x:v>0</x:v>
      </x:c>
      <x:c r="BO1076">
        <x:f>MAX(0,MIN(99-BL1076,BO1075+IF(C1076="理智",E1076,0)))</x:f>
        <x:v>0</x:v>
      </x:c>
      <x:c r="BP1076">
        <x:f>MAX(0,MIN(99,BP1075+IF(C1076="崩溃点",E1076,0)))</x:f>
        <x:v>0</x:v>
      </x:c>
      <x:c r="BQ1076">
        <x:f>MAX(0,MIN(BK1076,IF(AND(H1076=1,C1076="重要关系1",LEFT('幕间与结算'!H983,8)="建立新的重要关系"),'幕间与结算'!E983+E1076,BQ1075+IF(C1076="重要关系1",E1076,0)+IF(AND(C1076="魅力",E1076&lt;0),E1076,0))))</x:f>
        <x:v>0</x:v>
      </x:c>
      <x:c r="BR1076">
        <x:f>MAX(0,MIN(BK1076,IF(AND(H1076=1,C1076="重要关系2",LEFT('幕间与结算'!H983,8)="建立新的重要关系"),'幕间与结算'!E983+E1076,BR1075+IF(C1076="重要关系2",E1076,0)+IF(AND(C1076="魅力",E1076&lt;0),E1076,0))))</x:f>
        <x:v>0</x:v>
      </x:c>
      <x:c r="BS1076">
        <x:f>MAX(0,MIN(BK1076,IF(AND(H1076=1,C1076="重要关系3",LEFT('幕间与结算'!H983,8)="建立新的重要关系"),'幕间与结算'!E983+E1076,BS1075+IF(C1076="重要关系3",E1076,0)+IF(AND(C1076="魅力",E1076&lt;0),E1076,0))))</x:f>
        <x:v>0</x:v>
      </x:c>
      <x:c r="BT1076">
        <x:f>MAX(0,MIN(BK1076,IF(AND(H1076=1,C1076="重要关系4",LEFT('幕间与结算'!H983,8)="建立新的重要关系"),'幕间与结算'!E983+E1076,BT1075+IF(C1076="重要关系4",E1076,0)+IF(AND(C1076="魅力",E1076&lt;0),E1076,0))))</x:f>
        <x:v>0</x:v>
      </x:c>
      <x:c r="BU1076">
        <x:f>MAX(0,MIN(BK1076,IF(AND(H1076=1,C1076="重要关系5",LEFT('幕间与结算'!H983,8)="建立新的重要关系"),'幕间与结算'!E983+E1076,BU1075+IF(C1076="重要关系5",E1076,0)+IF(AND(C1076="魅力",E1076&lt;0),E1076,0))))</x:f>
        <x:v>0</x:v>
      </x:c>
      <x:c r="BV1076">
        <x:f>MAX(0,MIN(BK1076,IF(AND(H1076=1,C1076="重要关系6",LEFT('幕间与结算'!H983,8)="建立新的重要关系"),'幕间与结算'!E983+E1076,BV1075+IF(C1076="重要关系6",E1076,0)+IF(AND(C1076="魅力",E1076&lt;0),E1076,0))))</x:f>
        <x:v>0</x:v>
      </x:c>
      <x:c r="BW1076">
        <x:f>MAX(0,MIN(BK1076,IF(AND(H1076=1,C1076="重要关系7",LEFT('幕间与结算'!H983,8)="建立新的重要关系"),'幕间与结算'!E983+E1076,BW1075+IF(C1076="重要关系7",E1076,0)+IF(AND(C1076="魅力",E1076&lt;0),E1076,0))))</x:f>
        <x:v>0</x:v>
      </x:c>
    </x:row>
    <x:row r="1077">
      <x:c r="A1077" t="str">
        <x:f>IFERROR(TEXT(VALUE('幕间与结算'!A984),"00"),"")</x:f>
        <x:v>00</x:v>
      </x:c>
      <x:c r="B1077">
        <x:f>'幕间与结算'!B984</x:f>
        <x:v>0</x:v>
      </x:c>
      <x:c r="C1077">
        <x:f>'幕间与结算'!D984</x:f>
        <x:v>0</x:v>
      </x:c>
      <x:c r="D1077">
        <x:f>'幕间与结算'!F984</x:f>
        <x:v>0</x:v>
      </x:c>
      <x:c r="E1077">
        <x:f>IF(H1077=1,MAX(-'幕间与结算'!E984,MIN(D1077,IF(LEFT(C1077,3)="技能：",99,IF(COUNTIF($L$2:$L$7,C1077)&gt;0,18,999))-'幕间与结算'!E984)),0)</x:f>
        <x:v>0</x:v>
      </x:c>
      <x:c r="F1077" t="str">
        <x:f>IF(C1077=0,"",IF(G1077=0,"记录不完整",IF(H1077=0,"重复未计","已计入")))</x:f>
        <x:v/>
      </x:c>
      <x:c r="G1077">
        <x:f>IF(AND(AND('幕间与结算'!A984&lt;&gt;"",'幕间与结算'!B984&lt;&gt;"",'幕间与结算'!I984&lt;&gt;"",OR(LEFT(C1077,3)="技能：",COUNTIF($L$2:$L$19,C1077)&gt;0),ISNUMBER('幕间与结算'!E984),ISNUMBER('幕间与结算'!F984),ISNUMBER('幕间与结算'!G984),'幕间与结算'!E984&gt;=0,'幕间与结算'!G984='幕间与结算'!E984+'幕间与结算'!F984),OR(B1077&lt;&gt;"成长",AND(LEFT(C1077,3)="技能：",C1077&lt;&gt;"技能：非自然知识",'幕间与结算'!E984&gt;=1,'幕间与结算'!E984&lt;=99,'幕间与结算'!F984&gt;=0,'幕间与结算'!F984&lt;=4,'幕间与结算'!G984&lt;=99))),1,0)</x:f>
        <x:v>0</x:v>
      </x:c>
      <x:c r="H1077">
        <x:f>IF(AND(G1077=1,COUNTIFS($I$200:I1077,I1077,$G$200:G1077,1)=1),1,0)</x:f>
        <x:v>0</x:v>
      </x:c>
      <x:c r="I1077" t="str">
        <x:f>IF(G1077=1,IF(B1077="成长",A1077&amp;"-成长-"&amp;C1077,'幕间与结算'!I984),"")</x:f>
        <x:v/>
      </x:c>
      <x:c r="BF1077">
        <x:f>MAX(0,MIN(18,BF1076+IF(C1077="力量",E1077,0)))</x:f>
        <x:v>0</x:v>
      </x:c>
      <x:c r="BG1077">
        <x:f>MAX(0,MIN(18,BG1076+IF(C1077="体质",E1077,0)))</x:f>
        <x:v>0</x:v>
      </x:c>
      <x:c r="BH1077">
        <x:f>MAX(0,MIN(18,BH1076+IF(C1077="敏捷",E1077,0)))</x:f>
        <x:v>0</x:v>
      </x:c>
      <x:c r="BI1077">
        <x:f>MAX(0,MIN(18,BI1076+IF(C1077="智力",E1077,0)))</x:f>
        <x:v>0</x:v>
      </x:c>
      <x:c r="BJ1077">
        <x:f>MAX(0,MIN(18,BJ1076+IF(C1077="意志",E1077,0)))</x:f>
        <x:v>0</x:v>
      </x:c>
      <x:c r="BK1077">
        <x:f>MAX(0,MIN(18,BK1076+IF(C1077="魅力",E1077,0)))</x:f>
        <x:v>0</x:v>
      </x:c>
      <x:c r="BL1077">
        <x:f>MAX(0,MIN(99,BL1076+IF(C1077="技能：非自然知识",E1077,0)))</x:f>
        <x:v>0</x:v>
      </x:c>
      <x:c r="BM1077">
        <x:f>MAX(0,MIN(CEILING((BF1077+BG1077)/2,1),BM1076+IF(C1077="体力",E1077,0)))</x:f>
        <x:v>0</x:v>
      </x:c>
      <x:c r="BN1077">
        <x:f>MAX(0,MIN(BJ1077,BN1076+IF(C1077="毅力",E1077,0)))</x:f>
        <x:v>0</x:v>
      </x:c>
      <x:c r="BO1077">
        <x:f>MAX(0,MIN(99-BL1077,BO1076+IF(C1077="理智",E1077,0)))</x:f>
        <x:v>0</x:v>
      </x:c>
      <x:c r="BP1077">
        <x:f>MAX(0,MIN(99,BP1076+IF(C1077="崩溃点",E1077,0)))</x:f>
        <x:v>0</x:v>
      </x:c>
      <x:c r="BQ1077">
        <x:f>MAX(0,MIN(BK1077,IF(AND(H1077=1,C1077="重要关系1",LEFT('幕间与结算'!H984,8)="建立新的重要关系"),'幕间与结算'!E984+E1077,BQ1076+IF(C1077="重要关系1",E1077,0)+IF(AND(C1077="魅力",E1077&lt;0),E1077,0))))</x:f>
        <x:v>0</x:v>
      </x:c>
      <x:c r="BR1077">
        <x:f>MAX(0,MIN(BK1077,IF(AND(H1077=1,C1077="重要关系2",LEFT('幕间与结算'!H984,8)="建立新的重要关系"),'幕间与结算'!E984+E1077,BR1076+IF(C1077="重要关系2",E1077,0)+IF(AND(C1077="魅力",E1077&lt;0),E1077,0))))</x:f>
        <x:v>0</x:v>
      </x:c>
      <x:c r="BS1077">
        <x:f>MAX(0,MIN(BK1077,IF(AND(H1077=1,C1077="重要关系3",LEFT('幕间与结算'!H984,8)="建立新的重要关系"),'幕间与结算'!E984+E1077,BS1076+IF(C1077="重要关系3",E1077,0)+IF(AND(C1077="魅力",E1077&lt;0),E1077,0))))</x:f>
        <x:v>0</x:v>
      </x:c>
      <x:c r="BT1077">
        <x:f>MAX(0,MIN(BK1077,IF(AND(H1077=1,C1077="重要关系4",LEFT('幕间与结算'!H984,8)="建立新的重要关系"),'幕间与结算'!E984+E1077,BT1076+IF(C1077="重要关系4",E1077,0)+IF(AND(C1077="魅力",E1077&lt;0),E1077,0))))</x:f>
        <x:v>0</x:v>
      </x:c>
      <x:c r="BU1077">
        <x:f>MAX(0,MIN(BK1077,IF(AND(H1077=1,C1077="重要关系5",LEFT('幕间与结算'!H984,8)="建立新的重要关系"),'幕间与结算'!E984+E1077,BU1076+IF(C1077="重要关系5",E1077,0)+IF(AND(C1077="魅力",E1077&lt;0),E1077,0))))</x:f>
        <x:v>0</x:v>
      </x:c>
      <x:c r="BV1077">
        <x:f>MAX(0,MIN(BK1077,IF(AND(H1077=1,C1077="重要关系6",LEFT('幕间与结算'!H984,8)="建立新的重要关系"),'幕间与结算'!E984+E1077,BV1076+IF(C1077="重要关系6",E1077,0)+IF(AND(C1077="魅力",E1077&lt;0),E1077,0))))</x:f>
        <x:v>0</x:v>
      </x:c>
      <x:c r="BW1077">
        <x:f>MAX(0,MIN(BK1077,IF(AND(H1077=1,C1077="重要关系7",LEFT('幕间与结算'!H984,8)="建立新的重要关系"),'幕间与结算'!E984+E1077,BW1076+IF(C1077="重要关系7",E1077,0)+IF(AND(C1077="魅力",E1077&lt;0),E1077,0))))</x:f>
        <x:v>0</x:v>
      </x:c>
    </x:row>
    <x:row r="1078">
      <x:c r="A1078" t="str">
        <x:f>IFERROR(TEXT(VALUE('幕间与结算'!A985),"00"),"")</x:f>
        <x:v>00</x:v>
      </x:c>
      <x:c r="B1078">
        <x:f>'幕间与结算'!B985</x:f>
        <x:v>0</x:v>
      </x:c>
      <x:c r="C1078">
        <x:f>'幕间与结算'!D985</x:f>
        <x:v>0</x:v>
      </x:c>
      <x:c r="D1078">
        <x:f>'幕间与结算'!F985</x:f>
        <x:v>0</x:v>
      </x:c>
      <x:c r="E1078">
        <x:f>IF(H1078=1,MAX(-'幕间与结算'!E985,MIN(D1078,IF(LEFT(C1078,3)="技能：",99,IF(COUNTIF($L$2:$L$7,C1078)&gt;0,18,999))-'幕间与结算'!E985)),0)</x:f>
        <x:v>0</x:v>
      </x:c>
      <x:c r="F1078" t="str">
        <x:f>IF(C1078=0,"",IF(G1078=0,"记录不完整",IF(H1078=0,"重复未计","已计入")))</x:f>
        <x:v/>
      </x:c>
      <x:c r="G1078">
        <x:f>IF(AND(AND('幕间与结算'!A985&lt;&gt;"",'幕间与结算'!B985&lt;&gt;"",'幕间与结算'!I985&lt;&gt;"",OR(LEFT(C1078,3)="技能：",COUNTIF($L$2:$L$19,C1078)&gt;0),ISNUMBER('幕间与结算'!E985),ISNUMBER('幕间与结算'!F985),ISNUMBER('幕间与结算'!G985),'幕间与结算'!E985&gt;=0,'幕间与结算'!G985='幕间与结算'!E985+'幕间与结算'!F985),OR(B1078&lt;&gt;"成长",AND(LEFT(C1078,3)="技能：",C1078&lt;&gt;"技能：非自然知识",'幕间与结算'!E985&gt;=1,'幕间与结算'!E985&lt;=99,'幕间与结算'!F985&gt;=0,'幕间与结算'!F985&lt;=4,'幕间与结算'!G985&lt;=99))),1,0)</x:f>
        <x:v>0</x:v>
      </x:c>
      <x:c r="H1078">
        <x:f>IF(AND(G1078=1,COUNTIFS($I$200:I1078,I1078,$G$200:G1078,1)=1),1,0)</x:f>
        <x:v>0</x:v>
      </x:c>
      <x:c r="I1078" t="str">
        <x:f>IF(G1078=1,IF(B1078="成长",A1078&amp;"-成长-"&amp;C1078,'幕间与结算'!I985),"")</x:f>
        <x:v/>
      </x:c>
      <x:c r="BF1078">
        <x:f>MAX(0,MIN(18,BF1077+IF(C1078="力量",E1078,0)))</x:f>
        <x:v>0</x:v>
      </x:c>
      <x:c r="BG1078">
        <x:f>MAX(0,MIN(18,BG1077+IF(C1078="体质",E1078,0)))</x:f>
        <x:v>0</x:v>
      </x:c>
      <x:c r="BH1078">
        <x:f>MAX(0,MIN(18,BH1077+IF(C1078="敏捷",E1078,0)))</x:f>
        <x:v>0</x:v>
      </x:c>
      <x:c r="BI1078">
        <x:f>MAX(0,MIN(18,BI1077+IF(C1078="智力",E1078,0)))</x:f>
        <x:v>0</x:v>
      </x:c>
      <x:c r="BJ1078">
        <x:f>MAX(0,MIN(18,BJ1077+IF(C1078="意志",E1078,0)))</x:f>
        <x:v>0</x:v>
      </x:c>
      <x:c r="BK1078">
        <x:f>MAX(0,MIN(18,BK1077+IF(C1078="魅力",E1078,0)))</x:f>
        <x:v>0</x:v>
      </x:c>
      <x:c r="BL1078">
        <x:f>MAX(0,MIN(99,BL1077+IF(C1078="技能：非自然知识",E1078,0)))</x:f>
        <x:v>0</x:v>
      </x:c>
      <x:c r="BM1078">
        <x:f>MAX(0,MIN(CEILING((BF1078+BG1078)/2,1),BM1077+IF(C1078="体力",E1078,0)))</x:f>
        <x:v>0</x:v>
      </x:c>
      <x:c r="BN1078">
        <x:f>MAX(0,MIN(BJ1078,BN1077+IF(C1078="毅力",E1078,0)))</x:f>
        <x:v>0</x:v>
      </x:c>
      <x:c r="BO1078">
        <x:f>MAX(0,MIN(99-BL1078,BO1077+IF(C1078="理智",E1078,0)))</x:f>
        <x:v>0</x:v>
      </x:c>
      <x:c r="BP1078">
        <x:f>MAX(0,MIN(99,BP1077+IF(C1078="崩溃点",E1078,0)))</x:f>
        <x:v>0</x:v>
      </x:c>
      <x:c r="BQ1078">
        <x:f>MAX(0,MIN(BK1078,IF(AND(H1078=1,C1078="重要关系1",LEFT('幕间与结算'!H985,8)="建立新的重要关系"),'幕间与结算'!E985+E1078,BQ1077+IF(C1078="重要关系1",E1078,0)+IF(AND(C1078="魅力",E1078&lt;0),E1078,0))))</x:f>
        <x:v>0</x:v>
      </x:c>
      <x:c r="BR1078">
        <x:f>MAX(0,MIN(BK1078,IF(AND(H1078=1,C1078="重要关系2",LEFT('幕间与结算'!H985,8)="建立新的重要关系"),'幕间与结算'!E985+E1078,BR1077+IF(C1078="重要关系2",E1078,0)+IF(AND(C1078="魅力",E1078&lt;0),E1078,0))))</x:f>
        <x:v>0</x:v>
      </x:c>
      <x:c r="BS1078">
        <x:f>MAX(0,MIN(BK1078,IF(AND(H1078=1,C1078="重要关系3",LEFT('幕间与结算'!H985,8)="建立新的重要关系"),'幕间与结算'!E985+E1078,BS1077+IF(C1078="重要关系3",E1078,0)+IF(AND(C1078="魅力",E1078&lt;0),E1078,0))))</x:f>
        <x:v>0</x:v>
      </x:c>
      <x:c r="BT1078">
        <x:f>MAX(0,MIN(BK1078,IF(AND(H1078=1,C1078="重要关系4",LEFT('幕间与结算'!H985,8)="建立新的重要关系"),'幕间与结算'!E985+E1078,BT1077+IF(C1078="重要关系4",E1078,0)+IF(AND(C1078="魅力",E1078&lt;0),E1078,0))))</x:f>
        <x:v>0</x:v>
      </x:c>
      <x:c r="BU1078">
        <x:f>MAX(0,MIN(BK1078,IF(AND(H1078=1,C1078="重要关系5",LEFT('幕间与结算'!H985,8)="建立新的重要关系"),'幕间与结算'!E985+E1078,BU1077+IF(C1078="重要关系5",E1078,0)+IF(AND(C1078="魅力",E1078&lt;0),E1078,0))))</x:f>
        <x:v>0</x:v>
      </x:c>
      <x:c r="BV1078">
        <x:f>MAX(0,MIN(BK1078,IF(AND(H1078=1,C1078="重要关系6",LEFT('幕间与结算'!H985,8)="建立新的重要关系"),'幕间与结算'!E985+E1078,BV1077+IF(C1078="重要关系6",E1078,0)+IF(AND(C1078="魅力",E1078&lt;0),E1078,0))))</x:f>
        <x:v>0</x:v>
      </x:c>
      <x:c r="BW1078">
        <x:f>MAX(0,MIN(BK1078,IF(AND(H1078=1,C1078="重要关系7",LEFT('幕间与结算'!H985,8)="建立新的重要关系"),'幕间与结算'!E985+E1078,BW1077+IF(C1078="重要关系7",E1078,0)+IF(AND(C1078="魅力",E1078&lt;0),E1078,0))))</x:f>
        <x:v>0</x:v>
      </x:c>
    </x:row>
    <x:row r="1079">
      <x:c r="A1079" t="str">
        <x:f>IFERROR(TEXT(VALUE('幕间与结算'!A986),"00"),"")</x:f>
        <x:v>00</x:v>
      </x:c>
      <x:c r="B1079">
        <x:f>'幕间与结算'!B986</x:f>
        <x:v>0</x:v>
      </x:c>
      <x:c r="C1079">
        <x:f>'幕间与结算'!D986</x:f>
        <x:v>0</x:v>
      </x:c>
      <x:c r="D1079">
        <x:f>'幕间与结算'!F986</x:f>
        <x:v>0</x:v>
      </x:c>
      <x:c r="E1079">
        <x:f>IF(H1079=1,MAX(-'幕间与结算'!E986,MIN(D1079,IF(LEFT(C1079,3)="技能：",99,IF(COUNTIF($L$2:$L$7,C1079)&gt;0,18,999))-'幕间与结算'!E986)),0)</x:f>
        <x:v>0</x:v>
      </x:c>
      <x:c r="F1079" t="str">
        <x:f>IF(C1079=0,"",IF(G1079=0,"记录不完整",IF(H1079=0,"重复未计","已计入")))</x:f>
        <x:v/>
      </x:c>
      <x:c r="G1079">
        <x:f>IF(AND(AND('幕间与结算'!A986&lt;&gt;"",'幕间与结算'!B986&lt;&gt;"",'幕间与结算'!I986&lt;&gt;"",OR(LEFT(C1079,3)="技能：",COUNTIF($L$2:$L$19,C1079)&gt;0),ISNUMBER('幕间与结算'!E986),ISNUMBER('幕间与结算'!F986),ISNUMBER('幕间与结算'!G986),'幕间与结算'!E986&gt;=0,'幕间与结算'!G986='幕间与结算'!E986+'幕间与结算'!F986),OR(B1079&lt;&gt;"成长",AND(LEFT(C1079,3)="技能：",C1079&lt;&gt;"技能：非自然知识",'幕间与结算'!E986&gt;=1,'幕间与结算'!E986&lt;=99,'幕间与结算'!F986&gt;=0,'幕间与结算'!F986&lt;=4,'幕间与结算'!G986&lt;=99))),1,0)</x:f>
        <x:v>0</x:v>
      </x:c>
      <x:c r="H1079">
        <x:f>IF(AND(G1079=1,COUNTIFS($I$200:I1079,I1079,$G$200:G1079,1)=1),1,0)</x:f>
        <x:v>0</x:v>
      </x:c>
      <x:c r="I1079" t="str">
        <x:f>IF(G1079=1,IF(B1079="成长",A1079&amp;"-成长-"&amp;C1079,'幕间与结算'!I986),"")</x:f>
        <x:v/>
      </x:c>
      <x:c r="BF1079">
        <x:f>MAX(0,MIN(18,BF1078+IF(C1079="力量",E1079,0)))</x:f>
        <x:v>0</x:v>
      </x:c>
      <x:c r="BG1079">
        <x:f>MAX(0,MIN(18,BG1078+IF(C1079="体质",E1079,0)))</x:f>
        <x:v>0</x:v>
      </x:c>
      <x:c r="BH1079">
        <x:f>MAX(0,MIN(18,BH1078+IF(C1079="敏捷",E1079,0)))</x:f>
        <x:v>0</x:v>
      </x:c>
      <x:c r="BI1079">
        <x:f>MAX(0,MIN(18,BI1078+IF(C1079="智力",E1079,0)))</x:f>
        <x:v>0</x:v>
      </x:c>
      <x:c r="BJ1079">
        <x:f>MAX(0,MIN(18,BJ1078+IF(C1079="意志",E1079,0)))</x:f>
        <x:v>0</x:v>
      </x:c>
      <x:c r="BK1079">
        <x:f>MAX(0,MIN(18,BK1078+IF(C1079="魅力",E1079,0)))</x:f>
        <x:v>0</x:v>
      </x:c>
      <x:c r="BL1079">
        <x:f>MAX(0,MIN(99,BL1078+IF(C1079="技能：非自然知识",E1079,0)))</x:f>
        <x:v>0</x:v>
      </x:c>
      <x:c r="BM1079">
        <x:f>MAX(0,MIN(CEILING((BF1079+BG1079)/2,1),BM1078+IF(C1079="体力",E1079,0)))</x:f>
        <x:v>0</x:v>
      </x:c>
      <x:c r="BN1079">
        <x:f>MAX(0,MIN(BJ1079,BN1078+IF(C1079="毅力",E1079,0)))</x:f>
        <x:v>0</x:v>
      </x:c>
      <x:c r="BO1079">
        <x:f>MAX(0,MIN(99-BL1079,BO1078+IF(C1079="理智",E1079,0)))</x:f>
        <x:v>0</x:v>
      </x:c>
      <x:c r="BP1079">
        <x:f>MAX(0,MIN(99,BP1078+IF(C1079="崩溃点",E1079,0)))</x:f>
        <x:v>0</x:v>
      </x:c>
      <x:c r="BQ1079">
        <x:f>MAX(0,MIN(BK1079,IF(AND(H1079=1,C1079="重要关系1",LEFT('幕间与结算'!H986,8)="建立新的重要关系"),'幕间与结算'!E986+E1079,BQ1078+IF(C1079="重要关系1",E1079,0)+IF(AND(C1079="魅力",E1079&lt;0),E1079,0))))</x:f>
        <x:v>0</x:v>
      </x:c>
      <x:c r="BR1079">
        <x:f>MAX(0,MIN(BK1079,IF(AND(H1079=1,C1079="重要关系2",LEFT('幕间与结算'!H986,8)="建立新的重要关系"),'幕间与结算'!E986+E1079,BR1078+IF(C1079="重要关系2",E1079,0)+IF(AND(C1079="魅力",E1079&lt;0),E1079,0))))</x:f>
        <x:v>0</x:v>
      </x:c>
      <x:c r="BS1079">
        <x:f>MAX(0,MIN(BK1079,IF(AND(H1079=1,C1079="重要关系3",LEFT('幕间与结算'!H986,8)="建立新的重要关系"),'幕间与结算'!E986+E1079,BS1078+IF(C1079="重要关系3",E1079,0)+IF(AND(C1079="魅力",E1079&lt;0),E1079,0))))</x:f>
        <x:v>0</x:v>
      </x:c>
      <x:c r="BT1079">
        <x:f>MAX(0,MIN(BK1079,IF(AND(H1079=1,C1079="重要关系4",LEFT('幕间与结算'!H986,8)="建立新的重要关系"),'幕间与结算'!E986+E1079,BT1078+IF(C1079="重要关系4",E1079,0)+IF(AND(C1079="魅力",E1079&lt;0),E1079,0))))</x:f>
        <x:v>0</x:v>
      </x:c>
      <x:c r="BU1079">
        <x:f>MAX(0,MIN(BK1079,IF(AND(H1079=1,C1079="重要关系5",LEFT('幕间与结算'!H986,8)="建立新的重要关系"),'幕间与结算'!E986+E1079,BU1078+IF(C1079="重要关系5",E1079,0)+IF(AND(C1079="魅力",E1079&lt;0),E1079,0))))</x:f>
        <x:v>0</x:v>
      </x:c>
      <x:c r="BV1079">
        <x:f>MAX(0,MIN(BK1079,IF(AND(H1079=1,C1079="重要关系6",LEFT('幕间与结算'!H986,8)="建立新的重要关系"),'幕间与结算'!E986+E1079,BV1078+IF(C1079="重要关系6",E1079,0)+IF(AND(C1079="魅力",E1079&lt;0),E1079,0))))</x:f>
        <x:v>0</x:v>
      </x:c>
      <x:c r="BW1079">
        <x:f>MAX(0,MIN(BK1079,IF(AND(H1079=1,C1079="重要关系7",LEFT('幕间与结算'!H986,8)="建立新的重要关系"),'幕间与结算'!E986+E1079,BW1078+IF(C1079="重要关系7",E1079,0)+IF(AND(C1079="魅力",E1079&lt;0),E1079,0))))</x:f>
        <x:v>0</x:v>
      </x:c>
    </x:row>
    <x:row r="1080">
      <x:c r="A1080" t="str">
        <x:f>IFERROR(TEXT(VALUE('幕间与结算'!A987),"00"),"")</x:f>
        <x:v>00</x:v>
      </x:c>
      <x:c r="B1080">
        <x:f>'幕间与结算'!B987</x:f>
        <x:v>0</x:v>
      </x:c>
      <x:c r="C1080">
        <x:f>'幕间与结算'!D987</x:f>
        <x:v>0</x:v>
      </x:c>
      <x:c r="D1080">
        <x:f>'幕间与结算'!F987</x:f>
        <x:v>0</x:v>
      </x:c>
      <x:c r="E1080">
        <x:f>IF(H1080=1,MAX(-'幕间与结算'!E987,MIN(D1080,IF(LEFT(C1080,3)="技能：",99,IF(COUNTIF($L$2:$L$7,C1080)&gt;0,18,999))-'幕间与结算'!E987)),0)</x:f>
        <x:v>0</x:v>
      </x:c>
      <x:c r="F1080" t="str">
        <x:f>IF(C1080=0,"",IF(G1080=0,"记录不完整",IF(H1080=0,"重复未计","已计入")))</x:f>
        <x:v/>
      </x:c>
      <x:c r="G1080">
        <x:f>IF(AND(AND('幕间与结算'!A987&lt;&gt;"",'幕间与结算'!B987&lt;&gt;"",'幕间与结算'!I987&lt;&gt;"",OR(LEFT(C1080,3)="技能：",COUNTIF($L$2:$L$19,C1080)&gt;0),ISNUMBER('幕间与结算'!E987),ISNUMBER('幕间与结算'!F987),ISNUMBER('幕间与结算'!G987),'幕间与结算'!E987&gt;=0,'幕间与结算'!G987='幕间与结算'!E987+'幕间与结算'!F987),OR(B1080&lt;&gt;"成长",AND(LEFT(C1080,3)="技能：",C1080&lt;&gt;"技能：非自然知识",'幕间与结算'!E987&gt;=1,'幕间与结算'!E987&lt;=99,'幕间与结算'!F987&gt;=0,'幕间与结算'!F987&lt;=4,'幕间与结算'!G987&lt;=99))),1,0)</x:f>
        <x:v>0</x:v>
      </x:c>
      <x:c r="H1080">
        <x:f>IF(AND(G1080=1,COUNTIFS($I$200:I1080,I1080,$G$200:G1080,1)=1),1,0)</x:f>
        <x:v>0</x:v>
      </x:c>
      <x:c r="I1080" t="str">
        <x:f>IF(G1080=1,IF(B1080="成长",A1080&amp;"-成长-"&amp;C1080,'幕间与结算'!I987),"")</x:f>
        <x:v/>
      </x:c>
      <x:c r="BF1080">
        <x:f>MAX(0,MIN(18,BF1079+IF(C1080="力量",E1080,0)))</x:f>
        <x:v>0</x:v>
      </x:c>
      <x:c r="BG1080">
        <x:f>MAX(0,MIN(18,BG1079+IF(C1080="体质",E1080,0)))</x:f>
        <x:v>0</x:v>
      </x:c>
      <x:c r="BH1080">
        <x:f>MAX(0,MIN(18,BH1079+IF(C1080="敏捷",E1080,0)))</x:f>
        <x:v>0</x:v>
      </x:c>
      <x:c r="BI1080">
        <x:f>MAX(0,MIN(18,BI1079+IF(C1080="智力",E1080,0)))</x:f>
        <x:v>0</x:v>
      </x:c>
      <x:c r="BJ1080">
        <x:f>MAX(0,MIN(18,BJ1079+IF(C1080="意志",E1080,0)))</x:f>
        <x:v>0</x:v>
      </x:c>
      <x:c r="BK1080">
        <x:f>MAX(0,MIN(18,BK1079+IF(C1080="魅力",E1080,0)))</x:f>
        <x:v>0</x:v>
      </x:c>
      <x:c r="BL1080">
        <x:f>MAX(0,MIN(99,BL1079+IF(C1080="技能：非自然知识",E1080,0)))</x:f>
        <x:v>0</x:v>
      </x:c>
      <x:c r="BM1080">
        <x:f>MAX(0,MIN(CEILING((BF1080+BG1080)/2,1),BM1079+IF(C1080="体力",E1080,0)))</x:f>
        <x:v>0</x:v>
      </x:c>
      <x:c r="BN1080">
        <x:f>MAX(0,MIN(BJ1080,BN1079+IF(C1080="毅力",E1080,0)))</x:f>
        <x:v>0</x:v>
      </x:c>
      <x:c r="BO1080">
        <x:f>MAX(0,MIN(99-BL1080,BO1079+IF(C1080="理智",E1080,0)))</x:f>
        <x:v>0</x:v>
      </x:c>
      <x:c r="BP1080">
        <x:f>MAX(0,MIN(99,BP1079+IF(C1080="崩溃点",E1080,0)))</x:f>
        <x:v>0</x:v>
      </x:c>
      <x:c r="BQ1080">
        <x:f>MAX(0,MIN(BK1080,IF(AND(H1080=1,C1080="重要关系1",LEFT('幕间与结算'!H987,8)="建立新的重要关系"),'幕间与结算'!E987+E1080,BQ1079+IF(C1080="重要关系1",E1080,0)+IF(AND(C1080="魅力",E1080&lt;0),E1080,0))))</x:f>
        <x:v>0</x:v>
      </x:c>
      <x:c r="BR1080">
        <x:f>MAX(0,MIN(BK1080,IF(AND(H1080=1,C1080="重要关系2",LEFT('幕间与结算'!H987,8)="建立新的重要关系"),'幕间与结算'!E987+E1080,BR1079+IF(C1080="重要关系2",E1080,0)+IF(AND(C1080="魅力",E1080&lt;0),E1080,0))))</x:f>
        <x:v>0</x:v>
      </x:c>
      <x:c r="BS1080">
        <x:f>MAX(0,MIN(BK1080,IF(AND(H1080=1,C1080="重要关系3",LEFT('幕间与结算'!H987,8)="建立新的重要关系"),'幕间与结算'!E987+E1080,BS1079+IF(C1080="重要关系3",E1080,0)+IF(AND(C1080="魅力",E1080&lt;0),E1080,0))))</x:f>
        <x:v>0</x:v>
      </x:c>
      <x:c r="BT1080">
        <x:f>MAX(0,MIN(BK1080,IF(AND(H1080=1,C1080="重要关系4",LEFT('幕间与结算'!H987,8)="建立新的重要关系"),'幕间与结算'!E987+E1080,BT1079+IF(C1080="重要关系4",E1080,0)+IF(AND(C1080="魅力",E1080&lt;0),E1080,0))))</x:f>
        <x:v>0</x:v>
      </x:c>
      <x:c r="BU1080">
        <x:f>MAX(0,MIN(BK1080,IF(AND(H1080=1,C1080="重要关系5",LEFT('幕间与结算'!H987,8)="建立新的重要关系"),'幕间与结算'!E987+E1080,BU1079+IF(C1080="重要关系5",E1080,0)+IF(AND(C1080="魅力",E1080&lt;0),E1080,0))))</x:f>
        <x:v>0</x:v>
      </x:c>
      <x:c r="BV1080">
        <x:f>MAX(0,MIN(BK1080,IF(AND(H1080=1,C1080="重要关系6",LEFT('幕间与结算'!H987,8)="建立新的重要关系"),'幕间与结算'!E987+E1080,BV1079+IF(C1080="重要关系6",E1080,0)+IF(AND(C1080="魅力",E1080&lt;0),E1080,0))))</x:f>
        <x:v>0</x:v>
      </x:c>
      <x:c r="BW1080">
        <x:f>MAX(0,MIN(BK1080,IF(AND(H1080=1,C1080="重要关系7",LEFT('幕间与结算'!H987,8)="建立新的重要关系"),'幕间与结算'!E987+E1080,BW1079+IF(C1080="重要关系7",E1080,0)+IF(AND(C1080="魅力",E1080&lt;0),E1080,0))))</x:f>
        <x:v>0</x:v>
      </x:c>
    </x:row>
    <x:row r="1081">
      <x:c r="A1081" t="str">
        <x:f>IFERROR(TEXT(VALUE('幕间与结算'!A988),"00"),"")</x:f>
        <x:v>00</x:v>
      </x:c>
      <x:c r="B1081">
        <x:f>'幕间与结算'!B988</x:f>
        <x:v>0</x:v>
      </x:c>
      <x:c r="C1081">
        <x:f>'幕间与结算'!D988</x:f>
        <x:v>0</x:v>
      </x:c>
      <x:c r="D1081">
        <x:f>'幕间与结算'!F988</x:f>
        <x:v>0</x:v>
      </x:c>
      <x:c r="E1081">
        <x:f>IF(H1081=1,MAX(-'幕间与结算'!E988,MIN(D1081,IF(LEFT(C1081,3)="技能：",99,IF(COUNTIF($L$2:$L$7,C1081)&gt;0,18,999))-'幕间与结算'!E988)),0)</x:f>
        <x:v>0</x:v>
      </x:c>
      <x:c r="F1081" t="str">
        <x:f>IF(C1081=0,"",IF(G1081=0,"记录不完整",IF(H1081=0,"重复未计","已计入")))</x:f>
        <x:v/>
      </x:c>
      <x:c r="G1081">
        <x:f>IF(AND(AND('幕间与结算'!A988&lt;&gt;"",'幕间与结算'!B988&lt;&gt;"",'幕间与结算'!I988&lt;&gt;"",OR(LEFT(C1081,3)="技能：",COUNTIF($L$2:$L$19,C1081)&gt;0),ISNUMBER('幕间与结算'!E988),ISNUMBER('幕间与结算'!F988),ISNUMBER('幕间与结算'!G988),'幕间与结算'!E988&gt;=0,'幕间与结算'!G988='幕间与结算'!E988+'幕间与结算'!F988),OR(B1081&lt;&gt;"成长",AND(LEFT(C1081,3)="技能：",C1081&lt;&gt;"技能：非自然知识",'幕间与结算'!E988&gt;=1,'幕间与结算'!E988&lt;=99,'幕间与结算'!F988&gt;=0,'幕间与结算'!F988&lt;=4,'幕间与结算'!G988&lt;=99))),1,0)</x:f>
        <x:v>0</x:v>
      </x:c>
      <x:c r="H1081">
        <x:f>IF(AND(G1081=1,COUNTIFS($I$200:I1081,I1081,$G$200:G1081,1)=1),1,0)</x:f>
        <x:v>0</x:v>
      </x:c>
      <x:c r="I1081" t="str">
        <x:f>IF(G1081=1,IF(B1081="成长",A1081&amp;"-成长-"&amp;C1081,'幕间与结算'!I988),"")</x:f>
        <x:v/>
      </x:c>
      <x:c r="BF1081">
        <x:f>MAX(0,MIN(18,BF1080+IF(C1081="力量",E1081,0)))</x:f>
        <x:v>0</x:v>
      </x:c>
      <x:c r="BG1081">
        <x:f>MAX(0,MIN(18,BG1080+IF(C1081="体质",E1081,0)))</x:f>
        <x:v>0</x:v>
      </x:c>
      <x:c r="BH1081">
        <x:f>MAX(0,MIN(18,BH1080+IF(C1081="敏捷",E1081,0)))</x:f>
        <x:v>0</x:v>
      </x:c>
      <x:c r="BI1081">
        <x:f>MAX(0,MIN(18,BI1080+IF(C1081="智力",E1081,0)))</x:f>
        <x:v>0</x:v>
      </x:c>
      <x:c r="BJ1081">
        <x:f>MAX(0,MIN(18,BJ1080+IF(C1081="意志",E1081,0)))</x:f>
        <x:v>0</x:v>
      </x:c>
      <x:c r="BK1081">
        <x:f>MAX(0,MIN(18,BK1080+IF(C1081="魅力",E1081,0)))</x:f>
        <x:v>0</x:v>
      </x:c>
      <x:c r="BL1081">
        <x:f>MAX(0,MIN(99,BL1080+IF(C1081="技能：非自然知识",E1081,0)))</x:f>
        <x:v>0</x:v>
      </x:c>
      <x:c r="BM1081">
        <x:f>MAX(0,MIN(CEILING((BF1081+BG1081)/2,1),BM1080+IF(C1081="体力",E1081,0)))</x:f>
        <x:v>0</x:v>
      </x:c>
      <x:c r="BN1081">
        <x:f>MAX(0,MIN(BJ1081,BN1080+IF(C1081="毅力",E1081,0)))</x:f>
        <x:v>0</x:v>
      </x:c>
      <x:c r="BO1081">
        <x:f>MAX(0,MIN(99-BL1081,BO1080+IF(C1081="理智",E1081,0)))</x:f>
        <x:v>0</x:v>
      </x:c>
      <x:c r="BP1081">
        <x:f>MAX(0,MIN(99,BP1080+IF(C1081="崩溃点",E1081,0)))</x:f>
        <x:v>0</x:v>
      </x:c>
      <x:c r="BQ1081">
        <x:f>MAX(0,MIN(BK1081,IF(AND(H1081=1,C1081="重要关系1",LEFT('幕间与结算'!H988,8)="建立新的重要关系"),'幕间与结算'!E988+E1081,BQ1080+IF(C1081="重要关系1",E1081,0)+IF(AND(C1081="魅力",E1081&lt;0),E1081,0))))</x:f>
        <x:v>0</x:v>
      </x:c>
      <x:c r="BR1081">
        <x:f>MAX(0,MIN(BK1081,IF(AND(H1081=1,C1081="重要关系2",LEFT('幕间与结算'!H988,8)="建立新的重要关系"),'幕间与结算'!E988+E1081,BR1080+IF(C1081="重要关系2",E1081,0)+IF(AND(C1081="魅力",E1081&lt;0),E1081,0))))</x:f>
        <x:v>0</x:v>
      </x:c>
      <x:c r="BS1081">
        <x:f>MAX(0,MIN(BK1081,IF(AND(H1081=1,C1081="重要关系3",LEFT('幕间与结算'!H988,8)="建立新的重要关系"),'幕间与结算'!E988+E1081,BS1080+IF(C1081="重要关系3",E1081,0)+IF(AND(C1081="魅力",E1081&lt;0),E1081,0))))</x:f>
        <x:v>0</x:v>
      </x:c>
      <x:c r="BT1081">
        <x:f>MAX(0,MIN(BK1081,IF(AND(H1081=1,C1081="重要关系4",LEFT('幕间与结算'!H988,8)="建立新的重要关系"),'幕间与结算'!E988+E1081,BT1080+IF(C1081="重要关系4",E1081,0)+IF(AND(C1081="魅力",E1081&lt;0),E1081,0))))</x:f>
        <x:v>0</x:v>
      </x:c>
      <x:c r="BU1081">
        <x:f>MAX(0,MIN(BK1081,IF(AND(H1081=1,C1081="重要关系5",LEFT('幕间与结算'!H988,8)="建立新的重要关系"),'幕间与结算'!E988+E1081,BU1080+IF(C1081="重要关系5",E1081,0)+IF(AND(C1081="魅力",E1081&lt;0),E1081,0))))</x:f>
        <x:v>0</x:v>
      </x:c>
      <x:c r="BV1081">
        <x:f>MAX(0,MIN(BK1081,IF(AND(H1081=1,C1081="重要关系6",LEFT('幕间与结算'!H988,8)="建立新的重要关系"),'幕间与结算'!E988+E1081,BV1080+IF(C1081="重要关系6",E1081,0)+IF(AND(C1081="魅力",E1081&lt;0),E1081,0))))</x:f>
        <x:v>0</x:v>
      </x:c>
      <x:c r="BW1081">
        <x:f>MAX(0,MIN(BK1081,IF(AND(H1081=1,C1081="重要关系7",LEFT('幕间与结算'!H988,8)="建立新的重要关系"),'幕间与结算'!E988+E1081,BW1080+IF(C1081="重要关系7",E1081,0)+IF(AND(C1081="魅力",E1081&lt;0),E1081,0))))</x:f>
        <x:v>0</x:v>
      </x:c>
    </x:row>
    <x:row r="1082">
      <x:c r="A1082" t="str">
        <x:f>IFERROR(TEXT(VALUE('幕间与结算'!A989),"00"),"")</x:f>
        <x:v>00</x:v>
      </x:c>
      <x:c r="B1082">
        <x:f>'幕间与结算'!B989</x:f>
        <x:v>0</x:v>
      </x:c>
      <x:c r="C1082">
        <x:f>'幕间与结算'!D989</x:f>
        <x:v>0</x:v>
      </x:c>
      <x:c r="D1082">
        <x:f>'幕间与结算'!F989</x:f>
        <x:v>0</x:v>
      </x:c>
      <x:c r="E1082">
        <x:f>IF(H1082=1,MAX(-'幕间与结算'!E989,MIN(D1082,IF(LEFT(C1082,3)="技能：",99,IF(COUNTIF($L$2:$L$7,C1082)&gt;0,18,999))-'幕间与结算'!E989)),0)</x:f>
        <x:v>0</x:v>
      </x:c>
      <x:c r="F1082" t="str">
        <x:f>IF(C1082=0,"",IF(G1082=0,"记录不完整",IF(H1082=0,"重复未计","已计入")))</x:f>
        <x:v/>
      </x:c>
      <x:c r="G1082">
        <x:f>IF(AND(AND('幕间与结算'!A989&lt;&gt;"",'幕间与结算'!B989&lt;&gt;"",'幕间与结算'!I989&lt;&gt;"",OR(LEFT(C1082,3)="技能：",COUNTIF($L$2:$L$19,C1082)&gt;0),ISNUMBER('幕间与结算'!E989),ISNUMBER('幕间与结算'!F989),ISNUMBER('幕间与结算'!G989),'幕间与结算'!E989&gt;=0,'幕间与结算'!G989='幕间与结算'!E989+'幕间与结算'!F989),OR(B1082&lt;&gt;"成长",AND(LEFT(C1082,3)="技能：",C1082&lt;&gt;"技能：非自然知识",'幕间与结算'!E989&gt;=1,'幕间与结算'!E989&lt;=99,'幕间与结算'!F989&gt;=0,'幕间与结算'!F989&lt;=4,'幕间与结算'!G989&lt;=99))),1,0)</x:f>
        <x:v>0</x:v>
      </x:c>
      <x:c r="H1082">
        <x:f>IF(AND(G1082=1,COUNTIFS($I$200:I1082,I1082,$G$200:G1082,1)=1),1,0)</x:f>
        <x:v>0</x:v>
      </x:c>
      <x:c r="I1082" t="str">
        <x:f>IF(G1082=1,IF(B1082="成长",A1082&amp;"-成长-"&amp;C1082,'幕间与结算'!I989),"")</x:f>
        <x:v/>
      </x:c>
      <x:c r="BF1082">
        <x:f>MAX(0,MIN(18,BF1081+IF(C1082="力量",E1082,0)))</x:f>
        <x:v>0</x:v>
      </x:c>
      <x:c r="BG1082">
        <x:f>MAX(0,MIN(18,BG1081+IF(C1082="体质",E1082,0)))</x:f>
        <x:v>0</x:v>
      </x:c>
      <x:c r="BH1082">
        <x:f>MAX(0,MIN(18,BH1081+IF(C1082="敏捷",E1082,0)))</x:f>
        <x:v>0</x:v>
      </x:c>
      <x:c r="BI1082">
        <x:f>MAX(0,MIN(18,BI1081+IF(C1082="智力",E1082,0)))</x:f>
        <x:v>0</x:v>
      </x:c>
      <x:c r="BJ1082">
        <x:f>MAX(0,MIN(18,BJ1081+IF(C1082="意志",E1082,0)))</x:f>
        <x:v>0</x:v>
      </x:c>
      <x:c r="BK1082">
        <x:f>MAX(0,MIN(18,BK1081+IF(C1082="魅力",E1082,0)))</x:f>
        <x:v>0</x:v>
      </x:c>
      <x:c r="BL1082">
        <x:f>MAX(0,MIN(99,BL1081+IF(C1082="技能：非自然知识",E1082,0)))</x:f>
        <x:v>0</x:v>
      </x:c>
      <x:c r="BM1082">
        <x:f>MAX(0,MIN(CEILING((BF1082+BG1082)/2,1),BM1081+IF(C1082="体力",E1082,0)))</x:f>
        <x:v>0</x:v>
      </x:c>
      <x:c r="BN1082">
        <x:f>MAX(0,MIN(BJ1082,BN1081+IF(C1082="毅力",E1082,0)))</x:f>
        <x:v>0</x:v>
      </x:c>
      <x:c r="BO1082">
        <x:f>MAX(0,MIN(99-BL1082,BO1081+IF(C1082="理智",E1082,0)))</x:f>
        <x:v>0</x:v>
      </x:c>
      <x:c r="BP1082">
        <x:f>MAX(0,MIN(99,BP1081+IF(C1082="崩溃点",E1082,0)))</x:f>
        <x:v>0</x:v>
      </x:c>
      <x:c r="BQ1082">
        <x:f>MAX(0,MIN(BK1082,IF(AND(H1082=1,C1082="重要关系1",LEFT('幕间与结算'!H989,8)="建立新的重要关系"),'幕间与结算'!E989+E1082,BQ1081+IF(C1082="重要关系1",E1082,0)+IF(AND(C1082="魅力",E1082&lt;0),E1082,0))))</x:f>
        <x:v>0</x:v>
      </x:c>
      <x:c r="BR1082">
        <x:f>MAX(0,MIN(BK1082,IF(AND(H1082=1,C1082="重要关系2",LEFT('幕间与结算'!H989,8)="建立新的重要关系"),'幕间与结算'!E989+E1082,BR1081+IF(C1082="重要关系2",E1082,0)+IF(AND(C1082="魅力",E1082&lt;0),E1082,0))))</x:f>
        <x:v>0</x:v>
      </x:c>
      <x:c r="BS1082">
        <x:f>MAX(0,MIN(BK1082,IF(AND(H1082=1,C1082="重要关系3",LEFT('幕间与结算'!H989,8)="建立新的重要关系"),'幕间与结算'!E989+E1082,BS1081+IF(C1082="重要关系3",E1082,0)+IF(AND(C1082="魅力",E1082&lt;0),E1082,0))))</x:f>
        <x:v>0</x:v>
      </x:c>
      <x:c r="BT1082">
        <x:f>MAX(0,MIN(BK1082,IF(AND(H1082=1,C1082="重要关系4",LEFT('幕间与结算'!H989,8)="建立新的重要关系"),'幕间与结算'!E989+E1082,BT1081+IF(C1082="重要关系4",E1082,0)+IF(AND(C1082="魅力",E1082&lt;0),E1082,0))))</x:f>
        <x:v>0</x:v>
      </x:c>
      <x:c r="BU1082">
        <x:f>MAX(0,MIN(BK1082,IF(AND(H1082=1,C1082="重要关系5",LEFT('幕间与结算'!H989,8)="建立新的重要关系"),'幕间与结算'!E989+E1082,BU1081+IF(C1082="重要关系5",E1082,0)+IF(AND(C1082="魅力",E1082&lt;0),E1082,0))))</x:f>
        <x:v>0</x:v>
      </x:c>
      <x:c r="BV1082">
        <x:f>MAX(0,MIN(BK1082,IF(AND(H1082=1,C1082="重要关系6",LEFT('幕间与结算'!H989,8)="建立新的重要关系"),'幕间与结算'!E989+E1082,BV1081+IF(C1082="重要关系6",E1082,0)+IF(AND(C1082="魅力",E1082&lt;0),E1082,0))))</x:f>
        <x:v>0</x:v>
      </x:c>
      <x:c r="BW1082">
        <x:f>MAX(0,MIN(BK1082,IF(AND(H1082=1,C1082="重要关系7",LEFT('幕间与结算'!H989,8)="建立新的重要关系"),'幕间与结算'!E989+E1082,BW1081+IF(C1082="重要关系7",E1082,0)+IF(AND(C1082="魅力",E1082&lt;0),E1082,0))))</x:f>
        <x:v>0</x:v>
      </x:c>
    </x:row>
    <x:row r="1083">
      <x:c r="A1083" t="str">
        <x:f>IFERROR(TEXT(VALUE('幕间与结算'!A990),"00"),"")</x:f>
        <x:v>00</x:v>
      </x:c>
      <x:c r="B1083">
        <x:f>'幕间与结算'!B990</x:f>
        <x:v>0</x:v>
      </x:c>
      <x:c r="C1083">
        <x:f>'幕间与结算'!D990</x:f>
        <x:v>0</x:v>
      </x:c>
      <x:c r="D1083">
        <x:f>'幕间与结算'!F990</x:f>
        <x:v>0</x:v>
      </x:c>
      <x:c r="E1083">
        <x:f>IF(H1083=1,MAX(-'幕间与结算'!E990,MIN(D1083,IF(LEFT(C1083,3)="技能：",99,IF(COUNTIF($L$2:$L$7,C1083)&gt;0,18,999))-'幕间与结算'!E990)),0)</x:f>
        <x:v>0</x:v>
      </x:c>
      <x:c r="F1083" t="str">
        <x:f>IF(C1083=0,"",IF(G1083=0,"记录不完整",IF(H1083=0,"重复未计","已计入")))</x:f>
        <x:v/>
      </x:c>
      <x:c r="G1083">
        <x:f>IF(AND(AND('幕间与结算'!A990&lt;&gt;"",'幕间与结算'!B990&lt;&gt;"",'幕间与结算'!I990&lt;&gt;"",OR(LEFT(C1083,3)="技能：",COUNTIF($L$2:$L$19,C1083)&gt;0),ISNUMBER('幕间与结算'!E990),ISNUMBER('幕间与结算'!F990),ISNUMBER('幕间与结算'!G990),'幕间与结算'!E990&gt;=0,'幕间与结算'!G990='幕间与结算'!E990+'幕间与结算'!F990),OR(B1083&lt;&gt;"成长",AND(LEFT(C1083,3)="技能：",C1083&lt;&gt;"技能：非自然知识",'幕间与结算'!E990&gt;=1,'幕间与结算'!E990&lt;=99,'幕间与结算'!F990&gt;=0,'幕间与结算'!F990&lt;=4,'幕间与结算'!G990&lt;=99))),1,0)</x:f>
        <x:v>0</x:v>
      </x:c>
      <x:c r="H1083">
        <x:f>IF(AND(G1083=1,COUNTIFS($I$200:I1083,I1083,$G$200:G1083,1)=1),1,0)</x:f>
        <x:v>0</x:v>
      </x:c>
      <x:c r="I1083" t="str">
        <x:f>IF(G1083=1,IF(B1083="成长",A1083&amp;"-成长-"&amp;C1083,'幕间与结算'!I990),"")</x:f>
        <x:v/>
      </x:c>
      <x:c r="BF1083">
        <x:f>MAX(0,MIN(18,BF1082+IF(C1083="力量",E1083,0)))</x:f>
        <x:v>0</x:v>
      </x:c>
      <x:c r="BG1083">
        <x:f>MAX(0,MIN(18,BG1082+IF(C1083="体质",E1083,0)))</x:f>
        <x:v>0</x:v>
      </x:c>
      <x:c r="BH1083">
        <x:f>MAX(0,MIN(18,BH1082+IF(C1083="敏捷",E1083,0)))</x:f>
        <x:v>0</x:v>
      </x:c>
      <x:c r="BI1083">
        <x:f>MAX(0,MIN(18,BI1082+IF(C1083="智力",E1083,0)))</x:f>
        <x:v>0</x:v>
      </x:c>
      <x:c r="BJ1083">
        <x:f>MAX(0,MIN(18,BJ1082+IF(C1083="意志",E1083,0)))</x:f>
        <x:v>0</x:v>
      </x:c>
      <x:c r="BK1083">
        <x:f>MAX(0,MIN(18,BK1082+IF(C1083="魅力",E1083,0)))</x:f>
        <x:v>0</x:v>
      </x:c>
      <x:c r="BL1083">
        <x:f>MAX(0,MIN(99,BL1082+IF(C1083="技能：非自然知识",E1083,0)))</x:f>
        <x:v>0</x:v>
      </x:c>
      <x:c r="BM1083">
        <x:f>MAX(0,MIN(CEILING((BF1083+BG1083)/2,1),BM1082+IF(C1083="体力",E1083,0)))</x:f>
        <x:v>0</x:v>
      </x:c>
      <x:c r="BN1083">
        <x:f>MAX(0,MIN(BJ1083,BN1082+IF(C1083="毅力",E1083,0)))</x:f>
        <x:v>0</x:v>
      </x:c>
      <x:c r="BO1083">
        <x:f>MAX(0,MIN(99-BL1083,BO1082+IF(C1083="理智",E1083,0)))</x:f>
        <x:v>0</x:v>
      </x:c>
      <x:c r="BP1083">
        <x:f>MAX(0,MIN(99,BP1082+IF(C1083="崩溃点",E1083,0)))</x:f>
        <x:v>0</x:v>
      </x:c>
      <x:c r="BQ1083">
        <x:f>MAX(0,MIN(BK1083,IF(AND(H1083=1,C1083="重要关系1",LEFT('幕间与结算'!H990,8)="建立新的重要关系"),'幕间与结算'!E990+E1083,BQ1082+IF(C1083="重要关系1",E1083,0)+IF(AND(C1083="魅力",E1083&lt;0),E1083,0))))</x:f>
        <x:v>0</x:v>
      </x:c>
      <x:c r="BR1083">
        <x:f>MAX(0,MIN(BK1083,IF(AND(H1083=1,C1083="重要关系2",LEFT('幕间与结算'!H990,8)="建立新的重要关系"),'幕间与结算'!E990+E1083,BR1082+IF(C1083="重要关系2",E1083,0)+IF(AND(C1083="魅力",E1083&lt;0),E1083,0))))</x:f>
        <x:v>0</x:v>
      </x:c>
      <x:c r="BS1083">
        <x:f>MAX(0,MIN(BK1083,IF(AND(H1083=1,C1083="重要关系3",LEFT('幕间与结算'!H990,8)="建立新的重要关系"),'幕间与结算'!E990+E1083,BS1082+IF(C1083="重要关系3",E1083,0)+IF(AND(C1083="魅力",E1083&lt;0),E1083,0))))</x:f>
        <x:v>0</x:v>
      </x:c>
      <x:c r="BT1083">
        <x:f>MAX(0,MIN(BK1083,IF(AND(H1083=1,C1083="重要关系4",LEFT('幕间与结算'!H990,8)="建立新的重要关系"),'幕间与结算'!E990+E1083,BT1082+IF(C1083="重要关系4",E1083,0)+IF(AND(C1083="魅力",E1083&lt;0),E1083,0))))</x:f>
        <x:v>0</x:v>
      </x:c>
      <x:c r="BU1083">
        <x:f>MAX(0,MIN(BK1083,IF(AND(H1083=1,C1083="重要关系5",LEFT('幕间与结算'!H990,8)="建立新的重要关系"),'幕间与结算'!E990+E1083,BU1082+IF(C1083="重要关系5",E1083,0)+IF(AND(C1083="魅力",E1083&lt;0),E1083,0))))</x:f>
        <x:v>0</x:v>
      </x:c>
      <x:c r="BV1083">
        <x:f>MAX(0,MIN(BK1083,IF(AND(H1083=1,C1083="重要关系6",LEFT('幕间与结算'!H990,8)="建立新的重要关系"),'幕间与结算'!E990+E1083,BV1082+IF(C1083="重要关系6",E1083,0)+IF(AND(C1083="魅力",E1083&lt;0),E1083,0))))</x:f>
        <x:v>0</x:v>
      </x:c>
      <x:c r="BW1083">
        <x:f>MAX(0,MIN(BK1083,IF(AND(H1083=1,C1083="重要关系7",LEFT('幕间与结算'!H990,8)="建立新的重要关系"),'幕间与结算'!E990+E1083,BW1082+IF(C1083="重要关系7",E1083,0)+IF(AND(C1083="魅力",E1083&lt;0),E1083,0))))</x:f>
        <x:v>0</x:v>
      </x:c>
    </x:row>
    <x:row r="1084">
      <x:c r="A1084" t="str">
        <x:f>IFERROR(TEXT(VALUE('幕间与结算'!A991),"00"),"")</x:f>
        <x:v>00</x:v>
      </x:c>
      <x:c r="B1084">
        <x:f>'幕间与结算'!B991</x:f>
        <x:v>0</x:v>
      </x:c>
      <x:c r="C1084">
        <x:f>'幕间与结算'!D991</x:f>
        <x:v>0</x:v>
      </x:c>
      <x:c r="D1084">
        <x:f>'幕间与结算'!F991</x:f>
        <x:v>0</x:v>
      </x:c>
      <x:c r="E1084">
        <x:f>IF(H1084=1,MAX(-'幕间与结算'!E991,MIN(D1084,IF(LEFT(C1084,3)="技能：",99,IF(COUNTIF($L$2:$L$7,C1084)&gt;0,18,999))-'幕间与结算'!E991)),0)</x:f>
        <x:v>0</x:v>
      </x:c>
      <x:c r="F1084" t="str">
        <x:f>IF(C1084=0,"",IF(G1084=0,"记录不完整",IF(H1084=0,"重复未计","已计入")))</x:f>
        <x:v/>
      </x:c>
      <x:c r="G1084">
        <x:f>IF(AND(AND('幕间与结算'!A991&lt;&gt;"",'幕间与结算'!B991&lt;&gt;"",'幕间与结算'!I991&lt;&gt;"",OR(LEFT(C1084,3)="技能：",COUNTIF($L$2:$L$19,C1084)&gt;0),ISNUMBER('幕间与结算'!E991),ISNUMBER('幕间与结算'!F991),ISNUMBER('幕间与结算'!G991),'幕间与结算'!E991&gt;=0,'幕间与结算'!G991='幕间与结算'!E991+'幕间与结算'!F991),OR(B1084&lt;&gt;"成长",AND(LEFT(C1084,3)="技能：",C1084&lt;&gt;"技能：非自然知识",'幕间与结算'!E991&gt;=1,'幕间与结算'!E991&lt;=99,'幕间与结算'!F991&gt;=0,'幕间与结算'!F991&lt;=4,'幕间与结算'!G991&lt;=99))),1,0)</x:f>
        <x:v>0</x:v>
      </x:c>
      <x:c r="H1084">
        <x:f>IF(AND(G1084=1,COUNTIFS($I$200:I1084,I1084,$G$200:G1084,1)=1),1,0)</x:f>
        <x:v>0</x:v>
      </x:c>
      <x:c r="I1084" t="str">
        <x:f>IF(G1084=1,IF(B1084="成长",A1084&amp;"-成长-"&amp;C1084,'幕间与结算'!I991),"")</x:f>
        <x:v/>
      </x:c>
      <x:c r="BF1084">
        <x:f>MAX(0,MIN(18,BF1083+IF(C1084="力量",E1084,0)))</x:f>
        <x:v>0</x:v>
      </x:c>
      <x:c r="BG1084">
        <x:f>MAX(0,MIN(18,BG1083+IF(C1084="体质",E1084,0)))</x:f>
        <x:v>0</x:v>
      </x:c>
      <x:c r="BH1084">
        <x:f>MAX(0,MIN(18,BH1083+IF(C1084="敏捷",E1084,0)))</x:f>
        <x:v>0</x:v>
      </x:c>
      <x:c r="BI1084">
        <x:f>MAX(0,MIN(18,BI1083+IF(C1084="智力",E1084,0)))</x:f>
        <x:v>0</x:v>
      </x:c>
      <x:c r="BJ1084">
        <x:f>MAX(0,MIN(18,BJ1083+IF(C1084="意志",E1084,0)))</x:f>
        <x:v>0</x:v>
      </x:c>
      <x:c r="BK1084">
        <x:f>MAX(0,MIN(18,BK1083+IF(C1084="魅力",E1084,0)))</x:f>
        <x:v>0</x:v>
      </x:c>
      <x:c r="BL1084">
        <x:f>MAX(0,MIN(99,BL1083+IF(C1084="技能：非自然知识",E1084,0)))</x:f>
        <x:v>0</x:v>
      </x:c>
      <x:c r="BM1084">
        <x:f>MAX(0,MIN(CEILING((BF1084+BG1084)/2,1),BM1083+IF(C1084="体力",E1084,0)))</x:f>
        <x:v>0</x:v>
      </x:c>
      <x:c r="BN1084">
        <x:f>MAX(0,MIN(BJ1084,BN1083+IF(C1084="毅力",E1084,0)))</x:f>
        <x:v>0</x:v>
      </x:c>
      <x:c r="BO1084">
        <x:f>MAX(0,MIN(99-BL1084,BO1083+IF(C1084="理智",E1084,0)))</x:f>
        <x:v>0</x:v>
      </x:c>
      <x:c r="BP1084">
        <x:f>MAX(0,MIN(99,BP1083+IF(C1084="崩溃点",E1084,0)))</x:f>
        <x:v>0</x:v>
      </x:c>
      <x:c r="BQ1084">
        <x:f>MAX(0,MIN(BK1084,IF(AND(H1084=1,C1084="重要关系1",LEFT('幕间与结算'!H991,8)="建立新的重要关系"),'幕间与结算'!E991+E1084,BQ1083+IF(C1084="重要关系1",E1084,0)+IF(AND(C1084="魅力",E1084&lt;0),E1084,0))))</x:f>
        <x:v>0</x:v>
      </x:c>
      <x:c r="BR1084">
        <x:f>MAX(0,MIN(BK1084,IF(AND(H1084=1,C1084="重要关系2",LEFT('幕间与结算'!H991,8)="建立新的重要关系"),'幕间与结算'!E991+E1084,BR1083+IF(C1084="重要关系2",E1084,0)+IF(AND(C1084="魅力",E1084&lt;0),E1084,0))))</x:f>
        <x:v>0</x:v>
      </x:c>
      <x:c r="BS1084">
        <x:f>MAX(0,MIN(BK1084,IF(AND(H1084=1,C1084="重要关系3",LEFT('幕间与结算'!H991,8)="建立新的重要关系"),'幕间与结算'!E991+E1084,BS1083+IF(C1084="重要关系3",E1084,0)+IF(AND(C1084="魅力",E1084&lt;0),E1084,0))))</x:f>
        <x:v>0</x:v>
      </x:c>
      <x:c r="BT1084">
        <x:f>MAX(0,MIN(BK1084,IF(AND(H1084=1,C1084="重要关系4",LEFT('幕间与结算'!H991,8)="建立新的重要关系"),'幕间与结算'!E991+E1084,BT1083+IF(C1084="重要关系4",E1084,0)+IF(AND(C1084="魅力",E1084&lt;0),E1084,0))))</x:f>
        <x:v>0</x:v>
      </x:c>
      <x:c r="BU1084">
        <x:f>MAX(0,MIN(BK1084,IF(AND(H1084=1,C1084="重要关系5",LEFT('幕间与结算'!H991,8)="建立新的重要关系"),'幕间与结算'!E991+E1084,BU1083+IF(C1084="重要关系5",E1084,0)+IF(AND(C1084="魅力",E1084&lt;0),E1084,0))))</x:f>
        <x:v>0</x:v>
      </x:c>
      <x:c r="BV1084">
        <x:f>MAX(0,MIN(BK1084,IF(AND(H1084=1,C1084="重要关系6",LEFT('幕间与结算'!H991,8)="建立新的重要关系"),'幕间与结算'!E991+E1084,BV1083+IF(C1084="重要关系6",E1084,0)+IF(AND(C1084="魅力",E1084&lt;0),E1084,0))))</x:f>
        <x:v>0</x:v>
      </x:c>
      <x:c r="BW1084">
        <x:f>MAX(0,MIN(BK1084,IF(AND(H1084=1,C1084="重要关系7",LEFT('幕间与结算'!H991,8)="建立新的重要关系"),'幕间与结算'!E991+E1084,BW1083+IF(C1084="重要关系7",E1084,0)+IF(AND(C1084="魅力",E1084&lt;0),E1084,0))))</x:f>
        <x:v>0</x:v>
      </x:c>
    </x:row>
    <x:row r="1085">
      <x:c r="A1085" t="str">
        <x:f>IFERROR(TEXT(VALUE('幕间与结算'!A992),"00"),"")</x:f>
        <x:v>00</x:v>
      </x:c>
      <x:c r="B1085">
        <x:f>'幕间与结算'!B992</x:f>
        <x:v>0</x:v>
      </x:c>
      <x:c r="C1085">
        <x:f>'幕间与结算'!D992</x:f>
        <x:v>0</x:v>
      </x:c>
      <x:c r="D1085">
        <x:f>'幕间与结算'!F992</x:f>
        <x:v>0</x:v>
      </x:c>
      <x:c r="E1085">
        <x:f>IF(H1085=1,MAX(-'幕间与结算'!E992,MIN(D1085,IF(LEFT(C1085,3)="技能：",99,IF(COUNTIF($L$2:$L$7,C1085)&gt;0,18,999))-'幕间与结算'!E992)),0)</x:f>
        <x:v>0</x:v>
      </x:c>
      <x:c r="F1085" t="str">
        <x:f>IF(C1085=0,"",IF(G1085=0,"记录不完整",IF(H1085=0,"重复未计","已计入")))</x:f>
        <x:v/>
      </x:c>
      <x:c r="G1085">
        <x:f>IF(AND(AND('幕间与结算'!A992&lt;&gt;"",'幕间与结算'!B992&lt;&gt;"",'幕间与结算'!I992&lt;&gt;"",OR(LEFT(C1085,3)="技能：",COUNTIF($L$2:$L$19,C1085)&gt;0),ISNUMBER('幕间与结算'!E992),ISNUMBER('幕间与结算'!F992),ISNUMBER('幕间与结算'!G992),'幕间与结算'!E992&gt;=0,'幕间与结算'!G992='幕间与结算'!E992+'幕间与结算'!F992),OR(B1085&lt;&gt;"成长",AND(LEFT(C1085,3)="技能：",C1085&lt;&gt;"技能：非自然知识",'幕间与结算'!E992&gt;=1,'幕间与结算'!E992&lt;=99,'幕间与结算'!F992&gt;=0,'幕间与结算'!F992&lt;=4,'幕间与结算'!G992&lt;=99))),1,0)</x:f>
        <x:v>0</x:v>
      </x:c>
      <x:c r="H1085">
        <x:f>IF(AND(G1085=1,COUNTIFS($I$200:I1085,I1085,$G$200:G1085,1)=1),1,0)</x:f>
        <x:v>0</x:v>
      </x:c>
      <x:c r="I1085" t="str">
        <x:f>IF(G1085=1,IF(B1085="成长",A1085&amp;"-成长-"&amp;C1085,'幕间与结算'!I992),"")</x:f>
        <x:v/>
      </x:c>
      <x:c r="BF1085">
        <x:f>MAX(0,MIN(18,BF1084+IF(C1085="力量",E1085,0)))</x:f>
        <x:v>0</x:v>
      </x:c>
      <x:c r="BG1085">
        <x:f>MAX(0,MIN(18,BG1084+IF(C1085="体质",E1085,0)))</x:f>
        <x:v>0</x:v>
      </x:c>
      <x:c r="BH1085">
        <x:f>MAX(0,MIN(18,BH1084+IF(C1085="敏捷",E1085,0)))</x:f>
        <x:v>0</x:v>
      </x:c>
      <x:c r="BI1085">
        <x:f>MAX(0,MIN(18,BI1084+IF(C1085="智力",E1085,0)))</x:f>
        <x:v>0</x:v>
      </x:c>
      <x:c r="BJ1085">
        <x:f>MAX(0,MIN(18,BJ1084+IF(C1085="意志",E1085,0)))</x:f>
        <x:v>0</x:v>
      </x:c>
      <x:c r="BK1085">
        <x:f>MAX(0,MIN(18,BK1084+IF(C1085="魅力",E1085,0)))</x:f>
        <x:v>0</x:v>
      </x:c>
      <x:c r="BL1085">
        <x:f>MAX(0,MIN(99,BL1084+IF(C1085="技能：非自然知识",E1085,0)))</x:f>
        <x:v>0</x:v>
      </x:c>
      <x:c r="BM1085">
        <x:f>MAX(0,MIN(CEILING((BF1085+BG1085)/2,1),BM1084+IF(C1085="体力",E1085,0)))</x:f>
        <x:v>0</x:v>
      </x:c>
      <x:c r="BN1085">
        <x:f>MAX(0,MIN(BJ1085,BN1084+IF(C1085="毅力",E1085,0)))</x:f>
        <x:v>0</x:v>
      </x:c>
      <x:c r="BO1085">
        <x:f>MAX(0,MIN(99-BL1085,BO1084+IF(C1085="理智",E1085,0)))</x:f>
        <x:v>0</x:v>
      </x:c>
      <x:c r="BP1085">
        <x:f>MAX(0,MIN(99,BP1084+IF(C1085="崩溃点",E1085,0)))</x:f>
        <x:v>0</x:v>
      </x:c>
      <x:c r="BQ1085">
        <x:f>MAX(0,MIN(BK1085,IF(AND(H1085=1,C1085="重要关系1",LEFT('幕间与结算'!H992,8)="建立新的重要关系"),'幕间与结算'!E992+E1085,BQ1084+IF(C1085="重要关系1",E1085,0)+IF(AND(C1085="魅力",E1085&lt;0),E1085,0))))</x:f>
        <x:v>0</x:v>
      </x:c>
      <x:c r="BR1085">
        <x:f>MAX(0,MIN(BK1085,IF(AND(H1085=1,C1085="重要关系2",LEFT('幕间与结算'!H992,8)="建立新的重要关系"),'幕间与结算'!E992+E1085,BR1084+IF(C1085="重要关系2",E1085,0)+IF(AND(C1085="魅力",E1085&lt;0),E1085,0))))</x:f>
        <x:v>0</x:v>
      </x:c>
      <x:c r="BS1085">
        <x:f>MAX(0,MIN(BK1085,IF(AND(H1085=1,C1085="重要关系3",LEFT('幕间与结算'!H992,8)="建立新的重要关系"),'幕间与结算'!E992+E1085,BS1084+IF(C1085="重要关系3",E1085,0)+IF(AND(C1085="魅力",E1085&lt;0),E1085,0))))</x:f>
        <x:v>0</x:v>
      </x:c>
      <x:c r="BT1085">
        <x:f>MAX(0,MIN(BK1085,IF(AND(H1085=1,C1085="重要关系4",LEFT('幕间与结算'!H992,8)="建立新的重要关系"),'幕间与结算'!E992+E1085,BT1084+IF(C1085="重要关系4",E1085,0)+IF(AND(C1085="魅力",E1085&lt;0),E1085,0))))</x:f>
        <x:v>0</x:v>
      </x:c>
      <x:c r="BU1085">
        <x:f>MAX(0,MIN(BK1085,IF(AND(H1085=1,C1085="重要关系5",LEFT('幕间与结算'!H992,8)="建立新的重要关系"),'幕间与结算'!E992+E1085,BU1084+IF(C1085="重要关系5",E1085,0)+IF(AND(C1085="魅力",E1085&lt;0),E1085,0))))</x:f>
        <x:v>0</x:v>
      </x:c>
      <x:c r="BV1085">
        <x:f>MAX(0,MIN(BK1085,IF(AND(H1085=1,C1085="重要关系6",LEFT('幕间与结算'!H992,8)="建立新的重要关系"),'幕间与结算'!E992+E1085,BV1084+IF(C1085="重要关系6",E1085,0)+IF(AND(C1085="魅力",E1085&lt;0),E1085,0))))</x:f>
        <x:v>0</x:v>
      </x:c>
      <x:c r="BW1085">
        <x:f>MAX(0,MIN(BK1085,IF(AND(H1085=1,C1085="重要关系7",LEFT('幕间与结算'!H992,8)="建立新的重要关系"),'幕间与结算'!E992+E1085,BW1084+IF(C1085="重要关系7",E1085,0)+IF(AND(C1085="魅力",E1085&lt;0),E1085,0))))</x:f>
        <x:v>0</x:v>
      </x:c>
    </x:row>
    <x:row r="1086">
      <x:c r="A1086" t="str">
        <x:f>IFERROR(TEXT(VALUE('幕间与结算'!A993),"00"),"")</x:f>
        <x:v>00</x:v>
      </x:c>
      <x:c r="B1086">
        <x:f>'幕间与结算'!B993</x:f>
        <x:v>0</x:v>
      </x:c>
      <x:c r="C1086">
        <x:f>'幕间与结算'!D993</x:f>
        <x:v>0</x:v>
      </x:c>
      <x:c r="D1086">
        <x:f>'幕间与结算'!F993</x:f>
        <x:v>0</x:v>
      </x:c>
      <x:c r="E1086">
        <x:f>IF(H1086=1,MAX(-'幕间与结算'!E993,MIN(D1086,IF(LEFT(C1086,3)="技能：",99,IF(COUNTIF($L$2:$L$7,C1086)&gt;0,18,999))-'幕间与结算'!E993)),0)</x:f>
        <x:v>0</x:v>
      </x:c>
      <x:c r="F1086" t="str">
        <x:f>IF(C1086=0,"",IF(G1086=0,"记录不完整",IF(H1086=0,"重复未计","已计入")))</x:f>
        <x:v/>
      </x:c>
      <x:c r="G1086">
        <x:f>IF(AND(AND('幕间与结算'!A993&lt;&gt;"",'幕间与结算'!B993&lt;&gt;"",'幕间与结算'!I993&lt;&gt;"",OR(LEFT(C1086,3)="技能：",COUNTIF($L$2:$L$19,C1086)&gt;0),ISNUMBER('幕间与结算'!E993),ISNUMBER('幕间与结算'!F993),ISNUMBER('幕间与结算'!G993),'幕间与结算'!E993&gt;=0,'幕间与结算'!G993='幕间与结算'!E993+'幕间与结算'!F993),OR(B1086&lt;&gt;"成长",AND(LEFT(C1086,3)="技能：",C1086&lt;&gt;"技能：非自然知识",'幕间与结算'!E993&gt;=1,'幕间与结算'!E993&lt;=99,'幕间与结算'!F993&gt;=0,'幕间与结算'!F993&lt;=4,'幕间与结算'!G993&lt;=99))),1,0)</x:f>
        <x:v>0</x:v>
      </x:c>
      <x:c r="H1086">
        <x:f>IF(AND(G1086=1,COUNTIFS($I$200:I1086,I1086,$G$200:G1086,1)=1),1,0)</x:f>
        <x:v>0</x:v>
      </x:c>
      <x:c r="I1086" t="str">
        <x:f>IF(G1086=1,IF(B1086="成长",A1086&amp;"-成长-"&amp;C1086,'幕间与结算'!I993),"")</x:f>
        <x:v/>
      </x:c>
      <x:c r="BF1086">
        <x:f>MAX(0,MIN(18,BF1085+IF(C1086="力量",E1086,0)))</x:f>
        <x:v>0</x:v>
      </x:c>
      <x:c r="BG1086">
        <x:f>MAX(0,MIN(18,BG1085+IF(C1086="体质",E1086,0)))</x:f>
        <x:v>0</x:v>
      </x:c>
      <x:c r="BH1086">
        <x:f>MAX(0,MIN(18,BH1085+IF(C1086="敏捷",E1086,0)))</x:f>
        <x:v>0</x:v>
      </x:c>
      <x:c r="BI1086">
        <x:f>MAX(0,MIN(18,BI1085+IF(C1086="智力",E1086,0)))</x:f>
        <x:v>0</x:v>
      </x:c>
      <x:c r="BJ1086">
        <x:f>MAX(0,MIN(18,BJ1085+IF(C1086="意志",E1086,0)))</x:f>
        <x:v>0</x:v>
      </x:c>
      <x:c r="BK1086">
        <x:f>MAX(0,MIN(18,BK1085+IF(C1086="魅力",E1086,0)))</x:f>
        <x:v>0</x:v>
      </x:c>
      <x:c r="BL1086">
        <x:f>MAX(0,MIN(99,BL1085+IF(C1086="技能：非自然知识",E1086,0)))</x:f>
        <x:v>0</x:v>
      </x:c>
      <x:c r="BM1086">
        <x:f>MAX(0,MIN(CEILING((BF1086+BG1086)/2,1),BM1085+IF(C1086="体力",E1086,0)))</x:f>
        <x:v>0</x:v>
      </x:c>
      <x:c r="BN1086">
        <x:f>MAX(0,MIN(BJ1086,BN1085+IF(C1086="毅力",E1086,0)))</x:f>
        <x:v>0</x:v>
      </x:c>
      <x:c r="BO1086">
        <x:f>MAX(0,MIN(99-BL1086,BO1085+IF(C1086="理智",E1086,0)))</x:f>
        <x:v>0</x:v>
      </x:c>
      <x:c r="BP1086">
        <x:f>MAX(0,MIN(99,BP1085+IF(C1086="崩溃点",E1086,0)))</x:f>
        <x:v>0</x:v>
      </x:c>
      <x:c r="BQ1086">
        <x:f>MAX(0,MIN(BK1086,IF(AND(H1086=1,C1086="重要关系1",LEFT('幕间与结算'!H993,8)="建立新的重要关系"),'幕间与结算'!E993+E1086,BQ1085+IF(C1086="重要关系1",E1086,0)+IF(AND(C1086="魅力",E1086&lt;0),E1086,0))))</x:f>
        <x:v>0</x:v>
      </x:c>
      <x:c r="BR1086">
        <x:f>MAX(0,MIN(BK1086,IF(AND(H1086=1,C1086="重要关系2",LEFT('幕间与结算'!H993,8)="建立新的重要关系"),'幕间与结算'!E993+E1086,BR1085+IF(C1086="重要关系2",E1086,0)+IF(AND(C1086="魅力",E1086&lt;0),E1086,0))))</x:f>
        <x:v>0</x:v>
      </x:c>
      <x:c r="BS1086">
        <x:f>MAX(0,MIN(BK1086,IF(AND(H1086=1,C1086="重要关系3",LEFT('幕间与结算'!H993,8)="建立新的重要关系"),'幕间与结算'!E993+E1086,BS1085+IF(C1086="重要关系3",E1086,0)+IF(AND(C1086="魅力",E1086&lt;0),E1086,0))))</x:f>
        <x:v>0</x:v>
      </x:c>
      <x:c r="BT1086">
        <x:f>MAX(0,MIN(BK1086,IF(AND(H1086=1,C1086="重要关系4",LEFT('幕间与结算'!H993,8)="建立新的重要关系"),'幕间与结算'!E993+E1086,BT1085+IF(C1086="重要关系4",E1086,0)+IF(AND(C1086="魅力",E1086&lt;0),E1086,0))))</x:f>
        <x:v>0</x:v>
      </x:c>
      <x:c r="BU1086">
        <x:f>MAX(0,MIN(BK1086,IF(AND(H1086=1,C1086="重要关系5",LEFT('幕间与结算'!H993,8)="建立新的重要关系"),'幕间与结算'!E993+E1086,BU1085+IF(C1086="重要关系5",E1086,0)+IF(AND(C1086="魅力",E1086&lt;0),E1086,0))))</x:f>
        <x:v>0</x:v>
      </x:c>
      <x:c r="BV1086">
        <x:f>MAX(0,MIN(BK1086,IF(AND(H1086=1,C1086="重要关系6",LEFT('幕间与结算'!H993,8)="建立新的重要关系"),'幕间与结算'!E993+E1086,BV1085+IF(C1086="重要关系6",E1086,0)+IF(AND(C1086="魅力",E1086&lt;0),E1086,0))))</x:f>
        <x:v>0</x:v>
      </x:c>
      <x:c r="BW1086">
        <x:f>MAX(0,MIN(BK1086,IF(AND(H1086=1,C1086="重要关系7",LEFT('幕间与结算'!H993,8)="建立新的重要关系"),'幕间与结算'!E993+E1086,BW1085+IF(C1086="重要关系7",E1086,0)+IF(AND(C1086="魅力",E1086&lt;0),E1086,0))))</x:f>
        <x:v>0</x:v>
      </x:c>
    </x:row>
    <x:row r="1087">
      <x:c r="A1087" t="str">
        <x:f>IFERROR(TEXT(VALUE('幕间与结算'!A994),"00"),"")</x:f>
        <x:v>00</x:v>
      </x:c>
      <x:c r="B1087">
        <x:f>'幕间与结算'!B994</x:f>
        <x:v>0</x:v>
      </x:c>
      <x:c r="C1087">
        <x:f>'幕间与结算'!D994</x:f>
        <x:v>0</x:v>
      </x:c>
      <x:c r="D1087">
        <x:f>'幕间与结算'!F994</x:f>
        <x:v>0</x:v>
      </x:c>
      <x:c r="E1087">
        <x:f>IF(H1087=1,MAX(-'幕间与结算'!E994,MIN(D1087,IF(LEFT(C1087,3)="技能：",99,IF(COUNTIF($L$2:$L$7,C1087)&gt;0,18,999))-'幕间与结算'!E994)),0)</x:f>
        <x:v>0</x:v>
      </x:c>
      <x:c r="F1087" t="str">
        <x:f>IF(C1087=0,"",IF(G1087=0,"记录不完整",IF(H1087=0,"重复未计","已计入")))</x:f>
        <x:v/>
      </x:c>
      <x:c r="G1087">
        <x:f>IF(AND(AND('幕间与结算'!A994&lt;&gt;"",'幕间与结算'!B994&lt;&gt;"",'幕间与结算'!I994&lt;&gt;"",OR(LEFT(C1087,3)="技能：",COUNTIF($L$2:$L$19,C1087)&gt;0),ISNUMBER('幕间与结算'!E994),ISNUMBER('幕间与结算'!F994),ISNUMBER('幕间与结算'!G994),'幕间与结算'!E994&gt;=0,'幕间与结算'!G994='幕间与结算'!E994+'幕间与结算'!F994),OR(B1087&lt;&gt;"成长",AND(LEFT(C1087,3)="技能：",C1087&lt;&gt;"技能：非自然知识",'幕间与结算'!E994&gt;=1,'幕间与结算'!E994&lt;=99,'幕间与结算'!F994&gt;=0,'幕间与结算'!F994&lt;=4,'幕间与结算'!G994&lt;=99))),1,0)</x:f>
        <x:v>0</x:v>
      </x:c>
      <x:c r="H1087">
        <x:f>IF(AND(G1087=1,COUNTIFS($I$200:I1087,I1087,$G$200:G1087,1)=1),1,0)</x:f>
        <x:v>0</x:v>
      </x:c>
      <x:c r="I1087" t="str">
        <x:f>IF(G1087=1,IF(B1087="成长",A1087&amp;"-成长-"&amp;C1087,'幕间与结算'!I994),"")</x:f>
        <x:v/>
      </x:c>
      <x:c r="BF1087">
        <x:f>MAX(0,MIN(18,BF1086+IF(C1087="力量",E1087,0)))</x:f>
        <x:v>0</x:v>
      </x:c>
      <x:c r="BG1087">
        <x:f>MAX(0,MIN(18,BG1086+IF(C1087="体质",E1087,0)))</x:f>
        <x:v>0</x:v>
      </x:c>
      <x:c r="BH1087">
        <x:f>MAX(0,MIN(18,BH1086+IF(C1087="敏捷",E1087,0)))</x:f>
        <x:v>0</x:v>
      </x:c>
      <x:c r="BI1087">
        <x:f>MAX(0,MIN(18,BI1086+IF(C1087="智力",E1087,0)))</x:f>
        <x:v>0</x:v>
      </x:c>
      <x:c r="BJ1087">
        <x:f>MAX(0,MIN(18,BJ1086+IF(C1087="意志",E1087,0)))</x:f>
        <x:v>0</x:v>
      </x:c>
      <x:c r="BK1087">
        <x:f>MAX(0,MIN(18,BK1086+IF(C1087="魅力",E1087,0)))</x:f>
        <x:v>0</x:v>
      </x:c>
      <x:c r="BL1087">
        <x:f>MAX(0,MIN(99,BL1086+IF(C1087="技能：非自然知识",E1087,0)))</x:f>
        <x:v>0</x:v>
      </x:c>
      <x:c r="BM1087">
        <x:f>MAX(0,MIN(CEILING((BF1087+BG1087)/2,1),BM1086+IF(C1087="体力",E1087,0)))</x:f>
        <x:v>0</x:v>
      </x:c>
      <x:c r="BN1087">
        <x:f>MAX(0,MIN(BJ1087,BN1086+IF(C1087="毅力",E1087,0)))</x:f>
        <x:v>0</x:v>
      </x:c>
      <x:c r="BO1087">
        <x:f>MAX(0,MIN(99-BL1087,BO1086+IF(C1087="理智",E1087,0)))</x:f>
        <x:v>0</x:v>
      </x:c>
      <x:c r="BP1087">
        <x:f>MAX(0,MIN(99,BP1086+IF(C1087="崩溃点",E1087,0)))</x:f>
        <x:v>0</x:v>
      </x:c>
      <x:c r="BQ1087">
        <x:f>MAX(0,MIN(BK1087,IF(AND(H1087=1,C1087="重要关系1",LEFT('幕间与结算'!H994,8)="建立新的重要关系"),'幕间与结算'!E994+E1087,BQ1086+IF(C1087="重要关系1",E1087,0)+IF(AND(C1087="魅力",E1087&lt;0),E1087,0))))</x:f>
        <x:v>0</x:v>
      </x:c>
      <x:c r="BR1087">
        <x:f>MAX(0,MIN(BK1087,IF(AND(H1087=1,C1087="重要关系2",LEFT('幕间与结算'!H994,8)="建立新的重要关系"),'幕间与结算'!E994+E1087,BR1086+IF(C1087="重要关系2",E1087,0)+IF(AND(C1087="魅力",E1087&lt;0),E1087,0))))</x:f>
        <x:v>0</x:v>
      </x:c>
      <x:c r="BS1087">
        <x:f>MAX(0,MIN(BK1087,IF(AND(H1087=1,C1087="重要关系3",LEFT('幕间与结算'!H994,8)="建立新的重要关系"),'幕间与结算'!E994+E1087,BS1086+IF(C1087="重要关系3",E1087,0)+IF(AND(C1087="魅力",E1087&lt;0),E1087,0))))</x:f>
        <x:v>0</x:v>
      </x:c>
      <x:c r="BT1087">
        <x:f>MAX(0,MIN(BK1087,IF(AND(H1087=1,C1087="重要关系4",LEFT('幕间与结算'!H994,8)="建立新的重要关系"),'幕间与结算'!E994+E1087,BT1086+IF(C1087="重要关系4",E1087,0)+IF(AND(C1087="魅力",E1087&lt;0),E1087,0))))</x:f>
        <x:v>0</x:v>
      </x:c>
      <x:c r="BU1087">
        <x:f>MAX(0,MIN(BK1087,IF(AND(H1087=1,C1087="重要关系5",LEFT('幕间与结算'!H994,8)="建立新的重要关系"),'幕间与结算'!E994+E1087,BU1086+IF(C1087="重要关系5",E1087,0)+IF(AND(C1087="魅力",E1087&lt;0),E1087,0))))</x:f>
        <x:v>0</x:v>
      </x:c>
      <x:c r="BV1087">
        <x:f>MAX(0,MIN(BK1087,IF(AND(H1087=1,C1087="重要关系6",LEFT('幕间与结算'!H994,8)="建立新的重要关系"),'幕间与结算'!E994+E1087,BV1086+IF(C1087="重要关系6",E1087,0)+IF(AND(C1087="魅力",E1087&lt;0),E1087,0))))</x:f>
        <x:v>0</x:v>
      </x:c>
      <x:c r="BW1087">
        <x:f>MAX(0,MIN(BK1087,IF(AND(H1087=1,C1087="重要关系7",LEFT('幕间与结算'!H994,8)="建立新的重要关系"),'幕间与结算'!E994+E1087,BW1086+IF(C1087="重要关系7",E1087,0)+IF(AND(C1087="魅力",E1087&lt;0),E1087,0))))</x:f>
        <x:v>0</x:v>
      </x:c>
    </x:row>
    <x:row r="1088">
      <x:c r="A1088" t="str">
        <x:f>IFERROR(TEXT(VALUE('幕间与结算'!A995),"00"),"")</x:f>
        <x:v>00</x:v>
      </x:c>
      <x:c r="B1088">
        <x:f>'幕间与结算'!B995</x:f>
        <x:v>0</x:v>
      </x:c>
      <x:c r="C1088">
        <x:f>'幕间与结算'!D995</x:f>
        <x:v>0</x:v>
      </x:c>
      <x:c r="D1088">
        <x:f>'幕间与结算'!F995</x:f>
        <x:v>0</x:v>
      </x:c>
      <x:c r="E1088">
        <x:f>IF(H1088=1,MAX(-'幕间与结算'!E995,MIN(D1088,IF(LEFT(C1088,3)="技能：",99,IF(COUNTIF($L$2:$L$7,C1088)&gt;0,18,999))-'幕间与结算'!E995)),0)</x:f>
        <x:v>0</x:v>
      </x:c>
      <x:c r="F1088" t="str">
        <x:f>IF(C1088=0,"",IF(G1088=0,"记录不完整",IF(H1088=0,"重复未计","已计入")))</x:f>
        <x:v/>
      </x:c>
      <x:c r="G1088">
        <x:f>IF(AND(AND('幕间与结算'!A995&lt;&gt;"",'幕间与结算'!B995&lt;&gt;"",'幕间与结算'!I995&lt;&gt;"",OR(LEFT(C1088,3)="技能：",COUNTIF($L$2:$L$19,C1088)&gt;0),ISNUMBER('幕间与结算'!E995),ISNUMBER('幕间与结算'!F995),ISNUMBER('幕间与结算'!G995),'幕间与结算'!E995&gt;=0,'幕间与结算'!G995='幕间与结算'!E995+'幕间与结算'!F995),OR(B1088&lt;&gt;"成长",AND(LEFT(C1088,3)="技能：",C1088&lt;&gt;"技能：非自然知识",'幕间与结算'!E995&gt;=1,'幕间与结算'!E995&lt;=99,'幕间与结算'!F995&gt;=0,'幕间与结算'!F995&lt;=4,'幕间与结算'!G995&lt;=99))),1,0)</x:f>
        <x:v>0</x:v>
      </x:c>
      <x:c r="H1088">
        <x:f>IF(AND(G1088=1,COUNTIFS($I$200:I1088,I1088,$G$200:G1088,1)=1),1,0)</x:f>
        <x:v>0</x:v>
      </x:c>
      <x:c r="I1088" t="str">
        <x:f>IF(G1088=1,IF(B1088="成长",A1088&amp;"-成长-"&amp;C1088,'幕间与结算'!I995),"")</x:f>
        <x:v/>
      </x:c>
      <x:c r="BF1088">
        <x:f>MAX(0,MIN(18,BF1087+IF(C1088="力量",E1088,0)))</x:f>
        <x:v>0</x:v>
      </x:c>
      <x:c r="BG1088">
        <x:f>MAX(0,MIN(18,BG1087+IF(C1088="体质",E1088,0)))</x:f>
        <x:v>0</x:v>
      </x:c>
      <x:c r="BH1088">
        <x:f>MAX(0,MIN(18,BH1087+IF(C1088="敏捷",E1088,0)))</x:f>
        <x:v>0</x:v>
      </x:c>
      <x:c r="BI1088">
        <x:f>MAX(0,MIN(18,BI1087+IF(C1088="智力",E1088,0)))</x:f>
        <x:v>0</x:v>
      </x:c>
      <x:c r="BJ1088">
        <x:f>MAX(0,MIN(18,BJ1087+IF(C1088="意志",E1088,0)))</x:f>
        <x:v>0</x:v>
      </x:c>
      <x:c r="BK1088">
        <x:f>MAX(0,MIN(18,BK1087+IF(C1088="魅力",E1088,0)))</x:f>
        <x:v>0</x:v>
      </x:c>
      <x:c r="BL1088">
        <x:f>MAX(0,MIN(99,BL1087+IF(C1088="技能：非自然知识",E1088,0)))</x:f>
        <x:v>0</x:v>
      </x:c>
      <x:c r="BM1088">
        <x:f>MAX(0,MIN(CEILING((BF1088+BG1088)/2,1),BM1087+IF(C1088="体力",E1088,0)))</x:f>
        <x:v>0</x:v>
      </x:c>
      <x:c r="BN1088">
        <x:f>MAX(0,MIN(BJ1088,BN1087+IF(C1088="毅力",E1088,0)))</x:f>
        <x:v>0</x:v>
      </x:c>
      <x:c r="BO1088">
        <x:f>MAX(0,MIN(99-BL1088,BO1087+IF(C1088="理智",E1088,0)))</x:f>
        <x:v>0</x:v>
      </x:c>
      <x:c r="BP1088">
        <x:f>MAX(0,MIN(99,BP1087+IF(C1088="崩溃点",E1088,0)))</x:f>
        <x:v>0</x:v>
      </x:c>
      <x:c r="BQ1088">
        <x:f>MAX(0,MIN(BK1088,IF(AND(H1088=1,C1088="重要关系1",LEFT('幕间与结算'!H995,8)="建立新的重要关系"),'幕间与结算'!E995+E1088,BQ1087+IF(C1088="重要关系1",E1088,0)+IF(AND(C1088="魅力",E1088&lt;0),E1088,0))))</x:f>
        <x:v>0</x:v>
      </x:c>
      <x:c r="BR1088">
        <x:f>MAX(0,MIN(BK1088,IF(AND(H1088=1,C1088="重要关系2",LEFT('幕间与结算'!H995,8)="建立新的重要关系"),'幕间与结算'!E995+E1088,BR1087+IF(C1088="重要关系2",E1088,0)+IF(AND(C1088="魅力",E1088&lt;0),E1088,0))))</x:f>
        <x:v>0</x:v>
      </x:c>
      <x:c r="BS1088">
        <x:f>MAX(0,MIN(BK1088,IF(AND(H1088=1,C1088="重要关系3",LEFT('幕间与结算'!H995,8)="建立新的重要关系"),'幕间与结算'!E995+E1088,BS1087+IF(C1088="重要关系3",E1088,0)+IF(AND(C1088="魅力",E1088&lt;0),E1088,0))))</x:f>
        <x:v>0</x:v>
      </x:c>
      <x:c r="BT1088">
        <x:f>MAX(0,MIN(BK1088,IF(AND(H1088=1,C1088="重要关系4",LEFT('幕间与结算'!H995,8)="建立新的重要关系"),'幕间与结算'!E995+E1088,BT1087+IF(C1088="重要关系4",E1088,0)+IF(AND(C1088="魅力",E1088&lt;0),E1088,0))))</x:f>
        <x:v>0</x:v>
      </x:c>
      <x:c r="BU1088">
        <x:f>MAX(0,MIN(BK1088,IF(AND(H1088=1,C1088="重要关系5",LEFT('幕间与结算'!H995,8)="建立新的重要关系"),'幕间与结算'!E995+E1088,BU1087+IF(C1088="重要关系5",E1088,0)+IF(AND(C1088="魅力",E1088&lt;0),E1088,0))))</x:f>
        <x:v>0</x:v>
      </x:c>
      <x:c r="BV1088">
        <x:f>MAX(0,MIN(BK1088,IF(AND(H1088=1,C1088="重要关系6",LEFT('幕间与结算'!H995,8)="建立新的重要关系"),'幕间与结算'!E995+E1088,BV1087+IF(C1088="重要关系6",E1088,0)+IF(AND(C1088="魅力",E1088&lt;0),E1088,0))))</x:f>
        <x:v>0</x:v>
      </x:c>
      <x:c r="BW1088">
        <x:f>MAX(0,MIN(BK1088,IF(AND(H1088=1,C1088="重要关系7",LEFT('幕间与结算'!H995,8)="建立新的重要关系"),'幕间与结算'!E995+E1088,BW1087+IF(C1088="重要关系7",E1088,0)+IF(AND(C1088="魅力",E1088&lt;0),E1088,0))))</x:f>
        <x:v>0</x:v>
      </x:c>
    </x:row>
    <x:row r="1089">
      <x:c r="A1089" t="str">
        <x:f>IFERROR(TEXT(VALUE('幕间与结算'!A996),"00"),"")</x:f>
        <x:v>00</x:v>
      </x:c>
      <x:c r="B1089">
        <x:f>'幕间与结算'!B996</x:f>
        <x:v>0</x:v>
      </x:c>
      <x:c r="C1089">
        <x:f>'幕间与结算'!D996</x:f>
        <x:v>0</x:v>
      </x:c>
      <x:c r="D1089">
        <x:f>'幕间与结算'!F996</x:f>
        <x:v>0</x:v>
      </x:c>
      <x:c r="E1089">
        <x:f>IF(H1089=1,MAX(-'幕间与结算'!E996,MIN(D1089,IF(LEFT(C1089,3)="技能：",99,IF(COUNTIF($L$2:$L$7,C1089)&gt;0,18,999))-'幕间与结算'!E996)),0)</x:f>
        <x:v>0</x:v>
      </x:c>
      <x:c r="F1089" t="str">
        <x:f>IF(C1089=0,"",IF(G1089=0,"记录不完整",IF(H1089=0,"重复未计","已计入")))</x:f>
        <x:v/>
      </x:c>
      <x:c r="G1089">
        <x:f>IF(AND(AND('幕间与结算'!A996&lt;&gt;"",'幕间与结算'!B996&lt;&gt;"",'幕间与结算'!I996&lt;&gt;"",OR(LEFT(C1089,3)="技能：",COUNTIF($L$2:$L$19,C1089)&gt;0),ISNUMBER('幕间与结算'!E996),ISNUMBER('幕间与结算'!F996),ISNUMBER('幕间与结算'!G996),'幕间与结算'!E996&gt;=0,'幕间与结算'!G996='幕间与结算'!E996+'幕间与结算'!F996),OR(B1089&lt;&gt;"成长",AND(LEFT(C1089,3)="技能：",C1089&lt;&gt;"技能：非自然知识",'幕间与结算'!E996&gt;=1,'幕间与结算'!E996&lt;=99,'幕间与结算'!F996&gt;=0,'幕间与结算'!F996&lt;=4,'幕间与结算'!G996&lt;=99))),1,0)</x:f>
        <x:v>0</x:v>
      </x:c>
      <x:c r="H1089">
        <x:f>IF(AND(G1089=1,COUNTIFS($I$200:I1089,I1089,$G$200:G1089,1)=1),1,0)</x:f>
        <x:v>0</x:v>
      </x:c>
      <x:c r="I1089" t="str">
        <x:f>IF(G1089=1,IF(B1089="成长",A1089&amp;"-成长-"&amp;C1089,'幕间与结算'!I996),"")</x:f>
        <x:v/>
      </x:c>
      <x:c r="BF1089">
        <x:f>MAX(0,MIN(18,BF1088+IF(C1089="力量",E1089,0)))</x:f>
        <x:v>0</x:v>
      </x:c>
      <x:c r="BG1089">
        <x:f>MAX(0,MIN(18,BG1088+IF(C1089="体质",E1089,0)))</x:f>
        <x:v>0</x:v>
      </x:c>
      <x:c r="BH1089">
        <x:f>MAX(0,MIN(18,BH1088+IF(C1089="敏捷",E1089,0)))</x:f>
        <x:v>0</x:v>
      </x:c>
      <x:c r="BI1089">
        <x:f>MAX(0,MIN(18,BI1088+IF(C1089="智力",E1089,0)))</x:f>
        <x:v>0</x:v>
      </x:c>
      <x:c r="BJ1089">
        <x:f>MAX(0,MIN(18,BJ1088+IF(C1089="意志",E1089,0)))</x:f>
        <x:v>0</x:v>
      </x:c>
      <x:c r="BK1089">
        <x:f>MAX(0,MIN(18,BK1088+IF(C1089="魅力",E1089,0)))</x:f>
        <x:v>0</x:v>
      </x:c>
      <x:c r="BL1089">
        <x:f>MAX(0,MIN(99,BL1088+IF(C1089="技能：非自然知识",E1089,0)))</x:f>
        <x:v>0</x:v>
      </x:c>
      <x:c r="BM1089">
        <x:f>MAX(0,MIN(CEILING((BF1089+BG1089)/2,1),BM1088+IF(C1089="体力",E1089,0)))</x:f>
        <x:v>0</x:v>
      </x:c>
      <x:c r="BN1089">
        <x:f>MAX(0,MIN(BJ1089,BN1088+IF(C1089="毅力",E1089,0)))</x:f>
        <x:v>0</x:v>
      </x:c>
      <x:c r="BO1089">
        <x:f>MAX(0,MIN(99-BL1089,BO1088+IF(C1089="理智",E1089,0)))</x:f>
        <x:v>0</x:v>
      </x:c>
      <x:c r="BP1089">
        <x:f>MAX(0,MIN(99,BP1088+IF(C1089="崩溃点",E1089,0)))</x:f>
        <x:v>0</x:v>
      </x:c>
      <x:c r="BQ1089">
        <x:f>MAX(0,MIN(BK1089,IF(AND(H1089=1,C1089="重要关系1",LEFT('幕间与结算'!H996,8)="建立新的重要关系"),'幕间与结算'!E996+E1089,BQ1088+IF(C1089="重要关系1",E1089,0)+IF(AND(C1089="魅力",E1089&lt;0),E1089,0))))</x:f>
        <x:v>0</x:v>
      </x:c>
      <x:c r="BR1089">
        <x:f>MAX(0,MIN(BK1089,IF(AND(H1089=1,C1089="重要关系2",LEFT('幕间与结算'!H996,8)="建立新的重要关系"),'幕间与结算'!E996+E1089,BR1088+IF(C1089="重要关系2",E1089,0)+IF(AND(C1089="魅力",E1089&lt;0),E1089,0))))</x:f>
        <x:v>0</x:v>
      </x:c>
      <x:c r="BS1089">
        <x:f>MAX(0,MIN(BK1089,IF(AND(H1089=1,C1089="重要关系3",LEFT('幕间与结算'!H996,8)="建立新的重要关系"),'幕间与结算'!E996+E1089,BS1088+IF(C1089="重要关系3",E1089,0)+IF(AND(C1089="魅力",E1089&lt;0),E1089,0))))</x:f>
        <x:v>0</x:v>
      </x:c>
      <x:c r="BT1089">
        <x:f>MAX(0,MIN(BK1089,IF(AND(H1089=1,C1089="重要关系4",LEFT('幕间与结算'!H996,8)="建立新的重要关系"),'幕间与结算'!E996+E1089,BT1088+IF(C1089="重要关系4",E1089,0)+IF(AND(C1089="魅力",E1089&lt;0),E1089,0))))</x:f>
        <x:v>0</x:v>
      </x:c>
      <x:c r="BU1089">
        <x:f>MAX(0,MIN(BK1089,IF(AND(H1089=1,C1089="重要关系5",LEFT('幕间与结算'!H996,8)="建立新的重要关系"),'幕间与结算'!E996+E1089,BU1088+IF(C1089="重要关系5",E1089,0)+IF(AND(C1089="魅力",E1089&lt;0),E1089,0))))</x:f>
        <x:v>0</x:v>
      </x:c>
      <x:c r="BV1089">
        <x:f>MAX(0,MIN(BK1089,IF(AND(H1089=1,C1089="重要关系6",LEFT('幕间与结算'!H996,8)="建立新的重要关系"),'幕间与结算'!E996+E1089,BV1088+IF(C1089="重要关系6",E1089,0)+IF(AND(C1089="魅力",E1089&lt;0),E1089,0))))</x:f>
        <x:v>0</x:v>
      </x:c>
      <x:c r="BW1089">
        <x:f>MAX(0,MIN(BK1089,IF(AND(H1089=1,C1089="重要关系7",LEFT('幕间与结算'!H996,8)="建立新的重要关系"),'幕间与结算'!E996+E1089,BW1088+IF(C1089="重要关系7",E1089,0)+IF(AND(C1089="魅力",E1089&lt;0),E1089,0))))</x:f>
        <x:v>0</x:v>
      </x:c>
    </x:row>
    <x:row r="1090">
      <x:c r="A1090" t="str">
        <x:f>IFERROR(TEXT(VALUE('幕间与结算'!A997),"00"),"")</x:f>
        <x:v>00</x:v>
      </x:c>
      <x:c r="B1090">
        <x:f>'幕间与结算'!B997</x:f>
        <x:v>0</x:v>
      </x:c>
      <x:c r="C1090">
        <x:f>'幕间与结算'!D997</x:f>
        <x:v>0</x:v>
      </x:c>
      <x:c r="D1090">
        <x:f>'幕间与结算'!F997</x:f>
        <x:v>0</x:v>
      </x:c>
      <x:c r="E1090">
        <x:f>IF(H1090=1,MAX(-'幕间与结算'!E997,MIN(D1090,IF(LEFT(C1090,3)="技能：",99,IF(COUNTIF($L$2:$L$7,C1090)&gt;0,18,999))-'幕间与结算'!E997)),0)</x:f>
        <x:v>0</x:v>
      </x:c>
      <x:c r="F1090" t="str">
        <x:f>IF(C1090=0,"",IF(G1090=0,"记录不完整",IF(H1090=0,"重复未计","已计入")))</x:f>
        <x:v/>
      </x:c>
      <x:c r="G1090">
        <x:f>IF(AND(AND('幕间与结算'!A997&lt;&gt;"",'幕间与结算'!B997&lt;&gt;"",'幕间与结算'!I997&lt;&gt;"",OR(LEFT(C1090,3)="技能：",COUNTIF($L$2:$L$19,C1090)&gt;0),ISNUMBER('幕间与结算'!E997),ISNUMBER('幕间与结算'!F997),ISNUMBER('幕间与结算'!G997),'幕间与结算'!E997&gt;=0,'幕间与结算'!G997='幕间与结算'!E997+'幕间与结算'!F997),OR(B1090&lt;&gt;"成长",AND(LEFT(C1090,3)="技能：",C1090&lt;&gt;"技能：非自然知识",'幕间与结算'!E997&gt;=1,'幕间与结算'!E997&lt;=99,'幕间与结算'!F997&gt;=0,'幕间与结算'!F997&lt;=4,'幕间与结算'!G997&lt;=99))),1,0)</x:f>
        <x:v>0</x:v>
      </x:c>
      <x:c r="H1090">
        <x:f>IF(AND(G1090=1,COUNTIFS($I$200:I1090,I1090,$G$200:G1090,1)=1),1,0)</x:f>
        <x:v>0</x:v>
      </x:c>
      <x:c r="I1090" t="str">
        <x:f>IF(G1090=1,IF(B1090="成长",A1090&amp;"-成长-"&amp;C1090,'幕间与结算'!I997),"")</x:f>
        <x:v/>
      </x:c>
      <x:c r="BF1090">
        <x:f>MAX(0,MIN(18,BF1089+IF(C1090="力量",E1090,0)))</x:f>
        <x:v>0</x:v>
      </x:c>
      <x:c r="BG1090">
        <x:f>MAX(0,MIN(18,BG1089+IF(C1090="体质",E1090,0)))</x:f>
        <x:v>0</x:v>
      </x:c>
      <x:c r="BH1090">
        <x:f>MAX(0,MIN(18,BH1089+IF(C1090="敏捷",E1090,0)))</x:f>
        <x:v>0</x:v>
      </x:c>
      <x:c r="BI1090">
        <x:f>MAX(0,MIN(18,BI1089+IF(C1090="智力",E1090,0)))</x:f>
        <x:v>0</x:v>
      </x:c>
      <x:c r="BJ1090">
        <x:f>MAX(0,MIN(18,BJ1089+IF(C1090="意志",E1090,0)))</x:f>
        <x:v>0</x:v>
      </x:c>
      <x:c r="BK1090">
        <x:f>MAX(0,MIN(18,BK1089+IF(C1090="魅力",E1090,0)))</x:f>
        <x:v>0</x:v>
      </x:c>
      <x:c r="BL1090">
        <x:f>MAX(0,MIN(99,BL1089+IF(C1090="技能：非自然知识",E1090,0)))</x:f>
        <x:v>0</x:v>
      </x:c>
      <x:c r="BM1090">
        <x:f>MAX(0,MIN(CEILING((BF1090+BG1090)/2,1),BM1089+IF(C1090="体力",E1090,0)))</x:f>
        <x:v>0</x:v>
      </x:c>
      <x:c r="BN1090">
        <x:f>MAX(0,MIN(BJ1090,BN1089+IF(C1090="毅力",E1090,0)))</x:f>
        <x:v>0</x:v>
      </x:c>
      <x:c r="BO1090">
        <x:f>MAX(0,MIN(99-BL1090,BO1089+IF(C1090="理智",E1090,0)))</x:f>
        <x:v>0</x:v>
      </x:c>
      <x:c r="BP1090">
        <x:f>MAX(0,MIN(99,BP1089+IF(C1090="崩溃点",E1090,0)))</x:f>
        <x:v>0</x:v>
      </x:c>
      <x:c r="BQ1090">
        <x:f>MAX(0,MIN(BK1090,IF(AND(H1090=1,C1090="重要关系1",LEFT('幕间与结算'!H997,8)="建立新的重要关系"),'幕间与结算'!E997+E1090,BQ1089+IF(C1090="重要关系1",E1090,0)+IF(AND(C1090="魅力",E1090&lt;0),E1090,0))))</x:f>
        <x:v>0</x:v>
      </x:c>
      <x:c r="BR1090">
        <x:f>MAX(0,MIN(BK1090,IF(AND(H1090=1,C1090="重要关系2",LEFT('幕间与结算'!H997,8)="建立新的重要关系"),'幕间与结算'!E997+E1090,BR1089+IF(C1090="重要关系2",E1090,0)+IF(AND(C1090="魅力",E1090&lt;0),E1090,0))))</x:f>
        <x:v>0</x:v>
      </x:c>
      <x:c r="BS1090">
        <x:f>MAX(0,MIN(BK1090,IF(AND(H1090=1,C1090="重要关系3",LEFT('幕间与结算'!H997,8)="建立新的重要关系"),'幕间与结算'!E997+E1090,BS1089+IF(C1090="重要关系3",E1090,0)+IF(AND(C1090="魅力",E1090&lt;0),E1090,0))))</x:f>
        <x:v>0</x:v>
      </x:c>
      <x:c r="BT1090">
        <x:f>MAX(0,MIN(BK1090,IF(AND(H1090=1,C1090="重要关系4",LEFT('幕间与结算'!H997,8)="建立新的重要关系"),'幕间与结算'!E997+E1090,BT1089+IF(C1090="重要关系4",E1090,0)+IF(AND(C1090="魅力",E1090&lt;0),E1090,0))))</x:f>
        <x:v>0</x:v>
      </x:c>
      <x:c r="BU1090">
        <x:f>MAX(0,MIN(BK1090,IF(AND(H1090=1,C1090="重要关系5",LEFT('幕间与结算'!H997,8)="建立新的重要关系"),'幕间与结算'!E997+E1090,BU1089+IF(C1090="重要关系5",E1090,0)+IF(AND(C1090="魅力",E1090&lt;0),E1090,0))))</x:f>
        <x:v>0</x:v>
      </x:c>
      <x:c r="BV1090">
        <x:f>MAX(0,MIN(BK1090,IF(AND(H1090=1,C1090="重要关系6",LEFT('幕间与结算'!H997,8)="建立新的重要关系"),'幕间与结算'!E997+E1090,BV1089+IF(C1090="重要关系6",E1090,0)+IF(AND(C1090="魅力",E1090&lt;0),E1090,0))))</x:f>
        <x:v>0</x:v>
      </x:c>
      <x:c r="BW1090">
        <x:f>MAX(0,MIN(BK1090,IF(AND(H1090=1,C1090="重要关系7",LEFT('幕间与结算'!H997,8)="建立新的重要关系"),'幕间与结算'!E997+E1090,BW1089+IF(C1090="重要关系7",E1090,0)+IF(AND(C1090="魅力",E1090&lt;0),E1090,0))))</x:f>
        <x:v>0</x:v>
      </x:c>
    </x:row>
    <x:row r="1091">
      <x:c r="A1091" t="str">
        <x:f>IFERROR(TEXT(VALUE('幕间与结算'!A998),"00"),"")</x:f>
        <x:v>00</x:v>
      </x:c>
      <x:c r="B1091">
        <x:f>'幕间与结算'!B998</x:f>
        <x:v>0</x:v>
      </x:c>
      <x:c r="C1091">
        <x:f>'幕间与结算'!D998</x:f>
        <x:v>0</x:v>
      </x:c>
      <x:c r="D1091">
        <x:f>'幕间与结算'!F998</x:f>
        <x:v>0</x:v>
      </x:c>
      <x:c r="E1091">
        <x:f>IF(H1091=1,MAX(-'幕间与结算'!E998,MIN(D1091,IF(LEFT(C1091,3)="技能：",99,IF(COUNTIF($L$2:$L$7,C1091)&gt;0,18,999))-'幕间与结算'!E998)),0)</x:f>
        <x:v>0</x:v>
      </x:c>
      <x:c r="F1091" t="str">
        <x:f>IF(C1091=0,"",IF(G1091=0,"记录不完整",IF(H1091=0,"重复未计","已计入")))</x:f>
        <x:v/>
      </x:c>
      <x:c r="G1091">
        <x:f>IF(AND(AND('幕间与结算'!A998&lt;&gt;"",'幕间与结算'!B998&lt;&gt;"",'幕间与结算'!I998&lt;&gt;"",OR(LEFT(C1091,3)="技能：",COUNTIF($L$2:$L$19,C1091)&gt;0),ISNUMBER('幕间与结算'!E998),ISNUMBER('幕间与结算'!F998),ISNUMBER('幕间与结算'!G998),'幕间与结算'!E998&gt;=0,'幕间与结算'!G998='幕间与结算'!E998+'幕间与结算'!F998),OR(B1091&lt;&gt;"成长",AND(LEFT(C1091,3)="技能：",C1091&lt;&gt;"技能：非自然知识",'幕间与结算'!E998&gt;=1,'幕间与结算'!E998&lt;=99,'幕间与结算'!F998&gt;=0,'幕间与结算'!F998&lt;=4,'幕间与结算'!G998&lt;=99))),1,0)</x:f>
        <x:v>0</x:v>
      </x:c>
      <x:c r="H1091">
        <x:f>IF(AND(G1091=1,COUNTIFS($I$200:I1091,I1091,$G$200:G1091,1)=1),1,0)</x:f>
        <x:v>0</x:v>
      </x:c>
      <x:c r="I1091" t="str">
        <x:f>IF(G1091=1,IF(B1091="成长",A1091&amp;"-成长-"&amp;C1091,'幕间与结算'!I998),"")</x:f>
        <x:v/>
      </x:c>
      <x:c r="BF1091">
        <x:f>MAX(0,MIN(18,BF1090+IF(C1091="力量",E1091,0)))</x:f>
        <x:v>0</x:v>
      </x:c>
      <x:c r="BG1091">
        <x:f>MAX(0,MIN(18,BG1090+IF(C1091="体质",E1091,0)))</x:f>
        <x:v>0</x:v>
      </x:c>
      <x:c r="BH1091">
        <x:f>MAX(0,MIN(18,BH1090+IF(C1091="敏捷",E1091,0)))</x:f>
        <x:v>0</x:v>
      </x:c>
      <x:c r="BI1091">
        <x:f>MAX(0,MIN(18,BI1090+IF(C1091="智力",E1091,0)))</x:f>
        <x:v>0</x:v>
      </x:c>
      <x:c r="BJ1091">
        <x:f>MAX(0,MIN(18,BJ1090+IF(C1091="意志",E1091,0)))</x:f>
        <x:v>0</x:v>
      </x:c>
      <x:c r="BK1091">
        <x:f>MAX(0,MIN(18,BK1090+IF(C1091="魅力",E1091,0)))</x:f>
        <x:v>0</x:v>
      </x:c>
      <x:c r="BL1091">
        <x:f>MAX(0,MIN(99,BL1090+IF(C1091="技能：非自然知识",E1091,0)))</x:f>
        <x:v>0</x:v>
      </x:c>
      <x:c r="BM1091">
        <x:f>MAX(0,MIN(CEILING((BF1091+BG1091)/2,1),BM1090+IF(C1091="体力",E1091,0)))</x:f>
        <x:v>0</x:v>
      </x:c>
      <x:c r="BN1091">
        <x:f>MAX(0,MIN(BJ1091,BN1090+IF(C1091="毅力",E1091,0)))</x:f>
        <x:v>0</x:v>
      </x:c>
      <x:c r="BO1091">
        <x:f>MAX(0,MIN(99-BL1091,BO1090+IF(C1091="理智",E1091,0)))</x:f>
        <x:v>0</x:v>
      </x:c>
      <x:c r="BP1091">
        <x:f>MAX(0,MIN(99,BP1090+IF(C1091="崩溃点",E1091,0)))</x:f>
        <x:v>0</x:v>
      </x:c>
      <x:c r="BQ1091">
        <x:f>MAX(0,MIN(BK1091,IF(AND(H1091=1,C1091="重要关系1",LEFT('幕间与结算'!H998,8)="建立新的重要关系"),'幕间与结算'!E998+E1091,BQ1090+IF(C1091="重要关系1",E1091,0)+IF(AND(C1091="魅力",E1091&lt;0),E1091,0))))</x:f>
        <x:v>0</x:v>
      </x:c>
      <x:c r="BR1091">
        <x:f>MAX(0,MIN(BK1091,IF(AND(H1091=1,C1091="重要关系2",LEFT('幕间与结算'!H998,8)="建立新的重要关系"),'幕间与结算'!E998+E1091,BR1090+IF(C1091="重要关系2",E1091,0)+IF(AND(C1091="魅力",E1091&lt;0),E1091,0))))</x:f>
        <x:v>0</x:v>
      </x:c>
      <x:c r="BS1091">
        <x:f>MAX(0,MIN(BK1091,IF(AND(H1091=1,C1091="重要关系3",LEFT('幕间与结算'!H998,8)="建立新的重要关系"),'幕间与结算'!E998+E1091,BS1090+IF(C1091="重要关系3",E1091,0)+IF(AND(C1091="魅力",E1091&lt;0),E1091,0))))</x:f>
        <x:v>0</x:v>
      </x:c>
      <x:c r="BT1091">
        <x:f>MAX(0,MIN(BK1091,IF(AND(H1091=1,C1091="重要关系4",LEFT('幕间与结算'!H998,8)="建立新的重要关系"),'幕间与结算'!E998+E1091,BT1090+IF(C1091="重要关系4",E1091,0)+IF(AND(C1091="魅力",E1091&lt;0),E1091,0))))</x:f>
        <x:v>0</x:v>
      </x:c>
      <x:c r="BU1091">
        <x:f>MAX(0,MIN(BK1091,IF(AND(H1091=1,C1091="重要关系5",LEFT('幕间与结算'!H998,8)="建立新的重要关系"),'幕间与结算'!E998+E1091,BU1090+IF(C1091="重要关系5",E1091,0)+IF(AND(C1091="魅力",E1091&lt;0),E1091,0))))</x:f>
        <x:v>0</x:v>
      </x:c>
      <x:c r="BV1091">
        <x:f>MAX(0,MIN(BK1091,IF(AND(H1091=1,C1091="重要关系6",LEFT('幕间与结算'!H998,8)="建立新的重要关系"),'幕间与结算'!E998+E1091,BV1090+IF(C1091="重要关系6",E1091,0)+IF(AND(C1091="魅力",E1091&lt;0),E1091,0))))</x:f>
        <x:v>0</x:v>
      </x:c>
      <x:c r="BW1091">
        <x:f>MAX(0,MIN(BK1091,IF(AND(H1091=1,C1091="重要关系7",LEFT('幕间与结算'!H998,8)="建立新的重要关系"),'幕间与结算'!E998+E1091,BW1090+IF(C1091="重要关系7",E1091,0)+IF(AND(C1091="魅力",E1091&lt;0),E1091,0))))</x:f>
        <x:v>0</x:v>
      </x:c>
    </x:row>
    <x:row r="1092">
      <x:c r="A1092" t="str">
        <x:f>IFERROR(TEXT(VALUE('幕间与结算'!A999),"00"),"")</x:f>
        <x:v>00</x:v>
      </x:c>
      <x:c r="B1092">
        <x:f>'幕间与结算'!B999</x:f>
        <x:v>0</x:v>
      </x:c>
      <x:c r="C1092">
        <x:f>'幕间与结算'!D999</x:f>
        <x:v>0</x:v>
      </x:c>
      <x:c r="D1092">
        <x:f>'幕间与结算'!F999</x:f>
        <x:v>0</x:v>
      </x:c>
      <x:c r="E1092">
        <x:f>IF(H1092=1,MAX(-'幕间与结算'!E999,MIN(D1092,IF(LEFT(C1092,3)="技能：",99,IF(COUNTIF($L$2:$L$7,C1092)&gt;0,18,999))-'幕间与结算'!E999)),0)</x:f>
        <x:v>0</x:v>
      </x:c>
      <x:c r="F1092" t="str">
        <x:f>IF(C1092=0,"",IF(G1092=0,"记录不完整",IF(H1092=0,"重复未计","已计入")))</x:f>
        <x:v/>
      </x:c>
      <x:c r="G1092">
        <x:f>IF(AND(AND('幕间与结算'!A999&lt;&gt;"",'幕间与结算'!B999&lt;&gt;"",'幕间与结算'!I999&lt;&gt;"",OR(LEFT(C1092,3)="技能：",COUNTIF($L$2:$L$19,C1092)&gt;0),ISNUMBER('幕间与结算'!E999),ISNUMBER('幕间与结算'!F999),ISNUMBER('幕间与结算'!G999),'幕间与结算'!E999&gt;=0,'幕间与结算'!G999='幕间与结算'!E999+'幕间与结算'!F999),OR(B1092&lt;&gt;"成长",AND(LEFT(C1092,3)="技能：",C1092&lt;&gt;"技能：非自然知识",'幕间与结算'!E999&gt;=1,'幕间与结算'!E999&lt;=99,'幕间与结算'!F999&gt;=0,'幕间与结算'!F999&lt;=4,'幕间与结算'!G999&lt;=99))),1,0)</x:f>
        <x:v>0</x:v>
      </x:c>
      <x:c r="H1092">
        <x:f>IF(AND(G1092=1,COUNTIFS($I$200:I1092,I1092,$G$200:G1092,1)=1),1,0)</x:f>
        <x:v>0</x:v>
      </x:c>
      <x:c r="I1092" t="str">
        <x:f>IF(G1092=1,IF(B1092="成长",A1092&amp;"-成长-"&amp;C1092,'幕间与结算'!I999),"")</x:f>
        <x:v/>
      </x:c>
      <x:c r="BF1092">
        <x:f>MAX(0,MIN(18,BF1091+IF(C1092="力量",E1092,0)))</x:f>
        <x:v>0</x:v>
      </x:c>
      <x:c r="BG1092">
        <x:f>MAX(0,MIN(18,BG1091+IF(C1092="体质",E1092,0)))</x:f>
        <x:v>0</x:v>
      </x:c>
      <x:c r="BH1092">
        <x:f>MAX(0,MIN(18,BH1091+IF(C1092="敏捷",E1092,0)))</x:f>
        <x:v>0</x:v>
      </x:c>
      <x:c r="BI1092">
        <x:f>MAX(0,MIN(18,BI1091+IF(C1092="智力",E1092,0)))</x:f>
        <x:v>0</x:v>
      </x:c>
      <x:c r="BJ1092">
        <x:f>MAX(0,MIN(18,BJ1091+IF(C1092="意志",E1092,0)))</x:f>
        <x:v>0</x:v>
      </x:c>
      <x:c r="BK1092">
        <x:f>MAX(0,MIN(18,BK1091+IF(C1092="魅力",E1092,0)))</x:f>
        <x:v>0</x:v>
      </x:c>
      <x:c r="BL1092">
        <x:f>MAX(0,MIN(99,BL1091+IF(C1092="技能：非自然知识",E1092,0)))</x:f>
        <x:v>0</x:v>
      </x:c>
      <x:c r="BM1092">
        <x:f>MAX(0,MIN(CEILING((BF1092+BG1092)/2,1),BM1091+IF(C1092="体力",E1092,0)))</x:f>
        <x:v>0</x:v>
      </x:c>
      <x:c r="BN1092">
        <x:f>MAX(0,MIN(BJ1092,BN1091+IF(C1092="毅力",E1092,0)))</x:f>
        <x:v>0</x:v>
      </x:c>
      <x:c r="BO1092">
        <x:f>MAX(0,MIN(99-BL1092,BO1091+IF(C1092="理智",E1092,0)))</x:f>
        <x:v>0</x:v>
      </x:c>
      <x:c r="BP1092">
        <x:f>MAX(0,MIN(99,BP1091+IF(C1092="崩溃点",E1092,0)))</x:f>
        <x:v>0</x:v>
      </x:c>
      <x:c r="BQ1092">
        <x:f>MAX(0,MIN(BK1092,IF(AND(H1092=1,C1092="重要关系1",LEFT('幕间与结算'!H999,8)="建立新的重要关系"),'幕间与结算'!E999+E1092,BQ1091+IF(C1092="重要关系1",E1092,0)+IF(AND(C1092="魅力",E1092&lt;0),E1092,0))))</x:f>
        <x:v>0</x:v>
      </x:c>
      <x:c r="BR1092">
        <x:f>MAX(0,MIN(BK1092,IF(AND(H1092=1,C1092="重要关系2",LEFT('幕间与结算'!H999,8)="建立新的重要关系"),'幕间与结算'!E999+E1092,BR1091+IF(C1092="重要关系2",E1092,0)+IF(AND(C1092="魅力",E1092&lt;0),E1092,0))))</x:f>
        <x:v>0</x:v>
      </x:c>
      <x:c r="BS1092">
        <x:f>MAX(0,MIN(BK1092,IF(AND(H1092=1,C1092="重要关系3",LEFT('幕间与结算'!H999,8)="建立新的重要关系"),'幕间与结算'!E999+E1092,BS1091+IF(C1092="重要关系3",E1092,0)+IF(AND(C1092="魅力",E1092&lt;0),E1092,0))))</x:f>
        <x:v>0</x:v>
      </x:c>
      <x:c r="BT1092">
        <x:f>MAX(0,MIN(BK1092,IF(AND(H1092=1,C1092="重要关系4",LEFT('幕间与结算'!H999,8)="建立新的重要关系"),'幕间与结算'!E999+E1092,BT1091+IF(C1092="重要关系4",E1092,0)+IF(AND(C1092="魅力",E1092&lt;0),E1092,0))))</x:f>
        <x:v>0</x:v>
      </x:c>
      <x:c r="BU1092">
        <x:f>MAX(0,MIN(BK1092,IF(AND(H1092=1,C1092="重要关系5",LEFT('幕间与结算'!H999,8)="建立新的重要关系"),'幕间与结算'!E999+E1092,BU1091+IF(C1092="重要关系5",E1092,0)+IF(AND(C1092="魅力",E1092&lt;0),E1092,0))))</x:f>
        <x:v>0</x:v>
      </x:c>
      <x:c r="BV1092">
        <x:f>MAX(0,MIN(BK1092,IF(AND(H1092=1,C1092="重要关系6",LEFT('幕间与结算'!H999,8)="建立新的重要关系"),'幕间与结算'!E999+E1092,BV1091+IF(C1092="重要关系6",E1092,0)+IF(AND(C1092="魅力",E1092&lt;0),E1092,0))))</x:f>
        <x:v>0</x:v>
      </x:c>
      <x:c r="BW1092">
        <x:f>MAX(0,MIN(BK1092,IF(AND(H1092=1,C1092="重要关系7",LEFT('幕间与结算'!H999,8)="建立新的重要关系"),'幕间与结算'!E999+E1092,BW1091+IF(C1092="重要关系7",E1092,0)+IF(AND(C1092="魅力",E1092&lt;0),E1092,0))))</x:f>
        <x:v>0</x:v>
      </x:c>
    </x:row>
    <x:row r="1093">
      <x:c r="A1093" t="str">
        <x:f>IFERROR(TEXT(VALUE('幕间与结算'!A1000),"00"),"")</x:f>
        <x:v>00</x:v>
      </x:c>
      <x:c r="B1093">
        <x:f>'幕间与结算'!B1000</x:f>
        <x:v>0</x:v>
      </x:c>
      <x:c r="C1093">
        <x:f>'幕间与结算'!D1000</x:f>
        <x:v>0</x:v>
      </x:c>
      <x:c r="D1093">
        <x:f>'幕间与结算'!F1000</x:f>
        <x:v>0</x:v>
      </x:c>
      <x:c r="E1093">
        <x:f>IF(H1093=1,MAX(-'幕间与结算'!E1000,MIN(D1093,IF(LEFT(C1093,3)="技能：",99,IF(COUNTIF($L$2:$L$7,C1093)&gt;0,18,999))-'幕间与结算'!E1000)),0)</x:f>
        <x:v>0</x:v>
      </x:c>
      <x:c r="F1093" t="str">
        <x:f>IF(C1093=0,"",IF(G1093=0,"记录不完整",IF(H1093=0,"重复未计","已计入")))</x:f>
        <x:v/>
      </x:c>
      <x:c r="G1093">
        <x:f>IF(AND(AND('幕间与结算'!A1000&lt;&gt;"",'幕间与结算'!B1000&lt;&gt;"",'幕间与结算'!I1000&lt;&gt;"",OR(LEFT(C1093,3)="技能：",COUNTIF($L$2:$L$19,C1093)&gt;0),ISNUMBER('幕间与结算'!E1000),ISNUMBER('幕间与结算'!F1000),ISNUMBER('幕间与结算'!G1000),'幕间与结算'!E1000&gt;=0,'幕间与结算'!G1000='幕间与结算'!E1000+'幕间与结算'!F1000),OR(B1093&lt;&gt;"成长",AND(LEFT(C1093,3)="技能：",C1093&lt;&gt;"技能：非自然知识",'幕间与结算'!E1000&gt;=1,'幕间与结算'!E1000&lt;=99,'幕间与结算'!F1000&gt;=0,'幕间与结算'!F1000&lt;=4,'幕间与结算'!G1000&lt;=99))),1,0)</x:f>
        <x:v>0</x:v>
      </x:c>
      <x:c r="H1093">
        <x:f>IF(AND(G1093=1,COUNTIFS($I$200:I1093,I1093,$G$200:G1093,1)=1),1,0)</x:f>
        <x:v>0</x:v>
      </x:c>
      <x:c r="I1093" t="str">
        <x:f>IF(G1093=1,IF(B1093="成长",A1093&amp;"-成长-"&amp;C1093,'幕间与结算'!I1000),"")</x:f>
        <x:v/>
      </x:c>
      <x:c r="BF1093">
        <x:f>MAX(0,MIN(18,BF1092+IF(C1093="力量",E1093,0)))</x:f>
        <x:v>0</x:v>
      </x:c>
      <x:c r="BG1093">
        <x:f>MAX(0,MIN(18,BG1092+IF(C1093="体质",E1093,0)))</x:f>
        <x:v>0</x:v>
      </x:c>
      <x:c r="BH1093">
        <x:f>MAX(0,MIN(18,BH1092+IF(C1093="敏捷",E1093,0)))</x:f>
        <x:v>0</x:v>
      </x:c>
      <x:c r="BI1093">
        <x:f>MAX(0,MIN(18,BI1092+IF(C1093="智力",E1093,0)))</x:f>
        <x:v>0</x:v>
      </x:c>
      <x:c r="BJ1093">
        <x:f>MAX(0,MIN(18,BJ1092+IF(C1093="意志",E1093,0)))</x:f>
        <x:v>0</x:v>
      </x:c>
      <x:c r="BK1093">
        <x:f>MAX(0,MIN(18,BK1092+IF(C1093="魅力",E1093,0)))</x:f>
        <x:v>0</x:v>
      </x:c>
      <x:c r="BL1093">
        <x:f>MAX(0,MIN(99,BL1092+IF(C1093="技能：非自然知识",E1093,0)))</x:f>
        <x:v>0</x:v>
      </x:c>
      <x:c r="BM1093">
        <x:f>MAX(0,MIN(CEILING((BF1093+BG1093)/2,1),BM1092+IF(C1093="体力",E1093,0)))</x:f>
        <x:v>0</x:v>
      </x:c>
      <x:c r="BN1093">
        <x:f>MAX(0,MIN(BJ1093,BN1092+IF(C1093="毅力",E1093,0)))</x:f>
        <x:v>0</x:v>
      </x:c>
      <x:c r="BO1093">
        <x:f>MAX(0,MIN(99-BL1093,BO1092+IF(C1093="理智",E1093,0)))</x:f>
        <x:v>0</x:v>
      </x:c>
      <x:c r="BP1093">
        <x:f>MAX(0,MIN(99,BP1092+IF(C1093="崩溃点",E1093,0)))</x:f>
        <x:v>0</x:v>
      </x:c>
      <x:c r="BQ1093">
        <x:f>MAX(0,MIN(BK1093,IF(AND(H1093=1,C1093="重要关系1",LEFT('幕间与结算'!H1000,8)="建立新的重要关系"),'幕间与结算'!E1000+E1093,BQ1092+IF(C1093="重要关系1",E1093,0)+IF(AND(C1093="魅力",E1093&lt;0),E1093,0))))</x:f>
        <x:v>0</x:v>
      </x:c>
      <x:c r="BR1093">
        <x:f>MAX(0,MIN(BK1093,IF(AND(H1093=1,C1093="重要关系2",LEFT('幕间与结算'!H1000,8)="建立新的重要关系"),'幕间与结算'!E1000+E1093,BR1092+IF(C1093="重要关系2",E1093,0)+IF(AND(C1093="魅力",E1093&lt;0),E1093,0))))</x:f>
        <x:v>0</x:v>
      </x:c>
      <x:c r="BS1093">
        <x:f>MAX(0,MIN(BK1093,IF(AND(H1093=1,C1093="重要关系3",LEFT('幕间与结算'!H1000,8)="建立新的重要关系"),'幕间与结算'!E1000+E1093,BS1092+IF(C1093="重要关系3",E1093,0)+IF(AND(C1093="魅力",E1093&lt;0),E1093,0))))</x:f>
        <x:v>0</x:v>
      </x:c>
      <x:c r="BT1093">
        <x:f>MAX(0,MIN(BK1093,IF(AND(H1093=1,C1093="重要关系4",LEFT('幕间与结算'!H1000,8)="建立新的重要关系"),'幕间与结算'!E1000+E1093,BT1092+IF(C1093="重要关系4",E1093,0)+IF(AND(C1093="魅力",E1093&lt;0),E1093,0))))</x:f>
        <x:v>0</x:v>
      </x:c>
      <x:c r="BU1093">
        <x:f>MAX(0,MIN(BK1093,IF(AND(H1093=1,C1093="重要关系5",LEFT('幕间与结算'!H1000,8)="建立新的重要关系"),'幕间与结算'!E1000+E1093,BU1092+IF(C1093="重要关系5",E1093,0)+IF(AND(C1093="魅力",E1093&lt;0),E1093,0))))</x:f>
        <x:v>0</x:v>
      </x:c>
      <x:c r="BV1093">
        <x:f>MAX(0,MIN(BK1093,IF(AND(H1093=1,C1093="重要关系6",LEFT('幕间与结算'!H1000,8)="建立新的重要关系"),'幕间与结算'!E1000+E1093,BV1092+IF(C1093="重要关系6",E1093,0)+IF(AND(C1093="魅力",E1093&lt;0),E1093,0))))</x:f>
        <x:v>0</x:v>
      </x:c>
      <x:c r="BW1093">
        <x:f>MAX(0,MIN(BK1093,IF(AND(H1093=1,C1093="重要关系7",LEFT('幕间与结算'!H1000,8)="建立新的重要关系"),'幕间与结算'!E1000+E1093,BW1092+IF(C1093="重要关系7",E1093,0)+IF(AND(C1093="魅力",E1093&lt;0),E1093,0))))</x:f>
        <x:v>0</x:v>
      </x:c>
    </x:row>
    <x:row r="1094">
      <x:c r="A1094" t="str">
        <x:f>IFERROR(TEXT(VALUE('幕间与结算'!A1001),"00"),"")</x:f>
        <x:v>00</x:v>
      </x:c>
      <x:c r="B1094">
        <x:f>'幕间与结算'!B1001</x:f>
        <x:v>0</x:v>
      </x:c>
      <x:c r="C1094">
        <x:f>'幕间与结算'!D1001</x:f>
        <x:v>0</x:v>
      </x:c>
      <x:c r="D1094">
        <x:f>'幕间与结算'!F1001</x:f>
        <x:v>0</x:v>
      </x:c>
      <x:c r="E1094">
        <x:f>IF(H1094=1,MAX(-'幕间与结算'!E1001,MIN(D1094,IF(LEFT(C1094,3)="技能：",99,IF(COUNTIF($L$2:$L$7,C1094)&gt;0,18,999))-'幕间与结算'!E1001)),0)</x:f>
        <x:v>0</x:v>
      </x:c>
      <x:c r="F1094" t="str">
        <x:f>IF(C1094=0,"",IF(G1094=0,"记录不完整",IF(H1094=0,"重复未计","已计入")))</x:f>
        <x:v/>
      </x:c>
      <x:c r="G1094">
        <x:f>IF(AND(AND('幕间与结算'!A1001&lt;&gt;"",'幕间与结算'!B1001&lt;&gt;"",'幕间与结算'!I1001&lt;&gt;"",OR(LEFT(C1094,3)="技能：",COUNTIF($L$2:$L$19,C1094)&gt;0),ISNUMBER('幕间与结算'!E1001),ISNUMBER('幕间与结算'!F1001),ISNUMBER('幕间与结算'!G1001),'幕间与结算'!E1001&gt;=0,'幕间与结算'!G1001='幕间与结算'!E1001+'幕间与结算'!F1001),OR(B1094&lt;&gt;"成长",AND(LEFT(C1094,3)="技能：",C1094&lt;&gt;"技能：非自然知识",'幕间与结算'!E1001&gt;=1,'幕间与结算'!E1001&lt;=99,'幕间与结算'!F1001&gt;=0,'幕间与结算'!F1001&lt;=4,'幕间与结算'!G1001&lt;=99))),1,0)</x:f>
        <x:v>0</x:v>
      </x:c>
      <x:c r="H1094">
        <x:f>IF(AND(G1094=1,COUNTIFS($I$200:I1094,I1094,$G$200:G1094,1)=1),1,0)</x:f>
        <x:v>0</x:v>
      </x:c>
      <x:c r="I1094" t="str">
        <x:f>IF(G1094=1,IF(B1094="成长",A1094&amp;"-成长-"&amp;C1094,'幕间与结算'!I1001),"")</x:f>
        <x:v/>
      </x:c>
      <x:c r="BF1094">
        <x:f>MAX(0,MIN(18,BF1093+IF(C1094="力量",E1094,0)))</x:f>
        <x:v>0</x:v>
      </x:c>
      <x:c r="BG1094">
        <x:f>MAX(0,MIN(18,BG1093+IF(C1094="体质",E1094,0)))</x:f>
        <x:v>0</x:v>
      </x:c>
      <x:c r="BH1094">
        <x:f>MAX(0,MIN(18,BH1093+IF(C1094="敏捷",E1094,0)))</x:f>
        <x:v>0</x:v>
      </x:c>
      <x:c r="BI1094">
        <x:f>MAX(0,MIN(18,BI1093+IF(C1094="智力",E1094,0)))</x:f>
        <x:v>0</x:v>
      </x:c>
      <x:c r="BJ1094">
        <x:f>MAX(0,MIN(18,BJ1093+IF(C1094="意志",E1094,0)))</x:f>
        <x:v>0</x:v>
      </x:c>
      <x:c r="BK1094">
        <x:f>MAX(0,MIN(18,BK1093+IF(C1094="魅力",E1094,0)))</x:f>
        <x:v>0</x:v>
      </x:c>
      <x:c r="BL1094">
        <x:f>MAX(0,MIN(99,BL1093+IF(C1094="技能：非自然知识",E1094,0)))</x:f>
        <x:v>0</x:v>
      </x:c>
      <x:c r="BM1094">
        <x:f>MAX(0,MIN(CEILING((BF1094+BG1094)/2,1),BM1093+IF(C1094="体力",E1094,0)))</x:f>
        <x:v>0</x:v>
      </x:c>
      <x:c r="BN1094">
        <x:f>MAX(0,MIN(BJ1094,BN1093+IF(C1094="毅力",E1094,0)))</x:f>
        <x:v>0</x:v>
      </x:c>
      <x:c r="BO1094">
        <x:f>MAX(0,MIN(99-BL1094,BO1093+IF(C1094="理智",E1094,0)))</x:f>
        <x:v>0</x:v>
      </x:c>
      <x:c r="BP1094">
        <x:f>MAX(0,MIN(99,BP1093+IF(C1094="崩溃点",E1094,0)))</x:f>
        <x:v>0</x:v>
      </x:c>
      <x:c r="BQ1094">
        <x:f>MAX(0,MIN(BK1094,IF(AND(H1094=1,C1094="重要关系1",LEFT('幕间与结算'!H1001,8)="建立新的重要关系"),'幕间与结算'!E1001+E1094,BQ1093+IF(C1094="重要关系1",E1094,0)+IF(AND(C1094="魅力",E1094&lt;0),E1094,0))))</x:f>
        <x:v>0</x:v>
      </x:c>
      <x:c r="BR1094">
        <x:f>MAX(0,MIN(BK1094,IF(AND(H1094=1,C1094="重要关系2",LEFT('幕间与结算'!H1001,8)="建立新的重要关系"),'幕间与结算'!E1001+E1094,BR1093+IF(C1094="重要关系2",E1094,0)+IF(AND(C1094="魅力",E1094&lt;0),E1094,0))))</x:f>
        <x:v>0</x:v>
      </x:c>
      <x:c r="BS1094">
        <x:f>MAX(0,MIN(BK1094,IF(AND(H1094=1,C1094="重要关系3",LEFT('幕间与结算'!H1001,8)="建立新的重要关系"),'幕间与结算'!E1001+E1094,BS1093+IF(C1094="重要关系3",E1094,0)+IF(AND(C1094="魅力",E1094&lt;0),E1094,0))))</x:f>
        <x:v>0</x:v>
      </x:c>
      <x:c r="BT1094">
        <x:f>MAX(0,MIN(BK1094,IF(AND(H1094=1,C1094="重要关系4",LEFT('幕间与结算'!H1001,8)="建立新的重要关系"),'幕间与结算'!E1001+E1094,BT1093+IF(C1094="重要关系4",E1094,0)+IF(AND(C1094="魅力",E1094&lt;0),E1094,0))))</x:f>
        <x:v>0</x:v>
      </x:c>
      <x:c r="BU1094">
        <x:f>MAX(0,MIN(BK1094,IF(AND(H1094=1,C1094="重要关系5",LEFT('幕间与结算'!H1001,8)="建立新的重要关系"),'幕间与结算'!E1001+E1094,BU1093+IF(C1094="重要关系5",E1094,0)+IF(AND(C1094="魅力",E1094&lt;0),E1094,0))))</x:f>
        <x:v>0</x:v>
      </x:c>
      <x:c r="BV1094">
        <x:f>MAX(0,MIN(BK1094,IF(AND(H1094=1,C1094="重要关系6",LEFT('幕间与结算'!H1001,8)="建立新的重要关系"),'幕间与结算'!E1001+E1094,BV1093+IF(C1094="重要关系6",E1094,0)+IF(AND(C1094="魅力",E1094&lt;0),E1094,0))))</x:f>
        <x:v>0</x:v>
      </x:c>
      <x:c r="BW1094">
        <x:f>MAX(0,MIN(BK1094,IF(AND(H1094=1,C1094="重要关系7",LEFT('幕间与结算'!H1001,8)="建立新的重要关系"),'幕间与结算'!E1001+E1094,BW1093+IF(C1094="重要关系7",E1094,0)+IF(AND(C1094="魅力",E1094&lt;0),E1094,0))))</x:f>
        <x:v>0</x:v>
      </x:c>
    </x:row>
    <x:row r="1095">
      <x:c r="A1095" t="str">
        <x:f>IFERROR(TEXT(VALUE('幕间与结算'!A1002),"00"),"")</x:f>
        <x:v>00</x:v>
      </x:c>
      <x:c r="B1095">
        <x:f>'幕间与结算'!B1002</x:f>
        <x:v>0</x:v>
      </x:c>
      <x:c r="C1095">
        <x:f>'幕间与结算'!D1002</x:f>
        <x:v>0</x:v>
      </x:c>
      <x:c r="D1095">
        <x:f>'幕间与结算'!F1002</x:f>
        <x:v>0</x:v>
      </x:c>
      <x:c r="E1095">
        <x:f>IF(H1095=1,MAX(-'幕间与结算'!E1002,MIN(D1095,IF(LEFT(C1095,3)="技能：",99,IF(COUNTIF($L$2:$L$7,C1095)&gt;0,18,999))-'幕间与结算'!E1002)),0)</x:f>
        <x:v>0</x:v>
      </x:c>
      <x:c r="F1095" t="str">
        <x:f>IF(C1095=0,"",IF(G1095=0,"记录不完整",IF(H1095=0,"重复未计","已计入")))</x:f>
        <x:v/>
      </x:c>
      <x:c r="G1095">
        <x:f>IF(AND(AND('幕间与结算'!A1002&lt;&gt;"",'幕间与结算'!B1002&lt;&gt;"",'幕间与结算'!I1002&lt;&gt;"",OR(LEFT(C1095,3)="技能：",COUNTIF($L$2:$L$19,C1095)&gt;0),ISNUMBER('幕间与结算'!E1002),ISNUMBER('幕间与结算'!F1002),ISNUMBER('幕间与结算'!G1002),'幕间与结算'!E1002&gt;=0,'幕间与结算'!G1002='幕间与结算'!E1002+'幕间与结算'!F1002),OR(B1095&lt;&gt;"成长",AND(LEFT(C1095,3)="技能：",C1095&lt;&gt;"技能：非自然知识",'幕间与结算'!E1002&gt;=1,'幕间与结算'!E1002&lt;=99,'幕间与结算'!F1002&gt;=0,'幕间与结算'!F1002&lt;=4,'幕间与结算'!G1002&lt;=99))),1,0)</x:f>
        <x:v>0</x:v>
      </x:c>
      <x:c r="H1095">
        <x:f>IF(AND(G1095=1,COUNTIFS($I$200:I1095,I1095,$G$200:G1095,1)=1),1,0)</x:f>
        <x:v>0</x:v>
      </x:c>
      <x:c r="I1095" t="str">
        <x:f>IF(G1095=1,IF(B1095="成长",A1095&amp;"-成长-"&amp;C1095,'幕间与结算'!I1002),"")</x:f>
        <x:v/>
      </x:c>
      <x:c r="BF1095">
        <x:f>MAX(0,MIN(18,BF1094+IF(C1095="力量",E1095,0)))</x:f>
        <x:v>0</x:v>
      </x:c>
      <x:c r="BG1095">
        <x:f>MAX(0,MIN(18,BG1094+IF(C1095="体质",E1095,0)))</x:f>
        <x:v>0</x:v>
      </x:c>
      <x:c r="BH1095">
        <x:f>MAX(0,MIN(18,BH1094+IF(C1095="敏捷",E1095,0)))</x:f>
        <x:v>0</x:v>
      </x:c>
      <x:c r="BI1095">
        <x:f>MAX(0,MIN(18,BI1094+IF(C1095="智力",E1095,0)))</x:f>
        <x:v>0</x:v>
      </x:c>
      <x:c r="BJ1095">
        <x:f>MAX(0,MIN(18,BJ1094+IF(C1095="意志",E1095,0)))</x:f>
        <x:v>0</x:v>
      </x:c>
      <x:c r="BK1095">
        <x:f>MAX(0,MIN(18,BK1094+IF(C1095="魅力",E1095,0)))</x:f>
        <x:v>0</x:v>
      </x:c>
      <x:c r="BL1095">
        <x:f>MAX(0,MIN(99,BL1094+IF(C1095="技能：非自然知识",E1095,0)))</x:f>
        <x:v>0</x:v>
      </x:c>
      <x:c r="BM1095">
        <x:f>MAX(0,MIN(CEILING((BF1095+BG1095)/2,1),BM1094+IF(C1095="体力",E1095,0)))</x:f>
        <x:v>0</x:v>
      </x:c>
      <x:c r="BN1095">
        <x:f>MAX(0,MIN(BJ1095,BN1094+IF(C1095="毅力",E1095,0)))</x:f>
        <x:v>0</x:v>
      </x:c>
      <x:c r="BO1095">
        <x:f>MAX(0,MIN(99-BL1095,BO1094+IF(C1095="理智",E1095,0)))</x:f>
        <x:v>0</x:v>
      </x:c>
      <x:c r="BP1095">
        <x:f>MAX(0,MIN(99,BP1094+IF(C1095="崩溃点",E1095,0)))</x:f>
        <x:v>0</x:v>
      </x:c>
      <x:c r="BQ1095">
        <x:f>MAX(0,MIN(BK1095,IF(AND(H1095=1,C1095="重要关系1",LEFT('幕间与结算'!H1002,8)="建立新的重要关系"),'幕间与结算'!E1002+E1095,BQ1094+IF(C1095="重要关系1",E1095,0)+IF(AND(C1095="魅力",E1095&lt;0),E1095,0))))</x:f>
        <x:v>0</x:v>
      </x:c>
      <x:c r="BR1095">
        <x:f>MAX(0,MIN(BK1095,IF(AND(H1095=1,C1095="重要关系2",LEFT('幕间与结算'!H1002,8)="建立新的重要关系"),'幕间与结算'!E1002+E1095,BR1094+IF(C1095="重要关系2",E1095,0)+IF(AND(C1095="魅力",E1095&lt;0),E1095,0))))</x:f>
        <x:v>0</x:v>
      </x:c>
      <x:c r="BS1095">
        <x:f>MAX(0,MIN(BK1095,IF(AND(H1095=1,C1095="重要关系3",LEFT('幕间与结算'!H1002,8)="建立新的重要关系"),'幕间与结算'!E1002+E1095,BS1094+IF(C1095="重要关系3",E1095,0)+IF(AND(C1095="魅力",E1095&lt;0),E1095,0))))</x:f>
        <x:v>0</x:v>
      </x:c>
      <x:c r="BT1095">
        <x:f>MAX(0,MIN(BK1095,IF(AND(H1095=1,C1095="重要关系4",LEFT('幕间与结算'!H1002,8)="建立新的重要关系"),'幕间与结算'!E1002+E1095,BT1094+IF(C1095="重要关系4",E1095,0)+IF(AND(C1095="魅力",E1095&lt;0),E1095,0))))</x:f>
        <x:v>0</x:v>
      </x:c>
      <x:c r="BU1095">
        <x:f>MAX(0,MIN(BK1095,IF(AND(H1095=1,C1095="重要关系5",LEFT('幕间与结算'!H1002,8)="建立新的重要关系"),'幕间与结算'!E1002+E1095,BU1094+IF(C1095="重要关系5",E1095,0)+IF(AND(C1095="魅力",E1095&lt;0),E1095,0))))</x:f>
        <x:v>0</x:v>
      </x:c>
      <x:c r="BV1095">
        <x:f>MAX(0,MIN(BK1095,IF(AND(H1095=1,C1095="重要关系6",LEFT('幕间与结算'!H1002,8)="建立新的重要关系"),'幕间与结算'!E1002+E1095,BV1094+IF(C1095="重要关系6",E1095,0)+IF(AND(C1095="魅力",E1095&lt;0),E1095,0))))</x:f>
        <x:v>0</x:v>
      </x:c>
      <x:c r="BW1095">
        <x:f>MAX(0,MIN(BK1095,IF(AND(H1095=1,C1095="重要关系7",LEFT('幕间与结算'!H1002,8)="建立新的重要关系"),'幕间与结算'!E1002+E1095,BW1094+IF(C1095="重要关系7",E1095,0)+IF(AND(C1095="魅力",E1095&lt;0),E1095,0))))</x:f>
        <x:v>0</x:v>
      </x:c>
    </x:row>
    <x:row r="1096">
      <x:c r="A1096" t="str">
        <x:f>IFERROR(TEXT(VALUE('幕间与结算'!A1003),"00"),"")</x:f>
        <x:v>00</x:v>
      </x:c>
      <x:c r="B1096">
        <x:f>'幕间与结算'!B1003</x:f>
        <x:v>0</x:v>
      </x:c>
      <x:c r="C1096">
        <x:f>'幕间与结算'!D1003</x:f>
        <x:v>0</x:v>
      </x:c>
      <x:c r="D1096">
        <x:f>'幕间与结算'!F1003</x:f>
        <x:v>0</x:v>
      </x:c>
      <x:c r="E1096">
        <x:f>IF(H1096=1,MAX(-'幕间与结算'!E1003,MIN(D1096,IF(LEFT(C1096,3)="技能：",99,IF(COUNTIF($L$2:$L$7,C1096)&gt;0,18,999))-'幕间与结算'!E1003)),0)</x:f>
        <x:v>0</x:v>
      </x:c>
      <x:c r="F1096" t="str">
        <x:f>IF(C1096=0,"",IF(G1096=0,"记录不完整",IF(H1096=0,"重复未计","已计入")))</x:f>
        <x:v/>
      </x:c>
      <x:c r="G1096">
        <x:f>IF(AND(AND('幕间与结算'!A1003&lt;&gt;"",'幕间与结算'!B1003&lt;&gt;"",'幕间与结算'!I1003&lt;&gt;"",OR(LEFT(C1096,3)="技能：",COUNTIF($L$2:$L$19,C1096)&gt;0),ISNUMBER('幕间与结算'!E1003),ISNUMBER('幕间与结算'!F1003),ISNUMBER('幕间与结算'!G1003),'幕间与结算'!E1003&gt;=0,'幕间与结算'!G1003='幕间与结算'!E1003+'幕间与结算'!F1003),OR(B1096&lt;&gt;"成长",AND(LEFT(C1096,3)="技能：",C1096&lt;&gt;"技能：非自然知识",'幕间与结算'!E1003&gt;=1,'幕间与结算'!E1003&lt;=99,'幕间与结算'!F1003&gt;=0,'幕间与结算'!F1003&lt;=4,'幕间与结算'!G1003&lt;=99))),1,0)</x:f>
        <x:v>0</x:v>
      </x:c>
      <x:c r="H1096">
        <x:f>IF(AND(G1096=1,COUNTIFS($I$200:I1096,I1096,$G$200:G1096,1)=1),1,0)</x:f>
        <x:v>0</x:v>
      </x:c>
      <x:c r="I1096" t="str">
        <x:f>IF(G1096=1,IF(B1096="成长",A1096&amp;"-成长-"&amp;C1096,'幕间与结算'!I1003),"")</x:f>
        <x:v/>
      </x:c>
      <x:c r="BF1096">
        <x:f>MAX(0,MIN(18,BF1095+IF(C1096="力量",E1096,0)))</x:f>
        <x:v>0</x:v>
      </x:c>
      <x:c r="BG1096">
        <x:f>MAX(0,MIN(18,BG1095+IF(C1096="体质",E1096,0)))</x:f>
        <x:v>0</x:v>
      </x:c>
      <x:c r="BH1096">
        <x:f>MAX(0,MIN(18,BH1095+IF(C1096="敏捷",E1096,0)))</x:f>
        <x:v>0</x:v>
      </x:c>
      <x:c r="BI1096">
        <x:f>MAX(0,MIN(18,BI1095+IF(C1096="智力",E1096,0)))</x:f>
        <x:v>0</x:v>
      </x:c>
      <x:c r="BJ1096">
        <x:f>MAX(0,MIN(18,BJ1095+IF(C1096="意志",E1096,0)))</x:f>
        <x:v>0</x:v>
      </x:c>
      <x:c r="BK1096">
        <x:f>MAX(0,MIN(18,BK1095+IF(C1096="魅力",E1096,0)))</x:f>
        <x:v>0</x:v>
      </x:c>
      <x:c r="BL1096">
        <x:f>MAX(0,MIN(99,BL1095+IF(C1096="技能：非自然知识",E1096,0)))</x:f>
        <x:v>0</x:v>
      </x:c>
      <x:c r="BM1096">
        <x:f>MAX(0,MIN(CEILING((BF1096+BG1096)/2,1),BM1095+IF(C1096="体力",E1096,0)))</x:f>
        <x:v>0</x:v>
      </x:c>
      <x:c r="BN1096">
        <x:f>MAX(0,MIN(BJ1096,BN1095+IF(C1096="毅力",E1096,0)))</x:f>
        <x:v>0</x:v>
      </x:c>
      <x:c r="BO1096">
        <x:f>MAX(0,MIN(99-BL1096,BO1095+IF(C1096="理智",E1096,0)))</x:f>
        <x:v>0</x:v>
      </x:c>
      <x:c r="BP1096">
        <x:f>MAX(0,MIN(99,BP1095+IF(C1096="崩溃点",E1096,0)))</x:f>
        <x:v>0</x:v>
      </x:c>
      <x:c r="BQ1096">
        <x:f>MAX(0,MIN(BK1096,IF(AND(H1096=1,C1096="重要关系1",LEFT('幕间与结算'!H1003,8)="建立新的重要关系"),'幕间与结算'!E1003+E1096,BQ1095+IF(C1096="重要关系1",E1096,0)+IF(AND(C1096="魅力",E1096&lt;0),E1096,0))))</x:f>
        <x:v>0</x:v>
      </x:c>
      <x:c r="BR1096">
        <x:f>MAX(0,MIN(BK1096,IF(AND(H1096=1,C1096="重要关系2",LEFT('幕间与结算'!H1003,8)="建立新的重要关系"),'幕间与结算'!E1003+E1096,BR1095+IF(C1096="重要关系2",E1096,0)+IF(AND(C1096="魅力",E1096&lt;0),E1096,0))))</x:f>
        <x:v>0</x:v>
      </x:c>
      <x:c r="BS1096">
        <x:f>MAX(0,MIN(BK1096,IF(AND(H1096=1,C1096="重要关系3",LEFT('幕间与结算'!H1003,8)="建立新的重要关系"),'幕间与结算'!E1003+E1096,BS1095+IF(C1096="重要关系3",E1096,0)+IF(AND(C1096="魅力",E1096&lt;0),E1096,0))))</x:f>
        <x:v>0</x:v>
      </x:c>
      <x:c r="BT1096">
        <x:f>MAX(0,MIN(BK1096,IF(AND(H1096=1,C1096="重要关系4",LEFT('幕间与结算'!H1003,8)="建立新的重要关系"),'幕间与结算'!E1003+E1096,BT1095+IF(C1096="重要关系4",E1096,0)+IF(AND(C1096="魅力",E1096&lt;0),E1096,0))))</x:f>
        <x:v>0</x:v>
      </x:c>
      <x:c r="BU1096">
        <x:f>MAX(0,MIN(BK1096,IF(AND(H1096=1,C1096="重要关系5",LEFT('幕间与结算'!H1003,8)="建立新的重要关系"),'幕间与结算'!E1003+E1096,BU1095+IF(C1096="重要关系5",E1096,0)+IF(AND(C1096="魅力",E1096&lt;0),E1096,0))))</x:f>
        <x:v>0</x:v>
      </x:c>
      <x:c r="BV1096">
        <x:f>MAX(0,MIN(BK1096,IF(AND(H1096=1,C1096="重要关系6",LEFT('幕间与结算'!H1003,8)="建立新的重要关系"),'幕间与结算'!E1003+E1096,BV1095+IF(C1096="重要关系6",E1096,0)+IF(AND(C1096="魅力",E1096&lt;0),E1096,0))))</x:f>
        <x:v>0</x:v>
      </x:c>
      <x:c r="BW1096">
        <x:f>MAX(0,MIN(BK1096,IF(AND(H1096=1,C1096="重要关系7",LEFT('幕间与结算'!H1003,8)="建立新的重要关系"),'幕间与结算'!E1003+E1096,BW1095+IF(C1096="重要关系7",E1096,0)+IF(AND(C1096="魅力",E1096&lt;0),E1096,0))))</x:f>
        <x:v>0</x:v>
      </x:c>
    </x:row>
    <x:row r="1097">
      <x:c r="A1097" t="str">
        <x:f>IFERROR(TEXT(VALUE('幕间与结算'!A1004),"00"),"")</x:f>
        <x:v>00</x:v>
      </x:c>
      <x:c r="B1097">
        <x:f>'幕间与结算'!B1004</x:f>
        <x:v>0</x:v>
      </x:c>
      <x:c r="C1097">
        <x:f>'幕间与结算'!D1004</x:f>
        <x:v>0</x:v>
      </x:c>
      <x:c r="D1097">
        <x:f>'幕间与结算'!F1004</x:f>
        <x:v>0</x:v>
      </x:c>
      <x:c r="E1097">
        <x:f>IF(H1097=1,MAX(-'幕间与结算'!E1004,MIN(D1097,IF(LEFT(C1097,3)="技能：",99,IF(COUNTIF($L$2:$L$7,C1097)&gt;0,18,999))-'幕间与结算'!E1004)),0)</x:f>
        <x:v>0</x:v>
      </x:c>
      <x:c r="F1097" t="str">
        <x:f>IF(C1097=0,"",IF(G1097=0,"记录不完整",IF(H1097=0,"重复未计","已计入")))</x:f>
        <x:v/>
      </x:c>
      <x:c r="G1097">
        <x:f>IF(AND(AND('幕间与结算'!A1004&lt;&gt;"",'幕间与结算'!B1004&lt;&gt;"",'幕间与结算'!I1004&lt;&gt;"",OR(LEFT(C1097,3)="技能：",COUNTIF($L$2:$L$19,C1097)&gt;0),ISNUMBER('幕间与结算'!E1004),ISNUMBER('幕间与结算'!F1004),ISNUMBER('幕间与结算'!G1004),'幕间与结算'!E1004&gt;=0,'幕间与结算'!G1004='幕间与结算'!E1004+'幕间与结算'!F1004),OR(B1097&lt;&gt;"成长",AND(LEFT(C1097,3)="技能：",C1097&lt;&gt;"技能：非自然知识",'幕间与结算'!E1004&gt;=1,'幕间与结算'!E1004&lt;=99,'幕间与结算'!F1004&gt;=0,'幕间与结算'!F1004&lt;=4,'幕间与结算'!G1004&lt;=99))),1,0)</x:f>
        <x:v>0</x:v>
      </x:c>
      <x:c r="H1097">
        <x:f>IF(AND(G1097=1,COUNTIFS($I$200:I1097,I1097,$G$200:G1097,1)=1),1,0)</x:f>
        <x:v>0</x:v>
      </x:c>
      <x:c r="I1097" t="str">
        <x:f>IF(G1097=1,IF(B1097="成长",A1097&amp;"-成长-"&amp;C1097,'幕间与结算'!I1004),"")</x:f>
        <x:v/>
      </x:c>
      <x:c r="BF1097">
        <x:f>MAX(0,MIN(18,BF1096+IF(C1097="力量",E1097,0)))</x:f>
        <x:v>0</x:v>
      </x:c>
      <x:c r="BG1097">
        <x:f>MAX(0,MIN(18,BG1096+IF(C1097="体质",E1097,0)))</x:f>
        <x:v>0</x:v>
      </x:c>
      <x:c r="BH1097">
        <x:f>MAX(0,MIN(18,BH1096+IF(C1097="敏捷",E1097,0)))</x:f>
        <x:v>0</x:v>
      </x:c>
      <x:c r="BI1097">
        <x:f>MAX(0,MIN(18,BI1096+IF(C1097="智力",E1097,0)))</x:f>
        <x:v>0</x:v>
      </x:c>
      <x:c r="BJ1097">
        <x:f>MAX(0,MIN(18,BJ1096+IF(C1097="意志",E1097,0)))</x:f>
        <x:v>0</x:v>
      </x:c>
      <x:c r="BK1097">
        <x:f>MAX(0,MIN(18,BK1096+IF(C1097="魅力",E1097,0)))</x:f>
        <x:v>0</x:v>
      </x:c>
      <x:c r="BL1097">
        <x:f>MAX(0,MIN(99,BL1096+IF(C1097="技能：非自然知识",E1097,0)))</x:f>
        <x:v>0</x:v>
      </x:c>
      <x:c r="BM1097">
        <x:f>MAX(0,MIN(CEILING((BF1097+BG1097)/2,1),BM1096+IF(C1097="体力",E1097,0)))</x:f>
        <x:v>0</x:v>
      </x:c>
      <x:c r="BN1097">
        <x:f>MAX(0,MIN(BJ1097,BN1096+IF(C1097="毅力",E1097,0)))</x:f>
        <x:v>0</x:v>
      </x:c>
      <x:c r="BO1097">
        <x:f>MAX(0,MIN(99-BL1097,BO1096+IF(C1097="理智",E1097,0)))</x:f>
        <x:v>0</x:v>
      </x:c>
      <x:c r="BP1097">
        <x:f>MAX(0,MIN(99,BP1096+IF(C1097="崩溃点",E1097,0)))</x:f>
        <x:v>0</x:v>
      </x:c>
      <x:c r="BQ1097">
        <x:f>MAX(0,MIN(BK1097,IF(AND(H1097=1,C1097="重要关系1",LEFT('幕间与结算'!H1004,8)="建立新的重要关系"),'幕间与结算'!E1004+E1097,BQ1096+IF(C1097="重要关系1",E1097,0)+IF(AND(C1097="魅力",E1097&lt;0),E1097,0))))</x:f>
        <x:v>0</x:v>
      </x:c>
      <x:c r="BR1097">
        <x:f>MAX(0,MIN(BK1097,IF(AND(H1097=1,C1097="重要关系2",LEFT('幕间与结算'!H1004,8)="建立新的重要关系"),'幕间与结算'!E1004+E1097,BR1096+IF(C1097="重要关系2",E1097,0)+IF(AND(C1097="魅力",E1097&lt;0),E1097,0))))</x:f>
        <x:v>0</x:v>
      </x:c>
      <x:c r="BS1097">
        <x:f>MAX(0,MIN(BK1097,IF(AND(H1097=1,C1097="重要关系3",LEFT('幕间与结算'!H1004,8)="建立新的重要关系"),'幕间与结算'!E1004+E1097,BS1096+IF(C1097="重要关系3",E1097,0)+IF(AND(C1097="魅力",E1097&lt;0),E1097,0))))</x:f>
        <x:v>0</x:v>
      </x:c>
      <x:c r="BT1097">
        <x:f>MAX(0,MIN(BK1097,IF(AND(H1097=1,C1097="重要关系4",LEFT('幕间与结算'!H1004,8)="建立新的重要关系"),'幕间与结算'!E1004+E1097,BT1096+IF(C1097="重要关系4",E1097,0)+IF(AND(C1097="魅力",E1097&lt;0),E1097,0))))</x:f>
        <x:v>0</x:v>
      </x:c>
      <x:c r="BU1097">
        <x:f>MAX(0,MIN(BK1097,IF(AND(H1097=1,C1097="重要关系5",LEFT('幕间与结算'!H1004,8)="建立新的重要关系"),'幕间与结算'!E1004+E1097,BU1096+IF(C1097="重要关系5",E1097,0)+IF(AND(C1097="魅力",E1097&lt;0),E1097,0))))</x:f>
        <x:v>0</x:v>
      </x:c>
      <x:c r="BV1097">
        <x:f>MAX(0,MIN(BK1097,IF(AND(H1097=1,C1097="重要关系6",LEFT('幕间与结算'!H1004,8)="建立新的重要关系"),'幕间与结算'!E1004+E1097,BV1096+IF(C1097="重要关系6",E1097,0)+IF(AND(C1097="魅力",E1097&lt;0),E1097,0))))</x:f>
        <x:v>0</x:v>
      </x:c>
      <x:c r="BW1097">
        <x:f>MAX(0,MIN(BK1097,IF(AND(H1097=1,C1097="重要关系7",LEFT('幕间与结算'!H1004,8)="建立新的重要关系"),'幕间与结算'!E1004+E1097,BW1096+IF(C1097="重要关系7",E1097,0)+IF(AND(C1097="魅力",E1097&lt;0),E1097,0))))</x:f>
        <x:v>0</x:v>
      </x:c>
    </x:row>
    <x:row r="1098">
      <x:c r="A1098" t="str">
        <x:f>IFERROR(TEXT(VALUE('幕间与结算'!A1005),"00"),"")</x:f>
        <x:v>00</x:v>
      </x:c>
      <x:c r="B1098">
        <x:f>'幕间与结算'!B1005</x:f>
        <x:v>0</x:v>
      </x:c>
      <x:c r="C1098">
        <x:f>'幕间与结算'!D1005</x:f>
        <x:v>0</x:v>
      </x:c>
      <x:c r="D1098">
        <x:f>'幕间与结算'!F1005</x:f>
        <x:v>0</x:v>
      </x:c>
      <x:c r="E1098">
        <x:f>IF(H1098=1,MAX(-'幕间与结算'!E1005,MIN(D1098,IF(LEFT(C1098,3)="技能：",99,IF(COUNTIF($L$2:$L$7,C1098)&gt;0,18,999))-'幕间与结算'!E1005)),0)</x:f>
        <x:v>0</x:v>
      </x:c>
      <x:c r="F1098" t="str">
        <x:f>IF(C1098=0,"",IF(G1098=0,"记录不完整",IF(H1098=0,"重复未计","已计入")))</x:f>
        <x:v/>
      </x:c>
      <x:c r="G1098">
        <x:f>IF(AND(AND('幕间与结算'!A1005&lt;&gt;"",'幕间与结算'!B1005&lt;&gt;"",'幕间与结算'!I1005&lt;&gt;"",OR(LEFT(C1098,3)="技能：",COUNTIF($L$2:$L$19,C1098)&gt;0),ISNUMBER('幕间与结算'!E1005),ISNUMBER('幕间与结算'!F1005),ISNUMBER('幕间与结算'!G1005),'幕间与结算'!E1005&gt;=0,'幕间与结算'!G1005='幕间与结算'!E1005+'幕间与结算'!F1005),OR(B1098&lt;&gt;"成长",AND(LEFT(C1098,3)="技能：",C1098&lt;&gt;"技能：非自然知识",'幕间与结算'!E1005&gt;=1,'幕间与结算'!E1005&lt;=99,'幕间与结算'!F1005&gt;=0,'幕间与结算'!F1005&lt;=4,'幕间与结算'!G1005&lt;=99))),1,0)</x:f>
        <x:v>0</x:v>
      </x:c>
      <x:c r="H1098">
        <x:f>IF(AND(G1098=1,COUNTIFS($I$200:I1098,I1098,$G$200:G1098,1)=1),1,0)</x:f>
        <x:v>0</x:v>
      </x:c>
      <x:c r="I1098" t="str">
        <x:f>IF(G1098=1,IF(B1098="成长",A1098&amp;"-成长-"&amp;C1098,'幕间与结算'!I1005),"")</x:f>
        <x:v/>
      </x:c>
      <x:c r="BF1098">
        <x:f>MAX(0,MIN(18,BF1097+IF(C1098="力量",E1098,0)))</x:f>
        <x:v>0</x:v>
      </x:c>
      <x:c r="BG1098">
        <x:f>MAX(0,MIN(18,BG1097+IF(C1098="体质",E1098,0)))</x:f>
        <x:v>0</x:v>
      </x:c>
      <x:c r="BH1098">
        <x:f>MAX(0,MIN(18,BH1097+IF(C1098="敏捷",E1098,0)))</x:f>
        <x:v>0</x:v>
      </x:c>
      <x:c r="BI1098">
        <x:f>MAX(0,MIN(18,BI1097+IF(C1098="智力",E1098,0)))</x:f>
        <x:v>0</x:v>
      </x:c>
      <x:c r="BJ1098">
        <x:f>MAX(0,MIN(18,BJ1097+IF(C1098="意志",E1098,0)))</x:f>
        <x:v>0</x:v>
      </x:c>
      <x:c r="BK1098">
        <x:f>MAX(0,MIN(18,BK1097+IF(C1098="魅力",E1098,0)))</x:f>
        <x:v>0</x:v>
      </x:c>
      <x:c r="BL1098">
        <x:f>MAX(0,MIN(99,BL1097+IF(C1098="技能：非自然知识",E1098,0)))</x:f>
        <x:v>0</x:v>
      </x:c>
      <x:c r="BM1098">
        <x:f>MAX(0,MIN(CEILING((BF1098+BG1098)/2,1),BM1097+IF(C1098="体力",E1098,0)))</x:f>
        <x:v>0</x:v>
      </x:c>
      <x:c r="BN1098">
        <x:f>MAX(0,MIN(BJ1098,BN1097+IF(C1098="毅力",E1098,0)))</x:f>
        <x:v>0</x:v>
      </x:c>
      <x:c r="BO1098">
        <x:f>MAX(0,MIN(99-BL1098,BO1097+IF(C1098="理智",E1098,0)))</x:f>
        <x:v>0</x:v>
      </x:c>
      <x:c r="BP1098">
        <x:f>MAX(0,MIN(99,BP1097+IF(C1098="崩溃点",E1098,0)))</x:f>
        <x:v>0</x:v>
      </x:c>
      <x:c r="BQ1098">
        <x:f>MAX(0,MIN(BK1098,IF(AND(H1098=1,C1098="重要关系1",LEFT('幕间与结算'!H1005,8)="建立新的重要关系"),'幕间与结算'!E1005+E1098,BQ1097+IF(C1098="重要关系1",E1098,0)+IF(AND(C1098="魅力",E1098&lt;0),E1098,0))))</x:f>
        <x:v>0</x:v>
      </x:c>
      <x:c r="BR1098">
        <x:f>MAX(0,MIN(BK1098,IF(AND(H1098=1,C1098="重要关系2",LEFT('幕间与结算'!H1005,8)="建立新的重要关系"),'幕间与结算'!E1005+E1098,BR1097+IF(C1098="重要关系2",E1098,0)+IF(AND(C1098="魅力",E1098&lt;0),E1098,0))))</x:f>
        <x:v>0</x:v>
      </x:c>
      <x:c r="BS1098">
        <x:f>MAX(0,MIN(BK1098,IF(AND(H1098=1,C1098="重要关系3",LEFT('幕间与结算'!H1005,8)="建立新的重要关系"),'幕间与结算'!E1005+E1098,BS1097+IF(C1098="重要关系3",E1098,0)+IF(AND(C1098="魅力",E1098&lt;0),E1098,0))))</x:f>
        <x:v>0</x:v>
      </x:c>
      <x:c r="BT1098">
        <x:f>MAX(0,MIN(BK1098,IF(AND(H1098=1,C1098="重要关系4",LEFT('幕间与结算'!H1005,8)="建立新的重要关系"),'幕间与结算'!E1005+E1098,BT1097+IF(C1098="重要关系4",E1098,0)+IF(AND(C1098="魅力",E1098&lt;0),E1098,0))))</x:f>
        <x:v>0</x:v>
      </x:c>
      <x:c r="BU1098">
        <x:f>MAX(0,MIN(BK1098,IF(AND(H1098=1,C1098="重要关系5",LEFT('幕间与结算'!H1005,8)="建立新的重要关系"),'幕间与结算'!E1005+E1098,BU1097+IF(C1098="重要关系5",E1098,0)+IF(AND(C1098="魅力",E1098&lt;0),E1098,0))))</x:f>
        <x:v>0</x:v>
      </x:c>
      <x:c r="BV1098">
        <x:f>MAX(0,MIN(BK1098,IF(AND(H1098=1,C1098="重要关系6",LEFT('幕间与结算'!H1005,8)="建立新的重要关系"),'幕间与结算'!E1005+E1098,BV1097+IF(C1098="重要关系6",E1098,0)+IF(AND(C1098="魅力",E1098&lt;0),E1098,0))))</x:f>
        <x:v>0</x:v>
      </x:c>
      <x:c r="BW1098">
        <x:f>MAX(0,MIN(BK1098,IF(AND(H1098=1,C1098="重要关系7",LEFT('幕间与结算'!H1005,8)="建立新的重要关系"),'幕间与结算'!E1005+E1098,BW1097+IF(C1098="重要关系7",E1098,0)+IF(AND(C1098="魅力",E1098&lt;0),E1098,0))))</x:f>
        <x:v>0</x:v>
      </x:c>
    </x:row>
    <x:row r="1099">
      <x:c r="A1099" t="str">
        <x:f>IFERROR(TEXT(VALUE('幕间与结算'!A1006),"00"),"")</x:f>
        <x:v>00</x:v>
      </x:c>
      <x:c r="B1099">
        <x:f>'幕间与结算'!B1006</x:f>
        <x:v>0</x:v>
      </x:c>
      <x:c r="C1099">
        <x:f>'幕间与结算'!D1006</x:f>
        <x:v>0</x:v>
      </x:c>
      <x:c r="D1099">
        <x:f>'幕间与结算'!F1006</x:f>
        <x:v>0</x:v>
      </x:c>
      <x:c r="E1099">
        <x:f>IF(H1099=1,MAX(-'幕间与结算'!E1006,MIN(D1099,IF(LEFT(C1099,3)="技能：",99,IF(COUNTIF($L$2:$L$7,C1099)&gt;0,18,999))-'幕间与结算'!E1006)),0)</x:f>
        <x:v>0</x:v>
      </x:c>
      <x:c r="F1099" t="str">
        <x:f>IF(C1099=0,"",IF(G1099=0,"记录不完整",IF(H1099=0,"重复未计","已计入")))</x:f>
        <x:v/>
      </x:c>
      <x:c r="G1099">
        <x:f>IF(AND(AND('幕间与结算'!A1006&lt;&gt;"",'幕间与结算'!B1006&lt;&gt;"",'幕间与结算'!I1006&lt;&gt;"",OR(LEFT(C1099,3)="技能：",COUNTIF($L$2:$L$19,C1099)&gt;0),ISNUMBER('幕间与结算'!E1006),ISNUMBER('幕间与结算'!F1006),ISNUMBER('幕间与结算'!G1006),'幕间与结算'!E1006&gt;=0,'幕间与结算'!G1006='幕间与结算'!E1006+'幕间与结算'!F1006),OR(B1099&lt;&gt;"成长",AND(LEFT(C1099,3)="技能：",C1099&lt;&gt;"技能：非自然知识",'幕间与结算'!E1006&gt;=1,'幕间与结算'!E1006&lt;=99,'幕间与结算'!F1006&gt;=0,'幕间与结算'!F1006&lt;=4,'幕间与结算'!G1006&lt;=99))),1,0)</x:f>
        <x:v>0</x:v>
      </x:c>
      <x:c r="H1099">
        <x:f>IF(AND(G1099=1,COUNTIFS($I$200:I1099,I1099,$G$200:G1099,1)=1),1,0)</x:f>
        <x:v>0</x:v>
      </x:c>
      <x:c r="I1099" t="str">
        <x:f>IF(G1099=1,IF(B1099="成长",A1099&amp;"-成长-"&amp;C1099,'幕间与结算'!I1006),"")</x:f>
        <x:v/>
      </x:c>
      <x:c r="BF1099">
        <x:f>MAX(0,MIN(18,BF1098+IF(C1099="力量",E1099,0)))</x:f>
        <x:v>0</x:v>
      </x:c>
      <x:c r="BG1099">
        <x:f>MAX(0,MIN(18,BG1098+IF(C1099="体质",E1099,0)))</x:f>
        <x:v>0</x:v>
      </x:c>
      <x:c r="BH1099">
        <x:f>MAX(0,MIN(18,BH1098+IF(C1099="敏捷",E1099,0)))</x:f>
        <x:v>0</x:v>
      </x:c>
      <x:c r="BI1099">
        <x:f>MAX(0,MIN(18,BI1098+IF(C1099="智力",E1099,0)))</x:f>
        <x:v>0</x:v>
      </x:c>
      <x:c r="BJ1099">
        <x:f>MAX(0,MIN(18,BJ1098+IF(C1099="意志",E1099,0)))</x:f>
        <x:v>0</x:v>
      </x:c>
      <x:c r="BK1099">
        <x:f>MAX(0,MIN(18,BK1098+IF(C1099="魅力",E1099,0)))</x:f>
        <x:v>0</x:v>
      </x:c>
      <x:c r="BL1099">
        <x:f>MAX(0,MIN(99,BL1098+IF(C1099="技能：非自然知识",E1099,0)))</x:f>
        <x:v>0</x:v>
      </x:c>
      <x:c r="BM1099">
        <x:f>MAX(0,MIN(CEILING((BF1099+BG1099)/2,1),BM1098+IF(C1099="体力",E1099,0)))</x:f>
        <x:v>0</x:v>
      </x:c>
      <x:c r="BN1099">
        <x:f>MAX(0,MIN(BJ1099,BN1098+IF(C1099="毅力",E1099,0)))</x:f>
        <x:v>0</x:v>
      </x:c>
      <x:c r="BO1099">
        <x:f>MAX(0,MIN(99-BL1099,BO1098+IF(C1099="理智",E1099,0)))</x:f>
        <x:v>0</x:v>
      </x:c>
      <x:c r="BP1099">
        <x:f>MAX(0,MIN(99,BP1098+IF(C1099="崩溃点",E1099,0)))</x:f>
        <x:v>0</x:v>
      </x:c>
      <x:c r="BQ1099">
        <x:f>MAX(0,MIN(BK1099,IF(AND(H1099=1,C1099="重要关系1",LEFT('幕间与结算'!H1006,8)="建立新的重要关系"),'幕间与结算'!E1006+E1099,BQ1098+IF(C1099="重要关系1",E1099,0)+IF(AND(C1099="魅力",E1099&lt;0),E1099,0))))</x:f>
        <x:v>0</x:v>
      </x:c>
      <x:c r="BR1099">
        <x:f>MAX(0,MIN(BK1099,IF(AND(H1099=1,C1099="重要关系2",LEFT('幕间与结算'!H1006,8)="建立新的重要关系"),'幕间与结算'!E1006+E1099,BR1098+IF(C1099="重要关系2",E1099,0)+IF(AND(C1099="魅力",E1099&lt;0),E1099,0))))</x:f>
        <x:v>0</x:v>
      </x:c>
      <x:c r="BS1099">
        <x:f>MAX(0,MIN(BK1099,IF(AND(H1099=1,C1099="重要关系3",LEFT('幕间与结算'!H1006,8)="建立新的重要关系"),'幕间与结算'!E1006+E1099,BS1098+IF(C1099="重要关系3",E1099,0)+IF(AND(C1099="魅力",E1099&lt;0),E1099,0))))</x:f>
        <x:v>0</x:v>
      </x:c>
      <x:c r="BT1099">
        <x:f>MAX(0,MIN(BK1099,IF(AND(H1099=1,C1099="重要关系4",LEFT('幕间与结算'!H1006,8)="建立新的重要关系"),'幕间与结算'!E1006+E1099,BT1098+IF(C1099="重要关系4",E1099,0)+IF(AND(C1099="魅力",E1099&lt;0),E1099,0))))</x:f>
        <x:v>0</x:v>
      </x:c>
      <x:c r="BU1099">
        <x:f>MAX(0,MIN(BK1099,IF(AND(H1099=1,C1099="重要关系5",LEFT('幕间与结算'!H1006,8)="建立新的重要关系"),'幕间与结算'!E1006+E1099,BU1098+IF(C1099="重要关系5",E1099,0)+IF(AND(C1099="魅力",E1099&lt;0),E1099,0))))</x:f>
        <x:v>0</x:v>
      </x:c>
      <x:c r="BV1099">
        <x:f>MAX(0,MIN(BK1099,IF(AND(H1099=1,C1099="重要关系6",LEFT('幕间与结算'!H1006,8)="建立新的重要关系"),'幕间与结算'!E1006+E1099,BV1098+IF(C1099="重要关系6",E1099,0)+IF(AND(C1099="魅力",E1099&lt;0),E1099,0))))</x:f>
        <x:v>0</x:v>
      </x:c>
      <x:c r="BW1099">
        <x:f>MAX(0,MIN(BK1099,IF(AND(H1099=1,C1099="重要关系7",LEFT('幕间与结算'!H1006,8)="建立新的重要关系"),'幕间与结算'!E1006+E1099,BW1098+IF(C1099="重要关系7",E1099,0)+IF(AND(C1099="魅力",E1099&lt;0),E1099,0))))</x:f>
        <x:v>0</x:v>
      </x:c>
    </x:row>
    <x:row r="1100">
      <x:c r="A1100" t="str">
        <x:f>IFERROR(TEXT(VALUE('幕间与结算'!A1007),"00"),"")</x:f>
        <x:v>00</x:v>
      </x:c>
      <x:c r="B1100">
        <x:f>'幕间与结算'!B1007</x:f>
        <x:v>0</x:v>
      </x:c>
      <x:c r="C1100">
        <x:f>'幕间与结算'!D1007</x:f>
        <x:v>0</x:v>
      </x:c>
      <x:c r="D1100">
        <x:f>'幕间与结算'!F1007</x:f>
        <x:v>0</x:v>
      </x:c>
      <x:c r="E1100">
        <x:f>IF(H1100=1,MAX(-'幕间与结算'!E1007,MIN(D1100,IF(LEFT(C1100,3)="技能：",99,IF(COUNTIF($L$2:$L$7,C1100)&gt;0,18,999))-'幕间与结算'!E1007)),0)</x:f>
        <x:v>0</x:v>
      </x:c>
      <x:c r="F1100" t="str">
        <x:f>IF(C1100=0,"",IF(G1100=0,"记录不完整",IF(H1100=0,"重复未计","已计入")))</x:f>
        <x:v/>
      </x:c>
      <x:c r="G1100">
        <x:f>IF(AND(AND('幕间与结算'!A1007&lt;&gt;"",'幕间与结算'!B1007&lt;&gt;"",'幕间与结算'!I1007&lt;&gt;"",OR(LEFT(C1100,3)="技能：",COUNTIF($L$2:$L$19,C1100)&gt;0),ISNUMBER('幕间与结算'!E1007),ISNUMBER('幕间与结算'!F1007),ISNUMBER('幕间与结算'!G1007),'幕间与结算'!E1007&gt;=0,'幕间与结算'!G1007='幕间与结算'!E1007+'幕间与结算'!F1007),OR(B1100&lt;&gt;"成长",AND(LEFT(C1100,3)="技能：",C1100&lt;&gt;"技能：非自然知识",'幕间与结算'!E1007&gt;=1,'幕间与结算'!E1007&lt;=99,'幕间与结算'!F1007&gt;=0,'幕间与结算'!F1007&lt;=4,'幕间与结算'!G1007&lt;=99))),1,0)</x:f>
        <x:v>0</x:v>
      </x:c>
      <x:c r="H1100">
        <x:f>IF(AND(G1100=1,COUNTIFS($I$200:I1100,I1100,$G$200:G1100,1)=1),1,0)</x:f>
        <x:v>0</x:v>
      </x:c>
      <x:c r="I1100" t="str">
        <x:f>IF(G1100=1,IF(B1100="成长",A1100&amp;"-成长-"&amp;C1100,'幕间与结算'!I1007),"")</x:f>
        <x:v/>
      </x:c>
      <x:c r="BF1100">
        <x:f>MAX(0,MIN(18,BF1099+IF(C1100="力量",E1100,0)))</x:f>
        <x:v>0</x:v>
      </x:c>
      <x:c r="BG1100">
        <x:f>MAX(0,MIN(18,BG1099+IF(C1100="体质",E1100,0)))</x:f>
        <x:v>0</x:v>
      </x:c>
      <x:c r="BH1100">
        <x:f>MAX(0,MIN(18,BH1099+IF(C1100="敏捷",E1100,0)))</x:f>
        <x:v>0</x:v>
      </x:c>
      <x:c r="BI1100">
        <x:f>MAX(0,MIN(18,BI1099+IF(C1100="智力",E1100,0)))</x:f>
        <x:v>0</x:v>
      </x:c>
      <x:c r="BJ1100">
        <x:f>MAX(0,MIN(18,BJ1099+IF(C1100="意志",E1100,0)))</x:f>
        <x:v>0</x:v>
      </x:c>
      <x:c r="BK1100">
        <x:f>MAX(0,MIN(18,BK1099+IF(C1100="魅力",E1100,0)))</x:f>
        <x:v>0</x:v>
      </x:c>
      <x:c r="BL1100">
        <x:f>MAX(0,MIN(99,BL1099+IF(C1100="技能：非自然知识",E1100,0)))</x:f>
        <x:v>0</x:v>
      </x:c>
      <x:c r="BM1100">
        <x:f>MAX(0,MIN(CEILING((BF1100+BG1100)/2,1),BM1099+IF(C1100="体力",E1100,0)))</x:f>
        <x:v>0</x:v>
      </x:c>
      <x:c r="BN1100">
        <x:f>MAX(0,MIN(BJ1100,BN1099+IF(C1100="毅力",E1100,0)))</x:f>
        <x:v>0</x:v>
      </x:c>
      <x:c r="BO1100">
        <x:f>MAX(0,MIN(99-BL1100,BO1099+IF(C1100="理智",E1100,0)))</x:f>
        <x:v>0</x:v>
      </x:c>
      <x:c r="BP1100">
        <x:f>MAX(0,MIN(99,BP1099+IF(C1100="崩溃点",E1100,0)))</x:f>
        <x:v>0</x:v>
      </x:c>
      <x:c r="BQ1100">
        <x:f>MAX(0,MIN(BK1100,IF(AND(H1100=1,C1100="重要关系1",LEFT('幕间与结算'!H1007,8)="建立新的重要关系"),'幕间与结算'!E1007+E1100,BQ1099+IF(C1100="重要关系1",E1100,0)+IF(AND(C1100="魅力",E1100&lt;0),E1100,0))))</x:f>
        <x:v>0</x:v>
      </x:c>
      <x:c r="BR1100">
        <x:f>MAX(0,MIN(BK1100,IF(AND(H1100=1,C1100="重要关系2",LEFT('幕间与结算'!H1007,8)="建立新的重要关系"),'幕间与结算'!E1007+E1100,BR1099+IF(C1100="重要关系2",E1100,0)+IF(AND(C1100="魅力",E1100&lt;0),E1100,0))))</x:f>
        <x:v>0</x:v>
      </x:c>
      <x:c r="BS1100">
        <x:f>MAX(0,MIN(BK1100,IF(AND(H1100=1,C1100="重要关系3",LEFT('幕间与结算'!H1007,8)="建立新的重要关系"),'幕间与结算'!E1007+E1100,BS1099+IF(C1100="重要关系3",E1100,0)+IF(AND(C1100="魅力",E1100&lt;0),E1100,0))))</x:f>
        <x:v>0</x:v>
      </x:c>
      <x:c r="BT1100">
        <x:f>MAX(0,MIN(BK1100,IF(AND(H1100=1,C1100="重要关系4",LEFT('幕间与结算'!H1007,8)="建立新的重要关系"),'幕间与结算'!E1007+E1100,BT1099+IF(C1100="重要关系4",E1100,0)+IF(AND(C1100="魅力",E1100&lt;0),E1100,0))))</x:f>
        <x:v>0</x:v>
      </x:c>
      <x:c r="BU1100">
        <x:f>MAX(0,MIN(BK1100,IF(AND(H1100=1,C1100="重要关系5",LEFT('幕间与结算'!H1007,8)="建立新的重要关系"),'幕间与结算'!E1007+E1100,BU1099+IF(C1100="重要关系5",E1100,0)+IF(AND(C1100="魅力",E1100&lt;0),E1100,0))))</x:f>
        <x:v>0</x:v>
      </x:c>
      <x:c r="BV1100">
        <x:f>MAX(0,MIN(BK1100,IF(AND(H1100=1,C1100="重要关系6",LEFT('幕间与结算'!H1007,8)="建立新的重要关系"),'幕间与结算'!E1007+E1100,BV1099+IF(C1100="重要关系6",E1100,0)+IF(AND(C1100="魅力",E1100&lt;0),E1100,0))))</x:f>
        <x:v>0</x:v>
      </x:c>
      <x:c r="BW1100">
        <x:f>MAX(0,MIN(BK1100,IF(AND(H1100=1,C1100="重要关系7",LEFT('幕间与结算'!H1007,8)="建立新的重要关系"),'幕间与结算'!E1007+E1100,BW1099+IF(C1100="重要关系7",E1100,0)+IF(AND(C1100="魅力",E1100&lt;0),E1100,0))))</x:f>
        <x:v>0</x:v>
      </x:c>
    </x:row>
    <x:row r="1101">
      <x:c r="A1101" t="str">
        <x:f>IFERROR(TEXT(VALUE('幕间与结算'!A1008),"00"),"")</x:f>
        <x:v>00</x:v>
      </x:c>
      <x:c r="B1101">
        <x:f>'幕间与结算'!B1008</x:f>
        <x:v>0</x:v>
      </x:c>
      <x:c r="C1101">
        <x:f>'幕间与结算'!D1008</x:f>
        <x:v>0</x:v>
      </x:c>
      <x:c r="D1101">
        <x:f>'幕间与结算'!F1008</x:f>
        <x:v>0</x:v>
      </x:c>
      <x:c r="E1101">
        <x:f>IF(H1101=1,MAX(-'幕间与结算'!E1008,MIN(D1101,IF(LEFT(C1101,3)="技能：",99,IF(COUNTIF($L$2:$L$7,C1101)&gt;0,18,999))-'幕间与结算'!E1008)),0)</x:f>
        <x:v>0</x:v>
      </x:c>
      <x:c r="F1101" t="str">
        <x:f>IF(C1101=0,"",IF(G1101=0,"记录不完整",IF(H1101=0,"重复未计","已计入")))</x:f>
        <x:v/>
      </x:c>
      <x:c r="G1101">
        <x:f>IF(AND(AND('幕间与结算'!A1008&lt;&gt;"",'幕间与结算'!B1008&lt;&gt;"",'幕间与结算'!I1008&lt;&gt;"",OR(LEFT(C1101,3)="技能：",COUNTIF($L$2:$L$19,C1101)&gt;0),ISNUMBER('幕间与结算'!E1008),ISNUMBER('幕间与结算'!F1008),ISNUMBER('幕间与结算'!G1008),'幕间与结算'!E1008&gt;=0,'幕间与结算'!G1008='幕间与结算'!E1008+'幕间与结算'!F1008),OR(B1101&lt;&gt;"成长",AND(LEFT(C1101,3)="技能：",C1101&lt;&gt;"技能：非自然知识",'幕间与结算'!E1008&gt;=1,'幕间与结算'!E1008&lt;=99,'幕间与结算'!F1008&gt;=0,'幕间与结算'!F1008&lt;=4,'幕间与结算'!G1008&lt;=99))),1,0)</x:f>
        <x:v>0</x:v>
      </x:c>
      <x:c r="H1101">
        <x:f>IF(AND(G1101=1,COUNTIFS($I$200:I1101,I1101,$G$200:G1101,1)=1),1,0)</x:f>
        <x:v>0</x:v>
      </x:c>
      <x:c r="I1101" t="str">
        <x:f>IF(G1101=1,IF(B1101="成长",A1101&amp;"-成长-"&amp;C1101,'幕间与结算'!I1008),"")</x:f>
        <x:v/>
      </x:c>
      <x:c r="BF1101">
        <x:f>MAX(0,MIN(18,BF1100+IF(C1101="力量",E1101,0)))</x:f>
        <x:v>0</x:v>
      </x:c>
      <x:c r="BG1101">
        <x:f>MAX(0,MIN(18,BG1100+IF(C1101="体质",E1101,0)))</x:f>
        <x:v>0</x:v>
      </x:c>
      <x:c r="BH1101">
        <x:f>MAX(0,MIN(18,BH1100+IF(C1101="敏捷",E1101,0)))</x:f>
        <x:v>0</x:v>
      </x:c>
      <x:c r="BI1101">
        <x:f>MAX(0,MIN(18,BI1100+IF(C1101="智力",E1101,0)))</x:f>
        <x:v>0</x:v>
      </x:c>
      <x:c r="BJ1101">
        <x:f>MAX(0,MIN(18,BJ1100+IF(C1101="意志",E1101,0)))</x:f>
        <x:v>0</x:v>
      </x:c>
      <x:c r="BK1101">
        <x:f>MAX(0,MIN(18,BK1100+IF(C1101="魅力",E1101,0)))</x:f>
        <x:v>0</x:v>
      </x:c>
      <x:c r="BL1101">
        <x:f>MAX(0,MIN(99,BL1100+IF(C1101="技能：非自然知识",E1101,0)))</x:f>
        <x:v>0</x:v>
      </x:c>
      <x:c r="BM1101">
        <x:f>MAX(0,MIN(CEILING((BF1101+BG1101)/2,1),BM1100+IF(C1101="体力",E1101,0)))</x:f>
        <x:v>0</x:v>
      </x:c>
      <x:c r="BN1101">
        <x:f>MAX(0,MIN(BJ1101,BN1100+IF(C1101="毅力",E1101,0)))</x:f>
        <x:v>0</x:v>
      </x:c>
      <x:c r="BO1101">
        <x:f>MAX(0,MIN(99-BL1101,BO1100+IF(C1101="理智",E1101,0)))</x:f>
        <x:v>0</x:v>
      </x:c>
      <x:c r="BP1101">
        <x:f>MAX(0,MIN(99,BP1100+IF(C1101="崩溃点",E1101,0)))</x:f>
        <x:v>0</x:v>
      </x:c>
      <x:c r="BQ1101">
        <x:f>MAX(0,MIN(BK1101,IF(AND(H1101=1,C1101="重要关系1",LEFT('幕间与结算'!H1008,8)="建立新的重要关系"),'幕间与结算'!E1008+E1101,BQ1100+IF(C1101="重要关系1",E1101,0)+IF(AND(C1101="魅力",E1101&lt;0),E1101,0))))</x:f>
        <x:v>0</x:v>
      </x:c>
      <x:c r="BR1101">
        <x:f>MAX(0,MIN(BK1101,IF(AND(H1101=1,C1101="重要关系2",LEFT('幕间与结算'!H1008,8)="建立新的重要关系"),'幕间与结算'!E1008+E1101,BR1100+IF(C1101="重要关系2",E1101,0)+IF(AND(C1101="魅力",E1101&lt;0),E1101,0))))</x:f>
        <x:v>0</x:v>
      </x:c>
      <x:c r="BS1101">
        <x:f>MAX(0,MIN(BK1101,IF(AND(H1101=1,C1101="重要关系3",LEFT('幕间与结算'!H1008,8)="建立新的重要关系"),'幕间与结算'!E1008+E1101,BS1100+IF(C1101="重要关系3",E1101,0)+IF(AND(C1101="魅力",E1101&lt;0),E1101,0))))</x:f>
        <x:v>0</x:v>
      </x:c>
      <x:c r="BT1101">
        <x:f>MAX(0,MIN(BK1101,IF(AND(H1101=1,C1101="重要关系4",LEFT('幕间与结算'!H1008,8)="建立新的重要关系"),'幕间与结算'!E1008+E1101,BT1100+IF(C1101="重要关系4",E1101,0)+IF(AND(C1101="魅力",E1101&lt;0),E1101,0))))</x:f>
        <x:v>0</x:v>
      </x:c>
      <x:c r="BU1101">
        <x:f>MAX(0,MIN(BK1101,IF(AND(H1101=1,C1101="重要关系5",LEFT('幕间与结算'!H1008,8)="建立新的重要关系"),'幕间与结算'!E1008+E1101,BU1100+IF(C1101="重要关系5",E1101,0)+IF(AND(C1101="魅力",E1101&lt;0),E1101,0))))</x:f>
        <x:v>0</x:v>
      </x:c>
      <x:c r="BV1101">
        <x:f>MAX(0,MIN(BK1101,IF(AND(H1101=1,C1101="重要关系6",LEFT('幕间与结算'!H1008,8)="建立新的重要关系"),'幕间与结算'!E1008+E1101,BV1100+IF(C1101="重要关系6",E1101,0)+IF(AND(C1101="魅力",E1101&lt;0),E1101,0))))</x:f>
        <x:v>0</x:v>
      </x:c>
      <x:c r="BW1101">
        <x:f>MAX(0,MIN(BK1101,IF(AND(H1101=1,C1101="重要关系7",LEFT('幕间与结算'!H1008,8)="建立新的重要关系"),'幕间与结算'!E1008+E1101,BW1100+IF(C1101="重要关系7",E1101,0)+IF(AND(C1101="魅力",E1101&lt;0),E1101,0))))</x:f>
        <x:v>0</x:v>
      </x:c>
    </x:row>
    <x:row r="1102">
      <x:c r="A1102" t="str">
        <x:f>IFERROR(TEXT(VALUE('幕间与结算'!A1009),"00"),"")</x:f>
        <x:v>00</x:v>
      </x:c>
      <x:c r="B1102">
        <x:f>'幕间与结算'!B1009</x:f>
        <x:v>0</x:v>
      </x:c>
      <x:c r="C1102">
        <x:f>'幕间与结算'!D1009</x:f>
        <x:v>0</x:v>
      </x:c>
      <x:c r="D1102">
        <x:f>'幕间与结算'!F1009</x:f>
        <x:v>0</x:v>
      </x:c>
      <x:c r="E1102">
        <x:f>IF(H1102=1,MAX(-'幕间与结算'!E1009,MIN(D1102,IF(LEFT(C1102,3)="技能：",99,IF(COUNTIF($L$2:$L$7,C1102)&gt;0,18,999))-'幕间与结算'!E1009)),0)</x:f>
        <x:v>0</x:v>
      </x:c>
      <x:c r="F1102" t="str">
        <x:f>IF(C1102=0,"",IF(G1102=0,"记录不完整",IF(H1102=0,"重复未计","已计入")))</x:f>
        <x:v/>
      </x:c>
      <x:c r="G1102">
        <x:f>IF(AND(AND('幕间与结算'!A1009&lt;&gt;"",'幕间与结算'!B1009&lt;&gt;"",'幕间与结算'!I1009&lt;&gt;"",OR(LEFT(C1102,3)="技能：",COUNTIF($L$2:$L$19,C1102)&gt;0),ISNUMBER('幕间与结算'!E1009),ISNUMBER('幕间与结算'!F1009),ISNUMBER('幕间与结算'!G1009),'幕间与结算'!E1009&gt;=0,'幕间与结算'!G1009='幕间与结算'!E1009+'幕间与结算'!F1009),OR(B1102&lt;&gt;"成长",AND(LEFT(C1102,3)="技能：",C1102&lt;&gt;"技能：非自然知识",'幕间与结算'!E1009&gt;=1,'幕间与结算'!E1009&lt;=99,'幕间与结算'!F1009&gt;=0,'幕间与结算'!F1009&lt;=4,'幕间与结算'!G1009&lt;=99))),1,0)</x:f>
        <x:v>0</x:v>
      </x:c>
      <x:c r="H1102">
        <x:f>IF(AND(G1102=1,COUNTIFS($I$200:I1102,I1102,$G$200:G1102,1)=1),1,0)</x:f>
        <x:v>0</x:v>
      </x:c>
      <x:c r="I1102" t="str">
        <x:f>IF(G1102=1,IF(B1102="成长",A1102&amp;"-成长-"&amp;C1102,'幕间与结算'!I1009),"")</x:f>
        <x:v/>
      </x:c>
      <x:c r="BF1102">
        <x:f>MAX(0,MIN(18,BF1101+IF(C1102="力量",E1102,0)))</x:f>
        <x:v>0</x:v>
      </x:c>
      <x:c r="BG1102">
        <x:f>MAX(0,MIN(18,BG1101+IF(C1102="体质",E1102,0)))</x:f>
        <x:v>0</x:v>
      </x:c>
      <x:c r="BH1102">
        <x:f>MAX(0,MIN(18,BH1101+IF(C1102="敏捷",E1102,0)))</x:f>
        <x:v>0</x:v>
      </x:c>
      <x:c r="BI1102">
        <x:f>MAX(0,MIN(18,BI1101+IF(C1102="智力",E1102,0)))</x:f>
        <x:v>0</x:v>
      </x:c>
      <x:c r="BJ1102">
        <x:f>MAX(0,MIN(18,BJ1101+IF(C1102="意志",E1102,0)))</x:f>
        <x:v>0</x:v>
      </x:c>
      <x:c r="BK1102">
        <x:f>MAX(0,MIN(18,BK1101+IF(C1102="魅力",E1102,0)))</x:f>
        <x:v>0</x:v>
      </x:c>
      <x:c r="BL1102">
        <x:f>MAX(0,MIN(99,BL1101+IF(C1102="技能：非自然知识",E1102,0)))</x:f>
        <x:v>0</x:v>
      </x:c>
      <x:c r="BM1102">
        <x:f>MAX(0,MIN(CEILING((BF1102+BG1102)/2,1),BM1101+IF(C1102="体力",E1102,0)))</x:f>
        <x:v>0</x:v>
      </x:c>
      <x:c r="BN1102">
        <x:f>MAX(0,MIN(BJ1102,BN1101+IF(C1102="毅力",E1102,0)))</x:f>
        <x:v>0</x:v>
      </x:c>
      <x:c r="BO1102">
        <x:f>MAX(0,MIN(99-BL1102,BO1101+IF(C1102="理智",E1102,0)))</x:f>
        <x:v>0</x:v>
      </x:c>
      <x:c r="BP1102">
        <x:f>MAX(0,MIN(99,BP1101+IF(C1102="崩溃点",E1102,0)))</x:f>
        <x:v>0</x:v>
      </x:c>
      <x:c r="BQ1102">
        <x:f>MAX(0,MIN(BK1102,IF(AND(H1102=1,C1102="重要关系1",LEFT('幕间与结算'!H1009,8)="建立新的重要关系"),'幕间与结算'!E1009+E1102,BQ1101+IF(C1102="重要关系1",E1102,0)+IF(AND(C1102="魅力",E1102&lt;0),E1102,0))))</x:f>
        <x:v>0</x:v>
      </x:c>
      <x:c r="BR1102">
        <x:f>MAX(0,MIN(BK1102,IF(AND(H1102=1,C1102="重要关系2",LEFT('幕间与结算'!H1009,8)="建立新的重要关系"),'幕间与结算'!E1009+E1102,BR1101+IF(C1102="重要关系2",E1102,0)+IF(AND(C1102="魅力",E1102&lt;0),E1102,0))))</x:f>
        <x:v>0</x:v>
      </x:c>
      <x:c r="BS1102">
        <x:f>MAX(0,MIN(BK1102,IF(AND(H1102=1,C1102="重要关系3",LEFT('幕间与结算'!H1009,8)="建立新的重要关系"),'幕间与结算'!E1009+E1102,BS1101+IF(C1102="重要关系3",E1102,0)+IF(AND(C1102="魅力",E1102&lt;0),E1102,0))))</x:f>
        <x:v>0</x:v>
      </x:c>
      <x:c r="BT1102">
        <x:f>MAX(0,MIN(BK1102,IF(AND(H1102=1,C1102="重要关系4",LEFT('幕间与结算'!H1009,8)="建立新的重要关系"),'幕间与结算'!E1009+E1102,BT1101+IF(C1102="重要关系4",E1102,0)+IF(AND(C1102="魅力",E1102&lt;0),E1102,0))))</x:f>
        <x:v>0</x:v>
      </x:c>
      <x:c r="BU1102">
        <x:f>MAX(0,MIN(BK1102,IF(AND(H1102=1,C1102="重要关系5",LEFT('幕间与结算'!H1009,8)="建立新的重要关系"),'幕间与结算'!E1009+E1102,BU1101+IF(C1102="重要关系5",E1102,0)+IF(AND(C1102="魅力",E1102&lt;0),E1102,0))))</x:f>
        <x:v>0</x:v>
      </x:c>
      <x:c r="BV1102">
        <x:f>MAX(0,MIN(BK1102,IF(AND(H1102=1,C1102="重要关系6",LEFT('幕间与结算'!H1009,8)="建立新的重要关系"),'幕间与结算'!E1009+E1102,BV1101+IF(C1102="重要关系6",E1102,0)+IF(AND(C1102="魅力",E1102&lt;0),E1102,0))))</x:f>
        <x:v>0</x:v>
      </x:c>
      <x:c r="BW1102">
        <x:f>MAX(0,MIN(BK1102,IF(AND(H1102=1,C1102="重要关系7",LEFT('幕间与结算'!H1009,8)="建立新的重要关系"),'幕间与结算'!E1009+E1102,BW1101+IF(C1102="重要关系7",E1102,0)+IF(AND(C1102="魅力",E1102&lt;0),E1102,0))))</x:f>
        <x:v>0</x:v>
      </x:c>
    </x:row>
    <x:row r="1103">
      <x:c r="A1103" t="str">
        <x:f>IFERROR(TEXT(VALUE('幕间与结算'!A1010),"00"),"")</x:f>
        <x:v>00</x:v>
      </x:c>
      <x:c r="B1103">
        <x:f>'幕间与结算'!B1010</x:f>
        <x:v>0</x:v>
      </x:c>
      <x:c r="C1103">
        <x:f>'幕间与结算'!D1010</x:f>
        <x:v>0</x:v>
      </x:c>
      <x:c r="D1103">
        <x:f>'幕间与结算'!F1010</x:f>
        <x:v>0</x:v>
      </x:c>
      <x:c r="E1103">
        <x:f>IF(H1103=1,MAX(-'幕间与结算'!E1010,MIN(D1103,IF(LEFT(C1103,3)="技能：",99,IF(COUNTIF($L$2:$L$7,C1103)&gt;0,18,999))-'幕间与结算'!E1010)),0)</x:f>
        <x:v>0</x:v>
      </x:c>
      <x:c r="F1103" t="str">
        <x:f>IF(C1103=0,"",IF(G1103=0,"记录不完整",IF(H1103=0,"重复未计","已计入")))</x:f>
        <x:v/>
      </x:c>
      <x:c r="G1103">
        <x:f>IF(AND(AND('幕间与结算'!A1010&lt;&gt;"",'幕间与结算'!B1010&lt;&gt;"",'幕间与结算'!I1010&lt;&gt;"",OR(LEFT(C1103,3)="技能：",COUNTIF($L$2:$L$19,C1103)&gt;0),ISNUMBER('幕间与结算'!E1010),ISNUMBER('幕间与结算'!F1010),ISNUMBER('幕间与结算'!G1010),'幕间与结算'!E1010&gt;=0,'幕间与结算'!G1010='幕间与结算'!E1010+'幕间与结算'!F1010),OR(B1103&lt;&gt;"成长",AND(LEFT(C1103,3)="技能：",C1103&lt;&gt;"技能：非自然知识",'幕间与结算'!E1010&gt;=1,'幕间与结算'!E1010&lt;=99,'幕间与结算'!F1010&gt;=0,'幕间与结算'!F1010&lt;=4,'幕间与结算'!G1010&lt;=99))),1,0)</x:f>
        <x:v>0</x:v>
      </x:c>
      <x:c r="H1103">
        <x:f>IF(AND(G1103=1,COUNTIFS($I$200:I1103,I1103,$G$200:G1103,1)=1),1,0)</x:f>
        <x:v>0</x:v>
      </x:c>
      <x:c r="I1103" t="str">
        <x:f>IF(G1103=1,IF(B1103="成长",A1103&amp;"-成长-"&amp;C1103,'幕间与结算'!I1010),"")</x:f>
        <x:v/>
      </x:c>
      <x:c r="BF1103">
        <x:f>MAX(0,MIN(18,BF1102+IF(C1103="力量",E1103,0)))</x:f>
        <x:v>0</x:v>
      </x:c>
      <x:c r="BG1103">
        <x:f>MAX(0,MIN(18,BG1102+IF(C1103="体质",E1103,0)))</x:f>
        <x:v>0</x:v>
      </x:c>
      <x:c r="BH1103">
        <x:f>MAX(0,MIN(18,BH1102+IF(C1103="敏捷",E1103,0)))</x:f>
        <x:v>0</x:v>
      </x:c>
      <x:c r="BI1103">
        <x:f>MAX(0,MIN(18,BI1102+IF(C1103="智力",E1103,0)))</x:f>
        <x:v>0</x:v>
      </x:c>
      <x:c r="BJ1103">
        <x:f>MAX(0,MIN(18,BJ1102+IF(C1103="意志",E1103,0)))</x:f>
        <x:v>0</x:v>
      </x:c>
      <x:c r="BK1103">
        <x:f>MAX(0,MIN(18,BK1102+IF(C1103="魅力",E1103,0)))</x:f>
        <x:v>0</x:v>
      </x:c>
      <x:c r="BL1103">
        <x:f>MAX(0,MIN(99,BL1102+IF(C1103="技能：非自然知识",E1103,0)))</x:f>
        <x:v>0</x:v>
      </x:c>
      <x:c r="BM1103">
        <x:f>MAX(0,MIN(CEILING((BF1103+BG1103)/2,1),BM1102+IF(C1103="体力",E1103,0)))</x:f>
        <x:v>0</x:v>
      </x:c>
      <x:c r="BN1103">
        <x:f>MAX(0,MIN(BJ1103,BN1102+IF(C1103="毅力",E1103,0)))</x:f>
        <x:v>0</x:v>
      </x:c>
      <x:c r="BO1103">
        <x:f>MAX(0,MIN(99-BL1103,BO1102+IF(C1103="理智",E1103,0)))</x:f>
        <x:v>0</x:v>
      </x:c>
      <x:c r="BP1103">
        <x:f>MAX(0,MIN(99,BP1102+IF(C1103="崩溃点",E1103,0)))</x:f>
        <x:v>0</x:v>
      </x:c>
      <x:c r="BQ1103">
        <x:f>MAX(0,MIN(BK1103,IF(AND(H1103=1,C1103="重要关系1",LEFT('幕间与结算'!H1010,8)="建立新的重要关系"),'幕间与结算'!E1010+E1103,BQ1102+IF(C1103="重要关系1",E1103,0)+IF(AND(C1103="魅力",E1103&lt;0),E1103,0))))</x:f>
        <x:v>0</x:v>
      </x:c>
      <x:c r="BR1103">
        <x:f>MAX(0,MIN(BK1103,IF(AND(H1103=1,C1103="重要关系2",LEFT('幕间与结算'!H1010,8)="建立新的重要关系"),'幕间与结算'!E1010+E1103,BR1102+IF(C1103="重要关系2",E1103,0)+IF(AND(C1103="魅力",E1103&lt;0),E1103,0))))</x:f>
        <x:v>0</x:v>
      </x:c>
      <x:c r="BS1103">
        <x:f>MAX(0,MIN(BK1103,IF(AND(H1103=1,C1103="重要关系3",LEFT('幕间与结算'!H1010,8)="建立新的重要关系"),'幕间与结算'!E1010+E1103,BS1102+IF(C1103="重要关系3",E1103,0)+IF(AND(C1103="魅力",E1103&lt;0),E1103,0))))</x:f>
        <x:v>0</x:v>
      </x:c>
      <x:c r="BT1103">
        <x:f>MAX(0,MIN(BK1103,IF(AND(H1103=1,C1103="重要关系4",LEFT('幕间与结算'!H1010,8)="建立新的重要关系"),'幕间与结算'!E1010+E1103,BT1102+IF(C1103="重要关系4",E1103,0)+IF(AND(C1103="魅力",E1103&lt;0),E1103,0))))</x:f>
        <x:v>0</x:v>
      </x:c>
      <x:c r="BU1103">
        <x:f>MAX(0,MIN(BK1103,IF(AND(H1103=1,C1103="重要关系5",LEFT('幕间与结算'!H1010,8)="建立新的重要关系"),'幕间与结算'!E1010+E1103,BU1102+IF(C1103="重要关系5",E1103,0)+IF(AND(C1103="魅力",E1103&lt;0),E1103,0))))</x:f>
        <x:v>0</x:v>
      </x:c>
      <x:c r="BV1103">
        <x:f>MAX(0,MIN(BK1103,IF(AND(H1103=1,C1103="重要关系6",LEFT('幕间与结算'!H1010,8)="建立新的重要关系"),'幕间与结算'!E1010+E1103,BV1102+IF(C1103="重要关系6",E1103,0)+IF(AND(C1103="魅力",E1103&lt;0),E1103,0))))</x:f>
        <x:v>0</x:v>
      </x:c>
      <x:c r="BW1103">
        <x:f>MAX(0,MIN(BK1103,IF(AND(H1103=1,C1103="重要关系7",LEFT('幕间与结算'!H1010,8)="建立新的重要关系"),'幕间与结算'!E1010+E1103,BW1102+IF(C1103="重要关系7",E1103,0)+IF(AND(C1103="魅力",E1103&lt;0),E1103,0))))</x:f>
        <x:v>0</x:v>
      </x:c>
    </x:row>
    <x:row r="1104">
      <x:c r="A1104" t="str">
        <x:f>IFERROR(TEXT(VALUE('幕间与结算'!A1011),"00"),"")</x:f>
        <x:v>00</x:v>
      </x:c>
      <x:c r="B1104">
        <x:f>'幕间与结算'!B1011</x:f>
        <x:v>0</x:v>
      </x:c>
      <x:c r="C1104">
        <x:f>'幕间与结算'!D1011</x:f>
        <x:v>0</x:v>
      </x:c>
      <x:c r="D1104">
        <x:f>'幕间与结算'!F1011</x:f>
        <x:v>0</x:v>
      </x:c>
      <x:c r="E1104">
        <x:f>IF(H1104=1,MAX(-'幕间与结算'!E1011,MIN(D1104,IF(LEFT(C1104,3)="技能：",99,IF(COUNTIF($L$2:$L$7,C1104)&gt;0,18,999))-'幕间与结算'!E1011)),0)</x:f>
        <x:v>0</x:v>
      </x:c>
      <x:c r="F1104" t="str">
        <x:f>IF(C1104=0,"",IF(G1104=0,"记录不完整",IF(H1104=0,"重复未计","已计入")))</x:f>
        <x:v/>
      </x:c>
      <x:c r="G1104">
        <x:f>IF(AND(AND('幕间与结算'!A1011&lt;&gt;"",'幕间与结算'!B1011&lt;&gt;"",'幕间与结算'!I1011&lt;&gt;"",OR(LEFT(C1104,3)="技能：",COUNTIF($L$2:$L$19,C1104)&gt;0),ISNUMBER('幕间与结算'!E1011),ISNUMBER('幕间与结算'!F1011),ISNUMBER('幕间与结算'!G1011),'幕间与结算'!E1011&gt;=0,'幕间与结算'!G1011='幕间与结算'!E1011+'幕间与结算'!F1011),OR(B1104&lt;&gt;"成长",AND(LEFT(C1104,3)="技能：",C1104&lt;&gt;"技能：非自然知识",'幕间与结算'!E1011&gt;=1,'幕间与结算'!E1011&lt;=99,'幕间与结算'!F1011&gt;=0,'幕间与结算'!F1011&lt;=4,'幕间与结算'!G1011&lt;=99))),1,0)</x:f>
        <x:v>0</x:v>
      </x:c>
      <x:c r="H1104">
        <x:f>IF(AND(G1104=1,COUNTIFS($I$200:I1104,I1104,$G$200:G1104,1)=1),1,0)</x:f>
        <x:v>0</x:v>
      </x:c>
      <x:c r="I1104" t="str">
        <x:f>IF(G1104=1,IF(B1104="成长",A1104&amp;"-成长-"&amp;C1104,'幕间与结算'!I1011),"")</x:f>
        <x:v/>
      </x:c>
      <x:c r="BF1104">
        <x:f>MAX(0,MIN(18,BF1103+IF(C1104="力量",E1104,0)))</x:f>
        <x:v>0</x:v>
      </x:c>
      <x:c r="BG1104">
        <x:f>MAX(0,MIN(18,BG1103+IF(C1104="体质",E1104,0)))</x:f>
        <x:v>0</x:v>
      </x:c>
      <x:c r="BH1104">
        <x:f>MAX(0,MIN(18,BH1103+IF(C1104="敏捷",E1104,0)))</x:f>
        <x:v>0</x:v>
      </x:c>
      <x:c r="BI1104">
        <x:f>MAX(0,MIN(18,BI1103+IF(C1104="智力",E1104,0)))</x:f>
        <x:v>0</x:v>
      </x:c>
      <x:c r="BJ1104">
        <x:f>MAX(0,MIN(18,BJ1103+IF(C1104="意志",E1104,0)))</x:f>
        <x:v>0</x:v>
      </x:c>
      <x:c r="BK1104">
        <x:f>MAX(0,MIN(18,BK1103+IF(C1104="魅力",E1104,0)))</x:f>
        <x:v>0</x:v>
      </x:c>
      <x:c r="BL1104">
        <x:f>MAX(0,MIN(99,BL1103+IF(C1104="技能：非自然知识",E1104,0)))</x:f>
        <x:v>0</x:v>
      </x:c>
      <x:c r="BM1104">
        <x:f>MAX(0,MIN(CEILING((BF1104+BG1104)/2,1),BM1103+IF(C1104="体力",E1104,0)))</x:f>
        <x:v>0</x:v>
      </x:c>
      <x:c r="BN1104">
        <x:f>MAX(0,MIN(BJ1104,BN1103+IF(C1104="毅力",E1104,0)))</x:f>
        <x:v>0</x:v>
      </x:c>
      <x:c r="BO1104">
        <x:f>MAX(0,MIN(99-BL1104,BO1103+IF(C1104="理智",E1104,0)))</x:f>
        <x:v>0</x:v>
      </x:c>
      <x:c r="BP1104">
        <x:f>MAX(0,MIN(99,BP1103+IF(C1104="崩溃点",E1104,0)))</x:f>
        <x:v>0</x:v>
      </x:c>
      <x:c r="BQ1104">
        <x:f>MAX(0,MIN(BK1104,IF(AND(H1104=1,C1104="重要关系1",LEFT('幕间与结算'!H1011,8)="建立新的重要关系"),'幕间与结算'!E1011+E1104,BQ1103+IF(C1104="重要关系1",E1104,0)+IF(AND(C1104="魅力",E1104&lt;0),E1104,0))))</x:f>
        <x:v>0</x:v>
      </x:c>
      <x:c r="BR1104">
        <x:f>MAX(0,MIN(BK1104,IF(AND(H1104=1,C1104="重要关系2",LEFT('幕间与结算'!H1011,8)="建立新的重要关系"),'幕间与结算'!E1011+E1104,BR1103+IF(C1104="重要关系2",E1104,0)+IF(AND(C1104="魅力",E1104&lt;0),E1104,0))))</x:f>
        <x:v>0</x:v>
      </x:c>
      <x:c r="BS1104">
        <x:f>MAX(0,MIN(BK1104,IF(AND(H1104=1,C1104="重要关系3",LEFT('幕间与结算'!H1011,8)="建立新的重要关系"),'幕间与结算'!E1011+E1104,BS1103+IF(C1104="重要关系3",E1104,0)+IF(AND(C1104="魅力",E1104&lt;0),E1104,0))))</x:f>
        <x:v>0</x:v>
      </x:c>
      <x:c r="BT1104">
        <x:f>MAX(0,MIN(BK1104,IF(AND(H1104=1,C1104="重要关系4",LEFT('幕间与结算'!H1011,8)="建立新的重要关系"),'幕间与结算'!E1011+E1104,BT1103+IF(C1104="重要关系4",E1104,0)+IF(AND(C1104="魅力",E1104&lt;0),E1104,0))))</x:f>
        <x:v>0</x:v>
      </x:c>
      <x:c r="BU1104">
        <x:f>MAX(0,MIN(BK1104,IF(AND(H1104=1,C1104="重要关系5",LEFT('幕间与结算'!H1011,8)="建立新的重要关系"),'幕间与结算'!E1011+E1104,BU1103+IF(C1104="重要关系5",E1104,0)+IF(AND(C1104="魅力",E1104&lt;0),E1104,0))))</x:f>
        <x:v>0</x:v>
      </x:c>
      <x:c r="BV1104">
        <x:f>MAX(0,MIN(BK1104,IF(AND(H1104=1,C1104="重要关系6",LEFT('幕间与结算'!H1011,8)="建立新的重要关系"),'幕间与结算'!E1011+E1104,BV1103+IF(C1104="重要关系6",E1104,0)+IF(AND(C1104="魅力",E1104&lt;0),E1104,0))))</x:f>
        <x:v>0</x:v>
      </x:c>
      <x:c r="BW1104">
        <x:f>MAX(0,MIN(BK1104,IF(AND(H1104=1,C1104="重要关系7",LEFT('幕间与结算'!H1011,8)="建立新的重要关系"),'幕间与结算'!E1011+E1104,BW1103+IF(C1104="重要关系7",E1104,0)+IF(AND(C1104="魅力",E1104&lt;0),E1104,0))))</x:f>
        <x:v>0</x:v>
      </x:c>
    </x:row>
    <x:row r="1105">
      <x:c r="A1105" t="str">
        <x:f>IFERROR(TEXT(VALUE('幕间与结算'!A1012),"00"),"")</x:f>
        <x:v>00</x:v>
      </x:c>
      <x:c r="B1105">
        <x:f>'幕间与结算'!B1012</x:f>
        <x:v>0</x:v>
      </x:c>
      <x:c r="C1105">
        <x:f>'幕间与结算'!D1012</x:f>
        <x:v>0</x:v>
      </x:c>
      <x:c r="D1105">
        <x:f>'幕间与结算'!F1012</x:f>
        <x:v>0</x:v>
      </x:c>
      <x:c r="E1105">
        <x:f>IF(H1105=1,MAX(-'幕间与结算'!E1012,MIN(D1105,IF(LEFT(C1105,3)="技能：",99,IF(COUNTIF($L$2:$L$7,C1105)&gt;0,18,999))-'幕间与结算'!E1012)),0)</x:f>
        <x:v>0</x:v>
      </x:c>
      <x:c r="F1105" t="str">
        <x:f>IF(C1105=0,"",IF(G1105=0,"记录不完整",IF(H1105=0,"重复未计","已计入")))</x:f>
        <x:v/>
      </x:c>
      <x:c r="G1105">
        <x:f>IF(AND(AND('幕间与结算'!A1012&lt;&gt;"",'幕间与结算'!B1012&lt;&gt;"",'幕间与结算'!I1012&lt;&gt;"",OR(LEFT(C1105,3)="技能：",COUNTIF($L$2:$L$19,C1105)&gt;0),ISNUMBER('幕间与结算'!E1012),ISNUMBER('幕间与结算'!F1012),ISNUMBER('幕间与结算'!G1012),'幕间与结算'!E1012&gt;=0,'幕间与结算'!G1012='幕间与结算'!E1012+'幕间与结算'!F1012),OR(B1105&lt;&gt;"成长",AND(LEFT(C1105,3)="技能：",C1105&lt;&gt;"技能：非自然知识",'幕间与结算'!E1012&gt;=1,'幕间与结算'!E1012&lt;=99,'幕间与结算'!F1012&gt;=0,'幕间与结算'!F1012&lt;=4,'幕间与结算'!G1012&lt;=99))),1,0)</x:f>
        <x:v>0</x:v>
      </x:c>
      <x:c r="H1105">
        <x:f>IF(AND(G1105=1,COUNTIFS($I$200:I1105,I1105,$G$200:G1105,1)=1),1,0)</x:f>
        <x:v>0</x:v>
      </x:c>
      <x:c r="I1105" t="str">
        <x:f>IF(G1105=1,IF(B1105="成长",A1105&amp;"-成长-"&amp;C1105,'幕间与结算'!I1012),"")</x:f>
        <x:v/>
      </x:c>
      <x:c r="BF1105">
        <x:f>MAX(0,MIN(18,BF1104+IF(C1105="力量",E1105,0)))</x:f>
        <x:v>0</x:v>
      </x:c>
      <x:c r="BG1105">
        <x:f>MAX(0,MIN(18,BG1104+IF(C1105="体质",E1105,0)))</x:f>
        <x:v>0</x:v>
      </x:c>
      <x:c r="BH1105">
        <x:f>MAX(0,MIN(18,BH1104+IF(C1105="敏捷",E1105,0)))</x:f>
        <x:v>0</x:v>
      </x:c>
      <x:c r="BI1105">
        <x:f>MAX(0,MIN(18,BI1104+IF(C1105="智力",E1105,0)))</x:f>
        <x:v>0</x:v>
      </x:c>
      <x:c r="BJ1105">
        <x:f>MAX(0,MIN(18,BJ1104+IF(C1105="意志",E1105,0)))</x:f>
        <x:v>0</x:v>
      </x:c>
      <x:c r="BK1105">
        <x:f>MAX(0,MIN(18,BK1104+IF(C1105="魅力",E1105,0)))</x:f>
        <x:v>0</x:v>
      </x:c>
      <x:c r="BL1105">
        <x:f>MAX(0,MIN(99,BL1104+IF(C1105="技能：非自然知识",E1105,0)))</x:f>
        <x:v>0</x:v>
      </x:c>
      <x:c r="BM1105">
        <x:f>MAX(0,MIN(CEILING((BF1105+BG1105)/2,1),BM1104+IF(C1105="体力",E1105,0)))</x:f>
        <x:v>0</x:v>
      </x:c>
      <x:c r="BN1105">
        <x:f>MAX(0,MIN(BJ1105,BN1104+IF(C1105="毅力",E1105,0)))</x:f>
        <x:v>0</x:v>
      </x:c>
      <x:c r="BO1105">
        <x:f>MAX(0,MIN(99-BL1105,BO1104+IF(C1105="理智",E1105,0)))</x:f>
        <x:v>0</x:v>
      </x:c>
      <x:c r="BP1105">
        <x:f>MAX(0,MIN(99,BP1104+IF(C1105="崩溃点",E1105,0)))</x:f>
        <x:v>0</x:v>
      </x:c>
      <x:c r="BQ1105">
        <x:f>MAX(0,MIN(BK1105,IF(AND(H1105=1,C1105="重要关系1",LEFT('幕间与结算'!H1012,8)="建立新的重要关系"),'幕间与结算'!E1012+E1105,BQ1104+IF(C1105="重要关系1",E1105,0)+IF(AND(C1105="魅力",E1105&lt;0),E1105,0))))</x:f>
        <x:v>0</x:v>
      </x:c>
      <x:c r="BR1105">
        <x:f>MAX(0,MIN(BK1105,IF(AND(H1105=1,C1105="重要关系2",LEFT('幕间与结算'!H1012,8)="建立新的重要关系"),'幕间与结算'!E1012+E1105,BR1104+IF(C1105="重要关系2",E1105,0)+IF(AND(C1105="魅力",E1105&lt;0),E1105,0))))</x:f>
        <x:v>0</x:v>
      </x:c>
      <x:c r="BS1105">
        <x:f>MAX(0,MIN(BK1105,IF(AND(H1105=1,C1105="重要关系3",LEFT('幕间与结算'!H1012,8)="建立新的重要关系"),'幕间与结算'!E1012+E1105,BS1104+IF(C1105="重要关系3",E1105,0)+IF(AND(C1105="魅力",E1105&lt;0),E1105,0))))</x:f>
        <x:v>0</x:v>
      </x:c>
      <x:c r="BT1105">
        <x:f>MAX(0,MIN(BK1105,IF(AND(H1105=1,C1105="重要关系4",LEFT('幕间与结算'!H1012,8)="建立新的重要关系"),'幕间与结算'!E1012+E1105,BT1104+IF(C1105="重要关系4",E1105,0)+IF(AND(C1105="魅力",E1105&lt;0),E1105,0))))</x:f>
        <x:v>0</x:v>
      </x:c>
      <x:c r="BU1105">
        <x:f>MAX(0,MIN(BK1105,IF(AND(H1105=1,C1105="重要关系5",LEFT('幕间与结算'!H1012,8)="建立新的重要关系"),'幕间与结算'!E1012+E1105,BU1104+IF(C1105="重要关系5",E1105,0)+IF(AND(C1105="魅力",E1105&lt;0),E1105,0))))</x:f>
        <x:v>0</x:v>
      </x:c>
      <x:c r="BV1105">
        <x:f>MAX(0,MIN(BK1105,IF(AND(H1105=1,C1105="重要关系6",LEFT('幕间与结算'!H1012,8)="建立新的重要关系"),'幕间与结算'!E1012+E1105,BV1104+IF(C1105="重要关系6",E1105,0)+IF(AND(C1105="魅力",E1105&lt;0),E1105,0))))</x:f>
        <x:v>0</x:v>
      </x:c>
      <x:c r="BW1105">
        <x:f>MAX(0,MIN(BK1105,IF(AND(H1105=1,C1105="重要关系7",LEFT('幕间与结算'!H1012,8)="建立新的重要关系"),'幕间与结算'!E1012+E1105,BW1104+IF(C1105="重要关系7",E1105,0)+IF(AND(C1105="魅力",E1105&lt;0),E1105,0))))</x:f>
        <x:v>0</x:v>
      </x:c>
    </x:row>
    <x:row r="1106">
      <x:c r="A1106" t="str">
        <x:f>IFERROR(TEXT(VALUE('幕间与结算'!A1013),"00"),"")</x:f>
        <x:v>00</x:v>
      </x:c>
      <x:c r="B1106">
        <x:f>'幕间与结算'!B1013</x:f>
        <x:v>0</x:v>
      </x:c>
      <x:c r="C1106">
        <x:f>'幕间与结算'!D1013</x:f>
        <x:v>0</x:v>
      </x:c>
      <x:c r="D1106">
        <x:f>'幕间与结算'!F1013</x:f>
        <x:v>0</x:v>
      </x:c>
      <x:c r="E1106">
        <x:f>IF(H1106=1,MAX(-'幕间与结算'!E1013,MIN(D1106,IF(LEFT(C1106,3)="技能：",99,IF(COUNTIF($L$2:$L$7,C1106)&gt;0,18,999))-'幕间与结算'!E1013)),0)</x:f>
        <x:v>0</x:v>
      </x:c>
      <x:c r="F1106" t="str">
        <x:f>IF(C1106=0,"",IF(G1106=0,"记录不完整",IF(H1106=0,"重复未计","已计入")))</x:f>
        <x:v/>
      </x:c>
      <x:c r="G1106">
        <x:f>IF(AND(AND('幕间与结算'!A1013&lt;&gt;"",'幕间与结算'!B1013&lt;&gt;"",'幕间与结算'!I1013&lt;&gt;"",OR(LEFT(C1106,3)="技能：",COUNTIF($L$2:$L$19,C1106)&gt;0),ISNUMBER('幕间与结算'!E1013),ISNUMBER('幕间与结算'!F1013),ISNUMBER('幕间与结算'!G1013),'幕间与结算'!E1013&gt;=0,'幕间与结算'!G1013='幕间与结算'!E1013+'幕间与结算'!F1013),OR(B1106&lt;&gt;"成长",AND(LEFT(C1106,3)="技能：",C1106&lt;&gt;"技能：非自然知识",'幕间与结算'!E1013&gt;=1,'幕间与结算'!E1013&lt;=99,'幕间与结算'!F1013&gt;=0,'幕间与结算'!F1013&lt;=4,'幕间与结算'!G1013&lt;=99))),1,0)</x:f>
        <x:v>0</x:v>
      </x:c>
      <x:c r="H1106">
        <x:f>IF(AND(G1106=1,COUNTIFS($I$200:I1106,I1106,$G$200:G1106,1)=1),1,0)</x:f>
        <x:v>0</x:v>
      </x:c>
      <x:c r="I1106" t="str">
        <x:f>IF(G1106=1,IF(B1106="成长",A1106&amp;"-成长-"&amp;C1106,'幕间与结算'!I1013),"")</x:f>
        <x:v/>
      </x:c>
      <x:c r="BF1106">
        <x:f>MAX(0,MIN(18,BF1105+IF(C1106="力量",E1106,0)))</x:f>
        <x:v>0</x:v>
      </x:c>
      <x:c r="BG1106">
        <x:f>MAX(0,MIN(18,BG1105+IF(C1106="体质",E1106,0)))</x:f>
        <x:v>0</x:v>
      </x:c>
      <x:c r="BH1106">
        <x:f>MAX(0,MIN(18,BH1105+IF(C1106="敏捷",E1106,0)))</x:f>
        <x:v>0</x:v>
      </x:c>
      <x:c r="BI1106">
        <x:f>MAX(0,MIN(18,BI1105+IF(C1106="智力",E1106,0)))</x:f>
        <x:v>0</x:v>
      </x:c>
      <x:c r="BJ1106">
        <x:f>MAX(0,MIN(18,BJ1105+IF(C1106="意志",E1106,0)))</x:f>
        <x:v>0</x:v>
      </x:c>
      <x:c r="BK1106">
        <x:f>MAX(0,MIN(18,BK1105+IF(C1106="魅力",E1106,0)))</x:f>
        <x:v>0</x:v>
      </x:c>
      <x:c r="BL1106">
        <x:f>MAX(0,MIN(99,BL1105+IF(C1106="技能：非自然知识",E1106,0)))</x:f>
        <x:v>0</x:v>
      </x:c>
      <x:c r="BM1106">
        <x:f>MAX(0,MIN(CEILING((BF1106+BG1106)/2,1),BM1105+IF(C1106="体力",E1106,0)))</x:f>
        <x:v>0</x:v>
      </x:c>
      <x:c r="BN1106">
        <x:f>MAX(0,MIN(BJ1106,BN1105+IF(C1106="毅力",E1106,0)))</x:f>
        <x:v>0</x:v>
      </x:c>
      <x:c r="BO1106">
        <x:f>MAX(0,MIN(99-BL1106,BO1105+IF(C1106="理智",E1106,0)))</x:f>
        <x:v>0</x:v>
      </x:c>
      <x:c r="BP1106">
        <x:f>MAX(0,MIN(99,BP1105+IF(C1106="崩溃点",E1106,0)))</x:f>
        <x:v>0</x:v>
      </x:c>
      <x:c r="BQ1106">
        <x:f>MAX(0,MIN(BK1106,IF(AND(H1106=1,C1106="重要关系1",LEFT('幕间与结算'!H1013,8)="建立新的重要关系"),'幕间与结算'!E1013+E1106,BQ1105+IF(C1106="重要关系1",E1106,0)+IF(AND(C1106="魅力",E1106&lt;0),E1106,0))))</x:f>
        <x:v>0</x:v>
      </x:c>
      <x:c r="BR1106">
        <x:f>MAX(0,MIN(BK1106,IF(AND(H1106=1,C1106="重要关系2",LEFT('幕间与结算'!H1013,8)="建立新的重要关系"),'幕间与结算'!E1013+E1106,BR1105+IF(C1106="重要关系2",E1106,0)+IF(AND(C1106="魅力",E1106&lt;0),E1106,0))))</x:f>
        <x:v>0</x:v>
      </x:c>
      <x:c r="BS1106">
        <x:f>MAX(0,MIN(BK1106,IF(AND(H1106=1,C1106="重要关系3",LEFT('幕间与结算'!H1013,8)="建立新的重要关系"),'幕间与结算'!E1013+E1106,BS1105+IF(C1106="重要关系3",E1106,0)+IF(AND(C1106="魅力",E1106&lt;0),E1106,0))))</x:f>
        <x:v>0</x:v>
      </x:c>
      <x:c r="BT1106">
        <x:f>MAX(0,MIN(BK1106,IF(AND(H1106=1,C1106="重要关系4",LEFT('幕间与结算'!H1013,8)="建立新的重要关系"),'幕间与结算'!E1013+E1106,BT1105+IF(C1106="重要关系4",E1106,0)+IF(AND(C1106="魅力",E1106&lt;0),E1106,0))))</x:f>
        <x:v>0</x:v>
      </x:c>
      <x:c r="BU1106">
        <x:f>MAX(0,MIN(BK1106,IF(AND(H1106=1,C1106="重要关系5",LEFT('幕间与结算'!H1013,8)="建立新的重要关系"),'幕间与结算'!E1013+E1106,BU1105+IF(C1106="重要关系5",E1106,0)+IF(AND(C1106="魅力",E1106&lt;0),E1106,0))))</x:f>
        <x:v>0</x:v>
      </x:c>
      <x:c r="BV1106">
        <x:f>MAX(0,MIN(BK1106,IF(AND(H1106=1,C1106="重要关系6",LEFT('幕间与结算'!H1013,8)="建立新的重要关系"),'幕间与结算'!E1013+E1106,BV1105+IF(C1106="重要关系6",E1106,0)+IF(AND(C1106="魅力",E1106&lt;0),E1106,0))))</x:f>
        <x:v>0</x:v>
      </x:c>
      <x:c r="BW1106">
        <x:f>MAX(0,MIN(BK1106,IF(AND(H1106=1,C1106="重要关系7",LEFT('幕间与结算'!H1013,8)="建立新的重要关系"),'幕间与结算'!E1013+E1106,BW1105+IF(C1106="重要关系7",E1106,0)+IF(AND(C1106="魅力",E1106&lt;0),E1106,0))))</x:f>
        <x:v>0</x:v>
      </x:c>
    </x:row>
    <x:row r="1107">
      <x:c r="A1107" t="str">
        <x:f>IFERROR(TEXT(VALUE('幕间与结算'!A1014),"00"),"")</x:f>
        <x:v>00</x:v>
      </x:c>
      <x:c r="B1107">
        <x:f>'幕间与结算'!B1014</x:f>
        <x:v>0</x:v>
      </x:c>
      <x:c r="C1107">
        <x:f>'幕间与结算'!D1014</x:f>
        <x:v>0</x:v>
      </x:c>
      <x:c r="D1107">
        <x:f>'幕间与结算'!F1014</x:f>
        <x:v>0</x:v>
      </x:c>
      <x:c r="E1107">
        <x:f>IF(H1107=1,MAX(-'幕间与结算'!E1014,MIN(D1107,IF(LEFT(C1107,3)="技能：",99,IF(COUNTIF($L$2:$L$7,C1107)&gt;0,18,999))-'幕间与结算'!E1014)),0)</x:f>
        <x:v>0</x:v>
      </x:c>
      <x:c r="F1107" t="str">
        <x:f>IF(C1107=0,"",IF(G1107=0,"记录不完整",IF(H1107=0,"重复未计","已计入")))</x:f>
        <x:v/>
      </x:c>
      <x:c r="G1107">
        <x:f>IF(AND(AND('幕间与结算'!A1014&lt;&gt;"",'幕间与结算'!B1014&lt;&gt;"",'幕间与结算'!I1014&lt;&gt;"",OR(LEFT(C1107,3)="技能：",COUNTIF($L$2:$L$19,C1107)&gt;0),ISNUMBER('幕间与结算'!E1014),ISNUMBER('幕间与结算'!F1014),ISNUMBER('幕间与结算'!G1014),'幕间与结算'!E1014&gt;=0,'幕间与结算'!G1014='幕间与结算'!E1014+'幕间与结算'!F1014),OR(B1107&lt;&gt;"成长",AND(LEFT(C1107,3)="技能：",C1107&lt;&gt;"技能：非自然知识",'幕间与结算'!E1014&gt;=1,'幕间与结算'!E1014&lt;=99,'幕间与结算'!F1014&gt;=0,'幕间与结算'!F1014&lt;=4,'幕间与结算'!G1014&lt;=99))),1,0)</x:f>
        <x:v>0</x:v>
      </x:c>
      <x:c r="H1107">
        <x:f>IF(AND(G1107=1,COUNTIFS($I$200:I1107,I1107,$G$200:G1107,1)=1),1,0)</x:f>
        <x:v>0</x:v>
      </x:c>
      <x:c r="I1107" t="str">
        <x:f>IF(G1107=1,IF(B1107="成长",A1107&amp;"-成长-"&amp;C1107,'幕间与结算'!I1014),"")</x:f>
        <x:v/>
      </x:c>
      <x:c r="BF1107">
        <x:f>MAX(0,MIN(18,BF1106+IF(C1107="力量",E1107,0)))</x:f>
        <x:v>0</x:v>
      </x:c>
      <x:c r="BG1107">
        <x:f>MAX(0,MIN(18,BG1106+IF(C1107="体质",E1107,0)))</x:f>
        <x:v>0</x:v>
      </x:c>
      <x:c r="BH1107">
        <x:f>MAX(0,MIN(18,BH1106+IF(C1107="敏捷",E1107,0)))</x:f>
        <x:v>0</x:v>
      </x:c>
      <x:c r="BI1107">
        <x:f>MAX(0,MIN(18,BI1106+IF(C1107="智力",E1107,0)))</x:f>
        <x:v>0</x:v>
      </x:c>
      <x:c r="BJ1107">
        <x:f>MAX(0,MIN(18,BJ1106+IF(C1107="意志",E1107,0)))</x:f>
        <x:v>0</x:v>
      </x:c>
      <x:c r="BK1107">
        <x:f>MAX(0,MIN(18,BK1106+IF(C1107="魅力",E1107,0)))</x:f>
        <x:v>0</x:v>
      </x:c>
      <x:c r="BL1107">
        <x:f>MAX(0,MIN(99,BL1106+IF(C1107="技能：非自然知识",E1107,0)))</x:f>
        <x:v>0</x:v>
      </x:c>
      <x:c r="BM1107">
        <x:f>MAX(0,MIN(CEILING((BF1107+BG1107)/2,1),BM1106+IF(C1107="体力",E1107,0)))</x:f>
        <x:v>0</x:v>
      </x:c>
      <x:c r="BN1107">
        <x:f>MAX(0,MIN(BJ1107,BN1106+IF(C1107="毅力",E1107,0)))</x:f>
        <x:v>0</x:v>
      </x:c>
      <x:c r="BO1107">
        <x:f>MAX(0,MIN(99-BL1107,BO1106+IF(C1107="理智",E1107,0)))</x:f>
        <x:v>0</x:v>
      </x:c>
      <x:c r="BP1107">
        <x:f>MAX(0,MIN(99,BP1106+IF(C1107="崩溃点",E1107,0)))</x:f>
        <x:v>0</x:v>
      </x:c>
      <x:c r="BQ1107">
        <x:f>MAX(0,MIN(BK1107,IF(AND(H1107=1,C1107="重要关系1",LEFT('幕间与结算'!H1014,8)="建立新的重要关系"),'幕间与结算'!E1014+E1107,BQ1106+IF(C1107="重要关系1",E1107,0)+IF(AND(C1107="魅力",E1107&lt;0),E1107,0))))</x:f>
        <x:v>0</x:v>
      </x:c>
      <x:c r="BR1107">
        <x:f>MAX(0,MIN(BK1107,IF(AND(H1107=1,C1107="重要关系2",LEFT('幕间与结算'!H1014,8)="建立新的重要关系"),'幕间与结算'!E1014+E1107,BR1106+IF(C1107="重要关系2",E1107,0)+IF(AND(C1107="魅力",E1107&lt;0),E1107,0))))</x:f>
        <x:v>0</x:v>
      </x:c>
      <x:c r="BS1107">
        <x:f>MAX(0,MIN(BK1107,IF(AND(H1107=1,C1107="重要关系3",LEFT('幕间与结算'!H1014,8)="建立新的重要关系"),'幕间与结算'!E1014+E1107,BS1106+IF(C1107="重要关系3",E1107,0)+IF(AND(C1107="魅力",E1107&lt;0),E1107,0))))</x:f>
        <x:v>0</x:v>
      </x:c>
      <x:c r="BT1107">
        <x:f>MAX(0,MIN(BK1107,IF(AND(H1107=1,C1107="重要关系4",LEFT('幕间与结算'!H1014,8)="建立新的重要关系"),'幕间与结算'!E1014+E1107,BT1106+IF(C1107="重要关系4",E1107,0)+IF(AND(C1107="魅力",E1107&lt;0),E1107,0))))</x:f>
        <x:v>0</x:v>
      </x:c>
      <x:c r="BU1107">
        <x:f>MAX(0,MIN(BK1107,IF(AND(H1107=1,C1107="重要关系5",LEFT('幕间与结算'!H1014,8)="建立新的重要关系"),'幕间与结算'!E1014+E1107,BU1106+IF(C1107="重要关系5",E1107,0)+IF(AND(C1107="魅力",E1107&lt;0),E1107,0))))</x:f>
        <x:v>0</x:v>
      </x:c>
      <x:c r="BV1107">
        <x:f>MAX(0,MIN(BK1107,IF(AND(H1107=1,C1107="重要关系6",LEFT('幕间与结算'!H1014,8)="建立新的重要关系"),'幕间与结算'!E1014+E1107,BV1106+IF(C1107="重要关系6",E1107,0)+IF(AND(C1107="魅力",E1107&lt;0),E1107,0))))</x:f>
        <x:v>0</x:v>
      </x:c>
      <x:c r="BW1107">
        <x:f>MAX(0,MIN(BK1107,IF(AND(H1107=1,C1107="重要关系7",LEFT('幕间与结算'!H1014,8)="建立新的重要关系"),'幕间与结算'!E1014+E1107,BW1106+IF(C1107="重要关系7",E1107,0)+IF(AND(C1107="魅力",E1107&lt;0),E1107,0))))</x:f>
        <x:v>0</x:v>
      </x:c>
    </x:row>
    <x:row r="1108">
      <x:c r="A1108" t="str">
        <x:f>IFERROR(TEXT(VALUE('幕间与结算'!A1015),"00"),"")</x:f>
        <x:v>00</x:v>
      </x:c>
      <x:c r="B1108">
        <x:f>'幕间与结算'!B1015</x:f>
        <x:v>0</x:v>
      </x:c>
      <x:c r="C1108">
        <x:f>'幕间与结算'!D1015</x:f>
        <x:v>0</x:v>
      </x:c>
      <x:c r="D1108">
        <x:f>'幕间与结算'!F1015</x:f>
        <x:v>0</x:v>
      </x:c>
      <x:c r="E1108">
        <x:f>IF(H1108=1,MAX(-'幕间与结算'!E1015,MIN(D1108,IF(LEFT(C1108,3)="技能：",99,IF(COUNTIF($L$2:$L$7,C1108)&gt;0,18,999))-'幕间与结算'!E1015)),0)</x:f>
        <x:v>0</x:v>
      </x:c>
      <x:c r="F1108" t="str">
        <x:f>IF(C1108=0,"",IF(G1108=0,"记录不完整",IF(H1108=0,"重复未计","已计入")))</x:f>
        <x:v/>
      </x:c>
      <x:c r="G1108">
        <x:f>IF(AND(AND('幕间与结算'!A1015&lt;&gt;"",'幕间与结算'!B1015&lt;&gt;"",'幕间与结算'!I1015&lt;&gt;"",OR(LEFT(C1108,3)="技能：",COUNTIF($L$2:$L$19,C1108)&gt;0),ISNUMBER('幕间与结算'!E1015),ISNUMBER('幕间与结算'!F1015),ISNUMBER('幕间与结算'!G1015),'幕间与结算'!E1015&gt;=0,'幕间与结算'!G1015='幕间与结算'!E1015+'幕间与结算'!F1015),OR(B1108&lt;&gt;"成长",AND(LEFT(C1108,3)="技能：",C1108&lt;&gt;"技能：非自然知识",'幕间与结算'!E1015&gt;=1,'幕间与结算'!E1015&lt;=99,'幕间与结算'!F1015&gt;=0,'幕间与结算'!F1015&lt;=4,'幕间与结算'!G1015&lt;=99))),1,0)</x:f>
        <x:v>0</x:v>
      </x:c>
      <x:c r="H1108">
        <x:f>IF(AND(G1108=1,COUNTIFS($I$200:I1108,I1108,$G$200:G1108,1)=1),1,0)</x:f>
        <x:v>0</x:v>
      </x:c>
      <x:c r="I1108" t="str">
        <x:f>IF(G1108=1,IF(B1108="成长",A1108&amp;"-成长-"&amp;C1108,'幕间与结算'!I1015),"")</x:f>
        <x:v/>
      </x:c>
      <x:c r="BF1108">
        <x:f>MAX(0,MIN(18,BF1107+IF(C1108="力量",E1108,0)))</x:f>
        <x:v>0</x:v>
      </x:c>
      <x:c r="BG1108">
        <x:f>MAX(0,MIN(18,BG1107+IF(C1108="体质",E1108,0)))</x:f>
        <x:v>0</x:v>
      </x:c>
      <x:c r="BH1108">
        <x:f>MAX(0,MIN(18,BH1107+IF(C1108="敏捷",E1108,0)))</x:f>
        <x:v>0</x:v>
      </x:c>
      <x:c r="BI1108">
        <x:f>MAX(0,MIN(18,BI1107+IF(C1108="智力",E1108,0)))</x:f>
        <x:v>0</x:v>
      </x:c>
      <x:c r="BJ1108">
        <x:f>MAX(0,MIN(18,BJ1107+IF(C1108="意志",E1108,0)))</x:f>
        <x:v>0</x:v>
      </x:c>
      <x:c r="BK1108">
        <x:f>MAX(0,MIN(18,BK1107+IF(C1108="魅力",E1108,0)))</x:f>
        <x:v>0</x:v>
      </x:c>
      <x:c r="BL1108">
        <x:f>MAX(0,MIN(99,BL1107+IF(C1108="技能：非自然知识",E1108,0)))</x:f>
        <x:v>0</x:v>
      </x:c>
      <x:c r="BM1108">
        <x:f>MAX(0,MIN(CEILING((BF1108+BG1108)/2,1),BM1107+IF(C1108="体力",E1108,0)))</x:f>
        <x:v>0</x:v>
      </x:c>
      <x:c r="BN1108">
        <x:f>MAX(0,MIN(BJ1108,BN1107+IF(C1108="毅力",E1108,0)))</x:f>
        <x:v>0</x:v>
      </x:c>
      <x:c r="BO1108">
        <x:f>MAX(0,MIN(99-BL1108,BO1107+IF(C1108="理智",E1108,0)))</x:f>
        <x:v>0</x:v>
      </x:c>
      <x:c r="BP1108">
        <x:f>MAX(0,MIN(99,BP1107+IF(C1108="崩溃点",E1108,0)))</x:f>
        <x:v>0</x:v>
      </x:c>
      <x:c r="BQ1108">
        <x:f>MAX(0,MIN(BK1108,IF(AND(H1108=1,C1108="重要关系1",LEFT('幕间与结算'!H1015,8)="建立新的重要关系"),'幕间与结算'!E1015+E1108,BQ1107+IF(C1108="重要关系1",E1108,0)+IF(AND(C1108="魅力",E1108&lt;0),E1108,0))))</x:f>
        <x:v>0</x:v>
      </x:c>
      <x:c r="BR1108">
        <x:f>MAX(0,MIN(BK1108,IF(AND(H1108=1,C1108="重要关系2",LEFT('幕间与结算'!H1015,8)="建立新的重要关系"),'幕间与结算'!E1015+E1108,BR1107+IF(C1108="重要关系2",E1108,0)+IF(AND(C1108="魅力",E1108&lt;0),E1108,0))))</x:f>
        <x:v>0</x:v>
      </x:c>
      <x:c r="BS1108">
        <x:f>MAX(0,MIN(BK1108,IF(AND(H1108=1,C1108="重要关系3",LEFT('幕间与结算'!H1015,8)="建立新的重要关系"),'幕间与结算'!E1015+E1108,BS1107+IF(C1108="重要关系3",E1108,0)+IF(AND(C1108="魅力",E1108&lt;0),E1108,0))))</x:f>
        <x:v>0</x:v>
      </x:c>
      <x:c r="BT1108">
        <x:f>MAX(0,MIN(BK1108,IF(AND(H1108=1,C1108="重要关系4",LEFT('幕间与结算'!H1015,8)="建立新的重要关系"),'幕间与结算'!E1015+E1108,BT1107+IF(C1108="重要关系4",E1108,0)+IF(AND(C1108="魅力",E1108&lt;0),E1108,0))))</x:f>
        <x:v>0</x:v>
      </x:c>
      <x:c r="BU1108">
        <x:f>MAX(0,MIN(BK1108,IF(AND(H1108=1,C1108="重要关系5",LEFT('幕间与结算'!H1015,8)="建立新的重要关系"),'幕间与结算'!E1015+E1108,BU1107+IF(C1108="重要关系5",E1108,0)+IF(AND(C1108="魅力",E1108&lt;0),E1108,0))))</x:f>
        <x:v>0</x:v>
      </x:c>
      <x:c r="BV1108">
        <x:f>MAX(0,MIN(BK1108,IF(AND(H1108=1,C1108="重要关系6",LEFT('幕间与结算'!H1015,8)="建立新的重要关系"),'幕间与结算'!E1015+E1108,BV1107+IF(C1108="重要关系6",E1108,0)+IF(AND(C1108="魅力",E1108&lt;0),E1108,0))))</x:f>
        <x:v>0</x:v>
      </x:c>
      <x:c r="BW1108">
        <x:f>MAX(0,MIN(BK1108,IF(AND(H1108=1,C1108="重要关系7",LEFT('幕间与结算'!H1015,8)="建立新的重要关系"),'幕间与结算'!E1015+E1108,BW1107+IF(C1108="重要关系7",E1108,0)+IF(AND(C1108="魅力",E1108&lt;0),E1108,0))))</x:f>
        <x:v>0</x:v>
      </x:c>
    </x:row>
    <x:row r="1109">
      <x:c r="A1109" t="str">
        <x:f>IFERROR(TEXT(VALUE('幕间与结算'!A1016),"00"),"")</x:f>
        <x:v>00</x:v>
      </x:c>
      <x:c r="B1109">
        <x:f>'幕间与结算'!B1016</x:f>
        <x:v>0</x:v>
      </x:c>
      <x:c r="C1109">
        <x:f>'幕间与结算'!D1016</x:f>
        <x:v>0</x:v>
      </x:c>
      <x:c r="D1109">
        <x:f>'幕间与结算'!F1016</x:f>
        <x:v>0</x:v>
      </x:c>
      <x:c r="E1109">
        <x:f>IF(H1109=1,MAX(-'幕间与结算'!E1016,MIN(D1109,IF(LEFT(C1109,3)="技能：",99,IF(COUNTIF($L$2:$L$7,C1109)&gt;0,18,999))-'幕间与结算'!E1016)),0)</x:f>
        <x:v>0</x:v>
      </x:c>
      <x:c r="F1109" t="str">
        <x:f>IF(C1109=0,"",IF(G1109=0,"记录不完整",IF(H1109=0,"重复未计","已计入")))</x:f>
        <x:v/>
      </x:c>
      <x:c r="G1109">
        <x:f>IF(AND(AND('幕间与结算'!A1016&lt;&gt;"",'幕间与结算'!B1016&lt;&gt;"",'幕间与结算'!I1016&lt;&gt;"",OR(LEFT(C1109,3)="技能：",COUNTIF($L$2:$L$19,C1109)&gt;0),ISNUMBER('幕间与结算'!E1016),ISNUMBER('幕间与结算'!F1016),ISNUMBER('幕间与结算'!G1016),'幕间与结算'!E1016&gt;=0,'幕间与结算'!G1016='幕间与结算'!E1016+'幕间与结算'!F1016),OR(B1109&lt;&gt;"成长",AND(LEFT(C1109,3)="技能：",C1109&lt;&gt;"技能：非自然知识",'幕间与结算'!E1016&gt;=1,'幕间与结算'!E1016&lt;=99,'幕间与结算'!F1016&gt;=0,'幕间与结算'!F1016&lt;=4,'幕间与结算'!G1016&lt;=99))),1,0)</x:f>
        <x:v>0</x:v>
      </x:c>
      <x:c r="H1109">
        <x:f>IF(AND(G1109=1,COUNTIFS($I$200:I1109,I1109,$G$200:G1109,1)=1),1,0)</x:f>
        <x:v>0</x:v>
      </x:c>
      <x:c r="I1109" t="str">
        <x:f>IF(G1109=1,IF(B1109="成长",A1109&amp;"-成长-"&amp;C1109,'幕间与结算'!I1016),"")</x:f>
        <x:v/>
      </x:c>
      <x:c r="BF1109">
        <x:f>MAX(0,MIN(18,BF1108+IF(C1109="力量",E1109,0)))</x:f>
        <x:v>0</x:v>
      </x:c>
      <x:c r="BG1109">
        <x:f>MAX(0,MIN(18,BG1108+IF(C1109="体质",E1109,0)))</x:f>
        <x:v>0</x:v>
      </x:c>
      <x:c r="BH1109">
        <x:f>MAX(0,MIN(18,BH1108+IF(C1109="敏捷",E1109,0)))</x:f>
        <x:v>0</x:v>
      </x:c>
      <x:c r="BI1109">
        <x:f>MAX(0,MIN(18,BI1108+IF(C1109="智力",E1109,0)))</x:f>
        <x:v>0</x:v>
      </x:c>
      <x:c r="BJ1109">
        <x:f>MAX(0,MIN(18,BJ1108+IF(C1109="意志",E1109,0)))</x:f>
        <x:v>0</x:v>
      </x:c>
      <x:c r="BK1109">
        <x:f>MAX(0,MIN(18,BK1108+IF(C1109="魅力",E1109,0)))</x:f>
        <x:v>0</x:v>
      </x:c>
      <x:c r="BL1109">
        <x:f>MAX(0,MIN(99,BL1108+IF(C1109="技能：非自然知识",E1109,0)))</x:f>
        <x:v>0</x:v>
      </x:c>
      <x:c r="BM1109">
        <x:f>MAX(0,MIN(CEILING((BF1109+BG1109)/2,1),BM1108+IF(C1109="体力",E1109,0)))</x:f>
        <x:v>0</x:v>
      </x:c>
      <x:c r="BN1109">
        <x:f>MAX(0,MIN(BJ1109,BN1108+IF(C1109="毅力",E1109,0)))</x:f>
        <x:v>0</x:v>
      </x:c>
      <x:c r="BO1109">
        <x:f>MAX(0,MIN(99-BL1109,BO1108+IF(C1109="理智",E1109,0)))</x:f>
        <x:v>0</x:v>
      </x:c>
      <x:c r="BP1109">
        <x:f>MAX(0,MIN(99,BP1108+IF(C1109="崩溃点",E1109,0)))</x:f>
        <x:v>0</x:v>
      </x:c>
      <x:c r="BQ1109">
        <x:f>MAX(0,MIN(BK1109,IF(AND(H1109=1,C1109="重要关系1",LEFT('幕间与结算'!H1016,8)="建立新的重要关系"),'幕间与结算'!E1016+E1109,BQ1108+IF(C1109="重要关系1",E1109,0)+IF(AND(C1109="魅力",E1109&lt;0),E1109,0))))</x:f>
        <x:v>0</x:v>
      </x:c>
      <x:c r="BR1109">
        <x:f>MAX(0,MIN(BK1109,IF(AND(H1109=1,C1109="重要关系2",LEFT('幕间与结算'!H1016,8)="建立新的重要关系"),'幕间与结算'!E1016+E1109,BR1108+IF(C1109="重要关系2",E1109,0)+IF(AND(C1109="魅力",E1109&lt;0),E1109,0))))</x:f>
        <x:v>0</x:v>
      </x:c>
      <x:c r="BS1109">
        <x:f>MAX(0,MIN(BK1109,IF(AND(H1109=1,C1109="重要关系3",LEFT('幕间与结算'!H1016,8)="建立新的重要关系"),'幕间与结算'!E1016+E1109,BS1108+IF(C1109="重要关系3",E1109,0)+IF(AND(C1109="魅力",E1109&lt;0),E1109,0))))</x:f>
        <x:v>0</x:v>
      </x:c>
      <x:c r="BT1109">
        <x:f>MAX(0,MIN(BK1109,IF(AND(H1109=1,C1109="重要关系4",LEFT('幕间与结算'!H1016,8)="建立新的重要关系"),'幕间与结算'!E1016+E1109,BT1108+IF(C1109="重要关系4",E1109,0)+IF(AND(C1109="魅力",E1109&lt;0),E1109,0))))</x:f>
        <x:v>0</x:v>
      </x:c>
      <x:c r="BU1109">
        <x:f>MAX(0,MIN(BK1109,IF(AND(H1109=1,C1109="重要关系5",LEFT('幕间与结算'!H1016,8)="建立新的重要关系"),'幕间与结算'!E1016+E1109,BU1108+IF(C1109="重要关系5",E1109,0)+IF(AND(C1109="魅力",E1109&lt;0),E1109,0))))</x:f>
        <x:v>0</x:v>
      </x:c>
      <x:c r="BV1109">
        <x:f>MAX(0,MIN(BK1109,IF(AND(H1109=1,C1109="重要关系6",LEFT('幕间与结算'!H1016,8)="建立新的重要关系"),'幕间与结算'!E1016+E1109,BV1108+IF(C1109="重要关系6",E1109,0)+IF(AND(C1109="魅力",E1109&lt;0),E1109,0))))</x:f>
        <x:v>0</x:v>
      </x:c>
      <x:c r="BW1109">
        <x:f>MAX(0,MIN(BK1109,IF(AND(H1109=1,C1109="重要关系7",LEFT('幕间与结算'!H1016,8)="建立新的重要关系"),'幕间与结算'!E1016+E1109,BW1108+IF(C1109="重要关系7",E1109,0)+IF(AND(C1109="魅力",E1109&lt;0),E1109,0))))</x:f>
        <x:v>0</x:v>
      </x:c>
    </x:row>
    <x:row r="1110">
      <x:c r="A1110" t="str">
        <x:f>IFERROR(TEXT(VALUE('幕间与结算'!A1017),"00"),"")</x:f>
        <x:v>00</x:v>
      </x:c>
      <x:c r="B1110">
        <x:f>'幕间与结算'!B1017</x:f>
        <x:v>0</x:v>
      </x:c>
      <x:c r="C1110">
        <x:f>'幕间与结算'!D1017</x:f>
        <x:v>0</x:v>
      </x:c>
      <x:c r="D1110">
        <x:f>'幕间与结算'!F1017</x:f>
        <x:v>0</x:v>
      </x:c>
      <x:c r="E1110">
        <x:f>IF(H1110=1,MAX(-'幕间与结算'!E1017,MIN(D1110,IF(LEFT(C1110,3)="技能：",99,IF(COUNTIF($L$2:$L$7,C1110)&gt;0,18,999))-'幕间与结算'!E1017)),0)</x:f>
        <x:v>0</x:v>
      </x:c>
      <x:c r="F1110" t="str">
        <x:f>IF(C1110=0,"",IF(G1110=0,"记录不完整",IF(H1110=0,"重复未计","已计入")))</x:f>
        <x:v/>
      </x:c>
      <x:c r="G1110">
        <x:f>IF(AND(AND('幕间与结算'!A1017&lt;&gt;"",'幕间与结算'!B1017&lt;&gt;"",'幕间与结算'!I1017&lt;&gt;"",OR(LEFT(C1110,3)="技能：",COUNTIF($L$2:$L$19,C1110)&gt;0),ISNUMBER('幕间与结算'!E1017),ISNUMBER('幕间与结算'!F1017),ISNUMBER('幕间与结算'!G1017),'幕间与结算'!E1017&gt;=0,'幕间与结算'!G1017='幕间与结算'!E1017+'幕间与结算'!F1017),OR(B1110&lt;&gt;"成长",AND(LEFT(C1110,3)="技能：",C1110&lt;&gt;"技能：非自然知识",'幕间与结算'!E1017&gt;=1,'幕间与结算'!E1017&lt;=99,'幕间与结算'!F1017&gt;=0,'幕间与结算'!F1017&lt;=4,'幕间与结算'!G1017&lt;=99))),1,0)</x:f>
        <x:v>0</x:v>
      </x:c>
      <x:c r="H1110">
        <x:f>IF(AND(G1110=1,COUNTIFS($I$200:I1110,I1110,$G$200:G1110,1)=1),1,0)</x:f>
        <x:v>0</x:v>
      </x:c>
      <x:c r="I1110" t="str">
        <x:f>IF(G1110=1,IF(B1110="成长",A1110&amp;"-成长-"&amp;C1110,'幕间与结算'!I1017),"")</x:f>
        <x:v/>
      </x:c>
      <x:c r="BF1110">
        <x:f>MAX(0,MIN(18,BF1109+IF(C1110="力量",E1110,0)))</x:f>
        <x:v>0</x:v>
      </x:c>
      <x:c r="BG1110">
        <x:f>MAX(0,MIN(18,BG1109+IF(C1110="体质",E1110,0)))</x:f>
        <x:v>0</x:v>
      </x:c>
      <x:c r="BH1110">
        <x:f>MAX(0,MIN(18,BH1109+IF(C1110="敏捷",E1110,0)))</x:f>
        <x:v>0</x:v>
      </x:c>
      <x:c r="BI1110">
        <x:f>MAX(0,MIN(18,BI1109+IF(C1110="智力",E1110,0)))</x:f>
        <x:v>0</x:v>
      </x:c>
      <x:c r="BJ1110">
        <x:f>MAX(0,MIN(18,BJ1109+IF(C1110="意志",E1110,0)))</x:f>
        <x:v>0</x:v>
      </x:c>
      <x:c r="BK1110">
        <x:f>MAX(0,MIN(18,BK1109+IF(C1110="魅力",E1110,0)))</x:f>
        <x:v>0</x:v>
      </x:c>
      <x:c r="BL1110">
        <x:f>MAX(0,MIN(99,BL1109+IF(C1110="技能：非自然知识",E1110,0)))</x:f>
        <x:v>0</x:v>
      </x:c>
      <x:c r="BM1110">
        <x:f>MAX(0,MIN(CEILING((BF1110+BG1110)/2,1),BM1109+IF(C1110="体力",E1110,0)))</x:f>
        <x:v>0</x:v>
      </x:c>
      <x:c r="BN1110">
        <x:f>MAX(0,MIN(BJ1110,BN1109+IF(C1110="毅力",E1110,0)))</x:f>
        <x:v>0</x:v>
      </x:c>
      <x:c r="BO1110">
        <x:f>MAX(0,MIN(99-BL1110,BO1109+IF(C1110="理智",E1110,0)))</x:f>
        <x:v>0</x:v>
      </x:c>
      <x:c r="BP1110">
        <x:f>MAX(0,MIN(99,BP1109+IF(C1110="崩溃点",E1110,0)))</x:f>
        <x:v>0</x:v>
      </x:c>
      <x:c r="BQ1110">
        <x:f>MAX(0,MIN(BK1110,IF(AND(H1110=1,C1110="重要关系1",LEFT('幕间与结算'!H1017,8)="建立新的重要关系"),'幕间与结算'!E1017+E1110,BQ1109+IF(C1110="重要关系1",E1110,0)+IF(AND(C1110="魅力",E1110&lt;0),E1110,0))))</x:f>
        <x:v>0</x:v>
      </x:c>
      <x:c r="BR1110">
        <x:f>MAX(0,MIN(BK1110,IF(AND(H1110=1,C1110="重要关系2",LEFT('幕间与结算'!H1017,8)="建立新的重要关系"),'幕间与结算'!E1017+E1110,BR1109+IF(C1110="重要关系2",E1110,0)+IF(AND(C1110="魅力",E1110&lt;0),E1110,0))))</x:f>
        <x:v>0</x:v>
      </x:c>
      <x:c r="BS1110">
        <x:f>MAX(0,MIN(BK1110,IF(AND(H1110=1,C1110="重要关系3",LEFT('幕间与结算'!H1017,8)="建立新的重要关系"),'幕间与结算'!E1017+E1110,BS1109+IF(C1110="重要关系3",E1110,0)+IF(AND(C1110="魅力",E1110&lt;0),E1110,0))))</x:f>
        <x:v>0</x:v>
      </x:c>
      <x:c r="BT1110">
        <x:f>MAX(0,MIN(BK1110,IF(AND(H1110=1,C1110="重要关系4",LEFT('幕间与结算'!H1017,8)="建立新的重要关系"),'幕间与结算'!E1017+E1110,BT1109+IF(C1110="重要关系4",E1110,0)+IF(AND(C1110="魅力",E1110&lt;0),E1110,0))))</x:f>
        <x:v>0</x:v>
      </x:c>
      <x:c r="BU1110">
        <x:f>MAX(0,MIN(BK1110,IF(AND(H1110=1,C1110="重要关系5",LEFT('幕间与结算'!H1017,8)="建立新的重要关系"),'幕间与结算'!E1017+E1110,BU1109+IF(C1110="重要关系5",E1110,0)+IF(AND(C1110="魅力",E1110&lt;0),E1110,0))))</x:f>
        <x:v>0</x:v>
      </x:c>
      <x:c r="BV1110">
        <x:f>MAX(0,MIN(BK1110,IF(AND(H1110=1,C1110="重要关系6",LEFT('幕间与结算'!H1017,8)="建立新的重要关系"),'幕间与结算'!E1017+E1110,BV1109+IF(C1110="重要关系6",E1110,0)+IF(AND(C1110="魅力",E1110&lt;0),E1110,0))))</x:f>
        <x:v>0</x:v>
      </x:c>
      <x:c r="BW1110">
        <x:f>MAX(0,MIN(BK1110,IF(AND(H1110=1,C1110="重要关系7",LEFT('幕间与结算'!H1017,8)="建立新的重要关系"),'幕间与结算'!E1017+E1110,BW1109+IF(C1110="重要关系7",E1110,0)+IF(AND(C1110="魅力",E1110&lt;0),E1110,0))))</x:f>
        <x:v>0</x:v>
      </x:c>
    </x:row>
    <x:row r="1111">
      <x:c r="A1111" t="str">
        <x:f>IFERROR(TEXT(VALUE('幕间与结算'!A1018),"00"),"")</x:f>
        <x:v>00</x:v>
      </x:c>
      <x:c r="B1111">
        <x:f>'幕间与结算'!B1018</x:f>
        <x:v>0</x:v>
      </x:c>
      <x:c r="C1111">
        <x:f>'幕间与结算'!D1018</x:f>
        <x:v>0</x:v>
      </x:c>
      <x:c r="D1111">
        <x:f>'幕间与结算'!F1018</x:f>
        <x:v>0</x:v>
      </x:c>
      <x:c r="E1111">
        <x:f>IF(H1111=1,MAX(-'幕间与结算'!E1018,MIN(D1111,IF(LEFT(C1111,3)="技能：",99,IF(COUNTIF($L$2:$L$7,C1111)&gt;0,18,999))-'幕间与结算'!E1018)),0)</x:f>
        <x:v>0</x:v>
      </x:c>
      <x:c r="F1111" t="str">
        <x:f>IF(C1111=0,"",IF(G1111=0,"记录不完整",IF(H1111=0,"重复未计","已计入")))</x:f>
        <x:v/>
      </x:c>
      <x:c r="G1111">
        <x:f>IF(AND(AND('幕间与结算'!A1018&lt;&gt;"",'幕间与结算'!B1018&lt;&gt;"",'幕间与结算'!I1018&lt;&gt;"",OR(LEFT(C1111,3)="技能：",COUNTIF($L$2:$L$19,C1111)&gt;0),ISNUMBER('幕间与结算'!E1018),ISNUMBER('幕间与结算'!F1018),ISNUMBER('幕间与结算'!G1018),'幕间与结算'!E1018&gt;=0,'幕间与结算'!G1018='幕间与结算'!E1018+'幕间与结算'!F1018),OR(B1111&lt;&gt;"成长",AND(LEFT(C1111,3)="技能：",C1111&lt;&gt;"技能：非自然知识",'幕间与结算'!E1018&gt;=1,'幕间与结算'!E1018&lt;=99,'幕间与结算'!F1018&gt;=0,'幕间与结算'!F1018&lt;=4,'幕间与结算'!G1018&lt;=99))),1,0)</x:f>
        <x:v>0</x:v>
      </x:c>
      <x:c r="H1111">
        <x:f>IF(AND(G1111=1,COUNTIFS($I$200:I1111,I1111,$G$200:G1111,1)=1),1,0)</x:f>
        <x:v>0</x:v>
      </x:c>
      <x:c r="I1111" t="str">
        <x:f>IF(G1111=1,IF(B1111="成长",A1111&amp;"-成长-"&amp;C1111,'幕间与结算'!I1018),"")</x:f>
        <x:v/>
      </x:c>
      <x:c r="BF1111">
        <x:f>MAX(0,MIN(18,BF1110+IF(C1111="力量",E1111,0)))</x:f>
        <x:v>0</x:v>
      </x:c>
      <x:c r="BG1111">
        <x:f>MAX(0,MIN(18,BG1110+IF(C1111="体质",E1111,0)))</x:f>
        <x:v>0</x:v>
      </x:c>
      <x:c r="BH1111">
        <x:f>MAX(0,MIN(18,BH1110+IF(C1111="敏捷",E1111,0)))</x:f>
        <x:v>0</x:v>
      </x:c>
      <x:c r="BI1111">
        <x:f>MAX(0,MIN(18,BI1110+IF(C1111="智力",E1111,0)))</x:f>
        <x:v>0</x:v>
      </x:c>
      <x:c r="BJ1111">
        <x:f>MAX(0,MIN(18,BJ1110+IF(C1111="意志",E1111,0)))</x:f>
        <x:v>0</x:v>
      </x:c>
      <x:c r="BK1111">
        <x:f>MAX(0,MIN(18,BK1110+IF(C1111="魅力",E1111,0)))</x:f>
        <x:v>0</x:v>
      </x:c>
      <x:c r="BL1111">
        <x:f>MAX(0,MIN(99,BL1110+IF(C1111="技能：非自然知识",E1111,0)))</x:f>
        <x:v>0</x:v>
      </x:c>
      <x:c r="BM1111">
        <x:f>MAX(0,MIN(CEILING((BF1111+BG1111)/2,1),BM1110+IF(C1111="体力",E1111,0)))</x:f>
        <x:v>0</x:v>
      </x:c>
      <x:c r="BN1111">
        <x:f>MAX(0,MIN(BJ1111,BN1110+IF(C1111="毅力",E1111,0)))</x:f>
        <x:v>0</x:v>
      </x:c>
      <x:c r="BO1111">
        <x:f>MAX(0,MIN(99-BL1111,BO1110+IF(C1111="理智",E1111,0)))</x:f>
        <x:v>0</x:v>
      </x:c>
      <x:c r="BP1111">
        <x:f>MAX(0,MIN(99,BP1110+IF(C1111="崩溃点",E1111,0)))</x:f>
        <x:v>0</x:v>
      </x:c>
      <x:c r="BQ1111">
        <x:f>MAX(0,MIN(BK1111,IF(AND(H1111=1,C1111="重要关系1",LEFT('幕间与结算'!H1018,8)="建立新的重要关系"),'幕间与结算'!E1018+E1111,BQ1110+IF(C1111="重要关系1",E1111,0)+IF(AND(C1111="魅力",E1111&lt;0),E1111,0))))</x:f>
        <x:v>0</x:v>
      </x:c>
      <x:c r="BR1111">
        <x:f>MAX(0,MIN(BK1111,IF(AND(H1111=1,C1111="重要关系2",LEFT('幕间与结算'!H1018,8)="建立新的重要关系"),'幕间与结算'!E1018+E1111,BR1110+IF(C1111="重要关系2",E1111,0)+IF(AND(C1111="魅力",E1111&lt;0),E1111,0))))</x:f>
        <x:v>0</x:v>
      </x:c>
      <x:c r="BS1111">
        <x:f>MAX(0,MIN(BK1111,IF(AND(H1111=1,C1111="重要关系3",LEFT('幕间与结算'!H1018,8)="建立新的重要关系"),'幕间与结算'!E1018+E1111,BS1110+IF(C1111="重要关系3",E1111,0)+IF(AND(C1111="魅力",E1111&lt;0),E1111,0))))</x:f>
        <x:v>0</x:v>
      </x:c>
      <x:c r="BT1111">
        <x:f>MAX(0,MIN(BK1111,IF(AND(H1111=1,C1111="重要关系4",LEFT('幕间与结算'!H1018,8)="建立新的重要关系"),'幕间与结算'!E1018+E1111,BT1110+IF(C1111="重要关系4",E1111,0)+IF(AND(C1111="魅力",E1111&lt;0),E1111,0))))</x:f>
        <x:v>0</x:v>
      </x:c>
      <x:c r="BU1111">
        <x:f>MAX(0,MIN(BK1111,IF(AND(H1111=1,C1111="重要关系5",LEFT('幕间与结算'!H1018,8)="建立新的重要关系"),'幕间与结算'!E1018+E1111,BU1110+IF(C1111="重要关系5",E1111,0)+IF(AND(C1111="魅力",E1111&lt;0),E1111,0))))</x:f>
        <x:v>0</x:v>
      </x:c>
      <x:c r="BV1111">
        <x:f>MAX(0,MIN(BK1111,IF(AND(H1111=1,C1111="重要关系6",LEFT('幕间与结算'!H1018,8)="建立新的重要关系"),'幕间与结算'!E1018+E1111,BV1110+IF(C1111="重要关系6",E1111,0)+IF(AND(C1111="魅力",E1111&lt;0),E1111,0))))</x:f>
        <x:v>0</x:v>
      </x:c>
      <x:c r="BW1111">
        <x:f>MAX(0,MIN(BK1111,IF(AND(H1111=1,C1111="重要关系7",LEFT('幕间与结算'!H1018,8)="建立新的重要关系"),'幕间与结算'!E1018+E1111,BW1110+IF(C1111="重要关系7",E1111,0)+IF(AND(C1111="魅力",E1111&lt;0),E1111,0))))</x:f>
        <x:v>0</x:v>
      </x:c>
    </x:row>
    <x:row r="1112">
      <x:c r="A1112" t="str">
        <x:f>IFERROR(TEXT(VALUE('幕间与结算'!A1019),"00"),"")</x:f>
        <x:v>00</x:v>
      </x:c>
      <x:c r="B1112">
        <x:f>'幕间与结算'!B1019</x:f>
        <x:v>0</x:v>
      </x:c>
      <x:c r="C1112">
        <x:f>'幕间与结算'!D1019</x:f>
        <x:v>0</x:v>
      </x:c>
      <x:c r="D1112">
        <x:f>'幕间与结算'!F1019</x:f>
        <x:v>0</x:v>
      </x:c>
      <x:c r="E1112">
        <x:f>IF(H1112=1,MAX(-'幕间与结算'!E1019,MIN(D1112,IF(LEFT(C1112,3)="技能：",99,IF(COUNTIF($L$2:$L$7,C1112)&gt;0,18,999))-'幕间与结算'!E1019)),0)</x:f>
        <x:v>0</x:v>
      </x:c>
      <x:c r="F1112" t="str">
        <x:f>IF(C1112=0,"",IF(G1112=0,"记录不完整",IF(H1112=0,"重复未计","已计入")))</x:f>
        <x:v/>
      </x:c>
      <x:c r="G1112">
        <x:f>IF(AND(AND('幕间与结算'!A1019&lt;&gt;"",'幕间与结算'!B1019&lt;&gt;"",'幕间与结算'!I1019&lt;&gt;"",OR(LEFT(C1112,3)="技能：",COUNTIF($L$2:$L$19,C1112)&gt;0),ISNUMBER('幕间与结算'!E1019),ISNUMBER('幕间与结算'!F1019),ISNUMBER('幕间与结算'!G1019),'幕间与结算'!E1019&gt;=0,'幕间与结算'!G1019='幕间与结算'!E1019+'幕间与结算'!F1019),OR(B1112&lt;&gt;"成长",AND(LEFT(C1112,3)="技能：",C1112&lt;&gt;"技能：非自然知识",'幕间与结算'!E1019&gt;=1,'幕间与结算'!E1019&lt;=99,'幕间与结算'!F1019&gt;=0,'幕间与结算'!F1019&lt;=4,'幕间与结算'!G1019&lt;=99))),1,0)</x:f>
        <x:v>0</x:v>
      </x:c>
      <x:c r="H1112">
        <x:f>IF(AND(G1112=1,COUNTIFS($I$200:I1112,I1112,$G$200:G1112,1)=1),1,0)</x:f>
        <x:v>0</x:v>
      </x:c>
      <x:c r="I1112" t="str">
        <x:f>IF(G1112=1,IF(B1112="成长",A1112&amp;"-成长-"&amp;C1112,'幕间与结算'!I1019),"")</x:f>
        <x:v/>
      </x:c>
      <x:c r="BF1112">
        <x:f>MAX(0,MIN(18,BF1111+IF(C1112="力量",E1112,0)))</x:f>
        <x:v>0</x:v>
      </x:c>
      <x:c r="BG1112">
        <x:f>MAX(0,MIN(18,BG1111+IF(C1112="体质",E1112,0)))</x:f>
        <x:v>0</x:v>
      </x:c>
      <x:c r="BH1112">
        <x:f>MAX(0,MIN(18,BH1111+IF(C1112="敏捷",E1112,0)))</x:f>
        <x:v>0</x:v>
      </x:c>
      <x:c r="BI1112">
        <x:f>MAX(0,MIN(18,BI1111+IF(C1112="智力",E1112,0)))</x:f>
        <x:v>0</x:v>
      </x:c>
      <x:c r="BJ1112">
        <x:f>MAX(0,MIN(18,BJ1111+IF(C1112="意志",E1112,0)))</x:f>
        <x:v>0</x:v>
      </x:c>
      <x:c r="BK1112">
        <x:f>MAX(0,MIN(18,BK1111+IF(C1112="魅力",E1112,0)))</x:f>
        <x:v>0</x:v>
      </x:c>
      <x:c r="BL1112">
        <x:f>MAX(0,MIN(99,BL1111+IF(C1112="技能：非自然知识",E1112,0)))</x:f>
        <x:v>0</x:v>
      </x:c>
      <x:c r="BM1112">
        <x:f>MAX(0,MIN(CEILING((BF1112+BG1112)/2,1),BM1111+IF(C1112="体力",E1112,0)))</x:f>
        <x:v>0</x:v>
      </x:c>
      <x:c r="BN1112">
        <x:f>MAX(0,MIN(BJ1112,BN1111+IF(C1112="毅力",E1112,0)))</x:f>
        <x:v>0</x:v>
      </x:c>
      <x:c r="BO1112">
        <x:f>MAX(0,MIN(99-BL1112,BO1111+IF(C1112="理智",E1112,0)))</x:f>
        <x:v>0</x:v>
      </x:c>
      <x:c r="BP1112">
        <x:f>MAX(0,MIN(99,BP1111+IF(C1112="崩溃点",E1112,0)))</x:f>
        <x:v>0</x:v>
      </x:c>
      <x:c r="BQ1112">
        <x:f>MAX(0,MIN(BK1112,IF(AND(H1112=1,C1112="重要关系1",LEFT('幕间与结算'!H1019,8)="建立新的重要关系"),'幕间与结算'!E1019+E1112,BQ1111+IF(C1112="重要关系1",E1112,0)+IF(AND(C1112="魅力",E1112&lt;0),E1112,0))))</x:f>
        <x:v>0</x:v>
      </x:c>
      <x:c r="BR1112">
        <x:f>MAX(0,MIN(BK1112,IF(AND(H1112=1,C1112="重要关系2",LEFT('幕间与结算'!H1019,8)="建立新的重要关系"),'幕间与结算'!E1019+E1112,BR1111+IF(C1112="重要关系2",E1112,0)+IF(AND(C1112="魅力",E1112&lt;0),E1112,0))))</x:f>
        <x:v>0</x:v>
      </x:c>
      <x:c r="BS1112">
        <x:f>MAX(0,MIN(BK1112,IF(AND(H1112=1,C1112="重要关系3",LEFT('幕间与结算'!H1019,8)="建立新的重要关系"),'幕间与结算'!E1019+E1112,BS1111+IF(C1112="重要关系3",E1112,0)+IF(AND(C1112="魅力",E1112&lt;0),E1112,0))))</x:f>
        <x:v>0</x:v>
      </x:c>
      <x:c r="BT1112">
        <x:f>MAX(0,MIN(BK1112,IF(AND(H1112=1,C1112="重要关系4",LEFT('幕间与结算'!H1019,8)="建立新的重要关系"),'幕间与结算'!E1019+E1112,BT1111+IF(C1112="重要关系4",E1112,0)+IF(AND(C1112="魅力",E1112&lt;0),E1112,0))))</x:f>
        <x:v>0</x:v>
      </x:c>
      <x:c r="BU1112">
        <x:f>MAX(0,MIN(BK1112,IF(AND(H1112=1,C1112="重要关系5",LEFT('幕间与结算'!H1019,8)="建立新的重要关系"),'幕间与结算'!E1019+E1112,BU1111+IF(C1112="重要关系5",E1112,0)+IF(AND(C1112="魅力",E1112&lt;0),E1112,0))))</x:f>
        <x:v>0</x:v>
      </x:c>
      <x:c r="BV1112">
        <x:f>MAX(0,MIN(BK1112,IF(AND(H1112=1,C1112="重要关系6",LEFT('幕间与结算'!H1019,8)="建立新的重要关系"),'幕间与结算'!E1019+E1112,BV1111+IF(C1112="重要关系6",E1112,0)+IF(AND(C1112="魅力",E1112&lt;0),E1112,0))))</x:f>
        <x:v>0</x:v>
      </x:c>
      <x:c r="BW1112">
        <x:f>MAX(0,MIN(BK1112,IF(AND(H1112=1,C1112="重要关系7",LEFT('幕间与结算'!H1019,8)="建立新的重要关系"),'幕间与结算'!E1019+E1112,BW1111+IF(C1112="重要关系7",E1112,0)+IF(AND(C1112="魅力",E1112&lt;0),E1112,0))))</x:f>
        <x:v>0</x:v>
      </x:c>
    </x:row>
    <x:row r="1113">
      <x:c r="A1113" t="str">
        <x:f>IFERROR(TEXT(VALUE('幕间与结算'!A1020),"00"),"")</x:f>
        <x:v>00</x:v>
      </x:c>
      <x:c r="B1113">
        <x:f>'幕间与结算'!B1020</x:f>
        <x:v>0</x:v>
      </x:c>
      <x:c r="C1113">
        <x:f>'幕间与结算'!D1020</x:f>
        <x:v>0</x:v>
      </x:c>
      <x:c r="D1113">
        <x:f>'幕间与结算'!F1020</x:f>
        <x:v>0</x:v>
      </x:c>
      <x:c r="E1113">
        <x:f>IF(H1113=1,MAX(-'幕间与结算'!E1020,MIN(D1113,IF(LEFT(C1113,3)="技能：",99,IF(COUNTIF($L$2:$L$7,C1113)&gt;0,18,999))-'幕间与结算'!E1020)),0)</x:f>
        <x:v>0</x:v>
      </x:c>
      <x:c r="F1113" t="str">
        <x:f>IF(C1113=0,"",IF(G1113=0,"记录不完整",IF(H1113=0,"重复未计","已计入")))</x:f>
        <x:v/>
      </x:c>
      <x:c r="G1113">
        <x:f>IF(AND(AND('幕间与结算'!A1020&lt;&gt;"",'幕间与结算'!B1020&lt;&gt;"",'幕间与结算'!I1020&lt;&gt;"",OR(LEFT(C1113,3)="技能：",COUNTIF($L$2:$L$19,C1113)&gt;0),ISNUMBER('幕间与结算'!E1020),ISNUMBER('幕间与结算'!F1020),ISNUMBER('幕间与结算'!G1020),'幕间与结算'!E1020&gt;=0,'幕间与结算'!G1020='幕间与结算'!E1020+'幕间与结算'!F1020),OR(B1113&lt;&gt;"成长",AND(LEFT(C1113,3)="技能：",C1113&lt;&gt;"技能：非自然知识",'幕间与结算'!E1020&gt;=1,'幕间与结算'!E1020&lt;=99,'幕间与结算'!F1020&gt;=0,'幕间与结算'!F1020&lt;=4,'幕间与结算'!G1020&lt;=99))),1,0)</x:f>
        <x:v>0</x:v>
      </x:c>
      <x:c r="H1113">
        <x:f>IF(AND(G1113=1,COUNTIFS($I$200:I1113,I1113,$G$200:G1113,1)=1),1,0)</x:f>
        <x:v>0</x:v>
      </x:c>
      <x:c r="I1113" t="str">
        <x:f>IF(G1113=1,IF(B1113="成长",A1113&amp;"-成长-"&amp;C1113,'幕间与结算'!I1020),"")</x:f>
        <x:v/>
      </x:c>
      <x:c r="BF1113">
        <x:f>MAX(0,MIN(18,BF1112+IF(C1113="力量",E1113,0)))</x:f>
        <x:v>0</x:v>
      </x:c>
      <x:c r="BG1113">
        <x:f>MAX(0,MIN(18,BG1112+IF(C1113="体质",E1113,0)))</x:f>
        <x:v>0</x:v>
      </x:c>
      <x:c r="BH1113">
        <x:f>MAX(0,MIN(18,BH1112+IF(C1113="敏捷",E1113,0)))</x:f>
        <x:v>0</x:v>
      </x:c>
      <x:c r="BI1113">
        <x:f>MAX(0,MIN(18,BI1112+IF(C1113="智力",E1113,0)))</x:f>
        <x:v>0</x:v>
      </x:c>
      <x:c r="BJ1113">
        <x:f>MAX(0,MIN(18,BJ1112+IF(C1113="意志",E1113,0)))</x:f>
        <x:v>0</x:v>
      </x:c>
      <x:c r="BK1113">
        <x:f>MAX(0,MIN(18,BK1112+IF(C1113="魅力",E1113,0)))</x:f>
        <x:v>0</x:v>
      </x:c>
      <x:c r="BL1113">
        <x:f>MAX(0,MIN(99,BL1112+IF(C1113="技能：非自然知识",E1113,0)))</x:f>
        <x:v>0</x:v>
      </x:c>
      <x:c r="BM1113">
        <x:f>MAX(0,MIN(CEILING((BF1113+BG1113)/2,1),BM1112+IF(C1113="体力",E1113,0)))</x:f>
        <x:v>0</x:v>
      </x:c>
      <x:c r="BN1113">
        <x:f>MAX(0,MIN(BJ1113,BN1112+IF(C1113="毅力",E1113,0)))</x:f>
        <x:v>0</x:v>
      </x:c>
      <x:c r="BO1113">
        <x:f>MAX(0,MIN(99-BL1113,BO1112+IF(C1113="理智",E1113,0)))</x:f>
        <x:v>0</x:v>
      </x:c>
      <x:c r="BP1113">
        <x:f>MAX(0,MIN(99,BP1112+IF(C1113="崩溃点",E1113,0)))</x:f>
        <x:v>0</x:v>
      </x:c>
      <x:c r="BQ1113">
        <x:f>MAX(0,MIN(BK1113,IF(AND(H1113=1,C1113="重要关系1",LEFT('幕间与结算'!H1020,8)="建立新的重要关系"),'幕间与结算'!E1020+E1113,BQ1112+IF(C1113="重要关系1",E1113,0)+IF(AND(C1113="魅力",E1113&lt;0),E1113,0))))</x:f>
        <x:v>0</x:v>
      </x:c>
      <x:c r="BR1113">
        <x:f>MAX(0,MIN(BK1113,IF(AND(H1113=1,C1113="重要关系2",LEFT('幕间与结算'!H1020,8)="建立新的重要关系"),'幕间与结算'!E1020+E1113,BR1112+IF(C1113="重要关系2",E1113,0)+IF(AND(C1113="魅力",E1113&lt;0),E1113,0))))</x:f>
        <x:v>0</x:v>
      </x:c>
      <x:c r="BS1113">
        <x:f>MAX(0,MIN(BK1113,IF(AND(H1113=1,C1113="重要关系3",LEFT('幕间与结算'!H1020,8)="建立新的重要关系"),'幕间与结算'!E1020+E1113,BS1112+IF(C1113="重要关系3",E1113,0)+IF(AND(C1113="魅力",E1113&lt;0),E1113,0))))</x:f>
        <x:v>0</x:v>
      </x:c>
      <x:c r="BT1113">
        <x:f>MAX(0,MIN(BK1113,IF(AND(H1113=1,C1113="重要关系4",LEFT('幕间与结算'!H1020,8)="建立新的重要关系"),'幕间与结算'!E1020+E1113,BT1112+IF(C1113="重要关系4",E1113,0)+IF(AND(C1113="魅力",E1113&lt;0),E1113,0))))</x:f>
        <x:v>0</x:v>
      </x:c>
      <x:c r="BU1113">
        <x:f>MAX(0,MIN(BK1113,IF(AND(H1113=1,C1113="重要关系5",LEFT('幕间与结算'!H1020,8)="建立新的重要关系"),'幕间与结算'!E1020+E1113,BU1112+IF(C1113="重要关系5",E1113,0)+IF(AND(C1113="魅力",E1113&lt;0),E1113,0))))</x:f>
        <x:v>0</x:v>
      </x:c>
      <x:c r="BV1113">
        <x:f>MAX(0,MIN(BK1113,IF(AND(H1113=1,C1113="重要关系6",LEFT('幕间与结算'!H1020,8)="建立新的重要关系"),'幕间与结算'!E1020+E1113,BV1112+IF(C1113="重要关系6",E1113,0)+IF(AND(C1113="魅力",E1113&lt;0),E1113,0))))</x:f>
        <x:v>0</x:v>
      </x:c>
      <x:c r="BW1113">
        <x:f>MAX(0,MIN(BK1113,IF(AND(H1113=1,C1113="重要关系7",LEFT('幕间与结算'!H1020,8)="建立新的重要关系"),'幕间与结算'!E1020+E1113,BW1112+IF(C1113="重要关系7",E1113,0)+IF(AND(C1113="魅力",E1113&lt;0),E1113,0))))</x:f>
        <x:v>0</x:v>
      </x:c>
    </x:row>
    <x:row r="1114">
      <x:c r="A1114" t="str">
        <x:f>IFERROR(TEXT(VALUE('幕间与结算'!A1021),"00"),"")</x:f>
        <x:v>00</x:v>
      </x:c>
      <x:c r="B1114">
        <x:f>'幕间与结算'!B1021</x:f>
        <x:v>0</x:v>
      </x:c>
      <x:c r="C1114">
        <x:f>'幕间与结算'!D1021</x:f>
        <x:v>0</x:v>
      </x:c>
      <x:c r="D1114">
        <x:f>'幕间与结算'!F1021</x:f>
        <x:v>0</x:v>
      </x:c>
      <x:c r="E1114">
        <x:f>IF(H1114=1,MAX(-'幕间与结算'!E1021,MIN(D1114,IF(LEFT(C1114,3)="技能：",99,IF(COUNTIF($L$2:$L$7,C1114)&gt;0,18,999))-'幕间与结算'!E1021)),0)</x:f>
        <x:v>0</x:v>
      </x:c>
      <x:c r="F1114" t="str">
        <x:f>IF(C1114=0,"",IF(G1114=0,"记录不完整",IF(H1114=0,"重复未计","已计入")))</x:f>
        <x:v/>
      </x:c>
      <x:c r="G1114">
        <x:f>IF(AND(AND('幕间与结算'!A1021&lt;&gt;"",'幕间与结算'!B1021&lt;&gt;"",'幕间与结算'!I1021&lt;&gt;"",OR(LEFT(C1114,3)="技能：",COUNTIF($L$2:$L$19,C1114)&gt;0),ISNUMBER('幕间与结算'!E1021),ISNUMBER('幕间与结算'!F1021),ISNUMBER('幕间与结算'!G1021),'幕间与结算'!E1021&gt;=0,'幕间与结算'!G1021='幕间与结算'!E1021+'幕间与结算'!F1021),OR(B1114&lt;&gt;"成长",AND(LEFT(C1114,3)="技能：",C1114&lt;&gt;"技能：非自然知识",'幕间与结算'!E1021&gt;=1,'幕间与结算'!E1021&lt;=99,'幕间与结算'!F1021&gt;=0,'幕间与结算'!F1021&lt;=4,'幕间与结算'!G1021&lt;=99))),1,0)</x:f>
        <x:v>0</x:v>
      </x:c>
      <x:c r="H1114">
        <x:f>IF(AND(G1114=1,COUNTIFS($I$200:I1114,I1114,$G$200:G1114,1)=1),1,0)</x:f>
        <x:v>0</x:v>
      </x:c>
      <x:c r="I1114" t="str">
        <x:f>IF(G1114=1,IF(B1114="成长",A1114&amp;"-成长-"&amp;C1114,'幕间与结算'!I1021),"")</x:f>
        <x:v/>
      </x:c>
      <x:c r="BF1114">
        <x:f>MAX(0,MIN(18,BF1113+IF(C1114="力量",E1114,0)))</x:f>
        <x:v>0</x:v>
      </x:c>
      <x:c r="BG1114">
        <x:f>MAX(0,MIN(18,BG1113+IF(C1114="体质",E1114,0)))</x:f>
        <x:v>0</x:v>
      </x:c>
      <x:c r="BH1114">
        <x:f>MAX(0,MIN(18,BH1113+IF(C1114="敏捷",E1114,0)))</x:f>
        <x:v>0</x:v>
      </x:c>
      <x:c r="BI1114">
        <x:f>MAX(0,MIN(18,BI1113+IF(C1114="智力",E1114,0)))</x:f>
        <x:v>0</x:v>
      </x:c>
      <x:c r="BJ1114">
        <x:f>MAX(0,MIN(18,BJ1113+IF(C1114="意志",E1114,0)))</x:f>
        <x:v>0</x:v>
      </x:c>
      <x:c r="BK1114">
        <x:f>MAX(0,MIN(18,BK1113+IF(C1114="魅力",E1114,0)))</x:f>
        <x:v>0</x:v>
      </x:c>
      <x:c r="BL1114">
        <x:f>MAX(0,MIN(99,BL1113+IF(C1114="技能：非自然知识",E1114,0)))</x:f>
        <x:v>0</x:v>
      </x:c>
      <x:c r="BM1114">
        <x:f>MAX(0,MIN(CEILING((BF1114+BG1114)/2,1),BM1113+IF(C1114="体力",E1114,0)))</x:f>
        <x:v>0</x:v>
      </x:c>
      <x:c r="BN1114">
        <x:f>MAX(0,MIN(BJ1114,BN1113+IF(C1114="毅力",E1114,0)))</x:f>
        <x:v>0</x:v>
      </x:c>
      <x:c r="BO1114">
        <x:f>MAX(0,MIN(99-BL1114,BO1113+IF(C1114="理智",E1114,0)))</x:f>
        <x:v>0</x:v>
      </x:c>
      <x:c r="BP1114">
        <x:f>MAX(0,MIN(99,BP1113+IF(C1114="崩溃点",E1114,0)))</x:f>
        <x:v>0</x:v>
      </x:c>
      <x:c r="BQ1114">
        <x:f>MAX(0,MIN(BK1114,IF(AND(H1114=1,C1114="重要关系1",LEFT('幕间与结算'!H1021,8)="建立新的重要关系"),'幕间与结算'!E1021+E1114,BQ1113+IF(C1114="重要关系1",E1114,0)+IF(AND(C1114="魅力",E1114&lt;0),E1114,0))))</x:f>
        <x:v>0</x:v>
      </x:c>
      <x:c r="BR1114">
        <x:f>MAX(0,MIN(BK1114,IF(AND(H1114=1,C1114="重要关系2",LEFT('幕间与结算'!H1021,8)="建立新的重要关系"),'幕间与结算'!E1021+E1114,BR1113+IF(C1114="重要关系2",E1114,0)+IF(AND(C1114="魅力",E1114&lt;0),E1114,0))))</x:f>
        <x:v>0</x:v>
      </x:c>
      <x:c r="BS1114">
        <x:f>MAX(0,MIN(BK1114,IF(AND(H1114=1,C1114="重要关系3",LEFT('幕间与结算'!H1021,8)="建立新的重要关系"),'幕间与结算'!E1021+E1114,BS1113+IF(C1114="重要关系3",E1114,0)+IF(AND(C1114="魅力",E1114&lt;0),E1114,0))))</x:f>
        <x:v>0</x:v>
      </x:c>
      <x:c r="BT1114">
        <x:f>MAX(0,MIN(BK1114,IF(AND(H1114=1,C1114="重要关系4",LEFT('幕间与结算'!H1021,8)="建立新的重要关系"),'幕间与结算'!E1021+E1114,BT1113+IF(C1114="重要关系4",E1114,0)+IF(AND(C1114="魅力",E1114&lt;0),E1114,0))))</x:f>
        <x:v>0</x:v>
      </x:c>
      <x:c r="BU1114">
        <x:f>MAX(0,MIN(BK1114,IF(AND(H1114=1,C1114="重要关系5",LEFT('幕间与结算'!H1021,8)="建立新的重要关系"),'幕间与结算'!E1021+E1114,BU1113+IF(C1114="重要关系5",E1114,0)+IF(AND(C1114="魅力",E1114&lt;0),E1114,0))))</x:f>
        <x:v>0</x:v>
      </x:c>
      <x:c r="BV1114">
        <x:f>MAX(0,MIN(BK1114,IF(AND(H1114=1,C1114="重要关系6",LEFT('幕间与结算'!H1021,8)="建立新的重要关系"),'幕间与结算'!E1021+E1114,BV1113+IF(C1114="重要关系6",E1114,0)+IF(AND(C1114="魅力",E1114&lt;0),E1114,0))))</x:f>
        <x:v>0</x:v>
      </x:c>
      <x:c r="BW1114">
        <x:f>MAX(0,MIN(BK1114,IF(AND(H1114=1,C1114="重要关系7",LEFT('幕间与结算'!H1021,8)="建立新的重要关系"),'幕间与结算'!E1021+E1114,BW1113+IF(C1114="重要关系7",E1114,0)+IF(AND(C1114="魅力",E1114&lt;0),E1114,0))))</x:f>
        <x:v>0</x:v>
      </x:c>
    </x:row>
    <x:row r="1115">
      <x:c r="A1115" t="str">
        <x:f>IFERROR(TEXT(VALUE('幕间与结算'!A1022),"00"),"")</x:f>
        <x:v>00</x:v>
      </x:c>
      <x:c r="B1115">
        <x:f>'幕间与结算'!B1022</x:f>
        <x:v>0</x:v>
      </x:c>
      <x:c r="C1115">
        <x:f>'幕间与结算'!D1022</x:f>
        <x:v>0</x:v>
      </x:c>
      <x:c r="D1115">
        <x:f>'幕间与结算'!F1022</x:f>
        <x:v>0</x:v>
      </x:c>
      <x:c r="E1115">
        <x:f>IF(H1115=1,MAX(-'幕间与结算'!E1022,MIN(D1115,IF(LEFT(C1115,3)="技能：",99,IF(COUNTIF($L$2:$L$7,C1115)&gt;0,18,999))-'幕间与结算'!E1022)),0)</x:f>
        <x:v>0</x:v>
      </x:c>
      <x:c r="F1115" t="str">
        <x:f>IF(C1115=0,"",IF(G1115=0,"记录不完整",IF(H1115=0,"重复未计","已计入")))</x:f>
        <x:v/>
      </x:c>
      <x:c r="G1115">
        <x:f>IF(AND(AND('幕间与结算'!A1022&lt;&gt;"",'幕间与结算'!B1022&lt;&gt;"",'幕间与结算'!I1022&lt;&gt;"",OR(LEFT(C1115,3)="技能：",COUNTIF($L$2:$L$19,C1115)&gt;0),ISNUMBER('幕间与结算'!E1022),ISNUMBER('幕间与结算'!F1022),ISNUMBER('幕间与结算'!G1022),'幕间与结算'!E1022&gt;=0,'幕间与结算'!G1022='幕间与结算'!E1022+'幕间与结算'!F1022),OR(B1115&lt;&gt;"成长",AND(LEFT(C1115,3)="技能：",C1115&lt;&gt;"技能：非自然知识",'幕间与结算'!E1022&gt;=1,'幕间与结算'!E1022&lt;=99,'幕间与结算'!F1022&gt;=0,'幕间与结算'!F1022&lt;=4,'幕间与结算'!G1022&lt;=99))),1,0)</x:f>
        <x:v>0</x:v>
      </x:c>
      <x:c r="H1115">
        <x:f>IF(AND(G1115=1,COUNTIFS($I$200:I1115,I1115,$G$200:G1115,1)=1),1,0)</x:f>
        <x:v>0</x:v>
      </x:c>
      <x:c r="I1115" t="str">
        <x:f>IF(G1115=1,IF(B1115="成长",A1115&amp;"-成长-"&amp;C1115,'幕间与结算'!I1022),"")</x:f>
        <x:v/>
      </x:c>
      <x:c r="BF1115">
        <x:f>MAX(0,MIN(18,BF1114+IF(C1115="力量",E1115,0)))</x:f>
        <x:v>0</x:v>
      </x:c>
      <x:c r="BG1115">
        <x:f>MAX(0,MIN(18,BG1114+IF(C1115="体质",E1115,0)))</x:f>
        <x:v>0</x:v>
      </x:c>
      <x:c r="BH1115">
        <x:f>MAX(0,MIN(18,BH1114+IF(C1115="敏捷",E1115,0)))</x:f>
        <x:v>0</x:v>
      </x:c>
      <x:c r="BI1115">
        <x:f>MAX(0,MIN(18,BI1114+IF(C1115="智力",E1115,0)))</x:f>
        <x:v>0</x:v>
      </x:c>
      <x:c r="BJ1115">
        <x:f>MAX(0,MIN(18,BJ1114+IF(C1115="意志",E1115,0)))</x:f>
        <x:v>0</x:v>
      </x:c>
      <x:c r="BK1115">
        <x:f>MAX(0,MIN(18,BK1114+IF(C1115="魅力",E1115,0)))</x:f>
        <x:v>0</x:v>
      </x:c>
      <x:c r="BL1115">
        <x:f>MAX(0,MIN(99,BL1114+IF(C1115="技能：非自然知识",E1115,0)))</x:f>
        <x:v>0</x:v>
      </x:c>
      <x:c r="BM1115">
        <x:f>MAX(0,MIN(CEILING((BF1115+BG1115)/2,1),BM1114+IF(C1115="体力",E1115,0)))</x:f>
        <x:v>0</x:v>
      </x:c>
      <x:c r="BN1115">
        <x:f>MAX(0,MIN(BJ1115,BN1114+IF(C1115="毅力",E1115,0)))</x:f>
        <x:v>0</x:v>
      </x:c>
      <x:c r="BO1115">
        <x:f>MAX(0,MIN(99-BL1115,BO1114+IF(C1115="理智",E1115,0)))</x:f>
        <x:v>0</x:v>
      </x:c>
      <x:c r="BP1115">
        <x:f>MAX(0,MIN(99,BP1114+IF(C1115="崩溃点",E1115,0)))</x:f>
        <x:v>0</x:v>
      </x:c>
      <x:c r="BQ1115">
        <x:f>MAX(0,MIN(BK1115,IF(AND(H1115=1,C1115="重要关系1",LEFT('幕间与结算'!H1022,8)="建立新的重要关系"),'幕间与结算'!E1022+E1115,BQ1114+IF(C1115="重要关系1",E1115,0)+IF(AND(C1115="魅力",E1115&lt;0),E1115,0))))</x:f>
        <x:v>0</x:v>
      </x:c>
      <x:c r="BR1115">
        <x:f>MAX(0,MIN(BK1115,IF(AND(H1115=1,C1115="重要关系2",LEFT('幕间与结算'!H1022,8)="建立新的重要关系"),'幕间与结算'!E1022+E1115,BR1114+IF(C1115="重要关系2",E1115,0)+IF(AND(C1115="魅力",E1115&lt;0),E1115,0))))</x:f>
        <x:v>0</x:v>
      </x:c>
      <x:c r="BS1115">
        <x:f>MAX(0,MIN(BK1115,IF(AND(H1115=1,C1115="重要关系3",LEFT('幕间与结算'!H1022,8)="建立新的重要关系"),'幕间与结算'!E1022+E1115,BS1114+IF(C1115="重要关系3",E1115,0)+IF(AND(C1115="魅力",E1115&lt;0),E1115,0))))</x:f>
        <x:v>0</x:v>
      </x:c>
      <x:c r="BT1115">
        <x:f>MAX(0,MIN(BK1115,IF(AND(H1115=1,C1115="重要关系4",LEFT('幕间与结算'!H1022,8)="建立新的重要关系"),'幕间与结算'!E1022+E1115,BT1114+IF(C1115="重要关系4",E1115,0)+IF(AND(C1115="魅力",E1115&lt;0),E1115,0))))</x:f>
        <x:v>0</x:v>
      </x:c>
      <x:c r="BU1115">
        <x:f>MAX(0,MIN(BK1115,IF(AND(H1115=1,C1115="重要关系5",LEFT('幕间与结算'!H1022,8)="建立新的重要关系"),'幕间与结算'!E1022+E1115,BU1114+IF(C1115="重要关系5",E1115,0)+IF(AND(C1115="魅力",E1115&lt;0),E1115,0))))</x:f>
        <x:v>0</x:v>
      </x:c>
      <x:c r="BV1115">
        <x:f>MAX(0,MIN(BK1115,IF(AND(H1115=1,C1115="重要关系6",LEFT('幕间与结算'!H1022,8)="建立新的重要关系"),'幕间与结算'!E1022+E1115,BV1114+IF(C1115="重要关系6",E1115,0)+IF(AND(C1115="魅力",E1115&lt;0),E1115,0))))</x:f>
        <x:v>0</x:v>
      </x:c>
      <x:c r="BW1115">
        <x:f>MAX(0,MIN(BK1115,IF(AND(H1115=1,C1115="重要关系7",LEFT('幕间与结算'!H1022,8)="建立新的重要关系"),'幕间与结算'!E1022+E1115,BW1114+IF(C1115="重要关系7",E1115,0)+IF(AND(C1115="魅力",E1115&lt;0),E1115,0))))</x:f>
        <x:v>0</x:v>
      </x:c>
    </x:row>
    <x:row r="1116">
      <x:c r="A1116" t="str">
        <x:f>IFERROR(TEXT(VALUE('幕间与结算'!A1023),"00"),"")</x:f>
        <x:v>00</x:v>
      </x:c>
      <x:c r="B1116">
        <x:f>'幕间与结算'!B1023</x:f>
        <x:v>0</x:v>
      </x:c>
      <x:c r="C1116">
        <x:f>'幕间与结算'!D1023</x:f>
        <x:v>0</x:v>
      </x:c>
      <x:c r="D1116">
        <x:f>'幕间与结算'!F1023</x:f>
        <x:v>0</x:v>
      </x:c>
      <x:c r="E1116">
        <x:f>IF(H1116=1,MAX(-'幕间与结算'!E1023,MIN(D1116,IF(LEFT(C1116,3)="技能：",99,IF(COUNTIF($L$2:$L$7,C1116)&gt;0,18,999))-'幕间与结算'!E1023)),0)</x:f>
        <x:v>0</x:v>
      </x:c>
      <x:c r="F1116" t="str">
        <x:f>IF(C1116=0,"",IF(G1116=0,"记录不完整",IF(H1116=0,"重复未计","已计入")))</x:f>
        <x:v/>
      </x:c>
      <x:c r="G1116">
        <x:f>IF(AND(AND('幕间与结算'!A1023&lt;&gt;"",'幕间与结算'!B1023&lt;&gt;"",'幕间与结算'!I1023&lt;&gt;"",OR(LEFT(C1116,3)="技能：",COUNTIF($L$2:$L$19,C1116)&gt;0),ISNUMBER('幕间与结算'!E1023),ISNUMBER('幕间与结算'!F1023),ISNUMBER('幕间与结算'!G1023),'幕间与结算'!E1023&gt;=0,'幕间与结算'!G1023='幕间与结算'!E1023+'幕间与结算'!F1023),OR(B1116&lt;&gt;"成长",AND(LEFT(C1116,3)="技能：",C1116&lt;&gt;"技能：非自然知识",'幕间与结算'!E1023&gt;=1,'幕间与结算'!E1023&lt;=99,'幕间与结算'!F1023&gt;=0,'幕间与结算'!F1023&lt;=4,'幕间与结算'!G1023&lt;=99))),1,0)</x:f>
        <x:v>0</x:v>
      </x:c>
      <x:c r="H1116">
        <x:f>IF(AND(G1116=1,COUNTIFS($I$200:I1116,I1116,$G$200:G1116,1)=1),1,0)</x:f>
        <x:v>0</x:v>
      </x:c>
      <x:c r="I1116" t="str">
        <x:f>IF(G1116=1,IF(B1116="成长",A1116&amp;"-成长-"&amp;C1116,'幕间与结算'!I1023),"")</x:f>
        <x:v/>
      </x:c>
      <x:c r="BF1116">
        <x:f>MAX(0,MIN(18,BF1115+IF(C1116="力量",E1116,0)))</x:f>
        <x:v>0</x:v>
      </x:c>
      <x:c r="BG1116">
        <x:f>MAX(0,MIN(18,BG1115+IF(C1116="体质",E1116,0)))</x:f>
        <x:v>0</x:v>
      </x:c>
      <x:c r="BH1116">
        <x:f>MAX(0,MIN(18,BH1115+IF(C1116="敏捷",E1116,0)))</x:f>
        <x:v>0</x:v>
      </x:c>
      <x:c r="BI1116">
        <x:f>MAX(0,MIN(18,BI1115+IF(C1116="智力",E1116,0)))</x:f>
        <x:v>0</x:v>
      </x:c>
      <x:c r="BJ1116">
        <x:f>MAX(0,MIN(18,BJ1115+IF(C1116="意志",E1116,0)))</x:f>
        <x:v>0</x:v>
      </x:c>
      <x:c r="BK1116">
        <x:f>MAX(0,MIN(18,BK1115+IF(C1116="魅力",E1116,0)))</x:f>
        <x:v>0</x:v>
      </x:c>
      <x:c r="BL1116">
        <x:f>MAX(0,MIN(99,BL1115+IF(C1116="技能：非自然知识",E1116,0)))</x:f>
        <x:v>0</x:v>
      </x:c>
      <x:c r="BM1116">
        <x:f>MAX(0,MIN(CEILING((BF1116+BG1116)/2,1),BM1115+IF(C1116="体力",E1116,0)))</x:f>
        <x:v>0</x:v>
      </x:c>
      <x:c r="BN1116">
        <x:f>MAX(0,MIN(BJ1116,BN1115+IF(C1116="毅力",E1116,0)))</x:f>
        <x:v>0</x:v>
      </x:c>
      <x:c r="BO1116">
        <x:f>MAX(0,MIN(99-BL1116,BO1115+IF(C1116="理智",E1116,0)))</x:f>
        <x:v>0</x:v>
      </x:c>
      <x:c r="BP1116">
        <x:f>MAX(0,MIN(99,BP1115+IF(C1116="崩溃点",E1116,0)))</x:f>
        <x:v>0</x:v>
      </x:c>
      <x:c r="BQ1116">
        <x:f>MAX(0,MIN(BK1116,IF(AND(H1116=1,C1116="重要关系1",LEFT('幕间与结算'!H1023,8)="建立新的重要关系"),'幕间与结算'!E1023+E1116,BQ1115+IF(C1116="重要关系1",E1116,0)+IF(AND(C1116="魅力",E1116&lt;0),E1116,0))))</x:f>
        <x:v>0</x:v>
      </x:c>
      <x:c r="BR1116">
        <x:f>MAX(0,MIN(BK1116,IF(AND(H1116=1,C1116="重要关系2",LEFT('幕间与结算'!H1023,8)="建立新的重要关系"),'幕间与结算'!E1023+E1116,BR1115+IF(C1116="重要关系2",E1116,0)+IF(AND(C1116="魅力",E1116&lt;0),E1116,0))))</x:f>
        <x:v>0</x:v>
      </x:c>
      <x:c r="BS1116">
        <x:f>MAX(0,MIN(BK1116,IF(AND(H1116=1,C1116="重要关系3",LEFT('幕间与结算'!H1023,8)="建立新的重要关系"),'幕间与结算'!E1023+E1116,BS1115+IF(C1116="重要关系3",E1116,0)+IF(AND(C1116="魅力",E1116&lt;0),E1116,0))))</x:f>
        <x:v>0</x:v>
      </x:c>
      <x:c r="BT1116">
        <x:f>MAX(0,MIN(BK1116,IF(AND(H1116=1,C1116="重要关系4",LEFT('幕间与结算'!H1023,8)="建立新的重要关系"),'幕间与结算'!E1023+E1116,BT1115+IF(C1116="重要关系4",E1116,0)+IF(AND(C1116="魅力",E1116&lt;0),E1116,0))))</x:f>
        <x:v>0</x:v>
      </x:c>
      <x:c r="BU1116">
        <x:f>MAX(0,MIN(BK1116,IF(AND(H1116=1,C1116="重要关系5",LEFT('幕间与结算'!H1023,8)="建立新的重要关系"),'幕间与结算'!E1023+E1116,BU1115+IF(C1116="重要关系5",E1116,0)+IF(AND(C1116="魅力",E1116&lt;0),E1116,0))))</x:f>
        <x:v>0</x:v>
      </x:c>
      <x:c r="BV1116">
        <x:f>MAX(0,MIN(BK1116,IF(AND(H1116=1,C1116="重要关系6",LEFT('幕间与结算'!H1023,8)="建立新的重要关系"),'幕间与结算'!E1023+E1116,BV1115+IF(C1116="重要关系6",E1116,0)+IF(AND(C1116="魅力",E1116&lt;0),E1116,0))))</x:f>
        <x:v>0</x:v>
      </x:c>
      <x:c r="BW1116">
        <x:f>MAX(0,MIN(BK1116,IF(AND(H1116=1,C1116="重要关系7",LEFT('幕间与结算'!H1023,8)="建立新的重要关系"),'幕间与结算'!E1023+E1116,BW1115+IF(C1116="重要关系7",E1116,0)+IF(AND(C1116="魅力",E1116&lt;0),E1116,0))))</x:f>
        <x:v>0</x:v>
      </x:c>
    </x:row>
    <x:row r="1117">
      <x:c r="A1117" t="str">
        <x:f>IFERROR(TEXT(VALUE('幕间与结算'!A1024),"00"),"")</x:f>
        <x:v>00</x:v>
      </x:c>
      <x:c r="B1117">
        <x:f>'幕间与结算'!B1024</x:f>
        <x:v>0</x:v>
      </x:c>
      <x:c r="C1117">
        <x:f>'幕间与结算'!D1024</x:f>
        <x:v>0</x:v>
      </x:c>
      <x:c r="D1117">
        <x:f>'幕间与结算'!F1024</x:f>
        <x:v>0</x:v>
      </x:c>
      <x:c r="E1117">
        <x:f>IF(H1117=1,MAX(-'幕间与结算'!E1024,MIN(D1117,IF(LEFT(C1117,3)="技能：",99,IF(COUNTIF($L$2:$L$7,C1117)&gt;0,18,999))-'幕间与结算'!E1024)),0)</x:f>
        <x:v>0</x:v>
      </x:c>
      <x:c r="F1117" t="str">
        <x:f>IF(C1117=0,"",IF(G1117=0,"记录不完整",IF(H1117=0,"重复未计","已计入")))</x:f>
        <x:v/>
      </x:c>
      <x:c r="G1117">
        <x:f>IF(AND(AND('幕间与结算'!A1024&lt;&gt;"",'幕间与结算'!B1024&lt;&gt;"",'幕间与结算'!I1024&lt;&gt;"",OR(LEFT(C1117,3)="技能：",COUNTIF($L$2:$L$19,C1117)&gt;0),ISNUMBER('幕间与结算'!E1024),ISNUMBER('幕间与结算'!F1024),ISNUMBER('幕间与结算'!G1024),'幕间与结算'!E1024&gt;=0,'幕间与结算'!G1024='幕间与结算'!E1024+'幕间与结算'!F1024),OR(B1117&lt;&gt;"成长",AND(LEFT(C1117,3)="技能：",C1117&lt;&gt;"技能：非自然知识",'幕间与结算'!E1024&gt;=1,'幕间与结算'!E1024&lt;=99,'幕间与结算'!F1024&gt;=0,'幕间与结算'!F1024&lt;=4,'幕间与结算'!G1024&lt;=99))),1,0)</x:f>
        <x:v>0</x:v>
      </x:c>
      <x:c r="H1117">
        <x:f>IF(AND(G1117=1,COUNTIFS($I$200:I1117,I1117,$G$200:G1117,1)=1),1,0)</x:f>
        <x:v>0</x:v>
      </x:c>
      <x:c r="I1117" t="str">
        <x:f>IF(G1117=1,IF(B1117="成长",A1117&amp;"-成长-"&amp;C1117,'幕间与结算'!I1024),"")</x:f>
        <x:v/>
      </x:c>
      <x:c r="BF1117">
        <x:f>MAX(0,MIN(18,BF1116+IF(C1117="力量",E1117,0)))</x:f>
        <x:v>0</x:v>
      </x:c>
      <x:c r="BG1117">
        <x:f>MAX(0,MIN(18,BG1116+IF(C1117="体质",E1117,0)))</x:f>
        <x:v>0</x:v>
      </x:c>
      <x:c r="BH1117">
        <x:f>MAX(0,MIN(18,BH1116+IF(C1117="敏捷",E1117,0)))</x:f>
        <x:v>0</x:v>
      </x:c>
      <x:c r="BI1117">
        <x:f>MAX(0,MIN(18,BI1116+IF(C1117="智力",E1117,0)))</x:f>
        <x:v>0</x:v>
      </x:c>
      <x:c r="BJ1117">
        <x:f>MAX(0,MIN(18,BJ1116+IF(C1117="意志",E1117,0)))</x:f>
        <x:v>0</x:v>
      </x:c>
      <x:c r="BK1117">
        <x:f>MAX(0,MIN(18,BK1116+IF(C1117="魅力",E1117,0)))</x:f>
        <x:v>0</x:v>
      </x:c>
      <x:c r="BL1117">
        <x:f>MAX(0,MIN(99,BL1116+IF(C1117="技能：非自然知识",E1117,0)))</x:f>
        <x:v>0</x:v>
      </x:c>
      <x:c r="BM1117">
        <x:f>MAX(0,MIN(CEILING((BF1117+BG1117)/2,1),BM1116+IF(C1117="体力",E1117,0)))</x:f>
        <x:v>0</x:v>
      </x:c>
      <x:c r="BN1117">
        <x:f>MAX(0,MIN(BJ1117,BN1116+IF(C1117="毅力",E1117,0)))</x:f>
        <x:v>0</x:v>
      </x:c>
      <x:c r="BO1117">
        <x:f>MAX(0,MIN(99-BL1117,BO1116+IF(C1117="理智",E1117,0)))</x:f>
        <x:v>0</x:v>
      </x:c>
      <x:c r="BP1117">
        <x:f>MAX(0,MIN(99,BP1116+IF(C1117="崩溃点",E1117,0)))</x:f>
        <x:v>0</x:v>
      </x:c>
      <x:c r="BQ1117">
        <x:f>MAX(0,MIN(BK1117,IF(AND(H1117=1,C1117="重要关系1",LEFT('幕间与结算'!H1024,8)="建立新的重要关系"),'幕间与结算'!E1024+E1117,BQ1116+IF(C1117="重要关系1",E1117,0)+IF(AND(C1117="魅力",E1117&lt;0),E1117,0))))</x:f>
        <x:v>0</x:v>
      </x:c>
      <x:c r="BR1117">
        <x:f>MAX(0,MIN(BK1117,IF(AND(H1117=1,C1117="重要关系2",LEFT('幕间与结算'!H1024,8)="建立新的重要关系"),'幕间与结算'!E1024+E1117,BR1116+IF(C1117="重要关系2",E1117,0)+IF(AND(C1117="魅力",E1117&lt;0),E1117,0))))</x:f>
        <x:v>0</x:v>
      </x:c>
      <x:c r="BS1117">
        <x:f>MAX(0,MIN(BK1117,IF(AND(H1117=1,C1117="重要关系3",LEFT('幕间与结算'!H1024,8)="建立新的重要关系"),'幕间与结算'!E1024+E1117,BS1116+IF(C1117="重要关系3",E1117,0)+IF(AND(C1117="魅力",E1117&lt;0),E1117,0))))</x:f>
        <x:v>0</x:v>
      </x:c>
      <x:c r="BT1117">
        <x:f>MAX(0,MIN(BK1117,IF(AND(H1117=1,C1117="重要关系4",LEFT('幕间与结算'!H1024,8)="建立新的重要关系"),'幕间与结算'!E1024+E1117,BT1116+IF(C1117="重要关系4",E1117,0)+IF(AND(C1117="魅力",E1117&lt;0),E1117,0))))</x:f>
        <x:v>0</x:v>
      </x:c>
      <x:c r="BU1117">
        <x:f>MAX(0,MIN(BK1117,IF(AND(H1117=1,C1117="重要关系5",LEFT('幕间与结算'!H1024,8)="建立新的重要关系"),'幕间与结算'!E1024+E1117,BU1116+IF(C1117="重要关系5",E1117,0)+IF(AND(C1117="魅力",E1117&lt;0),E1117,0))))</x:f>
        <x:v>0</x:v>
      </x:c>
      <x:c r="BV1117">
        <x:f>MAX(0,MIN(BK1117,IF(AND(H1117=1,C1117="重要关系6",LEFT('幕间与结算'!H1024,8)="建立新的重要关系"),'幕间与结算'!E1024+E1117,BV1116+IF(C1117="重要关系6",E1117,0)+IF(AND(C1117="魅力",E1117&lt;0),E1117,0))))</x:f>
        <x:v>0</x:v>
      </x:c>
      <x:c r="BW1117">
        <x:f>MAX(0,MIN(BK1117,IF(AND(H1117=1,C1117="重要关系7",LEFT('幕间与结算'!H1024,8)="建立新的重要关系"),'幕间与结算'!E1024+E1117,BW1116+IF(C1117="重要关系7",E1117,0)+IF(AND(C1117="魅力",E1117&lt;0),E1117,0))))</x:f>
        <x:v>0</x:v>
      </x:c>
    </x:row>
    <x:row r="1118">
      <x:c r="A1118" t="str">
        <x:f>IFERROR(TEXT(VALUE('幕间与结算'!A1025),"00"),"")</x:f>
        <x:v>00</x:v>
      </x:c>
      <x:c r="B1118">
        <x:f>'幕间与结算'!B1025</x:f>
        <x:v>0</x:v>
      </x:c>
      <x:c r="C1118">
        <x:f>'幕间与结算'!D1025</x:f>
        <x:v>0</x:v>
      </x:c>
      <x:c r="D1118">
        <x:f>'幕间与结算'!F1025</x:f>
        <x:v>0</x:v>
      </x:c>
      <x:c r="E1118">
        <x:f>IF(H1118=1,MAX(-'幕间与结算'!E1025,MIN(D1118,IF(LEFT(C1118,3)="技能：",99,IF(COUNTIF($L$2:$L$7,C1118)&gt;0,18,999))-'幕间与结算'!E1025)),0)</x:f>
        <x:v>0</x:v>
      </x:c>
      <x:c r="F1118" t="str">
        <x:f>IF(C1118=0,"",IF(G1118=0,"记录不完整",IF(H1118=0,"重复未计","已计入")))</x:f>
        <x:v/>
      </x:c>
      <x:c r="G1118">
        <x:f>IF(AND(AND('幕间与结算'!A1025&lt;&gt;"",'幕间与结算'!B1025&lt;&gt;"",'幕间与结算'!I1025&lt;&gt;"",OR(LEFT(C1118,3)="技能：",COUNTIF($L$2:$L$19,C1118)&gt;0),ISNUMBER('幕间与结算'!E1025),ISNUMBER('幕间与结算'!F1025),ISNUMBER('幕间与结算'!G1025),'幕间与结算'!E1025&gt;=0,'幕间与结算'!G1025='幕间与结算'!E1025+'幕间与结算'!F1025),OR(B1118&lt;&gt;"成长",AND(LEFT(C1118,3)="技能：",C1118&lt;&gt;"技能：非自然知识",'幕间与结算'!E1025&gt;=1,'幕间与结算'!E1025&lt;=99,'幕间与结算'!F1025&gt;=0,'幕间与结算'!F1025&lt;=4,'幕间与结算'!G1025&lt;=99))),1,0)</x:f>
        <x:v>0</x:v>
      </x:c>
      <x:c r="H1118">
        <x:f>IF(AND(G1118=1,COUNTIFS($I$200:I1118,I1118,$G$200:G1118,1)=1),1,0)</x:f>
        <x:v>0</x:v>
      </x:c>
      <x:c r="I1118" t="str">
        <x:f>IF(G1118=1,IF(B1118="成长",A1118&amp;"-成长-"&amp;C1118,'幕间与结算'!I1025),"")</x:f>
        <x:v/>
      </x:c>
      <x:c r="BF1118">
        <x:f>MAX(0,MIN(18,BF1117+IF(C1118="力量",E1118,0)))</x:f>
        <x:v>0</x:v>
      </x:c>
      <x:c r="BG1118">
        <x:f>MAX(0,MIN(18,BG1117+IF(C1118="体质",E1118,0)))</x:f>
        <x:v>0</x:v>
      </x:c>
      <x:c r="BH1118">
        <x:f>MAX(0,MIN(18,BH1117+IF(C1118="敏捷",E1118,0)))</x:f>
        <x:v>0</x:v>
      </x:c>
      <x:c r="BI1118">
        <x:f>MAX(0,MIN(18,BI1117+IF(C1118="智力",E1118,0)))</x:f>
        <x:v>0</x:v>
      </x:c>
      <x:c r="BJ1118">
        <x:f>MAX(0,MIN(18,BJ1117+IF(C1118="意志",E1118,0)))</x:f>
        <x:v>0</x:v>
      </x:c>
      <x:c r="BK1118">
        <x:f>MAX(0,MIN(18,BK1117+IF(C1118="魅力",E1118,0)))</x:f>
        <x:v>0</x:v>
      </x:c>
      <x:c r="BL1118">
        <x:f>MAX(0,MIN(99,BL1117+IF(C1118="技能：非自然知识",E1118,0)))</x:f>
        <x:v>0</x:v>
      </x:c>
      <x:c r="BM1118">
        <x:f>MAX(0,MIN(CEILING((BF1118+BG1118)/2,1),BM1117+IF(C1118="体力",E1118,0)))</x:f>
        <x:v>0</x:v>
      </x:c>
      <x:c r="BN1118">
        <x:f>MAX(0,MIN(BJ1118,BN1117+IF(C1118="毅力",E1118,0)))</x:f>
        <x:v>0</x:v>
      </x:c>
      <x:c r="BO1118">
        <x:f>MAX(0,MIN(99-BL1118,BO1117+IF(C1118="理智",E1118,0)))</x:f>
        <x:v>0</x:v>
      </x:c>
      <x:c r="BP1118">
        <x:f>MAX(0,MIN(99,BP1117+IF(C1118="崩溃点",E1118,0)))</x:f>
        <x:v>0</x:v>
      </x:c>
      <x:c r="BQ1118">
        <x:f>MAX(0,MIN(BK1118,IF(AND(H1118=1,C1118="重要关系1",LEFT('幕间与结算'!H1025,8)="建立新的重要关系"),'幕间与结算'!E1025+E1118,BQ1117+IF(C1118="重要关系1",E1118,0)+IF(AND(C1118="魅力",E1118&lt;0),E1118,0))))</x:f>
        <x:v>0</x:v>
      </x:c>
      <x:c r="BR1118">
        <x:f>MAX(0,MIN(BK1118,IF(AND(H1118=1,C1118="重要关系2",LEFT('幕间与结算'!H1025,8)="建立新的重要关系"),'幕间与结算'!E1025+E1118,BR1117+IF(C1118="重要关系2",E1118,0)+IF(AND(C1118="魅力",E1118&lt;0),E1118,0))))</x:f>
        <x:v>0</x:v>
      </x:c>
      <x:c r="BS1118">
        <x:f>MAX(0,MIN(BK1118,IF(AND(H1118=1,C1118="重要关系3",LEFT('幕间与结算'!H1025,8)="建立新的重要关系"),'幕间与结算'!E1025+E1118,BS1117+IF(C1118="重要关系3",E1118,0)+IF(AND(C1118="魅力",E1118&lt;0),E1118,0))))</x:f>
        <x:v>0</x:v>
      </x:c>
      <x:c r="BT1118">
        <x:f>MAX(0,MIN(BK1118,IF(AND(H1118=1,C1118="重要关系4",LEFT('幕间与结算'!H1025,8)="建立新的重要关系"),'幕间与结算'!E1025+E1118,BT1117+IF(C1118="重要关系4",E1118,0)+IF(AND(C1118="魅力",E1118&lt;0),E1118,0))))</x:f>
        <x:v>0</x:v>
      </x:c>
      <x:c r="BU1118">
        <x:f>MAX(0,MIN(BK1118,IF(AND(H1118=1,C1118="重要关系5",LEFT('幕间与结算'!H1025,8)="建立新的重要关系"),'幕间与结算'!E1025+E1118,BU1117+IF(C1118="重要关系5",E1118,0)+IF(AND(C1118="魅力",E1118&lt;0),E1118,0))))</x:f>
        <x:v>0</x:v>
      </x:c>
      <x:c r="BV1118">
        <x:f>MAX(0,MIN(BK1118,IF(AND(H1118=1,C1118="重要关系6",LEFT('幕间与结算'!H1025,8)="建立新的重要关系"),'幕间与结算'!E1025+E1118,BV1117+IF(C1118="重要关系6",E1118,0)+IF(AND(C1118="魅力",E1118&lt;0),E1118,0))))</x:f>
        <x:v>0</x:v>
      </x:c>
      <x:c r="BW1118">
        <x:f>MAX(0,MIN(BK1118,IF(AND(H1118=1,C1118="重要关系7",LEFT('幕间与结算'!H1025,8)="建立新的重要关系"),'幕间与结算'!E1025+E1118,BW1117+IF(C1118="重要关系7",E1118,0)+IF(AND(C1118="魅力",E1118&lt;0),E1118,0))))</x:f>
        <x:v>0</x:v>
      </x:c>
    </x:row>
    <x:row r="1119">
      <x:c r="A1119" t="str">
        <x:f>IFERROR(TEXT(VALUE('幕间与结算'!A1026),"00"),"")</x:f>
        <x:v>00</x:v>
      </x:c>
      <x:c r="B1119">
        <x:f>'幕间与结算'!B1026</x:f>
        <x:v>0</x:v>
      </x:c>
      <x:c r="C1119">
        <x:f>'幕间与结算'!D1026</x:f>
        <x:v>0</x:v>
      </x:c>
      <x:c r="D1119">
        <x:f>'幕间与结算'!F1026</x:f>
        <x:v>0</x:v>
      </x:c>
      <x:c r="E1119">
        <x:f>IF(H1119=1,MAX(-'幕间与结算'!E1026,MIN(D1119,IF(LEFT(C1119,3)="技能：",99,IF(COUNTIF($L$2:$L$7,C1119)&gt;0,18,999))-'幕间与结算'!E1026)),0)</x:f>
        <x:v>0</x:v>
      </x:c>
      <x:c r="F1119" t="str">
        <x:f>IF(C1119=0,"",IF(G1119=0,"记录不完整",IF(H1119=0,"重复未计","已计入")))</x:f>
        <x:v/>
      </x:c>
      <x:c r="G1119">
        <x:f>IF(AND(AND('幕间与结算'!A1026&lt;&gt;"",'幕间与结算'!B1026&lt;&gt;"",'幕间与结算'!I1026&lt;&gt;"",OR(LEFT(C1119,3)="技能：",COUNTIF($L$2:$L$19,C1119)&gt;0),ISNUMBER('幕间与结算'!E1026),ISNUMBER('幕间与结算'!F1026),ISNUMBER('幕间与结算'!G1026),'幕间与结算'!E1026&gt;=0,'幕间与结算'!G1026='幕间与结算'!E1026+'幕间与结算'!F1026),OR(B1119&lt;&gt;"成长",AND(LEFT(C1119,3)="技能：",C1119&lt;&gt;"技能：非自然知识",'幕间与结算'!E1026&gt;=1,'幕间与结算'!E1026&lt;=99,'幕间与结算'!F1026&gt;=0,'幕间与结算'!F1026&lt;=4,'幕间与结算'!G1026&lt;=99))),1,0)</x:f>
        <x:v>0</x:v>
      </x:c>
      <x:c r="H1119">
        <x:f>IF(AND(G1119=1,COUNTIFS($I$200:I1119,I1119,$G$200:G1119,1)=1),1,0)</x:f>
        <x:v>0</x:v>
      </x:c>
      <x:c r="I1119" t="str">
        <x:f>IF(G1119=1,IF(B1119="成长",A1119&amp;"-成长-"&amp;C1119,'幕间与结算'!I1026),"")</x:f>
        <x:v/>
      </x:c>
      <x:c r="BF1119">
        <x:f>MAX(0,MIN(18,BF1118+IF(C1119="力量",E1119,0)))</x:f>
        <x:v>0</x:v>
      </x:c>
      <x:c r="BG1119">
        <x:f>MAX(0,MIN(18,BG1118+IF(C1119="体质",E1119,0)))</x:f>
        <x:v>0</x:v>
      </x:c>
      <x:c r="BH1119">
        <x:f>MAX(0,MIN(18,BH1118+IF(C1119="敏捷",E1119,0)))</x:f>
        <x:v>0</x:v>
      </x:c>
      <x:c r="BI1119">
        <x:f>MAX(0,MIN(18,BI1118+IF(C1119="智力",E1119,0)))</x:f>
        <x:v>0</x:v>
      </x:c>
      <x:c r="BJ1119">
        <x:f>MAX(0,MIN(18,BJ1118+IF(C1119="意志",E1119,0)))</x:f>
        <x:v>0</x:v>
      </x:c>
      <x:c r="BK1119">
        <x:f>MAX(0,MIN(18,BK1118+IF(C1119="魅力",E1119,0)))</x:f>
        <x:v>0</x:v>
      </x:c>
      <x:c r="BL1119">
        <x:f>MAX(0,MIN(99,BL1118+IF(C1119="技能：非自然知识",E1119,0)))</x:f>
        <x:v>0</x:v>
      </x:c>
      <x:c r="BM1119">
        <x:f>MAX(0,MIN(CEILING((BF1119+BG1119)/2,1),BM1118+IF(C1119="体力",E1119,0)))</x:f>
        <x:v>0</x:v>
      </x:c>
      <x:c r="BN1119">
        <x:f>MAX(0,MIN(BJ1119,BN1118+IF(C1119="毅力",E1119,0)))</x:f>
        <x:v>0</x:v>
      </x:c>
      <x:c r="BO1119">
        <x:f>MAX(0,MIN(99-BL1119,BO1118+IF(C1119="理智",E1119,0)))</x:f>
        <x:v>0</x:v>
      </x:c>
      <x:c r="BP1119">
        <x:f>MAX(0,MIN(99,BP1118+IF(C1119="崩溃点",E1119,0)))</x:f>
        <x:v>0</x:v>
      </x:c>
      <x:c r="BQ1119">
        <x:f>MAX(0,MIN(BK1119,IF(AND(H1119=1,C1119="重要关系1",LEFT('幕间与结算'!H1026,8)="建立新的重要关系"),'幕间与结算'!E1026+E1119,BQ1118+IF(C1119="重要关系1",E1119,0)+IF(AND(C1119="魅力",E1119&lt;0),E1119,0))))</x:f>
        <x:v>0</x:v>
      </x:c>
      <x:c r="BR1119">
        <x:f>MAX(0,MIN(BK1119,IF(AND(H1119=1,C1119="重要关系2",LEFT('幕间与结算'!H1026,8)="建立新的重要关系"),'幕间与结算'!E1026+E1119,BR1118+IF(C1119="重要关系2",E1119,0)+IF(AND(C1119="魅力",E1119&lt;0),E1119,0))))</x:f>
        <x:v>0</x:v>
      </x:c>
      <x:c r="BS1119">
        <x:f>MAX(0,MIN(BK1119,IF(AND(H1119=1,C1119="重要关系3",LEFT('幕间与结算'!H1026,8)="建立新的重要关系"),'幕间与结算'!E1026+E1119,BS1118+IF(C1119="重要关系3",E1119,0)+IF(AND(C1119="魅力",E1119&lt;0),E1119,0))))</x:f>
        <x:v>0</x:v>
      </x:c>
      <x:c r="BT1119">
        <x:f>MAX(0,MIN(BK1119,IF(AND(H1119=1,C1119="重要关系4",LEFT('幕间与结算'!H1026,8)="建立新的重要关系"),'幕间与结算'!E1026+E1119,BT1118+IF(C1119="重要关系4",E1119,0)+IF(AND(C1119="魅力",E1119&lt;0),E1119,0))))</x:f>
        <x:v>0</x:v>
      </x:c>
      <x:c r="BU1119">
        <x:f>MAX(0,MIN(BK1119,IF(AND(H1119=1,C1119="重要关系5",LEFT('幕间与结算'!H1026,8)="建立新的重要关系"),'幕间与结算'!E1026+E1119,BU1118+IF(C1119="重要关系5",E1119,0)+IF(AND(C1119="魅力",E1119&lt;0),E1119,0))))</x:f>
        <x:v>0</x:v>
      </x:c>
      <x:c r="BV1119">
        <x:f>MAX(0,MIN(BK1119,IF(AND(H1119=1,C1119="重要关系6",LEFT('幕间与结算'!H1026,8)="建立新的重要关系"),'幕间与结算'!E1026+E1119,BV1118+IF(C1119="重要关系6",E1119,0)+IF(AND(C1119="魅力",E1119&lt;0),E1119,0))))</x:f>
        <x:v>0</x:v>
      </x:c>
      <x:c r="BW1119">
        <x:f>MAX(0,MIN(BK1119,IF(AND(H1119=1,C1119="重要关系7",LEFT('幕间与结算'!H1026,8)="建立新的重要关系"),'幕间与结算'!E1026+E1119,BW1118+IF(C1119="重要关系7",E1119,0)+IF(AND(C1119="魅力",E1119&lt;0),E1119,0))))</x:f>
        <x:v>0</x:v>
      </x:c>
    </x:row>
    <x:row r="1120">
      <x:c r="A1120" t="str">
        <x:f>IFERROR(TEXT(VALUE('幕间与结算'!A1027),"00"),"")</x:f>
        <x:v>00</x:v>
      </x:c>
      <x:c r="B1120">
        <x:f>'幕间与结算'!B1027</x:f>
        <x:v>0</x:v>
      </x:c>
      <x:c r="C1120">
        <x:f>'幕间与结算'!D1027</x:f>
        <x:v>0</x:v>
      </x:c>
      <x:c r="D1120">
        <x:f>'幕间与结算'!F1027</x:f>
        <x:v>0</x:v>
      </x:c>
      <x:c r="E1120">
        <x:f>IF(H1120=1,MAX(-'幕间与结算'!E1027,MIN(D1120,IF(LEFT(C1120,3)="技能：",99,IF(COUNTIF($L$2:$L$7,C1120)&gt;0,18,999))-'幕间与结算'!E1027)),0)</x:f>
        <x:v>0</x:v>
      </x:c>
      <x:c r="F1120" t="str">
        <x:f>IF(C1120=0,"",IF(G1120=0,"记录不完整",IF(H1120=0,"重复未计","已计入")))</x:f>
        <x:v/>
      </x:c>
      <x:c r="G1120">
        <x:f>IF(AND(AND('幕间与结算'!A1027&lt;&gt;"",'幕间与结算'!B1027&lt;&gt;"",'幕间与结算'!I1027&lt;&gt;"",OR(LEFT(C1120,3)="技能：",COUNTIF($L$2:$L$19,C1120)&gt;0),ISNUMBER('幕间与结算'!E1027),ISNUMBER('幕间与结算'!F1027),ISNUMBER('幕间与结算'!G1027),'幕间与结算'!E1027&gt;=0,'幕间与结算'!G1027='幕间与结算'!E1027+'幕间与结算'!F1027),OR(B1120&lt;&gt;"成长",AND(LEFT(C1120,3)="技能：",C1120&lt;&gt;"技能：非自然知识",'幕间与结算'!E1027&gt;=1,'幕间与结算'!E1027&lt;=99,'幕间与结算'!F1027&gt;=0,'幕间与结算'!F1027&lt;=4,'幕间与结算'!G1027&lt;=99))),1,0)</x:f>
        <x:v>0</x:v>
      </x:c>
      <x:c r="H1120">
        <x:f>IF(AND(G1120=1,COUNTIFS($I$200:I1120,I1120,$G$200:G1120,1)=1),1,0)</x:f>
        <x:v>0</x:v>
      </x:c>
      <x:c r="I1120" t="str">
        <x:f>IF(G1120=1,IF(B1120="成长",A1120&amp;"-成长-"&amp;C1120,'幕间与结算'!I1027),"")</x:f>
        <x:v/>
      </x:c>
      <x:c r="BF1120">
        <x:f>MAX(0,MIN(18,BF1119+IF(C1120="力量",E1120,0)))</x:f>
        <x:v>0</x:v>
      </x:c>
      <x:c r="BG1120">
        <x:f>MAX(0,MIN(18,BG1119+IF(C1120="体质",E1120,0)))</x:f>
        <x:v>0</x:v>
      </x:c>
      <x:c r="BH1120">
        <x:f>MAX(0,MIN(18,BH1119+IF(C1120="敏捷",E1120,0)))</x:f>
        <x:v>0</x:v>
      </x:c>
      <x:c r="BI1120">
        <x:f>MAX(0,MIN(18,BI1119+IF(C1120="智力",E1120,0)))</x:f>
        <x:v>0</x:v>
      </x:c>
      <x:c r="BJ1120">
        <x:f>MAX(0,MIN(18,BJ1119+IF(C1120="意志",E1120,0)))</x:f>
        <x:v>0</x:v>
      </x:c>
      <x:c r="BK1120">
        <x:f>MAX(0,MIN(18,BK1119+IF(C1120="魅力",E1120,0)))</x:f>
        <x:v>0</x:v>
      </x:c>
      <x:c r="BL1120">
        <x:f>MAX(0,MIN(99,BL1119+IF(C1120="技能：非自然知识",E1120,0)))</x:f>
        <x:v>0</x:v>
      </x:c>
      <x:c r="BM1120">
        <x:f>MAX(0,MIN(CEILING((BF1120+BG1120)/2,1),BM1119+IF(C1120="体力",E1120,0)))</x:f>
        <x:v>0</x:v>
      </x:c>
      <x:c r="BN1120">
        <x:f>MAX(0,MIN(BJ1120,BN1119+IF(C1120="毅力",E1120,0)))</x:f>
        <x:v>0</x:v>
      </x:c>
      <x:c r="BO1120">
        <x:f>MAX(0,MIN(99-BL1120,BO1119+IF(C1120="理智",E1120,0)))</x:f>
        <x:v>0</x:v>
      </x:c>
      <x:c r="BP1120">
        <x:f>MAX(0,MIN(99,BP1119+IF(C1120="崩溃点",E1120,0)))</x:f>
        <x:v>0</x:v>
      </x:c>
      <x:c r="BQ1120">
        <x:f>MAX(0,MIN(BK1120,IF(AND(H1120=1,C1120="重要关系1",LEFT('幕间与结算'!H1027,8)="建立新的重要关系"),'幕间与结算'!E1027+E1120,BQ1119+IF(C1120="重要关系1",E1120,0)+IF(AND(C1120="魅力",E1120&lt;0),E1120,0))))</x:f>
        <x:v>0</x:v>
      </x:c>
      <x:c r="BR1120">
        <x:f>MAX(0,MIN(BK1120,IF(AND(H1120=1,C1120="重要关系2",LEFT('幕间与结算'!H1027,8)="建立新的重要关系"),'幕间与结算'!E1027+E1120,BR1119+IF(C1120="重要关系2",E1120,0)+IF(AND(C1120="魅力",E1120&lt;0),E1120,0))))</x:f>
        <x:v>0</x:v>
      </x:c>
      <x:c r="BS1120">
        <x:f>MAX(0,MIN(BK1120,IF(AND(H1120=1,C1120="重要关系3",LEFT('幕间与结算'!H1027,8)="建立新的重要关系"),'幕间与结算'!E1027+E1120,BS1119+IF(C1120="重要关系3",E1120,0)+IF(AND(C1120="魅力",E1120&lt;0),E1120,0))))</x:f>
        <x:v>0</x:v>
      </x:c>
      <x:c r="BT1120">
        <x:f>MAX(0,MIN(BK1120,IF(AND(H1120=1,C1120="重要关系4",LEFT('幕间与结算'!H1027,8)="建立新的重要关系"),'幕间与结算'!E1027+E1120,BT1119+IF(C1120="重要关系4",E1120,0)+IF(AND(C1120="魅力",E1120&lt;0),E1120,0))))</x:f>
        <x:v>0</x:v>
      </x:c>
      <x:c r="BU1120">
        <x:f>MAX(0,MIN(BK1120,IF(AND(H1120=1,C1120="重要关系5",LEFT('幕间与结算'!H1027,8)="建立新的重要关系"),'幕间与结算'!E1027+E1120,BU1119+IF(C1120="重要关系5",E1120,0)+IF(AND(C1120="魅力",E1120&lt;0),E1120,0))))</x:f>
        <x:v>0</x:v>
      </x:c>
      <x:c r="BV1120">
        <x:f>MAX(0,MIN(BK1120,IF(AND(H1120=1,C1120="重要关系6",LEFT('幕间与结算'!H1027,8)="建立新的重要关系"),'幕间与结算'!E1027+E1120,BV1119+IF(C1120="重要关系6",E1120,0)+IF(AND(C1120="魅力",E1120&lt;0),E1120,0))))</x:f>
        <x:v>0</x:v>
      </x:c>
      <x:c r="BW1120">
        <x:f>MAX(0,MIN(BK1120,IF(AND(H1120=1,C1120="重要关系7",LEFT('幕间与结算'!H1027,8)="建立新的重要关系"),'幕间与结算'!E1027+E1120,BW1119+IF(C1120="重要关系7",E1120,0)+IF(AND(C1120="魅力",E1120&lt;0),E1120,0))))</x:f>
        <x:v>0</x:v>
      </x:c>
    </x:row>
    <x:row r="1121">
      <x:c r="A1121" t="str">
        <x:f>IFERROR(TEXT(VALUE('幕间与结算'!A1028),"00"),"")</x:f>
        <x:v>00</x:v>
      </x:c>
      <x:c r="B1121">
        <x:f>'幕间与结算'!B1028</x:f>
        <x:v>0</x:v>
      </x:c>
      <x:c r="C1121">
        <x:f>'幕间与结算'!D1028</x:f>
        <x:v>0</x:v>
      </x:c>
      <x:c r="D1121">
        <x:f>'幕间与结算'!F1028</x:f>
        <x:v>0</x:v>
      </x:c>
      <x:c r="E1121">
        <x:f>IF(H1121=1,MAX(-'幕间与结算'!E1028,MIN(D1121,IF(LEFT(C1121,3)="技能：",99,IF(COUNTIF($L$2:$L$7,C1121)&gt;0,18,999))-'幕间与结算'!E1028)),0)</x:f>
        <x:v>0</x:v>
      </x:c>
      <x:c r="F1121" t="str">
        <x:f>IF(C1121=0,"",IF(G1121=0,"记录不完整",IF(H1121=0,"重复未计","已计入")))</x:f>
        <x:v/>
      </x:c>
      <x:c r="G1121">
        <x:f>IF(AND(AND('幕间与结算'!A1028&lt;&gt;"",'幕间与结算'!B1028&lt;&gt;"",'幕间与结算'!I1028&lt;&gt;"",OR(LEFT(C1121,3)="技能：",COUNTIF($L$2:$L$19,C1121)&gt;0),ISNUMBER('幕间与结算'!E1028),ISNUMBER('幕间与结算'!F1028),ISNUMBER('幕间与结算'!G1028),'幕间与结算'!E1028&gt;=0,'幕间与结算'!G1028='幕间与结算'!E1028+'幕间与结算'!F1028),OR(B1121&lt;&gt;"成长",AND(LEFT(C1121,3)="技能：",C1121&lt;&gt;"技能：非自然知识",'幕间与结算'!E1028&gt;=1,'幕间与结算'!E1028&lt;=99,'幕间与结算'!F1028&gt;=0,'幕间与结算'!F1028&lt;=4,'幕间与结算'!G1028&lt;=99))),1,0)</x:f>
        <x:v>0</x:v>
      </x:c>
      <x:c r="H1121">
        <x:f>IF(AND(G1121=1,COUNTIFS($I$200:I1121,I1121,$G$200:G1121,1)=1),1,0)</x:f>
        <x:v>0</x:v>
      </x:c>
      <x:c r="I1121" t="str">
        <x:f>IF(G1121=1,IF(B1121="成长",A1121&amp;"-成长-"&amp;C1121,'幕间与结算'!I1028),"")</x:f>
        <x:v/>
      </x:c>
      <x:c r="BF1121">
        <x:f>MAX(0,MIN(18,BF1120+IF(C1121="力量",E1121,0)))</x:f>
        <x:v>0</x:v>
      </x:c>
      <x:c r="BG1121">
        <x:f>MAX(0,MIN(18,BG1120+IF(C1121="体质",E1121,0)))</x:f>
        <x:v>0</x:v>
      </x:c>
      <x:c r="BH1121">
        <x:f>MAX(0,MIN(18,BH1120+IF(C1121="敏捷",E1121,0)))</x:f>
        <x:v>0</x:v>
      </x:c>
      <x:c r="BI1121">
        <x:f>MAX(0,MIN(18,BI1120+IF(C1121="智力",E1121,0)))</x:f>
        <x:v>0</x:v>
      </x:c>
      <x:c r="BJ1121">
        <x:f>MAX(0,MIN(18,BJ1120+IF(C1121="意志",E1121,0)))</x:f>
        <x:v>0</x:v>
      </x:c>
      <x:c r="BK1121">
        <x:f>MAX(0,MIN(18,BK1120+IF(C1121="魅力",E1121,0)))</x:f>
        <x:v>0</x:v>
      </x:c>
      <x:c r="BL1121">
        <x:f>MAX(0,MIN(99,BL1120+IF(C1121="技能：非自然知识",E1121,0)))</x:f>
        <x:v>0</x:v>
      </x:c>
      <x:c r="BM1121">
        <x:f>MAX(0,MIN(CEILING((BF1121+BG1121)/2,1),BM1120+IF(C1121="体力",E1121,0)))</x:f>
        <x:v>0</x:v>
      </x:c>
      <x:c r="BN1121">
        <x:f>MAX(0,MIN(BJ1121,BN1120+IF(C1121="毅力",E1121,0)))</x:f>
        <x:v>0</x:v>
      </x:c>
      <x:c r="BO1121">
        <x:f>MAX(0,MIN(99-BL1121,BO1120+IF(C1121="理智",E1121,0)))</x:f>
        <x:v>0</x:v>
      </x:c>
      <x:c r="BP1121">
        <x:f>MAX(0,MIN(99,BP1120+IF(C1121="崩溃点",E1121,0)))</x:f>
        <x:v>0</x:v>
      </x:c>
      <x:c r="BQ1121">
        <x:f>MAX(0,MIN(BK1121,IF(AND(H1121=1,C1121="重要关系1",LEFT('幕间与结算'!H1028,8)="建立新的重要关系"),'幕间与结算'!E1028+E1121,BQ1120+IF(C1121="重要关系1",E1121,0)+IF(AND(C1121="魅力",E1121&lt;0),E1121,0))))</x:f>
        <x:v>0</x:v>
      </x:c>
      <x:c r="BR1121">
        <x:f>MAX(0,MIN(BK1121,IF(AND(H1121=1,C1121="重要关系2",LEFT('幕间与结算'!H1028,8)="建立新的重要关系"),'幕间与结算'!E1028+E1121,BR1120+IF(C1121="重要关系2",E1121,0)+IF(AND(C1121="魅力",E1121&lt;0),E1121,0))))</x:f>
        <x:v>0</x:v>
      </x:c>
      <x:c r="BS1121">
        <x:f>MAX(0,MIN(BK1121,IF(AND(H1121=1,C1121="重要关系3",LEFT('幕间与结算'!H1028,8)="建立新的重要关系"),'幕间与结算'!E1028+E1121,BS1120+IF(C1121="重要关系3",E1121,0)+IF(AND(C1121="魅力",E1121&lt;0),E1121,0))))</x:f>
        <x:v>0</x:v>
      </x:c>
      <x:c r="BT1121">
        <x:f>MAX(0,MIN(BK1121,IF(AND(H1121=1,C1121="重要关系4",LEFT('幕间与结算'!H1028,8)="建立新的重要关系"),'幕间与结算'!E1028+E1121,BT1120+IF(C1121="重要关系4",E1121,0)+IF(AND(C1121="魅力",E1121&lt;0),E1121,0))))</x:f>
        <x:v>0</x:v>
      </x:c>
      <x:c r="BU1121">
        <x:f>MAX(0,MIN(BK1121,IF(AND(H1121=1,C1121="重要关系5",LEFT('幕间与结算'!H1028,8)="建立新的重要关系"),'幕间与结算'!E1028+E1121,BU1120+IF(C1121="重要关系5",E1121,0)+IF(AND(C1121="魅力",E1121&lt;0),E1121,0))))</x:f>
        <x:v>0</x:v>
      </x:c>
      <x:c r="BV1121">
        <x:f>MAX(0,MIN(BK1121,IF(AND(H1121=1,C1121="重要关系6",LEFT('幕间与结算'!H1028,8)="建立新的重要关系"),'幕间与结算'!E1028+E1121,BV1120+IF(C1121="重要关系6",E1121,0)+IF(AND(C1121="魅力",E1121&lt;0),E1121,0))))</x:f>
        <x:v>0</x:v>
      </x:c>
      <x:c r="BW1121">
        <x:f>MAX(0,MIN(BK1121,IF(AND(H1121=1,C1121="重要关系7",LEFT('幕间与结算'!H1028,8)="建立新的重要关系"),'幕间与结算'!E1028+E1121,BW1120+IF(C1121="重要关系7",E1121,0)+IF(AND(C1121="魅力",E1121&lt;0),E1121,0))))</x:f>
        <x:v>0</x:v>
      </x:c>
    </x:row>
    <x:row r="1122">
      <x:c r="A1122" t="str">
        <x:f>IFERROR(TEXT(VALUE('幕间与结算'!A1029),"00"),"")</x:f>
        <x:v>00</x:v>
      </x:c>
      <x:c r="B1122">
        <x:f>'幕间与结算'!B1029</x:f>
        <x:v>0</x:v>
      </x:c>
      <x:c r="C1122">
        <x:f>'幕间与结算'!D1029</x:f>
        <x:v>0</x:v>
      </x:c>
      <x:c r="D1122">
        <x:f>'幕间与结算'!F1029</x:f>
        <x:v>0</x:v>
      </x:c>
      <x:c r="E1122">
        <x:f>IF(H1122=1,MAX(-'幕间与结算'!E1029,MIN(D1122,IF(LEFT(C1122,3)="技能：",99,IF(COUNTIF($L$2:$L$7,C1122)&gt;0,18,999))-'幕间与结算'!E1029)),0)</x:f>
        <x:v>0</x:v>
      </x:c>
      <x:c r="F1122" t="str">
        <x:f>IF(C1122=0,"",IF(G1122=0,"记录不完整",IF(H1122=0,"重复未计","已计入")))</x:f>
        <x:v/>
      </x:c>
      <x:c r="G1122">
        <x:f>IF(AND(AND('幕间与结算'!A1029&lt;&gt;"",'幕间与结算'!B1029&lt;&gt;"",'幕间与结算'!I1029&lt;&gt;"",OR(LEFT(C1122,3)="技能：",COUNTIF($L$2:$L$19,C1122)&gt;0),ISNUMBER('幕间与结算'!E1029),ISNUMBER('幕间与结算'!F1029),ISNUMBER('幕间与结算'!G1029),'幕间与结算'!E1029&gt;=0,'幕间与结算'!G1029='幕间与结算'!E1029+'幕间与结算'!F1029),OR(B1122&lt;&gt;"成长",AND(LEFT(C1122,3)="技能：",C1122&lt;&gt;"技能：非自然知识",'幕间与结算'!E1029&gt;=1,'幕间与结算'!E1029&lt;=99,'幕间与结算'!F1029&gt;=0,'幕间与结算'!F1029&lt;=4,'幕间与结算'!G1029&lt;=99))),1,0)</x:f>
        <x:v>0</x:v>
      </x:c>
      <x:c r="H1122">
        <x:f>IF(AND(G1122=1,COUNTIFS($I$200:I1122,I1122,$G$200:G1122,1)=1),1,0)</x:f>
        <x:v>0</x:v>
      </x:c>
      <x:c r="I1122" t="str">
        <x:f>IF(G1122=1,IF(B1122="成长",A1122&amp;"-成长-"&amp;C1122,'幕间与结算'!I1029),"")</x:f>
        <x:v/>
      </x:c>
      <x:c r="BF1122">
        <x:f>MAX(0,MIN(18,BF1121+IF(C1122="力量",E1122,0)))</x:f>
        <x:v>0</x:v>
      </x:c>
      <x:c r="BG1122">
        <x:f>MAX(0,MIN(18,BG1121+IF(C1122="体质",E1122,0)))</x:f>
        <x:v>0</x:v>
      </x:c>
      <x:c r="BH1122">
        <x:f>MAX(0,MIN(18,BH1121+IF(C1122="敏捷",E1122,0)))</x:f>
        <x:v>0</x:v>
      </x:c>
      <x:c r="BI1122">
        <x:f>MAX(0,MIN(18,BI1121+IF(C1122="智力",E1122,0)))</x:f>
        <x:v>0</x:v>
      </x:c>
      <x:c r="BJ1122">
        <x:f>MAX(0,MIN(18,BJ1121+IF(C1122="意志",E1122,0)))</x:f>
        <x:v>0</x:v>
      </x:c>
      <x:c r="BK1122">
        <x:f>MAX(0,MIN(18,BK1121+IF(C1122="魅力",E1122,0)))</x:f>
        <x:v>0</x:v>
      </x:c>
      <x:c r="BL1122">
        <x:f>MAX(0,MIN(99,BL1121+IF(C1122="技能：非自然知识",E1122,0)))</x:f>
        <x:v>0</x:v>
      </x:c>
      <x:c r="BM1122">
        <x:f>MAX(0,MIN(CEILING((BF1122+BG1122)/2,1),BM1121+IF(C1122="体力",E1122,0)))</x:f>
        <x:v>0</x:v>
      </x:c>
      <x:c r="BN1122">
        <x:f>MAX(0,MIN(BJ1122,BN1121+IF(C1122="毅力",E1122,0)))</x:f>
        <x:v>0</x:v>
      </x:c>
      <x:c r="BO1122">
        <x:f>MAX(0,MIN(99-BL1122,BO1121+IF(C1122="理智",E1122,0)))</x:f>
        <x:v>0</x:v>
      </x:c>
      <x:c r="BP1122">
        <x:f>MAX(0,MIN(99,BP1121+IF(C1122="崩溃点",E1122,0)))</x:f>
        <x:v>0</x:v>
      </x:c>
      <x:c r="BQ1122">
        <x:f>MAX(0,MIN(BK1122,IF(AND(H1122=1,C1122="重要关系1",LEFT('幕间与结算'!H1029,8)="建立新的重要关系"),'幕间与结算'!E1029+E1122,BQ1121+IF(C1122="重要关系1",E1122,0)+IF(AND(C1122="魅力",E1122&lt;0),E1122,0))))</x:f>
        <x:v>0</x:v>
      </x:c>
      <x:c r="BR1122">
        <x:f>MAX(0,MIN(BK1122,IF(AND(H1122=1,C1122="重要关系2",LEFT('幕间与结算'!H1029,8)="建立新的重要关系"),'幕间与结算'!E1029+E1122,BR1121+IF(C1122="重要关系2",E1122,0)+IF(AND(C1122="魅力",E1122&lt;0),E1122,0))))</x:f>
        <x:v>0</x:v>
      </x:c>
      <x:c r="BS1122">
        <x:f>MAX(0,MIN(BK1122,IF(AND(H1122=1,C1122="重要关系3",LEFT('幕间与结算'!H1029,8)="建立新的重要关系"),'幕间与结算'!E1029+E1122,BS1121+IF(C1122="重要关系3",E1122,0)+IF(AND(C1122="魅力",E1122&lt;0),E1122,0))))</x:f>
        <x:v>0</x:v>
      </x:c>
      <x:c r="BT1122">
        <x:f>MAX(0,MIN(BK1122,IF(AND(H1122=1,C1122="重要关系4",LEFT('幕间与结算'!H1029,8)="建立新的重要关系"),'幕间与结算'!E1029+E1122,BT1121+IF(C1122="重要关系4",E1122,0)+IF(AND(C1122="魅力",E1122&lt;0),E1122,0))))</x:f>
        <x:v>0</x:v>
      </x:c>
      <x:c r="BU1122">
        <x:f>MAX(0,MIN(BK1122,IF(AND(H1122=1,C1122="重要关系5",LEFT('幕间与结算'!H1029,8)="建立新的重要关系"),'幕间与结算'!E1029+E1122,BU1121+IF(C1122="重要关系5",E1122,0)+IF(AND(C1122="魅力",E1122&lt;0),E1122,0))))</x:f>
        <x:v>0</x:v>
      </x:c>
      <x:c r="BV1122">
        <x:f>MAX(0,MIN(BK1122,IF(AND(H1122=1,C1122="重要关系6",LEFT('幕间与结算'!H1029,8)="建立新的重要关系"),'幕间与结算'!E1029+E1122,BV1121+IF(C1122="重要关系6",E1122,0)+IF(AND(C1122="魅力",E1122&lt;0),E1122,0))))</x:f>
        <x:v>0</x:v>
      </x:c>
      <x:c r="BW1122">
        <x:f>MAX(0,MIN(BK1122,IF(AND(H1122=1,C1122="重要关系7",LEFT('幕间与结算'!H1029,8)="建立新的重要关系"),'幕间与结算'!E1029+E1122,BW1121+IF(C1122="重要关系7",E1122,0)+IF(AND(C1122="魅力",E1122&lt;0),E1122,0))))</x:f>
        <x:v>0</x:v>
      </x:c>
    </x:row>
    <x:row r="1123">
      <x:c r="A1123" t="str">
        <x:f>IFERROR(TEXT(VALUE('幕间与结算'!A1030),"00"),"")</x:f>
        <x:v>00</x:v>
      </x:c>
      <x:c r="B1123">
        <x:f>'幕间与结算'!B1030</x:f>
        <x:v>0</x:v>
      </x:c>
      <x:c r="C1123">
        <x:f>'幕间与结算'!D1030</x:f>
        <x:v>0</x:v>
      </x:c>
      <x:c r="D1123">
        <x:f>'幕间与结算'!F1030</x:f>
        <x:v>0</x:v>
      </x:c>
      <x:c r="E1123">
        <x:f>IF(H1123=1,MAX(-'幕间与结算'!E1030,MIN(D1123,IF(LEFT(C1123,3)="技能：",99,IF(COUNTIF($L$2:$L$7,C1123)&gt;0,18,999))-'幕间与结算'!E1030)),0)</x:f>
        <x:v>0</x:v>
      </x:c>
      <x:c r="F1123" t="str">
        <x:f>IF(C1123=0,"",IF(G1123=0,"记录不完整",IF(H1123=0,"重复未计","已计入")))</x:f>
        <x:v/>
      </x:c>
      <x:c r="G1123">
        <x:f>IF(AND(AND('幕间与结算'!A1030&lt;&gt;"",'幕间与结算'!B1030&lt;&gt;"",'幕间与结算'!I1030&lt;&gt;"",OR(LEFT(C1123,3)="技能：",COUNTIF($L$2:$L$19,C1123)&gt;0),ISNUMBER('幕间与结算'!E1030),ISNUMBER('幕间与结算'!F1030),ISNUMBER('幕间与结算'!G1030),'幕间与结算'!E1030&gt;=0,'幕间与结算'!G1030='幕间与结算'!E1030+'幕间与结算'!F1030),OR(B1123&lt;&gt;"成长",AND(LEFT(C1123,3)="技能：",C1123&lt;&gt;"技能：非自然知识",'幕间与结算'!E1030&gt;=1,'幕间与结算'!E1030&lt;=99,'幕间与结算'!F1030&gt;=0,'幕间与结算'!F1030&lt;=4,'幕间与结算'!G1030&lt;=99))),1,0)</x:f>
        <x:v>0</x:v>
      </x:c>
      <x:c r="H1123">
        <x:f>IF(AND(G1123=1,COUNTIFS($I$200:I1123,I1123,$G$200:G1123,1)=1),1,0)</x:f>
        <x:v>0</x:v>
      </x:c>
      <x:c r="I1123" t="str">
        <x:f>IF(G1123=1,IF(B1123="成长",A1123&amp;"-成长-"&amp;C1123,'幕间与结算'!I1030),"")</x:f>
        <x:v/>
      </x:c>
      <x:c r="BF1123">
        <x:f>MAX(0,MIN(18,BF1122+IF(C1123="力量",E1123,0)))</x:f>
        <x:v>0</x:v>
      </x:c>
      <x:c r="BG1123">
        <x:f>MAX(0,MIN(18,BG1122+IF(C1123="体质",E1123,0)))</x:f>
        <x:v>0</x:v>
      </x:c>
      <x:c r="BH1123">
        <x:f>MAX(0,MIN(18,BH1122+IF(C1123="敏捷",E1123,0)))</x:f>
        <x:v>0</x:v>
      </x:c>
      <x:c r="BI1123">
        <x:f>MAX(0,MIN(18,BI1122+IF(C1123="智力",E1123,0)))</x:f>
        <x:v>0</x:v>
      </x:c>
      <x:c r="BJ1123">
        <x:f>MAX(0,MIN(18,BJ1122+IF(C1123="意志",E1123,0)))</x:f>
        <x:v>0</x:v>
      </x:c>
      <x:c r="BK1123">
        <x:f>MAX(0,MIN(18,BK1122+IF(C1123="魅力",E1123,0)))</x:f>
        <x:v>0</x:v>
      </x:c>
      <x:c r="BL1123">
        <x:f>MAX(0,MIN(99,BL1122+IF(C1123="技能：非自然知识",E1123,0)))</x:f>
        <x:v>0</x:v>
      </x:c>
      <x:c r="BM1123">
        <x:f>MAX(0,MIN(CEILING((BF1123+BG1123)/2,1),BM1122+IF(C1123="体力",E1123,0)))</x:f>
        <x:v>0</x:v>
      </x:c>
      <x:c r="BN1123">
        <x:f>MAX(0,MIN(BJ1123,BN1122+IF(C1123="毅力",E1123,0)))</x:f>
        <x:v>0</x:v>
      </x:c>
      <x:c r="BO1123">
        <x:f>MAX(0,MIN(99-BL1123,BO1122+IF(C1123="理智",E1123,0)))</x:f>
        <x:v>0</x:v>
      </x:c>
      <x:c r="BP1123">
        <x:f>MAX(0,MIN(99,BP1122+IF(C1123="崩溃点",E1123,0)))</x:f>
        <x:v>0</x:v>
      </x:c>
      <x:c r="BQ1123">
        <x:f>MAX(0,MIN(BK1123,IF(AND(H1123=1,C1123="重要关系1",LEFT('幕间与结算'!H1030,8)="建立新的重要关系"),'幕间与结算'!E1030+E1123,BQ1122+IF(C1123="重要关系1",E1123,0)+IF(AND(C1123="魅力",E1123&lt;0),E1123,0))))</x:f>
        <x:v>0</x:v>
      </x:c>
      <x:c r="BR1123">
        <x:f>MAX(0,MIN(BK1123,IF(AND(H1123=1,C1123="重要关系2",LEFT('幕间与结算'!H1030,8)="建立新的重要关系"),'幕间与结算'!E1030+E1123,BR1122+IF(C1123="重要关系2",E1123,0)+IF(AND(C1123="魅力",E1123&lt;0),E1123,0))))</x:f>
        <x:v>0</x:v>
      </x:c>
      <x:c r="BS1123">
        <x:f>MAX(0,MIN(BK1123,IF(AND(H1123=1,C1123="重要关系3",LEFT('幕间与结算'!H1030,8)="建立新的重要关系"),'幕间与结算'!E1030+E1123,BS1122+IF(C1123="重要关系3",E1123,0)+IF(AND(C1123="魅力",E1123&lt;0),E1123,0))))</x:f>
        <x:v>0</x:v>
      </x:c>
      <x:c r="BT1123">
        <x:f>MAX(0,MIN(BK1123,IF(AND(H1123=1,C1123="重要关系4",LEFT('幕间与结算'!H1030,8)="建立新的重要关系"),'幕间与结算'!E1030+E1123,BT1122+IF(C1123="重要关系4",E1123,0)+IF(AND(C1123="魅力",E1123&lt;0),E1123,0))))</x:f>
        <x:v>0</x:v>
      </x:c>
      <x:c r="BU1123">
        <x:f>MAX(0,MIN(BK1123,IF(AND(H1123=1,C1123="重要关系5",LEFT('幕间与结算'!H1030,8)="建立新的重要关系"),'幕间与结算'!E1030+E1123,BU1122+IF(C1123="重要关系5",E1123,0)+IF(AND(C1123="魅力",E1123&lt;0),E1123,0))))</x:f>
        <x:v>0</x:v>
      </x:c>
      <x:c r="BV1123">
        <x:f>MAX(0,MIN(BK1123,IF(AND(H1123=1,C1123="重要关系6",LEFT('幕间与结算'!H1030,8)="建立新的重要关系"),'幕间与结算'!E1030+E1123,BV1122+IF(C1123="重要关系6",E1123,0)+IF(AND(C1123="魅力",E1123&lt;0),E1123,0))))</x:f>
        <x:v>0</x:v>
      </x:c>
      <x:c r="BW1123">
        <x:f>MAX(0,MIN(BK1123,IF(AND(H1123=1,C1123="重要关系7",LEFT('幕间与结算'!H1030,8)="建立新的重要关系"),'幕间与结算'!E1030+E1123,BW1122+IF(C1123="重要关系7",E1123,0)+IF(AND(C1123="魅力",E1123&lt;0),E1123,0))))</x:f>
        <x:v>0</x:v>
      </x:c>
    </x:row>
    <x:row r="1124">
      <x:c r="A1124" t="str">
        <x:f>IFERROR(TEXT(VALUE('幕间与结算'!A1031),"00"),"")</x:f>
        <x:v>00</x:v>
      </x:c>
      <x:c r="B1124">
        <x:f>'幕间与结算'!B1031</x:f>
        <x:v>0</x:v>
      </x:c>
      <x:c r="C1124">
        <x:f>'幕间与结算'!D1031</x:f>
        <x:v>0</x:v>
      </x:c>
      <x:c r="D1124">
        <x:f>'幕间与结算'!F1031</x:f>
        <x:v>0</x:v>
      </x:c>
      <x:c r="E1124">
        <x:f>IF(H1124=1,MAX(-'幕间与结算'!E1031,MIN(D1124,IF(LEFT(C1124,3)="技能：",99,IF(COUNTIF($L$2:$L$7,C1124)&gt;0,18,999))-'幕间与结算'!E1031)),0)</x:f>
        <x:v>0</x:v>
      </x:c>
      <x:c r="F1124" t="str">
        <x:f>IF(C1124=0,"",IF(G1124=0,"记录不完整",IF(H1124=0,"重复未计","已计入")))</x:f>
        <x:v/>
      </x:c>
      <x:c r="G1124">
        <x:f>IF(AND(AND('幕间与结算'!A1031&lt;&gt;"",'幕间与结算'!B1031&lt;&gt;"",'幕间与结算'!I1031&lt;&gt;"",OR(LEFT(C1124,3)="技能：",COUNTIF($L$2:$L$19,C1124)&gt;0),ISNUMBER('幕间与结算'!E1031),ISNUMBER('幕间与结算'!F1031),ISNUMBER('幕间与结算'!G1031),'幕间与结算'!E1031&gt;=0,'幕间与结算'!G1031='幕间与结算'!E1031+'幕间与结算'!F1031),OR(B1124&lt;&gt;"成长",AND(LEFT(C1124,3)="技能：",C1124&lt;&gt;"技能：非自然知识",'幕间与结算'!E1031&gt;=1,'幕间与结算'!E1031&lt;=99,'幕间与结算'!F1031&gt;=0,'幕间与结算'!F1031&lt;=4,'幕间与结算'!G1031&lt;=99))),1,0)</x:f>
        <x:v>0</x:v>
      </x:c>
      <x:c r="H1124">
        <x:f>IF(AND(G1124=1,COUNTIFS($I$200:I1124,I1124,$G$200:G1124,1)=1),1,0)</x:f>
        <x:v>0</x:v>
      </x:c>
      <x:c r="I1124" t="str">
        <x:f>IF(G1124=1,IF(B1124="成长",A1124&amp;"-成长-"&amp;C1124,'幕间与结算'!I1031),"")</x:f>
        <x:v/>
      </x:c>
      <x:c r="BF1124">
        <x:f>MAX(0,MIN(18,BF1123+IF(C1124="力量",E1124,0)))</x:f>
        <x:v>0</x:v>
      </x:c>
      <x:c r="BG1124">
        <x:f>MAX(0,MIN(18,BG1123+IF(C1124="体质",E1124,0)))</x:f>
        <x:v>0</x:v>
      </x:c>
      <x:c r="BH1124">
        <x:f>MAX(0,MIN(18,BH1123+IF(C1124="敏捷",E1124,0)))</x:f>
        <x:v>0</x:v>
      </x:c>
      <x:c r="BI1124">
        <x:f>MAX(0,MIN(18,BI1123+IF(C1124="智力",E1124,0)))</x:f>
        <x:v>0</x:v>
      </x:c>
      <x:c r="BJ1124">
        <x:f>MAX(0,MIN(18,BJ1123+IF(C1124="意志",E1124,0)))</x:f>
        <x:v>0</x:v>
      </x:c>
      <x:c r="BK1124">
        <x:f>MAX(0,MIN(18,BK1123+IF(C1124="魅力",E1124,0)))</x:f>
        <x:v>0</x:v>
      </x:c>
      <x:c r="BL1124">
        <x:f>MAX(0,MIN(99,BL1123+IF(C1124="技能：非自然知识",E1124,0)))</x:f>
        <x:v>0</x:v>
      </x:c>
      <x:c r="BM1124">
        <x:f>MAX(0,MIN(CEILING((BF1124+BG1124)/2,1),BM1123+IF(C1124="体力",E1124,0)))</x:f>
        <x:v>0</x:v>
      </x:c>
      <x:c r="BN1124">
        <x:f>MAX(0,MIN(BJ1124,BN1123+IF(C1124="毅力",E1124,0)))</x:f>
        <x:v>0</x:v>
      </x:c>
      <x:c r="BO1124">
        <x:f>MAX(0,MIN(99-BL1124,BO1123+IF(C1124="理智",E1124,0)))</x:f>
        <x:v>0</x:v>
      </x:c>
      <x:c r="BP1124">
        <x:f>MAX(0,MIN(99,BP1123+IF(C1124="崩溃点",E1124,0)))</x:f>
        <x:v>0</x:v>
      </x:c>
      <x:c r="BQ1124">
        <x:f>MAX(0,MIN(BK1124,IF(AND(H1124=1,C1124="重要关系1",LEFT('幕间与结算'!H1031,8)="建立新的重要关系"),'幕间与结算'!E1031+E1124,BQ1123+IF(C1124="重要关系1",E1124,0)+IF(AND(C1124="魅力",E1124&lt;0),E1124,0))))</x:f>
        <x:v>0</x:v>
      </x:c>
      <x:c r="BR1124">
        <x:f>MAX(0,MIN(BK1124,IF(AND(H1124=1,C1124="重要关系2",LEFT('幕间与结算'!H1031,8)="建立新的重要关系"),'幕间与结算'!E1031+E1124,BR1123+IF(C1124="重要关系2",E1124,0)+IF(AND(C1124="魅力",E1124&lt;0),E1124,0))))</x:f>
        <x:v>0</x:v>
      </x:c>
      <x:c r="BS1124">
        <x:f>MAX(0,MIN(BK1124,IF(AND(H1124=1,C1124="重要关系3",LEFT('幕间与结算'!H1031,8)="建立新的重要关系"),'幕间与结算'!E1031+E1124,BS1123+IF(C1124="重要关系3",E1124,0)+IF(AND(C1124="魅力",E1124&lt;0),E1124,0))))</x:f>
        <x:v>0</x:v>
      </x:c>
      <x:c r="BT1124">
        <x:f>MAX(0,MIN(BK1124,IF(AND(H1124=1,C1124="重要关系4",LEFT('幕间与结算'!H1031,8)="建立新的重要关系"),'幕间与结算'!E1031+E1124,BT1123+IF(C1124="重要关系4",E1124,0)+IF(AND(C1124="魅力",E1124&lt;0),E1124,0))))</x:f>
        <x:v>0</x:v>
      </x:c>
      <x:c r="BU1124">
        <x:f>MAX(0,MIN(BK1124,IF(AND(H1124=1,C1124="重要关系5",LEFT('幕间与结算'!H1031,8)="建立新的重要关系"),'幕间与结算'!E1031+E1124,BU1123+IF(C1124="重要关系5",E1124,0)+IF(AND(C1124="魅力",E1124&lt;0),E1124,0))))</x:f>
        <x:v>0</x:v>
      </x:c>
      <x:c r="BV1124">
        <x:f>MAX(0,MIN(BK1124,IF(AND(H1124=1,C1124="重要关系6",LEFT('幕间与结算'!H1031,8)="建立新的重要关系"),'幕间与结算'!E1031+E1124,BV1123+IF(C1124="重要关系6",E1124,0)+IF(AND(C1124="魅力",E1124&lt;0),E1124,0))))</x:f>
        <x:v>0</x:v>
      </x:c>
      <x:c r="BW1124">
        <x:f>MAX(0,MIN(BK1124,IF(AND(H1124=1,C1124="重要关系7",LEFT('幕间与结算'!H1031,8)="建立新的重要关系"),'幕间与结算'!E1031+E1124,BW1123+IF(C1124="重要关系7",E1124,0)+IF(AND(C1124="魅力",E1124&lt;0),E1124,0))))</x:f>
        <x:v>0</x:v>
      </x:c>
    </x:row>
    <x:row r="1125">
      <x:c r="A1125" t="str">
        <x:f>IFERROR(TEXT(VALUE('幕间与结算'!A1032),"00"),"")</x:f>
        <x:v>00</x:v>
      </x:c>
      <x:c r="B1125">
        <x:f>'幕间与结算'!B1032</x:f>
        <x:v>0</x:v>
      </x:c>
      <x:c r="C1125">
        <x:f>'幕间与结算'!D1032</x:f>
        <x:v>0</x:v>
      </x:c>
      <x:c r="D1125">
        <x:f>'幕间与结算'!F1032</x:f>
        <x:v>0</x:v>
      </x:c>
      <x:c r="E1125">
        <x:f>IF(H1125=1,MAX(-'幕间与结算'!E1032,MIN(D1125,IF(LEFT(C1125,3)="技能：",99,IF(COUNTIF($L$2:$L$7,C1125)&gt;0,18,999))-'幕间与结算'!E1032)),0)</x:f>
        <x:v>0</x:v>
      </x:c>
      <x:c r="F1125" t="str">
        <x:f>IF(C1125=0,"",IF(G1125=0,"记录不完整",IF(H1125=0,"重复未计","已计入")))</x:f>
        <x:v/>
      </x:c>
      <x:c r="G1125">
        <x:f>IF(AND(AND('幕间与结算'!A1032&lt;&gt;"",'幕间与结算'!B1032&lt;&gt;"",'幕间与结算'!I1032&lt;&gt;"",OR(LEFT(C1125,3)="技能：",COUNTIF($L$2:$L$19,C1125)&gt;0),ISNUMBER('幕间与结算'!E1032),ISNUMBER('幕间与结算'!F1032),ISNUMBER('幕间与结算'!G1032),'幕间与结算'!E1032&gt;=0,'幕间与结算'!G1032='幕间与结算'!E1032+'幕间与结算'!F1032),OR(B1125&lt;&gt;"成长",AND(LEFT(C1125,3)="技能：",C1125&lt;&gt;"技能：非自然知识",'幕间与结算'!E1032&gt;=1,'幕间与结算'!E1032&lt;=99,'幕间与结算'!F1032&gt;=0,'幕间与结算'!F1032&lt;=4,'幕间与结算'!G1032&lt;=99))),1,0)</x:f>
        <x:v>0</x:v>
      </x:c>
      <x:c r="H1125">
        <x:f>IF(AND(G1125=1,COUNTIFS($I$200:I1125,I1125,$G$200:G1125,1)=1),1,0)</x:f>
        <x:v>0</x:v>
      </x:c>
      <x:c r="I1125" t="str">
        <x:f>IF(G1125=1,IF(B1125="成长",A1125&amp;"-成长-"&amp;C1125,'幕间与结算'!I1032),"")</x:f>
        <x:v/>
      </x:c>
      <x:c r="BF1125">
        <x:f>MAX(0,MIN(18,BF1124+IF(C1125="力量",E1125,0)))</x:f>
        <x:v>0</x:v>
      </x:c>
      <x:c r="BG1125">
        <x:f>MAX(0,MIN(18,BG1124+IF(C1125="体质",E1125,0)))</x:f>
        <x:v>0</x:v>
      </x:c>
      <x:c r="BH1125">
        <x:f>MAX(0,MIN(18,BH1124+IF(C1125="敏捷",E1125,0)))</x:f>
        <x:v>0</x:v>
      </x:c>
      <x:c r="BI1125">
        <x:f>MAX(0,MIN(18,BI1124+IF(C1125="智力",E1125,0)))</x:f>
        <x:v>0</x:v>
      </x:c>
      <x:c r="BJ1125">
        <x:f>MAX(0,MIN(18,BJ1124+IF(C1125="意志",E1125,0)))</x:f>
        <x:v>0</x:v>
      </x:c>
      <x:c r="BK1125">
        <x:f>MAX(0,MIN(18,BK1124+IF(C1125="魅力",E1125,0)))</x:f>
        <x:v>0</x:v>
      </x:c>
      <x:c r="BL1125">
        <x:f>MAX(0,MIN(99,BL1124+IF(C1125="技能：非自然知识",E1125,0)))</x:f>
        <x:v>0</x:v>
      </x:c>
      <x:c r="BM1125">
        <x:f>MAX(0,MIN(CEILING((BF1125+BG1125)/2,1),BM1124+IF(C1125="体力",E1125,0)))</x:f>
        <x:v>0</x:v>
      </x:c>
      <x:c r="BN1125">
        <x:f>MAX(0,MIN(BJ1125,BN1124+IF(C1125="毅力",E1125,0)))</x:f>
        <x:v>0</x:v>
      </x:c>
      <x:c r="BO1125">
        <x:f>MAX(0,MIN(99-BL1125,BO1124+IF(C1125="理智",E1125,0)))</x:f>
        <x:v>0</x:v>
      </x:c>
      <x:c r="BP1125">
        <x:f>MAX(0,MIN(99,BP1124+IF(C1125="崩溃点",E1125,0)))</x:f>
        <x:v>0</x:v>
      </x:c>
      <x:c r="BQ1125">
        <x:f>MAX(0,MIN(BK1125,IF(AND(H1125=1,C1125="重要关系1",LEFT('幕间与结算'!H1032,8)="建立新的重要关系"),'幕间与结算'!E1032+E1125,BQ1124+IF(C1125="重要关系1",E1125,0)+IF(AND(C1125="魅力",E1125&lt;0),E1125,0))))</x:f>
        <x:v>0</x:v>
      </x:c>
      <x:c r="BR1125">
        <x:f>MAX(0,MIN(BK1125,IF(AND(H1125=1,C1125="重要关系2",LEFT('幕间与结算'!H1032,8)="建立新的重要关系"),'幕间与结算'!E1032+E1125,BR1124+IF(C1125="重要关系2",E1125,0)+IF(AND(C1125="魅力",E1125&lt;0),E1125,0))))</x:f>
        <x:v>0</x:v>
      </x:c>
      <x:c r="BS1125">
        <x:f>MAX(0,MIN(BK1125,IF(AND(H1125=1,C1125="重要关系3",LEFT('幕间与结算'!H1032,8)="建立新的重要关系"),'幕间与结算'!E1032+E1125,BS1124+IF(C1125="重要关系3",E1125,0)+IF(AND(C1125="魅力",E1125&lt;0),E1125,0))))</x:f>
        <x:v>0</x:v>
      </x:c>
      <x:c r="BT1125">
        <x:f>MAX(0,MIN(BK1125,IF(AND(H1125=1,C1125="重要关系4",LEFT('幕间与结算'!H1032,8)="建立新的重要关系"),'幕间与结算'!E1032+E1125,BT1124+IF(C1125="重要关系4",E1125,0)+IF(AND(C1125="魅力",E1125&lt;0),E1125,0))))</x:f>
        <x:v>0</x:v>
      </x:c>
      <x:c r="BU1125">
        <x:f>MAX(0,MIN(BK1125,IF(AND(H1125=1,C1125="重要关系5",LEFT('幕间与结算'!H1032,8)="建立新的重要关系"),'幕间与结算'!E1032+E1125,BU1124+IF(C1125="重要关系5",E1125,0)+IF(AND(C1125="魅力",E1125&lt;0),E1125,0))))</x:f>
        <x:v>0</x:v>
      </x:c>
      <x:c r="BV1125">
        <x:f>MAX(0,MIN(BK1125,IF(AND(H1125=1,C1125="重要关系6",LEFT('幕间与结算'!H1032,8)="建立新的重要关系"),'幕间与结算'!E1032+E1125,BV1124+IF(C1125="重要关系6",E1125,0)+IF(AND(C1125="魅力",E1125&lt;0),E1125,0))))</x:f>
        <x:v>0</x:v>
      </x:c>
      <x:c r="BW1125">
        <x:f>MAX(0,MIN(BK1125,IF(AND(H1125=1,C1125="重要关系7",LEFT('幕间与结算'!H1032,8)="建立新的重要关系"),'幕间与结算'!E1032+E1125,BW1124+IF(C1125="重要关系7",E1125,0)+IF(AND(C1125="魅力",E1125&lt;0),E1125,0))))</x:f>
        <x:v>0</x:v>
      </x:c>
    </x:row>
    <x:row r="1126">
      <x:c r="A1126" t="str">
        <x:f>IFERROR(TEXT(VALUE('幕间与结算'!A1033),"00"),"")</x:f>
        <x:v>00</x:v>
      </x:c>
      <x:c r="B1126">
        <x:f>'幕间与结算'!B1033</x:f>
        <x:v>0</x:v>
      </x:c>
      <x:c r="C1126">
        <x:f>'幕间与结算'!D1033</x:f>
        <x:v>0</x:v>
      </x:c>
      <x:c r="D1126">
        <x:f>'幕间与结算'!F1033</x:f>
        <x:v>0</x:v>
      </x:c>
      <x:c r="E1126">
        <x:f>IF(H1126=1,MAX(-'幕间与结算'!E1033,MIN(D1126,IF(LEFT(C1126,3)="技能：",99,IF(COUNTIF($L$2:$L$7,C1126)&gt;0,18,999))-'幕间与结算'!E1033)),0)</x:f>
        <x:v>0</x:v>
      </x:c>
      <x:c r="F1126" t="str">
        <x:f>IF(C1126=0,"",IF(G1126=0,"记录不完整",IF(H1126=0,"重复未计","已计入")))</x:f>
        <x:v/>
      </x:c>
      <x:c r="G1126">
        <x:f>IF(AND(AND('幕间与结算'!A1033&lt;&gt;"",'幕间与结算'!B1033&lt;&gt;"",'幕间与结算'!I1033&lt;&gt;"",OR(LEFT(C1126,3)="技能：",COUNTIF($L$2:$L$19,C1126)&gt;0),ISNUMBER('幕间与结算'!E1033),ISNUMBER('幕间与结算'!F1033),ISNUMBER('幕间与结算'!G1033),'幕间与结算'!E1033&gt;=0,'幕间与结算'!G1033='幕间与结算'!E1033+'幕间与结算'!F1033),OR(B1126&lt;&gt;"成长",AND(LEFT(C1126,3)="技能：",C1126&lt;&gt;"技能：非自然知识",'幕间与结算'!E1033&gt;=1,'幕间与结算'!E1033&lt;=99,'幕间与结算'!F1033&gt;=0,'幕间与结算'!F1033&lt;=4,'幕间与结算'!G1033&lt;=99))),1,0)</x:f>
        <x:v>0</x:v>
      </x:c>
      <x:c r="H1126">
        <x:f>IF(AND(G1126=1,COUNTIFS($I$200:I1126,I1126,$G$200:G1126,1)=1),1,0)</x:f>
        <x:v>0</x:v>
      </x:c>
      <x:c r="I1126" t="str">
        <x:f>IF(G1126=1,IF(B1126="成长",A1126&amp;"-成长-"&amp;C1126,'幕间与结算'!I1033),"")</x:f>
        <x:v/>
      </x:c>
      <x:c r="BF1126">
        <x:f>MAX(0,MIN(18,BF1125+IF(C1126="力量",E1126,0)))</x:f>
        <x:v>0</x:v>
      </x:c>
      <x:c r="BG1126">
        <x:f>MAX(0,MIN(18,BG1125+IF(C1126="体质",E1126,0)))</x:f>
        <x:v>0</x:v>
      </x:c>
      <x:c r="BH1126">
        <x:f>MAX(0,MIN(18,BH1125+IF(C1126="敏捷",E1126,0)))</x:f>
        <x:v>0</x:v>
      </x:c>
      <x:c r="BI1126">
        <x:f>MAX(0,MIN(18,BI1125+IF(C1126="智力",E1126,0)))</x:f>
        <x:v>0</x:v>
      </x:c>
      <x:c r="BJ1126">
        <x:f>MAX(0,MIN(18,BJ1125+IF(C1126="意志",E1126,0)))</x:f>
        <x:v>0</x:v>
      </x:c>
      <x:c r="BK1126">
        <x:f>MAX(0,MIN(18,BK1125+IF(C1126="魅力",E1126,0)))</x:f>
        <x:v>0</x:v>
      </x:c>
      <x:c r="BL1126">
        <x:f>MAX(0,MIN(99,BL1125+IF(C1126="技能：非自然知识",E1126,0)))</x:f>
        <x:v>0</x:v>
      </x:c>
      <x:c r="BM1126">
        <x:f>MAX(0,MIN(CEILING((BF1126+BG1126)/2,1),BM1125+IF(C1126="体力",E1126,0)))</x:f>
        <x:v>0</x:v>
      </x:c>
      <x:c r="BN1126">
        <x:f>MAX(0,MIN(BJ1126,BN1125+IF(C1126="毅力",E1126,0)))</x:f>
        <x:v>0</x:v>
      </x:c>
      <x:c r="BO1126">
        <x:f>MAX(0,MIN(99-BL1126,BO1125+IF(C1126="理智",E1126,0)))</x:f>
        <x:v>0</x:v>
      </x:c>
      <x:c r="BP1126">
        <x:f>MAX(0,MIN(99,BP1125+IF(C1126="崩溃点",E1126,0)))</x:f>
        <x:v>0</x:v>
      </x:c>
      <x:c r="BQ1126">
        <x:f>MAX(0,MIN(BK1126,IF(AND(H1126=1,C1126="重要关系1",LEFT('幕间与结算'!H1033,8)="建立新的重要关系"),'幕间与结算'!E1033+E1126,BQ1125+IF(C1126="重要关系1",E1126,0)+IF(AND(C1126="魅力",E1126&lt;0),E1126,0))))</x:f>
        <x:v>0</x:v>
      </x:c>
      <x:c r="BR1126">
        <x:f>MAX(0,MIN(BK1126,IF(AND(H1126=1,C1126="重要关系2",LEFT('幕间与结算'!H1033,8)="建立新的重要关系"),'幕间与结算'!E1033+E1126,BR1125+IF(C1126="重要关系2",E1126,0)+IF(AND(C1126="魅力",E1126&lt;0),E1126,0))))</x:f>
        <x:v>0</x:v>
      </x:c>
      <x:c r="BS1126">
        <x:f>MAX(0,MIN(BK1126,IF(AND(H1126=1,C1126="重要关系3",LEFT('幕间与结算'!H1033,8)="建立新的重要关系"),'幕间与结算'!E1033+E1126,BS1125+IF(C1126="重要关系3",E1126,0)+IF(AND(C1126="魅力",E1126&lt;0),E1126,0))))</x:f>
        <x:v>0</x:v>
      </x:c>
      <x:c r="BT1126">
        <x:f>MAX(0,MIN(BK1126,IF(AND(H1126=1,C1126="重要关系4",LEFT('幕间与结算'!H1033,8)="建立新的重要关系"),'幕间与结算'!E1033+E1126,BT1125+IF(C1126="重要关系4",E1126,0)+IF(AND(C1126="魅力",E1126&lt;0),E1126,0))))</x:f>
        <x:v>0</x:v>
      </x:c>
      <x:c r="BU1126">
        <x:f>MAX(0,MIN(BK1126,IF(AND(H1126=1,C1126="重要关系5",LEFT('幕间与结算'!H1033,8)="建立新的重要关系"),'幕间与结算'!E1033+E1126,BU1125+IF(C1126="重要关系5",E1126,0)+IF(AND(C1126="魅力",E1126&lt;0),E1126,0))))</x:f>
        <x:v>0</x:v>
      </x:c>
      <x:c r="BV1126">
        <x:f>MAX(0,MIN(BK1126,IF(AND(H1126=1,C1126="重要关系6",LEFT('幕间与结算'!H1033,8)="建立新的重要关系"),'幕间与结算'!E1033+E1126,BV1125+IF(C1126="重要关系6",E1126,0)+IF(AND(C1126="魅力",E1126&lt;0),E1126,0))))</x:f>
        <x:v>0</x:v>
      </x:c>
      <x:c r="BW1126">
        <x:f>MAX(0,MIN(BK1126,IF(AND(H1126=1,C1126="重要关系7",LEFT('幕间与结算'!H1033,8)="建立新的重要关系"),'幕间与结算'!E1033+E1126,BW1125+IF(C1126="重要关系7",E1126,0)+IF(AND(C1126="魅力",E1126&lt;0),E1126,0))))</x:f>
        <x:v>0</x:v>
      </x:c>
    </x:row>
    <x:row r="1127">
      <x:c r="A1127" t="str">
        <x:f>IFERROR(TEXT(VALUE('幕间与结算'!A1034),"00"),"")</x:f>
        <x:v>00</x:v>
      </x:c>
      <x:c r="B1127">
        <x:f>'幕间与结算'!B1034</x:f>
        <x:v>0</x:v>
      </x:c>
      <x:c r="C1127">
        <x:f>'幕间与结算'!D1034</x:f>
        <x:v>0</x:v>
      </x:c>
      <x:c r="D1127">
        <x:f>'幕间与结算'!F1034</x:f>
        <x:v>0</x:v>
      </x:c>
      <x:c r="E1127">
        <x:f>IF(H1127=1,MAX(-'幕间与结算'!E1034,MIN(D1127,IF(LEFT(C1127,3)="技能：",99,IF(COUNTIF($L$2:$L$7,C1127)&gt;0,18,999))-'幕间与结算'!E1034)),0)</x:f>
        <x:v>0</x:v>
      </x:c>
      <x:c r="F1127" t="str">
        <x:f>IF(C1127=0,"",IF(G1127=0,"记录不完整",IF(H1127=0,"重复未计","已计入")))</x:f>
        <x:v/>
      </x:c>
      <x:c r="G1127">
        <x:f>IF(AND(AND('幕间与结算'!A1034&lt;&gt;"",'幕间与结算'!B1034&lt;&gt;"",'幕间与结算'!I1034&lt;&gt;"",OR(LEFT(C1127,3)="技能：",COUNTIF($L$2:$L$19,C1127)&gt;0),ISNUMBER('幕间与结算'!E1034),ISNUMBER('幕间与结算'!F1034),ISNUMBER('幕间与结算'!G1034),'幕间与结算'!E1034&gt;=0,'幕间与结算'!G1034='幕间与结算'!E1034+'幕间与结算'!F1034),OR(B1127&lt;&gt;"成长",AND(LEFT(C1127,3)="技能：",C1127&lt;&gt;"技能：非自然知识",'幕间与结算'!E1034&gt;=1,'幕间与结算'!E1034&lt;=99,'幕间与结算'!F1034&gt;=0,'幕间与结算'!F1034&lt;=4,'幕间与结算'!G1034&lt;=99))),1,0)</x:f>
        <x:v>0</x:v>
      </x:c>
      <x:c r="H1127">
        <x:f>IF(AND(G1127=1,COUNTIFS($I$200:I1127,I1127,$G$200:G1127,1)=1),1,0)</x:f>
        <x:v>0</x:v>
      </x:c>
      <x:c r="I1127" t="str">
        <x:f>IF(G1127=1,IF(B1127="成长",A1127&amp;"-成长-"&amp;C1127,'幕间与结算'!I1034),"")</x:f>
        <x:v/>
      </x:c>
      <x:c r="BF1127">
        <x:f>MAX(0,MIN(18,BF1126+IF(C1127="力量",E1127,0)))</x:f>
        <x:v>0</x:v>
      </x:c>
      <x:c r="BG1127">
        <x:f>MAX(0,MIN(18,BG1126+IF(C1127="体质",E1127,0)))</x:f>
        <x:v>0</x:v>
      </x:c>
      <x:c r="BH1127">
        <x:f>MAX(0,MIN(18,BH1126+IF(C1127="敏捷",E1127,0)))</x:f>
        <x:v>0</x:v>
      </x:c>
      <x:c r="BI1127">
        <x:f>MAX(0,MIN(18,BI1126+IF(C1127="智力",E1127,0)))</x:f>
        <x:v>0</x:v>
      </x:c>
      <x:c r="BJ1127">
        <x:f>MAX(0,MIN(18,BJ1126+IF(C1127="意志",E1127,0)))</x:f>
        <x:v>0</x:v>
      </x:c>
      <x:c r="BK1127">
        <x:f>MAX(0,MIN(18,BK1126+IF(C1127="魅力",E1127,0)))</x:f>
        <x:v>0</x:v>
      </x:c>
      <x:c r="BL1127">
        <x:f>MAX(0,MIN(99,BL1126+IF(C1127="技能：非自然知识",E1127,0)))</x:f>
        <x:v>0</x:v>
      </x:c>
      <x:c r="BM1127">
        <x:f>MAX(0,MIN(CEILING((BF1127+BG1127)/2,1),BM1126+IF(C1127="体力",E1127,0)))</x:f>
        <x:v>0</x:v>
      </x:c>
      <x:c r="BN1127">
        <x:f>MAX(0,MIN(BJ1127,BN1126+IF(C1127="毅力",E1127,0)))</x:f>
        <x:v>0</x:v>
      </x:c>
      <x:c r="BO1127">
        <x:f>MAX(0,MIN(99-BL1127,BO1126+IF(C1127="理智",E1127,0)))</x:f>
        <x:v>0</x:v>
      </x:c>
      <x:c r="BP1127">
        <x:f>MAX(0,MIN(99,BP1126+IF(C1127="崩溃点",E1127,0)))</x:f>
        <x:v>0</x:v>
      </x:c>
      <x:c r="BQ1127">
        <x:f>MAX(0,MIN(BK1127,IF(AND(H1127=1,C1127="重要关系1",LEFT('幕间与结算'!H1034,8)="建立新的重要关系"),'幕间与结算'!E1034+E1127,BQ1126+IF(C1127="重要关系1",E1127,0)+IF(AND(C1127="魅力",E1127&lt;0),E1127,0))))</x:f>
        <x:v>0</x:v>
      </x:c>
      <x:c r="BR1127">
        <x:f>MAX(0,MIN(BK1127,IF(AND(H1127=1,C1127="重要关系2",LEFT('幕间与结算'!H1034,8)="建立新的重要关系"),'幕间与结算'!E1034+E1127,BR1126+IF(C1127="重要关系2",E1127,0)+IF(AND(C1127="魅力",E1127&lt;0),E1127,0))))</x:f>
        <x:v>0</x:v>
      </x:c>
      <x:c r="BS1127">
        <x:f>MAX(0,MIN(BK1127,IF(AND(H1127=1,C1127="重要关系3",LEFT('幕间与结算'!H1034,8)="建立新的重要关系"),'幕间与结算'!E1034+E1127,BS1126+IF(C1127="重要关系3",E1127,0)+IF(AND(C1127="魅力",E1127&lt;0),E1127,0))))</x:f>
        <x:v>0</x:v>
      </x:c>
      <x:c r="BT1127">
        <x:f>MAX(0,MIN(BK1127,IF(AND(H1127=1,C1127="重要关系4",LEFT('幕间与结算'!H1034,8)="建立新的重要关系"),'幕间与结算'!E1034+E1127,BT1126+IF(C1127="重要关系4",E1127,0)+IF(AND(C1127="魅力",E1127&lt;0),E1127,0))))</x:f>
        <x:v>0</x:v>
      </x:c>
      <x:c r="BU1127">
        <x:f>MAX(0,MIN(BK1127,IF(AND(H1127=1,C1127="重要关系5",LEFT('幕间与结算'!H1034,8)="建立新的重要关系"),'幕间与结算'!E1034+E1127,BU1126+IF(C1127="重要关系5",E1127,0)+IF(AND(C1127="魅力",E1127&lt;0),E1127,0))))</x:f>
        <x:v>0</x:v>
      </x:c>
      <x:c r="BV1127">
        <x:f>MAX(0,MIN(BK1127,IF(AND(H1127=1,C1127="重要关系6",LEFT('幕间与结算'!H1034,8)="建立新的重要关系"),'幕间与结算'!E1034+E1127,BV1126+IF(C1127="重要关系6",E1127,0)+IF(AND(C1127="魅力",E1127&lt;0),E1127,0))))</x:f>
        <x:v>0</x:v>
      </x:c>
      <x:c r="BW1127">
        <x:f>MAX(0,MIN(BK1127,IF(AND(H1127=1,C1127="重要关系7",LEFT('幕间与结算'!H1034,8)="建立新的重要关系"),'幕间与结算'!E1034+E1127,BW1126+IF(C1127="重要关系7",E1127,0)+IF(AND(C1127="魅力",E1127&lt;0),E1127,0))))</x:f>
        <x:v>0</x:v>
      </x:c>
    </x:row>
    <x:row r="1128">
      <x:c r="A1128" t="str">
        <x:f>IFERROR(TEXT(VALUE('幕间与结算'!A1035),"00"),"")</x:f>
        <x:v>00</x:v>
      </x:c>
      <x:c r="B1128">
        <x:f>'幕间与结算'!B1035</x:f>
        <x:v>0</x:v>
      </x:c>
      <x:c r="C1128">
        <x:f>'幕间与结算'!D1035</x:f>
        <x:v>0</x:v>
      </x:c>
      <x:c r="D1128">
        <x:f>'幕间与结算'!F1035</x:f>
        <x:v>0</x:v>
      </x:c>
      <x:c r="E1128">
        <x:f>IF(H1128=1,MAX(-'幕间与结算'!E1035,MIN(D1128,IF(LEFT(C1128,3)="技能：",99,IF(COUNTIF($L$2:$L$7,C1128)&gt;0,18,999))-'幕间与结算'!E1035)),0)</x:f>
        <x:v>0</x:v>
      </x:c>
      <x:c r="F1128" t="str">
        <x:f>IF(C1128=0,"",IF(G1128=0,"记录不完整",IF(H1128=0,"重复未计","已计入")))</x:f>
        <x:v/>
      </x:c>
      <x:c r="G1128">
        <x:f>IF(AND(AND('幕间与结算'!A1035&lt;&gt;"",'幕间与结算'!B1035&lt;&gt;"",'幕间与结算'!I1035&lt;&gt;"",OR(LEFT(C1128,3)="技能：",COUNTIF($L$2:$L$19,C1128)&gt;0),ISNUMBER('幕间与结算'!E1035),ISNUMBER('幕间与结算'!F1035),ISNUMBER('幕间与结算'!G1035),'幕间与结算'!E1035&gt;=0,'幕间与结算'!G1035='幕间与结算'!E1035+'幕间与结算'!F1035),OR(B1128&lt;&gt;"成长",AND(LEFT(C1128,3)="技能：",C1128&lt;&gt;"技能：非自然知识",'幕间与结算'!E1035&gt;=1,'幕间与结算'!E1035&lt;=99,'幕间与结算'!F1035&gt;=0,'幕间与结算'!F1035&lt;=4,'幕间与结算'!G1035&lt;=99))),1,0)</x:f>
        <x:v>0</x:v>
      </x:c>
      <x:c r="H1128">
        <x:f>IF(AND(G1128=1,COUNTIFS($I$200:I1128,I1128,$G$200:G1128,1)=1),1,0)</x:f>
        <x:v>0</x:v>
      </x:c>
      <x:c r="I1128" t="str">
        <x:f>IF(G1128=1,IF(B1128="成长",A1128&amp;"-成长-"&amp;C1128,'幕间与结算'!I1035),"")</x:f>
        <x:v/>
      </x:c>
      <x:c r="BF1128">
        <x:f>MAX(0,MIN(18,BF1127+IF(C1128="力量",E1128,0)))</x:f>
        <x:v>0</x:v>
      </x:c>
      <x:c r="BG1128">
        <x:f>MAX(0,MIN(18,BG1127+IF(C1128="体质",E1128,0)))</x:f>
        <x:v>0</x:v>
      </x:c>
      <x:c r="BH1128">
        <x:f>MAX(0,MIN(18,BH1127+IF(C1128="敏捷",E1128,0)))</x:f>
        <x:v>0</x:v>
      </x:c>
      <x:c r="BI1128">
        <x:f>MAX(0,MIN(18,BI1127+IF(C1128="智力",E1128,0)))</x:f>
        <x:v>0</x:v>
      </x:c>
      <x:c r="BJ1128">
        <x:f>MAX(0,MIN(18,BJ1127+IF(C1128="意志",E1128,0)))</x:f>
        <x:v>0</x:v>
      </x:c>
      <x:c r="BK1128">
        <x:f>MAX(0,MIN(18,BK1127+IF(C1128="魅力",E1128,0)))</x:f>
        <x:v>0</x:v>
      </x:c>
      <x:c r="BL1128">
        <x:f>MAX(0,MIN(99,BL1127+IF(C1128="技能：非自然知识",E1128,0)))</x:f>
        <x:v>0</x:v>
      </x:c>
      <x:c r="BM1128">
        <x:f>MAX(0,MIN(CEILING((BF1128+BG1128)/2,1),BM1127+IF(C1128="体力",E1128,0)))</x:f>
        <x:v>0</x:v>
      </x:c>
      <x:c r="BN1128">
        <x:f>MAX(0,MIN(BJ1128,BN1127+IF(C1128="毅力",E1128,0)))</x:f>
        <x:v>0</x:v>
      </x:c>
      <x:c r="BO1128">
        <x:f>MAX(0,MIN(99-BL1128,BO1127+IF(C1128="理智",E1128,0)))</x:f>
        <x:v>0</x:v>
      </x:c>
      <x:c r="BP1128">
        <x:f>MAX(0,MIN(99,BP1127+IF(C1128="崩溃点",E1128,0)))</x:f>
        <x:v>0</x:v>
      </x:c>
      <x:c r="BQ1128">
        <x:f>MAX(0,MIN(BK1128,IF(AND(H1128=1,C1128="重要关系1",LEFT('幕间与结算'!H1035,8)="建立新的重要关系"),'幕间与结算'!E1035+E1128,BQ1127+IF(C1128="重要关系1",E1128,0)+IF(AND(C1128="魅力",E1128&lt;0),E1128,0))))</x:f>
        <x:v>0</x:v>
      </x:c>
      <x:c r="BR1128">
        <x:f>MAX(0,MIN(BK1128,IF(AND(H1128=1,C1128="重要关系2",LEFT('幕间与结算'!H1035,8)="建立新的重要关系"),'幕间与结算'!E1035+E1128,BR1127+IF(C1128="重要关系2",E1128,0)+IF(AND(C1128="魅力",E1128&lt;0),E1128,0))))</x:f>
        <x:v>0</x:v>
      </x:c>
      <x:c r="BS1128">
        <x:f>MAX(0,MIN(BK1128,IF(AND(H1128=1,C1128="重要关系3",LEFT('幕间与结算'!H1035,8)="建立新的重要关系"),'幕间与结算'!E1035+E1128,BS1127+IF(C1128="重要关系3",E1128,0)+IF(AND(C1128="魅力",E1128&lt;0),E1128,0))))</x:f>
        <x:v>0</x:v>
      </x:c>
      <x:c r="BT1128">
        <x:f>MAX(0,MIN(BK1128,IF(AND(H1128=1,C1128="重要关系4",LEFT('幕间与结算'!H1035,8)="建立新的重要关系"),'幕间与结算'!E1035+E1128,BT1127+IF(C1128="重要关系4",E1128,0)+IF(AND(C1128="魅力",E1128&lt;0),E1128,0))))</x:f>
        <x:v>0</x:v>
      </x:c>
      <x:c r="BU1128">
        <x:f>MAX(0,MIN(BK1128,IF(AND(H1128=1,C1128="重要关系5",LEFT('幕间与结算'!H1035,8)="建立新的重要关系"),'幕间与结算'!E1035+E1128,BU1127+IF(C1128="重要关系5",E1128,0)+IF(AND(C1128="魅力",E1128&lt;0),E1128,0))))</x:f>
        <x:v>0</x:v>
      </x:c>
      <x:c r="BV1128">
        <x:f>MAX(0,MIN(BK1128,IF(AND(H1128=1,C1128="重要关系6",LEFT('幕间与结算'!H1035,8)="建立新的重要关系"),'幕间与结算'!E1035+E1128,BV1127+IF(C1128="重要关系6",E1128,0)+IF(AND(C1128="魅力",E1128&lt;0),E1128,0))))</x:f>
        <x:v>0</x:v>
      </x:c>
      <x:c r="BW1128">
        <x:f>MAX(0,MIN(BK1128,IF(AND(H1128=1,C1128="重要关系7",LEFT('幕间与结算'!H1035,8)="建立新的重要关系"),'幕间与结算'!E1035+E1128,BW1127+IF(C1128="重要关系7",E1128,0)+IF(AND(C1128="魅力",E1128&lt;0),E1128,0))))</x:f>
        <x:v>0</x:v>
      </x:c>
    </x:row>
    <x:row r="1129">
      <x:c r="A1129" t="str">
        <x:f>IFERROR(TEXT(VALUE('幕间与结算'!A1036),"00"),"")</x:f>
        <x:v>00</x:v>
      </x:c>
      <x:c r="B1129">
        <x:f>'幕间与结算'!B1036</x:f>
        <x:v>0</x:v>
      </x:c>
      <x:c r="C1129">
        <x:f>'幕间与结算'!D1036</x:f>
        <x:v>0</x:v>
      </x:c>
      <x:c r="D1129">
        <x:f>'幕间与结算'!F1036</x:f>
        <x:v>0</x:v>
      </x:c>
      <x:c r="E1129">
        <x:f>IF(H1129=1,MAX(-'幕间与结算'!E1036,MIN(D1129,IF(LEFT(C1129,3)="技能：",99,IF(COUNTIF($L$2:$L$7,C1129)&gt;0,18,999))-'幕间与结算'!E1036)),0)</x:f>
        <x:v>0</x:v>
      </x:c>
      <x:c r="F1129" t="str">
        <x:f>IF(C1129=0,"",IF(G1129=0,"记录不完整",IF(H1129=0,"重复未计","已计入")))</x:f>
        <x:v/>
      </x:c>
      <x:c r="G1129">
        <x:f>IF(AND(AND('幕间与结算'!A1036&lt;&gt;"",'幕间与结算'!B1036&lt;&gt;"",'幕间与结算'!I1036&lt;&gt;"",OR(LEFT(C1129,3)="技能：",COUNTIF($L$2:$L$19,C1129)&gt;0),ISNUMBER('幕间与结算'!E1036),ISNUMBER('幕间与结算'!F1036),ISNUMBER('幕间与结算'!G1036),'幕间与结算'!E1036&gt;=0,'幕间与结算'!G1036='幕间与结算'!E1036+'幕间与结算'!F1036),OR(B1129&lt;&gt;"成长",AND(LEFT(C1129,3)="技能：",C1129&lt;&gt;"技能：非自然知识",'幕间与结算'!E1036&gt;=1,'幕间与结算'!E1036&lt;=99,'幕间与结算'!F1036&gt;=0,'幕间与结算'!F1036&lt;=4,'幕间与结算'!G1036&lt;=99))),1,0)</x:f>
        <x:v>0</x:v>
      </x:c>
      <x:c r="H1129">
        <x:f>IF(AND(G1129=1,COUNTIFS($I$200:I1129,I1129,$G$200:G1129,1)=1),1,0)</x:f>
        <x:v>0</x:v>
      </x:c>
      <x:c r="I1129" t="str">
        <x:f>IF(G1129=1,IF(B1129="成长",A1129&amp;"-成长-"&amp;C1129,'幕间与结算'!I1036),"")</x:f>
        <x:v/>
      </x:c>
      <x:c r="BF1129">
        <x:f>MAX(0,MIN(18,BF1128+IF(C1129="力量",E1129,0)))</x:f>
        <x:v>0</x:v>
      </x:c>
      <x:c r="BG1129">
        <x:f>MAX(0,MIN(18,BG1128+IF(C1129="体质",E1129,0)))</x:f>
        <x:v>0</x:v>
      </x:c>
      <x:c r="BH1129">
        <x:f>MAX(0,MIN(18,BH1128+IF(C1129="敏捷",E1129,0)))</x:f>
        <x:v>0</x:v>
      </x:c>
      <x:c r="BI1129">
        <x:f>MAX(0,MIN(18,BI1128+IF(C1129="智力",E1129,0)))</x:f>
        <x:v>0</x:v>
      </x:c>
      <x:c r="BJ1129">
        <x:f>MAX(0,MIN(18,BJ1128+IF(C1129="意志",E1129,0)))</x:f>
        <x:v>0</x:v>
      </x:c>
      <x:c r="BK1129">
        <x:f>MAX(0,MIN(18,BK1128+IF(C1129="魅力",E1129,0)))</x:f>
        <x:v>0</x:v>
      </x:c>
      <x:c r="BL1129">
        <x:f>MAX(0,MIN(99,BL1128+IF(C1129="技能：非自然知识",E1129,0)))</x:f>
        <x:v>0</x:v>
      </x:c>
      <x:c r="BM1129">
        <x:f>MAX(0,MIN(CEILING((BF1129+BG1129)/2,1),BM1128+IF(C1129="体力",E1129,0)))</x:f>
        <x:v>0</x:v>
      </x:c>
      <x:c r="BN1129">
        <x:f>MAX(0,MIN(BJ1129,BN1128+IF(C1129="毅力",E1129,0)))</x:f>
        <x:v>0</x:v>
      </x:c>
      <x:c r="BO1129">
        <x:f>MAX(0,MIN(99-BL1129,BO1128+IF(C1129="理智",E1129,0)))</x:f>
        <x:v>0</x:v>
      </x:c>
      <x:c r="BP1129">
        <x:f>MAX(0,MIN(99,BP1128+IF(C1129="崩溃点",E1129,0)))</x:f>
        <x:v>0</x:v>
      </x:c>
      <x:c r="BQ1129">
        <x:f>MAX(0,MIN(BK1129,IF(AND(H1129=1,C1129="重要关系1",LEFT('幕间与结算'!H1036,8)="建立新的重要关系"),'幕间与结算'!E1036+E1129,BQ1128+IF(C1129="重要关系1",E1129,0)+IF(AND(C1129="魅力",E1129&lt;0),E1129,0))))</x:f>
        <x:v>0</x:v>
      </x:c>
      <x:c r="BR1129">
        <x:f>MAX(0,MIN(BK1129,IF(AND(H1129=1,C1129="重要关系2",LEFT('幕间与结算'!H1036,8)="建立新的重要关系"),'幕间与结算'!E1036+E1129,BR1128+IF(C1129="重要关系2",E1129,0)+IF(AND(C1129="魅力",E1129&lt;0),E1129,0))))</x:f>
        <x:v>0</x:v>
      </x:c>
      <x:c r="BS1129">
        <x:f>MAX(0,MIN(BK1129,IF(AND(H1129=1,C1129="重要关系3",LEFT('幕间与结算'!H1036,8)="建立新的重要关系"),'幕间与结算'!E1036+E1129,BS1128+IF(C1129="重要关系3",E1129,0)+IF(AND(C1129="魅力",E1129&lt;0),E1129,0))))</x:f>
        <x:v>0</x:v>
      </x:c>
      <x:c r="BT1129">
        <x:f>MAX(0,MIN(BK1129,IF(AND(H1129=1,C1129="重要关系4",LEFT('幕间与结算'!H1036,8)="建立新的重要关系"),'幕间与结算'!E1036+E1129,BT1128+IF(C1129="重要关系4",E1129,0)+IF(AND(C1129="魅力",E1129&lt;0),E1129,0))))</x:f>
        <x:v>0</x:v>
      </x:c>
      <x:c r="BU1129">
        <x:f>MAX(0,MIN(BK1129,IF(AND(H1129=1,C1129="重要关系5",LEFT('幕间与结算'!H1036,8)="建立新的重要关系"),'幕间与结算'!E1036+E1129,BU1128+IF(C1129="重要关系5",E1129,0)+IF(AND(C1129="魅力",E1129&lt;0),E1129,0))))</x:f>
        <x:v>0</x:v>
      </x:c>
      <x:c r="BV1129">
        <x:f>MAX(0,MIN(BK1129,IF(AND(H1129=1,C1129="重要关系6",LEFT('幕间与结算'!H1036,8)="建立新的重要关系"),'幕间与结算'!E1036+E1129,BV1128+IF(C1129="重要关系6",E1129,0)+IF(AND(C1129="魅力",E1129&lt;0),E1129,0))))</x:f>
        <x:v>0</x:v>
      </x:c>
      <x:c r="BW1129">
        <x:f>MAX(0,MIN(BK1129,IF(AND(H1129=1,C1129="重要关系7",LEFT('幕间与结算'!H1036,8)="建立新的重要关系"),'幕间与结算'!E1036+E1129,BW1128+IF(C1129="重要关系7",E1129,0)+IF(AND(C1129="魅力",E1129&lt;0),E1129,0))))</x:f>
        <x:v>0</x:v>
      </x:c>
    </x:row>
    <x:row r="1130">
      <x:c r="A1130" t="str">
        <x:f>IFERROR(TEXT(VALUE('幕间与结算'!A1037),"00"),"")</x:f>
        <x:v>00</x:v>
      </x:c>
      <x:c r="B1130">
        <x:f>'幕间与结算'!B1037</x:f>
        <x:v>0</x:v>
      </x:c>
      <x:c r="C1130">
        <x:f>'幕间与结算'!D1037</x:f>
        <x:v>0</x:v>
      </x:c>
      <x:c r="D1130">
        <x:f>'幕间与结算'!F1037</x:f>
        <x:v>0</x:v>
      </x:c>
      <x:c r="E1130">
        <x:f>IF(H1130=1,MAX(-'幕间与结算'!E1037,MIN(D1130,IF(LEFT(C1130,3)="技能：",99,IF(COUNTIF($L$2:$L$7,C1130)&gt;0,18,999))-'幕间与结算'!E1037)),0)</x:f>
        <x:v>0</x:v>
      </x:c>
      <x:c r="F1130" t="str">
        <x:f>IF(C1130=0,"",IF(G1130=0,"记录不完整",IF(H1130=0,"重复未计","已计入")))</x:f>
        <x:v/>
      </x:c>
      <x:c r="G1130">
        <x:f>IF(AND(AND('幕间与结算'!A1037&lt;&gt;"",'幕间与结算'!B1037&lt;&gt;"",'幕间与结算'!I1037&lt;&gt;"",OR(LEFT(C1130,3)="技能：",COUNTIF($L$2:$L$19,C1130)&gt;0),ISNUMBER('幕间与结算'!E1037),ISNUMBER('幕间与结算'!F1037),ISNUMBER('幕间与结算'!G1037),'幕间与结算'!E1037&gt;=0,'幕间与结算'!G1037='幕间与结算'!E1037+'幕间与结算'!F1037),OR(B1130&lt;&gt;"成长",AND(LEFT(C1130,3)="技能：",C1130&lt;&gt;"技能：非自然知识",'幕间与结算'!E1037&gt;=1,'幕间与结算'!E1037&lt;=99,'幕间与结算'!F1037&gt;=0,'幕间与结算'!F1037&lt;=4,'幕间与结算'!G1037&lt;=99))),1,0)</x:f>
        <x:v>0</x:v>
      </x:c>
      <x:c r="H1130">
        <x:f>IF(AND(G1130=1,COUNTIFS($I$200:I1130,I1130,$G$200:G1130,1)=1),1,0)</x:f>
        <x:v>0</x:v>
      </x:c>
      <x:c r="I1130" t="str">
        <x:f>IF(G1130=1,IF(B1130="成长",A1130&amp;"-成长-"&amp;C1130,'幕间与结算'!I1037),"")</x:f>
        <x:v/>
      </x:c>
      <x:c r="BF1130">
        <x:f>MAX(0,MIN(18,BF1129+IF(C1130="力量",E1130,0)))</x:f>
        <x:v>0</x:v>
      </x:c>
      <x:c r="BG1130">
        <x:f>MAX(0,MIN(18,BG1129+IF(C1130="体质",E1130,0)))</x:f>
        <x:v>0</x:v>
      </x:c>
      <x:c r="BH1130">
        <x:f>MAX(0,MIN(18,BH1129+IF(C1130="敏捷",E1130,0)))</x:f>
        <x:v>0</x:v>
      </x:c>
      <x:c r="BI1130">
        <x:f>MAX(0,MIN(18,BI1129+IF(C1130="智力",E1130,0)))</x:f>
        <x:v>0</x:v>
      </x:c>
      <x:c r="BJ1130">
        <x:f>MAX(0,MIN(18,BJ1129+IF(C1130="意志",E1130,0)))</x:f>
        <x:v>0</x:v>
      </x:c>
      <x:c r="BK1130">
        <x:f>MAX(0,MIN(18,BK1129+IF(C1130="魅力",E1130,0)))</x:f>
        <x:v>0</x:v>
      </x:c>
      <x:c r="BL1130">
        <x:f>MAX(0,MIN(99,BL1129+IF(C1130="技能：非自然知识",E1130,0)))</x:f>
        <x:v>0</x:v>
      </x:c>
      <x:c r="BM1130">
        <x:f>MAX(0,MIN(CEILING((BF1130+BG1130)/2,1),BM1129+IF(C1130="体力",E1130,0)))</x:f>
        <x:v>0</x:v>
      </x:c>
      <x:c r="BN1130">
        <x:f>MAX(0,MIN(BJ1130,BN1129+IF(C1130="毅力",E1130,0)))</x:f>
        <x:v>0</x:v>
      </x:c>
      <x:c r="BO1130">
        <x:f>MAX(0,MIN(99-BL1130,BO1129+IF(C1130="理智",E1130,0)))</x:f>
        <x:v>0</x:v>
      </x:c>
      <x:c r="BP1130">
        <x:f>MAX(0,MIN(99,BP1129+IF(C1130="崩溃点",E1130,0)))</x:f>
        <x:v>0</x:v>
      </x:c>
      <x:c r="BQ1130">
        <x:f>MAX(0,MIN(BK1130,IF(AND(H1130=1,C1130="重要关系1",LEFT('幕间与结算'!H1037,8)="建立新的重要关系"),'幕间与结算'!E1037+E1130,BQ1129+IF(C1130="重要关系1",E1130,0)+IF(AND(C1130="魅力",E1130&lt;0),E1130,0))))</x:f>
        <x:v>0</x:v>
      </x:c>
      <x:c r="BR1130">
        <x:f>MAX(0,MIN(BK1130,IF(AND(H1130=1,C1130="重要关系2",LEFT('幕间与结算'!H1037,8)="建立新的重要关系"),'幕间与结算'!E1037+E1130,BR1129+IF(C1130="重要关系2",E1130,0)+IF(AND(C1130="魅力",E1130&lt;0),E1130,0))))</x:f>
        <x:v>0</x:v>
      </x:c>
      <x:c r="BS1130">
        <x:f>MAX(0,MIN(BK1130,IF(AND(H1130=1,C1130="重要关系3",LEFT('幕间与结算'!H1037,8)="建立新的重要关系"),'幕间与结算'!E1037+E1130,BS1129+IF(C1130="重要关系3",E1130,0)+IF(AND(C1130="魅力",E1130&lt;0),E1130,0))))</x:f>
        <x:v>0</x:v>
      </x:c>
      <x:c r="BT1130">
        <x:f>MAX(0,MIN(BK1130,IF(AND(H1130=1,C1130="重要关系4",LEFT('幕间与结算'!H1037,8)="建立新的重要关系"),'幕间与结算'!E1037+E1130,BT1129+IF(C1130="重要关系4",E1130,0)+IF(AND(C1130="魅力",E1130&lt;0),E1130,0))))</x:f>
        <x:v>0</x:v>
      </x:c>
      <x:c r="BU1130">
        <x:f>MAX(0,MIN(BK1130,IF(AND(H1130=1,C1130="重要关系5",LEFT('幕间与结算'!H1037,8)="建立新的重要关系"),'幕间与结算'!E1037+E1130,BU1129+IF(C1130="重要关系5",E1130,0)+IF(AND(C1130="魅力",E1130&lt;0),E1130,0))))</x:f>
        <x:v>0</x:v>
      </x:c>
      <x:c r="BV1130">
        <x:f>MAX(0,MIN(BK1130,IF(AND(H1130=1,C1130="重要关系6",LEFT('幕间与结算'!H1037,8)="建立新的重要关系"),'幕间与结算'!E1037+E1130,BV1129+IF(C1130="重要关系6",E1130,0)+IF(AND(C1130="魅力",E1130&lt;0),E1130,0))))</x:f>
        <x:v>0</x:v>
      </x:c>
      <x:c r="BW1130">
        <x:f>MAX(0,MIN(BK1130,IF(AND(H1130=1,C1130="重要关系7",LEFT('幕间与结算'!H1037,8)="建立新的重要关系"),'幕间与结算'!E1037+E1130,BW1129+IF(C1130="重要关系7",E1130,0)+IF(AND(C1130="魅力",E1130&lt;0),E1130,0))))</x:f>
        <x:v>0</x:v>
      </x:c>
    </x:row>
    <x:row r="1131">
      <x:c r="A1131" t="str">
        <x:f>IFERROR(TEXT(VALUE('幕间与结算'!A1038),"00"),"")</x:f>
        <x:v>00</x:v>
      </x:c>
      <x:c r="B1131">
        <x:f>'幕间与结算'!B1038</x:f>
        <x:v>0</x:v>
      </x:c>
      <x:c r="C1131">
        <x:f>'幕间与结算'!D1038</x:f>
        <x:v>0</x:v>
      </x:c>
      <x:c r="D1131">
        <x:f>'幕间与结算'!F1038</x:f>
        <x:v>0</x:v>
      </x:c>
      <x:c r="E1131">
        <x:f>IF(H1131=1,MAX(-'幕间与结算'!E1038,MIN(D1131,IF(LEFT(C1131,3)="技能：",99,IF(COUNTIF($L$2:$L$7,C1131)&gt;0,18,999))-'幕间与结算'!E1038)),0)</x:f>
        <x:v>0</x:v>
      </x:c>
      <x:c r="F1131" t="str">
        <x:f>IF(C1131=0,"",IF(G1131=0,"记录不完整",IF(H1131=0,"重复未计","已计入")))</x:f>
        <x:v/>
      </x:c>
      <x:c r="G1131">
        <x:f>IF(AND(AND('幕间与结算'!A1038&lt;&gt;"",'幕间与结算'!B1038&lt;&gt;"",'幕间与结算'!I1038&lt;&gt;"",OR(LEFT(C1131,3)="技能：",COUNTIF($L$2:$L$19,C1131)&gt;0),ISNUMBER('幕间与结算'!E1038),ISNUMBER('幕间与结算'!F1038),ISNUMBER('幕间与结算'!G1038),'幕间与结算'!E1038&gt;=0,'幕间与结算'!G1038='幕间与结算'!E1038+'幕间与结算'!F1038),OR(B1131&lt;&gt;"成长",AND(LEFT(C1131,3)="技能：",C1131&lt;&gt;"技能：非自然知识",'幕间与结算'!E1038&gt;=1,'幕间与结算'!E1038&lt;=99,'幕间与结算'!F1038&gt;=0,'幕间与结算'!F1038&lt;=4,'幕间与结算'!G1038&lt;=99))),1,0)</x:f>
        <x:v>0</x:v>
      </x:c>
      <x:c r="H1131">
        <x:f>IF(AND(G1131=1,COUNTIFS($I$200:I1131,I1131,$G$200:G1131,1)=1),1,0)</x:f>
        <x:v>0</x:v>
      </x:c>
      <x:c r="I1131" t="str">
        <x:f>IF(G1131=1,IF(B1131="成长",A1131&amp;"-成长-"&amp;C1131,'幕间与结算'!I1038),"")</x:f>
        <x:v/>
      </x:c>
      <x:c r="BF1131">
        <x:f>MAX(0,MIN(18,BF1130+IF(C1131="力量",E1131,0)))</x:f>
        <x:v>0</x:v>
      </x:c>
      <x:c r="BG1131">
        <x:f>MAX(0,MIN(18,BG1130+IF(C1131="体质",E1131,0)))</x:f>
        <x:v>0</x:v>
      </x:c>
      <x:c r="BH1131">
        <x:f>MAX(0,MIN(18,BH1130+IF(C1131="敏捷",E1131,0)))</x:f>
        <x:v>0</x:v>
      </x:c>
      <x:c r="BI1131">
        <x:f>MAX(0,MIN(18,BI1130+IF(C1131="智力",E1131,0)))</x:f>
        <x:v>0</x:v>
      </x:c>
      <x:c r="BJ1131">
        <x:f>MAX(0,MIN(18,BJ1130+IF(C1131="意志",E1131,0)))</x:f>
        <x:v>0</x:v>
      </x:c>
      <x:c r="BK1131">
        <x:f>MAX(0,MIN(18,BK1130+IF(C1131="魅力",E1131,0)))</x:f>
        <x:v>0</x:v>
      </x:c>
      <x:c r="BL1131">
        <x:f>MAX(0,MIN(99,BL1130+IF(C1131="技能：非自然知识",E1131,0)))</x:f>
        <x:v>0</x:v>
      </x:c>
      <x:c r="BM1131">
        <x:f>MAX(0,MIN(CEILING((BF1131+BG1131)/2,1),BM1130+IF(C1131="体力",E1131,0)))</x:f>
        <x:v>0</x:v>
      </x:c>
      <x:c r="BN1131">
        <x:f>MAX(0,MIN(BJ1131,BN1130+IF(C1131="毅力",E1131,0)))</x:f>
        <x:v>0</x:v>
      </x:c>
      <x:c r="BO1131">
        <x:f>MAX(0,MIN(99-BL1131,BO1130+IF(C1131="理智",E1131,0)))</x:f>
        <x:v>0</x:v>
      </x:c>
      <x:c r="BP1131">
        <x:f>MAX(0,MIN(99,BP1130+IF(C1131="崩溃点",E1131,0)))</x:f>
        <x:v>0</x:v>
      </x:c>
      <x:c r="BQ1131">
        <x:f>MAX(0,MIN(BK1131,IF(AND(H1131=1,C1131="重要关系1",LEFT('幕间与结算'!H1038,8)="建立新的重要关系"),'幕间与结算'!E1038+E1131,BQ1130+IF(C1131="重要关系1",E1131,0)+IF(AND(C1131="魅力",E1131&lt;0),E1131,0))))</x:f>
        <x:v>0</x:v>
      </x:c>
      <x:c r="BR1131">
        <x:f>MAX(0,MIN(BK1131,IF(AND(H1131=1,C1131="重要关系2",LEFT('幕间与结算'!H1038,8)="建立新的重要关系"),'幕间与结算'!E1038+E1131,BR1130+IF(C1131="重要关系2",E1131,0)+IF(AND(C1131="魅力",E1131&lt;0),E1131,0))))</x:f>
        <x:v>0</x:v>
      </x:c>
      <x:c r="BS1131">
        <x:f>MAX(0,MIN(BK1131,IF(AND(H1131=1,C1131="重要关系3",LEFT('幕间与结算'!H1038,8)="建立新的重要关系"),'幕间与结算'!E1038+E1131,BS1130+IF(C1131="重要关系3",E1131,0)+IF(AND(C1131="魅力",E1131&lt;0),E1131,0))))</x:f>
        <x:v>0</x:v>
      </x:c>
      <x:c r="BT1131">
        <x:f>MAX(0,MIN(BK1131,IF(AND(H1131=1,C1131="重要关系4",LEFT('幕间与结算'!H1038,8)="建立新的重要关系"),'幕间与结算'!E1038+E1131,BT1130+IF(C1131="重要关系4",E1131,0)+IF(AND(C1131="魅力",E1131&lt;0),E1131,0))))</x:f>
        <x:v>0</x:v>
      </x:c>
      <x:c r="BU1131">
        <x:f>MAX(0,MIN(BK1131,IF(AND(H1131=1,C1131="重要关系5",LEFT('幕间与结算'!H1038,8)="建立新的重要关系"),'幕间与结算'!E1038+E1131,BU1130+IF(C1131="重要关系5",E1131,0)+IF(AND(C1131="魅力",E1131&lt;0),E1131,0))))</x:f>
        <x:v>0</x:v>
      </x:c>
      <x:c r="BV1131">
        <x:f>MAX(0,MIN(BK1131,IF(AND(H1131=1,C1131="重要关系6",LEFT('幕间与结算'!H1038,8)="建立新的重要关系"),'幕间与结算'!E1038+E1131,BV1130+IF(C1131="重要关系6",E1131,0)+IF(AND(C1131="魅力",E1131&lt;0),E1131,0))))</x:f>
        <x:v>0</x:v>
      </x:c>
      <x:c r="BW1131">
        <x:f>MAX(0,MIN(BK1131,IF(AND(H1131=1,C1131="重要关系7",LEFT('幕间与结算'!H1038,8)="建立新的重要关系"),'幕间与结算'!E1038+E1131,BW1130+IF(C1131="重要关系7",E1131,0)+IF(AND(C1131="魅力",E1131&lt;0),E1131,0))))</x:f>
        <x:v>0</x:v>
      </x:c>
    </x:row>
    <x:row r="1132">
      <x:c r="A1132" t="str">
        <x:f>IFERROR(TEXT(VALUE('幕间与结算'!A1039),"00"),"")</x:f>
        <x:v>00</x:v>
      </x:c>
      <x:c r="B1132">
        <x:f>'幕间与结算'!B1039</x:f>
        <x:v>0</x:v>
      </x:c>
      <x:c r="C1132">
        <x:f>'幕间与结算'!D1039</x:f>
        <x:v>0</x:v>
      </x:c>
      <x:c r="D1132">
        <x:f>'幕间与结算'!F1039</x:f>
        <x:v>0</x:v>
      </x:c>
      <x:c r="E1132">
        <x:f>IF(H1132=1,MAX(-'幕间与结算'!E1039,MIN(D1132,IF(LEFT(C1132,3)="技能：",99,IF(COUNTIF($L$2:$L$7,C1132)&gt;0,18,999))-'幕间与结算'!E1039)),0)</x:f>
        <x:v>0</x:v>
      </x:c>
      <x:c r="F1132" t="str">
        <x:f>IF(C1132=0,"",IF(G1132=0,"记录不完整",IF(H1132=0,"重复未计","已计入")))</x:f>
        <x:v/>
      </x:c>
      <x:c r="G1132">
        <x:f>IF(AND(AND('幕间与结算'!A1039&lt;&gt;"",'幕间与结算'!B1039&lt;&gt;"",'幕间与结算'!I1039&lt;&gt;"",OR(LEFT(C1132,3)="技能：",COUNTIF($L$2:$L$19,C1132)&gt;0),ISNUMBER('幕间与结算'!E1039),ISNUMBER('幕间与结算'!F1039),ISNUMBER('幕间与结算'!G1039),'幕间与结算'!E1039&gt;=0,'幕间与结算'!G1039='幕间与结算'!E1039+'幕间与结算'!F1039),OR(B1132&lt;&gt;"成长",AND(LEFT(C1132,3)="技能：",C1132&lt;&gt;"技能：非自然知识",'幕间与结算'!E1039&gt;=1,'幕间与结算'!E1039&lt;=99,'幕间与结算'!F1039&gt;=0,'幕间与结算'!F1039&lt;=4,'幕间与结算'!G1039&lt;=99))),1,0)</x:f>
        <x:v>0</x:v>
      </x:c>
      <x:c r="H1132">
        <x:f>IF(AND(G1132=1,COUNTIFS($I$200:I1132,I1132,$G$200:G1132,1)=1),1,0)</x:f>
        <x:v>0</x:v>
      </x:c>
      <x:c r="I1132" t="str">
        <x:f>IF(G1132=1,IF(B1132="成长",A1132&amp;"-成长-"&amp;C1132,'幕间与结算'!I1039),"")</x:f>
        <x:v/>
      </x:c>
      <x:c r="BF1132">
        <x:f>MAX(0,MIN(18,BF1131+IF(C1132="力量",E1132,0)))</x:f>
        <x:v>0</x:v>
      </x:c>
      <x:c r="BG1132">
        <x:f>MAX(0,MIN(18,BG1131+IF(C1132="体质",E1132,0)))</x:f>
        <x:v>0</x:v>
      </x:c>
      <x:c r="BH1132">
        <x:f>MAX(0,MIN(18,BH1131+IF(C1132="敏捷",E1132,0)))</x:f>
        <x:v>0</x:v>
      </x:c>
      <x:c r="BI1132">
        <x:f>MAX(0,MIN(18,BI1131+IF(C1132="智力",E1132,0)))</x:f>
        <x:v>0</x:v>
      </x:c>
      <x:c r="BJ1132">
        <x:f>MAX(0,MIN(18,BJ1131+IF(C1132="意志",E1132,0)))</x:f>
        <x:v>0</x:v>
      </x:c>
      <x:c r="BK1132">
        <x:f>MAX(0,MIN(18,BK1131+IF(C1132="魅力",E1132,0)))</x:f>
        <x:v>0</x:v>
      </x:c>
      <x:c r="BL1132">
        <x:f>MAX(0,MIN(99,BL1131+IF(C1132="技能：非自然知识",E1132,0)))</x:f>
        <x:v>0</x:v>
      </x:c>
      <x:c r="BM1132">
        <x:f>MAX(0,MIN(CEILING((BF1132+BG1132)/2,1),BM1131+IF(C1132="体力",E1132,0)))</x:f>
        <x:v>0</x:v>
      </x:c>
      <x:c r="BN1132">
        <x:f>MAX(0,MIN(BJ1132,BN1131+IF(C1132="毅力",E1132,0)))</x:f>
        <x:v>0</x:v>
      </x:c>
      <x:c r="BO1132">
        <x:f>MAX(0,MIN(99-BL1132,BO1131+IF(C1132="理智",E1132,0)))</x:f>
        <x:v>0</x:v>
      </x:c>
      <x:c r="BP1132">
        <x:f>MAX(0,MIN(99,BP1131+IF(C1132="崩溃点",E1132,0)))</x:f>
        <x:v>0</x:v>
      </x:c>
      <x:c r="BQ1132">
        <x:f>MAX(0,MIN(BK1132,IF(AND(H1132=1,C1132="重要关系1",LEFT('幕间与结算'!H1039,8)="建立新的重要关系"),'幕间与结算'!E1039+E1132,BQ1131+IF(C1132="重要关系1",E1132,0)+IF(AND(C1132="魅力",E1132&lt;0),E1132,0))))</x:f>
        <x:v>0</x:v>
      </x:c>
      <x:c r="BR1132">
        <x:f>MAX(0,MIN(BK1132,IF(AND(H1132=1,C1132="重要关系2",LEFT('幕间与结算'!H1039,8)="建立新的重要关系"),'幕间与结算'!E1039+E1132,BR1131+IF(C1132="重要关系2",E1132,0)+IF(AND(C1132="魅力",E1132&lt;0),E1132,0))))</x:f>
        <x:v>0</x:v>
      </x:c>
      <x:c r="BS1132">
        <x:f>MAX(0,MIN(BK1132,IF(AND(H1132=1,C1132="重要关系3",LEFT('幕间与结算'!H1039,8)="建立新的重要关系"),'幕间与结算'!E1039+E1132,BS1131+IF(C1132="重要关系3",E1132,0)+IF(AND(C1132="魅力",E1132&lt;0),E1132,0))))</x:f>
        <x:v>0</x:v>
      </x:c>
      <x:c r="BT1132">
        <x:f>MAX(0,MIN(BK1132,IF(AND(H1132=1,C1132="重要关系4",LEFT('幕间与结算'!H1039,8)="建立新的重要关系"),'幕间与结算'!E1039+E1132,BT1131+IF(C1132="重要关系4",E1132,0)+IF(AND(C1132="魅力",E1132&lt;0),E1132,0))))</x:f>
        <x:v>0</x:v>
      </x:c>
      <x:c r="BU1132">
        <x:f>MAX(0,MIN(BK1132,IF(AND(H1132=1,C1132="重要关系5",LEFT('幕间与结算'!H1039,8)="建立新的重要关系"),'幕间与结算'!E1039+E1132,BU1131+IF(C1132="重要关系5",E1132,0)+IF(AND(C1132="魅力",E1132&lt;0),E1132,0))))</x:f>
        <x:v>0</x:v>
      </x:c>
      <x:c r="BV1132">
        <x:f>MAX(0,MIN(BK1132,IF(AND(H1132=1,C1132="重要关系6",LEFT('幕间与结算'!H1039,8)="建立新的重要关系"),'幕间与结算'!E1039+E1132,BV1131+IF(C1132="重要关系6",E1132,0)+IF(AND(C1132="魅力",E1132&lt;0),E1132,0))))</x:f>
        <x:v>0</x:v>
      </x:c>
      <x:c r="BW1132">
        <x:f>MAX(0,MIN(BK1132,IF(AND(H1132=1,C1132="重要关系7",LEFT('幕间与结算'!H1039,8)="建立新的重要关系"),'幕间与结算'!E1039+E1132,BW1131+IF(C1132="重要关系7",E1132,0)+IF(AND(C1132="魅力",E1132&lt;0),E1132,0))))</x:f>
        <x:v>0</x:v>
      </x:c>
    </x:row>
    <x:row r="1133">
      <x:c r="A1133" t="str">
        <x:f>IFERROR(TEXT(VALUE('幕间与结算'!A1040),"00"),"")</x:f>
        <x:v>00</x:v>
      </x:c>
      <x:c r="B1133">
        <x:f>'幕间与结算'!B1040</x:f>
        <x:v>0</x:v>
      </x:c>
      <x:c r="C1133">
        <x:f>'幕间与结算'!D1040</x:f>
        <x:v>0</x:v>
      </x:c>
      <x:c r="D1133">
        <x:f>'幕间与结算'!F1040</x:f>
        <x:v>0</x:v>
      </x:c>
      <x:c r="E1133">
        <x:f>IF(H1133=1,MAX(-'幕间与结算'!E1040,MIN(D1133,IF(LEFT(C1133,3)="技能：",99,IF(COUNTIF($L$2:$L$7,C1133)&gt;0,18,999))-'幕间与结算'!E1040)),0)</x:f>
        <x:v>0</x:v>
      </x:c>
      <x:c r="F1133" t="str">
        <x:f>IF(C1133=0,"",IF(G1133=0,"记录不完整",IF(H1133=0,"重复未计","已计入")))</x:f>
        <x:v/>
      </x:c>
      <x:c r="G1133">
        <x:f>IF(AND(AND('幕间与结算'!A1040&lt;&gt;"",'幕间与结算'!B1040&lt;&gt;"",'幕间与结算'!I1040&lt;&gt;"",OR(LEFT(C1133,3)="技能：",COUNTIF($L$2:$L$19,C1133)&gt;0),ISNUMBER('幕间与结算'!E1040),ISNUMBER('幕间与结算'!F1040),ISNUMBER('幕间与结算'!G1040),'幕间与结算'!E1040&gt;=0,'幕间与结算'!G1040='幕间与结算'!E1040+'幕间与结算'!F1040),OR(B1133&lt;&gt;"成长",AND(LEFT(C1133,3)="技能：",C1133&lt;&gt;"技能：非自然知识",'幕间与结算'!E1040&gt;=1,'幕间与结算'!E1040&lt;=99,'幕间与结算'!F1040&gt;=0,'幕间与结算'!F1040&lt;=4,'幕间与结算'!G1040&lt;=99))),1,0)</x:f>
        <x:v>0</x:v>
      </x:c>
      <x:c r="H1133">
        <x:f>IF(AND(G1133=1,COUNTIFS($I$200:I1133,I1133,$G$200:G1133,1)=1),1,0)</x:f>
        <x:v>0</x:v>
      </x:c>
      <x:c r="I1133" t="str">
        <x:f>IF(G1133=1,IF(B1133="成长",A1133&amp;"-成长-"&amp;C1133,'幕间与结算'!I1040),"")</x:f>
        <x:v/>
      </x:c>
      <x:c r="BF1133">
        <x:f>MAX(0,MIN(18,BF1132+IF(C1133="力量",E1133,0)))</x:f>
        <x:v>0</x:v>
      </x:c>
      <x:c r="BG1133">
        <x:f>MAX(0,MIN(18,BG1132+IF(C1133="体质",E1133,0)))</x:f>
        <x:v>0</x:v>
      </x:c>
      <x:c r="BH1133">
        <x:f>MAX(0,MIN(18,BH1132+IF(C1133="敏捷",E1133,0)))</x:f>
        <x:v>0</x:v>
      </x:c>
      <x:c r="BI1133">
        <x:f>MAX(0,MIN(18,BI1132+IF(C1133="智力",E1133,0)))</x:f>
        <x:v>0</x:v>
      </x:c>
      <x:c r="BJ1133">
        <x:f>MAX(0,MIN(18,BJ1132+IF(C1133="意志",E1133,0)))</x:f>
        <x:v>0</x:v>
      </x:c>
      <x:c r="BK1133">
        <x:f>MAX(0,MIN(18,BK1132+IF(C1133="魅力",E1133,0)))</x:f>
        <x:v>0</x:v>
      </x:c>
      <x:c r="BL1133">
        <x:f>MAX(0,MIN(99,BL1132+IF(C1133="技能：非自然知识",E1133,0)))</x:f>
        <x:v>0</x:v>
      </x:c>
      <x:c r="BM1133">
        <x:f>MAX(0,MIN(CEILING((BF1133+BG1133)/2,1),BM1132+IF(C1133="体力",E1133,0)))</x:f>
        <x:v>0</x:v>
      </x:c>
      <x:c r="BN1133">
        <x:f>MAX(0,MIN(BJ1133,BN1132+IF(C1133="毅力",E1133,0)))</x:f>
        <x:v>0</x:v>
      </x:c>
      <x:c r="BO1133">
        <x:f>MAX(0,MIN(99-BL1133,BO1132+IF(C1133="理智",E1133,0)))</x:f>
        <x:v>0</x:v>
      </x:c>
      <x:c r="BP1133">
        <x:f>MAX(0,MIN(99,BP1132+IF(C1133="崩溃点",E1133,0)))</x:f>
        <x:v>0</x:v>
      </x:c>
      <x:c r="BQ1133">
        <x:f>MAX(0,MIN(BK1133,IF(AND(H1133=1,C1133="重要关系1",LEFT('幕间与结算'!H1040,8)="建立新的重要关系"),'幕间与结算'!E1040+E1133,BQ1132+IF(C1133="重要关系1",E1133,0)+IF(AND(C1133="魅力",E1133&lt;0),E1133,0))))</x:f>
        <x:v>0</x:v>
      </x:c>
      <x:c r="BR1133">
        <x:f>MAX(0,MIN(BK1133,IF(AND(H1133=1,C1133="重要关系2",LEFT('幕间与结算'!H1040,8)="建立新的重要关系"),'幕间与结算'!E1040+E1133,BR1132+IF(C1133="重要关系2",E1133,0)+IF(AND(C1133="魅力",E1133&lt;0),E1133,0))))</x:f>
        <x:v>0</x:v>
      </x:c>
      <x:c r="BS1133">
        <x:f>MAX(0,MIN(BK1133,IF(AND(H1133=1,C1133="重要关系3",LEFT('幕间与结算'!H1040,8)="建立新的重要关系"),'幕间与结算'!E1040+E1133,BS1132+IF(C1133="重要关系3",E1133,0)+IF(AND(C1133="魅力",E1133&lt;0),E1133,0))))</x:f>
        <x:v>0</x:v>
      </x:c>
      <x:c r="BT1133">
        <x:f>MAX(0,MIN(BK1133,IF(AND(H1133=1,C1133="重要关系4",LEFT('幕间与结算'!H1040,8)="建立新的重要关系"),'幕间与结算'!E1040+E1133,BT1132+IF(C1133="重要关系4",E1133,0)+IF(AND(C1133="魅力",E1133&lt;0),E1133,0))))</x:f>
        <x:v>0</x:v>
      </x:c>
      <x:c r="BU1133">
        <x:f>MAX(0,MIN(BK1133,IF(AND(H1133=1,C1133="重要关系5",LEFT('幕间与结算'!H1040,8)="建立新的重要关系"),'幕间与结算'!E1040+E1133,BU1132+IF(C1133="重要关系5",E1133,0)+IF(AND(C1133="魅力",E1133&lt;0),E1133,0))))</x:f>
        <x:v>0</x:v>
      </x:c>
      <x:c r="BV1133">
        <x:f>MAX(0,MIN(BK1133,IF(AND(H1133=1,C1133="重要关系6",LEFT('幕间与结算'!H1040,8)="建立新的重要关系"),'幕间与结算'!E1040+E1133,BV1132+IF(C1133="重要关系6",E1133,0)+IF(AND(C1133="魅力",E1133&lt;0),E1133,0))))</x:f>
        <x:v>0</x:v>
      </x:c>
      <x:c r="BW1133">
        <x:f>MAX(0,MIN(BK1133,IF(AND(H1133=1,C1133="重要关系7",LEFT('幕间与结算'!H1040,8)="建立新的重要关系"),'幕间与结算'!E1040+E1133,BW1132+IF(C1133="重要关系7",E1133,0)+IF(AND(C1133="魅力",E1133&lt;0),E1133,0))))</x:f>
        <x:v>0</x:v>
      </x:c>
    </x:row>
    <x:row r="1134">
      <x:c r="A1134" t="str">
        <x:f>IFERROR(TEXT(VALUE('幕间与结算'!A1041),"00"),"")</x:f>
        <x:v>00</x:v>
      </x:c>
      <x:c r="B1134">
        <x:f>'幕间与结算'!B1041</x:f>
        <x:v>0</x:v>
      </x:c>
      <x:c r="C1134">
        <x:f>'幕间与结算'!D1041</x:f>
        <x:v>0</x:v>
      </x:c>
      <x:c r="D1134">
        <x:f>'幕间与结算'!F1041</x:f>
        <x:v>0</x:v>
      </x:c>
      <x:c r="E1134">
        <x:f>IF(H1134=1,MAX(-'幕间与结算'!E1041,MIN(D1134,IF(LEFT(C1134,3)="技能：",99,IF(COUNTIF($L$2:$L$7,C1134)&gt;0,18,999))-'幕间与结算'!E1041)),0)</x:f>
        <x:v>0</x:v>
      </x:c>
      <x:c r="F1134" t="str">
        <x:f>IF(C1134=0,"",IF(G1134=0,"记录不完整",IF(H1134=0,"重复未计","已计入")))</x:f>
        <x:v/>
      </x:c>
      <x:c r="G1134">
        <x:f>IF(AND(AND('幕间与结算'!A1041&lt;&gt;"",'幕间与结算'!B1041&lt;&gt;"",'幕间与结算'!I1041&lt;&gt;"",OR(LEFT(C1134,3)="技能：",COUNTIF($L$2:$L$19,C1134)&gt;0),ISNUMBER('幕间与结算'!E1041),ISNUMBER('幕间与结算'!F1041),ISNUMBER('幕间与结算'!G1041),'幕间与结算'!E1041&gt;=0,'幕间与结算'!G1041='幕间与结算'!E1041+'幕间与结算'!F1041),OR(B1134&lt;&gt;"成长",AND(LEFT(C1134,3)="技能：",C1134&lt;&gt;"技能：非自然知识",'幕间与结算'!E1041&gt;=1,'幕间与结算'!E1041&lt;=99,'幕间与结算'!F1041&gt;=0,'幕间与结算'!F1041&lt;=4,'幕间与结算'!G1041&lt;=99))),1,0)</x:f>
        <x:v>0</x:v>
      </x:c>
      <x:c r="H1134">
        <x:f>IF(AND(G1134=1,COUNTIFS($I$200:I1134,I1134,$G$200:G1134,1)=1),1,0)</x:f>
        <x:v>0</x:v>
      </x:c>
      <x:c r="I1134" t="str">
        <x:f>IF(G1134=1,IF(B1134="成长",A1134&amp;"-成长-"&amp;C1134,'幕间与结算'!I1041),"")</x:f>
        <x:v/>
      </x:c>
      <x:c r="BF1134">
        <x:f>MAX(0,MIN(18,BF1133+IF(C1134="力量",E1134,0)))</x:f>
        <x:v>0</x:v>
      </x:c>
      <x:c r="BG1134">
        <x:f>MAX(0,MIN(18,BG1133+IF(C1134="体质",E1134,0)))</x:f>
        <x:v>0</x:v>
      </x:c>
      <x:c r="BH1134">
        <x:f>MAX(0,MIN(18,BH1133+IF(C1134="敏捷",E1134,0)))</x:f>
        <x:v>0</x:v>
      </x:c>
      <x:c r="BI1134">
        <x:f>MAX(0,MIN(18,BI1133+IF(C1134="智力",E1134,0)))</x:f>
        <x:v>0</x:v>
      </x:c>
      <x:c r="BJ1134">
        <x:f>MAX(0,MIN(18,BJ1133+IF(C1134="意志",E1134,0)))</x:f>
        <x:v>0</x:v>
      </x:c>
      <x:c r="BK1134">
        <x:f>MAX(0,MIN(18,BK1133+IF(C1134="魅力",E1134,0)))</x:f>
        <x:v>0</x:v>
      </x:c>
      <x:c r="BL1134">
        <x:f>MAX(0,MIN(99,BL1133+IF(C1134="技能：非自然知识",E1134,0)))</x:f>
        <x:v>0</x:v>
      </x:c>
      <x:c r="BM1134">
        <x:f>MAX(0,MIN(CEILING((BF1134+BG1134)/2,1),BM1133+IF(C1134="体力",E1134,0)))</x:f>
        <x:v>0</x:v>
      </x:c>
      <x:c r="BN1134">
        <x:f>MAX(0,MIN(BJ1134,BN1133+IF(C1134="毅力",E1134,0)))</x:f>
        <x:v>0</x:v>
      </x:c>
      <x:c r="BO1134">
        <x:f>MAX(0,MIN(99-BL1134,BO1133+IF(C1134="理智",E1134,0)))</x:f>
        <x:v>0</x:v>
      </x:c>
      <x:c r="BP1134">
        <x:f>MAX(0,MIN(99,BP1133+IF(C1134="崩溃点",E1134,0)))</x:f>
        <x:v>0</x:v>
      </x:c>
      <x:c r="BQ1134">
        <x:f>MAX(0,MIN(BK1134,IF(AND(H1134=1,C1134="重要关系1",LEFT('幕间与结算'!H1041,8)="建立新的重要关系"),'幕间与结算'!E1041+E1134,BQ1133+IF(C1134="重要关系1",E1134,0)+IF(AND(C1134="魅力",E1134&lt;0),E1134,0))))</x:f>
        <x:v>0</x:v>
      </x:c>
      <x:c r="BR1134">
        <x:f>MAX(0,MIN(BK1134,IF(AND(H1134=1,C1134="重要关系2",LEFT('幕间与结算'!H1041,8)="建立新的重要关系"),'幕间与结算'!E1041+E1134,BR1133+IF(C1134="重要关系2",E1134,0)+IF(AND(C1134="魅力",E1134&lt;0),E1134,0))))</x:f>
        <x:v>0</x:v>
      </x:c>
      <x:c r="BS1134">
        <x:f>MAX(0,MIN(BK1134,IF(AND(H1134=1,C1134="重要关系3",LEFT('幕间与结算'!H1041,8)="建立新的重要关系"),'幕间与结算'!E1041+E1134,BS1133+IF(C1134="重要关系3",E1134,0)+IF(AND(C1134="魅力",E1134&lt;0),E1134,0))))</x:f>
        <x:v>0</x:v>
      </x:c>
      <x:c r="BT1134">
        <x:f>MAX(0,MIN(BK1134,IF(AND(H1134=1,C1134="重要关系4",LEFT('幕间与结算'!H1041,8)="建立新的重要关系"),'幕间与结算'!E1041+E1134,BT1133+IF(C1134="重要关系4",E1134,0)+IF(AND(C1134="魅力",E1134&lt;0),E1134,0))))</x:f>
        <x:v>0</x:v>
      </x:c>
      <x:c r="BU1134">
        <x:f>MAX(0,MIN(BK1134,IF(AND(H1134=1,C1134="重要关系5",LEFT('幕间与结算'!H1041,8)="建立新的重要关系"),'幕间与结算'!E1041+E1134,BU1133+IF(C1134="重要关系5",E1134,0)+IF(AND(C1134="魅力",E1134&lt;0),E1134,0))))</x:f>
        <x:v>0</x:v>
      </x:c>
      <x:c r="BV1134">
        <x:f>MAX(0,MIN(BK1134,IF(AND(H1134=1,C1134="重要关系6",LEFT('幕间与结算'!H1041,8)="建立新的重要关系"),'幕间与结算'!E1041+E1134,BV1133+IF(C1134="重要关系6",E1134,0)+IF(AND(C1134="魅力",E1134&lt;0),E1134,0))))</x:f>
        <x:v>0</x:v>
      </x:c>
      <x:c r="BW1134">
        <x:f>MAX(0,MIN(BK1134,IF(AND(H1134=1,C1134="重要关系7",LEFT('幕间与结算'!H1041,8)="建立新的重要关系"),'幕间与结算'!E1041+E1134,BW1133+IF(C1134="重要关系7",E1134,0)+IF(AND(C1134="魅力",E1134&lt;0),E1134,0))))</x:f>
        <x:v>0</x:v>
      </x:c>
    </x:row>
    <x:row r="1135">
      <x:c r="A1135" t="str">
        <x:f>IFERROR(TEXT(VALUE('幕间与结算'!A1042),"00"),"")</x:f>
        <x:v>00</x:v>
      </x:c>
      <x:c r="B1135">
        <x:f>'幕间与结算'!B1042</x:f>
        <x:v>0</x:v>
      </x:c>
      <x:c r="C1135">
        <x:f>'幕间与结算'!D1042</x:f>
        <x:v>0</x:v>
      </x:c>
      <x:c r="D1135">
        <x:f>'幕间与结算'!F1042</x:f>
        <x:v>0</x:v>
      </x:c>
      <x:c r="E1135">
        <x:f>IF(H1135=1,MAX(-'幕间与结算'!E1042,MIN(D1135,IF(LEFT(C1135,3)="技能：",99,IF(COUNTIF($L$2:$L$7,C1135)&gt;0,18,999))-'幕间与结算'!E1042)),0)</x:f>
        <x:v>0</x:v>
      </x:c>
      <x:c r="F1135" t="str">
        <x:f>IF(C1135=0,"",IF(G1135=0,"记录不完整",IF(H1135=0,"重复未计","已计入")))</x:f>
        <x:v/>
      </x:c>
      <x:c r="G1135">
        <x:f>IF(AND(AND('幕间与结算'!A1042&lt;&gt;"",'幕间与结算'!B1042&lt;&gt;"",'幕间与结算'!I1042&lt;&gt;"",OR(LEFT(C1135,3)="技能：",COUNTIF($L$2:$L$19,C1135)&gt;0),ISNUMBER('幕间与结算'!E1042),ISNUMBER('幕间与结算'!F1042),ISNUMBER('幕间与结算'!G1042),'幕间与结算'!E1042&gt;=0,'幕间与结算'!G1042='幕间与结算'!E1042+'幕间与结算'!F1042),OR(B1135&lt;&gt;"成长",AND(LEFT(C1135,3)="技能：",C1135&lt;&gt;"技能：非自然知识",'幕间与结算'!E1042&gt;=1,'幕间与结算'!E1042&lt;=99,'幕间与结算'!F1042&gt;=0,'幕间与结算'!F1042&lt;=4,'幕间与结算'!G1042&lt;=99))),1,0)</x:f>
        <x:v>0</x:v>
      </x:c>
      <x:c r="H1135">
        <x:f>IF(AND(G1135=1,COUNTIFS($I$200:I1135,I1135,$G$200:G1135,1)=1),1,0)</x:f>
        <x:v>0</x:v>
      </x:c>
      <x:c r="I1135" t="str">
        <x:f>IF(G1135=1,IF(B1135="成长",A1135&amp;"-成长-"&amp;C1135,'幕间与结算'!I1042),"")</x:f>
        <x:v/>
      </x:c>
      <x:c r="BF1135">
        <x:f>MAX(0,MIN(18,BF1134+IF(C1135="力量",E1135,0)))</x:f>
        <x:v>0</x:v>
      </x:c>
      <x:c r="BG1135">
        <x:f>MAX(0,MIN(18,BG1134+IF(C1135="体质",E1135,0)))</x:f>
        <x:v>0</x:v>
      </x:c>
      <x:c r="BH1135">
        <x:f>MAX(0,MIN(18,BH1134+IF(C1135="敏捷",E1135,0)))</x:f>
        <x:v>0</x:v>
      </x:c>
      <x:c r="BI1135">
        <x:f>MAX(0,MIN(18,BI1134+IF(C1135="智力",E1135,0)))</x:f>
        <x:v>0</x:v>
      </x:c>
      <x:c r="BJ1135">
        <x:f>MAX(0,MIN(18,BJ1134+IF(C1135="意志",E1135,0)))</x:f>
        <x:v>0</x:v>
      </x:c>
      <x:c r="BK1135">
        <x:f>MAX(0,MIN(18,BK1134+IF(C1135="魅力",E1135,0)))</x:f>
        <x:v>0</x:v>
      </x:c>
      <x:c r="BL1135">
        <x:f>MAX(0,MIN(99,BL1134+IF(C1135="技能：非自然知识",E1135,0)))</x:f>
        <x:v>0</x:v>
      </x:c>
      <x:c r="BM1135">
        <x:f>MAX(0,MIN(CEILING((BF1135+BG1135)/2,1),BM1134+IF(C1135="体力",E1135,0)))</x:f>
        <x:v>0</x:v>
      </x:c>
      <x:c r="BN1135">
        <x:f>MAX(0,MIN(BJ1135,BN1134+IF(C1135="毅力",E1135,0)))</x:f>
        <x:v>0</x:v>
      </x:c>
      <x:c r="BO1135">
        <x:f>MAX(0,MIN(99-BL1135,BO1134+IF(C1135="理智",E1135,0)))</x:f>
        <x:v>0</x:v>
      </x:c>
      <x:c r="BP1135">
        <x:f>MAX(0,MIN(99,BP1134+IF(C1135="崩溃点",E1135,0)))</x:f>
        <x:v>0</x:v>
      </x:c>
      <x:c r="BQ1135">
        <x:f>MAX(0,MIN(BK1135,IF(AND(H1135=1,C1135="重要关系1",LEFT('幕间与结算'!H1042,8)="建立新的重要关系"),'幕间与结算'!E1042+E1135,BQ1134+IF(C1135="重要关系1",E1135,0)+IF(AND(C1135="魅力",E1135&lt;0),E1135,0))))</x:f>
        <x:v>0</x:v>
      </x:c>
      <x:c r="BR1135">
        <x:f>MAX(0,MIN(BK1135,IF(AND(H1135=1,C1135="重要关系2",LEFT('幕间与结算'!H1042,8)="建立新的重要关系"),'幕间与结算'!E1042+E1135,BR1134+IF(C1135="重要关系2",E1135,0)+IF(AND(C1135="魅力",E1135&lt;0),E1135,0))))</x:f>
        <x:v>0</x:v>
      </x:c>
      <x:c r="BS1135">
        <x:f>MAX(0,MIN(BK1135,IF(AND(H1135=1,C1135="重要关系3",LEFT('幕间与结算'!H1042,8)="建立新的重要关系"),'幕间与结算'!E1042+E1135,BS1134+IF(C1135="重要关系3",E1135,0)+IF(AND(C1135="魅力",E1135&lt;0),E1135,0))))</x:f>
        <x:v>0</x:v>
      </x:c>
      <x:c r="BT1135">
        <x:f>MAX(0,MIN(BK1135,IF(AND(H1135=1,C1135="重要关系4",LEFT('幕间与结算'!H1042,8)="建立新的重要关系"),'幕间与结算'!E1042+E1135,BT1134+IF(C1135="重要关系4",E1135,0)+IF(AND(C1135="魅力",E1135&lt;0),E1135,0))))</x:f>
        <x:v>0</x:v>
      </x:c>
      <x:c r="BU1135">
        <x:f>MAX(0,MIN(BK1135,IF(AND(H1135=1,C1135="重要关系5",LEFT('幕间与结算'!H1042,8)="建立新的重要关系"),'幕间与结算'!E1042+E1135,BU1134+IF(C1135="重要关系5",E1135,0)+IF(AND(C1135="魅力",E1135&lt;0),E1135,0))))</x:f>
        <x:v>0</x:v>
      </x:c>
      <x:c r="BV1135">
        <x:f>MAX(0,MIN(BK1135,IF(AND(H1135=1,C1135="重要关系6",LEFT('幕间与结算'!H1042,8)="建立新的重要关系"),'幕间与结算'!E1042+E1135,BV1134+IF(C1135="重要关系6",E1135,0)+IF(AND(C1135="魅力",E1135&lt;0),E1135,0))))</x:f>
        <x:v>0</x:v>
      </x:c>
      <x:c r="BW1135">
        <x:f>MAX(0,MIN(BK1135,IF(AND(H1135=1,C1135="重要关系7",LEFT('幕间与结算'!H1042,8)="建立新的重要关系"),'幕间与结算'!E1042+E1135,BW1134+IF(C1135="重要关系7",E1135,0)+IF(AND(C1135="魅力",E1135&lt;0),E1135,0))))</x:f>
        <x:v>0</x:v>
      </x:c>
    </x:row>
    <x:row r="1136">
      <x:c r="A1136" t="str">
        <x:f>IFERROR(TEXT(VALUE('幕间与结算'!A1043),"00"),"")</x:f>
        <x:v>00</x:v>
      </x:c>
      <x:c r="B1136">
        <x:f>'幕间与结算'!B1043</x:f>
        <x:v>0</x:v>
      </x:c>
      <x:c r="C1136">
        <x:f>'幕间与结算'!D1043</x:f>
        <x:v>0</x:v>
      </x:c>
      <x:c r="D1136">
        <x:f>'幕间与结算'!F1043</x:f>
        <x:v>0</x:v>
      </x:c>
      <x:c r="E1136">
        <x:f>IF(H1136=1,MAX(-'幕间与结算'!E1043,MIN(D1136,IF(LEFT(C1136,3)="技能：",99,IF(COUNTIF($L$2:$L$7,C1136)&gt;0,18,999))-'幕间与结算'!E1043)),0)</x:f>
        <x:v>0</x:v>
      </x:c>
      <x:c r="F1136" t="str">
        <x:f>IF(C1136=0,"",IF(G1136=0,"记录不完整",IF(H1136=0,"重复未计","已计入")))</x:f>
        <x:v/>
      </x:c>
      <x:c r="G1136">
        <x:f>IF(AND(AND('幕间与结算'!A1043&lt;&gt;"",'幕间与结算'!B1043&lt;&gt;"",'幕间与结算'!I1043&lt;&gt;"",OR(LEFT(C1136,3)="技能：",COUNTIF($L$2:$L$19,C1136)&gt;0),ISNUMBER('幕间与结算'!E1043),ISNUMBER('幕间与结算'!F1043),ISNUMBER('幕间与结算'!G1043),'幕间与结算'!E1043&gt;=0,'幕间与结算'!G1043='幕间与结算'!E1043+'幕间与结算'!F1043),OR(B1136&lt;&gt;"成长",AND(LEFT(C1136,3)="技能：",C1136&lt;&gt;"技能：非自然知识",'幕间与结算'!E1043&gt;=1,'幕间与结算'!E1043&lt;=99,'幕间与结算'!F1043&gt;=0,'幕间与结算'!F1043&lt;=4,'幕间与结算'!G1043&lt;=99))),1,0)</x:f>
        <x:v>0</x:v>
      </x:c>
      <x:c r="H1136">
        <x:f>IF(AND(G1136=1,COUNTIFS($I$200:I1136,I1136,$G$200:G1136,1)=1),1,0)</x:f>
        <x:v>0</x:v>
      </x:c>
      <x:c r="I1136" t="str">
        <x:f>IF(G1136=1,IF(B1136="成长",A1136&amp;"-成长-"&amp;C1136,'幕间与结算'!I1043),"")</x:f>
        <x:v/>
      </x:c>
      <x:c r="BF1136">
        <x:f>MAX(0,MIN(18,BF1135+IF(C1136="力量",E1136,0)))</x:f>
        <x:v>0</x:v>
      </x:c>
      <x:c r="BG1136">
        <x:f>MAX(0,MIN(18,BG1135+IF(C1136="体质",E1136,0)))</x:f>
        <x:v>0</x:v>
      </x:c>
      <x:c r="BH1136">
        <x:f>MAX(0,MIN(18,BH1135+IF(C1136="敏捷",E1136,0)))</x:f>
        <x:v>0</x:v>
      </x:c>
      <x:c r="BI1136">
        <x:f>MAX(0,MIN(18,BI1135+IF(C1136="智力",E1136,0)))</x:f>
        <x:v>0</x:v>
      </x:c>
      <x:c r="BJ1136">
        <x:f>MAX(0,MIN(18,BJ1135+IF(C1136="意志",E1136,0)))</x:f>
        <x:v>0</x:v>
      </x:c>
      <x:c r="BK1136">
        <x:f>MAX(0,MIN(18,BK1135+IF(C1136="魅力",E1136,0)))</x:f>
        <x:v>0</x:v>
      </x:c>
      <x:c r="BL1136">
        <x:f>MAX(0,MIN(99,BL1135+IF(C1136="技能：非自然知识",E1136,0)))</x:f>
        <x:v>0</x:v>
      </x:c>
      <x:c r="BM1136">
        <x:f>MAX(0,MIN(CEILING((BF1136+BG1136)/2,1),BM1135+IF(C1136="体力",E1136,0)))</x:f>
        <x:v>0</x:v>
      </x:c>
      <x:c r="BN1136">
        <x:f>MAX(0,MIN(BJ1136,BN1135+IF(C1136="毅力",E1136,0)))</x:f>
        <x:v>0</x:v>
      </x:c>
      <x:c r="BO1136">
        <x:f>MAX(0,MIN(99-BL1136,BO1135+IF(C1136="理智",E1136,0)))</x:f>
        <x:v>0</x:v>
      </x:c>
      <x:c r="BP1136">
        <x:f>MAX(0,MIN(99,BP1135+IF(C1136="崩溃点",E1136,0)))</x:f>
        <x:v>0</x:v>
      </x:c>
      <x:c r="BQ1136">
        <x:f>MAX(0,MIN(BK1136,IF(AND(H1136=1,C1136="重要关系1",LEFT('幕间与结算'!H1043,8)="建立新的重要关系"),'幕间与结算'!E1043+E1136,BQ1135+IF(C1136="重要关系1",E1136,0)+IF(AND(C1136="魅力",E1136&lt;0),E1136,0))))</x:f>
        <x:v>0</x:v>
      </x:c>
      <x:c r="BR1136">
        <x:f>MAX(0,MIN(BK1136,IF(AND(H1136=1,C1136="重要关系2",LEFT('幕间与结算'!H1043,8)="建立新的重要关系"),'幕间与结算'!E1043+E1136,BR1135+IF(C1136="重要关系2",E1136,0)+IF(AND(C1136="魅力",E1136&lt;0),E1136,0))))</x:f>
        <x:v>0</x:v>
      </x:c>
      <x:c r="BS1136">
        <x:f>MAX(0,MIN(BK1136,IF(AND(H1136=1,C1136="重要关系3",LEFT('幕间与结算'!H1043,8)="建立新的重要关系"),'幕间与结算'!E1043+E1136,BS1135+IF(C1136="重要关系3",E1136,0)+IF(AND(C1136="魅力",E1136&lt;0),E1136,0))))</x:f>
        <x:v>0</x:v>
      </x:c>
      <x:c r="BT1136">
        <x:f>MAX(0,MIN(BK1136,IF(AND(H1136=1,C1136="重要关系4",LEFT('幕间与结算'!H1043,8)="建立新的重要关系"),'幕间与结算'!E1043+E1136,BT1135+IF(C1136="重要关系4",E1136,0)+IF(AND(C1136="魅力",E1136&lt;0),E1136,0))))</x:f>
        <x:v>0</x:v>
      </x:c>
      <x:c r="BU1136">
        <x:f>MAX(0,MIN(BK1136,IF(AND(H1136=1,C1136="重要关系5",LEFT('幕间与结算'!H1043,8)="建立新的重要关系"),'幕间与结算'!E1043+E1136,BU1135+IF(C1136="重要关系5",E1136,0)+IF(AND(C1136="魅力",E1136&lt;0),E1136,0))))</x:f>
        <x:v>0</x:v>
      </x:c>
      <x:c r="BV1136">
        <x:f>MAX(0,MIN(BK1136,IF(AND(H1136=1,C1136="重要关系6",LEFT('幕间与结算'!H1043,8)="建立新的重要关系"),'幕间与结算'!E1043+E1136,BV1135+IF(C1136="重要关系6",E1136,0)+IF(AND(C1136="魅力",E1136&lt;0),E1136,0))))</x:f>
        <x:v>0</x:v>
      </x:c>
      <x:c r="BW1136">
        <x:f>MAX(0,MIN(BK1136,IF(AND(H1136=1,C1136="重要关系7",LEFT('幕间与结算'!H1043,8)="建立新的重要关系"),'幕间与结算'!E1043+E1136,BW1135+IF(C1136="重要关系7",E1136,0)+IF(AND(C1136="魅力",E1136&lt;0),E1136,0))))</x:f>
        <x:v>0</x:v>
      </x:c>
    </x:row>
    <x:row r="1137">
      <x:c r="A1137" t="str">
        <x:f>IFERROR(TEXT(VALUE('幕间与结算'!A1044),"00"),"")</x:f>
        <x:v>00</x:v>
      </x:c>
      <x:c r="B1137">
        <x:f>'幕间与结算'!B1044</x:f>
        <x:v>0</x:v>
      </x:c>
      <x:c r="C1137">
        <x:f>'幕间与结算'!D1044</x:f>
        <x:v>0</x:v>
      </x:c>
      <x:c r="D1137">
        <x:f>'幕间与结算'!F1044</x:f>
        <x:v>0</x:v>
      </x:c>
      <x:c r="E1137">
        <x:f>IF(H1137=1,MAX(-'幕间与结算'!E1044,MIN(D1137,IF(LEFT(C1137,3)="技能：",99,IF(COUNTIF($L$2:$L$7,C1137)&gt;0,18,999))-'幕间与结算'!E1044)),0)</x:f>
        <x:v>0</x:v>
      </x:c>
      <x:c r="F1137" t="str">
        <x:f>IF(C1137=0,"",IF(G1137=0,"记录不完整",IF(H1137=0,"重复未计","已计入")))</x:f>
        <x:v/>
      </x:c>
      <x:c r="G1137">
        <x:f>IF(AND(AND('幕间与结算'!A1044&lt;&gt;"",'幕间与结算'!B1044&lt;&gt;"",'幕间与结算'!I1044&lt;&gt;"",OR(LEFT(C1137,3)="技能：",COUNTIF($L$2:$L$19,C1137)&gt;0),ISNUMBER('幕间与结算'!E1044),ISNUMBER('幕间与结算'!F1044),ISNUMBER('幕间与结算'!G1044),'幕间与结算'!E1044&gt;=0,'幕间与结算'!G1044='幕间与结算'!E1044+'幕间与结算'!F1044),OR(B1137&lt;&gt;"成长",AND(LEFT(C1137,3)="技能：",C1137&lt;&gt;"技能：非自然知识",'幕间与结算'!E1044&gt;=1,'幕间与结算'!E1044&lt;=99,'幕间与结算'!F1044&gt;=0,'幕间与结算'!F1044&lt;=4,'幕间与结算'!G1044&lt;=99))),1,0)</x:f>
        <x:v>0</x:v>
      </x:c>
      <x:c r="H1137">
        <x:f>IF(AND(G1137=1,COUNTIFS($I$200:I1137,I1137,$G$200:G1137,1)=1),1,0)</x:f>
        <x:v>0</x:v>
      </x:c>
      <x:c r="I1137" t="str">
        <x:f>IF(G1137=1,IF(B1137="成长",A1137&amp;"-成长-"&amp;C1137,'幕间与结算'!I1044),"")</x:f>
        <x:v/>
      </x:c>
      <x:c r="BF1137">
        <x:f>MAX(0,MIN(18,BF1136+IF(C1137="力量",E1137,0)))</x:f>
        <x:v>0</x:v>
      </x:c>
      <x:c r="BG1137">
        <x:f>MAX(0,MIN(18,BG1136+IF(C1137="体质",E1137,0)))</x:f>
        <x:v>0</x:v>
      </x:c>
      <x:c r="BH1137">
        <x:f>MAX(0,MIN(18,BH1136+IF(C1137="敏捷",E1137,0)))</x:f>
        <x:v>0</x:v>
      </x:c>
      <x:c r="BI1137">
        <x:f>MAX(0,MIN(18,BI1136+IF(C1137="智力",E1137,0)))</x:f>
        <x:v>0</x:v>
      </x:c>
      <x:c r="BJ1137">
        <x:f>MAX(0,MIN(18,BJ1136+IF(C1137="意志",E1137,0)))</x:f>
        <x:v>0</x:v>
      </x:c>
      <x:c r="BK1137">
        <x:f>MAX(0,MIN(18,BK1136+IF(C1137="魅力",E1137,0)))</x:f>
        <x:v>0</x:v>
      </x:c>
      <x:c r="BL1137">
        <x:f>MAX(0,MIN(99,BL1136+IF(C1137="技能：非自然知识",E1137,0)))</x:f>
        <x:v>0</x:v>
      </x:c>
      <x:c r="BM1137">
        <x:f>MAX(0,MIN(CEILING((BF1137+BG1137)/2,1),BM1136+IF(C1137="体力",E1137,0)))</x:f>
        <x:v>0</x:v>
      </x:c>
      <x:c r="BN1137">
        <x:f>MAX(0,MIN(BJ1137,BN1136+IF(C1137="毅力",E1137,0)))</x:f>
        <x:v>0</x:v>
      </x:c>
      <x:c r="BO1137">
        <x:f>MAX(0,MIN(99-BL1137,BO1136+IF(C1137="理智",E1137,0)))</x:f>
        <x:v>0</x:v>
      </x:c>
      <x:c r="BP1137">
        <x:f>MAX(0,MIN(99,BP1136+IF(C1137="崩溃点",E1137,0)))</x:f>
        <x:v>0</x:v>
      </x:c>
      <x:c r="BQ1137">
        <x:f>MAX(0,MIN(BK1137,IF(AND(H1137=1,C1137="重要关系1",LEFT('幕间与结算'!H1044,8)="建立新的重要关系"),'幕间与结算'!E1044+E1137,BQ1136+IF(C1137="重要关系1",E1137,0)+IF(AND(C1137="魅力",E1137&lt;0),E1137,0))))</x:f>
        <x:v>0</x:v>
      </x:c>
      <x:c r="BR1137">
        <x:f>MAX(0,MIN(BK1137,IF(AND(H1137=1,C1137="重要关系2",LEFT('幕间与结算'!H1044,8)="建立新的重要关系"),'幕间与结算'!E1044+E1137,BR1136+IF(C1137="重要关系2",E1137,0)+IF(AND(C1137="魅力",E1137&lt;0),E1137,0))))</x:f>
        <x:v>0</x:v>
      </x:c>
      <x:c r="BS1137">
        <x:f>MAX(0,MIN(BK1137,IF(AND(H1137=1,C1137="重要关系3",LEFT('幕间与结算'!H1044,8)="建立新的重要关系"),'幕间与结算'!E1044+E1137,BS1136+IF(C1137="重要关系3",E1137,0)+IF(AND(C1137="魅力",E1137&lt;0),E1137,0))))</x:f>
        <x:v>0</x:v>
      </x:c>
      <x:c r="BT1137">
        <x:f>MAX(0,MIN(BK1137,IF(AND(H1137=1,C1137="重要关系4",LEFT('幕间与结算'!H1044,8)="建立新的重要关系"),'幕间与结算'!E1044+E1137,BT1136+IF(C1137="重要关系4",E1137,0)+IF(AND(C1137="魅力",E1137&lt;0),E1137,0))))</x:f>
        <x:v>0</x:v>
      </x:c>
      <x:c r="BU1137">
        <x:f>MAX(0,MIN(BK1137,IF(AND(H1137=1,C1137="重要关系5",LEFT('幕间与结算'!H1044,8)="建立新的重要关系"),'幕间与结算'!E1044+E1137,BU1136+IF(C1137="重要关系5",E1137,0)+IF(AND(C1137="魅力",E1137&lt;0),E1137,0))))</x:f>
        <x:v>0</x:v>
      </x:c>
      <x:c r="BV1137">
        <x:f>MAX(0,MIN(BK1137,IF(AND(H1137=1,C1137="重要关系6",LEFT('幕间与结算'!H1044,8)="建立新的重要关系"),'幕间与结算'!E1044+E1137,BV1136+IF(C1137="重要关系6",E1137,0)+IF(AND(C1137="魅力",E1137&lt;0),E1137,0))))</x:f>
        <x:v>0</x:v>
      </x:c>
      <x:c r="BW1137">
        <x:f>MAX(0,MIN(BK1137,IF(AND(H1137=1,C1137="重要关系7",LEFT('幕间与结算'!H1044,8)="建立新的重要关系"),'幕间与结算'!E1044+E1137,BW1136+IF(C1137="重要关系7",E1137,0)+IF(AND(C1137="魅力",E1137&lt;0),E1137,0))))</x:f>
        <x:v>0</x:v>
      </x:c>
    </x:row>
    <x:row r="1138">
      <x:c r="A1138" t="str">
        <x:f>IFERROR(TEXT(VALUE('幕间与结算'!A1045),"00"),"")</x:f>
        <x:v>00</x:v>
      </x:c>
      <x:c r="B1138">
        <x:f>'幕间与结算'!B1045</x:f>
        <x:v>0</x:v>
      </x:c>
      <x:c r="C1138">
        <x:f>'幕间与结算'!D1045</x:f>
        <x:v>0</x:v>
      </x:c>
      <x:c r="D1138">
        <x:f>'幕间与结算'!F1045</x:f>
        <x:v>0</x:v>
      </x:c>
      <x:c r="E1138">
        <x:f>IF(H1138=1,MAX(-'幕间与结算'!E1045,MIN(D1138,IF(LEFT(C1138,3)="技能：",99,IF(COUNTIF($L$2:$L$7,C1138)&gt;0,18,999))-'幕间与结算'!E1045)),0)</x:f>
        <x:v>0</x:v>
      </x:c>
      <x:c r="F1138" t="str">
        <x:f>IF(C1138=0,"",IF(G1138=0,"记录不完整",IF(H1138=0,"重复未计","已计入")))</x:f>
        <x:v/>
      </x:c>
      <x:c r="G1138">
        <x:f>IF(AND(AND('幕间与结算'!A1045&lt;&gt;"",'幕间与结算'!B1045&lt;&gt;"",'幕间与结算'!I1045&lt;&gt;"",OR(LEFT(C1138,3)="技能：",COUNTIF($L$2:$L$19,C1138)&gt;0),ISNUMBER('幕间与结算'!E1045),ISNUMBER('幕间与结算'!F1045),ISNUMBER('幕间与结算'!G1045),'幕间与结算'!E1045&gt;=0,'幕间与结算'!G1045='幕间与结算'!E1045+'幕间与结算'!F1045),OR(B1138&lt;&gt;"成长",AND(LEFT(C1138,3)="技能：",C1138&lt;&gt;"技能：非自然知识",'幕间与结算'!E1045&gt;=1,'幕间与结算'!E1045&lt;=99,'幕间与结算'!F1045&gt;=0,'幕间与结算'!F1045&lt;=4,'幕间与结算'!G1045&lt;=99))),1,0)</x:f>
        <x:v>0</x:v>
      </x:c>
      <x:c r="H1138">
        <x:f>IF(AND(G1138=1,COUNTIFS($I$200:I1138,I1138,$G$200:G1138,1)=1),1,0)</x:f>
        <x:v>0</x:v>
      </x:c>
      <x:c r="I1138" t="str">
        <x:f>IF(G1138=1,IF(B1138="成长",A1138&amp;"-成长-"&amp;C1138,'幕间与结算'!I1045),"")</x:f>
        <x:v/>
      </x:c>
      <x:c r="BF1138">
        <x:f>MAX(0,MIN(18,BF1137+IF(C1138="力量",E1138,0)))</x:f>
        <x:v>0</x:v>
      </x:c>
      <x:c r="BG1138">
        <x:f>MAX(0,MIN(18,BG1137+IF(C1138="体质",E1138,0)))</x:f>
        <x:v>0</x:v>
      </x:c>
      <x:c r="BH1138">
        <x:f>MAX(0,MIN(18,BH1137+IF(C1138="敏捷",E1138,0)))</x:f>
        <x:v>0</x:v>
      </x:c>
      <x:c r="BI1138">
        <x:f>MAX(0,MIN(18,BI1137+IF(C1138="智力",E1138,0)))</x:f>
        <x:v>0</x:v>
      </x:c>
      <x:c r="BJ1138">
        <x:f>MAX(0,MIN(18,BJ1137+IF(C1138="意志",E1138,0)))</x:f>
        <x:v>0</x:v>
      </x:c>
      <x:c r="BK1138">
        <x:f>MAX(0,MIN(18,BK1137+IF(C1138="魅力",E1138,0)))</x:f>
        <x:v>0</x:v>
      </x:c>
      <x:c r="BL1138">
        <x:f>MAX(0,MIN(99,BL1137+IF(C1138="技能：非自然知识",E1138,0)))</x:f>
        <x:v>0</x:v>
      </x:c>
      <x:c r="BM1138">
        <x:f>MAX(0,MIN(CEILING((BF1138+BG1138)/2,1),BM1137+IF(C1138="体力",E1138,0)))</x:f>
        <x:v>0</x:v>
      </x:c>
      <x:c r="BN1138">
        <x:f>MAX(0,MIN(BJ1138,BN1137+IF(C1138="毅力",E1138,0)))</x:f>
        <x:v>0</x:v>
      </x:c>
      <x:c r="BO1138">
        <x:f>MAX(0,MIN(99-BL1138,BO1137+IF(C1138="理智",E1138,0)))</x:f>
        <x:v>0</x:v>
      </x:c>
      <x:c r="BP1138">
        <x:f>MAX(0,MIN(99,BP1137+IF(C1138="崩溃点",E1138,0)))</x:f>
        <x:v>0</x:v>
      </x:c>
      <x:c r="BQ1138">
        <x:f>MAX(0,MIN(BK1138,IF(AND(H1138=1,C1138="重要关系1",LEFT('幕间与结算'!H1045,8)="建立新的重要关系"),'幕间与结算'!E1045+E1138,BQ1137+IF(C1138="重要关系1",E1138,0)+IF(AND(C1138="魅力",E1138&lt;0),E1138,0))))</x:f>
        <x:v>0</x:v>
      </x:c>
      <x:c r="BR1138">
        <x:f>MAX(0,MIN(BK1138,IF(AND(H1138=1,C1138="重要关系2",LEFT('幕间与结算'!H1045,8)="建立新的重要关系"),'幕间与结算'!E1045+E1138,BR1137+IF(C1138="重要关系2",E1138,0)+IF(AND(C1138="魅力",E1138&lt;0),E1138,0))))</x:f>
        <x:v>0</x:v>
      </x:c>
      <x:c r="BS1138">
        <x:f>MAX(0,MIN(BK1138,IF(AND(H1138=1,C1138="重要关系3",LEFT('幕间与结算'!H1045,8)="建立新的重要关系"),'幕间与结算'!E1045+E1138,BS1137+IF(C1138="重要关系3",E1138,0)+IF(AND(C1138="魅力",E1138&lt;0),E1138,0))))</x:f>
        <x:v>0</x:v>
      </x:c>
      <x:c r="BT1138">
        <x:f>MAX(0,MIN(BK1138,IF(AND(H1138=1,C1138="重要关系4",LEFT('幕间与结算'!H1045,8)="建立新的重要关系"),'幕间与结算'!E1045+E1138,BT1137+IF(C1138="重要关系4",E1138,0)+IF(AND(C1138="魅力",E1138&lt;0),E1138,0))))</x:f>
        <x:v>0</x:v>
      </x:c>
      <x:c r="BU1138">
        <x:f>MAX(0,MIN(BK1138,IF(AND(H1138=1,C1138="重要关系5",LEFT('幕间与结算'!H1045,8)="建立新的重要关系"),'幕间与结算'!E1045+E1138,BU1137+IF(C1138="重要关系5",E1138,0)+IF(AND(C1138="魅力",E1138&lt;0),E1138,0))))</x:f>
        <x:v>0</x:v>
      </x:c>
      <x:c r="BV1138">
        <x:f>MAX(0,MIN(BK1138,IF(AND(H1138=1,C1138="重要关系6",LEFT('幕间与结算'!H1045,8)="建立新的重要关系"),'幕间与结算'!E1045+E1138,BV1137+IF(C1138="重要关系6",E1138,0)+IF(AND(C1138="魅力",E1138&lt;0),E1138,0))))</x:f>
        <x:v>0</x:v>
      </x:c>
      <x:c r="BW1138">
        <x:f>MAX(0,MIN(BK1138,IF(AND(H1138=1,C1138="重要关系7",LEFT('幕间与结算'!H1045,8)="建立新的重要关系"),'幕间与结算'!E1045+E1138,BW1137+IF(C1138="重要关系7",E1138,0)+IF(AND(C1138="魅力",E1138&lt;0),E1138,0))))</x:f>
        <x:v>0</x:v>
      </x:c>
    </x:row>
    <x:row r="1139">
      <x:c r="A1139" t="str">
        <x:f>IFERROR(TEXT(VALUE('幕间与结算'!A1046),"00"),"")</x:f>
        <x:v>00</x:v>
      </x:c>
      <x:c r="B1139">
        <x:f>'幕间与结算'!B1046</x:f>
        <x:v>0</x:v>
      </x:c>
      <x:c r="C1139">
        <x:f>'幕间与结算'!D1046</x:f>
        <x:v>0</x:v>
      </x:c>
      <x:c r="D1139">
        <x:f>'幕间与结算'!F1046</x:f>
        <x:v>0</x:v>
      </x:c>
      <x:c r="E1139">
        <x:f>IF(H1139=1,MAX(-'幕间与结算'!E1046,MIN(D1139,IF(LEFT(C1139,3)="技能：",99,IF(COUNTIF($L$2:$L$7,C1139)&gt;0,18,999))-'幕间与结算'!E1046)),0)</x:f>
        <x:v>0</x:v>
      </x:c>
      <x:c r="F1139" t="str">
        <x:f>IF(C1139=0,"",IF(G1139=0,"记录不完整",IF(H1139=0,"重复未计","已计入")))</x:f>
        <x:v/>
      </x:c>
      <x:c r="G1139">
        <x:f>IF(AND(AND('幕间与结算'!A1046&lt;&gt;"",'幕间与结算'!B1046&lt;&gt;"",'幕间与结算'!I1046&lt;&gt;"",OR(LEFT(C1139,3)="技能：",COUNTIF($L$2:$L$19,C1139)&gt;0),ISNUMBER('幕间与结算'!E1046),ISNUMBER('幕间与结算'!F1046),ISNUMBER('幕间与结算'!G1046),'幕间与结算'!E1046&gt;=0,'幕间与结算'!G1046='幕间与结算'!E1046+'幕间与结算'!F1046),OR(B1139&lt;&gt;"成长",AND(LEFT(C1139,3)="技能：",C1139&lt;&gt;"技能：非自然知识",'幕间与结算'!E1046&gt;=1,'幕间与结算'!E1046&lt;=99,'幕间与结算'!F1046&gt;=0,'幕间与结算'!F1046&lt;=4,'幕间与结算'!G1046&lt;=99))),1,0)</x:f>
        <x:v>0</x:v>
      </x:c>
      <x:c r="H1139">
        <x:f>IF(AND(G1139=1,COUNTIFS($I$200:I1139,I1139,$G$200:G1139,1)=1),1,0)</x:f>
        <x:v>0</x:v>
      </x:c>
      <x:c r="I1139" t="str">
        <x:f>IF(G1139=1,IF(B1139="成长",A1139&amp;"-成长-"&amp;C1139,'幕间与结算'!I1046),"")</x:f>
        <x:v/>
      </x:c>
      <x:c r="BF1139">
        <x:f>MAX(0,MIN(18,BF1138+IF(C1139="力量",E1139,0)))</x:f>
        <x:v>0</x:v>
      </x:c>
      <x:c r="BG1139">
        <x:f>MAX(0,MIN(18,BG1138+IF(C1139="体质",E1139,0)))</x:f>
        <x:v>0</x:v>
      </x:c>
      <x:c r="BH1139">
        <x:f>MAX(0,MIN(18,BH1138+IF(C1139="敏捷",E1139,0)))</x:f>
        <x:v>0</x:v>
      </x:c>
      <x:c r="BI1139">
        <x:f>MAX(0,MIN(18,BI1138+IF(C1139="智力",E1139,0)))</x:f>
        <x:v>0</x:v>
      </x:c>
      <x:c r="BJ1139">
        <x:f>MAX(0,MIN(18,BJ1138+IF(C1139="意志",E1139,0)))</x:f>
        <x:v>0</x:v>
      </x:c>
      <x:c r="BK1139">
        <x:f>MAX(0,MIN(18,BK1138+IF(C1139="魅力",E1139,0)))</x:f>
        <x:v>0</x:v>
      </x:c>
      <x:c r="BL1139">
        <x:f>MAX(0,MIN(99,BL1138+IF(C1139="技能：非自然知识",E1139,0)))</x:f>
        <x:v>0</x:v>
      </x:c>
      <x:c r="BM1139">
        <x:f>MAX(0,MIN(CEILING((BF1139+BG1139)/2,1),BM1138+IF(C1139="体力",E1139,0)))</x:f>
        <x:v>0</x:v>
      </x:c>
      <x:c r="BN1139">
        <x:f>MAX(0,MIN(BJ1139,BN1138+IF(C1139="毅力",E1139,0)))</x:f>
        <x:v>0</x:v>
      </x:c>
      <x:c r="BO1139">
        <x:f>MAX(0,MIN(99-BL1139,BO1138+IF(C1139="理智",E1139,0)))</x:f>
        <x:v>0</x:v>
      </x:c>
      <x:c r="BP1139">
        <x:f>MAX(0,MIN(99,BP1138+IF(C1139="崩溃点",E1139,0)))</x:f>
        <x:v>0</x:v>
      </x:c>
      <x:c r="BQ1139">
        <x:f>MAX(0,MIN(BK1139,IF(AND(H1139=1,C1139="重要关系1",LEFT('幕间与结算'!H1046,8)="建立新的重要关系"),'幕间与结算'!E1046+E1139,BQ1138+IF(C1139="重要关系1",E1139,0)+IF(AND(C1139="魅力",E1139&lt;0),E1139,0))))</x:f>
        <x:v>0</x:v>
      </x:c>
      <x:c r="BR1139">
        <x:f>MAX(0,MIN(BK1139,IF(AND(H1139=1,C1139="重要关系2",LEFT('幕间与结算'!H1046,8)="建立新的重要关系"),'幕间与结算'!E1046+E1139,BR1138+IF(C1139="重要关系2",E1139,0)+IF(AND(C1139="魅力",E1139&lt;0),E1139,0))))</x:f>
        <x:v>0</x:v>
      </x:c>
      <x:c r="BS1139">
        <x:f>MAX(0,MIN(BK1139,IF(AND(H1139=1,C1139="重要关系3",LEFT('幕间与结算'!H1046,8)="建立新的重要关系"),'幕间与结算'!E1046+E1139,BS1138+IF(C1139="重要关系3",E1139,0)+IF(AND(C1139="魅力",E1139&lt;0),E1139,0))))</x:f>
        <x:v>0</x:v>
      </x:c>
      <x:c r="BT1139">
        <x:f>MAX(0,MIN(BK1139,IF(AND(H1139=1,C1139="重要关系4",LEFT('幕间与结算'!H1046,8)="建立新的重要关系"),'幕间与结算'!E1046+E1139,BT1138+IF(C1139="重要关系4",E1139,0)+IF(AND(C1139="魅力",E1139&lt;0),E1139,0))))</x:f>
        <x:v>0</x:v>
      </x:c>
      <x:c r="BU1139">
        <x:f>MAX(0,MIN(BK1139,IF(AND(H1139=1,C1139="重要关系5",LEFT('幕间与结算'!H1046,8)="建立新的重要关系"),'幕间与结算'!E1046+E1139,BU1138+IF(C1139="重要关系5",E1139,0)+IF(AND(C1139="魅力",E1139&lt;0),E1139,0))))</x:f>
        <x:v>0</x:v>
      </x:c>
      <x:c r="BV1139">
        <x:f>MAX(0,MIN(BK1139,IF(AND(H1139=1,C1139="重要关系6",LEFT('幕间与结算'!H1046,8)="建立新的重要关系"),'幕间与结算'!E1046+E1139,BV1138+IF(C1139="重要关系6",E1139,0)+IF(AND(C1139="魅力",E1139&lt;0),E1139,0))))</x:f>
        <x:v>0</x:v>
      </x:c>
      <x:c r="BW1139">
        <x:f>MAX(0,MIN(BK1139,IF(AND(H1139=1,C1139="重要关系7",LEFT('幕间与结算'!H1046,8)="建立新的重要关系"),'幕间与结算'!E1046+E1139,BW1138+IF(C1139="重要关系7",E1139,0)+IF(AND(C1139="魅力",E1139&lt;0),E1139,0))))</x:f>
        <x:v>0</x:v>
      </x:c>
    </x:row>
    <x:row r="1140">
      <x:c r="A1140" t="str">
        <x:f>IFERROR(TEXT(VALUE('幕间与结算'!A1047),"00"),"")</x:f>
        <x:v>00</x:v>
      </x:c>
      <x:c r="B1140">
        <x:f>'幕间与结算'!B1047</x:f>
        <x:v>0</x:v>
      </x:c>
      <x:c r="C1140">
        <x:f>'幕间与结算'!D1047</x:f>
        <x:v>0</x:v>
      </x:c>
      <x:c r="D1140">
        <x:f>'幕间与结算'!F1047</x:f>
        <x:v>0</x:v>
      </x:c>
      <x:c r="E1140">
        <x:f>IF(H1140=1,MAX(-'幕间与结算'!E1047,MIN(D1140,IF(LEFT(C1140,3)="技能：",99,IF(COUNTIF($L$2:$L$7,C1140)&gt;0,18,999))-'幕间与结算'!E1047)),0)</x:f>
        <x:v>0</x:v>
      </x:c>
      <x:c r="F1140" t="str">
        <x:f>IF(C1140=0,"",IF(G1140=0,"记录不完整",IF(H1140=0,"重复未计","已计入")))</x:f>
        <x:v/>
      </x:c>
      <x:c r="G1140">
        <x:f>IF(AND(AND('幕间与结算'!A1047&lt;&gt;"",'幕间与结算'!B1047&lt;&gt;"",'幕间与结算'!I1047&lt;&gt;"",OR(LEFT(C1140,3)="技能：",COUNTIF($L$2:$L$19,C1140)&gt;0),ISNUMBER('幕间与结算'!E1047),ISNUMBER('幕间与结算'!F1047),ISNUMBER('幕间与结算'!G1047),'幕间与结算'!E1047&gt;=0,'幕间与结算'!G1047='幕间与结算'!E1047+'幕间与结算'!F1047),OR(B1140&lt;&gt;"成长",AND(LEFT(C1140,3)="技能：",C1140&lt;&gt;"技能：非自然知识",'幕间与结算'!E1047&gt;=1,'幕间与结算'!E1047&lt;=99,'幕间与结算'!F1047&gt;=0,'幕间与结算'!F1047&lt;=4,'幕间与结算'!G1047&lt;=99))),1,0)</x:f>
        <x:v>0</x:v>
      </x:c>
      <x:c r="H1140">
        <x:f>IF(AND(G1140=1,COUNTIFS($I$200:I1140,I1140,$G$200:G1140,1)=1),1,0)</x:f>
        <x:v>0</x:v>
      </x:c>
      <x:c r="I1140" t="str">
        <x:f>IF(G1140=1,IF(B1140="成长",A1140&amp;"-成长-"&amp;C1140,'幕间与结算'!I1047),"")</x:f>
        <x:v/>
      </x:c>
      <x:c r="BF1140">
        <x:f>MAX(0,MIN(18,BF1139+IF(C1140="力量",E1140,0)))</x:f>
        <x:v>0</x:v>
      </x:c>
      <x:c r="BG1140">
        <x:f>MAX(0,MIN(18,BG1139+IF(C1140="体质",E1140,0)))</x:f>
        <x:v>0</x:v>
      </x:c>
      <x:c r="BH1140">
        <x:f>MAX(0,MIN(18,BH1139+IF(C1140="敏捷",E1140,0)))</x:f>
        <x:v>0</x:v>
      </x:c>
      <x:c r="BI1140">
        <x:f>MAX(0,MIN(18,BI1139+IF(C1140="智力",E1140,0)))</x:f>
        <x:v>0</x:v>
      </x:c>
      <x:c r="BJ1140">
        <x:f>MAX(0,MIN(18,BJ1139+IF(C1140="意志",E1140,0)))</x:f>
        <x:v>0</x:v>
      </x:c>
      <x:c r="BK1140">
        <x:f>MAX(0,MIN(18,BK1139+IF(C1140="魅力",E1140,0)))</x:f>
        <x:v>0</x:v>
      </x:c>
      <x:c r="BL1140">
        <x:f>MAX(0,MIN(99,BL1139+IF(C1140="技能：非自然知识",E1140,0)))</x:f>
        <x:v>0</x:v>
      </x:c>
      <x:c r="BM1140">
        <x:f>MAX(0,MIN(CEILING((BF1140+BG1140)/2,1),BM1139+IF(C1140="体力",E1140,0)))</x:f>
        <x:v>0</x:v>
      </x:c>
      <x:c r="BN1140">
        <x:f>MAX(0,MIN(BJ1140,BN1139+IF(C1140="毅力",E1140,0)))</x:f>
        <x:v>0</x:v>
      </x:c>
      <x:c r="BO1140">
        <x:f>MAX(0,MIN(99-BL1140,BO1139+IF(C1140="理智",E1140,0)))</x:f>
        <x:v>0</x:v>
      </x:c>
      <x:c r="BP1140">
        <x:f>MAX(0,MIN(99,BP1139+IF(C1140="崩溃点",E1140,0)))</x:f>
        <x:v>0</x:v>
      </x:c>
      <x:c r="BQ1140">
        <x:f>MAX(0,MIN(BK1140,IF(AND(H1140=1,C1140="重要关系1",LEFT('幕间与结算'!H1047,8)="建立新的重要关系"),'幕间与结算'!E1047+E1140,BQ1139+IF(C1140="重要关系1",E1140,0)+IF(AND(C1140="魅力",E1140&lt;0),E1140,0))))</x:f>
        <x:v>0</x:v>
      </x:c>
      <x:c r="BR1140">
        <x:f>MAX(0,MIN(BK1140,IF(AND(H1140=1,C1140="重要关系2",LEFT('幕间与结算'!H1047,8)="建立新的重要关系"),'幕间与结算'!E1047+E1140,BR1139+IF(C1140="重要关系2",E1140,0)+IF(AND(C1140="魅力",E1140&lt;0),E1140,0))))</x:f>
        <x:v>0</x:v>
      </x:c>
      <x:c r="BS1140">
        <x:f>MAX(0,MIN(BK1140,IF(AND(H1140=1,C1140="重要关系3",LEFT('幕间与结算'!H1047,8)="建立新的重要关系"),'幕间与结算'!E1047+E1140,BS1139+IF(C1140="重要关系3",E1140,0)+IF(AND(C1140="魅力",E1140&lt;0),E1140,0))))</x:f>
        <x:v>0</x:v>
      </x:c>
      <x:c r="BT1140">
        <x:f>MAX(0,MIN(BK1140,IF(AND(H1140=1,C1140="重要关系4",LEFT('幕间与结算'!H1047,8)="建立新的重要关系"),'幕间与结算'!E1047+E1140,BT1139+IF(C1140="重要关系4",E1140,0)+IF(AND(C1140="魅力",E1140&lt;0),E1140,0))))</x:f>
        <x:v>0</x:v>
      </x:c>
      <x:c r="BU1140">
        <x:f>MAX(0,MIN(BK1140,IF(AND(H1140=1,C1140="重要关系5",LEFT('幕间与结算'!H1047,8)="建立新的重要关系"),'幕间与结算'!E1047+E1140,BU1139+IF(C1140="重要关系5",E1140,0)+IF(AND(C1140="魅力",E1140&lt;0),E1140,0))))</x:f>
        <x:v>0</x:v>
      </x:c>
      <x:c r="BV1140">
        <x:f>MAX(0,MIN(BK1140,IF(AND(H1140=1,C1140="重要关系6",LEFT('幕间与结算'!H1047,8)="建立新的重要关系"),'幕间与结算'!E1047+E1140,BV1139+IF(C1140="重要关系6",E1140,0)+IF(AND(C1140="魅力",E1140&lt;0),E1140,0))))</x:f>
        <x:v>0</x:v>
      </x:c>
      <x:c r="BW1140">
        <x:f>MAX(0,MIN(BK1140,IF(AND(H1140=1,C1140="重要关系7",LEFT('幕间与结算'!H1047,8)="建立新的重要关系"),'幕间与结算'!E1047+E1140,BW1139+IF(C1140="重要关系7",E1140,0)+IF(AND(C1140="魅力",E1140&lt;0),E1140,0))))</x:f>
        <x:v>0</x:v>
      </x:c>
    </x:row>
    <x:row r="1141">
      <x:c r="A1141" t="str">
        <x:f>IFERROR(TEXT(VALUE('幕间与结算'!A1048),"00"),"")</x:f>
        <x:v>00</x:v>
      </x:c>
      <x:c r="B1141">
        <x:f>'幕间与结算'!B1048</x:f>
        <x:v>0</x:v>
      </x:c>
      <x:c r="C1141">
        <x:f>'幕间与结算'!D1048</x:f>
        <x:v>0</x:v>
      </x:c>
      <x:c r="D1141">
        <x:f>'幕间与结算'!F1048</x:f>
        <x:v>0</x:v>
      </x:c>
      <x:c r="E1141">
        <x:f>IF(H1141=1,MAX(-'幕间与结算'!E1048,MIN(D1141,IF(LEFT(C1141,3)="技能：",99,IF(COUNTIF($L$2:$L$7,C1141)&gt;0,18,999))-'幕间与结算'!E1048)),0)</x:f>
        <x:v>0</x:v>
      </x:c>
      <x:c r="F1141" t="str">
        <x:f>IF(C1141=0,"",IF(G1141=0,"记录不完整",IF(H1141=0,"重复未计","已计入")))</x:f>
        <x:v/>
      </x:c>
      <x:c r="G1141">
        <x:f>IF(AND(AND('幕间与结算'!A1048&lt;&gt;"",'幕间与结算'!B1048&lt;&gt;"",'幕间与结算'!I1048&lt;&gt;"",OR(LEFT(C1141,3)="技能：",COUNTIF($L$2:$L$19,C1141)&gt;0),ISNUMBER('幕间与结算'!E1048),ISNUMBER('幕间与结算'!F1048),ISNUMBER('幕间与结算'!G1048),'幕间与结算'!E1048&gt;=0,'幕间与结算'!G1048='幕间与结算'!E1048+'幕间与结算'!F1048),OR(B1141&lt;&gt;"成长",AND(LEFT(C1141,3)="技能：",C1141&lt;&gt;"技能：非自然知识",'幕间与结算'!E1048&gt;=1,'幕间与结算'!E1048&lt;=99,'幕间与结算'!F1048&gt;=0,'幕间与结算'!F1048&lt;=4,'幕间与结算'!G1048&lt;=99))),1,0)</x:f>
        <x:v>0</x:v>
      </x:c>
      <x:c r="H1141">
        <x:f>IF(AND(G1141=1,COUNTIFS($I$200:I1141,I1141,$G$200:G1141,1)=1),1,0)</x:f>
        <x:v>0</x:v>
      </x:c>
      <x:c r="I1141" t="str">
        <x:f>IF(G1141=1,IF(B1141="成长",A1141&amp;"-成长-"&amp;C1141,'幕间与结算'!I1048),"")</x:f>
        <x:v/>
      </x:c>
      <x:c r="BF1141">
        <x:f>MAX(0,MIN(18,BF1140+IF(C1141="力量",E1141,0)))</x:f>
        <x:v>0</x:v>
      </x:c>
      <x:c r="BG1141">
        <x:f>MAX(0,MIN(18,BG1140+IF(C1141="体质",E1141,0)))</x:f>
        <x:v>0</x:v>
      </x:c>
      <x:c r="BH1141">
        <x:f>MAX(0,MIN(18,BH1140+IF(C1141="敏捷",E1141,0)))</x:f>
        <x:v>0</x:v>
      </x:c>
      <x:c r="BI1141">
        <x:f>MAX(0,MIN(18,BI1140+IF(C1141="智力",E1141,0)))</x:f>
        <x:v>0</x:v>
      </x:c>
      <x:c r="BJ1141">
        <x:f>MAX(0,MIN(18,BJ1140+IF(C1141="意志",E1141,0)))</x:f>
        <x:v>0</x:v>
      </x:c>
      <x:c r="BK1141">
        <x:f>MAX(0,MIN(18,BK1140+IF(C1141="魅力",E1141,0)))</x:f>
        <x:v>0</x:v>
      </x:c>
      <x:c r="BL1141">
        <x:f>MAX(0,MIN(99,BL1140+IF(C1141="技能：非自然知识",E1141,0)))</x:f>
        <x:v>0</x:v>
      </x:c>
      <x:c r="BM1141">
        <x:f>MAX(0,MIN(CEILING((BF1141+BG1141)/2,1),BM1140+IF(C1141="体力",E1141,0)))</x:f>
        <x:v>0</x:v>
      </x:c>
      <x:c r="BN1141">
        <x:f>MAX(0,MIN(BJ1141,BN1140+IF(C1141="毅力",E1141,0)))</x:f>
        <x:v>0</x:v>
      </x:c>
      <x:c r="BO1141">
        <x:f>MAX(0,MIN(99-BL1141,BO1140+IF(C1141="理智",E1141,0)))</x:f>
        <x:v>0</x:v>
      </x:c>
      <x:c r="BP1141">
        <x:f>MAX(0,MIN(99,BP1140+IF(C1141="崩溃点",E1141,0)))</x:f>
        <x:v>0</x:v>
      </x:c>
      <x:c r="BQ1141">
        <x:f>MAX(0,MIN(BK1141,IF(AND(H1141=1,C1141="重要关系1",LEFT('幕间与结算'!H1048,8)="建立新的重要关系"),'幕间与结算'!E1048+E1141,BQ1140+IF(C1141="重要关系1",E1141,0)+IF(AND(C1141="魅力",E1141&lt;0),E1141,0))))</x:f>
        <x:v>0</x:v>
      </x:c>
      <x:c r="BR1141">
        <x:f>MAX(0,MIN(BK1141,IF(AND(H1141=1,C1141="重要关系2",LEFT('幕间与结算'!H1048,8)="建立新的重要关系"),'幕间与结算'!E1048+E1141,BR1140+IF(C1141="重要关系2",E1141,0)+IF(AND(C1141="魅力",E1141&lt;0),E1141,0))))</x:f>
        <x:v>0</x:v>
      </x:c>
      <x:c r="BS1141">
        <x:f>MAX(0,MIN(BK1141,IF(AND(H1141=1,C1141="重要关系3",LEFT('幕间与结算'!H1048,8)="建立新的重要关系"),'幕间与结算'!E1048+E1141,BS1140+IF(C1141="重要关系3",E1141,0)+IF(AND(C1141="魅力",E1141&lt;0),E1141,0))))</x:f>
        <x:v>0</x:v>
      </x:c>
      <x:c r="BT1141">
        <x:f>MAX(0,MIN(BK1141,IF(AND(H1141=1,C1141="重要关系4",LEFT('幕间与结算'!H1048,8)="建立新的重要关系"),'幕间与结算'!E1048+E1141,BT1140+IF(C1141="重要关系4",E1141,0)+IF(AND(C1141="魅力",E1141&lt;0),E1141,0))))</x:f>
        <x:v>0</x:v>
      </x:c>
      <x:c r="BU1141">
        <x:f>MAX(0,MIN(BK1141,IF(AND(H1141=1,C1141="重要关系5",LEFT('幕间与结算'!H1048,8)="建立新的重要关系"),'幕间与结算'!E1048+E1141,BU1140+IF(C1141="重要关系5",E1141,0)+IF(AND(C1141="魅力",E1141&lt;0),E1141,0))))</x:f>
        <x:v>0</x:v>
      </x:c>
      <x:c r="BV1141">
        <x:f>MAX(0,MIN(BK1141,IF(AND(H1141=1,C1141="重要关系6",LEFT('幕间与结算'!H1048,8)="建立新的重要关系"),'幕间与结算'!E1048+E1141,BV1140+IF(C1141="重要关系6",E1141,0)+IF(AND(C1141="魅力",E1141&lt;0),E1141,0))))</x:f>
        <x:v>0</x:v>
      </x:c>
      <x:c r="BW1141">
        <x:f>MAX(0,MIN(BK1141,IF(AND(H1141=1,C1141="重要关系7",LEFT('幕间与结算'!H1048,8)="建立新的重要关系"),'幕间与结算'!E1048+E1141,BW1140+IF(C1141="重要关系7",E1141,0)+IF(AND(C1141="魅力",E1141&lt;0),E1141,0))))</x:f>
        <x:v>0</x:v>
      </x:c>
    </x:row>
    <x:row r="1142">
      <x:c r="A1142" t="str">
        <x:f>IFERROR(TEXT(VALUE('幕间与结算'!A1049),"00"),"")</x:f>
        <x:v>00</x:v>
      </x:c>
      <x:c r="B1142">
        <x:f>'幕间与结算'!B1049</x:f>
        <x:v>0</x:v>
      </x:c>
      <x:c r="C1142">
        <x:f>'幕间与结算'!D1049</x:f>
        <x:v>0</x:v>
      </x:c>
      <x:c r="D1142">
        <x:f>'幕间与结算'!F1049</x:f>
        <x:v>0</x:v>
      </x:c>
      <x:c r="E1142">
        <x:f>IF(H1142=1,MAX(-'幕间与结算'!E1049,MIN(D1142,IF(LEFT(C1142,3)="技能：",99,IF(COUNTIF($L$2:$L$7,C1142)&gt;0,18,999))-'幕间与结算'!E1049)),0)</x:f>
        <x:v>0</x:v>
      </x:c>
      <x:c r="F1142" t="str">
        <x:f>IF(C1142=0,"",IF(G1142=0,"记录不完整",IF(H1142=0,"重复未计","已计入")))</x:f>
        <x:v/>
      </x:c>
      <x:c r="G1142">
        <x:f>IF(AND(AND('幕间与结算'!A1049&lt;&gt;"",'幕间与结算'!B1049&lt;&gt;"",'幕间与结算'!I1049&lt;&gt;"",OR(LEFT(C1142,3)="技能：",COUNTIF($L$2:$L$19,C1142)&gt;0),ISNUMBER('幕间与结算'!E1049),ISNUMBER('幕间与结算'!F1049),ISNUMBER('幕间与结算'!G1049),'幕间与结算'!E1049&gt;=0,'幕间与结算'!G1049='幕间与结算'!E1049+'幕间与结算'!F1049),OR(B1142&lt;&gt;"成长",AND(LEFT(C1142,3)="技能：",C1142&lt;&gt;"技能：非自然知识",'幕间与结算'!E1049&gt;=1,'幕间与结算'!E1049&lt;=99,'幕间与结算'!F1049&gt;=0,'幕间与结算'!F1049&lt;=4,'幕间与结算'!G1049&lt;=99))),1,0)</x:f>
        <x:v>0</x:v>
      </x:c>
      <x:c r="H1142">
        <x:f>IF(AND(G1142=1,COUNTIFS($I$200:I1142,I1142,$G$200:G1142,1)=1),1,0)</x:f>
        <x:v>0</x:v>
      </x:c>
      <x:c r="I1142" t="str">
        <x:f>IF(G1142=1,IF(B1142="成长",A1142&amp;"-成长-"&amp;C1142,'幕间与结算'!I1049),"")</x:f>
        <x:v/>
      </x:c>
      <x:c r="BF1142">
        <x:f>MAX(0,MIN(18,BF1141+IF(C1142="力量",E1142,0)))</x:f>
        <x:v>0</x:v>
      </x:c>
      <x:c r="BG1142">
        <x:f>MAX(0,MIN(18,BG1141+IF(C1142="体质",E1142,0)))</x:f>
        <x:v>0</x:v>
      </x:c>
      <x:c r="BH1142">
        <x:f>MAX(0,MIN(18,BH1141+IF(C1142="敏捷",E1142,0)))</x:f>
        <x:v>0</x:v>
      </x:c>
      <x:c r="BI1142">
        <x:f>MAX(0,MIN(18,BI1141+IF(C1142="智力",E1142,0)))</x:f>
        <x:v>0</x:v>
      </x:c>
      <x:c r="BJ1142">
        <x:f>MAX(0,MIN(18,BJ1141+IF(C1142="意志",E1142,0)))</x:f>
        <x:v>0</x:v>
      </x:c>
      <x:c r="BK1142">
        <x:f>MAX(0,MIN(18,BK1141+IF(C1142="魅力",E1142,0)))</x:f>
        <x:v>0</x:v>
      </x:c>
      <x:c r="BL1142">
        <x:f>MAX(0,MIN(99,BL1141+IF(C1142="技能：非自然知识",E1142,0)))</x:f>
        <x:v>0</x:v>
      </x:c>
      <x:c r="BM1142">
        <x:f>MAX(0,MIN(CEILING((BF1142+BG1142)/2,1),BM1141+IF(C1142="体力",E1142,0)))</x:f>
        <x:v>0</x:v>
      </x:c>
      <x:c r="BN1142">
        <x:f>MAX(0,MIN(BJ1142,BN1141+IF(C1142="毅力",E1142,0)))</x:f>
        <x:v>0</x:v>
      </x:c>
      <x:c r="BO1142">
        <x:f>MAX(0,MIN(99-BL1142,BO1141+IF(C1142="理智",E1142,0)))</x:f>
        <x:v>0</x:v>
      </x:c>
      <x:c r="BP1142">
        <x:f>MAX(0,MIN(99,BP1141+IF(C1142="崩溃点",E1142,0)))</x:f>
        <x:v>0</x:v>
      </x:c>
      <x:c r="BQ1142">
        <x:f>MAX(0,MIN(BK1142,IF(AND(H1142=1,C1142="重要关系1",LEFT('幕间与结算'!H1049,8)="建立新的重要关系"),'幕间与结算'!E1049+E1142,BQ1141+IF(C1142="重要关系1",E1142,0)+IF(AND(C1142="魅力",E1142&lt;0),E1142,0))))</x:f>
        <x:v>0</x:v>
      </x:c>
      <x:c r="BR1142">
        <x:f>MAX(0,MIN(BK1142,IF(AND(H1142=1,C1142="重要关系2",LEFT('幕间与结算'!H1049,8)="建立新的重要关系"),'幕间与结算'!E1049+E1142,BR1141+IF(C1142="重要关系2",E1142,0)+IF(AND(C1142="魅力",E1142&lt;0),E1142,0))))</x:f>
        <x:v>0</x:v>
      </x:c>
      <x:c r="BS1142">
        <x:f>MAX(0,MIN(BK1142,IF(AND(H1142=1,C1142="重要关系3",LEFT('幕间与结算'!H1049,8)="建立新的重要关系"),'幕间与结算'!E1049+E1142,BS1141+IF(C1142="重要关系3",E1142,0)+IF(AND(C1142="魅力",E1142&lt;0),E1142,0))))</x:f>
        <x:v>0</x:v>
      </x:c>
      <x:c r="BT1142">
        <x:f>MAX(0,MIN(BK1142,IF(AND(H1142=1,C1142="重要关系4",LEFT('幕间与结算'!H1049,8)="建立新的重要关系"),'幕间与结算'!E1049+E1142,BT1141+IF(C1142="重要关系4",E1142,0)+IF(AND(C1142="魅力",E1142&lt;0),E1142,0))))</x:f>
        <x:v>0</x:v>
      </x:c>
      <x:c r="BU1142">
        <x:f>MAX(0,MIN(BK1142,IF(AND(H1142=1,C1142="重要关系5",LEFT('幕间与结算'!H1049,8)="建立新的重要关系"),'幕间与结算'!E1049+E1142,BU1141+IF(C1142="重要关系5",E1142,0)+IF(AND(C1142="魅力",E1142&lt;0),E1142,0))))</x:f>
        <x:v>0</x:v>
      </x:c>
      <x:c r="BV1142">
        <x:f>MAX(0,MIN(BK1142,IF(AND(H1142=1,C1142="重要关系6",LEFT('幕间与结算'!H1049,8)="建立新的重要关系"),'幕间与结算'!E1049+E1142,BV1141+IF(C1142="重要关系6",E1142,0)+IF(AND(C1142="魅力",E1142&lt;0),E1142,0))))</x:f>
        <x:v>0</x:v>
      </x:c>
      <x:c r="BW1142">
        <x:f>MAX(0,MIN(BK1142,IF(AND(H1142=1,C1142="重要关系7",LEFT('幕间与结算'!H1049,8)="建立新的重要关系"),'幕间与结算'!E1049+E1142,BW1141+IF(C1142="重要关系7",E1142,0)+IF(AND(C1142="魅力",E1142&lt;0),E1142,0))))</x:f>
        <x:v>0</x:v>
      </x:c>
    </x:row>
    <x:row r="1143">
      <x:c r="A1143" t="str">
        <x:f>IFERROR(TEXT(VALUE('幕间与结算'!A1050),"00"),"")</x:f>
        <x:v>00</x:v>
      </x:c>
      <x:c r="B1143">
        <x:f>'幕间与结算'!B1050</x:f>
        <x:v>0</x:v>
      </x:c>
      <x:c r="C1143">
        <x:f>'幕间与结算'!D1050</x:f>
        <x:v>0</x:v>
      </x:c>
      <x:c r="D1143">
        <x:f>'幕间与结算'!F1050</x:f>
        <x:v>0</x:v>
      </x:c>
      <x:c r="E1143">
        <x:f>IF(H1143=1,MAX(-'幕间与结算'!E1050,MIN(D1143,IF(LEFT(C1143,3)="技能：",99,IF(COUNTIF($L$2:$L$7,C1143)&gt;0,18,999))-'幕间与结算'!E1050)),0)</x:f>
        <x:v>0</x:v>
      </x:c>
      <x:c r="F1143" t="str">
        <x:f>IF(C1143=0,"",IF(G1143=0,"记录不完整",IF(H1143=0,"重复未计","已计入")))</x:f>
        <x:v/>
      </x:c>
      <x:c r="G1143">
        <x:f>IF(AND(AND('幕间与结算'!A1050&lt;&gt;"",'幕间与结算'!B1050&lt;&gt;"",'幕间与结算'!I1050&lt;&gt;"",OR(LEFT(C1143,3)="技能：",COUNTIF($L$2:$L$19,C1143)&gt;0),ISNUMBER('幕间与结算'!E1050),ISNUMBER('幕间与结算'!F1050),ISNUMBER('幕间与结算'!G1050),'幕间与结算'!E1050&gt;=0,'幕间与结算'!G1050='幕间与结算'!E1050+'幕间与结算'!F1050),OR(B1143&lt;&gt;"成长",AND(LEFT(C1143,3)="技能：",C1143&lt;&gt;"技能：非自然知识",'幕间与结算'!E1050&gt;=1,'幕间与结算'!E1050&lt;=99,'幕间与结算'!F1050&gt;=0,'幕间与结算'!F1050&lt;=4,'幕间与结算'!G1050&lt;=99))),1,0)</x:f>
        <x:v>0</x:v>
      </x:c>
      <x:c r="H1143">
        <x:f>IF(AND(G1143=1,COUNTIFS($I$200:I1143,I1143,$G$200:G1143,1)=1),1,0)</x:f>
        <x:v>0</x:v>
      </x:c>
      <x:c r="I1143" t="str">
        <x:f>IF(G1143=1,IF(B1143="成长",A1143&amp;"-成长-"&amp;C1143,'幕间与结算'!I1050),"")</x:f>
        <x:v/>
      </x:c>
      <x:c r="BF1143">
        <x:f>MAX(0,MIN(18,BF1142+IF(C1143="力量",E1143,0)))</x:f>
        <x:v>0</x:v>
      </x:c>
      <x:c r="BG1143">
        <x:f>MAX(0,MIN(18,BG1142+IF(C1143="体质",E1143,0)))</x:f>
        <x:v>0</x:v>
      </x:c>
      <x:c r="BH1143">
        <x:f>MAX(0,MIN(18,BH1142+IF(C1143="敏捷",E1143,0)))</x:f>
        <x:v>0</x:v>
      </x:c>
      <x:c r="BI1143">
        <x:f>MAX(0,MIN(18,BI1142+IF(C1143="智力",E1143,0)))</x:f>
        <x:v>0</x:v>
      </x:c>
      <x:c r="BJ1143">
        <x:f>MAX(0,MIN(18,BJ1142+IF(C1143="意志",E1143,0)))</x:f>
        <x:v>0</x:v>
      </x:c>
      <x:c r="BK1143">
        <x:f>MAX(0,MIN(18,BK1142+IF(C1143="魅力",E1143,0)))</x:f>
        <x:v>0</x:v>
      </x:c>
      <x:c r="BL1143">
        <x:f>MAX(0,MIN(99,BL1142+IF(C1143="技能：非自然知识",E1143,0)))</x:f>
        <x:v>0</x:v>
      </x:c>
      <x:c r="BM1143">
        <x:f>MAX(0,MIN(CEILING((BF1143+BG1143)/2,1),BM1142+IF(C1143="体力",E1143,0)))</x:f>
        <x:v>0</x:v>
      </x:c>
      <x:c r="BN1143">
        <x:f>MAX(0,MIN(BJ1143,BN1142+IF(C1143="毅力",E1143,0)))</x:f>
        <x:v>0</x:v>
      </x:c>
      <x:c r="BO1143">
        <x:f>MAX(0,MIN(99-BL1143,BO1142+IF(C1143="理智",E1143,0)))</x:f>
        <x:v>0</x:v>
      </x:c>
      <x:c r="BP1143">
        <x:f>MAX(0,MIN(99,BP1142+IF(C1143="崩溃点",E1143,0)))</x:f>
        <x:v>0</x:v>
      </x:c>
      <x:c r="BQ1143">
        <x:f>MAX(0,MIN(BK1143,IF(AND(H1143=1,C1143="重要关系1",LEFT('幕间与结算'!H1050,8)="建立新的重要关系"),'幕间与结算'!E1050+E1143,BQ1142+IF(C1143="重要关系1",E1143,0)+IF(AND(C1143="魅力",E1143&lt;0),E1143,0))))</x:f>
        <x:v>0</x:v>
      </x:c>
      <x:c r="BR1143">
        <x:f>MAX(0,MIN(BK1143,IF(AND(H1143=1,C1143="重要关系2",LEFT('幕间与结算'!H1050,8)="建立新的重要关系"),'幕间与结算'!E1050+E1143,BR1142+IF(C1143="重要关系2",E1143,0)+IF(AND(C1143="魅力",E1143&lt;0),E1143,0))))</x:f>
        <x:v>0</x:v>
      </x:c>
      <x:c r="BS1143">
        <x:f>MAX(0,MIN(BK1143,IF(AND(H1143=1,C1143="重要关系3",LEFT('幕间与结算'!H1050,8)="建立新的重要关系"),'幕间与结算'!E1050+E1143,BS1142+IF(C1143="重要关系3",E1143,0)+IF(AND(C1143="魅力",E1143&lt;0),E1143,0))))</x:f>
        <x:v>0</x:v>
      </x:c>
      <x:c r="BT1143">
        <x:f>MAX(0,MIN(BK1143,IF(AND(H1143=1,C1143="重要关系4",LEFT('幕间与结算'!H1050,8)="建立新的重要关系"),'幕间与结算'!E1050+E1143,BT1142+IF(C1143="重要关系4",E1143,0)+IF(AND(C1143="魅力",E1143&lt;0),E1143,0))))</x:f>
        <x:v>0</x:v>
      </x:c>
      <x:c r="BU1143">
        <x:f>MAX(0,MIN(BK1143,IF(AND(H1143=1,C1143="重要关系5",LEFT('幕间与结算'!H1050,8)="建立新的重要关系"),'幕间与结算'!E1050+E1143,BU1142+IF(C1143="重要关系5",E1143,0)+IF(AND(C1143="魅力",E1143&lt;0),E1143,0))))</x:f>
        <x:v>0</x:v>
      </x:c>
      <x:c r="BV1143">
        <x:f>MAX(0,MIN(BK1143,IF(AND(H1143=1,C1143="重要关系6",LEFT('幕间与结算'!H1050,8)="建立新的重要关系"),'幕间与结算'!E1050+E1143,BV1142+IF(C1143="重要关系6",E1143,0)+IF(AND(C1143="魅力",E1143&lt;0),E1143,0))))</x:f>
        <x:v>0</x:v>
      </x:c>
      <x:c r="BW1143">
        <x:f>MAX(0,MIN(BK1143,IF(AND(H1143=1,C1143="重要关系7",LEFT('幕间与结算'!H1050,8)="建立新的重要关系"),'幕间与结算'!E1050+E1143,BW1142+IF(C1143="重要关系7",E1143,0)+IF(AND(C1143="魅力",E1143&lt;0),E1143,0))))</x:f>
        <x:v>0</x:v>
      </x:c>
    </x:row>
    <x:row r="1144">
      <x:c r="A1144" t="str">
        <x:f>IFERROR(TEXT(VALUE('幕间与结算'!A1051),"00"),"")</x:f>
        <x:v>00</x:v>
      </x:c>
      <x:c r="B1144">
        <x:f>'幕间与结算'!B1051</x:f>
        <x:v>0</x:v>
      </x:c>
      <x:c r="C1144">
        <x:f>'幕间与结算'!D1051</x:f>
        <x:v>0</x:v>
      </x:c>
      <x:c r="D1144">
        <x:f>'幕间与结算'!F1051</x:f>
        <x:v>0</x:v>
      </x:c>
      <x:c r="E1144">
        <x:f>IF(H1144=1,MAX(-'幕间与结算'!E1051,MIN(D1144,IF(LEFT(C1144,3)="技能：",99,IF(COUNTIF($L$2:$L$7,C1144)&gt;0,18,999))-'幕间与结算'!E1051)),0)</x:f>
        <x:v>0</x:v>
      </x:c>
      <x:c r="F1144" t="str">
        <x:f>IF(C1144=0,"",IF(G1144=0,"记录不完整",IF(H1144=0,"重复未计","已计入")))</x:f>
        <x:v/>
      </x:c>
      <x:c r="G1144">
        <x:f>IF(AND(AND('幕间与结算'!A1051&lt;&gt;"",'幕间与结算'!B1051&lt;&gt;"",'幕间与结算'!I1051&lt;&gt;"",OR(LEFT(C1144,3)="技能：",COUNTIF($L$2:$L$19,C1144)&gt;0),ISNUMBER('幕间与结算'!E1051),ISNUMBER('幕间与结算'!F1051),ISNUMBER('幕间与结算'!G1051),'幕间与结算'!E1051&gt;=0,'幕间与结算'!G1051='幕间与结算'!E1051+'幕间与结算'!F1051),OR(B1144&lt;&gt;"成长",AND(LEFT(C1144,3)="技能：",C1144&lt;&gt;"技能：非自然知识",'幕间与结算'!E1051&gt;=1,'幕间与结算'!E1051&lt;=99,'幕间与结算'!F1051&gt;=0,'幕间与结算'!F1051&lt;=4,'幕间与结算'!G1051&lt;=99))),1,0)</x:f>
        <x:v>0</x:v>
      </x:c>
      <x:c r="H1144">
        <x:f>IF(AND(G1144=1,COUNTIFS($I$200:I1144,I1144,$G$200:G1144,1)=1),1,0)</x:f>
        <x:v>0</x:v>
      </x:c>
      <x:c r="I1144" t="str">
        <x:f>IF(G1144=1,IF(B1144="成长",A1144&amp;"-成长-"&amp;C1144,'幕间与结算'!I1051),"")</x:f>
        <x:v/>
      </x:c>
      <x:c r="BF1144">
        <x:f>MAX(0,MIN(18,BF1143+IF(C1144="力量",E1144,0)))</x:f>
        <x:v>0</x:v>
      </x:c>
      <x:c r="BG1144">
        <x:f>MAX(0,MIN(18,BG1143+IF(C1144="体质",E1144,0)))</x:f>
        <x:v>0</x:v>
      </x:c>
      <x:c r="BH1144">
        <x:f>MAX(0,MIN(18,BH1143+IF(C1144="敏捷",E1144,0)))</x:f>
        <x:v>0</x:v>
      </x:c>
      <x:c r="BI1144">
        <x:f>MAX(0,MIN(18,BI1143+IF(C1144="智力",E1144,0)))</x:f>
        <x:v>0</x:v>
      </x:c>
      <x:c r="BJ1144">
        <x:f>MAX(0,MIN(18,BJ1143+IF(C1144="意志",E1144,0)))</x:f>
        <x:v>0</x:v>
      </x:c>
      <x:c r="BK1144">
        <x:f>MAX(0,MIN(18,BK1143+IF(C1144="魅力",E1144,0)))</x:f>
        <x:v>0</x:v>
      </x:c>
      <x:c r="BL1144">
        <x:f>MAX(0,MIN(99,BL1143+IF(C1144="技能：非自然知识",E1144,0)))</x:f>
        <x:v>0</x:v>
      </x:c>
      <x:c r="BM1144">
        <x:f>MAX(0,MIN(CEILING((BF1144+BG1144)/2,1),BM1143+IF(C1144="体力",E1144,0)))</x:f>
        <x:v>0</x:v>
      </x:c>
      <x:c r="BN1144">
        <x:f>MAX(0,MIN(BJ1144,BN1143+IF(C1144="毅力",E1144,0)))</x:f>
        <x:v>0</x:v>
      </x:c>
      <x:c r="BO1144">
        <x:f>MAX(0,MIN(99-BL1144,BO1143+IF(C1144="理智",E1144,0)))</x:f>
        <x:v>0</x:v>
      </x:c>
      <x:c r="BP1144">
        <x:f>MAX(0,MIN(99,BP1143+IF(C1144="崩溃点",E1144,0)))</x:f>
        <x:v>0</x:v>
      </x:c>
      <x:c r="BQ1144">
        <x:f>MAX(0,MIN(BK1144,IF(AND(H1144=1,C1144="重要关系1",LEFT('幕间与结算'!H1051,8)="建立新的重要关系"),'幕间与结算'!E1051+E1144,BQ1143+IF(C1144="重要关系1",E1144,0)+IF(AND(C1144="魅力",E1144&lt;0),E1144,0))))</x:f>
        <x:v>0</x:v>
      </x:c>
      <x:c r="BR1144">
        <x:f>MAX(0,MIN(BK1144,IF(AND(H1144=1,C1144="重要关系2",LEFT('幕间与结算'!H1051,8)="建立新的重要关系"),'幕间与结算'!E1051+E1144,BR1143+IF(C1144="重要关系2",E1144,0)+IF(AND(C1144="魅力",E1144&lt;0),E1144,0))))</x:f>
        <x:v>0</x:v>
      </x:c>
      <x:c r="BS1144">
        <x:f>MAX(0,MIN(BK1144,IF(AND(H1144=1,C1144="重要关系3",LEFT('幕间与结算'!H1051,8)="建立新的重要关系"),'幕间与结算'!E1051+E1144,BS1143+IF(C1144="重要关系3",E1144,0)+IF(AND(C1144="魅力",E1144&lt;0),E1144,0))))</x:f>
        <x:v>0</x:v>
      </x:c>
      <x:c r="BT1144">
        <x:f>MAX(0,MIN(BK1144,IF(AND(H1144=1,C1144="重要关系4",LEFT('幕间与结算'!H1051,8)="建立新的重要关系"),'幕间与结算'!E1051+E1144,BT1143+IF(C1144="重要关系4",E1144,0)+IF(AND(C1144="魅力",E1144&lt;0),E1144,0))))</x:f>
        <x:v>0</x:v>
      </x:c>
      <x:c r="BU1144">
        <x:f>MAX(0,MIN(BK1144,IF(AND(H1144=1,C1144="重要关系5",LEFT('幕间与结算'!H1051,8)="建立新的重要关系"),'幕间与结算'!E1051+E1144,BU1143+IF(C1144="重要关系5",E1144,0)+IF(AND(C1144="魅力",E1144&lt;0),E1144,0))))</x:f>
        <x:v>0</x:v>
      </x:c>
      <x:c r="BV1144">
        <x:f>MAX(0,MIN(BK1144,IF(AND(H1144=1,C1144="重要关系6",LEFT('幕间与结算'!H1051,8)="建立新的重要关系"),'幕间与结算'!E1051+E1144,BV1143+IF(C1144="重要关系6",E1144,0)+IF(AND(C1144="魅力",E1144&lt;0),E1144,0))))</x:f>
        <x:v>0</x:v>
      </x:c>
      <x:c r="BW1144">
        <x:f>MAX(0,MIN(BK1144,IF(AND(H1144=1,C1144="重要关系7",LEFT('幕间与结算'!H1051,8)="建立新的重要关系"),'幕间与结算'!E1051+E1144,BW1143+IF(C1144="重要关系7",E1144,0)+IF(AND(C1144="魅力",E1144&lt;0),E1144,0))))</x:f>
        <x:v>0</x:v>
      </x:c>
    </x:row>
    <x:row r="1145">
      <x:c r="A1145" t="str">
        <x:f>IFERROR(TEXT(VALUE('幕间与结算'!A1052),"00"),"")</x:f>
        <x:v>00</x:v>
      </x:c>
      <x:c r="B1145">
        <x:f>'幕间与结算'!B1052</x:f>
        <x:v>0</x:v>
      </x:c>
      <x:c r="C1145">
        <x:f>'幕间与结算'!D1052</x:f>
        <x:v>0</x:v>
      </x:c>
      <x:c r="D1145">
        <x:f>'幕间与结算'!F1052</x:f>
        <x:v>0</x:v>
      </x:c>
      <x:c r="E1145">
        <x:f>IF(H1145=1,MAX(-'幕间与结算'!E1052,MIN(D1145,IF(LEFT(C1145,3)="技能：",99,IF(COUNTIF($L$2:$L$7,C1145)&gt;0,18,999))-'幕间与结算'!E1052)),0)</x:f>
        <x:v>0</x:v>
      </x:c>
      <x:c r="F1145" t="str">
        <x:f>IF(C1145=0,"",IF(G1145=0,"记录不完整",IF(H1145=0,"重复未计","已计入")))</x:f>
        <x:v/>
      </x:c>
      <x:c r="G1145">
        <x:f>IF(AND(AND('幕间与结算'!A1052&lt;&gt;"",'幕间与结算'!B1052&lt;&gt;"",'幕间与结算'!I1052&lt;&gt;"",OR(LEFT(C1145,3)="技能：",COUNTIF($L$2:$L$19,C1145)&gt;0),ISNUMBER('幕间与结算'!E1052),ISNUMBER('幕间与结算'!F1052),ISNUMBER('幕间与结算'!G1052),'幕间与结算'!E1052&gt;=0,'幕间与结算'!G1052='幕间与结算'!E1052+'幕间与结算'!F1052),OR(B1145&lt;&gt;"成长",AND(LEFT(C1145,3)="技能：",C1145&lt;&gt;"技能：非自然知识",'幕间与结算'!E1052&gt;=1,'幕间与结算'!E1052&lt;=99,'幕间与结算'!F1052&gt;=0,'幕间与结算'!F1052&lt;=4,'幕间与结算'!G1052&lt;=99))),1,0)</x:f>
        <x:v>0</x:v>
      </x:c>
      <x:c r="H1145">
        <x:f>IF(AND(G1145=1,COUNTIFS($I$200:I1145,I1145,$G$200:G1145,1)=1),1,0)</x:f>
        <x:v>0</x:v>
      </x:c>
      <x:c r="I1145" t="str">
        <x:f>IF(G1145=1,IF(B1145="成长",A1145&amp;"-成长-"&amp;C1145,'幕间与结算'!I1052),"")</x:f>
        <x:v/>
      </x:c>
      <x:c r="BF1145">
        <x:f>MAX(0,MIN(18,BF1144+IF(C1145="力量",E1145,0)))</x:f>
        <x:v>0</x:v>
      </x:c>
      <x:c r="BG1145">
        <x:f>MAX(0,MIN(18,BG1144+IF(C1145="体质",E1145,0)))</x:f>
        <x:v>0</x:v>
      </x:c>
      <x:c r="BH1145">
        <x:f>MAX(0,MIN(18,BH1144+IF(C1145="敏捷",E1145,0)))</x:f>
        <x:v>0</x:v>
      </x:c>
      <x:c r="BI1145">
        <x:f>MAX(0,MIN(18,BI1144+IF(C1145="智力",E1145,0)))</x:f>
        <x:v>0</x:v>
      </x:c>
      <x:c r="BJ1145">
        <x:f>MAX(0,MIN(18,BJ1144+IF(C1145="意志",E1145,0)))</x:f>
        <x:v>0</x:v>
      </x:c>
      <x:c r="BK1145">
        <x:f>MAX(0,MIN(18,BK1144+IF(C1145="魅力",E1145,0)))</x:f>
        <x:v>0</x:v>
      </x:c>
      <x:c r="BL1145">
        <x:f>MAX(0,MIN(99,BL1144+IF(C1145="技能：非自然知识",E1145,0)))</x:f>
        <x:v>0</x:v>
      </x:c>
      <x:c r="BM1145">
        <x:f>MAX(0,MIN(CEILING((BF1145+BG1145)/2,1),BM1144+IF(C1145="体力",E1145,0)))</x:f>
        <x:v>0</x:v>
      </x:c>
      <x:c r="BN1145">
        <x:f>MAX(0,MIN(BJ1145,BN1144+IF(C1145="毅力",E1145,0)))</x:f>
        <x:v>0</x:v>
      </x:c>
      <x:c r="BO1145">
        <x:f>MAX(0,MIN(99-BL1145,BO1144+IF(C1145="理智",E1145,0)))</x:f>
        <x:v>0</x:v>
      </x:c>
      <x:c r="BP1145">
        <x:f>MAX(0,MIN(99,BP1144+IF(C1145="崩溃点",E1145,0)))</x:f>
        <x:v>0</x:v>
      </x:c>
      <x:c r="BQ1145">
        <x:f>MAX(0,MIN(BK1145,IF(AND(H1145=1,C1145="重要关系1",LEFT('幕间与结算'!H1052,8)="建立新的重要关系"),'幕间与结算'!E1052+E1145,BQ1144+IF(C1145="重要关系1",E1145,0)+IF(AND(C1145="魅力",E1145&lt;0),E1145,0))))</x:f>
        <x:v>0</x:v>
      </x:c>
      <x:c r="BR1145">
        <x:f>MAX(0,MIN(BK1145,IF(AND(H1145=1,C1145="重要关系2",LEFT('幕间与结算'!H1052,8)="建立新的重要关系"),'幕间与结算'!E1052+E1145,BR1144+IF(C1145="重要关系2",E1145,0)+IF(AND(C1145="魅力",E1145&lt;0),E1145,0))))</x:f>
        <x:v>0</x:v>
      </x:c>
      <x:c r="BS1145">
        <x:f>MAX(0,MIN(BK1145,IF(AND(H1145=1,C1145="重要关系3",LEFT('幕间与结算'!H1052,8)="建立新的重要关系"),'幕间与结算'!E1052+E1145,BS1144+IF(C1145="重要关系3",E1145,0)+IF(AND(C1145="魅力",E1145&lt;0),E1145,0))))</x:f>
        <x:v>0</x:v>
      </x:c>
      <x:c r="BT1145">
        <x:f>MAX(0,MIN(BK1145,IF(AND(H1145=1,C1145="重要关系4",LEFT('幕间与结算'!H1052,8)="建立新的重要关系"),'幕间与结算'!E1052+E1145,BT1144+IF(C1145="重要关系4",E1145,0)+IF(AND(C1145="魅力",E1145&lt;0),E1145,0))))</x:f>
        <x:v>0</x:v>
      </x:c>
      <x:c r="BU1145">
        <x:f>MAX(0,MIN(BK1145,IF(AND(H1145=1,C1145="重要关系5",LEFT('幕间与结算'!H1052,8)="建立新的重要关系"),'幕间与结算'!E1052+E1145,BU1144+IF(C1145="重要关系5",E1145,0)+IF(AND(C1145="魅力",E1145&lt;0),E1145,0))))</x:f>
        <x:v>0</x:v>
      </x:c>
      <x:c r="BV1145">
        <x:f>MAX(0,MIN(BK1145,IF(AND(H1145=1,C1145="重要关系6",LEFT('幕间与结算'!H1052,8)="建立新的重要关系"),'幕间与结算'!E1052+E1145,BV1144+IF(C1145="重要关系6",E1145,0)+IF(AND(C1145="魅力",E1145&lt;0),E1145,0))))</x:f>
        <x:v>0</x:v>
      </x:c>
      <x:c r="BW1145">
        <x:f>MAX(0,MIN(BK1145,IF(AND(H1145=1,C1145="重要关系7",LEFT('幕间与结算'!H1052,8)="建立新的重要关系"),'幕间与结算'!E1052+E1145,BW1144+IF(C1145="重要关系7",E1145,0)+IF(AND(C1145="魅力",E1145&lt;0),E1145,0))))</x:f>
        <x:v>0</x:v>
      </x:c>
    </x:row>
    <x:row r="1146">
      <x:c r="A1146" t="str">
        <x:f>IFERROR(TEXT(VALUE('幕间与结算'!A1053),"00"),"")</x:f>
        <x:v>00</x:v>
      </x:c>
      <x:c r="B1146">
        <x:f>'幕间与结算'!B1053</x:f>
        <x:v>0</x:v>
      </x:c>
      <x:c r="C1146">
        <x:f>'幕间与结算'!D1053</x:f>
        <x:v>0</x:v>
      </x:c>
      <x:c r="D1146">
        <x:f>'幕间与结算'!F1053</x:f>
        <x:v>0</x:v>
      </x:c>
      <x:c r="E1146">
        <x:f>IF(H1146=1,MAX(-'幕间与结算'!E1053,MIN(D1146,IF(LEFT(C1146,3)="技能：",99,IF(COUNTIF($L$2:$L$7,C1146)&gt;0,18,999))-'幕间与结算'!E1053)),0)</x:f>
        <x:v>0</x:v>
      </x:c>
      <x:c r="F1146" t="str">
        <x:f>IF(C1146=0,"",IF(G1146=0,"记录不完整",IF(H1146=0,"重复未计","已计入")))</x:f>
        <x:v/>
      </x:c>
      <x:c r="G1146">
        <x:f>IF(AND(AND('幕间与结算'!A1053&lt;&gt;"",'幕间与结算'!B1053&lt;&gt;"",'幕间与结算'!I1053&lt;&gt;"",OR(LEFT(C1146,3)="技能：",COUNTIF($L$2:$L$19,C1146)&gt;0),ISNUMBER('幕间与结算'!E1053),ISNUMBER('幕间与结算'!F1053),ISNUMBER('幕间与结算'!G1053),'幕间与结算'!E1053&gt;=0,'幕间与结算'!G1053='幕间与结算'!E1053+'幕间与结算'!F1053),OR(B1146&lt;&gt;"成长",AND(LEFT(C1146,3)="技能：",C1146&lt;&gt;"技能：非自然知识",'幕间与结算'!E1053&gt;=1,'幕间与结算'!E1053&lt;=99,'幕间与结算'!F1053&gt;=0,'幕间与结算'!F1053&lt;=4,'幕间与结算'!G1053&lt;=99))),1,0)</x:f>
        <x:v>0</x:v>
      </x:c>
      <x:c r="H1146">
        <x:f>IF(AND(G1146=1,COUNTIFS($I$200:I1146,I1146,$G$200:G1146,1)=1),1,0)</x:f>
        <x:v>0</x:v>
      </x:c>
      <x:c r="I1146" t="str">
        <x:f>IF(G1146=1,IF(B1146="成长",A1146&amp;"-成长-"&amp;C1146,'幕间与结算'!I1053),"")</x:f>
        <x:v/>
      </x:c>
      <x:c r="BF1146">
        <x:f>MAX(0,MIN(18,BF1145+IF(C1146="力量",E1146,0)))</x:f>
        <x:v>0</x:v>
      </x:c>
      <x:c r="BG1146">
        <x:f>MAX(0,MIN(18,BG1145+IF(C1146="体质",E1146,0)))</x:f>
        <x:v>0</x:v>
      </x:c>
      <x:c r="BH1146">
        <x:f>MAX(0,MIN(18,BH1145+IF(C1146="敏捷",E1146,0)))</x:f>
        <x:v>0</x:v>
      </x:c>
      <x:c r="BI1146">
        <x:f>MAX(0,MIN(18,BI1145+IF(C1146="智力",E1146,0)))</x:f>
        <x:v>0</x:v>
      </x:c>
      <x:c r="BJ1146">
        <x:f>MAX(0,MIN(18,BJ1145+IF(C1146="意志",E1146,0)))</x:f>
        <x:v>0</x:v>
      </x:c>
      <x:c r="BK1146">
        <x:f>MAX(0,MIN(18,BK1145+IF(C1146="魅力",E1146,0)))</x:f>
        <x:v>0</x:v>
      </x:c>
      <x:c r="BL1146">
        <x:f>MAX(0,MIN(99,BL1145+IF(C1146="技能：非自然知识",E1146,0)))</x:f>
        <x:v>0</x:v>
      </x:c>
      <x:c r="BM1146">
        <x:f>MAX(0,MIN(CEILING((BF1146+BG1146)/2,1),BM1145+IF(C1146="体力",E1146,0)))</x:f>
        <x:v>0</x:v>
      </x:c>
      <x:c r="BN1146">
        <x:f>MAX(0,MIN(BJ1146,BN1145+IF(C1146="毅力",E1146,0)))</x:f>
        <x:v>0</x:v>
      </x:c>
      <x:c r="BO1146">
        <x:f>MAX(0,MIN(99-BL1146,BO1145+IF(C1146="理智",E1146,0)))</x:f>
        <x:v>0</x:v>
      </x:c>
      <x:c r="BP1146">
        <x:f>MAX(0,MIN(99,BP1145+IF(C1146="崩溃点",E1146,0)))</x:f>
        <x:v>0</x:v>
      </x:c>
      <x:c r="BQ1146">
        <x:f>MAX(0,MIN(BK1146,IF(AND(H1146=1,C1146="重要关系1",LEFT('幕间与结算'!H1053,8)="建立新的重要关系"),'幕间与结算'!E1053+E1146,BQ1145+IF(C1146="重要关系1",E1146,0)+IF(AND(C1146="魅力",E1146&lt;0),E1146,0))))</x:f>
        <x:v>0</x:v>
      </x:c>
      <x:c r="BR1146">
        <x:f>MAX(0,MIN(BK1146,IF(AND(H1146=1,C1146="重要关系2",LEFT('幕间与结算'!H1053,8)="建立新的重要关系"),'幕间与结算'!E1053+E1146,BR1145+IF(C1146="重要关系2",E1146,0)+IF(AND(C1146="魅力",E1146&lt;0),E1146,0))))</x:f>
        <x:v>0</x:v>
      </x:c>
      <x:c r="BS1146">
        <x:f>MAX(0,MIN(BK1146,IF(AND(H1146=1,C1146="重要关系3",LEFT('幕间与结算'!H1053,8)="建立新的重要关系"),'幕间与结算'!E1053+E1146,BS1145+IF(C1146="重要关系3",E1146,0)+IF(AND(C1146="魅力",E1146&lt;0),E1146,0))))</x:f>
        <x:v>0</x:v>
      </x:c>
      <x:c r="BT1146">
        <x:f>MAX(0,MIN(BK1146,IF(AND(H1146=1,C1146="重要关系4",LEFT('幕间与结算'!H1053,8)="建立新的重要关系"),'幕间与结算'!E1053+E1146,BT1145+IF(C1146="重要关系4",E1146,0)+IF(AND(C1146="魅力",E1146&lt;0),E1146,0))))</x:f>
        <x:v>0</x:v>
      </x:c>
      <x:c r="BU1146">
        <x:f>MAX(0,MIN(BK1146,IF(AND(H1146=1,C1146="重要关系5",LEFT('幕间与结算'!H1053,8)="建立新的重要关系"),'幕间与结算'!E1053+E1146,BU1145+IF(C1146="重要关系5",E1146,0)+IF(AND(C1146="魅力",E1146&lt;0),E1146,0))))</x:f>
        <x:v>0</x:v>
      </x:c>
      <x:c r="BV1146">
        <x:f>MAX(0,MIN(BK1146,IF(AND(H1146=1,C1146="重要关系6",LEFT('幕间与结算'!H1053,8)="建立新的重要关系"),'幕间与结算'!E1053+E1146,BV1145+IF(C1146="重要关系6",E1146,0)+IF(AND(C1146="魅力",E1146&lt;0),E1146,0))))</x:f>
        <x:v>0</x:v>
      </x:c>
      <x:c r="BW1146">
        <x:f>MAX(0,MIN(BK1146,IF(AND(H1146=1,C1146="重要关系7",LEFT('幕间与结算'!H1053,8)="建立新的重要关系"),'幕间与结算'!E1053+E1146,BW1145+IF(C1146="重要关系7",E1146,0)+IF(AND(C1146="魅力",E1146&lt;0),E1146,0))))</x:f>
        <x:v>0</x:v>
      </x:c>
    </x:row>
    <x:row r="1147">
      <x:c r="A1147" t="str">
        <x:f>IFERROR(TEXT(VALUE('幕间与结算'!A1054),"00"),"")</x:f>
        <x:v>00</x:v>
      </x:c>
      <x:c r="B1147">
        <x:f>'幕间与结算'!B1054</x:f>
        <x:v>0</x:v>
      </x:c>
      <x:c r="C1147">
        <x:f>'幕间与结算'!D1054</x:f>
        <x:v>0</x:v>
      </x:c>
      <x:c r="D1147">
        <x:f>'幕间与结算'!F1054</x:f>
        <x:v>0</x:v>
      </x:c>
      <x:c r="E1147">
        <x:f>IF(H1147=1,MAX(-'幕间与结算'!E1054,MIN(D1147,IF(LEFT(C1147,3)="技能：",99,IF(COUNTIF($L$2:$L$7,C1147)&gt;0,18,999))-'幕间与结算'!E1054)),0)</x:f>
        <x:v>0</x:v>
      </x:c>
      <x:c r="F1147" t="str">
        <x:f>IF(C1147=0,"",IF(G1147=0,"记录不完整",IF(H1147=0,"重复未计","已计入")))</x:f>
        <x:v/>
      </x:c>
      <x:c r="G1147">
        <x:f>IF(AND(AND('幕间与结算'!A1054&lt;&gt;"",'幕间与结算'!B1054&lt;&gt;"",'幕间与结算'!I1054&lt;&gt;"",OR(LEFT(C1147,3)="技能：",COUNTIF($L$2:$L$19,C1147)&gt;0),ISNUMBER('幕间与结算'!E1054),ISNUMBER('幕间与结算'!F1054),ISNUMBER('幕间与结算'!G1054),'幕间与结算'!E1054&gt;=0,'幕间与结算'!G1054='幕间与结算'!E1054+'幕间与结算'!F1054),OR(B1147&lt;&gt;"成长",AND(LEFT(C1147,3)="技能：",C1147&lt;&gt;"技能：非自然知识",'幕间与结算'!E1054&gt;=1,'幕间与结算'!E1054&lt;=99,'幕间与结算'!F1054&gt;=0,'幕间与结算'!F1054&lt;=4,'幕间与结算'!G1054&lt;=99))),1,0)</x:f>
        <x:v>0</x:v>
      </x:c>
      <x:c r="H1147">
        <x:f>IF(AND(G1147=1,COUNTIFS($I$200:I1147,I1147,$G$200:G1147,1)=1),1,0)</x:f>
        <x:v>0</x:v>
      </x:c>
      <x:c r="I1147" t="str">
        <x:f>IF(G1147=1,IF(B1147="成长",A1147&amp;"-成长-"&amp;C1147,'幕间与结算'!I1054),"")</x:f>
        <x:v/>
      </x:c>
      <x:c r="BF1147">
        <x:f>MAX(0,MIN(18,BF1146+IF(C1147="力量",E1147,0)))</x:f>
        <x:v>0</x:v>
      </x:c>
      <x:c r="BG1147">
        <x:f>MAX(0,MIN(18,BG1146+IF(C1147="体质",E1147,0)))</x:f>
        <x:v>0</x:v>
      </x:c>
      <x:c r="BH1147">
        <x:f>MAX(0,MIN(18,BH1146+IF(C1147="敏捷",E1147,0)))</x:f>
        <x:v>0</x:v>
      </x:c>
      <x:c r="BI1147">
        <x:f>MAX(0,MIN(18,BI1146+IF(C1147="智力",E1147,0)))</x:f>
        <x:v>0</x:v>
      </x:c>
      <x:c r="BJ1147">
        <x:f>MAX(0,MIN(18,BJ1146+IF(C1147="意志",E1147,0)))</x:f>
        <x:v>0</x:v>
      </x:c>
      <x:c r="BK1147">
        <x:f>MAX(0,MIN(18,BK1146+IF(C1147="魅力",E1147,0)))</x:f>
        <x:v>0</x:v>
      </x:c>
      <x:c r="BL1147">
        <x:f>MAX(0,MIN(99,BL1146+IF(C1147="技能：非自然知识",E1147,0)))</x:f>
        <x:v>0</x:v>
      </x:c>
      <x:c r="BM1147">
        <x:f>MAX(0,MIN(CEILING((BF1147+BG1147)/2,1),BM1146+IF(C1147="体力",E1147,0)))</x:f>
        <x:v>0</x:v>
      </x:c>
      <x:c r="BN1147">
        <x:f>MAX(0,MIN(BJ1147,BN1146+IF(C1147="毅力",E1147,0)))</x:f>
        <x:v>0</x:v>
      </x:c>
      <x:c r="BO1147">
        <x:f>MAX(0,MIN(99-BL1147,BO1146+IF(C1147="理智",E1147,0)))</x:f>
        <x:v>0</x:v>
      </x:c>
      <x:c r="BP1147">
        <x:f>MAX(0,MIN(99,BP1146+IF(C1147="崩溃点",E1147,0)))</x:f>
        <x:v>0</x:v>
      </x:c>
      <x:c r="BQ1147">
        <x:f>MAX(0,MIN(BK1147,IF(AND(H1147=1,C1147="重要关系1",LEFT('幕间与结算'!H1054,8)="建立新的重要关系"),'幕间与结算'!E1054+E1147,BQ1146+IF(C1147="重要关系1",E1147,0)+IF(AND(C1147="魅力",E1147&lt;0),E1147,0))))</x:f>
        <x:v>0</x:v>
      </x:c>
      <x:c r="BR1147">
        <x:f>MAX(0,MIN(BK1147,IF(AND(H1147=1,C1147="重要关系2",LEFT('幕间与结算'!H1054,8)="建立新的重要关系"),'幕间与结算'!E1054+E1147,BR1146+IF(C1147="重要关系2",E1147,0)+IF(AND(C1147="魅力",E1147&lt;0),E1147,0))))</x:f>
        <x:v>0</x:v>
      </x:c>
      <x:c r="BS1147">
        <x:f>MAX(0,MIN(BK1147,IF(AND(H1147=1,C1147="重要关系3",LEFT('幕间与结算'!H1054,8)="建立新的重要关系"),'幕间与结算'!E1054+E1147,BS1146+IF(C1147="重要关系3",E1147,0)+IF(AND(C1147="魅力",E1147&lt;0),E1147,0))))</x:f>
        <x:v>0</x:v>
      </x:c>
      <x:c r="BT1147">
        <x:f>MAX(0,MIN(BK1147,IF(AND(H1147=1,C1147="重要关系4",LEFT('幕间与结算'!H1054,8)="建立新的重要关系"),'幕间与结算'!E1054+E1147,BT1146+IF(C1147="重要关系4",E1147,0)+IF(AND(C1147="魅力",E1147&lt;0),E1147,0))))</x:f>
        <x:v>0</x:v>
      </x:c>
      <x:c r="BU1147">
        <x:f>MAX(0,MIN(BK1147,IF(AND(H1147=1,C1147="重要关系5",LEFT('幕间与结算'!H1054,8)="建立新的重要关系"),'幕间与结算'!E1054+E1147,BU1146+IF(C1147="重要关系5",E1147,0)+IF(AND(C1147="魅力",E1147&lt;0),E1147,0))))</x:f>
        <x:v>0</x:v>
      </x:c>
      <x:c r="BV1147">
        <x:f>MAX(0,MIN(BK1147,IF(AND(H1147=1,C1147="重要关系6",LEFT('幕间与结算'!H1054,8)="建立新的重要关系"),'幕间与结算'!E1054+E1147,BV1146+IF(C1147="重要关系6",E1147,0)+IF(AND(C1147="魅力",E1147&lt;0),E1147,0))))</x:f>
        <x:v>0</x:v>
      </x:c>
      <x:c r="BW1147">
        <x:f>MAX(0,MIN(BK1147,IF(AND(H1147=1,C1147="重要关系7",LEFT('幕间与结算'!H1054,8)="建立新的重要关系"),'幕间与结算'!E1054+E1147,BW1146+IF(C1147="重要关系7",E1147,0)+IF(AND(C1147="魅力",E1147&lt;0),E1147,0))))</x:f>
        <x:v>0</x:v>
      </x:c>
    </x:row>
    <x:row r="1148">
      <x:c r="A1148" t="str">
        <x:f>IFERROR(TEXT(VALUE('幕间与结算'!A1055),"00"),"")</x:f>
        <x:v>00</x:v>
      </x:c>
      <x:c r="B1148">
        <x:f>'幕间与结算'!B1055</x:f>
        <x:v>0</x:v>
      </x:c>
      <x:c r="C1148">
        <x:f>'幕间与结算'!D1055</x:f>
        <x:v>0</x:v>
      </x:c>
      <x:c r="D1148">
        <x:f>'幕间与结算'!F1055</x:f>
        <x:v>0</x:v>
      </x:c>
      <x:c r="E1148">
        <x:f>IF(H1148=1,MAX(-'幕间与结算'!E1055,MIN(D1148,IF(LEFT(C1148,3)="技能：",99,IF(COUNTIF($L$2:$L$7,C1148)&gt;0,18,999))-'幕间与结算'!E1055)),0)</x:f>
        <x:v>0</x:v>
      </x:c>
      <x:c r="F1148" t="str">
        <x:f>IF(C1148=0,"",IF(G1148=0,"记录不完整",IF(H1148=0,"重复未计","已计入")))</x:f>
        <x:v/>
      </x:c>
      <x:c r="G1148">
        <x:f>IF(AND(AND('幕间与结算'!A1055&lt;&gt;"",'幕间与结算'!B1055&lt;&gt;"",'幕间与结算'!I1055&lt;&gt;"",OR(LEFT(C1148,3)="技能：",COUNTIF($L$2:$L$19,C1148)&gt;0),ISNUMBER('幕间与结算'!E1055),ISNUMBER('幕间与结算'!F1055),ISNUMBER('幕间与结算'!G1055),'幕间与结算'!E1055&gt;=0,'幕间与结算'!G1055='幕间与结算'!E1055+'幕间与结算'!F1055),OR(B1148&lt;&gt;"成长",AND(LEFT(C1148,3)="技能：",C1148&lt;&gt;"技能：非自然知识",'幕间与结算'!E1055&gt;=1,'幕间与结算'!E1055&lt;=99,'幕间与结算'!F1055&gt;=0,'幕间与结算'!F1055&lt;=4,'幕间与结算'!G1055&lt;=99))),1,0)</x:f>
        <x:v>0</x:v>
      </x:c>
      <x:c r="H1148">
        <x:f>IF(AND(G1148=1,COUNTIFS($I$200:I1148,I1148,$G$200:G1148,1)=1),1,0)</x:f>
        <x:v>0</x:v>
      </x:c>
      <x:c r="I1148" t="str">
        <x:f>IF(G1148=1,IF(B1148="成长",A1148&amp;"-成长-"&amp;C1148,'幕间与结算'!I1055),"")</x:f>
        <x:v/>
      </x:c>
      <x:c r="BF1148">
        <x:f>MAX(0,MIN(18,BF1147+IF(C1148="力量",E1148,0)))</x:f>
        <x:v>0</x:v>
      </x:c>
      <x:c r="BG1148">
        <x:f>MAX(0,MIN(18,BG1147+IF(C1148="体质",E1148,0)))</x:f>
        <x:v>0</x:v>
      </x:c>
      <x:c r="BH1148">
        <x:f>MAX(0,MIN(18,BH1147+IF(C1148="敏捷",E1148,0)))</x:f>
        <x:v>0</x:v>
      </x:c>
      <x:c r="BI1148">
        <x:f>MAX(0,MIN(18,BI1147+IF(C1148="智力",E1148,0)))</x:f>
        <x:v>0</x:v>
      </x:c>
      <x:c r="BJ1148">
        <x:f>MAX(0,MIN(18,BJ1147+IF(C1148="意志",E1148,0)))</x:f>
        <x:v>0</x:v>
      </x:c>
      <x:c r="BK1148">
        <x:f>MAX(0,MIN(18,BK1147+IF(C1148="魅力",E1148,0)))</x:f>
        <x:v>0</x:v>
      </x:c>
      <x:c r="BL1148">
        <x:f>MAX(0,MIN(99,BL1147+IF(C1148="技能：非自然知识",E1148,0)))</x:f>
        <x:v>0</x:v>
      </x:c>
      <x:c r="BM1148">
        <x:f>MAX(0,MIN(CEILING((BF1148+BG1148)/2,1),BM1147+IF(C1148="体力",E1148,0)))</x:f>
        <x:v>0</x:v>
      </x:c>
      <x:c r="BN1148">
        <x:f>MAX(0,MIN(BJ1148,BN1147+IF(C1148="毅力",E1148,0)))</x:f>
        <x:v>0</x:v>
      </x:c>
      <x:c r="BO1148">
        <x:f>MAX(0,MIN(99-BL1148,BO1147+IF(C1148="理智",E1148,0)))</x:f>
        <x:v>0</x:v>
      </x:c>
      <x:c r="BP1148">
        <x:f>MAX(0,MIN(99,BP1147+IF(C1148="崩溃点",E1148,0)))</x:f>
        <x:v>0</x:v>
      </x:c>
      <x:c r="BQ1148">
        <x:f>MAX(0,MIN(BK1148,IF(AND(H1148=1,C1148="重要关系1",LEFT('幕间与结算'!H1055,8)="建立新的重要关系"),'幕间与结算'!E1055+E1148,BQ1147+IF(C1148="重要关系1",E1148,0)+IF(AND(C1148="魅力",E1148&lt;0),E1148,0))))</x:f>
        <x:v>0</x:v>
      </x:c>
      <x:c r="BR1148">
        <x:f>MAX(0,MIN(BK1148,IF(AND(H1148=1,C1148="重要关系2",LEFT('幕间与结算'!H1055,8)="建立新的重要关系"),'幕间与结算'!E1055+E1148,BR1147+IF(C1148="重要关系2",E1148,0)+IF(AND(C1148="魅力",E1148&lt;0),E1148,0))))</x:f>
        <x:v>0</x:v>
      </x:c>
      <x:c r="BS1148">
        <x:f>MAX(0,MIN(BK1148,IF(AND(H1148=1,C1148="重要关系3",LEFT('幕间与结算'!H1055,8)="建立新的重要关系"),'幕间与结算'!E1055+E1148,BS1147+IF(C1148="重要关系3",E1148,0)+IF(AND(C1148="魅力",E1148&lt;0),E1148,0))))</x:f>
        <x:v>0</x:v>
      </x:c>
      <x:c r="BT1148">
        <x:f>MAX(0,MIN(BK1148,IF(AND(H1148=1,C1148="重要关系4",LEFT('幕间与结算'!H1055,8)="建立新的重要关系"),'幕间与结算'!E1055+E1148,BT1147+IF(C1148="重要关系4",E1148,0)+IF(AND(C1148="魅力",E1148&lt;0),E1148,0))))</x:f>
        <x:v>0</x:v>
      </x:c>
      <x:c r="BU1148">
        <x:f>MAX(0,MIN(BK1148,IF(AND(H1148=1,C1148="重要关系5",LEFT('幕间与结算'!H1055,8)="建立新的重要关系"),'幕间与结算'!E1055+E1148,BU1147+IF(C1148="重要关系5",E1148,0)+IF(AND(C1148="魅力",E1148&lt;0),E1148,0))))</x:f>
        <x:v>0</x:v>
      </x:c>
      <x:c r="BV1148">
        <x:f>MAX(0,MIN(BK1148,IF(AND(H1148=1,C1148="重要关系6",LEFT('幕间与结算'!H1055,8)="建立新的重要关系"),'幕间与结算'!E1055+E1148,BV1147+IF(C1148="重要关系6",E1148,0)+IF(AND(C1148="魅力",E1148&lt;0),E1148,0))))</x:f>
        <x:v>0</x:v>
      </x:c>
      <x:c r="BW1148">
        <x:f>MAX(0,MIN(BK1148,IF(AND(H1148=1,C1148="重要关系7",LEFT('幕间与结算'!H1055,8)="建立新的重要关系"),'幕间与结算'!E1055+E1148,BW1147+IF(C1148="重要关系7",E1148,0)+IF(AND(C1148="魅力",E1148&lt;0),E1148,0))))</x:f>
        <x:v>0</x:v>
      </x:c>
    </x:row>
    <x:row r="1149">
      <x:c r="A1149" t="str">
        <x:f>IFERROR(TEXT(VALUE('幕间与结算'!A1056),"00"),"")</x:f>
        <x:v>00</x:v>
      </x:c>
      <x:c r="B1149">
        <x:f>'幕间与结算'!B1056</x:f>
        <x:v>0</x:v>
      </x:c>
      <x:c r="C1149">
        <x:f>'幕间与结算'!D1056</x:f>
        <x:v>0</x:v>
      </x:c>
      <x:c r="D1149">
        <x:f>'幕间与结算'!F1056</x:f>
        <x:v>0</x:v>
      </x:c>
      <x:c r="E1149">
        <x:f>IF(H1149=1,MAX(-'幕间与结算'!E1056,MIN(D1149,IF(LEFT(C1149,3)="技能：",99,IF(COUNTIF($L$2:$L$7,C1149)&gt;0,18,999))-'幕间与结算'!E1056)),0)</x:f>
        <x:v>0</x:v>
      </x:c>
      <x:c r="F1149" t="str">
        <x:f>IF(C1149=0,"",IF(G1149=0,"记录不完整",IF(H1149=0,"重复未计","已计入")))</x:f>
        <x:v/>
      </x:c>
      <x:c r="G1149">
        <x:f>IF(AND(AND('幕间与结算'!A1056&lt;&gt;"",'幕间与结算'!B1056&lt;&gt;"",'幕间与结算'!I1056&lt;&gt;"",OR(LEFT(C1149,3)="技能：",COUNTIF($L$2:$L$19,C1149)&gt;0),ISNUMBER('幕间与结算'!E1056),ISNUMBER('幕间与结算'!F1056),ISNUMBER('幕间与结算'!G1056),'幕间与结算'!E1056&gt;=0,'幕间与结算'!G1056='幕间与结算'!E1056+'幕间与结算'!F1056),OR(B1149&lt;&gt;"成长",AND(LEFT(C1149,3)="技能：",C1149&lt;&gt;"技能：非自然知识",'幕间与结算'!E1056&gt;=1,'幕间与结算'!E1056&lt;=99,'幕间与结算'!F1056&gt;=0,'幕间与结算'!F1056&lt;=4,'幕间与结算'!G1056&lt;=99))),1,0)</x:f>
        <x:v>0</x:v>
      </x:c>
      <x:c r="H1149">
        <x:f>IF(AND(G1149=1,COUNTIFS($I$200:I1149,I1149,$G$200:G1149,1)=1),1,0)</x:f>
        <x:v>0</x:v>
      </x:c>
      <x:c r="I1149" t="str">
        <x:f>IF(G1149=1,IF(B1149="成长",A1149&amp;"-成长-"&amp;C1149,'幕间与结算'!I1056),"")</x:f>
        <x:v/>
      </x:c>
      <x:c r="BF1149">
        <x:f>MAX(0,MIN(18,BF1148+IF(C1149="力量",E1149,0)))</x:f>
        <x:v>0</x:v>
      </x:c>
      <x:c r="BG1149">
        <x:f>MAX(0,MIN(18,BG1148+IF(C1149="体质",E1149,0)))</x:f>
        <x:v>0</x:v>
      </x:c>
      <x:c r="BH1149">
        <x:f>MAX(0,MIN(18,BH1148+IF(C1149="敏捷",E1149,0)))</x:f>
        <x:v>0</x:v>
      </x:c>
      <x:c r="BI1149">
        <x:f>MAX(0,MIN(18,BI1148+IF(C1149="智力",E1149,0)))</x:f>
        <x:v>0</x:v>
      </x:c>
      <x:c r="BJ1149">
        <x:f>MAX(0,MIN(18,BJ1148+IF(C1149="意志",E1149,0)))</x:f>
        <x:v>0</x:v>
      </x:c>
      <x:c r="BK1149">
        <x:f>MAX(0,MIN(18,BK1148+IF(C1149="魅力",E1149,0)))</x:f>
        <x:v>0</x:v>
      </x:c>
      <x:c r="BL1149">
        <x:f>MAX(0,MIN(99,BL1148+IF(C1149="技能：非自然知识",E1149,0)))</x:f>
        <x:v>0</x:v>
      </x:c>
      <x:c r="BM1149">
        <x:f>MAX(0,MIN(CEILING((BF1149+BG1149)/2,1),BM1148+IF(C1149="体力",E1149,0)))</x:f>
        <x:v>0</x:v>
      </x:c>
      <x:c r="BN1149">
        <x:f>MAX(0,MIN(BJ1149,BN1148+IF(C1149="毅力",E1149,0)))</x:f>
        <x:v>0</x:v>
      </x:c>
      <x:c r="BO1149">
        <x:f>MAX(0,MIN(99-BL1149,BO1148+IF(C1149="理智",E1149,0)))</x:f>
        <x:v>0</x:v>
      </x:c>
      <x:c r="BP1149">
        <x:f>MAX(0,MIN(99,BP1148+IF(C1149="崩溃点",E1149,0)))</x:f>
        <x:v>0</x:v>
      </x:c>
      <x:c r="BQ1149">
        <x:f>MAX(0,MIN(BK1149,IF(AND(H1149=1,C1149="重要关系1",LEFT('幕间与结算'!H1056,8)="建立新的重要关系"),'幕间与结算'!E1056+E1149,BQ1148+IF(C1149="重要关系1",E1149,0)+IF(AND(C1149="魅力",E1149&lt;0),E1149,0))))</x:f>
        <x:v>0</x:v>
      </x:c>
      <x:c r="BR1149">
        <x:f>MAX(0,MIN(BK1149,IF(AND(H1149=1,C1149="重要关系2",LEFT('幕间与结算'!H1056,8)="建立新的重要关系"),'幕间与结算'!E1056+E1149,BR1148+IF(C1149="重要关系2",E1149,0)+IF(AND(C1149="魅力",E1149&lt;0),E1149,0))))</x:f>
        <x:v>0</x:v>
      </x:c>
      <x:c r="BS1149">
        <x:f>MAX(0,MIN(BK1149,IF(AND(H1149=1,C1149="重要关系3",LEFT('幕间与结算'!H1056,8)="建立新的重要关系"),'幕间与结算'!E1056+E1149,BS1148+IF(C1149="重要关系3",E1149,0)+IF(AND(C1149="魅力",E1149&lt;0),E1149,0))))</x:f>
        <x:v>0</x:v>
      </x:c>
      <x:c r="BT1149">
        <x:f>MAX(0,MIN(BK1149,IF(AND(H1149=1,C1149="重要关系4",LEFT('幕间与结算'!H1056,8)="建立新的重要关系"),'幕间与结算'!E1056+E1149,BT1148+IF(C1149="重要关系4",E1149,0)+IF(AND(C1149="魅力",E1149&lt;0),E1149,0))))</x:f>
        <x:v>0</x:v>
      </x:c>
      <x:c r="BU1149">
        <x:f>MAX(0,MIN(BK1149,IF(AND(H1149=1,C1149="重要关系5",LEFT('幕间与结算'!H1056,8)="建立新的重要关系"),'幕间与结算'!E1056+E1149,BU1148+IF(C1149="重要关系5",E1149,0)+IF(AND(C1149="魅力",E1149&lt;0),E1149,0))))</x:f>
        <x:v>0</x:v>
      </x:c>
      <x:c r="BV1149">
        <x:f>MAX(0,MIN(BK1149,IF(AND(H1149=1,C1149="重要关系6",LEFT('幕间与结算'!H1056,8)="建立新的重要关系"),'幕间与结算'!E1056+E1149,BV1148+IF(C1149="重要关系6",E1149,0)+IF(AND(C1149="魅力",E1149&lt;0),E1149,0))))</x:f>
        <x:v>0</x:v>
      </x:c>
      <x:c r="BW1149">
        <x:f>MAX(0,MIN(BK1149,IF(AND(H1149=1,C1149="重要关系7",LEFT('幕间与结算'!H1056,8)="建立新的重要关系"),'幕间与结算'!E1056+E1149,BW1148+IF(C1149="重要关系7",E1149,0)+IF(AND(C1149="魅力",E1149&lt;0),E1149,0))))</x:f>
        <x:v>0</x:v>
      </x:c>
    </x:row>
    <x:row r="1150">
      <x:c r="A1150" t="str">
        <x:f>IFERROR(TEXT(VALUE('幕间与结算'!A1057),"00"),"")</x:f>
        <x:v>00</x:v>
      </x:c>
      <x:c r="B1150">
        <x:f>'幕间与结算'!B1057</x:f>
        <x:v>0</x:v>
      </x:c>
      <x:c r="C1150">
        <x:f>'幕间与结算'!D1057</x:f>
        <x:v>0</x:v>
      </x:c>
      <x:c r="D1150">
        <x:f>'幕间与结算'!F1057</x:f>
        <x:v>0</x:v>
      </x:c>
      <x:c r="E1150">
        <x:f>IF(H1150=1,MAX(-'幕间与结算'!E1057,MIN(D1150,IF(LEFT(C1150,3)="技能：",99,IF(COUNTIF($L$2:$L$7,C1150)&gt;0,18,999))-'幕间与结算'!E1057)),0)</x:f>
        <x:v>0</x:v>
      </x:c>
      <x:c r="F1150" t="str">
        <x:f>IF(C1150=0,"",IF(G1150=0,"记录不完整",IF(H1150=0,"重复未计","已计入")))</x:f>
        <x:v/>
      </x:c>
      <x:c r="G1150">
        <x:f>IF(AND(AND('幕间与结算'!A1057&lt;&gt;"",'幕间与结算'!B1057&lt;&gt;"",'幕间与结算'!I1057&lt;&gt;"",OR(LEFT(C1150,3)="技能：",COUNTIF($L$2:$L$19,C1150)&gt;0),ISNUMBER('幕间与结算'!E1057),ISNUMBER('幕间与结算'!F1057),ISNUMBER('幕间与结算'!G1057),'幕间与结算'!E1057&gt;=0,'幕间与结算'!G1057='幕间与结算'!E1057+'幕间与结算'!F1057),OR(B1150&lt;&gt;"成长",AND(LEFT(C1150,3)="技能：",C1150&lt;&gt;"技能：非自然知识",'幕间与结算'!E1057&gt;=1,'幕间与结算'!E1057&lt;=99,'幕间与结算'!F1057&gt;=0,'幕间与结算'!F1057&lt;=4,'幕间与结算'!G1057&lt;=99))),1,0)</x:f>
        <x:v>0</x:v>
      </x:c>
      <x:c r="H1150">
        <x:f>IF(AND(G1150=1,COUNTIFS($I$200:I1150,I1150,$G$200:G1150,1)=1),1,0)</x:f>
        <x:v>0</x:v>
      </x:c>
      <x:c r="I1150" t="str">
        <x:f>IF(G1150=1,IF(B1150="成长",A1150&amp;"-成长-"&amp;C1150,'幕间与结算'!I1057),"")</x:f>
        <x:v/>
      </x:c>
      <x:c r="BF1150">
        <x:f>MAX(0,MIN(18,BF1149+IF(C1150="力量",E1150,0)))</x:f>
        <x:v>0</x:v>
      </x:c>
      <x:c r="BG1150">
        <x:f>MAX(0,MIN(18,BG1149+IF(C1150="体质",E1150,0)))</x:f>
        <x:v>0</x:v>
      </x:c>
      <x:c r="BH1150">
        <x:f>MAX(0,MIN(18,BH1149+IF(C1150="敏捷",E1150,0)))</x:f>
        <x:v>0</x:v>
      </x:c>
      <x:c r="BI1150">
        <x:f>MAX(0,MIN(18,BI1149+IF(C1150="智力",E1150,0)))</x:f>
        <x:v>0</x:v>
      </x:c>
      <x:c r="BJ1150">
        <x:f>MAX(0,MIN(18,BJ1149+IF(C1150="意志",E1150,0)))</x:f>
        <x:v>0</x:v>
      </x:c>
      <x:c r="BK1150">
        <x:f>MAX(0,MIN(18,BK1149+IF(C1150="魅力",E1150,0)))</x:f>
        <x:v>0</x:v>
      </x:c>
      <x:c r="BL1150">
        <x:f>MAX(0,MIN(99,BL1149+IF(C1150="技能：非自然知识",E1150,0)))</x:f>
        <x:v>0</x:v>
      </x:c>
      <x:c r="BM1150">
        <x:f>MAX(0,MIN(CEILING((BF1150+BG1150)/2,1),BM1149+IF(C1150="体力",E1150,0)))</x:f>
        <x:v>0</x:v>
      </x:c>
      <x:c r="BN1150">
        <x:f>MAX(0,MIN(BJ1150,BN1149+IF(C1150="毅力",E1150,0)))</x:f>
        <x:v>0</x:v>
      </x:c>
      <x:c r="BO1150">
        <x:f>MAX(0,MIN(99-BL1150,BO1149+IF(C1150="理智",E1150,0)))</x:f>
        <x:v>0</x:v>
      </x:c>
      <x:c r="BP1150">
        <x:f>MAX(0,MIN(99,BP1149+IF(C1150="崩溃点",E1150,0)))</x:f>
        <x:v>0</x:v>
      </x:c>
      <x:c r="BQ1150">
        <x:f>MAX(0,MIN(BK1150,IF(AND(H1150=1,C1150="重要关系1",LEFT('幕间与结算'!H1057,8)="建立新的重要关系"),'幕间与结算'!E1057+E1150,BQ1149+IF(C1150="重要关系1",E1150,0)+IF(AND(C1150="魅力",E1150&lt;0),E1150,0))))</x:f>
        <x:v>0</x:v>
      </x:c>
      <x:c r="BR1150">
        <x:f>MAX(0,MIN(BK1150,IF(AND(H1150=1,C1150="重要关系2",LEFT('幕间与结算'!H1057,8)="建立新的重要关系"),'幕间与结算'!E1057+E1150,BR1149+IF(C1150="重要关系2",E1150,0)+IF(AND(C1150="魅力",E1150&lt;0),E1150,0))))</x:f>
        <x:v>0</x:v>
      </x:c>
      <x:c r="BS1150">
        <x:f>MAX(0,MIN(BK1150,IF(AND(H1150=1,C1150="重要关系3",LEFT('幕间与结算'!H1057,8)="建立新的重要关系"),'幕间与结算'!E1057+E1150,BS1149+IF(C1150="重要关系3",E1150,0)+IF(AND(C1150="魅力",E1150&lt;0),E1150,0))))</x:f>
        <x:v>0</x:v>
      </x:c>
      <x:c r="BT1150">
        <x:f>MAX(0,MIN(BK1150,IF(AND(H1150=1,C1150="重要关系4",LEFT('幕间与结算'!H1057,8)="建立新的重要关系"),'幕间与结算'!E1057+E1150,BT1149+IF(C1150="重要关系4",E1150,0)+IF(AND(C1150="魅力",E1150&lt;0),E1150,0))))</x:f>
        <x:v>0</x:v>
      </x:c>
      <x:c r="BU1150">
        <x:f>MAX(0,MIN(BK1150,IF(AND(H1150=1,C1150="重要关系5",LEFT('幕间与结算'!H1057,8)="建立新的重要关系"),'幕间与结算'!E1057+E1150,BU1149+IF(C1150="重要关系5",E1150,0)+IF(AND(C1150="魅力",E1150&lt;0),E1150,0))))</x:f>
        <x:v>0</x:v>
      </x:c>
      <x:c r="BV1150">
        <x:f>MAX(0,MIN(BK1150,IF(AND(H1150=1,C1150="重要关系6",LEFT('幕间与结算'!H1057,8)="建立新的重要关系"),'幕间与结算'!E1057+E1150,BV1149+IF(C1150="重要关系6",E1150,0)+IF(AND(C1150="魅力",E1150&lt;0),E1150,0))))</x:f>
        <x:v>0</x:v>
      </x:c>
      <x:c r="BW1150">
        <x:f>MAX(0,MIN(BK1150,IF(AND(H1150=1,C1150="重要关系7",LEFT('幕间与结算'!H1057,8)="建立新的重要关系"),'幕间与结算'!E1057+E1150,BW1149+IF(C1150="重要关系7",E1150,0)+IF(AND(C1150="魅力",E1150&lt;0),E1150,0))))</x:f>
        <x:v>0</x:v>
      </x:c>
    </x:row>
    <x:row r="1151">
      <x:c r="A1151" t="str">
        <x:f>IFERROR(TEXT(VALUE('幕间与结算'!A1058),"00"),"")</x:f>
        <x:v>00</x:v>
      </x:c>
      <x:c r="B1151">
        <x:f>'幕间与结算'!B1058</x:f>
        <x:v>0</x:v>
      </x:c>
      <x:c r="C1151">
        <x:f>'幕间与结算'!D1058</x:f>
        <x:v>0</x:v>
      </x:c>
      <x:c r="D1151">
        <x:f>'幕间与结算'!F1058</x:f>
        <x:v>0</x:v>
      </x:c>
      <x:c r="E1151">
        <x:f>IF(H1151=1,MAX(-'幕间与结算'!E1058,MIN(D1151,IF(LEFT(C1151,3)="技能：",99,IF(COUNTIF($L$2:$L$7,C1151)&gt;0,18,999))-'幕间与结算'!E1058)),0)</x:f>
        <x:v>0</x:v>
      </x:c>
      <x:c r="F1151" t="str">
        <x:f>IF(C1151=0,"",IF(G1151=0,"记录不完整",IF(H1151=0,"重复未计","已计入")))</x:f>
        <x:v/>
      </x:c>
      <x:c r="G1151">
        <x:f>IF(AND(AND('幕间与结算'!A1058&lt;&gt;"",'幕间与结算'!B1058&lt;&gt;"",'幕间与结算'!I1058&lt;&gt;"",OR(LEFT(C1151,3)="技能：",COUNTIF($L$2:$L$19,C1151)&gt;0),ISNUMBER('幕间与结算'!E1058),ISNUMBER('幕间与结算'!F1058),ISNUMBER('幕间与结算'!G1058),'幕间与结算'!E1058&gt;=0,'幕间与结算'!G1058='幕间与结算'!E1058+'幕间与结算'!F1058),OR(B1151&lt;&gt;"成长",AND(LEFT(C1151,3)="技能：",C1151&lt;&gt;"技能：非自然知识",'幕间与结算'!E1058&gt;=1,'幕间与结算'!E1058&lt;=99,'幕间与结算'!F1058&gt;=0,'幕间与结算'!F1058&lt;=4,'幕间与结算'!G1058&lt;=99))),1,0)</x:f>
        <x:v>0</x:v>
      </x:c>
      <x:c r="H1151">
        <x:f>IF(AND(G1151=1,COUNTIFS($I$200:I1151,I1151,$G$200:G1151,1)=1),1,0)</x:f>
        <x:v>0</x:v>
      </x:c>
      <x:c r="I1151" t="str">
        <x:f>IF(G1151=1,IF(B1151="成长",A1151&amp;"-成长-"&amp;C1151,'幕间与结算'!I1058),"")</x:f>
        <x:v/>
      </x:c>
      <x:c r="BF1151">
        <x:f>MAX(0,MIN(18,BF1150+IF(C1151="力量",E1151,0)))</x:f>
        <x:v>0</x:v>
      </x:c>
      <x:c r="BG1151">
        <x:f>MAX(0,MIN(18,BG1150+IF(C1151="体质",E1151,0)))</x:f>
        <x:v>0</x:v>
      </x:c>
      <x:c r="BH1151">
        <x:f>MAX(0,MIN(18,BH1150+IF(C1151="敏捷",E1151,0)))</x:f>
        <x:v>0</x:v>
      </x:c>
      <x:c r="BI1151">
        <x:f>MAX(0,MIN(18,BI1150+IF(C1151="智力",E1151,0)))</x:f>
        <x:v>0</x:v>
      </x:c>
      <x:c r="BJ1151">
        <x:f>MAX(0,MIN(18,BJ1150+IF(C1151="意志",E1151,0)))</x:f>
        <x:v>0</x:v>
      </x:c>
      <x:c r="BK1151">
        <x:f>MAX(0,MIN(18,BK1150+IF(C1151="魅力",E1151,0)))</x:f>
        <x:v>0</x:v>
      </x:c>
      <x:c r="BL1151">
        <x:f>MAX(0,MIN(99,BL1150+IF(C1151="技能：非自然知识",E1151,0)))</x:f>
        <x:v>0</x:v>
      </x:c>
      <x:c r="BM1151">
        <x:f>MAX(0,MIN(CEILING((BF1151+BG1151)/2,1),BM1150+IF(C1151="体力",E1151,0)))</x:f>
        <x:v>0</x:v>
      </x:c>
      <x:c r="BN1151">
        <x:f>MAX(0,MIN(BJ1151,BN1150+IF(C1151="毅力",E1151,0)))</x:f>
        <x:v>0</x:v>
      </x:c>
      <x:c r="BO1151">
        <x:f>MAX(0,MIN(99-BL1151,BO1150+IF(C1151="理智",E1151,0)))</x:f>
        <x:v>0</x:v>
      </x:c>
      <x:c r="BP1151">
        <x:f>MAX(0,MIN(99,BP1150+IF(C1151="崩溃点",E1151,0)))</x:f>
        <x:v>0</x:v>
      </x:c>
      <x:c r="BQ1151">
        <x:f>MAX(0,MIN(BK1151,IF(AND(H1151=1,C1151="重要关系1",LEFT('幕间与结算'!H1058,8)="建立新的重要关系"),'幕间与结算'!E1058+E1151,BQ1150+IF(C1151="重要关系1",E1151,0)+IF(AND(C1151="魅力",E1151&lt;0),E1151,0))))</x:f>
        <x:v>0</x:v>
      </x:c>
      <x:c r="BR1151">
        <x:f>MAX(0,MIN(BK1151,IF(AND(H1151=1,C1151="重要关系2",LEFT('幕间与结算'!H1058,8)="建立新的重要关系"),'幕间与结算'!E1058+E1151,BR1150+IF(C1151="重要关系2",E1151,0)+IF(AND(C1151="魅力",E1151&lt;0),E1151,0))))</x:f>
        <x:v>0</x:v>
      </x:c>
      <x:c r="BS1151">
        <x:f>MAX(0,MIN(BK1151,IF(AND(H1151=1,C1151="重要关系3",LEFT('幕间与结算'!H1058,8)="建立新的重要关系"),'幕间与结算'!E1058+E1151,BS1150+IF(C1151="重要关系3",E1151,0)+IF(AND(C1151="魅力",E1151&lt;0),E1151,0))))</x:f>
        <x:v>0</x:v>
      </x:c>
      <x:c r="BT1151">
        <x:f>MAX(0,MIN(BK1151,IF(AND(H1151=1,C1151="重要关系4",LEFT('幕间与结算'!H1058,8)="建立新的重要关系"),'幕间与结算'!E1058+E1151,BT1150+IF(C1151="重要关系4",E1151,0)+IF(AND(C1151="魅力",E1151&lt;0),E1151,0))))</x:f>
        <x:v>0</x:v>
      </x:c>
      <x:c r="BU1151">
        <x:f>MAX(0,MIN(BK1151,IF(AND(H1151=1,C1151="重要关系5",LEFT('幕间与结算'!H1058,8)="建立新的重要关系"),'幕间与结算'!E1058+E1151,BU1150+IF(C1151="重要关系5",E1151,0)+IF(AND(C1151="魅力",E1151&lt;0),E1151,0))))</x:f>
        <x:v>0</x:v>
      </x:c>
      <x:c r="BV1151">
        <x:f>MAX(0,MIN(BK1151,IF(AND(H1151=1,C1151="重要关系6",LEFT('幕间与结算'!H1058,8)="建立新的重要关系"),'幕间与结算'!E1058+E1151,BV1150+IF(C1151="重要关系6",E1151,0)+IF(AND(C1151="魅力",E1151&lt;0),E1151,0))))</x:f>
        <x:v>0</x:v>
      </x:c>
      <x:c r="BW1151">
        <x:f>MAX(0,MIN(BK1151,IF(AND(H1151=1,C1151="重要关系7",LEFT('幕间与结算'!H1058,8)="建立新的重要关系"),'幕间与结算'!E1058+E1151,BW1150+IF(C1151="重要关系7",E1151,0)+IF(AND(C1151="魅力",E1151&lt;0),E1151,0))))</x:f>
        <x:v>0</x:v>
      </x:c>
    </x:row>
    <x:row r="1152">
      <x:c r="A1152" t="str">
        <x:f>IFERROR(TEXT(VALUE('幕间与结算'!A1059),"00"),"")</x:f>
        <x:v>00</x:v>
      </x:c>
      <x:c r="B1152">
        <x:f>'幕间与结算'!B1059</x:f>
        <x:v>0</x:v>
      </x:c>
      <x:c r="C1152">
        <x:f>'幕间与结算'!D1059</x:f>
        <x:v>0</x:v>
      </x:c>
      <x:c r="D1152">
        <x:f>'幕间与结算'!F1059</x:f>
        <x:v>0</x:v>
      </x:c>
      <x:c r="E1152">
        <x:f>IF(H1152=1,MAX(-'幕间与结算'!E1059,MIN(D1152,IF(LEFT(C1152,3)="技能：",99,IF(COUNTIF($L$2:$L$7,C1152)&gt;0,18,999))-'幕间与结算'!E1059)),0)</x:f>
        <x:v>0</x:v>
      </x:c>
      <x:c r="F1152" t="str">
        <x:f>IF(C1152=0,"",IF(G1152=0,"记录不完整",IF(H1152=0,"重复未计","已计入")))</x:f>
        <x:v/>
      </x:c>
      <x:c r="G1152">
        <x:f>IF(AND(AND('幕间与结算'!A1059&lt;&gt;"",'幕间与结算'!B1059&lt;&gt;"",'幕间与结算'!I1059&lt;&gt;"",OR(LEFT(C1152,3)="技能：",COUNTIF($L$2:$L$19,C1152)&gt;0),ISNUMBER('幕间与结算'!E1059),ISNUMBER('幕间与结算'!F1059),ISNUMBER('幕间与结算'!G1059),'幕间与结算'!E1059&gt;=0,'幕间与结算'!G1059='幕间与结算'!E1059+'幕间与结算'!F1059),OR(B1152&lt;&gt;"成长",AND(LEFT(C1152,3)="技能：",C1152&lt;&gt;"技能：非自然知识",'幕间与结算'!E1059&gt;=1,'幕间与结算'!E1059&lt;=99,'幕间与结算'!F1059&gt;=0,'幕间与结算'!F1059&lt;=4,'幕间与结算'!G1059&lt;=99))),1,0)</x:f>
        <x:v>0</x:v>
      </x:c>
      <x:c r="H1152">
        <x:f>IF(AND(G1152=1,COUNTIFS($I$200:I1152,I1152,$G$200:G1152,1)=1),1,0)</x:f>
        <x:v>0</x:v>
      </x:c>
      <x:c r="I1152" t="str">
        <x:f>IF(G1152=1,IF(B1152="成长",A1152&amp;"-成长-"&amp;C1152,'幕间与结算'!I1059),"")</x:f>
        <x:v/>
      </x:c>
      <x:c r="BF1152">
        <x:f>MAX(0,MIN(18,BF1151+IF(C1152="力量",E1152,0)))</x:f>
        <x:v>0</x:v>
      </x:c>
      <x:c r="BG1152">
        <x:f>MAX(0,MIN(18,BG1151+IF(C1152="体质",E1152,0)))</x:f>
        <x:v>0</x:v>
      </x:c>
      <x:c r="BH1152">
        <x:f>MAX(0,MIN(18,BH1151+IF(C1152="敏捷",E1152,0)))</x:f>
        <x:v>0</x:v>
      </x:c>
      <x:c r="BI1152">
        <x:f>MAX(0,MIN(18,BI1151+IF(C1152="智力",E1152,0)))</x:f>
        <x:v>0</x:v>
      </x:c>
      <x:c r="BJ1152">
        <x:f>MAX(0,MIN(18,BJ1151+IF(C1152="意志",E1152,0)))</x:f>
        <x:v>0</x:v>
      </x:c>
      <x:c r="BK1152">
        <x:f>MAX(0,MIN(18,BK1151+IF(C1152="魅力",E1152,0)))</x:f>
        <x:v>0</x:v>
      </x:c>
      <x:c r="BL1152">
        <x:f>MAX(0,MIN(99,BL1151+IF(C1152="技能：非自然知识",E1152,0)))</x:f>
        <x:v>0</x:v>
      </x:c>
      <x:c r="BM1152">
        <x:f>MAX(0,MIN(CEILING((BF1152+BG1152)/2,1),BM1151+IF(C1152="体力",E1152,0)))</x:f>
        <x:v>0</x:v>
      </x:c>
      <x:c r="BN1152">
        <x:f>MAX(0,MIN(BJ1152,BN1151+IF(C1152="毅力",E1152,0)))</x:f>
        <x:v>0</x:v>
      </x:c>
      <x:c r="BO1152">
        <x:f>MAX(0,MIN(99-BL1152,BO1151+IF(C1152="理智",E1152,0)))</x:f>
        <x:v>0</x:v>
      </x:c>
      <x:c r="BP1152">
        <x:f>MAX(0,MIN(99,BP1151+IF(C1152="崩溃点",E1152,0)))</x:f>
        <x:v>0</x:v>
      </x:c>
      <x:c r="BQ1152">
        <x:f>MAX(0,MIN(BK1152,IF(AND(H1152=1,C1152="重要关系1",LEFT('幕间与结算'!H1059,8)="建立新的重要关系"),'幕间与结算'!E1059+E1152,BQ1151+IF(C1152="重要关系1",E1152,0)+IF(AND(C1152="魅力",E1152&lt;0),E1152,0))))</x:f>
        <x:v>0</x:v>
      </x:c>
      <x:c r="BR1152">
        <x:f>MAX(0,MIN(BK1152,IF(AND(H1152=1,C1152="重要关系2",LEFT('幕间与结算'!H1059,8)="建立新的重要关系"),'幕间与结算'!E1059+E1152,BR1151+IF(C1152="重要关系2",E1152,0)+IF(AND(C1152="魅力",E1152&lt;0),E1152,0))))</x:f>
        <x:v>0</x:v>
      </x:c>
      <x:c r="BS1152">
        <x:f>MAX(0,MIN(BK1152,IF(AND(H1152=1,C1152="重要关系3",LEFT('幕间与结算'!H1059,8)="建立新的重要关系"),'幕间与结算'!E1059+E1152,BS1151+IF(C1152="重要关系3",E1152,0)+IF(AND(C1152="魅力",E1152&lt;0),E1152,0))))</x:f>
        <x:v>0</x:v>
      </x:c>
      <x:c r="BT1152">
        <x:f>MAX(0,MIN(BK1152,IF(AND(H1152=1,C1152="重要关系4",LEFT('幕间与结算'!H1059,8)="建立新的重要关系"),'幕间与结算'!E1059+E1152,BT1151+IF(C1152="重要关系4",E1152,0)+IF(AND(C1152="魅力",E1152&lt;0),E1152,0))))</x:f>
        <x:v>0</x:v>
      </x:c>
      <x:c r="BU1152">
        <x:f>MAX(0,MIN(BK1152,IF(AND(H1152=1,C1152="重要关系5",LEFT('幕间与结算'!H1059,8)="建立新的重要关系"),'幕间与结算'!E1059+E1152,BU1151+IF(C1152="重要关系5",E1152,0)+IF(AND(C1152="魅力",E1152&lt;0),E1152,0))))</x:f>
        <x:v>0</x:v>
      </x:c>
      <x:c r="BV1152">
        <x:f>MAX(0,MIN(BK1152,IF(AND(H1152=1,C1152="重要关系6",LEFT('幕间与结算'!H1059,8)="建立新的重要关系"),'幕间与结算'!E1059+E1152,BV1151+IF(C1152="重要关系6",E1152,0)+IF(AND(C1152="魅力",E1152&lt;0),E1152,0))))</x:f>
        <x:v>0</x:v>
      </x:c>
      <x:c r="BW1152">
        <x:f>MAX(0,MIN(BK1152,IF(AND(H1152=1,C1152="重要关系7",LEFT('幕间与结算'!H1059,8)="建立新的重要关系"),'幕间与结算'!E1059+E1152,BW1151+IF(C1152="重要关系7",E1152,0)+IF(AND(C1152="魅力",E1152&lt;0),E1152,0))))</x:f>
        <x:v>0</x:v>
      </x:c>
    </x:row>
    <x:row r="1153">
      <x:c r="A1153" t="str">
        <x:f>IFERROR(TEXT(VALUE('幕间与结算'!A1060),"00"),"")</x:f>
        <x:v>00</x:v>
      </x:c>
      <x:c r="B1153">
        <x:f>'幕间与结算'!B1060</x:f>
        <x:v>0</x:v>
      </x:c>
      <x:c r="C1153">
        <x:f>'幕间与结算'!D1060</x:f>
        <x:v>0</x:v>
      </x:c>
      <x:c r="D1153">
        <x:f>'幕间与结算'!F1060</x:f>
        <x:v>0</x:v>
      </x:c>
      <x:c r="E1153">
        <x:f>IF(H1153=1,MAX(-'幕间与结算'!E1060,MIN(D1153,IF(LEFT(C1153,3)="技能：",99,IF(COUNTIF($L$2:$L$7,C1153)&gt;0,18,999))-'幕间与结算'!E1060)),0)</x:f>
        <x:v>0</x:v>
      </x:c>
      <x:c r="F1153" t="str">
        <x:f>IF(C1153=0,"",IF(G1153=0,"记录不完整",IF(H1153=0,"重复未计","已计入")))</x:f>
        <x:v/>
      </x:c>
      <x:c r="G1153">
        <x:f>IF(AND(AND('幕间与结算'!A1060&lt;&gt;"",'幕间与结算'!B1060&lt;&gt;"",'幕间与结算'!I1060&lt;&gt;"",OR(LEFT(C1153,3)="技能：",COUNTIF($L$2:$L$19,C1153)&gt;0),ISNUMBER('幕间与结算'!E1060),ISNUMBER('幕间与结算'!F1060),ISNUMBER('幕间与结算'!G1060),'幕间与结算'!E1060&gt;=0,'幕间与结算'!G1060='幕间与结算'!E1060+'幕间与结算'!F1060),OR(B1153&lt;&gt;"成长",AND(LEFT(C1153,3)="技能：",C1153&lt;&gt;"技能：非自然知识",'幕间与结算'!E1060&gt;=1,'幕间与结算'!E1060&lt;=99,'幕间与结算'!F1060&gt;=0,'幕间与结算'!F1060&lt;=4,'幕间与结算'!G1060&lt;=99))),1,0)</x:f>
        <x:v>0</x:v>
      </x:c>
      <x:c r="H1153">
        <x:f>IF(AND(G1153=1,COUNTIFS($I$200:I1153,I1153,$G$200:G1153,1)=1),1,0)</x:f>
        <x:v>0</x:v>
      </x:c>
      <x:c r="I1153" t="str">
        <x:f>IF(G1153=1,IF(B1153="成长",A1153&amp;"-成长-"&amp;C1153,'幕间与结算'!I1060),"")</x:f>
        <x:v/>
      </x:c>
      <x:c r="BF1153">
        <x:f>MAX(0,MIN(18,BF1152+IF(C1153="力量",E1153,0)))</x:f>
        <x:v>0</x:v>
      </x:c>
      <x:c r="BG1153">
        <x:f>MAX(0,MIN(18,BG1152+IF(C1153="体质",E1153,0)))</x:f>
        <x:v>0</x:v>
      </x:c>
      <x:c r="BH1153">
        <x:f>MAX(0,MIN(18,BH1152+IF(C1153="敏捷",E1153,0)))</x:f>
        <x:v>0</x:v>
      </x:c>
      <x:c r="BI1153">
        <x:f>MAX(0,MIN(18,BI1152+IF(C1153="智力",E1153,0)))</x:f>
        <x:v>0</x:v>
      </x:c>
      <x:c r="BJ1153">
        <x:f>MAX(0,MIN(18,BJ1152+IF(C1153="意志",E1153,0)))</x:f>
        <x:v>0</x:v>
      </x:c>
      <x:c r="BK1153">
        <x:f>MAX(0,MIN(18,BK1152+IF(C1153="魅力",E1153,0)))</x:f>
        <x:v>0</x:v>
      </x:c>
      <x:c r="BL1153">
        <x:f>MAX(0,MIN(99,BL1152+IF(C1153="技能：非自然知识",E1153,0)))</x:f>
        <x:v>0</x:v>
      </x:c>
      <x:c r="BM1153">
        <x:f>MAX(0,MIN(CEILING((BF1153+BG1153)/2,1),BM1152+IF(C1153="体力",E1153,0)))</x:f>
        <x:v>0</x:v>
      </x:c>
      <x:c r="BN1153">
        <x:f>MAX(0,MIN(BJ1153,BN1152+IF(C1153="毅力",E1153,0)))</x:f>
        <x:v>0</x:v>
      </x:c>
      <x:c r="BO1153">
        <x:f>MAX(0,MIN(99-BL1153,BO1152+IF(C1153="理智",E1153,0)))</x:f>
        <x:v>0</x:v>
      </x:c>
      <x:c r="BP1153">
        <x:f>MAX(0,MIN(99,BP1152+IF(C1153="崩溃点",E1153,0)))</x:f>
        <x:v>0</x:v>
      </x:c>
      <x:c r="BQ1153">
        <x:f>MAX(0,MIN(BK1153,IF(AND(H1153=1,C1153="重要关系1",LEFT('幕间与结算'!H1060,8)="建立新的重要关系"),'幕间与结算'!E1060+E1153,BQ1152+IF(C1153="重要关系1",E1153,0)+IF(AND(C1153="魅力",E1153&lt;0),E1153,0))))</x:f>
        <x:v>0</x:v>
      </x:c>
      <x:c r="BR1153">
        <x:f>MAX(0,MIN(BK1153,IF(AND(H1153=1,C1153="重要关系2",LEFT('幕间与结算'!H1060,8)="建立新的重要关系"),'幕间与结算'!E1060+E1153,BR1152+IF(C1153="重要关系2",E1153,0)+IF(AND(C1153="魅力",E1153&lt;0),E1153,0))))</x:f>
        <x:v>0</x:v>
      </x:c>
      <x:c r="BS1153">
        <x:f>MAX(0,MIN(BK1153,IF(AND(H1153=1,C1153="重要关系3",LEFT('幕间与结算'!H1060,8)="建立新的重要关系"),'幕间与结算'!E1060+E1153,BS1152+IF(C1153="重要关系3",E1153,0)+IF(AND(C1153="魅力",E1153&lt;0),E1153,0))))</x:f>
        <x:v>0</x:v>
      </x:c>
      <x:c r="BT1153">
        <x:f>MAX(0,MIN(BK1153,IF(AND(H1153=1,C1153="重要关系4",LEFT('幕间与结算'!H1060,8)="建立新的重要关系"),'幕间与结算'!E1060+E1153,BT1152+IF(C1153="重要关系4",E1153,0)+IF(AND(C1153="魅力",E1153&lt;0),E1153,0))))</x:f>
        <x:v>0</x:v>
      </x:c>
      <x:c r="BU1153">
        <x:f>MAX(0,MIN(BK1153,IF(AND(H1153=1,C1153="重要关系5",LEFT('幕间与结算'!H1060,8)="建立新的重要关系"),'幕间与结算'!E1060+E1153,BU1152+IF(C1153="重要关系5",E1153,0)+IF(AND(C1153="魅力",E1153&lt;0),E1153,0))))</x:f>
        <x:v>0</x:v>
      </x:c>
      <x:c r="BV1153">
        <x:f>MAX(0,MIN(BK1153,IF(AND(H1153=1,C1153="重要关系6",LEFT('幕间与结算'!H1060,8)="建立新的重要关系"),'幕间与结算'!E1060+E1153,BV1152+IF(C1153="重要关系6",E1153,0)+IF(AND(C1153="魅力",E1153&lt;0),E1153,0))))</x:f>
        <x:v>0</x:v>
      </x:c>
      <x:c r="BW1153">
        <x:f>MAX(0,MIN(BK1153,IF(AND(H1153=1,C1153="重要关系7",LEFT('幕间与结算'!H1060,8)="建立新的重要关系"),'幕间与结算'!E1060+E1153,BW1152+IF(C1153="重要关系7",E1153,0)+IF(AND(C1153="魅力",E1153&lt;0),E1153,0))))</x:f>
        <x:v>0</x:v>
      </x:c>
    </x:row>
    <x:row r="1154">
      <x:c r="A1154" t="str">
        <x:f>IFERROR(TEXT(VALUE('幕间与结算'!A1061),"00"),"")</x:f>
        <x:v>00</x:v>
      </x:c>
      <x:c r="B1154">
        <x:f>'幕间与结算'!B1061</x:f>
        <x:v>0</x:v>
      </x:c>
      <x:c r="C1154">
        <x:f>'幕间与结算'!D1061</x:f>
        <x:v>0</x:v>
      </x:c>
      <x:c r="D1154">
        <x:f>'幕间与结算'!F1061</x:f>
        <x:v>0</x:v>
      </x:c>
      <x:c r="E1154">
        <x:f>IF(H1154=1,MAX(-'幕间与结算'!E1061,MIN(D1154,IF(LEFT(C1154,3)="技能：",99,IF(COUNTIF($L$2:$L$7,C1154)&gt;0,18,999))-'幕间与结算'!E1061)),0)</x:f>
        <x:v>0</x:v>
      </x:c>
      <x:c r="F1154" t="str">
        <x:f>IF(C1154=0,"",IF(G1154=0,"记录不完整",IF(H1154=0,"重复未计","已计入")))</x:f>
        <x:v/>
      </x:c>
      <x:c r="G1154">
        <x:f>IF(AND(AND('幕间与结算'!A1061&lt;&gt;"",'幕间与结算'!B1061&lt;&gt;"",'幕间与结算'!I1061&lt;&gt;"",OR(LEFT(C1154,3)="技能：",COUNTIF($L$2:$L$19,C1154)&gt;0),ISNUMBER('幕间与结算'!E1061),ISNUMBER('幕间与结算'!F1061),ISNUMBER('幕间与结算'!G1061),'幕间与结算'!E1061&gt;=0,'幕间与结算'!G1061='幕间与结算'!E1061+'幕间与结算'!F1061),OR(B1154&lt;&gt;"成长",AND(LEFT(C1154,3)="技能：",C1154&lt;&gt;"技能：非自然知识",'幕间与结算'!E1061&gt;=1,'幕间与结算'!E1061&lt;=99,'幕间与结算'!F1061&gt;=0,'幕间与结算'!F1061&lt;=4,'幕间与结算'!G1061&lt;=99))),1,0)</x:f>
        <x:v>0</x:v>
      </x:c>
      <x:c r="H1154">
        <x:f>IF(AND(G1154=1,COUNTIFS($I$200:I1154,I1154,$G$200:G1154,1)=1),1,0)</x:f>
        <x:v>0</x:v>
      </x:c>
      <x:c r="I1154" t="str">
        <x:f>IF(G1154=1,IF(B1154="成长",A1154&amp;"-成长-"&amp;C1154,'幕间与结算'!I1061),"")</x:f>
        <x:v/>
      </x:c>
      <x:c r="BF1154">
        <x:f>MAX(0,MIN(18,BF1153+IF(C1154="力量",E1154,0)))</x:f>
        <x:v>0</x:v>
      </x:c>
      <x:c r="BG1154">
        <x:f>MAX(0,MIN(18,BG1153+IF(C1154="体质",E1154,0)))</x:f>
        <x:v>0</x:v>
      </x:c>
      <x:c r="BH1154">
        <x:f>MAX(0,MIN(18,BH1153+IF(C1154="敏捷",E1154,0)))</x:f>
        <x:v>0</x:v>
      </x:c>
      <x:c r="BI1154">
        <x:f>MAX(0,MIN(18,BI1153+IF(C1154="智力",E1154,0)))</x:f>
        <x:v>0</x:v>
      </x:c>
      <x:c r="BJ1154">
        <x:f>MAX(0,MIN(18,BJ1153+IF(C1154="意志",E1154,0)))</x:f>
        <x:v>0</x:v>
      </x:c>
      <x:c r="BK1154">
        <x:f>MAX(0,MIN(18,BK1153+IF(C1154="魅力",E1154,0)))</x:f>
        <x:v>0</x:v>
      </x:c>
      <x:c r="BL1154">
        <x:f>MAX(0,MIN(99,BL1153+IF(C1154="技能：非自然知识",E1154,0)))</x:f>
        <x:v>0</x:v>
      </x:c>
      <x:c r="BM1154">
        <x:f>MAX(0,MIN(CEILING((BF1154+BG1154)/2,1),BM1153+IF(C1154="体力",E1154,0)))</x:f>
        <x:v>0</x:v>
      </x:c>
      <x:c r="BN1154">
        <x:f>MAX(0,MIN(BJ1154,BN1153+IF(C1154="毅力",E1154,0)))</x:f>
        <x:v>0</x:v>
      </x:c>
      <x:c r="BO1154">
        <x:f>MAX(0,MIN(99-BL1154,BO1153+IF(C1154="理智",E1154,0)))</x:f>
        <x:v>0</x:v>
      </x:c>
      <x:c r="BP1154">
        <x:f>MAX(0,MIN(99,BP1153+IF(C1154="崩溃点",E1154,0)))</x:f>
        <x:v>0</x:v>
      </x:c>
      <x:c r="BQ1154">
        <x:f>MAX(0,MIN(BK1154,IF(AND(H1154=1,C1154="重要关系1",LEFT('幕间与结算'!H1061,8)="建立新的重要关系"),'幕间与结算'!E1061+E1154,BQ1153+IF(C1154="重要关系1",E1154,0)+IF(AND(C1154="魅力",E1154&lt;0),E1154,0))))</x:f>
        <x:v>0</x:v>
      </x:c>
      <x:c r="BR1154">
        <x:f>MAX(0,MIN(BK1154,IF(AND(H1154=1,C1154="重要关系2",LEFT('幕间与结算'!H1061,8)="建立新的重要关系"),'幕间与结算'!E1061+E1154,BR1153+IF(C1154="重要关系2",E1154,0)+IF(AND(C1154="魅力",E1154&lt;0),E1154,0))))</x:f>
        <x:v>0</x:v>
      </x:c>
      <x:c r="BS1154">
        <x:f>MAX(0,MIN(BK1154,IF(AND(H1154=1,C1154="重要关系3",LEFT('幕间与结算'!H1061,8)="建立新的重要关系"),'幕间与结算'!E1061+E1154,BS1153+IF(C1154="重要关系3",E1154,0)+IF(AND(C1154="魅力",E1154&lt;0),E1154,0))))</x:f>
        <x:v>0</x:v>
      </x:c>
      <x:c r="BT1154">
        <x:f>MAX(0,MIN(BK1154,IF(AND(H1154=1,C1154="重要关系4",LEFT('幕间与结算'!H1061,8)="建立新的重要关系"),'幕间与结算'!E1061+E1154,BT1153+IF(C1154="重要关系4",E1154,0)+IF(AND(C1154="魅力",E1154&lt;0),E1154,0))))</x:f>
        <x:v>0</x:v>
      </x:c>
      <x:c r="BU1154">
        <x:f>MAX(0,MIN(BK1154,IF(AND(H1154=1,C1154="重要关系5",LEFT('幕间与结算'!H1061,8)="建立新的重要关系"),'幕间与结算'!E1061+E1154,BU1153+IF(C1154="重要关系5",E1154,0)+IF(AND(C1154="魅力",E1154&lt;0),E1154,0))))</x:f>
        <x:v>0</x:v>
      </x:c>
      <x:c r="BV1154">
        <x:f>MAX(0,MIN(BK1154,IF(AND(H1154=1,C1154="重要关系6",LEFT('幕间与结算'!H1061,8)="建立新的重要关系"),'幕间与结算'!E1061+E1154,BV1153+IF(C1154="重要关系6",E1154,0)+IF(AND(C1154="魅力",E1154&lt;0),E1154,0))))</x:f>
        <x:v>0</x:v>
      </x:c>
      <x:c r="BW1154">
        <x:f>MAX(0,MIN(BK1154,IF(AND(H1154=1,C1154="重要关系7",LEFT('幕间与结算'!H1061,8)="建立新的重要关系"),'幕间与结算'!E1061+E1154,BW1153+IF(C1154="重要关系7",E1154,0)+IF(AND(C1154="魅力",E1154&lt;0),E1154,0))))</x:f>
        <x:v>0</x:v>
      </x:c>
    </x:row>
    <x:row r="1155">
      <x:c r="A1155" t="str">
        <x:f>IFERROR(TEXT(VALUE('幕间与结算'!A1062),"00"),"")</x:f>
        <x:v>00</x:v>
      </x:c>
      <x:c r="B1155">
        <x:f>'幕间与结算'!B1062</x:f>
        <x:v>0</x:v>
      </x:c>
      <x:c r="C1155">
        <x:f>'幕间与结算'!D1062</x:f>
        <x:v>0</x:v>
      </x:c>
      <x:c r="D1155">
        <x:f>'幕间与结算'!F1062</x:f>
        <x:v>0</x:v>
      </x:c>
      <x:c r="E1155">
        <x:f>IF(H1155=1,MAX(-'幕间与结算'!E1062,MIN(D1155,IF(LEFT(C1155,3)="技能：",99,IF(COUNTIF($L$2:$L$7,C1155)&gt;0,18,999))-'幕间与结算'!E1062)),0)</x:f>
        <x:v>0</x:v>
      </x:c>
      <x:c r="F1155" t="str">
        <x:f>IF(C1155=0,"",IF(G1155=0,"记录不完整",IF(H1155=0,"重复未计","已计入")))</x:f>
        <x:v/>
      </x:c>
      <x:c r="G1155">
        <x:f>IF(AND(AND('幕间与结算'!A1062&lt;&gt;"",'幕间与结算'!B1062&lt;&gt;"",'幕间与结算'!I1062&lt;&gt;"",OR(LEFT(C1155,3)="技能：",COUNTIF($L$2:$L$19,C1155)&gt;0),ISNUMBER('幕间与结算'!E1062),ISNUMBER('幕间与结算'!F1062),ISNUMBER('幕间与结算'!G1062),'幕间与结算'!E1062&gt;=0,'幕间与结算'!G1062='幕间与结算'!E1062+'幕间与结算'!F1062),OR(B1155&lt;&gt;"成长",AND(LEFT(C1155,3)="技能：",C1155&lt;&gt;"技能：非自然知识",'幕间与结算'!E1062&gt;=1,'幕间与结算'!E1062&lt;=99,'幕间与结算'!F1062&gt;=0,'幕间与结算'!F1062&lt;=4,'幕间与结算'!G1062&lt;=99))),1,0)</x:f>
        <x:v>0</x:v>
      </x:c>
      <x:c r="H1155">
        <x:f>IF(AND(G1155=1,COUNTIFS($I$200:I1155,I1155,$G$200:G1155,1)=1),1,0)</x:f>
        <x:v>0</x:v>
      </x:c>
      <x:c r="I1155" t="str">
        <x:f>IF(G1155=1,IF(B1155="成长",A1155&amp;"-成长-"&amp;C1155,'幕间与结算'!I1062),"")</x:f>
        <x:v/>
      </x:c>
      <x:c r="BF1155">
        <x:f>MAX(0,MIN(18,BF1154+IF(C1155="力量",E1155,0)))</x:f>
        <x:v>0</x:v>
      </x:c>
      <x:c r="BG1155">
        <x:f>MAX(0,MIN(18,BG1154+IF(C1155="体质",E1155,0)))</x:f>
        <x:v>0</x:v>
      </x:c>
      <x:c r="BH1155">
        <x:f>MAX(0,MIN(18,BH1154+IF(C1155="敏捷",E1155,0)))</x:f>
        <x:v>0</x:v>
      </x:c>
      <x:c r="BI1155">
        <x:f>MAX(0,MIN(18,BI1154+IF(C1155="智力",E1155,0)))</x:f>
        <x:v>0</x:v>
      </x:c>
      <x:c r="BJ1155">
        <x:f>MAX(0,MIN(18,BJ1154+IF(C1155="意志",E1155,0)))</x:f>
        <x:v>0</x:v>
      </x:c>
      <x:c r="BK1155">
        <x:f>MAX(0,MIN(18,BK1154+IF(C1155="魅力",E1155,0)))</x:f>
        <x:v>0</x:v>
      </x:c>
      <x:c r="BL1155">
        <x:f>MAX(0,MIN(99,BL1154+IF(C1155="技能：非自然知识",E1155,0)))</x:f>
        <x:v>0</x:v>
      </x:c>
      <x:c r="BM1155">
        <x:f>MAX(0,MIN(CEILING((BF1155+BG1155)/2,1),BM1154+IF(C1155="体力",E1155,0)))</x:f>
        <x:v>0</x:v>
      </x:c>
      <x:c r="BN1155">
        <x:f>MAX(0,MIN(BJ1155,BN1154+IF(C1155="毅力",E1155,0)))</x:f>
        <x:v>0</x:v>
      </x:c>
      <x:c r="BO1155">
        <x:f>MAX(0,MIN(99-BL1155,BO1154+IF(C1155="理智",E1155,0)))</x:f>
        <x:v>0</x:v>
      </x:c>
      <x:c r="BP1155">
        <x:f>MAX(0,MIN(99,BP1154+IF(C1155="崩溃点",E1155,0)))</x:f>
        <x:v>0</x:v>
      </x:c>
      <x:c r="BQ1155">
        <x:f>MAX(0,MIN(BK1155,IF(AND(H1155=1,C1155="重要关系1",LEFT('幕间与结算'!H1062,8)="建立新的重要关系"),'幕间与结算'!E1062+E1155,BQ1154+IF(C1155="重要关系1",E1155,0)+IF(AND(C1155="魅力",E1155&lt;0),E1155,0))))</x:f>
        <x:v>0</x:v>
      </x:c>
      <x:c r="BR1155">
        <x:f>MAX(0,MIN(BK1155,IF(AND(H1155=1,C1155="重要关系2",LEFT('幕间与结算'!H1062,8)="建立新的重要关系"),'幕间与结算'!E1062+E1155,BR1154+IF(C1155="重要关系2",E1155,0)+IF(AND(C1155="魅力",E1155&lt;0),E1155,0))))</x:f>
        <x:v>0</x:v>
      </x:c>
      <x:c r="BS1155">
        <x:f>MAX(0,MIN(BK1155,IF(AND(H1155=1,C1155="重要关系3",LEFT('幕间与结算'!H1062,8)="建立新的重要关系"),'幕间与结算'!E1062+E1155,BS1154+IF(C1155="重要关系3",E1155,0)+IF(AND(C1155="魅力",E1155&lt;0),E1155,0))))</x:f>
        <x:v>0</x:v>
      </x:c>
      <x:c r="BT1155">
        <x:f>MAX(0,MIN(BK1155,IF(AND(H1155=1,C1155="重要关系4",LEFT('幕间与结算'!H1062,8)="建立新的重要关系"),'幕间与结算'!E1062+E1155,BT1154+IF(C1155="重要关系4",E1155,0)+IF(AND(C1155="魅力",E1155&lt;0),E1155,0))))</x:f>
        <x:v>0</x:v>
      </x:c>
      <x:c r="BU1155">
        <x:f>MAX(0,MIN(BK1155,IF(AND(H1155=1,C1155="重要关系5",LEFT('幕间与结算'!H1062,8)="建立新的重要关系"),'幕间与结算'!E1062+E1155,BU1154+IF(C1155="重要关系5",E1155,0)+IF(AND(C1155="魅力",E1155&lt;0),E1155,0))))</x:f>
        <x:v>0</x:v>
      </x:c>
      <x:c r="BV1155">
        <x:f>MAX(0,MIN(BK1155,IF(AND(H1155=1,C1155="重要关系6",LEFT('幕间与结算'!H1062,8)="建立新的重要关系"),'幕间与结算'!E1062+E1155,BV1154+IF(C1155="重要关系6",E1155,0)+IF(AND(C1155="魅力",E1155&lt;0),E1155,0))))</x:f>
        <x:v>0</x:v>
      </x:c>
      <x:c r="BW1155">
        <x:f>MAX(0,MIN(BK1155,IF(AND(H1155=1,C1155="重要关系7",LEFT('幕间与结算'!H1062,8)="建立新的重要关系"),'幕间与结算'!E1062+E1155,BW1154+IF(C1155="重要关系7",E1155,0)+IF(AND(C1155="魅力",E1155&lt;0),E1155,0))))</x:f>
        <x:v>0</x:v>
      </x:c>
    </x:row>
    <x:row r="1156">
      <x:c r="A1156" t="str">
        <x:f>IFERROR(TEXT(VALUE('幕间与结算'!A1063),"00"),"")</x:f>
        <x:v>00</x:v>
      </x:c>
      <x:c r="B1156">
        <x:f>'幕间与结算'!B1063</x:f>
        <x:v>0</x:v>
      </x:c>
      <x:c r="C1156">
        <x:f>'幕间与结算'!D1063</x:f>
        <x:v>0</x:v>
      </x:c>
      <x:c r="D1156">
        <x:f>'幕间与结算'!F1063</x:f>
        <x:v>0</x:v>
      </x:c>
      <x:c r="E1156">
        <x:f>IF(H1156=1,MAX(-'幕间与结算'!E1063,MIN(D1156,IF(LEFT(C1156,3)="技能：",99,IF(COUNTIF($L$2:$L$7,C1156)&gt;0,18,999))-'幕间与结算'!E1063)),0)</x:f>
        <x:v>0</x:v>
      </x:c>
      <x:c r="F1156" t="str">
        <x:f>IF(C1156=0,"",IF(G1156=0,"记录不完整",IF(H1156=0,"重复未计","已计入")))</x:f>
        <x:v/>
      </x:c>
      <x:c r="G1156">
        <x:f>IF(AND(AND('幕间与结算'!A1063&lt;&gt;"",'幕间与结算'!B1063&lt;&gt;"",'幕间与结算'!I1063&lt;&gt;"",OR(LEFT(C1156,3)="技能：",COUNTIF($L$2:$L$19,C1156)&gt;0),ISNUMBER('幕间与结算'!E1063),ISNUMBER('幕间与结算'!F1063),ISNUMBER('幕间与结算'!G1063),'幕间与结算'!E1063&gt;=0,'幕间与结算'!G1063='幕间与结算'!E1063+'幕间与结算'!F1063),OR(B1156&lt;&gt;"成长",AND(LEFT(C1156,3)="技能：",C1156&lt;&gt;"技能：非自然知识",'幕间与结算'!E1063&gt;=1,'幕间与结算'!E1063&lt;=99,'幕间与结算'!F1063&gt;=0,'幕间与结算'!F1063&lt;=4,'幕间与结算'!G1063&lt;=99))),1,0)</x:f>
        <x:v>0</x:v>
      </x:c>
      <x:c r="H1156">
        <x:f>IF(AND(G1156=1,COUNTIFS($I$200:I1156,I1156,$G$200:G1156,1)=1),1,0)</x:f>
        <x:v>0</x:v>
      </x:c>
      <x:c r="I1156" t="str">
        <x:f>IF(G1156=1,IF(B1156="成长",A1156&amp;"-成长-"&amp;C1156,'幕间与结算'!I1063),"")</x:f>
        <x:v/>
      </x:c>
      <x:c r="BF1156">
        <x:f>MAX(0,MIN(18,BF1155+IF(C1156="力量",E1156,0)))</x:f>
        <x:v>0</x:v>
      </x:c>
      <x:c r="BG1156">
        <x:f>MAX(0,MIN(18,BG1155+IF(C1156="体质",E1156,0)))</x:f>
        <x:v>0</x:v>
      </x:c>
      <x:c r="BH1156">
        <x:f>MAX(0,MIN(18,BH1155+IF(C1156="敏捷",E1156,0)))</x:f>
        <x:v>0</x:v>
      </x:c>
      <x:c r="BI1156">
        <x:f>MAX(0,MIN(18,BI1155+IF(C1156="智力",E1156,0)))</x:f>
        <x:v>0</x:v>
      </x:c>
      <x:c r="BJ1156">
        <x:f>MAX(0,MIN(18,BJ1155+IF(C1156="意志",E1156,0)))</x:f>
        <x:v>0</x:v>
      </x:c>
      <x:c r="BK1156">
        <x:f>MAX(0,MIN(18,BK1155+IF(C1156="魅力",E1156,0)))</x:f>
        <x:v>0</x:v>
      </x:c>
      <x:c r="BL1156">
        <x:f>MAX(0,MIN(99,BL1155+IF(C1156="技能：非自然知识",E1156,0)))</x:f>
        <x:v>0</x:v>
      </x:c>
      <x:c r="BM1156">
        <x:f>MAX(0,MIN(CEILING((BF1156+BG1156)/2,1),BM1155+IF(C1156="体力",E1156,0)))</x:f>
        <x:v>0</x:v>
      </x:c>
      <x:c r="BN1156">
        <x:f>MAX(0,MIN(BJ1156,BN1155+IF(C1156="毅力",E1156,0)))</x:f>
        <x:v>0</x:v>
      </x:c>
      <x:c r="BO1156">
        <x:f>MAX(0,MIN(99-BL1156,BO1155+IF(C1156="理智",E1156,0)))</x:f>
        <x:v>0</x:v>
      </x:c>
      <x:c r="BP1156">
        <x:f>MAX(0,MIN(99,BP1155+IF(C1156="崩溃点",E1156,0)))</x:f>
        <x:v>0</x:v>
      </x:c>
      <x:c r="BQ1156">
        <x:f>MAX(0,MIN(BK1156,IF(AND(H1156=1,C1156="重要关系1",LEFT('幕间与结算'!H1063,8)="建立新的重要关系"),'幕间与结算'!E1063+E1156,BQ1155+IF(C1156="重要关系1",E1156,0)+IF(AND(C1156="魅力",E1156&lt;0),E1156,0))))</x:f>
        <x:v>0</x:v>
      </x:c>
      <x:c r="BR1156">
        <x:f>MAX(0,MIN(BK1156,IF(AND(H1156=1,C1156="重要关系2",LEFT('幕间与结算'!H1063,8)="建立新的重要关系"),'幕间与结算'!E1063+E1156,BR1155+IF(C1156="重要关系2",E1156,0)+IF(AND(C1156="魅力",E1156&lt;0),E1156,0))))</x:f>
        <x:v>0</x:v>
      </x:c>
      <x:c r="BS1156">
        <x:f>MAX(0,MIN(BK1156,IF(AND(H1156=1,C1156="重要关系3",LEFT('幕间与结算'!H1063,8)="建立新的重要关系"),'幕间与结算'!E1063+E1156,BS1155+IF(C1156="重要关系3",E1156,0)+IF(AND(C1156="魅力",E1156&lt;0),E1156,0))))</x:f>
        <x:v>0</x:v>
      </x:c>
      <x:c r="BT1156">
        <x:f>MAX(0,MIN(BK1156,IF(AND(H1156=1,C1156="重要关系4",LEFT('幕间与结算'!H1063,8)="建立新的重要关系"),'幕间与结算'!E1063+E1156,BT1155+IF(C1156="重要关系4",E1156,0)+IF(AND(C1156="魅力",E1156&lt;0),E1156,0))))</x:f>
        <x:v>0</x:v>
      </x:c>
      <x:c r="BU1156">
        <x:f>MAX(0,MIN(BK1156,IF(AND(H1156=1,C1156="重要关系5",LEFT('幕间与结算'!H1063,8)="建立新的重要关系"),'幕间与结算'!E1063+E1156,BU1155+IF(C1156="重要关系5",E1156,0)+IF(AND(C1156="魅力",E1156&lt;0),E1156,0))))</x:f>
        <x:v>0</x:v>
      </x:c>
      <x:c r="BV1156">
        <x:f>MAX(0,MIN(BK1156,IF(AND(H1156=1,C1156="重要关系6",LEFT('幕间与结算'!H1063,8)="建立新的重要关系"),'幕间与结算'!E1063+E1156,BV1155+IF(C1156="重要关系6",E1156,0)+IF(AND(C1156="魅力",E1156&lt;0),E1156,0))))</x:f>
        <x:v>0</x:v>
      </x:c>
      <x:c r="BW1156">
        <x:f>MAX(0,MIN(BK1156,IF(AND(H1156=1,C1156="重要关系7",LEFT('幕间与结算'!H1063,8)="建立新的重要关系"),'幕间与结算'!E1063+E1156,BW1155+IF(C1156="重要关系7",E1156,0)+IF(AND(C1156="魅力",E1156&lt;0),E1156,0))))</x:f>
        <x:v>0</x:v>
      </x:c>
    </x:row>
    <x:row r="1157">
      <x:c r="A1157" t="str">
        <x:f>IFERROR(TEXT(VALUE('幕间与结算'!A1064),"00"),"")</x:f>
        <x:v>00</x:v>
      </x:c>
      <x:c r="B1157">
        <x:f>'幕间与结算'!B1064</x:f>
        <x:v>0</x:v>
      </x:c>
      <x:c r="C1157">
        <x:f>'幕间与结算'!D1064</x:f>
        <x:v>0</x:v>
      </x:c>
      <x:c r="D1157">
        <x:f>'幕间与结算'!F1064</x:f>
        <x:v>0</x:v>
      </x:c>
      <x:c r="E1157">
        <x:f>IF(H1157=1,MAX(-'幕间与结算'!E1064,MIN(D1157,IF(LEFT(C1157,3)="技能：",99,IF(COUNTIF($L$2:$L$7,C1157)&gt;0,18,999))-'幕间与结算'!E1064)),0)</x:f>
        <x:v>0</x:v>
      </x:c>
      <x:c r="F1157" t="str">
        <x:f>IF(C1157=0,"",IF(G1157=0,"记录不完整",IF(H1157=0,"重复未计","已计入")))</x:f>
        <x:v/>
      </x:c>
      <x:c r="G1157">
        <x:f>IF(AND(AND('幕间与结算'!A1064&lt;&gt;"",'幕间与结算'!B1064&lt;&gt;"",'幕间与结算'!I1064&lt;&gt;"",OR(LEFT(C1157,3)="技能：",COUNTIF($L$2:$L$19,C1157)&gt;0),ISNUMBER('幕间与结算'!E1064),ISNUMBER('幕间与结算'!F1064),ISNUMBER('幕间与结算'!G1064),'幕间与结算'!E1064&gt;=0,'幕间与结算'!G1064='幕间与结算'!E1064+'幕间与结算'!F1064),OR(B1157&lt;&gt;"成长",AND(LEFT(C1157,3)="技能：",C1157&lt;&gt;"技能：非自然知识",'幕间与结算'!E1064&gt;=1,'幕间与结算'!E1064&lt;=99,'幕间与结算'!F1064&gt;=0,'幕间与结算'!F1064&lt;=4,'幕间与结算'!G1064&lt;=99))),1,0)</x:f>
        <x:v>0</x:v>
      </x:c>
      <x:c r="H1157">
        <x:f>IF(AND(G1157=1,COUNTIFS($I$200:I1157,I1157,$G$200:G1157,1)=1),1,0)</x:f>
        <x:v>0</x:v>
      </x:c>
      <x:c r="I1157" t="str">
        <x:f>IF(G1157=1,IF(B1157="成长",A1157&amp;"-成长-"&amp;C1157,'幕间与结算'!I1064),"")</x:f>
        <x:v/>
      </x:c>
      <x:c r="BF1157">
        <x:f>MAX(0,MIN(18,BF1156+IF(C1157="力量",E1157,0)))</x:f>
        <x:v>0</x:v>
      </x:c>
      <x:c r="BG1157">
        <x:f>MAX(0,MIN(18,BG1156+IF(C1157="体质",E1157,0)))</x:f>
        <x:v>0</x:v>
      </x:c>
      <x:c r="BH1157">
        <x:f>MAX(0,MIN(18,BH1156+IF(C1157="敏捷",E1157,0)))</x:f>
        <x:v>0</x:v>
      </x:c>
      <x:c r="BI1157">
        <x:f>MAX(0,MIN(18,BI1156+IF(C1157="智力",E1157,0)))</x:f>
        <x:v>0</x:v>
      </x:c>
      <x:c r="BJ1157">
        <x:f>MAX(0,MIN(18,BJ1156+IF(C1157="意志",E1157,0)))</x:f>
        <x:v>0</x:v>
      </x:c>
      <x:c r="BK1157">
        <x:f>MAX(0,MIN(18,BK1156+IF(C1157="魅力",E1157,0)))</x:f>
        <x:v>0</x:v>
      </x:c>
      <x:c r="BL1157">
        <x:f>MAX(0,MIN(99,BL1156+IF(C1157="技能：非自然知识",E1157,0)))</x:f>
        <x:v>0</x:v>
      </x:c>
      <x:c r="BM1157">
        <x:f>MAX(0,MIN(CEILING((BF1157+BG1157)/2,1),BM1156+IF(C1157="体力",E1157,0)))</x:f>
        <x:v>0</x:v>
      </x:c>
      <x:c r="BN1157">
        <x:f>MAX(0,MIN(BJ1157,BN1156+IF(C1157="毅力",E1157,0)))</x:f>
        <x:v>0</x:v>
      </x:c>
      <x:c r="BO1157">
        <x:f>MAX(0,MIN(99-BL1157,BO1156+IF(C1157="理智",E1157,0)))</x:f>
        <x:v>0</x:v>
      </x:c>
      <x:c r="BP1157">
        <x:f>MAX(0,MIN(99,BP1156+IF(C1157="崩溃点",E1157,0)))</x:f>
        <x:v>0</x:v>
      </x:c>
      <x:c r="BQ1157">
        <x:f>MAX(0,MIN(BK1157,IF(AND(H1157=1,C1157="重要关系1",LEFT('幕间与结算'!H1064,8)="建立新的重要关系"),'幕间与结算'!E1064+E1157,BQ1156+IF(C1157="重要关系1",E1157,0)+IF(AND(C1157="魅力",E1157&lt;0),E1157,0))))</x:f>
        <x:v>0</x:v>
      </x:c>
      <x:c r="BR1157">
        <x:f>MAX(0,MIN(BK1157,IF(AND(H1157=1,C1157="重要关系2",LEFT('幕间与结算'!H1064,8)="建立新的重要关系"),'幕间与结算'!E1064+E1157,BR1156+IF(C1157="重要关系2",E1157,0)+IF(AND(C1157="魅力",E1157&lt;0),E1157,0))))</x:f>
        <x:v>0</x:v>
      </x:c>
      <x:c r="BS1157">
        <x:f>MAX(0,MIN(BK1157,IF(AND(H1157=1,C1157="重要关系3",LEFT('幕间与结算'!H1064,8)="建立新的重要关系"),'幕间与结算'!E1064+E1157,BS1156+IF(C1157="重要关系3",E1157,0)+IF(AND(C1157="魅力",E1157&lt;0),E1157,0))))</x:f>
        <x:v>0</x:v>
      </x:c>
      <x:c r="BT1157">
        <x:f>MAX(0,MIN(BK1157,IF(AND(H1157=1,C1157="重要关系4",LEFT('幕间与结算'!H1064,8)="建立新的重要关系"),'幕间与结算'!E1064+E1157,BT1156+IF(C1157="重要关系4",E1157,0)+IF(AND(C1157="魅力",E1157&lt;0),E1157,0))))</x:f>
        <x:v>0</x:v>
      </x:c>
      <x:c r="BU1157">
        <x:f>MAX(0,MIN(BK1157,IF(AND(H1157=1,C1157="重要关系5",LEFT('幕间与结算'!H1064,8)="建立新的重要关系"),'幕间与结算'!E1064+E1157,BU1156+IF(C1157="重要关系5",E1157,0)+IF(AND(C1157="魅力",E1157&lt;0),E1157,0))))</x:f>
        <x:v>0</x:v>
      </x:c>
      <x:c r="BV1157">
        <x:f>MAX(0,MIN(BK1157,IF(AND(H1157=1,C1157="重要关系6",LEFT('幕间与结算'!H1064,8)="建立新的重要关系"),'幕间与结算'!E1064+E1157,BV1156+IF(C1157="重要关系6",E1157,0)+IF(AND(C1157="魅力",E1157&lt;0),E1157,0))))</x:f>
        <x:v>0</x:v>
      </x:c>
      <x:c r="BW1157">
        <x:f>MAX(0,MIN(BK1157,IF(AND(H1157=1,C1157="重要关系7",LEFT('幕间与结算'!H1064,8)="建立新的重要关系"),'幕间与结算'!E1064+E1157,BW1156+IF(C1157="重要关系7",E1157,0)+IF(AND(C1157="魅力",E1157&lt;0),E1157,0))))</x:f>
        <x:v>0</x:v>
      </x:c>
    </x:row>
    <x:row r="1158">
      <x:c r="A1158" t="str">
        <x:f>IFERROR(TEXT(VALUE('幕间与结算'!A1065),"00"),"")</x:f>
        <x:v>00</x:v>
      </x:c>
      <x:c r="B1158">
        <x:f>'幕间与结算'!B1065</x:f>
        <x:v>0</x:v>
      </x:c>
      <x:c r="C1158">
        <x:f>'幕间与结算'!D1065</x:f>
        <x:v>0</x:v>
      </x:c>
      <x:c r="D1158">
        <x:f>'幕间与结算'!F1065</x:f>
        <x:v>0</x:v>
      </x:c>
      <x:c r="E1158">
        <x:f>IF(H1158=1,MAX(-'幕间与结算'!E1065,MIN(D1158,IF(LEFT(C1158,3)="技能：",99,IF(COUNTIF($L$2:$L$7,C1158)&gt;0,18,999))-'幕间与结算'!E1065)),0)</x:f>
        <x:v>0</x:v>
      </x:c>
      <x:c r="F1158" t="str">
        <x:f>IF(C1158=0,"",IF(G1158=0,"记录不完整",IF(H1158=0,"重复未计","已计入")))</x:f>
        <x:v/>
      </x:c>
      <x:c r="G1158">
        <x:f>IF(AND(AND('幕间与结算'!A1065&lt;&gt;"",'幕间与结算'!B1065&lt;&gt;"",'幕间与结算'!I1065&lt;&gt;"",OR(LEFT(C1158,3)="技能：",COUNTIF($L$2:$L$19,C1158)&gt;0),ISNUMBER('幕间与结算'!E1065),ISNUMBER('幕间与结算'!F1065),ISNUMBER('幕间与结算'!G1065),'幕间与结算'!E1065&gt;=0,'幕间与结算'!G1065='幕间与结算'!E1065+'幕间与结算'!F1065),OR(B1158&lt;&gt;"成长",AND(LEFT(C1158,3)="技能：",C1158&lt;&gt;"技能：非自然知识",'幕间与结算'!E1065&gt;=1,'幕间与结算'!E1065&lt;=99,'幕间与结算'!F1065&gt;=0,'幕间与结算'!F1065&lt;=4,'幕间与结算'!G1065&lt;=99))),1,0)</x:f>
        <x:v>0</x:v>
      </x:c>
      <x:c r="H1158">
        <x:f>IF(AND(G1158=1,COUNTIFS($I$200:I1158,I1158,$G$200:G1158,1)=1),1,0)</x:f>
        <x:v>0</x:v>
      </x:c>
      <x:c r="I1158" t="str">
        <x:f>IF(G1158=1,IF(B1158="成长",A1158&amp;"-成长-"&amp;C1158,'幕间与结算'!I1065),"")</x:f>
        <x:v/>
      </x:c>
      <x:c r="BF1158">
        <x:f>MAX(0,MIN(18,BF1157+IF(C1158="力量",E1158,0)))</x:f>
        <x:v>0</x:v>
      </x:c>
      <x:c r="BG1158">
        <x:f>MAX(0,MIN(18,BG1157+IF(C1158="体质",E1158,0)))</x:f>
        <x:v>0</x:v>
      </x:c>
      <x:c r="BH1158">
        <x:f>MAX(0,MIN(18,BH1157+IF(C1158="敏捷",E1158,0)))</x:f>
        <x:v>0</x:v>
      </x:c>
      <x:c r="BI1158">
        <x:f>MAX(0,MIN(18,BI1157+IF(C1158="智力",E1158,0)))</x:f>
        <x:v>0</x:v>
      </x:c>
      <x:c r="BJ1158">
        <x:f>MAX(0,MIN(18,BJ1157+IF(C1158="意志",E1158,0)))</x:f>
        <x:v>0</x:v>
      </x:c>
      <x:c r="BK1158">
        <x:f>MAX(0,MIN(18,BK1157+IF(C1158="魅力",E1158,0)))</x:f>
        <x:v>0</x:v>
      </x:c>
      <x:c r="BL1158">
        <x:f>MAX(0,MIN(99,BL1157+IF(C1158="技能：非自然知识",E1158,0)))</x:f>
        <x:v>0</x:v>
      </x:c>
      <x:c r="BM1158">
        <x:f>MAX(0,MIN(CEILING((BF1158+BG1158)/2,1),BM1157+IF(C1158="体力",E1158,0)))</x:f>
        <x:v>0</x:v>
      </x:c>
      <x:c r="BN1158">
        <x:f>MAX(0,MIN(BJ1158,BN1157+IF(C1158="毅力",E1158,0)))</x:f>
        <x:v>0</x:v>
      </x:c>
      <x:c r="BO1158">
        <x:f>MAX(0,MIN(99-BL1158,BO1157+IF(C1158="理智",E1158,0)))</x:f>
        <x:v>0</x:v>
      </x:c>
      <x:c r="BP1158">
        <x:f>MAX(0,MIN(99,BP1157+IF(C1158="崩溃点",E1158,0)))</x:f>
        <x:v>0</x:v>
      </x:c>
      <x:c r="BQ1158">
        <x:f>MAX(0,MIN(BK1158,IF(AND(H1158=1,C1158="重要关系1",LEFT('幕间与结算'!H1065,8)="建立新的重要关系"),'幕间与结算'!E1065+E1158,BQ1157+IF(C1158="重要关系1",E1158,0)+IF(AND(C1158="魅力",E1158&lt;0),E1158,0))))</x:f>
        <x:v>0</x:v>
      </x:c>
      <x:c r="BR1158">
        <x:f>MAX(0,MIN(BK1158,IF(AND(H1158=1,C1158="重要关系2",LEFT('幕间与结算'!H1065,8)="建立新的重要关系"),'幕间与结算'!E1065+E1158,BR1157+IF(C1158="重要关系2",E1158,0)+IF(AND(C1158="魅力",E1158&lt;0),E1158,0))))</x:f>
        <x:v>0</x:v>
      </x:c>
      <x:c r="BS1158">
        <x:f>MAX(0,MIN(BK1158,IF(AND(H1158=1,C1158="重要关系3",LEFT('幕间与结算'!H1065,8)="建立新的重要关系"),'幕间与结算'!E1065+E1158,BS1157+IF(C1158="重要关系3",E1158,0)+IF(AND(C1158="魅力",E1158&lt;0),E1158,0))))</x:f>
        <x:v>0</x:v>
      </x:c>
      <x:c r="BT1158">
        <x:f>MAX(0,MIN(BK1158,IF(AND(H1158=1,C1158="重要关系4",LEFT('幕间与结算'!H1065,8)="建立新的重要关系"),'幕间与结算'!E1065+E1158,BT1157+IF(C1158="重要关系4",E1158,0)+IF(AND(C1158="魅力",E1158&lt;0),E1158,0))))</x:f>
        <x:v>0</x:v>
      </x:c>
      <x:c r="BU1158">
        <x:f>MAX(0,MIN(BK1158,IF(AND(H1158=1,C1158="重要关系5",LEFT('幕间与结算'!H1065,8)="建立新的重要关系"),'幕间与结算'!E1065+E1158,BU1157+IF(C1158="重要关系5",E1158,0)+IF(AND(C1158="魅力",E1158&lt;0),E1158,0))))</x:f>
        <x:v>0</x:v>
      </x:c>
      <x:c r="BV1158">
        <x:f>MAX(0,MIN(BK1158,IF(AND(H1158=1,C1158="重要关系6",LEFT('幕间与结算'!H1065,8)="建立新的重要关系"),'幕间与结算'!E1065+E1158,BV1157+IF(C1158="重要关系6",E1158,0)+IF(AND(C1158="魅力",E1158&lt;0),E1158,0))))</x:f>
        <x:v>0</x:v>
      </x:c>
      <x:c r="BW1158">
        <x:f>MAX(0,MIN(BK1158,IF(AND(H1158=1,C1158="重要关系7",LEFT('幕间与结算'!H1065,8)="建立新的重要关系"),'幕间与结算'!E1065+E1158,BW1157+IF(C1158="重要关系7",E1158,0)+IF(AND(C1158="魅力",E1158&lt;0),E1158,0))))</x:f>
        <x:v>0</x:v>
      </x:c>
    </x:row>
    <x:row r="1159">
      <x:c r="A1159" t="str">
        <x:f>IFERROR(TEXT(VALUE('幕间与结算'!A1066),"00"),"")</x:f>
        <x:v>00</x:v>
      </x:c>
      <x:c r="B1159">
        <x:f>'幕间与结算'!B1066</x:f>
        <x:v>0</x:v>
      </x:c>
      <x:c r="C1159">
        <x:f>'幕间与结算'!D1066</x:f>
        <x:v>0</x:v>
      </x:c>
      <x:c r="D1159">
        <x:f>'幕间与结算'!F1066</x:f>
        <x:v>0</x:v>
      </x:c>
      <x:c r="E1159">
        <x:f>IF(H1159=1,MAX(-'幕间与结算'!E1066,MIN(D1159,IF(LEFT(C1159,3)="技能：",99,IF(COUNTIF($L$2:$L$7,C1159)&gt;0,18,999))-'幕间与结算'!E1066)),0)</x:f>
        <x:v>0</x:v>
      </x:c>
      <x:c r="F1159" t="str">
        <x:f>IF(C1159=0,"",IF(G1159=0,"记录不完整",IF(H1159=0,"重复未计","已计入")))</x:f>
        <x:v/>
      </x:c>
      <x:c r="G1159">
        <x:f>IF(AND(AND('幕间与结算'!A1066&lt;&gt;"",'幕间与结算'!B1066&lt;&gt;"",'幕间与结算'!I1066&lt;&gt;"",OR(LEFT(C1159,3)="技能：",COUNTIF($L$2:$L$19,C1159)&gt;0),ISNUMBER('幕间与结算'!E1066),ISNUMBER('幕间与结算'!F1066),ISNUMBER('幕间与结算'!G1066),'幕间与结算'!E1066&gt;=0,'幕间与结算'!G1066='幕间与结算'!E1066+'幕间与结算'!F1066),OR(B1159&lt;&gt;"成长",AND(LEFT(C1159,3)="技能：",C1159&lt;&gt;"技能：非自然知识",'幕间与结算'!E1066&gt;=1,'幕间与结算'!E1066&lt;=99,'幕间与结算'!F1066&gt;=0,'幕间与结算'!F1066&lt;=4,'幕间与结算'!G1066&lt;=99))),1,0)</x:f>
        <x:v>0</x:v>
      </x:c>
      <x:c r="H1159">
        <x:f>IF(AND(G1159=1,COUNTIFS($I$200:I1159,I1159,$G$200:G1159,1)=1),1,0)</x:f>
        <x:v>0</x:v>
      </x:c>
      <x:c r="I1159" t="str">
        <x:f>IF(G1159=1,IF(B1159="成长",A1159&amp;"-成长-"&amp;C1159,'幕间与结算'!I1066),"")</x:f>
        <x:v/>
      </x:c>
      <x:c r="BF1159">
        <x:f>MAX(0,MIN(18,BF1158+IF(C1159="力量",E1159,0)))</x:f>
        <x:v>0</x:v>
      </x:c>
      <x:c r="BG1159">
        <x:f>MAX(0,MIN(18,BG1158+IF(C1159="体质",E1159,0)))</x:f>
        <x:v>0</x:v>
      </x:c>
      <x:c r="BH1159">
        <x:f>MAX(0,MIN(18,BH1158+IF(C1159="敏捷",E1159,0)))</x:f>
        <x:v>0</x:v>
      </x:c>
      <x:c r="BI1159">
        <x:f>MAX(0,MIN(18,BI1158+IF(C1159="智力",E1159,0)))</x:f>
        <x:v>0</x:v>
      </x:c>
      <x:c r="BJ1159">
        <x:f>MAX(0,MIN(18,BJ1158+IF(C1159="意志",E1159,0)))</x:f>
        <x:v>0</x:v>
      </x:c>
      <x:c r="BK1159">
        <x:f>MAX(0,MIN(18,BK1158+IF(C1159="魅力",E1159,0)))</x:f>
        <x:v>0</x:v>
      </x:c>
      <x:c r="BL1159">
        <x:f>MAX(0,MIN(99,BL1158+IF(C1159="技能：非自然知识",E1159,0)))</x:f>
        <x:v>0</x:v>
      </x:c>
      <x:c r="BM1159">
        <x:f>MAX(0,MIN(CEILING((BF1159+BG1159)/2,1),BM1158+IF(C1159="体力",E1159,0)))</x:f>
        <x:v>0</x:v>
      </x:c>
      <x:c r="BN1159">
        <x:f>MAX(0,MIN(BJ1159,BN1158+IF(C1159="毅力",E1159,0)))</x:f>
        <x:v>0</x:v>
      </x:c>
      <x:c r="BO1159">
        <x:f>MAX(0,MIN(99-BL1159,BO1158+IF(C1159="理智",E1159,0)))</x:f>
        <x:v>0</x:v>
      </x:c>
      <x:c r="BP1159">
        <x:f>MAX(0,MIN(99,BP1158+IF(C1159="崩溃点",E1159,0)))</x:f>
        <x:v>0</x:v>
      </x:c>
      <x:c r="BQ1159">
        <x:f>MAX(0,MIN(BK1159,IF(AND(H1159=1,C1159="重要关系1",LEFT('幕间与结算'!H1066,8)="建立新的重要关系"),'幕间与结算'!E1066+E1159,BQ1158+IF(C1159="重要关系1",E1159,0)+IF(AND(C1159="魅力",E1159&lt;0),E1159,0))))</x:f>
        <x:v>0</x:v>
      </x:c>
      <x:c r="BR1159">
        <x:f>MAX(0,MIN(BK1159,IF(AND(H1159=1,C1159="重要关系2",LEFT('幕间与结算'!H1066,8)="建立新的重要关系"),'幕间与结算'!E1066+E1159,BR1158+IF(C1159="重要关系2",E1159,0)+IF(AND(C1159="魅力",E1159&lt;0),E1159,0))))</x:f>
        <x:v>0</x:v>
      </x:c>
      <x:c r="BS1159">
        <x:f>MAX(0,MIN(BK1159,IF(AND(H1159=1,C1159="重要关系3",LEFT('幕间与结算'!H1066,8)="建立新的重要关系"),'幕间与结算'!E1066+E1159,BS1158+IF(C1159="重要关系3",E1159,0)+IF(AND(C1159="魅力",E1159&lt;0),E1159,0))))</x:f>
        <x:v>0</x:v>
      </x:c>
      <x:c r="BT1159">
        <x:f>MAX(0,MIN(BK1159,IF(AND(H1159=1,C1159="重要关系4",LEFT('幕间与结算'!H1066,8)="建立新的重要关系"),'幕间与结算'!E1066+E1159,BT1158+IF(C1159="重要关系4",E1159,0)+IF(AND(C1159="魅力",E1159&lt;0),E1159,0))))</x:f>
        <x:v>0</x:v>
      </x:c>
      <x:c r="BU1159">
        <x:f>MAX(0,MIN(BK1159,IF(AND(H1159=1,C1159="重要关系5",LEFT('幕间与结算'!H1066,8)="建立新的重要关系"),'幕间与结算'!E1066+E1159,BU1158+IF(C1159="重要关系5",E1159,0)+IF(AND(C1159="魅力",E1159&lt;0),E1159,0))))</x:f>
        <x:v>0</x:v>
      </x:c>
      <x:c r="BV1159">
        <x:f>MAX(0,MIN(BK1159,IF(AND(H1159=1,C1159="重要关系6",LEFT('幕间与结算'!H1066,8)="建立新的重要关系"),'幕间与结算'!E1066+E1159,BV1158+IF(C1159="重要关系6",E1159,0)+IF(AND(C1159="魅力",E1159&lt;0),E1159,0))))</x:f>
        <x:v>0</x:v>
      </x:c>
      <x:c r="BW1159">
        <x:f>MAX(0,MIN(BK1159,IF(AND(H1159=1,C1159="重要关系7",LEFT('幕间与结算'!H1066,8)="建立新的重要关系"),'幕间与结算'!E1066+E1159,BW1158+IF(C1159="重要关系7",E1159,0)+IF(AND(C1159="魅力",E1159&lt;0),E1159,0))))</x:f>
        <x:v>0</x:v>
      </x:c>
    </x:row>
    <x:row r="1160">
      <x:c r="A1160" t="str">
        <x:f>IFERROR(TEXT(VALUE('幕间与结算'!A1067),"00"),"")</x:f>
        <x:v>00</x:v>
      </x:c>
      <x:c r="B1160">
        <x:f>'幕间与结算'!B1067</x:f>
        <x:v>0</x:v>
      </x:c>
      <x:c r="C1160">
        <x:f>'幕间与结算'!D1067</x:f>
        <x:v>0</x:v>
      </x:c>
      <x:c r="D1160">
        <x:f>'幕间与结算'!F1067</x:f>
        <x:v>0</x:v>
      </x:c>
      <x:c r="E1160">
        <x:f>IF(H1160=1,MAX(-'幕间与结算'!E1067,MIN(D1160,IF(LEFT(C1160,3)="技能：",99,IF(COUNTIF($L$2:$L$7,C1160)&gt;0,18,999))-'幕间与结算'!E1067)),0)</x:f>
        <x:v>0</x:v>
      </x:c>
      <x:c r="F1160" t="str">
        <x:f>IF(C1160=0,"",IF(G1160=0,"记录不完整",IF(H1160=0,"重复未计","已计入")))</x:f>
        <x:v/>
      </x:c>
      <x:c r="G1160">
        <x:f>IF(AND(AND('幕间与结算'!A1067&lt;&gt;"",'幕间与结算'!B1067&lt;&gt;"",'幕间与结算'!I1067&lt;&gt;"",OR(LEFT(C1160,3)="技能：",COUNTIF($L$2:$L$19,C1160)&gt;0),ISNUMBER('幕间与结算'!E1067),ISNUMBER('幕间与结算'!F1067),ISNUMBER('幕间与结算'!G1067),'幕间与结算'!E1067&gt;=0,'幕间与结算'!G1067='幕间与结算'!E1067+'幕间与结算'!F1067),OR(B1160&lt;&gt;"成长",AND(LEFT(C1160,3)="技能：",C1160&lt;&gt;"技能：非自然知识",'幕间与结算'!E1067&gt;=1,'幕间与结算'!E1067&lt;=99,'幕间与结算'!F1067&gt;=0,'幕间与结算'!F1067&lt;=4,'幕间与结算'!G1067&lt;=99))),1,0)</x:f>
        <x:v>0</x:v>
      </x:c>
      <x:c r="H1160">
        <x:f>IF(AND(G1160=1,COUNTIFS($I$200:I1160,I1160,$G$200:G1160,1)=1),1,0)</x:f>
        <x:v>0</x:v>
      </x:c>
      <x:c r="I1160" t="str">
        <x:f>IF(G1160=1,IF(B1160="成长",A1160&amp;"-成长-"&amp;C1160,'幕间与结算'!I1067),"")</x:f>
        <x:v/>
      </x:c>
      <x:c r="BF1160">
        <x:f>MAX(0,MIN(18,BF1159+IF(C1160="力量",E1160,0)))</x:f>
        <x:v>0</x:v>
      </x:c>
      <x:c r="BG1160">
        <x:f>MAX(0,MIN(18,BG1159+IF(C1160="体质",E1160,0)))</x:f>
        <x:v>0</x:v>
      </x:c>
      <x:c r="BH1160">
        <x:f>MAX(0,MIN(18,BH1159+IF(C1160="敏捷",E1160,0)))</x:f>
        <x:v>0</x:v>
      </x:c>
      <x:c r="BI1160">
        <x:f>MAX(0,MIN(18,BI1159+IF(C1160="智力",E1160,0)))</x:f>
        <x:v>0</x:v>
      </x:c>
      <x:c r="BJ1160">
        <x:f>MAX(0,MIN(18,BJ1159+IF(C1160="意志",E1160,0)))</x:f>
        <x:v>0</x:v>
      </x:c>
      <x:c r="BK1160">
        <x:f>MAX(0,MIN(18,BK1159+IF(C1160="魅力",E1160,0)))</x:f>
        <x:v>0</x:v>
      </x:c>
      <x:c r="BL1160">
        <x:f>MAX(0,MIN(99,BL1159+IF(C1160="技能：非自然知识",E1160,0)))</x:f>
        <x:v>0</x:v>
      </x:c>
      <x:c r="BM1160">
        <x:f>MAX(0,MIN(CEILING((BF1160+BG1160)/2,1),BM1159+IF(C1160="体力",E1160,0)))</x:f>
        <x:v>0</x:v>
      </x:c>
      <x:c r="BN1160">
        <x:f>MAX(0,MIN(BJ1160,BN1159+IF(C1160="毅力",E1160,0)))</x:f>
        <x:v>0</x:v>
      </x:c>
      <x:c r="BO1160">
        <x:f>MAX(0,MIN(99-BL1160,BO1159+IF(C1160="理智",E1160,0)))</x:f>
        <x:v>0</x:v>
      </x:c>
      <x:c r="BP1160">
        <x:f>MAX(0,MIN(99,BP1159+IF(C1160="崩溃点",E1160,0)))</x:f>
        <x:v>0</x:v>
      </x:c>
      <x:c r="BQ1160">
        <x:f>MAX(0,MIN(BK1160,IF(AND(H1160=1,C1160="重要关系1",LEFT('幕间与结算'!H1067,8)="建立新的重要关系"),'幕间与结算'!E1067+E1160,BQ1159+IF(C1160="重要关系1",E1160,0)+IF(AND(C1160="魅力",E1160&lt;0),E1160,0))))</x:f>
        <x:v>0</x:v>
      </x:c>
      <x:c r="BR1160">
        <x:f>MAX(0,MIN(BK1160,IF(AND(H1160=1,C1160="重要关系2",LEFT('幕间与结算'!H1067,8)="建立新的重要关系"),'幕间与结算'!E1067+E1160,BR1159+IF(C1160="重要关系2",E1160,0)+IF(AND(C1160="魅力",E1160&lt;0),E1160,0))))</x:f>
        <x:v>0</x:v>
      </x:c>
      <x:c r="BS1160">
        <x:f>MAX(0,MIN(BK1160,IF(AND(H1160=1,C1160="重要关系3",LEFT('幕间与结算'!H1067,8)="建立新的重要关系"),'幕间与结算'!E1067+E1160,BS1159+IF(C1160="重要关系3",E1160,0)+IF(AND(C1160="魅力",E1160&lt;0),E1160,0))))</x:f>
        <x:v>0</x:v>
      </x:c>
      <x:c r="BT1160">
        <x:f>MAX(0,MIN(BK1160,IF(AND(H1160=1,C1160="重要关系4",LEFT('幕间与结算'!H1067,8)="建立新的重要关系"),'幕间与结算'!E1067+E1160,BT1159+IF(C1160="重要关系4",E1160,0)+IF(AND(C1160="魅力",E1160&lt;0),E1160,0))))</x:f>
        <x:v>0</x:v>
      </x:c>
      <x:c r="BU1160">
        <x:f>MAX(0,MIN(BK1160,IF(AND(H1160=1,C1160="重要关系5",LEFT('幕间与结算'!H1067,8)="建立新的重要关系"),'幕间与结算'!E1067+E1160,BU1159+IF(C1160="重要关系5",E1160,0)+IF(AND(C1160="魅力",E1160&lt;0),E1160,0))))</x:f>
        <x:v>0</x:v>
      </x:c>
      <x:c r="BV1160">
        <x:f>MAX(0,MIN(BK1160,IF(AND(H1160=1,C1160="重要关系6",LEFT('幕间与结算'!H1067,8)="建立新的重要关系"),'幕间与结算'!E1067+E1160,BV1159+IF(C1160="重要关系6",E1160,0)+IF(AND(C1160="魅力",E1160&lt;0),E1160,0))))</x:f>
        <x:v>0</x:v>
      </x:c>
      <x:c r="BW1160">
        <x:f>MAX(0,MIN(BK1160,IF(AND(H1160=1,C1160="重要关系7",LEFT('幕间与结算'!H1067,8)="建立新的重要关系"),'幕间与结算'!E1067+E1160,BW1159+IF(C1160="重要关系7",E1160,0)+IF(AND(C1160="魅力",E1160&lt;0),E1160,0))))</x:f>
        <x:v>0</x:v>
      </x:c>
    </x:row>
    <x:row r="1161">
      <x:c r="A1161" t="str">
        <x:f>IFERROR(TEXT(VALUE('幕间与结算'!A1068),"00"),"")</x:f>
        <x:v>00</x:v>
      </x:c>
      <x:c r="B1161">
        <x:f>'幕间与结算'!B1068</x:f>
        <x:v>0</x:v>
      </x:c>
      <x:c r="C1161">
        <x:f>'幕间与结算'!D1068</x:f>
        <x:v>0</x:v>
      </x:c>
      <x:c r="D1161">
        <x:f>'幕间与结算'!F1068</x:f>
        <x:v>0</x:v>
      </x:c>
      <x:c r="E1161">
        <x:f>IF(H1161=1,MAX(-'幕间与结算'!E1068,MIN(D1161,IF(LEFT(C1161,3)="技能：",99,IF(COUNTIF($L$2:$L$7,C1161)&gt;0,18,999))-'幕间与结算'!E1068)),0)</x:f>
        <x:v>0</x:v>
      </x:c>
      <x:c r="F1161" t="str">
        <x:f>IF(C1161=0,"",IF(G1161=0,"记录不完整",IF(H1161=0,"重复未计","已计入")))</x:f>
        <x:v/>
      </x:c>
      <x:c r="G1161">
        <x:f>IF(AND(AND('幕间与结算'!A1068&lt;&gt;"",'幕间与结算'!B1068&lt;&gt;"",'幕间与结算'!I1068&lt;&gt;"",OR(LEFT(C1161,3)="技能：",COUNTIF($L$2:$L$19,C1161)&gt;0),ISNUMBER('幕间与结算'!E1068),ISNUMBER('幕间与结算'!F1068),ISNUMBER('幕间与结算'!G1068),'幕间与结算'!E1068&gt;=0,'幕间与结算'!G1068='幕间与结算'!E1068+'幕间与结算'!F1068),OR(B1161&lt;&gt;"成长",AND(LEFT(C1161,3)="技能：",C1161&lt;&gt;"技能：非自然知识",'幕间与结算'!E1068&gt;=1,'幕间与结算'!E1068&lt;=99,'幕间与结算'!F1068&gt;=0,'幕间与结算'!F1068&lt;=4,'幕间与结算'!G1068&lt;=99))),1,0)</x:f>
        <x:v>0</x:v>
      </x:c>
      <x:c r="H1161">
        <x:f>IF(AND(G1161=1,COUNTIFS($I$200:I1161,I1161,$G$200:G1161,1)=1),1,0)</x:f>
        <x:v>0</x:v>
      </x:c>
      <x:c r="I1161" t="str">
        <x:f>IF(G1161=1,IF(B1161="成长",A1161&amp;"-成长-"&amp;C1161,'幕间与结算'!I1068),"")</x:f>
        <x:v/>
      </x:c>
      <x:c r="BF1161">
        <x:f>MAX(0,MIN(18,BF1160+IF(C1161="力量",E1161,0)))</x:f>
        <x:v>0</x:v>
      </x:c>
      <x:c r="BG1161">
        <x:f>MAX(0,MIN(18,BG1160+IF(C1161="体质",E1161,0)))</x:f>
        <x:v>0</x:v>
      </x:c>
      <x:c r="BH1161">
        <x:f>MAX(0,MIN(18,BH1160+IF(C1161="敏捷",E1161,0)))</x:f>
        <x:v>0</x:v>
      </x:c>
      <x:c r="BI1161">
        <x:f>MAX(0,MIN(18,BI1160+IF(C1161="智力",E1161,0)))</x:f>
        <x:v>0</x:v>
      </x:c>
      <x:c r="BJ1161">
        <x:f>MAX(0,MIN(18,BJ1160+IF(C1161="意志",E1161,0)))</x:f>
        <x:v>0</x:v>
      </x:c>
      <x:c r="BK1161">
        <x:f>MAX(0,MIN(18,BK1160+IF(C1161="魅力",E1161,0)))</x:f>
        <x:v>0</x:v>
      </x:c>
      <x:c r="BL1161">
        <x:f>MAX(0,MIN(99,BL1160+IF(C1161="技能：非自然知识",E1161,0)))</x:f>
        <x:v>0</x:v>
      </x:c>
      <x:c r="BM1161">
        <x:f>MAX(0,MIN(CEILING((BF1161+BG1161)/2,1),BM1160+IF(C1161="体力",E1161,0)))</x:f>
        <x:v>0</x:v>
      </x:c>
      <x:c r="BN1161">
        <x:f>MAX(0,MIN(BJ1161,BN1160+IF(C1161="毅力",E1161,0)))</x:f>
        <x:v>0</x:v>
      </x:c>
      <x:c r="BO1161">
        <x:f>MAX(0,MIN(99-BL1161,BO1160+IF(C1161="理智",E1161,0)))</x:f>
        <x:v>0</x:v>
      </x:c>
      <x:c r="BP1161">
        <x:f>MAX(0,MIN(99,BP1160+IF(C1161="崩溃点",E1161,0)))</x:f>
        <x:v>0</x:v>
      </x:c>
      <x:c r="BQ1161">
        <x:f>MAX(0,MIN(BK1161,IF(AND(H1161=1,C1161="重要关系1",LEFT('幕间与结算'!H1068,8)="建立新的重要关系"),'幕间与结算'!E1068+E1161,BQ1160+IF(C1161="重要关系1",E1161,0)+IF(AND(C1161="魅力",E1161&lt;0),E1161,0))))</x:f>
        <x:v>0</x:v>
      </x:c>
      <x:c r="BR1161">
        <x:f>MAX(0,MIN(BK1161,IF(AND(H1161=1,C1161="重要关系2",LEFT('幕间与结算'!H1068,8)="建立新的重要关系"),'幕间与结算'!E1068+E1161,BR1160+IF(C1161="重要关系2",E1161,0)+IF(AND(C1161="魅力",E1161&lt;0),E1161,0))))</x:f>
        <x:v>0</x:v>
      </x:c>
      <x:c r="BS1161">
        <x:f>MAX(0,MIN(BK1161,IF(AND(H1161=1,C1161="重要关系3",LEFT('幕间与结算'!H1068,8)="建立新的重要关系"),'幕间与结算'!E1068+E1161,BS1160+IF(C1161="重要关系3",E1161,0)+IF(AND(C1161="魅力",E1161&lt;0),E1161,0))))</x:f>
        <x:v>0</x:v>
      </x:c>
      <x:c r="BT1161">
        <x:f>MAX(0,MIN(BK1161,IF(AND(H1161=1,C1161="重要关系4",LEFT('幕间与结算'!H1068,8)="建立新的重要关系"),'幕间与结算'!E1068+E1161,BT1160+IF(C1161="重要关系4",E1161,0)+IF(AND(C1161="魅力",E1161&lt;0),E1161,0))))</x:f>
        <x:v>0</x:v>
      </x:c>
      <x:c r="BU1161">
        <x:f>MAX(0,MIN(BK1161,IF(AND(H1161=1,C1161="重要关系5",LEFT('幕间与结算'!H1068,8)="建立新的重要关系"),'幕间与结算'!E1068+E1161,BU1160+IF(C1161="重要关系5",E1161,0)+IF(AND(C1161="魅力",E1161&lt;0),E1161,0))))</x:f>
        <x:v>0</x:v>
      </x:c>
      <x:c r="BV1161">
        <x:f>MAX(0,MIN(BK1161,IF(AND(H1161=1,C1161="重要关系6",LEFT('幕间与结算'!H1068,8)="建立新的重要关系"),'幕间与结算'!E1068+E1161,BV1160+IF(C1161="重要关系6",E1161,0)+IF(AND(C1161="魅力",E1161&lt;0),E1161,0))))</x:f>
        <x:v>0</x:v>
      </x:c>
      <x:c r="BW1161">
        <x:f>MAX(0,MIN(BK1161,IF(AND(H1161=1,C1161="重要关系7",LEFT('幕间与结算'!H1068,8)="建立新的重要关系"),'幕间与结算'!E1068+E1161,BW1160+IF(C1161="重要关系7",E1161,0)+IF(AND(C1161="魅力",E1161&lt;0),E1161,0))))</x:f>
        <x:v>0</x:v>
      </x:c>
    </x:row>
    <x:row r="1162">
      <x:c r="A1162" t="str">
        <x:f>IFERROR(TEXT(VALUE('幕间与结算'!A1069),"00"),"")</x:f>
        <x:v>00</x:v>
      </x:c>
      <x:c r="B1162">
        <x:f>'幕间与结算'!B1069</x:f>
        <x:v>0</x:v>
      </x:c>
      <x:c r="C1162">
        <x:f>'幕间与结算'!D1069</x:f>
        <x:v>0</x:v>
      </x:c>
      <x:c r="D1162">
        <x:f>'幕间与结算'!F1069</x:f>
        <x:v>0</x:v>
      </x:c>
      <x:c r="E1162">
        <x:f>IF(H1162=1,MAX(-'幕间与结算'!E1069,MIN(D1162,IF(LEFT(C1162,3)="技能：",99,IF(COUNTIF($L$2:$L$7,C1162)&gt;0,18,999))-'幕间与结算'!E1069)),0)</x:f>
        <x:v>0</x:v>
      </x:c>
      <x:c r="F1162" t="str">
        <x:f>IF(C1162=0,"",IF(G1162=0,"记录不完整",IF(H1162=0,"重复未计","已计入")))</x:f>
        <x:v/>
      </x:c>
      <x:c r="G1162">
        <x:f>IF(AND(AND('幕间与结算'!A1069&lt;&gt;"",'幕间与结算'!B1069&lt;&gt;"",'幕间与结算'!I1069&lt;&gt;"",OR(LEFT(C1162,3)="技能：",COUNTIF($L$2:$L$19,C1162)&gt;0),ISNUMBER('幕间与结算'!E1069),ISNUMBER('幕间与结算'!F1069),ISNUMBER('幕间与结算'!G1069),'幕间与结算'!E1069&gt;=0,'幕间与结算'!G1069='幕间与结算'!E1069+'幕间与结算'!F1069),OR(B1162&lt;&gt;"成长",AND(LEFT(C1162,3)="技能：",C1162&lt;&gt;"技能：非自然知识",'幕间与结算'!E1069&gt;=1,'幕间与结算'!E1069&lt;=99,'幕间与结算'!F1069&gt;=0,'幕间与结算'!F1069&lt;=4,'幕间与结算'!G1069&lt;=99))),1,0)</x:f>
        <x:v>0</x:v>
      </x:c>
      <x:c r="H1162">
        <x:f>IF(AND(G1162=1,COUNTIFS($I$200:I1162,I1162,$G$200:G1162,1)=1),1,0)</x:f>
        <x:v>0</x:v>
      </x:c>
      <x:c r="I1162" t="str">
        <x:f>IF(G1162=1,IF(B1162="成长",A1162&amp;"-成长-"&amp;C1162,'幕间与结算'!I1069),"")</x:f>
        <x:v/>
      </x:c>
      <x:c r="BF1162">
        <x:f>MAX(0,MIN(18,BF1161+IF(C1162="力量",E1162,0)))</x:f>
        <x:v>0</x:v>
      </x:c>
      <x:c r="BG1162">
        <x:f>MAX(0,MIN(18,BG1161+IF(C1162="体质",E1162,0)))</x:f>
        <x:v>0</x:v>
      </x:c>
      <x:c r="BH1162">
        <x:f>MAX(0,MIN(18,BH1161+IF(C1162="敏捷",E1162,0)))</x:f>
        <x:v>0</x:v>
      </x:c>
      <x:c r="BI1162">
        <x:f>MAX(0,MIN(18,BI1161+IF(C1162="智力",E1162,0)))</x:f>
        <x:v>0</x:v>
      </x:c>
      <x:c r="BJ1162">
        <x:f>MAX(0,MIN(18,BJ1161+IF(C1162="意志",E1162,0)))</x:f>
        <x:v>0</x:v>
      </x:c>
      <x:c r="BK1162">
        <x:f>MAX(0,MIN(18,BK1161+IF(C1162="魅力",E1162,0)))</x:f>
        <x:v>0</x:v>
      </x:c>
      <x:c r="BL1162">
        <x:f>MAX(0,MIN(99,BL1161+IF(C1162="技能：非自然知识",E1162,0)))</x:f>
        <x:v>0</x:v>
      </x:c>
      <x:c r="BM1162">
        <x:f>MAX(0,MIN(CEILING((BF1162+BG1162)/2,1),BM1161+IF(C1162="体力",E1162,0)))</x:f>
        <x:v>0</x:v>
      </x:c>
      <x:c r="BN1162">
        <x:f>MAX(0,MIN(BJ1162,BN1161+IF(C1162="毅力",E1162,0)))</x:f>
        <x:v>0</x:v>
      </x:c>
      <x:c r="BO1162">
        <x:f>MAX(0,MIN(99-BL1162,BO1161+IF(C1162="理智",E1162,0)))</x:f>
        <x:v>0</x:v>
      </x:c>
      <x:c r="BP1162">
        <x:f>MAX(0,MIN(99,BP1161+IF(C1162="崩溃点",E1162,0)))</x:f>
        <x:v>0</x:v>
      </x:c>
      <x:c r="BQ1162">
        <x:f>MAX(0,MIN(BK1162,IF(AND(H1162=1,C1162="重要关系1",LEFT('幕间与结算'!H1069,8)="建立新的重要关系"),'幕间与结算'!E1069+E1162,BQ1161+IF(C1162="重要关系1",E1162,0)+IF(AND(C1162="魅力",E1162&lt;0),E1162,0))))</x:f>
        <x:v>0</x:v>
      </x:c>
      <x:c r="BR1162">
        <x:f>MAX(0,MIN(BK1162,IF(AND(H1162=1,C1162="重要关系2",LEFT('幕间与结算'!H1069,8)="建立新的重要关系"),'幕间与结算'!E1069+E1162,BR1161+IF(C1162="重要关系2",E1162,0)+IF(AND(C1162="魅力",E1162&lt;0),E1162,0))))</x:f>
        <x:v>0</x:v>
      </x:c>
      <x:c r="BS1162">
        <x:f>MAX(0,MIN(BK1162,IF(AND(H1162=1,C1162="重要关系3",LEFT('幕间与结算'!H1069,8)="建立新的重要关系"),'幕间与结算'!E1069+E1162,BS1161+IF(C1162="重要关系3",E1162,0)+IF(AND(C1162="魅力",E1162&lt;0),E1162,0))))</x:f>
        <x:v>0</x:v>
      </x:c>
      <x:c r="BT1162">
        <x:f>MAX(0,MIN(BK1162,IF(AND(H1162=1,C1162="重要关系4",LEFT('幕间与结算'!H1069,8)="建立新的重要关系"),'幕间与结算'!E1069+E1162,BT1161+IF(C1162="重要关系4",E1162,0)+IF(AND(C1162="魅力",E1162&lt;0),E1162,0))))</x:f>
        <x:v>0</x:v>
      </x:c>
      <x:c r="BU1162">
        <x:f>MAX(0,MIN(BK1162,IF(AND(H1162=1,C1162="重要关系5",LEFT('幕间与结算'!H1069,8)="建立新的重要关系"),'幕间与结算'!E1069+E1162,BU1161+IF(C1162="重要关系5",E1162,0)+IF(AND(C1162="魅力",E1162&lt;0),E1162,0))))</x:f>
        <x:v>0</x:v>
      </x:c>
      <x:c r="BV1162">
        <x:f>MAX(0,MIN(BK1162,IF(AND(H1162=1,C1162="重要关系6",LEFT('幕间与结算'!H1069,8)="建立新的重要关系"),'幕间与结算'!E1069+E1162,BV1161+IF(C1162="重要关系6",E1162,0)+IF(AND(C1162="魅力",E1162&lt;0),E1162,0))))</x:f>
        <x:v>0</x:v>
      </x:c>
      <x:c r="BW1162">
        <x:f>MAX(0,MIN(BK1162,IF(AND(H1162=1,C1162="重要关系7",LEFT('幕间与结算'!H1069,8)="建立新的重要关系"),'幕间与结算'!E1069+E1162,BW1161+IF(C1162="重要关系7",E1162,0)+IF(AND(C1162="魅力",E1162&lt;0),E1162,0))))</x:f>
        <x:v>0</x:v>
      </x:c>
    </x:row>
    <x:row r="1163">
      <x:c r="A1163" t="str">
        <x:f>IFERROR(TEXT(VALUE('幕间与结算'!A1070),"00"),"")</x:f>
        <x:v>00</x:v>
      </x:c>
      <x:c r="B1163">
        <x:f>'幕间与结算'!B1070</x:f>
        <x:v>0</x:v>
      </x:c>
      <x:c r="C1163">
        <x:f>'幕间与结算'!D1070</x:f>
        <x:v>0</x:v>
      </x:c>
      <x:c r="D1163">
        <x:f>'幕间与结算'!F1070</x:f>
        <x:v>0</x:v>
      </x:c>
      <x:c r="E1163">
        <x:f>IF(H1163=1,MAX(-'幕间与结算'!E1070,MIN(D1163,IF(LEFT(C1163,3)="技能：",99,IF(COUNTIF($L$2:$L$7,C1163)&gt;0,18,999))-'幕间与结算'!E1070)),0)</x:f>
        <x:v>0</x:v>
      </x:c>
      <x:c r="F1163" t="str">
        <x:f>IF(C1163=0,"",IF(G1163=0,"记录不完整",IF(H1163=0,"重复未计","已计入")))</x:f>
        <x:v/>
      </x:c>
      <x:c r="G1163">
        <x:f>IF(AND(AND('幕间与结算'!A1070&lt;&gt;"",'幕间与结算'!B1070&lt;&gt;"",'幕间与结算'!I1070&lt;&gt;"",OR(LEFT(C1163,3)="技能：",COUNTIF($L$2:$L$19,C1163)&gt;0),ISNUMBER('幕间与结算'!E1070),ISNUMBER('幕间与结算'!F1070),ISNUMBER('幕间与结算'!G1070),'幕间与结算'!E1070&gt;=0,'幕间与结算'!G1070='幕间与结算'!E1070+'幕间与结算'!F1070),OR(B1163&lt;&gt;"成长",AND(LEFT(C1163,3)="技能：",C1163&lt;&gt;"技能：非自然知识",'幕间与结算'!E1070&gt;=1,'幕间与结算'!E1070&lt;=99,'幕间与结算'!F1070&gt;=0,'幕间与结算'!F1070&lt;=4,'幕间与结算'!G1070&lt;=99))),1,0)</x:f>
        <x:v>0</x:v>
      </x:c>
      <x:c r="H1163">
        <x:f>IF(AND(G1163=1,COUNTIFS($I$200:I1163,I1163,$G$200:G1163,1)=1),1,0)</x:f>
        <x:v>0</x:v>
      </x:c>
      <x:c r="I1163" t="str">
        <x:f>IF(G1163=1,IF(B1163="成长",A1163&amp;"-成长-"&amp;C1163,'幕间与结算'!I1070),"")</x:f>
        <x:v/>
      </x:c>
      <x:c r="BF1163">
        <x:f>MAX(0,MIN(18,BF1162+IF(C1163="力量",E1163,0)))</x:f>
        <x:v>0</x:v>
      </x:c>
      <x:c r="BG1163">
        <x:f>MAX(0,MIN(18,BG1162+IF(C1163="体质",E1163,0)))</x:f>
        <x:v>0</x:v>
      </x:c>
      <x:c r="BH1163">
        <x:f>MAX(0,MIN(18,BH1162+IF(C1163="敏捷",E1163,0)))</x:f>
        <x:v>0</x:v>
      </x:c>
      <x:c r="BI1163">
        <x:f>MAX(0,MIN(18,BI1162+IF(C1163="智力",E1163,0)))</x:f>
        <x:v>0</x:v>
      </x:c>
      <x:c r="BJ1163">
        <x:f>MAX(0,MIN(18,BJ1162+IF(C1163="意志",E1163,0)))</x:f>
        <x:v>0</x:v>
      </x:c>
      <x:c r="BK1163">
        <x:f>MAX(0,MIN(18,BK1162+IF(C1163="魅力",E1163,0)))</x:f>
        <x:v>0</x:v>
      </x:c>
      <x:c r="BL1163">
        <x:f>MAX(0,MIN(99,BL1162+IF(C1163="技能：非自然知识",E1163,0)))</x:f>
        <x:v>0</x:v>
      </x:c>
      <x:c r="BM1163">
        <x:f>MAX(0,MIN(CEILING((BF1163+BG1163)/2,1),BM1162+IF(C1163="体力",E1163,0)))</x:f>
        <x:v>0</x:v>
      </x:c>
      <x:c r="BN1163">
        <x:f>MAX(0,MIN(BJ1163,BN1162+IF(C1163="毅力",E1163,0)))</x:f>
        <x:v>0</x:v>
      </x:c>
      <x:c r="BO1163">
        <x:f>MAX(0,MIN(99-BL1163,BO1162+IF(C1163="理智",E1163,0)))</x:f>
        <x:v>0</x:v>
      </x:c>
      <x:c r="BP1163">
        <x:f>MAX(0,MIN(99,BP1162+IF(C1163="崩溃点",E1163,0)))</x:f>
        <x:v>0</x:v>
      </x:c>
      <x:c r="BQ1163">
        <x:f>MAX(0,MIN(BK1163,IF(AND(H1163=1,C1163="重要关系1",LEFT('幕间与结算'!H1070,8)="建立新的重要关系"),'幕间与结算'!E1070+E1163,BQ1162+IF(C1163="重要关系1",E1163,0)+IF(AND(C1163="魅力",E1163&lt;0),E1163,0))))</x:f>
        <x:v>0</x:v>
      </x:c>
      <x:c r="BR1163">
        <x:f>MAX(0,MIN(BK1163,IF(AND(H1163=1,C1163="重要关系2",LEFT('幕间与结算'!H1070,8)="建立新的重要关系"),'幕间与结算'!E1070+E1163,BR1162+IF(C1163="重要关系2",E1163,0)+IF(AND(C1163="魅力",E1163&lt;0),E1163,0))))</x:f>
        <x:v>0</x:v>
      </x:c>
      <x:c r="BS1163">
        <x:f>MAX(0,MIN(BK1163,IF(AND(H1163=1,C1163="重要关系3",LEFT('幕间与结算'!H1070,8)="建立新的重要关系"),'幕间与结算'!E1070+E1163,BS1162+IF(C1163="重要关系3",E1163,0)+IF(AND(C1163="魅力",E1163&lt;0),E1163,0))))</x:f>
        <x:v>0</x:v>
      </x:c>
      <x:c r="BT1163">
        <x:f>MAX(0,MIN(BK1163,IF(AND(H1163=1,C1163="重要关系4",LEFT('幕间与结算'!H1070,8)="建立新的重要关系"),'幕间与结算'!E1070+E1163,BT1162+IF(C1163="重要关系4",E1163,0)+IF(AND(C1163="魅力",E1163&lt;0),E1163,0))))</x:f>
        <x:v>0</x:v>
      </x:c>
      <x:c r="BU1163">
        <x:f>MAX(0,MIN(BK1163,IF(AND(H1163=1,C1163="重要关系5",LEFT('幕间与结算'!H1070,8)="建立新的重要关系"),'幕间与结算'!E1070+E1163,BU1162+IF(C1163="重要关系5",E1163,0)+IF(AND(C1163="魅力",E1163&lt;0),E1163,0))))</x:f>
        <x:v>0</x:v>
      </x:c>
      <x:c r="BV1163">
        <x:f>MAX(0,MIN(BK1163,IF(AND(H1163=1,C1163="重要关系6",LEFT('幕间与结算'!H1070,8)="建立新的重要关系"),'幕间与结算'!E1070+E1163,BV1162+IF(C1163="重要关系6",E1163,0)+IF(AND(C1163="魅力",E1163&lt;0),E1163,0))))</x:f>
        <x:v>0</x:v>
      </x:c>
      <x:c r="BW1163">
        <x:f>MAX(0,MIN(BK1163,IF(AND(H1163=1,C1163="重要关系7",LEFT('幕间与结算'!H1070,8)="建立新的重要关系"),'幕间与结算'!E1070+E1163,BW1162+IF(C1163="重要关系7",E1163,0)+IF(AND(C1163="魅力",E1163&lt;0),E1163,0))))</x:f>
        <x:v>0</x:v>
      </x:c>
    </x:row>
    <x:row r="1164">
      <x:c r="A1164" t="str">
        <x:f>IFERROR(TEXT(VALUE('幕间与结算'!A1071),"00"),"")</x:f>
        <x:v>00</x:v>
      </x:c>
      <x:c r="B1164">
        <x:f>'幕间与结算'!B1071</x:f>
        <x:v>0</x:v>
      </x:c>
      <x:c r="C1164">
        <x:f>'幕间与结算'!D1071</x:f>
        <x:v>0</x:v>
      </x:c>
      <x:c r="D1164">
        <x:f>'幕间与结算'!F1071</x:f>
        <x:v>0</x:v>
      </x:c>
      <x:c r="E1164">
        <x:f>IF(H1164=1,MAX(-'幕间与结算'!E1071,MIN(D1164,IF(LEFT(C1164,3)="技能：",99,IF(COUNTIF($L$2:$L$7,C1164)&gt;0,18,999))-'幕间与结算'!E1071)),0)</x:f>
        <x:v>0</x:v>
      </x:c>
      <x:c r="F1164" t="str">
        <x:f>IF(C1164=0,"",IF(G1164=0,"记录不完整",IF(H1164=0,"重复未计","已计入")))</x:f>
        <x:v/>
      </x:c>
      <x:c r="G1164">
        <x:f>IF(AND(AND('幕间与结算'!A1071&lt;&gt;"",'幕间与结算'!B1071&lt;&gt;"",'幕间与结算'!I1071&lt;&gt;"",OR(LEFT(C1164,3)="技能：",COUNTIF($L$2:$L$19,C1164)&gt;0),ISNUMBER('幕间与结算'!E1071),ISNUMBER('幕间与结算'!F1071),ISNUMBER('幕间与结算'!G1071),'幕间与结算'!E1071&gt;=0,'幕间与结算'!G1071='幕间与结算'!E1071+'幕间与结算'!F1071),OR(B1164&lt;&gt;"成长",AND(LEFT(C1164,3)="技能：",C1164&lt;&gt;"技能：非自然知识",'幕间与结算'!E1071&gt;=1,'幕间与结算'!E1071&lt;=99,'幕间与结算'!F1071&gt;=0,'幕间与结算'!F1071&lt;=4,'幕间与结算'!G1071&lt;=99))),1,0)</x:f>
        <x:v>0</x:v>
      </x:c>
      <x:c r="H1164">
        <x:f>IF(AND(G1164=1,COUNTIFS($I$200:I1164,I1164,$G$200:G1164,1)=1),1,0)</x:f>
        <x:v>0</x:v>
      </x:c>
      <x:c r="I1164" t="str">
        <x:f>IF(G1164=1,IF(B1164="成长",A1164&amp;"-成长-"&amp;C1164,'幕间与结算'!I1071),"")</x:f>
        <x:v/>
      </x:c>
      <x:c r="BF1164">
        <x:f>MAX(0,MIN(18,BF1163+IF(C1164="力量",E1164,0)))</x:f>
        <x:v>0</x:v>
      </x:c>
      <x:c r="BG1164">
        <x:f>MAX(0,MIN(18,BG1163+IF(C1164="体质",E1164,0)))</x:f>
        <x:v>0</x:v>
      </x:c>
      <x:c r="BH1164">
        <x:f>MAX(0,MIN(18,BH1163+IF(C1164="敏捷",E1164,0)))</x:f>
        <x:v>0</x:v>
      </x:c>
      <x:c r="BI1164">
        <x:f>MAX(0,MIN(18,BI1163+IF(C1164="智力",E1164,0)))</x:f>
        <x:v>0</x:v>
      </x:c>
      <x:c r="BJ1164">
        <x:f>MAX(0,MIN(18,BJ1163+IF(C1164="意志",E1164,0)))</x:f>
        <x:v>0</x:v>
      </x:c>
      <x:c r="BK1164">
        <x:f>MAX(0,MIN(18,BK1163+IF(C1164="魅力",E1164,0)))</x:f>
        <x:v>0</x:v>
      </x:c>
      <x:c r="BL1164">
        <x:f>MAX(0,MIN(99,BL1163+IF(C1164="技能：非自然知识",E1164,0)))</x:f>
        <x:v>0</x:v>
      </x:c>
      <x:c r="BM1164">
        <x:f>MAX(0,MIN(CEILING((BF1164+BG1164)/2,1),BM1163+IF(C1164="体力",E1164,0)))</x:f>
        <x:v>0</x:v>
      </x:c>
      <x:c r="BN1164">
        <x:f>MAX(0,MIN(BJ1164,BN1163+IF(C1164="毅力",E1164,0)))</x:f>
        <x:v>0</x:v>
      </x:c>
      <x:c r="BO1164">
        <x:f>MAX(0,MIN(99-BL1164,BO1163+IF(C1164="理智",E1164,0)))</x:f>
        <x:v>0</x:v>
      </x:c>
      <x:c r="BP1164">
        <x:f>MAX(0,MIN(99,BP1163+IF(C1164="崩溃点",E1164,0)))</x:f>
        <x:v>0</x:v>
      </x:c>
      <x:c r="BQ1164">
        <x:f>MAX(0,MIN(BK1164,IF(AND(H1164=1,C1164="重要关系1",LEFT('幕间与结算'!H1071,8)="建立新的重要关系"),'幕间与结算'!E1071+E1164,BQ1163+IF(C1164="重要关系1",E1164,0)+IF(AND(C1164="魅力",E1164&lt;0),E1164,0))))</x:f>
        <x:v>0</x:v>
      </x:c>
      <x:c r="BR1164">
        <x:f>MAX(0,MIN(BK1164,IF(AND(H1164=1,C1164="重要关系2",LEFT('幕间与结算'!H1071,8)="建立新的重要关系"),'幕间与结算'!E1071+E1164,BR1163+IF(C1164="重要关系2",E1164,0)+IF(AND(C1164="魅力",E1164&lt;0),E1164,0))))</x:f>
        <x:v>0</x:v>
      </x:c>
      <x:c r="BS1164">
        <x:f>MAX(0,MIN(BK1164,IF(AND(H1164=1,C1164="重要关系3",LEFT('幕间与结算'!H1071,8)="建立新的重要关系"),'幕间与结算'!E1071+E1164,BS1163+IF(C1164="重要关系3",E1164,0)+IF(AND(C1164="魅力",E1164&lt;0),E1164,0))))</x:f>
        <x:v>0</x:v>
      </x:c>
      <x:c r="BT1164">
        <x:f>MAX(0,MIN(BK1164,IF(AND(H1164=1,C1164="重要关系4",LEFT('幕间与结算'!H1071,8)="建立新的重要关系"),'幕间与结算'!E1071+E1164,BT1163+IF(C1164="重要关系4",E1164,0)+IF(AND(C1164="魅力",E1164&lt;0),E1164,0))))</x:f>
        <x:v>0</x:v>
      </x:c>
      <x:c r="BU1164">
        <x:f>MAX(0,MIN(BK1164,IF(AND(H1164=1,C1164="重要关系5",LEFT('幕间与结算'!H1071,8)="建立新的重要关系"),'幕间与结算'!E1071+E1164,BU1163+IF(C1164="重要关系5",E1164,0)+IF(AND(C1164="魅力",E1164&lt;0),E1164,0))))</x:f>
        <x:v>0</x:v>
      </x:c>
      <x:c r="BV1164">
        <x:f>MAX(0,MIN(BK1164,IF(AND(H1164=1,C1164="重要关系6",LEFT('幕间与结算'!H1071,8)="建立新的重要关系"),'幕间与结算'!E1071+E1164,BV1163+IF(C1164="重要关系6",E1164,0)+IF(AND(C1164="魅力",E1164&lt;0),E1164,0))))</x:f>
        <x:v>0</x:v>
      </x:c>
      <x:c r="BW1164">
        <x:f>MAX(0,MIN(BK1164,IF(AND(H1164=1,C1164="重要关系7",LEFT('幕间与结算'!H1071,8)="建立新的重要关系"),'幕间与结算'!E1071+E1164,BW1163+IF(C1164="重要关系7",E1164,0)+IF(AND(C1164="魅力",E1164&lt;0),E1164,0))))</x:f>
        <x:v>0</x:v>
      </x:c>
    </x:row>
    <x:row r="1165">
      <x:c r="A1165" t="str">
        <x:f>IFERROR(TEXT(VALUE('幕间与结算'!A1072),"00"),"")</x:f>
        <x:v>00</x:v>
      </x:c>
      <x:c r="B1165">
        <x:f>'幕间与结算'!B1072</x:f>
        <x:v>0</x:v>
      </x:c>
      <x:c r="C1165">
        <x:f>'幕间与结算'!D1072</x:f>
        <x:v>0</x:v>
      </x:c>
      <x:c r="D1165">
        <x:f>'幕间与结算'!F1072</x:f>
        <x:v>0</x:v>
      </x:c>
      <x:c r="E1165">
        <x:f>IF(H1165=1,MAX(-'幕间与结算'!E1072,MIN(D1165,IF(LEFT(C1165,3)="技能：",99,IF(COUNTIF($L$2:$L$7,C1165)&gt;0,18,999))-'幕间与结算'!E1072)),0)</x:f>
        <x:v>0</x:v>
      </x:c>
      <x:c r="F1165" t="str">
        <x:f>IF(C1165=0,"",IF(G1165=0,"记录不完整",IF(H1165=0,"重复未计","已计入")))</x:f>
        <x:v/>
      </x:c>
      <x:c r="G1165">
        <x:f>IF(AND(AND('幕间与结算'!A1072&lt;&gt;"",'幕间与结算'!B1072&lt;&gt;"",'幕间与结算'!I1072&lt;&gt;"",OR(LEFT(C1165,3)="技能：",COUNTIF($L$2:$L$19,C1165)&gt;0),ISNUMBER('幕间与结算'!E1072),ISNUMBER('幕间与结算'!F1072),ISNUMBER('幕间与结算'!G1072),'幕间与结算'!E1072&gt;=0,'幕间与结算'!G1072='幕间与结算'!E1072+'幕间与结算'!F1072),OR(B1165&lt;&gt;"成长",AND(LEFT(C1165,3)="技能：",C1165&lt;&gt;"技能：非自然知识",'幕间与结算'!E1072&gt;=1,'幕间与结算'!E1072&lt;=99,'幕间与结算'!F1072&gt;=0,'幕间与结算'!F1072&lt;=4,'幕间与结算'!G1072&lt;=99))),1,0)</x:f>
        <x:v>0</x:v>
      </x:c>
      <x:c r="H1165">
        <x:f>IF(AND(G1165=1,COUNTIFS($I$200:I1165,I1165,$G$200:G1165,1)=1),1,0)</x:f>
        <x:v>0</x:v>
      </x:c>
      <x:c r="I1165" t="str">
        <x:f>IF(G1165=1,IF(B1165="成长",A1165&amp;"-成长-"&amp;C1165,'幕间与结算'!I1072),"")</x:f>
        <x:v/>
      </x:c>
      <x:c r="BF1165">
        <x:f>MAX(0,MIN(18,BF1164+IF(C1165="力量",E1165,0)))</x:f>
        <x:v>0</x:v>
      </x:c>
      <x:c r="BG1165">
        <x:f>MAX(0,MIN(18,BG1164+IF(C1165="体质",E1165,0)))</x:f>
        <x:v>0</x:v>
      </x:c>
      <x:c r="BH1165">
        <x:f>MAX(0,MIN(18,BH1164+IF(C1165="敏捷",E1165,0)))</x:f>
        <x:v>0</x:v>
      </x:c>
      <x:c r="BI1165">
        <x:f>MAX(0,MIN(18,BI1164+IF(C1165="智力",E1165,0)))</x:f>
        <x:v>0</x:v>
      </x:c>
      <x:c r="BJ1165">
        <x:f>MAX(0,MIN(18,BJ1164+IF(C1165="意志",E1165,0)))</x:f>
        <x:v>0</x:v>
      </x:c>
      <x:c r="BK1165">
        <x:f>MAX(0,MIN(18,BK1164+IF(C1165="魅力",E1165,0)))</x:f>
        <x:v>0</x:v>
      </x:c>
      <x:c r="BL1165">
        <x:f>MAX(0,MIN(99,BL1164+IF(C1165="技能：非自然知识",E1165,0)))</x:f>
        <x:v>0</x:v>
      </x:c>
      <x:c r="BM1165">
        <x:f>MAX(0,MIN(CEILING((BF1165+BG1165)/2,1),BM1164+IF(C1165="体力",E1165,0)))</x:f>
        <x:v>0</x:v>
      </x:c>
      <x:c r="BN1165">
        <x:f>MAX(0,MIN(BJ1165,BN1164+IF(C1165="毅力",E1165,0)))</x:f>
        <x:v>0</x:v>
      </x:c>
      <x:c r="BO1165">
        <x:f>MAX(0,MIN(99-BL1165,BO1164+IF(C1165="理智",E1165,0)))</x:f>
        <x:v>0</x:v>
      </x:c>
      <x:c r="BP1165">
        <x:f>MAX(0,MIN(99,BP1164+IF(C1165="崩溃点",E1165,0)))</x:f>
        <x:v>0</x:v>
      </x:c>
      <x:c r="BQ1165">
        <x:f>MAX(0,MIN(BK1165,IF(AND(H1165=1,C1165="重要关系1",LEFT('幕间与结算'!H1072,8)="建立新的重要关系"),'幕间与结算'!E1072+E1165,BQ1164+IF(C1165="重要关系1",E1165,0)+IF(AND(C1165="魅力",E1165&lt;0),E1165,0))))</x:f>
        <x:v>0</x:v>
      </x:c>
      <x:c r="BR1165">
        <x:f>MAX(0,MIN(BK1165,IF(AND(H1165=1,C1165="重要关系2",LEFT('幕间与结算'!H1072,8)="建立新的重要关系"),'幕间与结算'!E1072+E1165,BR1164+IF(C1165="重要关系2",E1165,0)+IF(AND(C1165="魅力",E1165&lt;0),E1165,0))))</x:f>
        <x:v>0</x:v>
      </x:c>
      <x:c r="BS1165">
        <x:f>MAX(0,MIN(BK1165,IF(AND(H1165=1,C1165="重要关系3",LEFT('幕间与结算'!H1072,8)="建立新的重要关系"),'幕间与结算'!E1072+E1165,BS1164+IF(C1165="重要关系3",E1165,0)+IF(AND(C1165="魅力",E1165&lt;0),E1165,0))))</x:f>
        <x:v>0</x:v>
      </x:c>
      <x:c r="BT1165">
        <x:f>MAX(0,MIN(BK1165,IF(AND(H1165=1,C1165="重要关系4",LEFT('幕间与结算'!H1072,8)="建立新的重要关系"),'幕间与结算'!E1072+E1165,BT1164+IF(C1165="重要关系4",E1165,0)+IF(AND(C1165="魅力",E1165&lt;0),E1165,0))))</x:f>
        <x:v>0</x:v>
      </x:c>
      <x:c r="BU1165">
        <x:f>MAX(0,MIN(BK1165,IF(AND(H1165=1,C1165="重要关系5",LEFT('幕间与结算'!H1072,8)="建立新的重要关系"),'幕间与结算'!E1072+E1165,BU1164+IF(C1165="重要关系5",E1165,0)+IF(AND(C1165="魅力",E1165&lt;0),E1165,0))))</x:f>
        <x:v>0</x:v>
      </x:c>
      <x:c r="BV1165">
        <x:f>MAX(0,MIN(BK1165,IF(AND(H1165=1,C1165="重要关系6",LEFT('幕间与结算'!H1072,8)="建立新的重要关系"),'幕间与结算'!E1072+E1165,BV1164+IF(C1165="重要关系6",E1165,0)+IF(AND(C1165="魅力",E1165&lt;0),E1165,0))))</x:f>
        <x:v>0</x:v>
      </x:c>
      <x:c r="BW1165">
        <x:f>MAX(0,MIN(BK1165,IF(AND(H1165=1,C1165="重要关系7",LEFT('幕间与结算'!H1072,8)="建立新的重要关系"),'幕间与结算'!E1072+E1165,BW1164+IF(C1165="重要关系7",E1165,0)+IF(AND(C1165="魅力",E1165&lt;0),E1165,0))))</x:f>
        <x:v>0</x:v>
      </x:c>
    </x:row>
    <x:row r="1166">
      <x:c r="A1166" t="str">
        <x:f>IFERROR(TEXT(VALUE('幕间与结算'!A1073),"00"),"")</x:f>
        <x:v>00</x:v>
      </x:c>
      <x:c r="B1166">
        <x:f>'幕间与结算'!B1073</x:f>
        <x:v>0</x:v>
      </x:c>
      <x:c r="C1166">
        <x:f>'幕间与结算'!D1073</x:f>
        <x:v>0</x:v>
      </x:c>
      <x:c r="D1166">
        <x:f>'幕间与结算'!F1073</x:f>
        <x:v>0</x:v>
      </x:c>
      <x:c r="E1166">
        <x:f>IF(H1166=1,MAX(-'幕间与结算'!E1073,MIN(D1166,IF(LEFT(C1166,3)="技能：",99,IF(COUNTIF($L$2:$L$7,C1166)&gt;0,18,999))-'幕间与结算'!E1073)),0)</x:f>
        <x:v>0</x:v>
      </x:c>
      <x:c r="F1166" t="str">
        <x:f>IF(C1166=0,"",IF(G1166=0,"记录不完整",IF(H1166=0,"重复未计","已计入")))</x:f>
        <x:v/>
      </x:c>
      <x:c r="G1166">
        <x:f>IF(AND(AND('幕间与结算'!A1073&lt;&gt;"",'幕间与结算'!B1073&lt;&gt;"",'幕间与结算'!I1073&lt;&gt;"",OR(LEFT(C1166,3)="技能：",COUNTIF($L$2:$L$19,C1166)&gt;0),ISNUMBER('幕间与结算'!E1073),ISNUMBER('幕间与结算'!F1073),ISNUMBER('幕间与结算'!G1073),'幕间与结算'!E1073&gt;=0,'幕间与结算'!G1073='幕间与结算'!E1073+'幕间与结算'!F1073),OR(B1166&lt;&gt;"成长",AND(LEFT(C1166,3)="技能：",C1166&lt;&gt;"技能：非自然知识",'幕间与结算'!E1073&gt;=1,'幕间与结算'!E1073&lt;=99,'幕间与结算'!F1073&gt;=0,'幕间与结算'!F1073&lt;=4,'幕间与结算'!G1073&lt;=99))),1,0)</x:f>
        <x:v>0</x:v>
      </x:c>
      <x:c r="H1166">
        <x:f>IF(AND(G1166=1,COUNTIFS($I$200:I1166,I1166,$G$200:G1166,1)=1),1,0)</x:f>
        <x:v>0</x:v>
      </x:c>
      <x:c r="I1166" t="str">
        <x:f>IF(G1166=1,IF(B1166="成长",A1166&amp;"-成长-"&amp;C1166,'幕间与结算'!I1073),"")</x:f>
        <x:v/>
      </x:c>
      <x:c r="BF1166">
        <x:f>MAX(0,MIN(18,BF1165+IF(C1166="力量",E1166,0)))</x:f>
        <x:v>0</x:v>
      </x:c>
      <x:c r="BG1166">
        <x:f>MAX(0,MIN(18,BG1165+IF(C1166="体质",E1166,0)))</x:f>
        <x:v>0</x:v>
      </x:c>
      <x:c r="BH1166">
        <x:f>MAX(0,MIN(18,BH1165+IF(C1166="敏捷",E1166,0)))</x:f>
        <x:v>0</x:v>
      </x:c>
      <x:c r="BI1166">
        <x:f>MAX(0,MIN(18,BI1165+IF(C1166="智力",E1166,0)))</x:f>
        <x:v>0</x:v>
      </x:c>
      <x:c r="BJ1166">
        <x:f>MAX(0,MIN(18,BJ1165+IF(C1166="意志",E1166,0)))</x:f>
        <x:v>0</x:v>
      </x:c>
      <x:c r="BK1166">
        <x:f>MAX(0,MIN(18,BK1165+IF(C1166="魅力",E1166,0)))</x:f>
        <x:v>0</x:v>
      </x:c>
      <x:c r="BL1166">
        <x:f>MAX(0,MIN(99,BL1165+IF(C1166="技能：非自然知识",E1166,0)))</x:f>
        <x:v>0</x:v>
      </x:c>
      <x:c r="BM1166">
        <x:f>MAX(0,MIN(CEILING((BF1166+BG1166)/2,1),BM1165+IF(C1166="体力",E1166,0)))</x:f>
        <x:v>0</x:v>
      </x:c>
      <x:c r="BN1166">
        <x:f>MAX(0,MIN(BJ1166,BN1165+IF(C1166="毅力",E1166,0)))</x:f>
        <x:v>0</x:v>
      </x:c>
      <x:c r="BO1166">
        <x:f>MAX(0,MIN(99-BL1166,BO1165+IF(C1166="理智",E1166,0)))</x:f>
        <x:v>0</x:v>
      </x:c>
      <x:c r="BP1166">
        <x:f>MAX(0,MIN(99,BP1165+IF(C1166="崩溃点",E1166,0)))</x:f>
        <x:v>0</x:v>
      </x:c>
      <x:c r="BQ1166">
        <x:f>MAX(0,MIN(BK1166,IF(AND(H1166=1,C1166="重要关系1",LEFT('幕间与结算'!H1073,8)="建立新的重要关系"),'幕间与结算'!E1073+E1166,BQ1165+IF(C1166="重要关系1",E1166,0)+IF(AND(C1166="魅力",E1166&lt;0),E1166,0))))</x:f>
        <x:v>0</x:v>
      </x:c>
      <x:c r="BR1166">
        <x:f>MAX(0,MIN(BK1166,IF(AND(H1166=1,C1166="重要关系2",LEFT('幕间与结算'!H1073,8)="建立新的重要关系"),'幕间与结算'!E1073+E1166,BR1165+IF(C1166="重要关系2",E1166,0)+IF(AND(C1166="魅力",E1166&lt;0),E1166,0))))</x:f>
        <x:v>0</x:v>
      </x:c>
      <x:c r="BS1166">
        <x:f>MAX(0,MIN(BK1166,IF(AND(H1166=1,C1166="重要关系3",LEFT('幕间与结算'!H1073,8)="建立新的重要关系"),'幕间与结算'!E1073+E1166,BS1165+IF(C1166="重要关系3",E1166,0)+IF(AND(C1166="魅力",E1166&lt;0),E1166,0))))</x:f>
        <x:v>0</x:v>
      </x:c>
      <x:c r="BT1166">
        <x:f>MAX(0,MIN(BK1166,IF(AND(H1166=1,C1166="重要关系4",LEFT('幕间与结算'!H1073,8)="建立新的重要关系"),'幕间与结算'!E1073+E1166,BT1165+IF(C1166="重要关系4",E1166,0)+IF(AND(C1166="魅力",E1166&lt;0),E1166,0))))</x:f>
        <x:v>0</x:v>
      </x:c>
      <x:c r="BU1166">
        <x:f>MAX(0,MIN(BK1166,IF(AND(H1166=1,C1166="重要关系5",LEFT('幕间与结算'!H1073,8)="建立新的重要关系"),'幕间与结算'!E1073+E1166,BU1165+IF(C1166="重要关系5",E1166,0)+IF(AND(C1166="魅力",E1166&lt;0),E1166,0))))</x:f>
        <x:v>0</x:v>
      </x:c>
      <x:c r="BV1166">
        <x:f>MAX(0,MIN(BK1166,IF(AND(H1166=1,C1166="重要关系6",LEFT('幕间与结算'!H1073,8)="建立新的重要关系"),'幕间与结算'!E1073+E1166,BV1165+IF(C1166="重要关系6",E1166,0)+IF(AND(C1166="魅力",E1166&lt;0),E1166,0))))</x:f>
        <x:v>0</x:v>
      </x:c>
      <x:c r="BW1166">
        <x:f>MAX(0,MIN(BK1166,IF(AND(H1166=1,C1166="重要关系7",LEFT('幕间与结算'!H1073,8)="建立新的重要关系"),'幕间与结算'!E1073+E1166,BW1165+IF(C1166="重要关系7",E1166,0)+IF(AND(C1166="魅力",E1166&lt;0),E1166,0))))</x:f>
        <x:v>0</x:v>
      </x:c>
    </x:row>
    <x:row r="1167">
      <x:c r="A1167" t="str">
        <x:f>IFERROR(TEXT(VALUE('幕间与结算'!A1074),"00"),"")</x:f>
        <x:v>00</x:v>
      </x:c>
      <x:c r="B1167">
        <x:f>'幕间与结算'!B1074</x:f>
        <x:v>0</x:v>
      </x:c>
      <x:c r="C1167">
        <x:f>'幕间与结算'!D1074</x:f>
        <x:v>0</x:v>
      </x:c>
      <x:c r="D1167">
        <x:f>'幕间与结算'!F1074</x:f>
        <x:v>0</x:v>
      </x:c>
      <x:c r="E1167">
        <x:f>IF(H1167=1,MAX(-'幕间与结算'!E1074,MIN(D1167,IF(LEFT(C1167,3)="技能：",99,IF(COUNTIF($L$2:$L$7,C1167)&gt;0,18,999))-'幕间与结算'!E1074)),0)</x:f>
        <x:v>0</x:v>
      </x:c>
      <x:c r="F1167" t="str">
        <x:f>IF(C1167=0,"",IF(G1167=0,"记录不完整",IF(H1167=0,"重复未计","已计入")))</x:f>
        <x:v/>
      </x:c>
      <x:c r="G1167">
        <x:f>IF(AND(AND('幕间与结算'!A1074&lt;&gt;"",'幕间与结算'!B1074&lt;&gt;"",'幕间与结算'!I1074&lt;&gt;"",OR(LEFT(C1167,3)="技能：",COUNTIF($L$2:$L$19,C1167)&gt;0),ISNUMBER('幕间与结算'!E1074),ISNUMBER('幕间与结算'!F1074),ISNUMBER('幕间与结算'!G1074),'幕间与结算'!E1074&gt;=0,'幕间与结算'!G1074='幕间与结算'!E1074+'幕间与结算'!F1074),OR(B1167&lt;&gt;"成长",AND(LEFT(C1167,3)="技能：",C1167&lt;&gt;"技能：非自然知识",'幕间与结算'!E1074&gt;=1,'幕间与结算'!E1074&lt;=99,'幕间与结算'!F1074&gt;=0,'幕间与结算'!F1074&lt;=4,'幕间与结算'!G1074&lt;=99))),1,0)</x:f>
        <x:v>0</x:v>
      </x:c>
      <x:c r="H1167">
        <x:f>IF(AND(G1167=1,COUNTIFS($I$200:I1167,I1167,$G$200:G1167,1)=1),1,0)</x:f>
        <x:v>0</x:v>
      </x:c>
      <x:c r="I1167" t="str">
        <x:f>IF(G1167=1,IF(B1167="成长",A1167&amp;"-成长-"&amp;C1167,'幕间与结算'!I1074),"")</x:f>
        <x:v/>
      </x:c>
      <x:c r="BF1167">
        <x:f>MAX(0,MIN(18,BF1166+IF(C1167="力量",E1167,0)))</x:f>
        <x:v>0</x:v>
      </x:c>
      <x:c r="BG1167">
        <x:f>MAX(0,MIN(18,BG1166+IF(C1167="体质",E1167,0)))</x:f>
        <x:v>0</x:v>
      </x:c>
      <x:c r="BH1167">
        <x:f>MAX(0,MIN(18,BH1166+IF(C1167="敏捷",E1167,0)))</x:f>
        <x:v>0</x:v>
      </x:c>
      <x:c r="BI1167">
        <x:f>MAX(0,MIN(18,BI1166+IF(C1167="智力",E1167,0)))</x:f>
        <x:v>0</x:v>
      </x:c>
      <x:c r="BJ1167">
        <x:f>MAX(0,MIN(18,BJ1166+IF(C1167="意志",E1167,0)))</x:f>
        <x:v>0</x:v>
      </x:c>
      <x:c r="BK1167">
        <x:f>MAX(0,MIN(18,BK1166+IF(C1167="魅力",E1167,0)))</x:f>
        <x:v>0</x:v>
      </x:c>
      <x:c r="BL1167">
        <x:f>MAX(0,MIN(99,BL1166+IF(C1167="技能：非自然知识",E1167,0)))</x:f>
        <x:v>0</x:v>
      </x:c>
      <x:c r="BM1167">
        <x:f>MAX(0,MIN(CEILING((BF1167+BG1167)/2,1),BM1166+IF(C1167="体力",E1167,0)))</x:f>
        <x:v>0</x:v>
      </x:c>
      <x:c r="BN1167">
        <x:f>MAX(0,MIN(BJ1167,BN1166+IF(C1167="毅力",E1167,0)))</x:f>
        <x:v>0</x:v>
      </x:c>
      <x:c r="BO1167">
        <x:f>MAX(0,MIN(99-BL1167,BO1166+IF(C1167="理智",E1167,0)))</x:f>
        <x:v>0</x:v>
      </x:c>
      <x:c r="BP1167">
        <x:f>MAX(0,MIN(99,BP1166+IF(C1167="崩溃点",E1167,0)))</x:f>
        <x:v>0</x:v>
      </x:c>
      <x:c r="BQ1167">
        <x:f>MAX(0,MIN(BK1167,IF(AND(H1167=1,C1167="重要关系1",LEFT('幕间与结算'!H1074,8)="建立新的重要关系"),'幕间与结算'!E1074+E1167,BQ1166+IF(C1167="重要关系1",E1167,0)+IF(AND(C1167="魅力",E1167&lt;0),E1167,0))))</x:f>
        <x:v>0</x:v>
      </x:c>
      <x:c r="BR1167">
        <x:f>MAX(0,MIN(BK1167,IF(AND(H1167=1,C1167="重要关系2",LEFT('幕间与结算'!H1074,8)="建立新的重要关系"),'幕间与结算'!E1074+E1167,BR1166+IF(C1167="重要关系2",E1167,0)+IF(AND(C1167="魅力",E1167&lt;0),E1167,0))))</x:f>
        <x:v>0</x:v>
      </x:c>
      <x:c r="BS1167">
        <x:f>MAX(0,MIN(BK1167,IF(AND(H1167=1,C1167="重要关系3",LEFT('幕间与结算'!H1074,8)="建立新的重要关系"),'幕间与结算'!E1074+E1167,BS1166+IF(C1167="重要关系3",E1167,0)+IF(AND(C1167="魅力",E1167&lt;0),E1167,0))))</x:f>
        <x:v>0</x:v>
      </x:c>
      <x:c r="BT1167">
        <x:f>MAX(0,MIN(BK1167,IF(AND(H1167=1,C1167="重要关系4",LEFT('幕间与结算'!H1074,8)="建立新的重要关系"),'幕间与结算'!E1074+E1167,BT1166+IF(C1167="重要关系4",E1167,0)+IF(AND(C1167="魅力",E1167&lt;0),E1167,0))))</x:f>
        <x:v>0</x:v>
      </x:c>
      <x:c r="BU1167">
        <x:f>MAX(0,MIN(BK1167,IF(AND(H1167=1,C1167="重要关系5",LEFT('幕间与结算'!H1074,8)="建立新的重要关系"),'幕间与结算'!E1074+E1167,BU1166+IF(C1167="重要关系5",E1167,0)+IF(AND(C1167="魅力",E1167&lt;0),E1167,0))))</x:f>
        <x:v>0</x:v>
      </x:c>
      <x:c r="BV1167">
        <x:f>MAX(0,MIN(BK1167,IF(AND(H1167=1,C1167="重要关系6",LEFT('幕间与结算'!H1074,8)="建立新的重要关系"),'幕间与结算'!E1074+E1167,BV1166+IF(C1167="重要关系6",E1167,0)+IF(AND(C1167="魅力",E1167&lt;0),E1167,0))))</x:f>
        <x:v>0</x:v>
      </x:c>
      <x:c r="BW1167">
        <x:f>MAX(0,MIN(BK1167,IF(AND(H1167=1,C1167="重要关系7",LEFT('幕间与结算'!H1074,8)="建立新的重要关系"),'幕间与结算'!E1074+E1167,BW1166+IF(C1167="重要关系7",E1167,0)+IF(AND(C1167="魅力",E1167&lt;0),E1167,0))))</x:f>
        <x:v>0</x:v>
      </x:c>
    </x:row>
    <x:row r="1168">
      <x:c r="A1168" t="str">
        <x:f>IFERROR(TEXT(VALUE('幕间与结算'!A1075),"00"),"")</x:f>
        <x:v>00</x:v>
      </x:c>
      <x:c r="B1168">
        <x:f>'幕间与结算'!B1075</x:f>
        <x:v>0</x:v>
      </x:c>
      <x:c r="C1168">
        <x:f>'幕间与结算'!D1075</x:f>
        <x:v>0</x:v>
      </x:c>
      <x:c r="D1168">
        <x:f>'幕间与结算'!F1075</x:f>
        <x:v>0</x:v>
      </x:c>
      <x:c r="E1168">
        <x:f>IF(H1168=1,MAX(-'幕间与结算'!E1075,MIN(D1168,IF(LEFT(C1168,3)="技能：",99,IF(COUNTIF($L$2:$L$7,C1168)&gt;0,18,999))-'幕间与结算'!E1075)),0)</x:f>
        <x:v>0</x:v>
      </x:c>
      <x:c r="F1168" t="str">
        <x:f>IF(C1168=0,"",IF(G1168=0,"记录不完整",IF(H1168=0,"重复未计","已计入")))</x:f>
        <x:v/>
      </x:c>
      <x:c r="G1168">
        <x:f>IF(AND(AND('幕间与结算'!A1075&lt;&gt;"",'幕间与结算'!B1075&lt;&gt;"",'幕间与结算'!I1075&lt;&gt;"",OR(LEFT(C1168,3)="技能：",COUNTIF($L$2:$L$19,C1168)&gt;0),ISNUMBER('幕间与结算'!E1075),ISNUMBER('幕间与结算'!F1075),ISNUMBER('幕间与结算'!G1075),'幕间与结算'!E1075&gt;=0,'幕间与结算'!G1075='幕间与结算'!E1075+'幕间与结算'!F1075),OR(B1168&lt;&gt;"成长",AND(LEFT(C1168,3)="技能：",C1168&lt;&gt;"技能：非自然知识",'幕间与结算'!E1075&gt;=1,'幕间与结算'!E1075&lt;=99,'幕间与结算'!F1075&gt;=0,'幕间与结算'!F1075&lt;=4,'幕间与结算'!G1075&lt;=99))),1,0)</x:f>
        <x:v>0</x:v>
      </x:c>
      <x:c r="H1168">
        <x:f>IF(AND(G1168=1,COUNTIFS($I$200:I1168,I1168,$G$200:G1168,1)=1),1,0)</x:f>
        <x:v>0</x:v>
      </x:c>
      <x:c r="I1168" t="str">
        <x:f>IF(G1168=1,IF(B1168="成长",A1168&amp;"-成长-"&amp;C1168,'幕间与结算'!I1075),"")</x:f>
        <x:v/>
      </x:c>
      <x:c r="BF1168">
        <x:f>MAX(0,MIN(18,BF1167+IF(C1168="力量",E1168,0)))</x:f>
        <x:v>0</x:v>
      </x:c>
      <x:c r="BG1168">
        <x:f>MAX(0,MIN(18,BG1167+IF(C1168="体质",E1168,0)))</x:f>
        <x:v>0</x:v>
      </x:c>
      <x:c r="BH1168">
        <x:f>MAX(0,MIN(18,BH1167+IF(C1168="敏捷",E1168,0)))</x:f>
        <x:v>0</x:v>
      </x:c>
      <x:c r="BI1168">
        <x:f>MAX(0,MIN(18,BI1167+IF(C1168="智力",E1168,0)))</x:f>
        <x:v>0</x:v>
      </x:c>
      <x:c r="BJ1168">
        <x:f>MAX(0,MIN(18,BJ1167+IF(C1168="意志",E1168,0)))</x:f>
        <x:v>0</x:v>
      </x:c>
      <x:c r="BK1168">
        <x:f>MAX(0,MIN(18,BK1167+IF(C1168="魅力",E1168,0)))</x:f>
        <x:v>0</x:v>
      </x:c>
      <x:c r="BL1168">
        <x:f>MAX(0,MIN(99,BL1167+IF(C1168="技能：非自然知识",E1168,0)))</x:f>
        <x:v>0</x:v>
      </x:c>
      <x:c r="BM1168">
        <x:f>MAX(0,MIN(CEILING((BF1168+BG1168)/2,1),BM1167+IF(C1168="体力",E1168,0)))</x:f>
        <x:v>0</x:v>
      </x:c>
      <x:c r="BN1168">
        <x:f>MAX(0,MIN(BJ1168,BN1167+IF(C1168="毅力",E1168,0)))</x:f>
        <x:v>0</x:v>
      </x:c>
      <x:c r="BO1168">
        <x:f>MAX(0,MIN(99-BL1168,BO1167+IF(C1168="理智",E1168,0)))</x:f>
        <x:v>0</x:v>
      </x:c>
      <x:c r="BP1168">
        <x:f>MAX(0,MIN(99,BP1167+IF(C1168="崩溃点",E1168,0)))</x:f>
        <x:v>0</x:v>
      </x:c>
      <x:c r="BQ1168">
        <x:f>MAX(0,MIN(BK1168,IF(AND(H1168=1,C1168="重要关系1",LEFT('幕间与结算'!H1075,8)="建立新的重要关系"),'幕间与结算'!E1075+E1168,BQ1167+IF(C1168="重要关系1",E1168,0)+IF(AND(C1168="魅力",E1168&lt;0),E1168,0))))</x:f>
        <x:v>0</x:v>
      </x:c>
      <x:c r="BR1168">
        <x:f>MAX(0,MIN(BK1168,IF(AND(H1168=1,C1168="重要关系2",LEFT('幕间与结算'!H1075,8)="建立新的重要关系"),'幕间与结算'!E1075+E1168,BR1167+IF(C1168="重要关系2",E1168,0)+IF(AND(C1168="魅力",E1168&lt;0),E1168,0))))</x:f>
        <x:v>0</x:v>
      </x:c>
      <x:c r="BS1168">
        <x:f>MAX(0,MIN(BK1168,IF(AND(H1168=1,C1168="重要关系3",LEFT('幕间与结算'!H1075,8)="建立新的重要关系"),'幕间与结算'!E1075+E1168,BS1167+IF(C1168="重要关系3",E1168,0)+IF(AND(C1168="魅力",E1168&lt;0),E1168,0))))</x:f>
        <x:v>0</x:v>
      </x:c>
      <x:c r="BT1168">
        <x:f>MAX(0,MIN(BK1168,IF(AND(H1168=1,C1168="重要关系4",LEFT('幕间与结算'!H1075,8)="建立新的重要关系"),'幕间与结算'!E1075+E1168,BT1167+IF(C1168="重要关系4",E1168,0)+IF(AND(C1168="魅力",E1168&lt;0),E1168,0))))</x:f>
        <x:v>0</x:v>
      </x:c>
      <x:c r="BU1168">
        <x:f>MAX(0,MIN(BK1168,IF(AND(H1168=1,C1168="重要关系5",LEFT('幕间与结算'!H1075,8)="建立新的重要关系"),'幕间与结算'!E1075+E1168,BU1167+IF(C1168="重要关系5",E1168,0)+IF(AND(C1168="魅力",E1168&lt;0),E1168,0))))</x:f>
        <x:v>0</x:v>
      </x:c>
      <x:c r="BV1168">
        <x:f>MAX(0,MIN(BK1168,IF(AND(H1168=1,C1168="重要关系6",LEFT('幕间与结算'!H1075,8)="建立新的重要关系"),'幕间与结算'!E1075+E1168,BV1167+IF(C1168="重要关系6",E1168,0)+IF(AND(C1168="魅力",E1168&lt;0),E1168,0))))</x:f>
        <x:v>0</x:v>
      </x:c>
      <x:c r="BW1168">
        <x:f>MAX(0,MIN(BK1168,IF(AND(H1168=1,C1168="重要关系7",LEFT('幕间与结算'!H1075,8)="建立新的重要关系"),'幕间与结算'!E1075+E1168,BW1167+IF(C1168="重要关系7",E1168,0)+IF(AND(C1168="魅力",E1168&lt;0),E1168,0))))</x:f>
        <x:v>0</x:v>
      </x:c>
    </x:row>
    <x:row r="1169">
      <x:c r="A1169" t="str">
        <x:f>IFERROR(TEXT(VALUE('幕间与结算'!A1076),"00"),"")</x:f>
        <x:v>00</x:v>
      </x:c>
      <x:c r="B1169">
        <x:f>'幕间与结算'!B1076</x:f>
        <x:v>0</x:v>
      </x:c>
      <x:c r="C1169">
        <x:f>'幕间与结算'!D1076</x:f>
        <x:v>0</x:v>
      </x:c>
      <x:c r="D1169">
        <x:f>'幕间与结算'!F1076</x:f>
        <x:v>0</x:v>
      </x:c>
      <x:c r="E1169">
        <x:f>IF(H1169=1,MAX(-'幕间与结算'!E1076,MIN(D1169,IF(LEFT(C1169,3)="技能：",99,IF(COUNTIF($L$2:$L$7,C1169)&gt;0,18,999))-'幕间与结算'!E1076)),0)</x:f>
        <x:v>0</x:v>
      </x:c>
      <x:c r="F1169" t="str">
        <x:f>IF(C1169=0,"",IF(G1169=0,"记录不完整",IF(H1169=0,"重复未计","已计入")))</x:f>
        <x:v/>
      </x:c>
      <x:c r="G1169">
        <x:f>IF(AND(AND('幕间与结算'!A1076&lt;&gt;"",'幕间与结算'!B1076&lt;&gt;"",'幕间与结算'!I1076&lt;&gt;"",OR(LEFT(C1169,3)="技能：",COUNTIF($L$2:$L$19,C1169)&gt;0),ISNUMBER('幕间与结算'!E1076),ISNUMBER('幕间与结算'!F1076),ISNUMBER('幕间与结算'!G1076),'幕间与结算'!E1076&gt;=0,'幕间与结算'!G1076='幕间与结算'!E1076+'幕间与结算'!F1076),OR(B1169&lt;&gt;"成长",AND(LEFT(C1169,3)="技能：",C1169&lt;&gt;"技能：非自然知识",'幕间与结算'!E1076&gt;=1,'幕间与结算'!E1076&lt;=99,'幕间与结算'!F1076&gt;=0,'幕间与结算'!F1076&lt;=4,'幕间与结算'!G1076&lt;=99))),1,0)</x:f>
        <x:v>0</x:v>
      </x:c>
      <x:c r="H1169">
        <x:f>IF(AND(G1169=1,COUNTIFS($I$200:I1169,I1169,$G$200:G1169,1)=1),1,0)</x:f>
        <x:v>0</x:v>
      </x:c>
      <x:c r="I1169" t="str">
        <x:f>IF(G1169=1,IF(B1169="成长",A1169&amp;"-成长-"&amp;C1169,'幕间与结算'!I1076),"")</x:f>
        <x:v/>
      </x:c>
      <x:c r="BF1169">
        <x:f>MAX(0,MIN(18,BF1168+IF(C1169="力量",E1169,0)))</x:f>
        <x:v>0</x:v>
      </x:c>
      <x:c r="BG1169">
        <x:f>MAX(0,MIN(18,BG1168+IF(C1169="体质",E1169,0)))</x:f>
        <x:v>0</x:v>
      </x:c>
      <x:c r="BH1169">
        <x:f>MAX(0,MIN(18,BH1168+IF(C1169="敏捷",E1169,0)))</x:f>
        <x:v>0</x:v>
      </x:c>
      <x:c r="BI1169">
        <x:f>MAX(0,MIN(18,BI1168+IF(C1169="智力",E1169,0)))</x:f>
        <x:v>0</x:v>
      </x:c>
      <x:c r="BJ1169">
        <x:f>MAX(0,MIN(18,BJ1168+IF(C1169="意志",E1169,0)))</x:f>
        <x:v>0</x:v>
      </x:c>
      <x:c r="BK1169">
        <x:f>MAX(0,MIN(18,BK1168+IF(C1169="魅力",E1169,0)))</x:f>
        <x:v>0</x:v>
      </x:c>
      <x:c r="BL1169">
        <x:f>MAX(0,MIN(99,BL1168+IF(C1169="技能：非自然知识",E1169,0)))</x:f>
        <x:v>0</x:v>
      </x:c>
      <x:c r="BM1169">
        <x:f>MAX(0,MIN(CEILING((BF1169+BG1169)/2,1),BM1168+IF(C1169="体力",E1169,0)))</x:f>
        <x:v>0</x:v>
      </x:c>
      <x:c r="BN1169">
        <x:f>MAX(0,MIN(BJ1169,BN1168+IF(C1169="毅力",E1169,0)))</x:f>
        <x:v>0</x:v>
      </x:c>
      <x:c r="BO1169">
        <x:f>MAX(0,MIN(99-BL1169,BO1168+IF(C1169="理智",E1169,0)))</x:f>
        <x:v>0</x:v>
      </x:c>
      <x:c r="BP1169">
        <x:f>MAX(0,MIN(99,BP1168+IF(C1169="崩溃点",E1169,0)))</x:f>
        <x:v>0</x:v>
      </x:c>
      <x:c r="BQ1169">
        <x:f>MAX(0,MIN(BK1169,IF(AND(H1169=1,C1169="重要关系1",LEFT('幕间与结算'!H1076,8)="建立新的重要关系"),'幕间与结算'!E1076+E1169,BQ1168+IF(C1169="重要关系1",E1169,0)+IF(AND(C1169="魅力",E1169&lt;0),E1169,0))))</x:f>
        <x:v>0</x:v>
      </x:c>
      <x:c r="BR1169">
        <x:f>MAX(0,MIN(BK1169,IF(AND(H1169=1,C1169="重要关系2",LEFT('幕间与结算'!H1076,8)="建立新的重要关系"),'幕间与结算'!E1076+E1169,BR1168+IF(C1169="重要关系2",E1169,0)+IF(AND(C1169="魅力",E1169&lt;0),E1169,0))))</x:f>
        <x:v>0</x:v>
      </x:c>
      <x:c r="BS1169">
        <x:f>MAX(0,MIN(BK1169,IF(AND(H1169=1,C1169="重要关系3",LEFT('幕间与结算'!H1076,8)="建立新的重要关系"),'幕间与结算'!E1076+E1169,BS1168+IF(C1169="重要关系3",E1169,0)+IF(AND(C1169="魅力",E1169&lt;0),E1169,0))))</x:f>
        <x:v>0</x:v>
      </x:c>
      <x:c r="BT1169">
        <x:f>MAX(0,MIN(BK1169,IF(AND(H1169=1,C1169="重要关系4",LEFT('幕间与结算'!H1076,8)="建立新的重要关系"),'幕间与结算'!E1076+E1169,BT1168+IF(C1169="重要关系4",E1169,0)+IF(AND(C1169="魅力",E1169&lt;0),E1169,0))))</x:f>
        <x:v>0</x:v>
      </x:c>
      <x:c r="BU1169">
        <x:f>MAX(0,MIN(BK1169,IF(AND(H1169=1,C1169="重要关系5",LEFT('幕间与结算'!H1076,8)="建立新的重要关系"),'幕间与结算'!E1076+E1169,BU1168+IF(C1169="重要关系5",E1169,0)+IF(AND(C1169="魅力",E1169&lt;0),E1169,0))))</x:f>
        <x:v>0</x:v>
      </x:c>
      <x:c r="BV1169">
        <x:f>MAX(0,MIN(BK1169,IF(AND(H1169=1,C1169="重要关系6",LEFT('幕间与结算'!H1076,8)="建立新的重要关系"),'幕间与结算'!E1076+E1169,BV1168+IF(C1169="重要关系6",E1169,0)+IF(AND(C1169="魅力",E1169&lt;0),E1169,0))))</x:f>
        <x:v>0</x:v>
      </x:c>
      <x:c r="BW1169">
        <x:f>MAX(0,MIN(BK1169,IF(AND(H1169=1,C1169="重要关系7",LEFT('幕间与结算'!H1076,8)="建立新的重要关系"),'幕间与结算'!E1076+E1169,BW1168+IF(C1169="重要关系7",E1169,0)+IF(AND(C1169="魅力",E1169&lt;0),E1169,0))))</x:f>
        <x:v>0</x:v>
      </x:c>
    </x:row>
    <x:row r="1170">
      <x:c r="A1170" t="str">
        <x:f>IFERROR(TEXT(VALUE('幕间与结算'!A1077),"00"),"")</x:f>
        <x:v>00</x:v>
      </x:c>
      <x:c r="B1170">
        <x:f>'幕间与结算'!B1077</x:f>
        <x:v>0</x:v>
      </x:c>
      <x:c r="C1170">
        <x:f>'幕间与结算'!D1077</x:f>
        <x:v>0</x:v>
      </x:c>
      <x:c r="D1170">
        <x:f>'幕间与结算'!F1077</x:f>
        <x:v>0</x:v>
      </x:c>
      <x:c r="E1170">
        <x:f>IF(H1170=1,MAX(-'幕间与结算'!E1077,MIN(D1170,IF(LEFT(C1170,3)="技能：",99,IF(COUNTIF($L$2:$L$7,C1170)&gt;0,18,999))-'幕间与结算'!E1077)),0)</x:f>
        <x:v>0</x:v>
      </x:c>
      <x:c r="F1170" t="str">
        <x:f>IF(C1170=0,"",IF(G1170=0,"记录不完整",IF(H1170=0,"重复未计","已计入")))</x:f>
        <x:v/>
      </x:c>
      <x:c r="G1170">
        <x:f>IF(AND(AND('幕间与结算'!A1077&lt;&gt;"",'幕间与结算'!B1077&lt;&gt;"",'幕间与结算'!I1077&lt;&gt;"",OR(LEFT(C1170,3)="技能：",COUNTIF($L$2:$L$19,C1170)&gt;0),ISNUMBER('幕间与结算'!E1077),ISNUMBER('幕间与结算'!F1077),ISNUMBER('幕间与结算'!G1077),'幕间与结算'!E1077&gt;=0,'幕间与结算'!G1077='幕间与结算'!E1077+'幕间与结算'!F1077),OR(B1170&lt;&gt;"成长",AND(LEFT(C1170,3)="技能：",C1170&lt;&gt;"技能：非自然知识",'幕间与结算'!E1077&gt;=1,'幕间与结算'!E1077&lt;=99,'幕间与结算'!F1077&gt;=0,'幕间与结算'!F1077&lt;=4,'幕间与结算'!G1077&lt;=99))),1,0)</x:f>
        <x:v>0</x:v>
      </x:c>
      <x:c r="H1170">
        <x:f>IF(AND(G1170=1,COUNTIFS($I$200:I1170,I1170,$G$200:G1170,1)=1),1,0)</x:f>
        <x:v>0</x:v>
      </x:c>
      <x:c r="I1170" t="str">
        <x:f>IF(G1170=1,IF(B1170="成长",A1170&amp;"-成长-"&amp;C1170,'幕间与结算'!I1077),"")</x:f>
        <x:v/>
      </x:c>
      <x:c r="BF1170">
        <x:f>MAX(0,MIN(18,BF1169+IF(C1170="力量",E1170,0)))</x:f>
        <x:v>0</x:v>
      </x:c>
      <x:c r="BG1170">
        <x:f>MAX(0,MIN(18,BG1169+IF(C1170="体质",E1170,0)))</x:f>
        <x:v>0</x:v>
      </x:c>
      <x:c r="BH1170">
        <x:f>MAX(0,MIN(18,BH1169+IF(C1170="敏捷",E1170,0)))</x:f>
        <x:v>0</x:v>
      </x:c>
      <x:c r="BI1170">
        <x:f>MAX(0,MIN(18,BI1169+IF(C1170="智力",E1170,0)))</x:f>
        <x:v>0</x:v>
      </x:c>
      <x:c r="BJ1170">
        <x:f>MAX(0,MIN(18,BJ1169+IF(C1170="意志",E1170,0)))</x:f>
        <x:v>0</x:v>
      </x:c>
      <x:c r="BK1170">
        <x:f>MAX(0,MIN(18,BK1169+IF(C1170="魅力",E1170,0)))</x:f>
        <x:v>0</x:v>
      </x:c>
      <x:c r="BL1170">
        <x:f>MAX(0,MIN(99,BL1169+IF(C1170="技能：非自然知识",E1170,0)))</x:f>
        <x:v>0</x:v>
      </x:c>
      <x:c r="BM1170">
        <x:f>MAX(0,MIN(CEILING((BF1170+BG1170)/2,1),BM1169+IF(C1170="体力",E1170,0)))</x:f>
        <x:v>0</x:v>
      </x:c>
      <x:c r="BN1170">
        <x:f>MAX(0,MIN(BJ1170,BN1169+IF(C1170="毅力",E1170,0)))</x:f>
        <x:v>0</x:v>
      </x:c>
      <x:c r="BO1170">
        <x:f>MAX(0,MIN(99-BL1170,BO1169+IF(C1170="理智",E1170,0)))</x:f>
        <x:v>0</x:v>
      </x:c>
      <x:c r="BP1170">
        <x:f>MAX(0,MIN(99,BP1169+IF(C1170="崩溃点",E1170,0)))</x:f>
        <x:v>0</x:v>
      </x:c>
      <x:c r="BQ1170">
        <x:f>MAX(0,MIN(BK1170,IF(AND(H1170=1,C1170="重要关系1",LEFT('幕间与结算'!H1077,8)="建立新的重要关系"),'幕间与结算'!E1077+E1170,BQ1169+IF(C1170="重要关系1",E1170,0)+IF(AND(C1170="魅力",E1170&lt;0),E1170,0))))</x:f>
        <x:v>0</x:v>
      </x:c>
      <x:c r="BR1170">
        <x:f>MAX(0,MIN(BK1170,IF(AND(H1170=1,C1170="重要关系2",LEFT('幕间与结算'!H1077,8)="建立新的重要关系"),'幕间与结算'!E1077+E1170,BR1169+IF(C1170="重要关系2",E1170,0)+IF(AND(C1170="魅力",E1170&lt;0),E1170,0))))</x:f>
        <x:v>0</x:v>
      </x:c>
      <x:c r="BS1170">
        <x:f>MAX(0,MIN(BK1170,IF(AND(H1170=1,C1170="重要关系3",LEFT('幕间与结算'!H1077,8)="建立新的重要关系"),'幕间与结算'!E1077+E1170,BS1169+IF(C1170="重要关系3",E1170,0)+IF(AND(C1170="魅力",E1170&lt;0),E1170,0))))</x:f>
        <x:v>0</x:v>
      </x:c>
      <x:c r="BT1170">
        <x:f>MAX(0,MIN(BK1170,IF(AND(H1170=1,C1170="重要关系4",LEFT('幕间与结算'!H1077,8)="建立新的重要关系"),'幕间与结算'!E1077+E1170,BT1169+IF(C1170="重要关系4",E1170,0)+IF(AND(C1170="魅力",E1170&lt;0),E1170,0))))</x:f>
        <x:v>0</x:v>
      </x:c>
      <x:c r="BU1170">
        <x:f>MAX(0,MIN(BK1170,IF(AND(H1170=1,C1170="重要关系5",LEFT('幕间与结算'!H1077,8)="建立新的重要关系"),'幕间与结算'!E1077+E1170,BU1169+IF(C1170="重要关系5",E1170,0)+IF(AND(C1170="魅力",E1170&lt;0),E1170,0))))</x:f>
        <x:v>0</x:v>
      </x:c>
      <x:c r="BV1170">
        <x:f>MAX(0,MIN(BK1170,IF(AND(H1170=1,C1170="重要关系6",LEFT('幕间与结算'!H1077,8)="建立新的重要关系"),'幕间与结算'!E1077+E1170,BV1169+IF(C1170="重要关系6",E1170,0)+IF(AND(C1170="魅力",E1170&lt;0),E1170,0))))</x:f>
        <x:v>0</x:v>
      </x:c>
      <x:c r="BW1170">
        <x:f>MAX(0,MIN(BK1170,IF(AND(H1170=1,C1170="重要关系7",LEFT('幕间与结算'!H1077,8)="建立新的重要关系"),'幕间与结算'!E1077+E1170,BW1169+IF(C1170="重要关系7",E1170,0)+IF(AND(C1170="魅力",E1170&lt;0),E1170,0))))</x:f>
        <x:v>0</x:v>
      </x:c>
    </x:row>
    <x:row r="1171">
      <x:c r="A1171" t="str">
        <x:f>IFERROR(TEXT(VALUE('幕间与结算'!A1078),"00"),"")</x:f>
        <x:v>00</x:v>
      </x:c>
      <x:c r="B1171">
        <x:f>'幕间与结算'!B1078</x:f>
        <x:v>0</x:v>
      </x:c>
      <x:c r="C1171">
        <x:f>'幕间与结算'!D1078</x:f>
        <x:v>0</x:v>
      </x:c>
      <x:c r="D1171">
        <x:f>'幕间与结算'!F1078</x:f>
        <x:v>0</x:v>
      </x:c>
      <x:c r="E1171">
        <x:f>IF(H1171=1,MAX(-'幕间与结算'!E1078,MIN(D1171,IF(LEFT(C1171,3)="技能：",99,IF(COUNTIF($L$2:$L$7,C1171)&gt;0,18,999))-'幕间与结算'!E1078)),0)</x:f>
        <x:v>0</x:v>
      </x:c>
      <x:c r="F1171" t="str">
        <x:f>IF(C1171=0,"",IF(G1171=0,"记录不完整",IF(H1171=0,"重复未计","已计入")))</x:f>
        <x:v/>
      </x:c>
      <x:c r="G1171">
        <x:f>IF(AND(AND('幕间与结算'!A1078&lt;&gt;"",'幕间与结算'!B1078&lt;&gt;"",'幕间与结算'!I1078&lt;&gt;"",OR(LEFT(C1171,3)="技能：",COUNTIF($L$2:$L$19,C1171)&gt;0),ISNUMBER('幕间与结算'!E1078),ISNUMBER('幕间与结算'!F1078),ISNUMBER('幕间与结算'!G1078),'幕间与结算'!E1078&gt;=0,'幕间与结算'!G1078='幕间与结算'!E1078+'幕间与结算'!F1078),OR(B1171&lt;&gt;"成长",AND(LEFT(C1171,3)="技能：",C1171&lt;&gt;"技能：非自然知识",'幕间与结算'!E1078&gt;=1,'幕间与结算'!E1078&lt;=99,'幕间与结算'!F1078&gt;=0,'幕间与结算'!F1078&lt;=4,'幕间与结算'!G1078&lt;=99))),1,0)</x:f>
        <x:v>0</x:v>
      </x:c>
      <x:c r="H1171">
        <x:f>IF(AND(G1171=1,COUNTIFS($I$200:I1171,I1171,$G$200:G1171,1)=1),1,0)</x:f>
        <x:v>0</x:v>
      </x:c>
      <x:c r="I1171" t="str">
        <x:f>IF(G1171=1,IF(B1171="成长",A1171&amp;"-成长-"&amp;C1171,'幕间与结算'!I1078),"")</x:f>
        <x:v/>
      </x:c>
      <x:c r="BF1171">
        <x:f>MAX(0,MIN(18,BF1170+IF(C1171="力量",E1171,0)))</x:f>
        <x:v>0</x:v>
      </x:c>
      <x:c r="BG1171">
        <x:f>MAX(0,MIN(18,BG1170+IF(C1171="体质",E1171,0)))</x:f>
        <x:v>0</x:v>
      </x:c>
      <x:c r="BH1171">
        <x:f>MAX(0,MIN(18,BH1170+IF(C1171="敏捷",E1171,0)))</x:f>
        <x:v>0</x:v>
      </x:c>
      <x:c r="BI1171">
        <x:f>MAX(0,MIN(18,BI1170+IF(C1171="智力",E1171,0)))</x:f>
        <x:v>0</x:v>
      </x:c>
      <x:c r="BJ1171">
        <x:f>MAX(0,MIN(18,BJ1170+IF(C1171="意志",E1171,0)))</x:f>
        <x:v>0</x:v>
      </x:c>
      <x:c r="BK1171">
        <x:f>MAX(0,MIN(18,BK1170+IF(C1171="魅力",E1171,0)))</x:f>
        <x:v>0</x:v>
      </x:c>
      <x:c r="BL1171">
        <x:f>MAX(0,MIN(99,BL1170+IF(C1171="技能：非自然知识",E1171,0)))</x:f>
        <x:v>0</x:v>
      </x:c>
      <x:c r="BM1171">
        <x:f>MAX(0,MIN(CEILING((BF1171+BG1171)/2,1),BM1170+IF(C1171="体力",E1171,0)))</x:f>
        <x:v>0</x:v>
      </x:c>
      <x:c r="BN1171">
        <x:f>MAX(0,MIN(BJ1171,BN1170+IF(C1171="毅力",E1171,0)))</x:f>
        <x:v>0</x:v>
      </x:c>
      <x:c r="BO1171">
        <x:f>MAX(0,MIN(99-BL1171,BO1170+IF(C1171="理智",E1171,0)))</x:f>
        <x:v>0</x:v>
      </x:c>
      <x:c r="BP1171">
        <x:f>MAX(0,MIN(99,BP1170+IF(C1171="崩溃点",E1171,0)))</x:f>
        <x:v>0</x:v>
      </x:c>
      <x:c r="BQ1171">
        <x:f>MAX(0,MIN(BK1171,IF(AND(H1171=1,C1171="重要关系1",LEFT('幕间与结算'!H1078,8)="建立新的重要关系"),'幕间与结算'!E1078+E1171,BQ1170+IF(C1171="重要关系1",E1171,0)+IF(AND(C1171="魅力",E1171&lt;0),E1171,0))))</x:f>
        <x:v>0</x:v>
      </x:c>
      <x:c r="BR1171">
        <x:f>MAX(0,MIN(BK1171,IF(AND(H1171=1,C1171="重要关系2",LEFT('幕间与结算'!H1078,8)="建立新的重要关系"),'幕间与结算'!E1078+E1171,BR1170+IF(C1171="重要关系2",E1171,0)+IF(AND(C1171="魅力",E1171&lt;0),E1171,0))))</x:f>
        <x:v>0</x:v>
      </x:c>
      <x:c r="BS1171">
        <x:f>MAX(0,MIN(BK1171,IF(AND(H1171=1,C1171="重要关系3",LEFT('幕间与结算'!H1078,8)="建立新的重要关系"),'幕间与结算'!E1078+E1171,BS1170+IF(C1171="重要关系3",E1171,0)+IF(AND(C1171="魅力",E1171&lt;0),E1171,0))))</x:f>
        <x:v>0</x:v>
      </x:c>
      <x:c r="BT1171">
        <x:f>MAX(0,MIN(BK1171,IF(AND(H1171=1,C1171="重要关系4",LEFT('幕间与结算'!H1078,8)="建立新的重要关系"),'幕间与结算'!E1078+E1171,BT1170+IF(C1171="重要关系4",E1171,0)+IF(AND(C1171="魅力",E1171&lt;0),E1171,0))))</x:f>
        <x:v>0</x:v>
      </x:c>
      <x:c r="BU1171">
        <x:f>MAX(0,MIN(BK1171,IF(AND(H1171=1,C1171="重要关系5",LEFT('幕间与结算'!H1078,8)="建立新的重要关系"),'幕间与结算'!E1078+E1171,BU1170+IF(C1171="重要关系5",E1171,0)+IF(AND(C1171="魅力",E1171&lt;0),E1171,0))))</x:f>
        <x:v>0</x:v>
      </x:c>
      <x:c r="BV1171">
        <x:f>MAX(0,MIN(BK1171,IF(AND(H1171=1,C1171="重要关系6",LEFT('幕间与结算'!H1078,8)="建立新的重要关系"),'幕间与结算'!E1078+E1171,BV1170+IF(C1171="重要关系6",E1171,0)+IF(AND(C1171="魅力",E1171&lt;0),E1171,0))))</x:f>
        <x:v>0</x:v>
      </x:c>
      <x:c r="BW1171">
        <x:f>MAX(0,MIN(BK1171,IF(AND(H1171=1,C1171="重要关系7",LEFT('幕间与结算'!H1078,8)="建立新的重要关系"),'幕间与结算'!E1078+E1171,BW1170+IF(C1171="重要关系7",E1171,0)+IF(AND(C1171="魅力",E1171&lt;0),E1171,0))))</x:f>
        <x:v>0</x:v>
      </x:c>
    </x:row>
    <x:row r="1172">
      <x:c r="A1172" t="str">
        <x:f>IFERROR(TEXT(VALUE('幕间与结算'!A1079),"00"),"")</x:f>
        <x:v>00</x:v>
      </x:c>
      <x:c r="B1172">
        <x:f>'幕间与结算'!B1079</x:f>
        <x:v>0</x:v>
      </x:c>
      <x:c r="C1172">
        <x:f>'幕间与结算'!D1079</x:f>
        <x:v>0</x:v>
      </x:c>
      <x:c r="D1172">
        <x:f>'幕间与结算'!F1079</x:f>
        <x:v>0</x:v>
      </x:c>
      <x:c r="E1172">
        <x:f>IF(H1172=1,MAX(-'幕间与结算'!E1079,MIN(D1172,IF(LEFT(C1172,3)="技能：",99,IF(COUNTIF($L$2:$L$7,C1172)&gt;0,18,999))-'幕间与结算'!E1079)),0)</x:f>
        <x:v>0</x:v>
      </x:c>
      <x:c r="F1172" t="str">
        <x:f>IF(C1172=0,"",IF(G1172=0,"记录不完整",IF(H1172=0,"重复未计","已计入")))</x:f>
        <x:v/>
      </x:c>
      <x:c r="G1172">
        <x:f>IF(AND(AND('幕间与结算'!A1079&lt;&gt;"",'幕间与结算'!B1079&lt;&gt;"",'幕间与结算'!I1079&lt;&gt;"",OR(LEFT(C1172,3)="技能：",COUNTIF($L$2:$L$19,C1172)&gt;0),ISNUMBER('幕间与结算'!E1079),ISNUMBER('幕间与结算'!F1079),ISNUMBER('幕间与结算'!G1079),'幕间与结算'!E1079&gt;=0,'幕间与结算'!G1079='幕间与结算'!E1079+'幕间与结算'!F1079),OR(B1172&lt;&gt;"成长",AND(LEFT(C1172,3)="技能：",C1172&lt;&gt;"技能：非自然知识",'幕间与结算'!E1079&gt;=1,'幕间与结算'!E1079&lt;=99,'幕间与结算'!F1079&gt;=0,'幕间与结算'!F1079&lt;=4,'幕间与结算'!G1079&lt;=99))),1,0)</x:f>
        <x:v>0</x:v>
      </x:c>
      <x:c r="H1172">
        <x:f>IF(AND(G1172=1,COUNTIFS($I$200:I1172,I1172,$G$200:G1172,1)=1),1,0)</x:f>
        <x:v>0</x:v>
      </x:c>
      <x:c r="I1172" t="str">
        <x:f>IF(G1172=1,IF(B1172="成长",A1172&amp;"-成长-"&amp;C1172,'幕间与结算'!I1079),"")</x:f>
        <x:v/>
      </x:c>
      <x:c r="BF1172">
        <x:f>MAX(0,MIN(18,BF1171+IF(C1172="力量",E1172,0)))</x:f>
        <x:v>0</x:v>
      </x:c>
      <x:c r="BG1172">
        <x:f>MAX(0,MIN(18,BG1171+IF(C1172="体质",E1172,0)))</x:f>
        <x:v>0</x:v>
      </x:c>
      <x:c r="BH1172">
        <x:f>MAX(0,MIN(18,BH1171+IF(C1172="敏捷",E1172,0)))</x:f>
        <x:v>0</x:v>
      </x:c>
      <x:c r="BI1172">
        <x:f>MAX(0,MIN(18,BI1171+IF(C1172="智力",E1172,0)))</x:f>
        <x:v>0</x:v>
      </x:c>
      <x:c r="BJ1172">
        <x:f>MAX(0,MIN(18,BJ1171+IF(C1172="意志",E1172,0)))</x:f>
        <x:v>0</x:v>
      </x:c>
      <x:c r="BK1172">
        <x:f>MAX(0,MIN(18,BK1171+IF(C1172="魅力",E1172,0)))</x:f>
        <x:v>0</x:v>
      </x:c>
      <x:c r="BL1172">
        <x:f>MAX(0,MIN(99,BL1171+IF(C1172="技能：非自然知识",E1172,0)))</x:f>
        <x:v>0</x:v>
      </x:c>
      <x:c r="BM1172">
        <x:f>MAX(0,MIN(CEILING((BF1172+BG1172)/2,1),BM1171+IF(C1172="体力",E1172,0)))</x:f>
        <x:v>0</x:v>
      </x:c>
      <x:c r="BN1172">
        <x:f>MAX(0,MIN(BJ1172,BN1171+IF(C1172="毅力",E1172,0)))</x:f>
        <x:v>0</x:v>
      </x:c>
      <x:c r="BO1172">
        <x:f>MAX(0,MIN(99-BL1172,BO1171+IF(C1172="理智",E1172,0)))</x:f>
        <x:v>0</x:v>
      </x:c>
      <x:c r="BP1172">
        <x:f>MAX(0,MIN(99,BP1171+IF(C1172="崩溃点",E1172,0)))</x:f>
        <x:v>0</x:v>
      </x:c>
      <x:c r="BQ1172">
        <x:f>MAX(0,MIN(BK1172,IF(AND(H1172=1,C1172="重要关系1",LEFT('幕间与结算'!H1079,8)="建立新的重要关系"),'幕间与结算'!E1079+E1172,BQ1171+IF(C1172="重要关系1",E1172,0)+IF(AND(C1172="魅力",E1172&lt;0),E1172,0))))</x:f>
        <x:v>0</x:v>
      </x:c>
      <x:c r="BR1172">
        <x:f>MAX(0,MIN(BK1172,IF(AND(H1172=1,C1172="重要关系2",LEFT('幕间与结算'!H1079,8)="建立新的重要关系"),'幕间与结算'!E1079+E1172,BR1171+IF(C1172="重要关系2",E1172,0)+IF(AND(C1172="魅力",E1172&lt;0),E1172,0))))</x:f>
        <x:v>0</x:v>
      </x:c>
      <x:c r="BS1172">
        <x:f>MAX(0,MIN(BK1172,IF(AND(H1172=1,C1172="重要关系3",LEFT('幕间与结算'!H1079,8)="建立新的重要关系"),'幕间与结算'!E1079+E1172,BS1171+IF(C1172="重要关系3",E1172,0)+IF(AND(C1172="魅力",E1172&lt;0),E1172,0))))</x:f>
        <x:v>0</x:v>
      </x:c>
      <x:c r="BT1172">
        <x:f>MAX(0,MIN(BK1172,IF(AND(H1172=1,C1172="重要关系4",LEFT('幕间与结算'!H1079,8)="建立新的重要关系"),'幕间与结算'!E1079+E1172,BT1171+IF(C1172="重要关系4",E1172,0)+IF(AND(C1172="魅力",E1172&lt;0),E1172,0))))</x:f>
        <x:v>0</x:v>
      </x:c>
      <x:c r="BU1172">
        <x:f>MAX(0,MIN(BK1172,IF(AND(H1172=1,C1172="重要关系5",LEFT('幕间与结算'!H1079,8)="建立新的重要关系"),'幕间与结算'!E1079+E1172,BU1171+IF(C1172="重要关系5",E1172,0)+IF(AND(C1172="魅力",E1172&lt;0),E1172,0))))</x:f>
        <x:v>0</x:v>
      </x:c>
      <x:c r="BV1172">
        <x:f>MAX(0,MIN(BK1172,IF(AND(H1172=1,C1172="重要关系6",LEFT('幕间与结算'!H1079,8)="建立新的重要关系"),'幕间与结算'!E1079+E1172,BV1171+IF(C1172="重要关系6",E1172,0)+IF(AND(C1172="魅力",E1172&lt;0),E1172,0))))</x:f>
        <x:v>0</x:v>
      </x:c>
      <x:c r="BW1172">
        <x:f>MAX(0,MIN(BK1172,IF(AND(H1172=1,C1172="重要关系7",LEFT('幕间与结算'!H1079,8)="建立新的重要关系"),'幕间与结算'!E1079+E1172,BW1171+IF(C1172="重要关系7",E1172,0)+IF(AND(C1172="魅力",E1172&lt;0),E1172,0))))</x:f>
        <x:v>0</x:v>
      </x:c>
    </x:row>
    <x:row r="1173">
      <x:c r="A1173" t="str">
        <x:f>IFERROR(TEXT(VALUE('幕间与结算'!A1080),"00"),"")</x:f>
        <x:v>00</x:v>
      </x:c>
      <x:c r="B1173">
        <x:f>'幕间与结算'!B1080</x:f>
        <x:v>0</x:v>
      </x:c>
      <x:c r="C1173">
        <x:f>'幕间与结算'!D1080</x:f>
        <x:v>0</x:v>
      </x:c>
      <x:c r="D1173">
        <x:f>'幕间与结算'!F1080</x:f>
        <x:v>0</x:v>
      </x:c>
      <x:c r="E1173">
        <x:f>IF(H1173=1,MAX(-'幕间与结算'!E1080,MIN(D1173,IF(LEFT(C1173,3)="技能：",99,IF(COUNTIF($L$2:$L$7,C1173)&gt;0,18,999))-'幕间与结算'!E1080)),0)</x:f>
        <x:v>0</x:v>
      </x:c>
      <x:c r="F1173" t="str">
        <x:f>IF(C1173=0,"",IF(G1173=0,"记录不完整",IF(H1173=0,"重复未计","已计入")))</x:f>
        <x:v/>
      </x:c>
      <x:c r="G1173">
        <x:f>IF(AND(AND('幕间与结算'!A1080&lt;&gt;"",'幕间与结算'!B1080&lt;&gt;"",'幕间与结算'!I1080&lt;&gt;"",OR(LEFT(C1173,3)="技能：",COUNTIF($L$2:$L$19,C1173)&gt;0),ISNUMBER('幕间与结算'!E1080),ISNUMBER('幕间与结算'!F1080),ISNUMBER('幕间与结算'!G1080),'幕间与结算'!E1080&gt;=0,'幕间与结算'!G1080='幕间与结算'!E1080+'幕间与结算'!F1080),OR(B1173&lt;&gt;"成长",AND(LEFT(C1173,3)="技能：",C1173&lt;&gt;"技能：非自然知识",'幕间与结算'!E1080&gt;=1,'幕间与结算'!E1080&lt;=99,'幕间与结算'!F1080&gt;=0,'幕间与结算'!F1080&lt;=4,'幕间与结算'!G1080&lt;=99))),1,0)</x:f>
        <x:v>0</x:v>
      </x:c>
      <x:c r="H1173">
        <x:f>IF(AND(G1173=1,COUNTIFS($I$200:I1173,I1173,$G$200:G1173,1)=1),1,0)</x:f>
        <x:v>0</x:v>
      </x:c>
      <x:c r="I1173" t="str">
        <x:f>IF(G1173=1,IF(B1173="成长",A1173&amp;"-成长-"&amp;C1173,'幕间与结算'!I1080),"")</x:f>
        <x:v/>
      </x:c>
      <x:c r="BF1173">
        <x:f>MAX(0,MIN(18,BF1172+IF(C1173="力量",E1173,0)))</x:f>
        <x:v>0</x:v>
      </x:c>
      <x:c r="BG1173">
        <x:f>MAX(0,MIN(18,BG1172+IF(C1173="体质",E1173,0)))</x:f>
        <x:v>0</x:v>
      </x:c>
      <x:c r="BH1173">
        <x:f>MAX(0,MIN(18,BH1172+IF(C1173="敏捷",E1173,0)))</x:f>
        <x:v>0</x:v>
      </x:c>
      <x:c r="BI1173">
        <x:f>MAX(0,MIN(18,BI1172+IF(C1173="智力",E1173,0)))</x:f>
        <x:v>0</x:v>
      </x:c>
      <x:c r="BJ1173">
        <x:f>MAX(0,MIN(18,BJ1172+IF(C1173="意志",E1173,0)))</x:f>
        <x:v>0</x:v>
      </x:c>
      <x:c r="BK1173">
        <x:f>MAX(0,MIN(18,BK1172+IF(C1173="魅力",E1173,0)))</x:f>
        <x:v>0</x:v>
      </x:c>
      <x:c r="BL1173">
        <x:f>MAX(0,MIN(99,BL1172+IF(C1173="技能：非自然知识",E1173,0)))</x:f>
        <x:v>0</x:v>
      </x:c>
      <x:c r="BM1173">
        <x:f>MAX(0,MIN(CEILING((BF1173+BG1173)/2,1),BM1172+IF(C1173="体力",E1173,0)))</x:f>
        <x:v>0</x:v>
      </x:c>
      <x:c r="BN1173">
        <x:f>MAX(0,MIN(BJ1173,BN1172+IF(C1173="毅力",E1173,0)))</x:f>
        <x:v>0</x:v>
      </x:c>
      <x:c r="BO1173">
        <x:f>MAX(0,MIN(99-BL1173,BO1172+IF(C1173="理智",E1173,0)))</x:f>
        <x:v>0</x:v>
      </x:c>
      <x:c r="BP1173">
        <x:f>MAX(0,MIN(99,BP1172+IF(C1173="崩溃点",E1173,0)))</x:f>
        <x:v>0</x:v>
      </x:c>
      <x:c r="BQ1173">
        <x:f>MAX(0,MIN(BK1173,IF(AND(H1173=1,C1173="重要关系1",LEFT('幕间与结算'!H1080,8)="建立新的重要关系"),'幕间与结算'!E1080+E1173,BQ1172+IF(C1173="重要关系1",E1173,0)+IF(AND(C1173="魅力",E1173&lt;0),E1173,0))))</x:f>
        <x:v>0</x:v>
      </x:c>
      <x:c r="BR1173">
        <x:f>MAX(0,MIN(BK1173,IF(AND(H1173=1,C1173="重要关系2",LEFT('幕间与结算'!H1080,8)="建立新的重要关系"),'幕间与结算'!E1080+E1173,BR1172+IF(C1173="重要关系2",E1173,0)+IF(AND(C1173="魅力",E1173&lt;0),E1173,0))))</x:f>
        <x:v>0</x:v>
      </x:c>
      <x:c r="BS1173">
        <x:f>MAX(0,MIN(BK1173,IF(AND(H1173=1,C1173="重要关系3",LEFT('幕间与结算'!H1080,8)="建立新的重要关系"),'幕间与结算'!E1080+E1173,BS1172+IF(C1173="重要关系3",E1173,0)+IF(AND(C1173="魅力",E1173&lt;0),E1173,0))))</x:f>
        <x:v>0</x:v>
      </x:c>
      <x:c r="BT1173">
        <x:f>MAX(0,MIN(BK1173,IF(AND(H1173=1,C1173="重要关系4",LEFT('幕间与结算'!H1080,8)="建立新的重要关系"),'幕间与结算'!E1080+E1173,BT1172+IF(C1173="重要关系4",E1173,0)+IF(AND(C1173="魅力",E1173&lt;0),E1173,0))))</x:f>
        <x:v>0</x:v>
      </x:c>
      <x:c r="BU1173">
        <x:f>MAX(0,MIN(BK1173,IF(AND(H1173=1,C1173="重要关系5",LEFT('幕间与结算'!H1080,8)="建立新的重要关系"),'幕间与结算'!E1080+E1173,BU1172+IF(C1173="重要关系5",E1173,0)+IF(AND(C1173="魅力",E1173&lt;0),E1173,0))))</x:f>
        <x:v>0</x:v>
      </x:c>
      <x:c r="BV1173">
        <x:f>MAX(0,MIN(BK1173,IF(AND(H1173=1,C1173="重要关系6",LEFT('幕间与结算'!H1080,8)="建立新的重要关系"),'幕间与结算'!E1080+E1173,BV1172+IF(C1173="重要关系6",E1173,0)+IF(AND(C1173="魅力",E1173&lt;0),E1173,0))))</x:f>
        <x:v>0</x:v>
      </x:c>
      <x:c r="BW1173">
        <x:f>MAX(0,MIN(BK1173,IF(AND(H1173=1,C1173="重要关系7",LEFT('幕间与结算'!H1080,8)="建立新的重要关系"),'幕间与结算'!E1080+E1173,BW1172+IF(C1173="重要关系7",E1173,0)+IF(AND(C1173="魅力",E1173&lt;0),E1173,0))))</x:f>
        <x:v>0</x:v>
      </x:c>
    </x:row>
    <x:row r="1174">
      <x:c r="A1174" t="str">
        <x:f>IFERROR(TEXT(VALUE('幕间与结算'!A1081),"00"),"")</x:f>
        <x:v>00</x:v>
      </x:c>
      <x:c r="B1174">
        <x:f>'幕间与结算'!B1081</x:f>
        <x:v>0</x:v>
      </x:c>
      <x:c r="C1174">
        <x:f>'幕间与结算'!D1081</x:f>
        <x:v>0</x:v>
      </x:c>
      <x:c r="D1174">
        <x:f>'幕间与结算'!F1081</x:f>
        <x:v>0</x:v>
      </x:c>
      <x:c r="E1174">
        <x:f>IF(H1174=1,MAX(-'幕间与结算'!E1081,MIN(D1174,IF(LEFT(C1174,3)="技能：",99,IF(COUNTIF($L$2:$L$7,C1174)&gt;0,18,999))-'幕间与结算'!E1081)),0)</x:f>
        <x:v>0</x:v>
      </x:c>
      <x:c r="F1174" t="str">
        <x:f>IF(C1174=0,"",IF(G1174=0,"记录不完整",IF(H1174=0,"重复未计","已计入")))</x:f>
        <x:v/>
      </x:c>
      <x:c r="G1174">
        <x:f>IF(AND(AND('幕间与结算'!A1081&lt;&gt;"",'幕间与结算'!B1081&lt;&gt;"",'幕间与结算'!I1081&lt;&gt;"",OR(LEFT(C1174,3)="技能：",COUNTIF($L$2:$L$19,C1174)&gt;0),ISNUMBER('幕间与结算'!E1081),ISNUMBER('幕间与结算'!F1081),ISNUMBER('幕间与结算'!G1081),'幕间与结算'!E1081&gt;=0,'幕间与结算'!G1081='幕间与结算'!E1081+'幕间与结算'!F1081),OR(B1174&lt;&gt;"成长",AND(LEFT(C1174,3)="技能：",C1174&lt;&gt;"技能：非自然知识",'幕间与结算'!E1081&gt;=1,'幕间与结算'!E1081&lt;=99,'幕间与结算'!F1081&gt;=0,'幕间与结算'!F1081&lt;=4,'幕间与结算'!G1081&lt;=99))),1,0)</x:f>
        <x:v>0</x:v>
      </x:c>
      <x:c r="H1174">
        <x:f>IF(AND(G1174=1,COUNTIFS($I$200:I1174,I1174,$G$200:G1174,1)=1),1,0)</x:f>
        <x:v>0</x:v>
      </x:c>
      <x:c r="I1174" t="str">
        <x:f>IF(G1174=1,IF(B1174="成长",A1174&amp;"-成长-"&amp;C1174,'幕间与结算'!I1081),"")</x:f>
        <x:v/>
      </x:c>
      <x:c r="BF1174">
        <x:f>MAX(0,MIN(18,BF1173+IF(C1174="力量",E1174,0)))</x:f>
        <x:v>0</x:v>
      </x:c>
      <x:c r="BG1174">
        <x:f>MAX(0,MIN(18,BG1173+IF(C1174="体质",E1174,0)))</x:f>
        <x:v>0</x:v>
      </x:c>
      <x:c r="BH1174">
        <x:f>MAX(0,MIN(18,BH1173+IF(C1174="敏捷",E1174,0)))</x:f>
        <x:v>0</x:v>
      </x:c>
      <x:c r="BI1174">
        <x:f>MAX(0,MIN(18,BI1173+IF(C1174="智力",E1174,0)))</x:f>
        <x:v>0</x:v>
      </x:c>
      <x:c r="BJ1174">
        <x:f>MAX(0,MIN(18,BJ1173+IF(C1174="意志",E1174,0)))</x:f>
        <x:v>0</x:v>
      </x:c>
      <x:c r="BK1174">
        <x:f>MAX(0,MIN(18,BK1173+IF(C1174="魅力",E1174,0)))</x:f>
        <x:v>0</x:v>
      </x:c>
      <x:c r="BL1174">
        <x:f>MAX(0,MIN(99,BL1173+IF(C1174="技能：非自然知识",E1174,0)))</x:f>
        <x:v>0</x:v>
      </x:c>
      <x:c r="BM1174">
        <x:f>MAX(0,MIN(CEILING((BF1174+BG1174)/2,1),BM1173+IF(C1174="体力",E1174,0)))</x:f>
        <x:v>0</x:v>
      </x:c>
      <x:c r="BN1174">
        <x:f>MAX(0,MIN(BJ1174,BN1173+IF(C1174="毅力",E1174,0)))</x:f>
        <x:v>0</x:v>
      </x:c>
      <x:c r="BO1174">
        <x:f>MAX(0,MIN(99-BL1174,BO1173+IF(C1174="理智",E1174,0)))</x:f>
        <x:v>0</x:v>
      </x:c>
      <x:c r="BP1174">
        <x:f>MAX(0,MIN(99,BP1173+IF(C1174="崩溃点",E1174,0)))</x:f>
        <x:v>0</x:v>
      </x:c>
      <x:c r="BQ1174">
        <x:f>MAX(0,MIN(BK1174,IF(AND(H1174=1,C1174="重要关系1",LEFT('幕间与结算'!H1081,8)="建立新的重要关系"),'幕间与结算'!E1081+E1174,BQ1173+IF(C1174="重要关系1",E1174,0)+IF(AND(C1174="魅力",E1174&lt;0),E1174,0))))</x:f>
        <x:v>0</x:v>
      </x:c>
      <x:c r="BR1174">
        <x:f>MAX(0,MIN(BK1174,IF(AND(H1174=1,C1174="重要关系2",LEFT('幕间与结算'!H1081,8)="建立新的重要关系"),'幕间与结算'!E1081+E1174,BR1173+IF(C1174="重要关系2",E1174,0)+IF(AND(C1174="魅力",E1174&lt;0),E1174,0))))</x:f>
        <x:v>0</x:v>
      </x:c>
      <x:c r="BS1174">
        <x:f>MAX(0,MIN(BK1174,IF(AND(H1174=1,C1174="重要关系3",LEFT('幕间与结算'!H1081,8)="建立新的重要关系"),'幕间与结算'!E1081+E1174,BS1173+IF(C1174="重要关系3",E1174,0)+IF(AND(C1174="魅力",E1174&lt;0),E1174,0))))</x:f>
        <x:v>0</x:v>
      </x:c>
      <x:c r="BT1174">
        <x:f>MAX(0,MIN(BK1174,IF(AND(H1174=1,C1174="重要关系4",LEFT('幕间与结算'!H1081,8)="建立新的重要关系"),'幕间与结算'!E1081+E1174,BT1173+IF(C1174="重要关系4",E1174,0)+IF(AND(C1174="魅力",E1174&lt;0),E1174,0))))</x:f>
        <x:v>0</x:v>
      </x:c>
      <x:c r="BU1174">
        <x:f>MAX(0,MIN(BK1174,IF(AND(H1174=1,C1174="重要关系5",LEFT('幕间与结算'!H1081,8)="建立新的重要关系"),'幕间与结算'!E1081+E1174,BU1173+IF(C1174="重要关系5",E1174,0)+IF(AND(C1174="魅力",E1174&lt;0),E1174,0))))</x:f>
        <x:v>0</x:v>
      </x:c>
      <x:c r="BV1174">
        <x:f>MAX(0,MIN(BK1174,IF(AND(H1174=1,C1174="重要关系6",LEFT('幕间与结算'!H1081,8)="建立新的重要关系"),'幕间与结算'!E1081+E1174,BV1173+IF(C1174="重要关系6",E1174,0)+IF(AND(C1174="魅力",E1174&lt;0),E1174,0))))</x:f>
        <x:v>0</x:v>
      </x:c>
      <x:c r="BW1174">
        <x:f>MAX(0,MIN(BK1174,IF(AND(H1174=1,C1174="重要关系7",LEFT('幕间与结算'!H1081,8)="建立新的重要关系"),'幕间与结算'!E1081+E1174,BW1173+IF(C1174="重要关系7",E1174,0)+IF(AND(C1174="魅力",E1174&lt;0),E1174,0))))</x:f>
        <x:v>0</x:v>
      </x:c>
    </x:row>
    <x:row r="1175">
      <x:c r="A1175" t="str">
        <x:f>IFERROR(TEXT(VALUE('幕间与结算'!A1082),"00"),"")</x:f>
        <x:v>00</x:v>
      </x:c>
      <x:c r="B1175">
        <x:f>'幕间与结算'!B1082</x:f>
        <x:v>0</x:v>
      </x:c>
      <x:c r="C1175">
        <x:f>'幕间与结算'!D1082</x:f>
        <x:v>0</x:v>
      </x:c>
      <x:c r="D1175">
        <x:f>'幕间与结算'!F1082</x:f>
        <x:v>0</x:v>
      </x:c>
      <x:c r="E1175">
        <x:f>IF(H1175=1,MAX(-'幕间与结算'!E1082,MIN(D1175,IF(LEFT(C1175,3)="技能：",99,IF(COUNTIF($L$2:$L$7,C1175)&gt;0,18,999))-'幕间与结算'!E1082)),0)</x:f>
        <x:v>0</x:v>
      </x:c>
      <x:c r="F1175" t="str">
        <x:f>IF(C1175=0,"",IF(G1175=0,"记录不完整",IF(H1175=0,"重复未计","已计入")))</x:f>
        <x:v/>
      </x:c>
      <x:c r="G1175">
        <x:f>IF(AND(AND('幕间与结算'!A1082&lt;&gt;"",'幕间与结算'!B1082&lt;&gt;"",'幕间与结算'!I1082&lt;&gt;"",OR(LEFT(C1175,3)="技能：",COUNTIF($L$2:$L$19,C1175)&gt;0),ISNUMBER('幕间与结算'!E1082),ISNUMBER('幕间与结算'!F1082),ISNUMBER('幕间与结算'!G1082),'幕间与结算'!E1082&gt;=0,'幕间与结算'!G1082='幕间与结算'!E1082+'幕间与结算'!F1082),OR(B1175&lt;&gt;"成长",AND(LEFT(C1175,3)="技能：",C1175&lt;&gt;"技能：非自然知识",'幕间与结算'!E1082&gt;=1,'幕间与结算'!E1082&lt;=99,'幕间与结算'!F1082&gt;=0,'幕间与结算'!F1082&lt;=4,'幕间与结算'!G1082&lt;=99))),1,0)</x:f>
        <x:v>0</x:v>
      </x:c>
      <x:c r="H1175">
        <x:f>IF(AND(G1175=1,COUNTIFS($I$200:I1175,I1175,$G$200:G1175,1)=1),1,0)</x:f>
        <x:v>0</x:v>
      </x:c>
      <x:c r="I1175" t="str">
        <x:f>IF(G1175=1,IF(B1175="成长",A1175&amp;"-成长-"&amp;C1175,'幕间与结算'!I1082),"")</x:f>
        <x:v/>
      </x:c>
      <x:c r="BF1175">
        <x:f>MAX(0,MIN(18,BF1174+IF(C1175="力量",E1175,0)))</x:f>
        <x:v>0</x:v>
      </x:c>
      <x:c r="BG1175">
        <x:f>MAX(0,MIN(18,BG1174+IF(C1175="体质",E1175,0)))</x:f>
        <x:v>0</x:v>
      </x:c>
      <x:c r="BH1175">
        <x:f>MAX(0,MIN(18,BH1174+IF(C1175="敏捷",E1175,0)))</x:f>
        <x:v>0</x:v>
      </x:c>
      <x:c r="BI1175">
        <x:f>MAX(0,MIN(18,BI1174+IF(C1175="智力",E1175,0)))</x:f>
        <x:v>0</x:v>
      </x:c>
      <x:c r="BJ1175">
        <x:f>MAX(0,MIN(18,BJ1174+IF(C1175="意志",E1175,0)))</x:f>
        <x:v>0</x:v>
      </x:c>
      <x:c r="BK1175">
        <x:f>MAX(0,MIN(18,BK1174+IF(C1175="魅力",E1175,0)))</x:f>
        <x:v>0</x:v>
      </x:c>
      <x:c r="BL1175">
        <x:f>MAX(0,MIN(99,BL1174+IF(C1175="技能：非自然知识",E1175,0)))</x:f>
        <x:v>0</x:v>
      </x:c>
      <x:c r="BM1175">
        <x:f>MAX(0,MIN(CEILING((BF1175+BG1175)/2,1),BM1174+IF(C1175="体力",E1175,0)))</x:f>
        <x:v>0</x:v>
      </x:c>
      <x:c r="BN1175">
        <x:f>MAX(0,MIN(BJ1175,BN1174+IF(C1175="毅力",E1175,0)))</x:f>
        <x:v>0</x:v>
      </x:c>
      <x:c r="BO1175">
        <x:f>MAX(0,MIN(99-BL1175,BO1174+IF(C1175="理智",E1175,0)))</x:f>
        <x:v>0</x:v>
      </x:c>
      <x:c r="BP1175">
        <x:f>MAX(0,MIN(99,BP1174+IF(C1175="崩溃点",E1175,0)))</x:f>
        <x:v>0</x:v>
      </x:c>
      <x:c r="BQ1175">
        <x:f>MAX(0,MIN(BK1175,IF(AND(H1175=1,C1175="重要关系1",LEFT('幕间与结算'!H1082,8)="建立新的重要关系"),'幕间与结算'!E1082+E1175,BQ1174+IF(C1175="重要关系1",E1175,0)+IF(AND(C1175="魅力",E1175&lt;0),E1175,0))))</x:f>
        <x:v>0</x:v>
      </x:c>
      <x:c r="BR1175">
        <x:f>MAX(0,MIN(BK1175,IF(AND(H1175=1,C1175="重要关系2",LEFT('幕间与结算'!H1082,8)="建立新的重要关系"),'幕间与结算'!E1082+E1175,BR1174+IF(C1175="重要关系2",E1175,0)+IF(AND(C1175="魅力",E1175&lt;0),E1175,0))))</x:f>
        <x:v>0</x:v>
      </x:c>
      <x:c r="BS1175">
        <x:f>MAX(0,MIN(BK1175,IF(AND(H1175=1,C1175="重要关系3",LEFT('幕间与结算'!H1082,8)="建立新的重要关系"),'幕间与结算'!E1082+E1175,BS1174+IF(C1175="重要关系3",E1175,0)+IF(AND(C1175="魅力",E1175&lt;0),E1175,0))))</x:f>
        <x:v>0</x:v>
      </x:c>
      <x:c r="BT1175">
        <x:f>MAX(0,MIN(BK1175,IF(AND(H1175=1,C1175="重要关系4",LEFT('幕间与结算'!H1082,8)="建立新的重要关系"),'幕间与结算'!E1082+E1175,BT1174+IF(C1175="重要关系4",E1175,0)+IF(AND(C1175="魅力",E1175&lt;0),E1175,0))))</x:f>
        <x:v>0</x:v>
      </x:c>
      <x:c r="BU1175">
        <x:f>MAX(0,MIN(BK1175,IF(AND(H1175=1,C1175="重要关系5",LEFT('幕间与结算'!H1082,8)="建立新的重要关系"),'幕间与结算'!E1082+E1175,BU1174+IF(C1175="重要关系5",E1175,0)+IF(AND(C1175="魅力",E1175&lt;0),E1175,0))))</x:f>
        <x:v>0</x:v>
      </x:c>
      <x:c r="BV1175">
        <x:f>MAX(0,MIN(BK1175,IF(AND(H1175=1,C1175="重要关系6",LEFT('幕间与结算'!H1082,8)="建立新的重要关系"),'幕间与结算'!E1082+E1175,BV1174+IF(C1175="重要关系6",E1175,0)+IF(AND(C1175="魅力",E1175&lt;0),E1175,0))))</x:f>
        <x:v>0</x:v>
      </x:c>
      <x:c r="BW1175">
        <x:f>MAX(0,MIN(BK1175,IF(AND(H1175=1,C1175="重要关系7",LEFT('幕间与结算'!H1082,8)="建立新的重要关系"),'幕间与结算'!E1082+E1175,BW1174+IF(C1175="重要关系7",E1175,0)+IF(AND(C1175="魅力",E1175&lt;0),E1175,0))))</x:f>
        <x:v>0</x:v>
      </x:c>
    </x:row>
    <x:row r="1176">
      <x:c r="A1176" t="str">
        <x:f>IFERROR(TEXT(VALUE('幕间与结算'!A1083),"00"),"")</x:f>
        <x:v>00</x:v>
      </x:c>
      <x:c r="B1176">
        <x:f>'幕间与结算'!B1083</x:f>
        <x:v>0</x:v>
      </x:c>
      <x:c r="C1176">
        <x:f>'幕间与结算'!D1083</x:f>
        <x:v>0</x:v>
      </x:c>
      <x:c r="D1176">
        <x:f>'幕间与结算'!F1083</x:f>
        <x:v>0</x:v>
      </x:c>
      <x:c r="E1176">
        <x:f>IF(H1176=1,MAX(-'幕间与结算'!E1083,MIN(D1176,IF(LEFT(C1176,3)="技能：",99,IF(COUNTIF($L$2:$L$7,C1176)&gt;0,18,999))-'幕间与结算'!E1083)),0)</x:f>
        <x:v>0</x:v>
      </x:c>
      <x:c r="F1176" t="str">
        <x:f>IF(C1176=0,"",IF(G1176=0,"记录不完整",IF(H1176=0,"重复未计","已计入")))</x:f>
        <x:v/>
      </x:c>
      <x:c r="G1176">
        <x:f>IF(AND(AND('幕间与结算'!A1083&lt;&gt;"",'幕间与结算'!B1083&lt;&gt;"",'幕间与结算'!I1083&lt;&gt;"",OR(LEFT(C1176,3)="技能：",COUNTIF($L$2:$L$19,C1176)&gt;0),ISNUMBER('幕间与结算'!E1083),ISNUMBER('幕间与结算'!F1083),ISNUMBER('幕间与结算'!G1083),'幕间与结算'!E1083&gt;=0,'幕间与结算'!G1083='幕间与结算'!E1083+'幕间与结算'!F1083),OR(B1176&lt;&gt;"成长",AND(LEFT(C1176,3)="技能：",C1176&lt;&gt;"技能：非自然知识",'幕间与结算'!E1083&gt;=1,'幕间与结算'!E1083&lt;=99,'幕间与结算'!F1083&gt;=0,'幕间与结算'!F1083&lt;=4,'幕间与结算'!G1083&lt;=99))),1,0)</x:f>
        <x:v>0</x:v>
      </x:c>
      <x:c r="H1176">
        <x:f>IF(AND(G1176=1,COUNTIFS($I$200:I1176,I1176,$G$200:G1176,1)=1),1,0)</x:f>
        <x:v>0</x:v>
      </x:c>
      <x:c r="I1176" t="str">
        <x:f>IF(G1176=1,IF(B1176="成长",A1176&amp;"-成长-"&amp;C1176,'幕间与结算'!I1083),"")</x:f>
        <x:v/>
      </x:c>
      <x:c r="BF1176">
        <x:f>MAX(0,MIN(18,BF1175+IF(C1176="力量",E1176,0)))</x:f>
        <x:v>0</x:v>
      </x:c>
      <x:c r="BG1176">
        <x:f>MAX(0,MIN(18,BG1175+IF(C1176="体质",E1176,0)))</x:f>
        <x:v>0</x:v>
      </x:c>
      <x:c r="BH1176">
        <x:f>MAX(0,MIN(18,BH1175+IF(C1176="敏捷",E1176,0)))</x:f>
        <x:v>0</x:v>
      </x:c>
      <x:c r="BI1176">
        <x:f>MAX(0,MIN(18,BI1175+IF(C1176="智力",E1176,0)))</x:f>
        <x:v>0</x:v>
      </x:c>
      <x:c r="BJ1176">
        <x:f>MAX(0,MIN(18,BJ1175+IF(C1176="意志",E1176,0)))</x:f>
        <x:v>0</x:v>
      </x:c>
      <x:c r="BK1176">
        <x:f>MAX(0,MIN(18,BK1175+IF(C1176="魅力",E1176,0)))</x:f>
        <x:v>0</x:v>
      </x:c>
      <x:c r="BL1176">
        <x:f>MAX(0,MIN(99,BL1175+IF(C1176="技能：非自然知识",E1176,0)))</x:f>
        <x:v>0</x:v>
      </x:c>
      <x:c r="BM1176">
        <x:f>MAX(0,MIN(CEILING((BF1176+BG1176)/2,1),BM1175+IF(C1176="体力",E1176,0)))</x:f>
        <x:v>0</x:v>
      </x:c>
      <x:c r="BN1176">
        <x:f>MAX(0,MIN(BJ1176,BN1175+IF(C1176="毅力",E1176,0)))</x:f>
        <x:v>0</x:v>
      </x:c>
      <x:c r="BO1176">
        <x:f>MAX(0,MIN(99-BL1176,BO1175+IF(C1176="理智",E1176,0)))</x:f>
        <x:v>0</x:v>
      </x:c>
      <x:c r="BP1176">
        <x:f>MAX(0,MIN(99,BP1175+IF(C1176="崩溃点",E1176,0)))</x:f>
        <x:v>0</x:v>
      </x:c>
      <x:c r="BQ1176">
        <x:f>MAX(0,MIN(BK1176,IF(AND(H1176=1,C1176="重要关系1",LEFT('幕间与结算'!H1083,8)="建立新的重要关系"),'幕间与结算'!E1083+E1176,BQ1175+IF(C1176="重要关系1",E1176,0)+IF(AND(C1176="魅力",E1176&lt;0),E1176,0))))</x:f>
        <x:v>0</x:v>
      </x:c>
      <x:c r="BR1176">
        <x:f>MAX(0,MIN(BK1176,IF(AND(H1176=1,C1176="重要关系2",LEFT('幕间与结算'!H1083,8)="建立新的重要关系"),'幕间与结算'!E1083+E1176,BR1175+IF(C1176="重要关系2",E1176,0)+IF(AND(C1176="魅力",E1176&lt;0),E1176,0))))</x:f>
        <x:v>0</x:v>
      </x:c>
      <x:c r="BS1176">
        <x:f>MAX(0,MIN(BK1176,IF(AND(H1176=1,C1176="重要关系3",LEFT('幕间与结算'!H1083,8)="建立新的重要关系"),'幕间与结算'!E1083+E1176,BS1175+IF(C1176="重要关系3",E1176,0)+IF(AND(C1176="魅力",E1176&lt;0),E1176,0))))</x:f>
        <x:v>0</x:v>
      </x:c>
      <x:c r="BT1176">
        <x:f>MAX(0,MIN(BK1176,IF(AND(H1176=1,C1176="重要关系4",LEFT('幕间与结算'!H1083,8)="建立新的重要关系"),'幕间与结算'!E1083+E1176,BT1175+IF(C1176="重要关系4",E1176,0)+IF(AND(C1176="魅力",E1176&lt;0),E1176,0))))</x:f>
        <x:v>0</x:v>
      </x:c>
      <x:c r="BU1176">
        <x:f>MAX(0,MIN(BK1176,IF(AND(H1176=1,C1176="重要关系5",LEFT('幕间与结算'!H1083,8)="建立新的重要关系"),'幕间与结算'!E1083+E1176,BU1175+IF(C1176="重要关系5",E1176,0)+IF(AND(C1176="魅力",E1176&lt;0),E1176,0))))</x:f>
        <x:v>0</x:v>
      </x:c>
      <x:c r="BV1176">
        <x:f>MAX(0,MIN(BK1176,IF(AND(H1176=1,C1176="重要关系6",LEFT('幕间与结算'!H1083,8)="建立新的重要关系"),'幕间与结算'!E1083+E1176,BV1175+IF(C1176="重要关系6",E1176,0)+IF(AND(C1176="魅力",E1176&lt;0),E1176,0))))</x:f>
        <x:v>0</x:v>
      </x:c>
      <x:c r="BW1176">
        <x:f>MAX(0,MIN(BK1176,IF(AND(H1176=1,C1176="重要关系7",LEFT('幕间与结算'!H1083,8)="建立新的重要关系"),'幕间与结算'!E1083+E1176,BW1175+IF(C1176="重要关系7",E1176,0)+IF(AND(C1176="魅力",E1176&lt;0),E1176,0))))</x:f>
        <x:v>0</x:v>
      </x:c>
    </x:row>
    <x:row r="1177">
      <x:c r="A1177" t="str">
        <x:f>IFERROR(TEXT(VALUE('幕间与结算'!A1084),"00"),"")</x:f>
        <x:v>00</x:v>
      </x:c>
      <x:c r="B1177">
        <x:f>'幕间与结算'!B1084</x:f>
        <x:v>0</x:v>
      </x:c>
      <x:c r="C1177">
        <x:f>'幕间与结算'!D1084</x:f>
        <x:v>0</x:v>
      </x:c>
      <x:c r="D1177">
        <x:f>'幕间与结算'!F1084</x:f>
        <x:v>0</x:v>
      </x:c>
      <x:c r="E1177">
        <x:f>IF(H1177=1,MAX(-'幕间与结算'!E1084,MIN(D1177,IF(LEFT(C1177,3)="技能：",99,IF(COUNTIF($L$2:$L$7,C1177)&gt;0,18,999))-'幕间与结算'!E1084)),0)</x:f>
        <x:v>0</x:v>
      </x:c>
      <x:c r="F1177" t="str">
        <x:f>IF(C1177=0,"",IF(G1177=0,"记录不完整",IF(H1177=0,"重复未计","已计入")))</x:f>
        <x:v/>
      </x:c>
      <x:c r="G1177">
        <x:f>IF(AND(AND('幕间与结算'!A1084&lt;&gt;"",'幕间与结算'!B1084&lt;&gt;"",'幕间与结算'!I1084&lt;&gt;"",OR(LEFT(C1177,3)="技能：",COUNTIF($L$2:$L$19,C1177)&gt;0),ISNUMBER('幕间与结算'!E1084),ISNUMBER('幕间与结算'!F1084),ISNUMBER('幕间与结算'!G1084),'幕间与结算'!E1084&gt;=0,'幕间与结算'!G1084='幕间与结算'!E1084+'幕间与结算'!F1084),OR(B1177&lt;&gt;"成长",AND(LEFT(C1177,3)="技能：",C1177&lt;&gt;"技能：非自然知识",'幕间与结算'!E1084&gt;=1,'幕间与结算'!E1084&lt;=99,'幕间与结算'!F1084&gt;=0,'幕间与结算'!F1084&lt;=4,'幕间与结算'!G1084&lt;=99))),1,0)</x:f>
        <x:v>0</x:v>
      </x:c>
      <x:c r="H1177">
        <x:f>IF(AND(G1177=1,COUNTIFS($I$200:I1177,I1177,$G$200:G1177,1)=1),1,0)</x:f>
        <x:v>0</x:v>
      </x:c>
      <x:c r="I1177" t="str">
        <x:f>IF(G1177=1,IF(B1177="成长",A1177&amp;"-成长-"&amp;C1177,'幕间与结算'!I1084),"")</x:f>
        <x:v/>
      </x:c>
      <x:c r="BF1177">
        <x:f>MAX(0,MIN(18,BF1176+IF(C1177="力量",E1177,0)))</x:f>
        <x:v>0</x:v>
      </x:c>
      <x:c r="BG1177">
        <x:f>MAX(0,MIN(18,BG1176+IF(C1177="体质",E1177,0)))</x:f>
        <x:v>0</x:v>
      </x:c>
      <x:c r="BH1177">
        <x:f>MAX(0,MIN(18,BH1176+IF(C1177="敏捷",E1177,0)))</x:f>
        <x:v>0</x:v>
      </x:c>
      <x:c r="BI1177">
        <x:f>MAX(0,MIN(18,BI1176+IF(C1177="智力",E1177,0)))</x:f>
        <x:v>0</x:v>
      </x:c>
      <x:c r="BJ1177">
        <x:f>MAX(0,MIN(18,BJ1176+IF(C1177="意志",E1177,0)))</x:f>
        <x:v>0</x:v>
      </x:c>
      <x:c r="BK1177">
        <x:f>MAX(0,MIN(18,BK1176+IF(C1177="魅力",E1177,0)))</x:f>
        <x:v>0</x:v>
      </x:c>
      <x:c r="BL1177">
        <x:f>MAX(0,MIN(99,BL1176+IF(C1177="技能：非自然知识",E1177,0)))</x:f>
        <x:v>0</x:v>
      </x:c>
      <x:c r="BM1177">
        <x:f>MAX(0,MIN(CEILING((BF1177+BG1177)/2,1),BM1176+IF(C1177="体力",E1177,0)))</x:f>
        <x:v>0</x:v>
      </x:c>
      <x:c r="BN1177">
        <x:f>MAX(0,MIN(BJ1177,BN1176+IF(C1177="毅力",E1177,0)))</x:f>
        <x:v>0</x:v>
      </x:c>
      <x:c r="BO1177">
        <x:f>MAX(0,MIN(99-BL1177,BO1176+IF(C1177="理智",E1177,0)))</x:f>
        <x:v>0</x:v>
      </x:c>
      <x:c r="BP1177">
        <x:f>MAX(0,MIN(99,BP1176+IF(C1177="崩溃点",E1177,0)))</x:f>
        <x:v>0</x:v>
      </x:c>
      <x:c r="BQ1177">
        <x:f>MAX(0,MIN(BK1177,IF(AND(H1177=1,C1177="重要关系1",LEFT('幕间与结算'!H1084,8)="建立新的重要关系"),'幕间与结算'!E1084+E1177,BQ1176+IF(C1177="重要关系1",E1177,0)+IF(AND(C1177="魅力",E1177&lt;0),E1177,0))))</x:f>
        <x:v>0</x:v>
      </x:c>
      <x:c r="BR1177">
        <x:f>MAX(0,MIN(BK1177,IF(AND(H1177=1,C1177="重要关系2",LEFT('幕间与结算'!H1084,8)="建立新的重要关系"),'幕间与结算'!E1084+E1177,BR1176+IF(C1177="重要关系2",E1177,0)+IF(AND(C1177="魅力",E1177&lt;0),E1177,0))))</x:f>
        <x:v>0</x:v>
      </x:c>
      <x:c r="BS1177">
        <x:f>MAX(0,MIN(BK1177,IF(AND(H1177=1,C1177="重要关系3",LEFT('幕间与结算'!H1084,8)="建立新的重要关系"),'幕间与结算'!E1084+E1177,BS1176+IF(C1177="重要关系3",E1177,0)+IF(AND(C1177="魅力",E1177&lt;0),E1177,0))))</x:f>
        <x:v>0</x:v>
      </x:c>
      <x:c r="BT1177">
        <x:f>MAX(0,MIN(BK1177,IF(AND(H1177=1,C1177="重要关系4",LEFT('幕间与结算'!H1084,8)="建立新的重要关系"),'幕间与结算'!E1084+E1177,BT1176+IF(C1177="重要关系4",E1177,0)+IF(AND(C1177="魅力",E1177&lt;0),E1177,0))))</x:f>
        <x:v>0</x:v>
      </x:c>
      <x:c r="BU1177">
        <x:f>MAX(0,MIN(BK1177,IF(AND(H1177=1,C1177="重要关系5",LEFT('幕间与结算'!H1084,8)="建立新的重要关系"),'幕间与结算'!E1084+E1177,BU1176+IF(C1177="重要关系5",E1177,0)+IF(AND(C1177="魅力",E1177&lt;0),E1177,0))))</x:f>
        <x:v>0</x:v>
      </x:c>
      <x:c r="BV1177">
        <x:f>MAX(0,MIN(BK1177,IF(AND(H1177=1,C1177="重要关系6",LEFT('幕间与结算'!H1084,8)="建立新的重要关系"),'幕间与结算'!E1084+E1177,BV1176+IF(C1177="重要关系6",E1177,0)+IF(AND(C1177="魅力",E1177&lt;0),E1177,0))))</x:f>
        <x:v>0</x:v>
      </x:c>
      <x:c r="BW1177">
        <x:f>MAX(0,MIN(BK1177,IF(AND(H1177=1,C1177="重要关系7",LEFT('幕间与结算'!H1084,8)="建立新的重要关系"),'幕间与结算'!E1084+E1177,BW1176+IF(C1177="重要关系7",E1177,0)+IF(AND(C1177="魅力",E1177&lt;0),E1177,0))))</x:f>
        <x:v>0</x:v>
      </x:c>
    </x:row>
    <x:row r="1178">
      <x:c r="A1178" t="str">
        <x:f>IFERROR(TEXT(VALUE('幕间与结算'!A1085),"00"),"")</x:f>
        <x:v>00</x:v>
      </x:c>
      <x:c r="B1178">
        <x:f>'幕间与结算'!B1085</x:f>
        <x:v>0</x:v>
      </x:c>
      <x:c r="C1178">
        <x:f>'幕间与结算'!D1085</x:f>
        <x:v>0</x:v>
      </x:c>
      <x:c r="D1178">
        <x:f>'幕间与结算'!F1085</x:f>
        <x:v>0</x:v>
      </x:c>
      <x:c r="E1178">
        <x:f>IF(H1178=1,MAX(-'幕间与结算'!E1085,MIN(D1178,IF(LEFT(C1178,3)="技能：",99,IF(COUNTIF($L$2:$L$7,C1178)&gt;0,18,999))-'幕间与结算'!E1085)),0)</x:f>
        <x:v>0</x:v>
      </x:c>
      <x:c r="F1178" t="str">
        <x:f>IF(C1178=0,"",IF(G1178=0,"记录不完整",IF(H1178=0,"重复未计","已计入")))</x:f>
        <x:v/>
      </x:c>
      <x:c r="G1178">
        <x:f>IF(AND(AND('幕间与结算'!A1085&lt;&gt;"",'幕间与结算'!B1085&lt;&gt;"",'幕间与结算'!I1085&lt;&gt;"",OR(LEFT(C1178,3)="技能：",COUNTIF($L$2:$L$19,C1178)&gt;0),ISNUMBER('幕间与结算'!E1085),ISNUMBER('幕间与结算'!F1085),ISNUMBER('幕间与结算'!G1085),'幕间与结算'!E1085&gt;=0,'幕间与结算'!G1085='幕间与结算'!E1085+'幕间与结算'!F1085),OR(B1178&lt;&gt;"成长",AND(LEFT(C1178,3)="技能：",C1178&lt;&gt;"技能：非自然知识",'幕间与结算'!E1085&gt;=1,'幕间与结算'!E1085&lt;=99,'幕间与结算'!F1085&gt;=0,'幕间与结算'!F1085&lt;=4,'幕间与结算'!G1085&lt;=99))),1,0)</x:f>
        <x:v>0</x:v>
      </x:c>
      <x:c r="H1178">
        <x:f>IF(AND(G1178=1,COUNTIFS($I$200:I1178,I1178,$G$200:G1178,1)=1),1,0)</x:f>
        <x:v>0</x:v>
      </x:c>
      <x:c r="I1178" t="str">
        <x:f>IF(G1178=1,IF(B1178="成长",A1178&amp;"-成长-"&amp;C1178,'幕间与结算'!I1085),"")</x:f>
        <x:v/>
      </x:c>
      <x:c r="BF1178">
        <x:f>MAX(0,MIN(18,BF1177+IF(C1178="力量",E1178,0)))</x:f>
        <x:v>0</x:v>
      </x:c>
      <x:c r="BG1178">
        <x:f>MAX(0,MIN(18,BG1177+IF(C1178="体质",E1178,0)))</x:f>
        <x:v>0</x:v>
      </x:c>
      <x:c r="BH1178">
        <x:f>MAX(0,MIN(18,BH1177+IF(C1178="敏捷",E1178,0)))</x:f>
        <x:v>0</x:v>
      </x:c>
      <x:c r="BI1178">
        <x:f>MAX(0,MIN(18,BI1177+IF(C1178="智力",E1178,0)))</x:f>
        <x:v>0</x:v>
      </x:c>
      <x:c r="BJ1178">
        <x:f>MAX(0,MIN(18,BJ1177+IF(C1178="意志",E1178,0)))</x:f>
        <x:v>0</x:v>
      </x:c>
      <x:c r="BK1178">
        <x:f>MAX(0,MIN(18,BK1177+IF(C1178="魅力",E1178,0)))</x:f>
        <x:v>0</x:v>
      </x:c>
      <x:c r="BL1178">
        <x:f>MAX(0,MIN(99,BL1177+IF(C1178="技能：非自然知识",E1178,0)))</x:f>
        <x:v>0</x:v>
      </x:c>
      <x:c r="BM1178">
        <x:f>MAX(0,MIN(CEILING((BF1178+BG1178)/2,1),BM1177+IF(C1178="体力",E1178,0)))</x:f>
        <x:v>0</x:v>
      </x:c>
      <x:c r="BN1178">
        <x:f>MAX(0,MIN(BJ1178,BN1177+IF(C1178="毅力",E1178,0)))</x:f>
        <x:v>0</x:v>
      </x:c>
      <x:c r="BO1178">
        <x:f>MAX(0,MIN(99-BL1178,BO1177+IF(C1178="理智",E1178,0)))</x:f>
        <x:v>0</x:v>
      </x:c>
      <x:c r="BP1178">
        <x:f>MAX(0,MIN(99,BP1177+IF(C1178="崩溃点",E1178,0)))</x:f>
        <x:v>0</x:v>
      </x:c>
      <x:c r="BQ1178">
        <x:f>MAX(0,MIN(BK1178,IF(AND(H1178=1,C1178="重要关系1",LEFT('幕间与结算'!H1085,8)="建立新的重要关系"),'幕间与结算'!E1085+E1178,BQ1177+IF(C1178="重要关系1",E1178,0)+IF(AND(C1178="魅力",E1178&lt;0),E1178,0))))</x:f>
        <x:v>0</x:v>
      </x:c>
      <x:c r="BR1178">
        <x:f>MAX(0,MIN(BK1178,IF(AND(H1178=1,C1178="重要关系2",LEFT('幕间与结算'!H1085,8)="建立新的重要关系"),'幕间与结算'!E1085+E1178,BR1177+IF(C1178="重要关系2",E1178,0)+IF(AND(C1178="魅力",E1178&lt;0),E1178,0))))</x:f>
        <x:v>0</x:v>
      </x:c>
      <x:c r="BS1178">
        <x:f>MAX(0,MIN(BK1178,IF(AND(H1178=1,C1178="重要关系3",LEFT('幕间与结算'!H1085,8)="建立新的重要关系"),'幕间与结算'!E1085+E1178,BS1177+IF(C1178="重要关系3",E1178,0)+IF(AND(C1178="魅力",E1178&lt;0),E1178,0))))</x:f>
        <x:v>0</x:v>
      </x:c>
      <x:c r="BT1178">
        <x:f>MAX(0,MIN(BK1178,IF(AND(H1178=1,C1178="重要关系4",LEFT('幕间与结算'!H1085,8)="建立新的重要关系"),'幕间与结算'!E1085+E1178,BT1177+IF(C1178="重要关系4",E1178,0)+IF(AND(C1178="魅力",E1178&lt;0),E1178,0))))</x:f>
        <x:v>0</x:v>
      </x:c>
      <x:c r="BU1178">
        <x:f>MAX(0,MIN(BK1178,IF(AND(H1178=1,C1178="重要关系5",LEFT('幕间与结算'!H1085,8)="建立新的重要关系"),'幕间与结算'!E1085+E1178,BU1177+IF(C1178="重要关系5",E1178,0)+IF(AND(C1178="魅力",E1178&lt;0),E1178,0))))</x:f>
        <x:v>0</x:v>
      </x:c>
      <x:c r="BV1178">
        <x:f>MAX(0,MIN(BK1178,IF(AND(H1178=1,C1178="重要关系6",LEFT('幕间与结算'!H1085,8)="建立新的重要关系"),'幕间与结算'!E1085+E1178,BV1177+IF(C1178="重要关系6",E1178,0)+IF(AND(C1178="魅力",E1178&lt;0),E1178,0))))</x:f>
        <x:v>0</x:v>
      </x:c>
      <x:c r="BW1178">
        <x:f>MAX(0,MIN(BK1178,IF(AND(H1178=1,C1178="重要关系7",LEFT('幕间与结算'!H1085,8)="建立新的重要关系"),'幕间与结算'!E1085+E1178,BW1177+IF(C1178="重要关系7",E1178,0)+IF(AND(C1178="魅力",E1178&lt;0),E1178,0))))</x:f>
        <x:v>0</x:v>
      </x:c>
    </x:row>
    <x:row r="1179">
      <x:c r="A1179" t="str">
        <x:f>IFERROR(TEXT(VALUE('幕间与结算'!A1086),"00"),"")</x:f>
        <x:v>00</x:v>
      </x:c>
      <x:c r="B1179">
        <x:f>'幕间与结算'!B1086</x:f>
        <x:v>0</x:v>
      </x:c>
      <x:c r="C1179">
        <x:f>'幕间与结算'!D1086</x:f>
        <x:v>0</x:v>
      </x:c>
      <x:c r="D1179">
        <x:f>'幕间与结算'!F1086</x:f>
        <x:v>0</x:v>
      </x:c>
      <x:c r="E1179">
        <x:f>IF(H1179=1,MAX(-'幕间与结算'!E1086,MIN(D1179,IF(LEFT(C1179,3)="技能：",99,IF(COUNTIF($L$2:$L$7,C1179)&gt;0,18,999))-'幕间与结算'!E1086)),0)</x:f>
        <x:v>0</x:v>
      </x:c>
      <x:c r="F1179" t="str">
        <x:f>IF(C1179=0,"",IF(G1179=0,"记录不完整",IF(H1179=0,"重复未计","已计入")))</x:f>
        <x:v/>
      </x:c>
      <x:c r="G1179">
        <x:f>IF(AND(AND('幕间与结算'!A1086&lt;&gt;"",'幕间与结算'!B1086&lt;&gt;"",'幕间与结算'!I1086&lt;&gt;"",OR(LEFT(C1179,3)="技能：",COUNTIF($L$2:$L$19,C1179)&gt;0),ISNUMBER('幕间与结算'!E1086),ISNUMBER('幕间与结算'!F1086),ISNUMBER('幕间与结算'!G1086),'幕间与结算'!E1086&gt;=0,'幕间与结算'!G1086='幕间与结算'!E1086+'幕间与结算'!F1086),OR(B1179&lt;&gt;"成长",AND(LEFT(C1179,3)="技能：",C1179&lt;&gt;"技能：非自然知识",'幕间与结算'!E1086&gt;=1,'幕间与结算'!E1086&lt;=99,'幕间与结算'!F1086&gt;=0,'幕间与结算'!F1086&lt;=4,'幕间与结算'!G1086&lt;=99))),1,0)</x:f>
        <x:v>0</x:v>
      </x:c>
      <x:c r="H1179">
        <x:f>IF(AND(G1179=1,COUNTIFS($I$200:I1179,I1179,$G$200:G1179,1)=1),1,0)</x:f>
        <x:v>0</x:v>
      </x:c>
      <x:c r="I1179" t="str">
        <x:f>IF(G1179=1,IF(B1179="成长",A1179&amp;"-成长-"&amp;C1179,'幕间与结算'!I1086),"")</x:f>
        <x:v/>
      </x:c>
      <x:c r="BF1179">
        <x:f>MAX(0,MIN(18,BF1178+IF(C1179="力量",E1179,0)))</x:f>
        <x:v>0</x:v>
      </x:c>
      <x:c r="BG1179">
        <x:f>MAX(0,MIN(18,BG1178+IF(C1179="体质",E1179,0)))</x:f>
        <x:v>0</x:v>
      </x:c>
      <x:c r="BH1179">
        <x:f>MAX(0,MIN(18,BH1178+IF(C1179="敏捷",E1179,0)))</x:f>
        <x:v>0</x:v>
      </x:c>
      <x:c r="BI1179">
        <x:f>MAX(0,MIN(18,BI1178+IF(C1179="智力",E1179,0)))</x:f>
        <x:v>0</x:v>
      </x:c>
      <x:c r="BJ1179">
        <x:f>MAX(0,MIN(18,BJ1178+IF(C1179="意志",E1179,0)))</x:f>
        <x:v>0</x:v>
      </x:c>
      <x:c r="BK1179">
        <x:f>MAX(0,MIN(18,BK1178+IF(C1179="魅力",E1179,0)))</x:f>
        <x:v>0</x:v>
      </x:c>
      <x:c r="BL1179">
        <x:f>MAX(0,MIN(99,BL1178+IF(C1179="技能：非自然知识",E1179,0)))</x:f>
        <x:v>0</x:v>
      </x:c>
      <x:c r="BM1179">
        <x:f>MAX(0,MIN(CEILING((BF1179+BG1179)/2,1),BM1178+IF(C1179="体力",E1179,0)))</x:f>
        <x:v>0</x:v>
      </x:c>
      <x:c r="BN1179">
        <x:f>MAX(0,MIN(BJ1179,BN1178+IF(C1179="毅力",E1179,0)))</x:f>
        <x:v>0</x:v>
      </x:c>
      <x:c r="BO1179">
        <x:f>MAX(0,MIN(99-BL1179,BO1178+IF(C1179="理智",E1179,0)))</x:f>
        <x:v>0</x:v>
      </x:c>
      <x:c r="BP1179">
        <x:f>MAX(0,MIN(99,BP1178+IF(C1179="崩溃点",E1179,0)))</x:f>
        <x:v>0</x:v>
      </x:c>
      <x:c r="BQ1179">
        <x:f>MAX(0,MIN(BK1179,IF(AND(H1179=1,C1179="重要关系1",LEFT('幕间与结算'!H1086,8)="建立新的重要关系"),'幕间与结算'!E1086+E1179,BQ1178+IF(C1179="重要关系1",E1179,0)+IF(AND(C1179="魅力",E1179&lt;0),E1179,0))))</x:f>
        <x:v>0</x:v>
      </x:c>
      <x:c r="BR1179">
        <x:f>MAX(0,MIN(BK1179,IF(AND(H1179=1,C1179="重要关系2",LEFT('幕间与结算'!H1086,8)="建立新的重要关系"),'幕间与结算'!E1086+E1179,BR1178+IF(C1179="重要关系2",E1179,0)+IF(AND(C1179="魅力",E1179&lt;0),E1179,0))))</x:f>
        <x:v>0</x:v>
      </x:c>
      <x:c r="BS1179">
        <x:f>MAX(0,MIN(BK1179,IF(AND(H1179=1,C1179="重要关系3",LEFT('幕间与结算'!H1086,8)="建立新的重要关系"),'幕间与结算'!E1086+E1179,BS1178+IF(C1179="重要关系3",E1179,0)+IF(AND(C1179="魅力",E1179&lt;0),E1179,0))))</x:f>
        <x:v>0</x:v>
      </x:c>
      <x:c r="BT1179">
        <x:f>MAX(0,MIN(BK1179,IF(AND(H1179=1,C1179="重要关系4",LEFT('幕间与结算'!H1086,8)="建立新的重要关系"),'幕间与结算'!E1086+E1179,BT1178+IF(C1179="重要关系4",E1179,0)+IF(AND(C1179="魅力",E1179&lt;0),E1179,0))))</x:f>
        <x:v>0</x:v>
      </x:c>
      <x:c r="BU1179">
        <x:f>MAX(0,MIN(BK1179,IF(AND(H1179=1,C1179="重要关系5",LEFT('幕间与结算'!H1086,8)="建立新的重要关系"),'幕间与结算'!E1086+E1179,BU1178+IF(C1179="重要关系5",E1179,0)+IF(AND(C1179="魅力",E1179&lt;0),E1179,0))))</x:f>
        <x:v>0</x:v>
      </x:c>
      <x:c r="BV1179">
        <x:f>MAX(0,MIN(BK1179,IF(AND(H1179=1,C1179="重要关系6",LEFT('幕间与结算'!H1086,8)="建立新的重要关系"),'幕间与结算'!E1086+E1179,BV1178+IF(C1179="重要关系6",E1179,0)+IF(AND(C1179="魅力",E1179&lt;0),E1179,0))))</x:f>
        <x:v>0</x:v>
      </x:c>
      <x:c r="BW1179">
        <x:f>MAX(0,MIN(BK1179,IF(AND(H1179=1,C1179="重要关系7",LEFT('幕间与结算'!H1086,8)="建立新的重要关系"),'幕间与结算'!E1086+E1179,BW1178+IF(C1179="重要关系7",E1179,0)+IF(AND(C1179="魅力",E1179&lt;0),E1179,0))))</x:f>
        <x:v>0</x:v>
      </x:c>
    </x:row>
    <x:row r="1180">
      <x:c r="A1180" t="str">
        <x:f>IFERROR(TEXT(VALUE('幕间与结算'!A1087),"00"),"")</x:f>
        <x:v>00</x:v>
      </x:c>
      <x:c r="B1180">
        <x:f>'幕间与结算'!B1087</x:f>
        <x:v>0</x:v>
      </x:c>
      <x:c r="C1180">
        <x:f>'幕间与结算'!D1087</x:f>
        <x:v>0</x:v>
      </x:c>
      <x:c r="D1180">
        <x:f>'幕间与结算'!F1087</x:f>
        <x:v>0</x:v>
      </x:c>
      <x:c r="E1180">
        <x:f>IF(H1180=1,MAX(-'幕间与结算'!E1087,MIN(D1180,IF(LEFT(C1180,3)="技能：",99,IF(COUNTIF($L$2:$L$7,C1180)&gt;0,18,999))-'幕间与结算'!E1087)),0)</x:f>
        <x:v>0</x:v>
      </x:c>
      <x:c r="F1180" t="str">
        <x:f>IF(C1180=0,"",IF(G1180=0,"记录不完整",IF(H1180=0,"重复未计","已计入")))</x:f>
        <x:v/>
      </x:c>
      <x:c r="G1180">
        <x:f>IF(AND(AND('幕间与结算'!A1087&lt;&gt;"",'幕间与结算'!B1087&lt;&gt;"",'幕间与结算'!I1087&lt;&gt;"",OR(LEFT(C1180,3)="技能：",COUNTIF($L$2:$L$19,C1180)&gt;0),ISNUMBER('幕间与结算'!E1087),ISNUMBER('幕间与结算'!F1087),ISNUMBER('幕间与结算'!G1087),'幕间与结算'!E1087&gt;=0,'幕间与结算'!G1087='幕间与结算'!E1087+'幕间与结算'!F1087),OR(B1180&lt;&gt;"成长",AND(LEFT(C1180,3)="技能：",C1180&lt;&gt;"技能：非自然知识",'幕间与结算'!E1087&gt;=1,'幕间与结算'!E1087&lt;=99,'幕间与结算'!F1087&gt;=0,'幕间与结算'!F1087&lt;=4,'幕间与结算'!G1087&lt;=99))),1,0)</x:f>
        <x:v>0</x:v>
      </x:c>
      <x:c r="H1180">
        <x:f>IF(AND(G1180=1,COUNTIFS($I$200:I1180,I1180,$G$200:G1180,1)=1),1,0)</x:f>
        <x:v>0</x:v>
      </x:c>
      <x:c r="I1180" t="str">
        <x:f>IF(G1180=1,IF(B1180="成长",A1180&amp;"-成长-"&amp;C1180,'幕间与结算'!I1087),"")</x:f>
        <x:v/>
      </x:c>
      <x:c r="BF1180">
        <x:f>MAX(0,MIN(18,BF1179+IF(C1180="力量",E1180,0)))</x:f>
        <x:v>0</x:v>
      </x:c>
      <x:c r="BG1180">
        <x:f>MAX(0,MIN(18,BG1179+IF(C1180="体质",E1180,0)))</x:f>
        <x:v>0</x:v>
      </x:c>
      <x:c r="BH1180">
        <x:f>MAX(0,MIN(18,BH1179+IF(C1180="敏捷",E1180,0)))</x:f>
        <x:v>0</x:v>
      </x:c>
      <x:c r="BI1180">
        <x:f>MAX(0,MIN(18,BI1179+IF(C1180="智力",E1180,0)))</x:f>
        <x:v>0</x:v>
      </x:c>
      <x:c r="BJ1180">
        <x:f>MAX(0,MIN(18,BJ1179+IF(C1180="意志",E1180,0)))</x:f>
        <x:v>0</x:v>
      </x:c>
      <x:c r="BK1180">
        <x:f>MAX(0,MIN(18,BK1179+IF(C1180="魅力",E1180,0)))</x:f>
        <x:v>0</x:v>
      </x:c>
      <x:c r="BL1180">
        <x:f>MAX(0,MIN(99,BL1179+IF(C1180="技能：非自然知识",E1180,0)))</x:f>
        <x:v>0</x:v>
      </x:c>
      <x:c r="BM1180">
        <x:f>MAX(0,MIN(CEILING((BF1180+BG1180)/2,1),BM1179+IF(C1180="体力",E1180,0)))</x:f>
        <x:v>0</x:v>
      </x:c>
      <x:c r="BN1180">
        <x:f>MAX(0,MIN(BJ1180,BN1179+IF(C1180="毅力",E1180,0)))</x:f>
        <x:v>0</x:v>
      </x:c>
      <x:c r="BO1180">
        <x:f>MAX(0,MIN(99-BL1180,BO1179+IF(C1180="理智",E1180,0)))</x:f>
        <x:v>0</x:v>
      </x:c>
      <x:c r="BP1180">
        <x:f>MAX(0,MIN(99,BP1179+IF(C1180="崩溃点",E1180,0)))</x:f>
        <x:v>0</x:v>
      </x:c>
      <x:c r="BQ1180">
        <x:f>MAX(0,MIN(BK1180,IF(AND(H1180=1,C1180="重要关系1",LEFT('幕间与结算'!H1087,8)="建立新的重要关系"),'幕间与结算'!E1087+E1180,BQ1179+IF(C1180="重要关系1",E1180,0)+IF(AND(C1180="魅力",E1180&lt;0),E1180,0))))</x:f>
        <x:v>0</x:v>
      </x:c>
      <x:c r="BR1180">
        <x:f>MAX(0,MIN(BK1180,IF(AND(H1180=1,C1180="重要关系2",LEFT('幕间与结算'!H1087,8)="建立新的重要关系"),'幕间与结算'!E1087+E1180,BR1179+IF(C1180="重要关系2",E1180,0)+IF(AND(C1180="魅力",E1180&lt;0),E1180,0))))</x:f>
        <x:v>0</x:v>
      </x:c>
      <x:c r="BS1180">
        <x:f>MAX(0,MIN(BK1180,IF(AND(H1180=1,C1180="重要关系3",LEFT('幕间与结算'!H1087,8)="建立新的重要关系"),'幕间与结算'!E1087+E1180,BS1179+IF(C1180="重要关系3",E1180,0)+IF(AND(C1180="魅力",E1180&lt;0),E1180,0))))</x:f>
        <x:v>0</x:v>
      </x:c>
      <x:c r="BT1180">
        <x:f>MAX(0,MIN(BK1180,IF(AND(H1180=1,C1180="重要关系4",LEFT('幕间与结算'!H1087,8)="建立新的重要关系"),'幕间与结算'!E1087+E1180,BT1179+IF(C1180="重要关系4",E1180,0)+IF(AND(C1180="魅力",E1180&lt;0),E1180,0))))</x:f>
        <x:v>0</x:v>
      </x:c>
      <x:c r="BU1180">
        <x:f>MAX(0,MIN(BK1180,IF(AND(H1180=1,C1180="重要关系5",LEFT('幕间与结算'!H1087,8)="建立新的重要关系"),'幕间与结算'!E1087+E1180,BU1179+IF(C1180="重要关系5",E1180,0)+IF(AND(C1180="魅力",E1180&lt;0),E1180,0))))</x:f>
        <x:v>0</x:v>
      </x:c>
      <x:c r="BV1180">
        <x:f>MAX(0,MIN(BK1180,IF(AND(H1180=1,C1180="重要关系6",LEFT('幕间与结算'!H1087,8)="建立新的重要关系"),'幕间与结算'!E1087+E1180,BV1179+IF(C1180="重要关系6",E1180,0)+IF(AND(C1180="魅力",E1180&lt;0),E1180,0))))</x:f>
        <x:v>0</x:v>
      </x:c>
      <x:c r="BW1180">
        <x:f>MAX(0,MIN(BK1180,IF(AND(H1180=1,C1180="重要关系7",LEFT('幕间与结算'!H1087,8)="建立新的重要关系"),'幕间与结算'!E1087+E1180,BW1179+IF(C1180="重要关系7",E1180,0)+IF(AND(C1180="魅力",E1180&lt;0),E1180,0))))</x:f>
        <x:v>0</x:v>
      </x:c>
    </x:row>
    <x:row r="1181">
      <x:c r="A1181" t="str">
        <x:f>IFERROR(TEXT(VALUE('幕间与结算'!A1088),"00"),"")</x:f>
        <x:v>00</x:v>
      </x:c>
      <x:c r="B1181">
        <x:f>'幕间与结算'!B1088</x:f>
        <x:v>0</x:v>
      </x:c>
      <x:c r="C1181">
        <x:f>'幕间与结算'!D1088</x:f>
        <x:v>0</x:v>
      </x:c>
      <x:c r="D1181">
        <x:f>'幕间与结算'!F1088</x:f>
        <x:v>0</x:v>
      </x:c>
      <x:c r="E1181">
        <x:f>IF(H1181=1,MAX(-'幕间与结算'!E1088,MIN(D1181,IF(LEFT(C1181,3)="技能：",99,IF(COUNTIF($L$2:$L$7,C1181)&gt;0,18,999))-'幕间与结算'!E1088)),0)</x:f>
        <x:v>0</x:v>
      </x:c>
      <x:c r="F1181" t="str">
        <x:f>IF(C1181=0,"",IF(G1181=0,"记录不完整",IF(H1181=0,"重复未计","已计入")))</x:f>
        <x:v/>
      </x:c>
      <x:c r="G1181">
        <x:f>IF(AND(AND('幕间与结算'!A1088&lt;&gt;"",'幕间与结算'!B1088&lt;&gt;"",'幕间与结算'!I1088&lt;&gt;"",OR(LEFT(C1181,3)="技能：",COUNTIF($L$2:$L$19,C1181)&gt;0),ISNUMBER('幕间与结算'!E1088),ISNUMBER('幕间与结算'!F1088),ISNUMBER('幕间与结算'!G1088),'幕间与结算'!E1088&gt;=0,'幕间与结算'!G1088='幕间与结算'!E1088+'幕间与结算'!F1088),OR(B1181&lt;&gt;"成长",AND(LEFT(C1181,3)="技能：",C1181&lt;&gt;"技能：非自然知识",'幕间与结算'!E1088&gt;=1,'幕间与结算'!E1088&lt;=99,'幕间与结算'!F1088&gt;=0,'幕间与结算'!F1088&lt;=4,'幕间与结算'!G1088&lt;=99))),1,0)</x:f>
        <x:v>0</x:v>
      </x:c>
      <x:c r="H1181">
        <x:f>IF(AND(G1181=1,COUNTIFS($I$200:I1181,I1181,$G$200:G1181,1)=1),1,0)</x:f>
        <x:v>0</x:v>
      </x:c>
      <x:c r="I1181" t="str">
        <x:f>IF(G1181=1,IF(B1181="成长",A1181&amp;"-成长-"&amp;C1181,'幕间与结算'!I1088),"")</x:f>
        <x:v/>
      </x:c>
      <x:c r="BF1181">
        <x:f>MAX(0,MIN(18,BF1180+IF(C1181="力量",E1181,0)))</x:f>
        <x:v>0</x:v>
      </x:c>
      <x:c r="BG1181">
        <x:f>MAX(0,MIN(18,BG1180+IF(C1181="体质",E1181,0)))</x:f>
        <x:v>0</x:v>
      </x:c>
      <x:c r="BH1181">
        <x:f>MAX(0,MIN(18,BH1180+IF(C1181="敏捷",E1181,0)))</x:f>
        <x:v>0</x:v>
      </x:c>
      <x:c r="BI1181">
        <x:f>MAX(0,MIN(18,BI1180+IF(C1181="智力",E1181,0)))</x:f>
        <x:v>0</x:v>
      </x:c>
      <x:c r="BJ1181">
        <x:f>MAX(0,MIN(18,BJ1180+IF(C1181="意志",E1181,0)))</x:f>
        <x:v>0</x:v>
      </x:c>
      <x:c r="BK1181">
        <x:f>MAX(0,MIN(18,BK1180+IF(C1181="魅力",E1181,0)))</x:f>
        <x:v>0</x:v>
      </x:c>
      <x:c r="BL1181">
        <x:f>MAX(0,MIN(99,BL1180+IF(C1181="技能：非自然知识",E1181,0)))</x:f>
        <x:v>0</x:v>
      </x:c>
      <x:c r="BM1181">
        <x:f>MAX(0,MIN(CEILING((BF1181+BG1181)/2,1),BM1180+IF(C1181="体力",E1181,0)))</x:f>
        <x:v>0</x:v>
      </x:c>
      <x:c r="BN1181">
        <x:f>MAX(0,MIN(BJ1181,BN1180+IF(C1181="毅力",E1181,0)))</x:f>
        <x:v>0</x:v>
      </x:c>
      <x:c r="BO1181">
        <x:f>MAX(0,MIN(99-BL1181,BO1180+IF(C1181="理智",E1181,0)))</x:f>
        <x:v>0</x:v>
      </x:c>
      <x:c r="BP1181">
        <x:f>MAX(0,MIN(99,BP1180+IF(C1181="崩溃点",E1181,0)))</x:f>
        <x:v>0</x:v>
      </x:c>
      <x:c r="BQ1181">
        <x:f>MAX(0,MIN(BK1181,IF(AND(H1181=1,C1181="重要关系1",LEFT('幕间与结算'!H1088,8)="建立新的重要关系"),'幕间与结算'!E1088+E1181,BQ1180+IF(C1181="重要关系1",E1181,0)+IF(AND(C1181="魅力",E1181&lt;0),E1181,0))))</x:f>
        <x:v>0</x:v>
      </x:c>
      <x:c r="BR1181">
        <x:f>MAX(0,MIN(BK1181,IF(AND(H1181=1,C1181="重要关系2",LEFT('幕间与结算'!H1088,8)="建立新的重要关系"),'幕间与结算'!E1088+E1181,BR1180+IF(C1181="重要关系2",E1181,0)+IF(AND(C1181="魅力",E1181&lt;0),E1181,0))))</x:f>
        <x:v>0</x:v>
      </x:c>
      <x:c r="BS1181">
        <x:f>MAX(0,MIN(BK1181,IF(AND(H1181=1,C1181="重要关系3",LEFT('幕间与结算'!H1088,8)="建立新的重要关系"),'幕间与结算'!E1088+E1181,BS1180+IF(C1181="重要关系3",E1181,0)+IF(AND(C1181="魅力",E1181&lt;0),E1181,0))))</x:f>
        <x:v>0</x:v>
      </x:c>
      <x:c r="BT1181">
        <x:f>MAX(0,MIN(BK1181,IF(AND(H1181=1,C1181="重要关系4",LEFT('幕间与结算'!H1088,8)="建立新的重要关系"),'幕间与结算'!E1088+E1181,BT1180+IF(C1181="重要关系4",E1181,0)+IF(AND(C1181="魅力",E1181&lt;0),E1181,0))))</x:f>
        <x:v>0</x:v>
      </x:c>
      <x:c r="BU1181">
        <x:f>MAX(0,MIN(BK1181,IF(AND(H1181=1,C1181="重要关系5",LEFT('幕间与结算'!H1088,8)="建立新的重要关系"),'幕间与结算'!E1088+E1181,BU1180+IF(C1181="重要关系5",E1181,0)+IF(AND(C1181="魅力",E1181&lt;0),E1181,0))))</x:f>
        <x:v>0</x:v>
      </x:c>
      <x:c r="BV1181">
        <x:f>MAX(0,MIN(BK1181,IF(AND(H1181=1,C1181="重要关系6",LEFT('幕间与结算'!H1088,8)="建立新的重要关系"),'幕间与结算'!E1088+E1181,BV1180+IF(C1181="重要关系6",E1181,0)+IF(AND(C1181="魅力",E1181&lt;0),E1181,0))))</x:f>
        <x:v>0</x:v>
      </x:c>
      <x:c r="BW1181">
        <x:f>MAX(0,MIN(BK1181,IF(AND(H1181=1,C1181="重要关系7",LEFT('幕间与结算'!H1088,8)="建立新的重要关系"),'幕间与结算'!E1088+E1181,BW1180+IF(C1181="重要关系7",E1181,0)+IF(AND(C1181="魅力",E1181&lt;0),E1181,0))))</x:f>
        <x:v>0</x:v>
      </x:c>
    </x:row>
    <x:row r="1182">
      <x:c r="A1182" t="str">
        <x:f>IFERROR(TEXT(VALUE('幕间与结算'!A1089),"00"),"")</x:f>
        <x:v>00</x:v>
      </x:c>
      <x:c r="B1182">
        <x:f>'幕间与结算'!B1089</x:f>
        <x:v>0</x:v>
      </x:c>
      <x:c r="C1182">
        <x:f>'幕间与结算'!D1089</x:f>
        <x:v>0</x:v>
      </x:c>
      <x:c r="D1182">
        <x:f>'幕间与结算'!F1089</x:f>
        <x:v>0</x:v>
      </x:c>
      <x:c r="E1182">
        <x:f>IF(H1182=1,MAX(-'幕间与结算'!E1089,MIN(D1182,IF(LEFT(C1182,3)="技能：",99,IF(COUNTIF($L$2:$L$7,C1182)&gt;0,18,999))-'幕间与结算'!E1089)),0)</x:f>
        <x:v>0</x:v>
      </x:c>
      <x:c r="F1182" t="str">
        <x:f>IF(C1182=0,"",IF(G1182=0,"记录不完整",IF(H1182=0,"重复未计","已计入")))</x:f>
        <x:v/>
      </x:c>
      <x:c r="G1182">
        <x:f>IF(AND(AND('幕间与结算'!A1089&lt;&gt;"",'幕间与结算'!B1089&lt;&gt;"",'幕间与结算'!I1089&lt;&gt;"",OR(LEFT(C1182,3)="技能：",COUNTIF($L$2:$L$19,C1182)&gt;0),ISNUMBER('幕间与结算'!E1089),ISNUMBER('幕间与结算'!F1089),ISNUMBER('幕间与结算'!G1089),'幕间与结算'!E1089&gt;=0,'幕间与结算'!G1089='幕间与结算'!E1089+'幕间与结算'!F1089),OR(B1182&lt;&gt;"成长",AND(LEFT(C1182,3)="技能：",C1182&lt;&gt;"技能：非自然知识",'幕间与结算'!E1089&gt;=1,'幕间与结算'!E1089&lt;=99,'幕间与结算'!F1089&gt;=0,'幕间与结算'!F1089&lt;=4,'幕间与结算'!G1089&lt;=99))),1,0)</x:f>
        <x:v>0</x:v>
      </x:c>
      <x:c r="H1182">
        <x:f>IF(AND(G1182=1,COUNTIFS($I$200:I1182,I1182,$G$200:G1182,1)=1),1,0)</x:f>
        <x:v>0</x:v>
      </x:c>
      <x:c r="I1182" t="str">
        <x:f>IF(G1182=1,IF(B1182="成长",A1182&amp;"-成长-"&amp;C1182,'幕间与结算'!I1089),"")</x:f>
        <x:v/>
      </x:c>
      <x:c r="BF1182">
        <x:f>MAX(0,MIN(18,BF1181+IF(C1182="力量",E1182,0)))</x:f>
        <x:v>0</x:v>
      </x:c>
      <x:c r="BG1182">
        <x:f>MAX(0,MIN(18,BG1181+IF(C1182="体质",E1182,0)))</x:f>
        <x:v>0</x:v>
      </x:c>
      <x:c r="BH1182">
        <x:f>MAX(0,MIN(18,BH1181+IF(C1182="敏捷",E1182,0)))</x:f>
        <x:v>0</x:v>
      </x:c>
      <x:c r="BI1182">
        <x:f>MAX(0,MIN(18,BI1181+IF(C1182="智力",E1182,0)))</x:f>
        <x:v>0</x:v>
      </x:c>
      <x:c r="BJ1182">
        <x:f>MAX(0,MIN(18,BJ1181+IF(C1182="意志",E1182,0)))</x:f>
        <x:v>0</x:v>
      </x:c>
      <x:c r="BK1182">
        <x:f>MAX(0,MIN(18,BK1181+IF(C1182="魅力",E1182,0)))</x:f>
        <x:v>0</x:v>
      </x:c>
      <x:c r="BL1182">
        <x:f>MAX(0,MIN(99,BL1181+IF(C1182="技能：非自然知识",E1182,0)))</x:f>
        <x:v>0</x:v>
      </x:c>
      <x:c r="BM1182">
        <x:f>MAX(0,MIN(CEILING((BF1182+BG1182)/2,1),BM1181+IF(C1182="体力",E1182,0)))</x:f>
        <x:v>0</x:v>
      </x:c>
      <x:c r="BN1182">
        <x:f>MAX(0,MIN(BJ1182,BN1181+IF(C1182="毅力",E1182,0)))</x:f>
        <x:v>0</x:v>
      </x:c>
      <x:c r="BO1182">
        <x:f>MAX(0,MIN(99-BL1182,BO1181+IF(C1182="理智",E1182,0)))</x:f>
        <x:v>0</x:v>
      </x:c>
      <x:c r="BP1182">
        <x:f>MAX(0,MIN(99,BP1181+IF(C1182="崩溃点",E1182,0)))</x:f>
        <x:v>0</x:v>
      </x:c>
      <x:c r="BQ1182">
        <x:f>MAX(0,MIN(BK1182,IF(AND(H1182=1,C1182="重要关系1",LEFT('幕间与结算'!H1089,8)="建立新的重要关系"),'幕间与结算'!E1089+E1182,BQ1181+IF(C1182="重要关系1",E1182,0)+IF(AND(C1182="魅力",E1182&lt;0),E1182,0))))</x:f>
        <x:v>0</x:v>
      </x:c>
      <x:c r="BR1182">
        <x:f>MAX(0,MIN(BK1182,IF(AND(H1182=1,C1182="重要关系2",LEFT('幕间与结算'!H1089,8)="建立新的重要关系"),'幕间与结算'!E1089+E1182,BR1181+IF(C1182="重要关系2",E1182,0)+IF(AND(C1182="魅力",E1182&lt;0),E1182,0))))</x:f>
        <x:v>0</x:v>
      </x:c>
      <x:c r="BS1182">
        <x:f>MAX(0,MIN(BK1182,IF(AND(H1182=1,C1182="重要关系3",LEFT('幕间与结算'!H1089,8)="建立新的重要关系"),'幕间与结算'!E1089+E1182,BS1181+IF(C1182="重要关系3",E1182,0)+IF(AND(C1182="魅力",E1182&lt;0),E1182,0))))</x:f>
        <x:v>0</x:v>
      </x:c>
      <x:c r="BT1182">
        <x:f>MAX(0,MIN(BK1182,IF(AND(H1182=1,C1182="重要关系4",LEFT('幕间与结算'!H1089,8)="建立新的重要关系"),'幕间与结算'!E1089+E1182,BT1181+IF(C1182="重要关系4",E1182,0)+IF(AND(C1182="魅力",E1182&lt;0),E1182,0))))</x:f>
        <x:v>0</x:v>
      </x:c>
      <x:c r="BU1182">
        <x:f>MAX(0,MIN(BK1182,IF(AND(H1182=1,C1182="重要关系5",LEFT('幕间与结算'!H1089,8)="建立新的重要关系"),'幕间与结算'!E1089+E1182,BU1181+IF(C1182="重要关系5",E1182,0)+IF(AND(C1182="魅力",E1182&lt;0),E1182,0))))</x:f>
        <x:v>0</x:v>
      </x:c>
      <x:c r="BV1182">
        <x:f>MAX(0,MIN(BK1182,IF(AND(H1182=1,C1182="重要关系6",LEFT('幕间与结算'!H1089,8)="建立新的重要关系"),'幕间与结算'!E1089+E1182,BV1181+IF(C1182="重要关系6",E1182,0)+IF(AND(C1182="魅力",E1182&lt;0),E1182,0))))</x:f>
        <x:v>0</x:v>
      </x:c>
      <x:c r="BW1182">
        <x:f>MAX(0,MIN(BK1182,IF(AND(H1182=1,C1182="重要关系7",LEFT('幕间与结算'!H1089,8)="建立新的重要关系"),'幕间与结算'!E1089+E1182,BW1181+IF(C1182="重要关系7",E1182,0)+IF(AND(C1182="魅力",E1182&lt;0),E1182,0))))</x:f>
        <x:v>0</x:v>
      </x:c>
    </x:row>
    <x:row r="1183">
      <x:c r="A1183" t="str">
        <x:f>IFERROR(TEXT(VALUE('幕间与结算'!A1090),"00"),"")</x:f>
        <x:v>00</x:v>
      </x:c>
      <x:c r="B1183">
        <x:f>'幕间与结算'!B1090</x:f>
        <x:v>0</x:v>
      </x:c>
      <x:c r="C1183">
        <x:f>'幕间与结算'!D1090</x:f>
        <x:v>0</x:v>
      </x:c>
      <x:c r="D1183">
        <x:f>'幕间与结算'!F1090</x:f>
        <x:v>0</x:v>
      </x:c>
      <x:c r="E1183">
        <x:f>IF(H1183=1,MAX(-'幕间与结算'!E1090,MIN(D1183,IF(LEFT(C1183,3)="技能：",99,IF(COUNTIF($L$2:$L$7,C1183)&gt;0,18,999))-'幕间与结算'!E1090)),0)</x:f>
        <x:v>0</x:v>
      </x:c>
      <x:c r="F1183" t="str">
        <x:f>IF(C1183=0,"",IF(G1183=0,"记录不完整",IF(H1183=0,"重复未计","已计入")))</x:f>
        <x:v/>
      </x:c>
      <x:c r="G1183">
        <x:f>IF(AND(AND('幕间与结算'!A1090&lt;&gt;"",'幕间与结算'!B1090&lt;&gt;"",'幕间与结算'!I1090&lt;&gt;"",OR(LEFT(C1183,3)="技能：",COUNTIF($L$2:$L$19,C1183)&gt;0),ISNUMBER('幕间与结算'!E1090),ISNUMBER('幕间与结算'!F1090),ISNUMBER('幕间与结算'!G1090),'幕间与结算'!E1090&gt;=0,'幕间与结算'!G1090='幕间与结算'!E1090+'幕间与结算'!F1090),OR(B1183&lt;&gt;"成长",AND(LEFT(C1183,3)="技能：",C1183&lt;&gt;"技能：非自然知识",'幕间与结算'!E1090&gt;=1,'幕间与结算'!E1090&lt;=99,'幕间与结算'!F1090&gt;=0,'幕间与结算'!F1090&lt;=4,'幕间与结算'!G1090&lt;=99))),1,0)</x:f>
        <x:v>0</x:v>
      </x:c>
      <x:c r="H1183">
        <x:f>IF(AND(G1183=1,COUNTIFS($I$200:I1183,I1183,$G$200:G1183,1)=1),1,0)</x:f>
        <x:v>0</x:v>
      </x:c>
      <x:c r="I1183" t="str">
        <x:f>IF(G1183=1,IF(B1183="成长",A1183&amp;"-成长-"&amp;C1183,'幕间与结算'!I1090),"")</x:f>
        <x:v/>
      </x:c>
      <x:c r="BF1183">
        <x:f>MAX(0,MIN(18,BF1182+IF(C1183="力量",E1183,0)))</x:f>
        <x:v>0</x:v>
      </x:c>
      <x:c r="BG1183">
        <x:f>MAX(0,MIN(18,BG1182+IF(C1183="体质",E1183,0)))</x:f>
        <x:v>0</x:v>
      </x:c>
      <x:c r="BH1183">
        <x:f>MAX(0,MIN(18,BH1182+IF(C1183="敏捷",E1183,0)))</x:f>
        <x:v>0</x:v>
      </x:c>
      <x:c r="BI1183">
        <x:f>MAX(0,MIN(18,BI1182+IF(C1183="智力",E1183,0)))</x:f>
        <x:v>0</x:v>
      </x:c>
      <x:c r="BJ1183">
        <x:f>MAX(0,MIN(18,BJ1182+IF(C1183="意志",E1183,0)))</x:f>
        <x:v>0</x:v>
      </x:c>
      <x:c r="BK1183">
        <x:f>MAX(0,MIN(18,BK1182+IF(C1183="魅力",E1183,0)))</x:f>
        <x:v>0</x:v>
      </x:c>
      <x:c r="BL1183">
        <x:f>MAX(0,MIN(99,BL1182+IF(C1183="技能：非自然知识",E1183,0)))</x:f>
        <x:v>0</x:v>
      </x:c>
      <x:c r="BM1183">
        <x:f>MAX(0,MIN(CEILING((BF1183+BG1183)/2,1),BM1182+IF(C1183="体力",E1183,0)))</x:f>
        <x:v>0</x:v>
      </x:c>
      <x:c r="BN1183">
        <x:f>MAX(0,MIN(BJ1183,BN1182+IF(C1183="毅力",E1183,0)))</x:f>
        <x:v>0</x:v>
      </x:c>
      <x:c r="BO1183">
        <x:f>MAX(0,MIN(99-BL1183,BO1182+IF(C1183="理智",E1183,0)))</x:f>
        <x:v>0</x:v>
      </x:c>
      <x:c r="BP1183">
        <x:f>MAX(0,MIN(99,BP1182+IF(C1183="崩溃点",E1183,0)))</x:f>
        <x:v>0</x:v>
      </x:c>
      <x:c r="BQ1183">
        <x:f>MAX(0,MIN(BK1183,IF(AND(H1183=1,C1183="重要关系1",LEFT('幕间与结算'!H1090,8)="建立新的重要关系"),'幕间与结算'!E1090+E1183,BQ1182+IF(C1183="重要关系1",E1183,0)+IF(AND(C1183="魅力",E1183&lt;0),E1183,0))))</x:f>
        <x:v>0</x:v>
      </x:c>
      <x:c r="BR1183">
        <x:f>MAX(0,MIN(BK1183,IF(AND(H1183=1,C1183="重要关系2",LEFT('幕间与结算'!H1090,8)="建立新的重要关系"),'幕间与结算'!E1090+E1183,BR1182+IF(C1183="重要关系2",E1183,0)+IF(AND(C1183="魅力",E1183&lt;0),E1183,0))))</x:f>
        <x:v>0</x:v>
      </x:c>
      <x:c r="BS1183">
        <x:f>MAX(0,MIN(BK1183,IF(AND(H1183=1,C1183="重要关系3",LEFT('幕间与结算'!H1090,8)="建立新的重要关系"),'幕间与结算'!E1090+E1183,BS1182+IF(C1183="重要关系3",E1183,0)+IF(AND(C1183="魅力",E1183&lt;0),E1183,0))))</x:f>
        <x:v>0</x:v>
      </x:c>
      <x:c r="BT1183">
        <x:f>MAX(0,MIN(BK1183,IF(AND(H1183=1,C1183="重要关系4",LEFT('幕间与结算'!H1090,8)="建立新的重要关系"),'幕间与结算'!E1090+E1183,BT1182+IF(C1183="重要关系4",E1183,0)+IF(AND(C1183="魅力",E1183&lt;0),E1183,0))))</x:f>
        <x:v>0</x:v>
      </x:c>
      <x:c r="BU1183">
        <x:f>MAX(0,MIN(BK1183,IF(AND(H1183=1,C1183="重要关系5",LEFT('幕间与结算'!H1090,8)="建立新的重要关系"),'幕间与结算'!E1090+E1183,BU1182+IF(C1183="重要关系5",E1183,0)+IF(AND(C1183="魅力",E1183&lt;0),E1183,0))))</x:f>
        <x:v>0</x:v>
      </x:c>
      <x:c r="BV1183">
        <x:f>MAX(0,MIN(BK1183,IF(AND(H1183=1,C1183="重要关系6",LEFT('幕间与结算'!H1090,8)="建立新的重要关系"),'幕间与结算'!E1090+E1183,BV1182+IF(C1183="重要关系6",E1183,0)+IF(AND(C1183="魅力",E1183&lt;0),E1183,0))))</x:f>
        <x:v>0</x:v>
      </x:c>
      <x:c r="BW1183">
        <x:f>MAX(0,MIN(BK1183,IF(AND(H1183=1,C1183="重要关系7",LEFT('幕间与结算'!H1090,8)="建立新的重要关系"),'幕间与结算'!E1090+E1183,BW1182+IF(C1183="重要关系7",E1183,0)+IF(AND(C1183="魅力",E1183&lt;0),E1183,0))))</x:f>
        <x:v>0</x:v>
      </x:c>
    </x:row>
    <x:row r="1184">
      <x:c r="A1184" t="str">
        <x:f>IFERROR(TEXT(VALUE('幕间与结算'!A1091),"00"),"")</x:f>
        <x:v>00</x:v>
      </x:c>
      <x:c r="B1184">
        <x:f>'幕间与结算'!B1091</x:f>
        <x:v>0</x:v>
      </x:c>
      <x:c r="C1184">
        <x:f>'幕间与结算'!D1091</x:f>
        <x:v>0</x:v>
      </x:c>
      <x:c r="D1184">
        <x:f>'幕间与结算'!F1091</x:f>
        <x:v>0</x:v>
      </x:c>
      <x:c r="E1184">
        <x:f>IF(H1184=1,MAX(-'幕间与结算'!E1091,MIN(D1184,IF(LEFT(C1184,3)="技能：",99,IF(COUNTIF($L$2:$L$7,C1184)&gt;0,18,999))-'幕间与结算'!E1091)),0)</x:f>
        <x:v>0</x:v>
      </x:c>
      <x:c r="F1184" t="str">
        <x:f>IF(C1184=0,"",IF(G1184=0,"记录不完整",IF(H1184=0,"重复未计","已计入")))</x:f>
        <x:v/>
      </x:c>
      <x:c r="G1184">
        <x:f>IF(AND(AND('幕间与结算'!A1091&lt;&gt;"",'幕间与结算'!B1091&lt;&gt;"",'幕间与结算'!I1091&lt;&gt;"",OR(LEFT(C1184,3)="技能：",COUNTIF($L$2:$L$19,C1184)&gt;0),ISNUMBER('幕间与结算'!E1091),ISNUMBER('幕间与结算'!F1091),ISNUMBER('幕间与结算'!G1091),'幕间与结算'!E1091&gt;=0,'幕间与结算'!G1091='幕间与结算'!E1091+'幕间与结算'!F1091),OR(B1184&lt;&gt;"成长",AND(LEFT(C1184,3)="技能：",C1184&lt;&gt;"技能：非自然知识",'幕间与结算'!E1091&gt;=1,'幕间与结算'!E1091&lt;=99,'幕间与结算'!F1091&gt;=0,'幕间与结算'!F1091&lt;=4,'幕间与结算'!G1091&lt;=99))),1,0)</x:f>
        <x:v>0</x:v>
      </x:c>
      <x:c r="H1184">
        <x:f>IF(AND(G1184=1,COUNTIFS($I$200:I1184,I1184,$G$200:G1184,1)=1),1,0)</x:f>
        <x:v>0</x:v>
      </x:c>
      <x:c r="I1184" t="str">
        <x:f>IF(G1184=1,IF(B1184="成长",A1184&amp;"-成长-"&amp;C1184,'幕间与结算'!I1091),"")</x:f>
        <x:v/>
      </x:c>
      <x:c r="BF1184">
        <x:f>MAX(0,MIN(18,BF1183+IF(C1184="力量",E1184,0)))</x:f>
        <x:v>0</x:v>
      </x:c>
      <x:c r="BG1184">
        <x:f>MAX(0,MIN(18,BG1183+IF(C1184="体质",E1184,0)))</x:f>
        <x:v>0</x:v>
      </x:c>
      <x:c r="BH1184">
        <x:f>MAX(0,MIN(18,BH1183+IF(C1184="敏捷",E1184,0)))</x:f>
        <x:v>0</x:v>
      </x:c>
      <x:c r="BI1184">
        <x:f>MAX(0,MIN(18,BI1183+IF(C1184="智力",E1184,0)))</x:f>
        <x:v>0</x:v>
      </x:c>
      <x:c r="BJ1184">
        <x:f>MAX(0,MIN(18,BJ1183+IF(C1184="意志",E1184,0)))</x:f>
        <x:v>0</x:v>
      </x:c>
      <x:c r="BK1184">
        <x:f>MAX(0,MIN(18,BK1183+IF(C1184="魅力",E1184,0)))</x:f>
        <x:v>0</x:v>
      </x:c>
      <x:c r="BL1184">
        <x:f>MAX(0,MIN(99,BL1183+IF(C1184="技能：非自然知识",E1184,0)))</x:f>
        <x:v>0</x:v>
      </x:c>
      <x:c r="BM1184">
        <x:f>MAX(0,MIN(CEILING((BF1184+BG1184)/2,1),BM1183+IF(C1184="体力",E1184,0)))</x:f>
        <x:v>0</x:v>
      </x:c>
      <x:c r="BN1184">
        <x:f>MAX(0,MIN(BJ1184,BN1183+IF(C1184="毅力",E1184,0)))</x:f>
        <x:v>0</x:v>
      </x:c>
      <x:c r="BO1184">
        <x:f>MAX(0,MIN(99-BL1184,BO1183+IF(C1184="理智",E1184,0)))</x:f>
        <x:v>0</x:v>
      </x:c>
      <x:c r="BP1184">
        <x:f>MAX(0,MIN(99,BP1183+IF(C1184="崩溃点",E1184,0)))</x:f>
        <x:v>0</x:v>
      </x:c>
      <x:c r="BQ1184">
        <x:f>MAX(0,MIN(BK1184,IF(AND(H1184=1,C1184="重要关系1",LEFT('幕间与结算'!H1091,8)="建立新的重要关系"),'幕间与结算'!E1091+E1184,BQ1183+IF(C1184="重要关系1",E1184,0)+IF(AND(C1184="魅力",E1184&lt;0),E1184,0))))</x:f>
        <x:v>0</x:v>
      </x:c>
      <x:c r="BR1184">
        <x:f>MAX(0,MIN(BK1184,IF(AND(H1184=1,C1184="重要关系2",LEFT('幕间与结算'!H1091,8)="建立新的重要关系"),'幕间与结算'!E1091+E1184,BR1183+IF(C1184="重要关系2",E1184,0)+IF(AND(C1184="魅力",E1184&lt;0),E1184,0))))</x:f>
        <x:v>0</x:v>
      </x:c>
      <x:c r="BS1184">
        <x:f>MAX(0,MIN(BK1184,IF(AND(H1184=1,C1184="重要关系3",LEFT('幕间与结算'!H1091,8)="建立新的重要关系"),'幕间与结算'!E1091+E1184,BS1183+IF(C1184="重要关系3",E1184,0)+IF(AND(C1184="魅力",E1184&lt;0),E1184,0))))</x:f>
        <x:v>0</x:v>
      </x:c>
      <x:c r="BT1184">
        <x:f>MAX(0,MIN(BK1184,IF(AND(H1184=1,C1184="重要关系4",LEFT('幕间与结算'!H1091,8)="建立新的重要关系"),'幕间与结算'!E1091+E1184,BT1183+IF(C1184="重要关系4",E1184,0)+IF(AND(C1184="魅力",E1184&lt;0),E1184,0))))</x:f>
        <x:v>0</x:v>
      </x:c>
      <x:c r="BU1184">
        <x:f>MAX(0,MIN(BK1184,IF(AND(H1184=1,C1184="重要关系5",LEFT('幕间与结算'!H1091,8)="建立新的重要关系"),'幕间与结算'!E1091+E1184,BU1183+IF(C1184="重要关系5",E1184,0)+IF(AND(C1184="魅力",E1184&lt;0),E1184,0))))</x:f>
        <x:v>0</x:v>
      </x:c>
      <x:c r="BV1184">
        <x:f>MAX(0,MIN(BK1184,IF(AND(H1184=1,C1184="重要关系6",LEFT('幕间与结算'!H1091,8)="建立新的重要关系"),'幕间与结算'!E1091+E1184,BV1183+IF(C1184="重要关系6",E1184,0)+IF(AND(C1184="魅力",E1184&lt;0),E1184,0))))</x:f>
        <x:v>0</x:v>
      </x:c>
      <x:c r="BW1184">
        <x:f>MAX(0,MIN(BK1184,IF(AND(H1184=1,C1184="重要关系7",LEFT('幕间与结算'!H1091,8)="建立新的重要关系"),'幕间与结算'!E1091+E1184,BW1183+IF(C1184="重要关系7",E1184,0)+IF(AND(C1184="魅力",E1184&lt;0),E1184,0))))</x:f>
        <x:v>0</x:v>
      </x:c>
    </x:row>
    <x:row r="1185">
      <x:c r="A1185" t="str">
        <x:f>IFERROR(TEXT(VALUE('幕间与结算'!A1092),"00"),"")</x:f>
        <x:v>00</x:v>
      </x:c>
      <x:c r="B1185">
        <x:f>'幕间与结算'!B1092</x:f>
        <x:v>0</x:v>
      </x:c>
      <x:c r="C1185">
        <x:f>'幕间与结算'!D1092</x:f>
        <x:v>0</x:v>
      </x:c>
      <x:c r="D1185">
        <x:f>'幕间与结算'!F1092</x:f>
        <x:v>0</x:v>
      </x:c>
      <x:c r="E1185">
        <x:f>IF(H1185=1,MAX(-'幕间与结算'!E1092,MIN(D1185,IF(LEFT(C1185,3)="技能：",99,IF(COUNTIF($L$2:$L$7,C1185)&gt;0,18,999))-'幕间与结算'!E1092)),0)</x:f>
        <x:v>0</x:v>
      </x:c>
      <x:c r="F1185" t="str">
        <x:f>IF(C1185=0,"",IF(G1185=0,"记录不完整",IF(H1185=0,"重复未计","已计入")))</x:f>
        <x:v/>
      </x:c>
      <x:c r="G1185">
        <x:f>IF(AND(AND('幕间与结算'!A1092&lt;&gt;"",'幕间与结算'!B1092&lt;&gt;"",'幕间与结算'!I1092&lt;&gt;"",OR(LEFT(C1185,3)="技能：",COUNTIF($L$2:$L$19,C1185)&gt;0),ISNUMBER('幕间与结算'!E1092),ISNUMBER('幕间与结算'!F1092),ISNUMBER('幕间与结算'!G1092),'幕间与结算'!E1092&gt;=0,'幕间与结算'!G1092='幕间与结算'!E1092+'幕间与结算'!F1092),OR(B1185&lt;&gt;"成长",AND(LEFT(C1185,3)="技能：",C1185&lt;&gt;"技能：非自然知识",'幕间与结算'!E1092&gt;=1,'幕间与结算'!E1092&lt;=99,'幕间与结算'!F1092&gt;=0,'幕间与结算'!F1092&lt;=4,'幕间与结算'!G1092&lt;=99))),1,0)</x:f>
        <x:v>0</x:v>
      </x:c>
      <x:c r="H1185">
        <x:f>IF(AND(G1185=1,COUNTIFS($I$200:I1185,I1185,$G$200:G1185,1)=1),1,0)</x:f>
        <x:v>0</x:v>
      </x:c>
      <x:c r="I1185" t="str">
        <x:f>IF(G1185=1,IF(B1185="成长",A1185&amp;"-成长-"&amp;C1185,'幕间与结算'!I1092),"")</x:f>
        <x:v/>
      </x:c>
      <x:c r="BF1185">
        <x:f>MAX(0,MIN(18,BF1184+IF(C1185="力量",E1185,0)))</x:f>
        <x:v>0</x:v>
      </x:c>
      <x:c r="BG1185">
        <x:f>MAX(0,MIN(18,BG1184+IF(C1185="体质",E1185,0)))</x:f>
        <x:v>0</x:v>
      </x:c>
      <x:c r="BH1185">
        <x:f>MAX(0,MIN(18,BH1184+IF(C1185="敏捷",E1185,0)))</x:f>
        <x:v>0</x:v>
      </x:c>
      <x:c r="BI1185">
        <x:f>MAX(0,MIN(18,BI1184+IF(C1185="智力",E1185,0)))</x:f>
        <x:v>0</x:v>
      </x:c>
      <x:c r="BJ1185">
        <x:f>MAX(0,MIN(18,BJ1184+IF(C1185="意志",E1185,0)))</x:f>
        <x:v>0</x:v>
      </x:c>
      <x:c r="BK1185">
        <x:f>MAX(0,MIN(18,BK1184+IF(C1185="魅力",E1185,0)))</x:f>
        <x:v>0</x:v>
      </x:c>
      <x:c r="BL1185">
        <x:f>MAX(0,MIN(99,BL1184+IF(C1185="技能：非自然知识",E1185,0)))</x:f>
        <x:v>0</x:v>
      </x:c>
      <x:c r="BM1185">
        <x:f>MAX(0,MIN(CEILING((BF1185+BG1185)/2,1),BM1184+IF(C1185="体力",E1185,0)))</x:f>
        <x:v>0</x:v>
      </x:c>
      <x:c r="BN1185">
        <x:f>MAX(0,MIN(BJ1185,BN1184+IF(C1185="毅力",E1185,0)))</x:f>
        <x:v>0</x:v>
      </x:c>
      <x:c r="BO1185">
        <x:f>MAX(0,MIN(99-BL1185,BO1184+IF(C1185="理智",E1185,0)))</x:f>
        <x:v>0</x:v>
      </x:c>
      <x:c r="BP1185">
        <x:f>MAX(0,MIN(99,BP1184+IF(C1185="崩溃点",E1185,0)))</x:f>
        <x:v>0</x:v>
      </x:c>
      <x:c r="BQ1185">
        <x:f>MAX(0,MIN(BK1185,IF(AND(H1185=1,C1185="重要关系1",LEFT('幕间与结算'!H1092,8)="建立新的重要关系"),'幕间与结算'!E1092+E1185,BQ1184+IF(C1185="重要关系1",E1185,0)+IF(AND(C1185="魅力",E1185&lt;0),E1185,0))))</x:f>
        <x:v>0</x:v>
      </x:c>
      <x:c r="BR1185">
        <x:f>MAX(0,MIN(BK1185,IF(AND(H1185=1,C1185="重要关系2",LEFT('幕间与结算'!H1092,8)="建立新的重要关系"),'幕间与结算'!E1092+E1185,BR1184+IF(C1185="重要关系2",E1185,0)+IF(AND(C1185="魅力",E1185&lt;0),E1185,0))))</x:f>
        <x:v>0</x:v>
      </x:c>
      <x:c r="BS1185">
        <x:f>MAX(0,MIN(BK1185,IF(AND(H1185=1,C1185="重要关系3",LEFT('幕间与结算'!H1092,8)="建立新的重要关系"),'幕间与结算'!E1092+E1185,BS1184+IF(C1185="重要关系3",E1185,0)+IF(AND(C1185="魅力",E1185&lt;0),E1185,0))))</x:f>
        <x:v>0</x:v>
      </x:c>
      <x:c r="BT1185">
        <x:f>MAX(0,MIN(BK1185,IF(AND(H1185=1,C1185="重要关系4",LEFT('幕间与结算'!H1092,8)="建立新的重要关系"),'幕间与结算'!E1092+E1185,BT1184+IF(C1185="重要关系4",E1185,0)+IF(AND(C1185="魅力",E1185&lt;0),E1185,0))))</x:f>
        <x:v>0</x:v>
      </x:c>
      <x:c r="BU1185">
        <x:f>MAX(0,MIN(BK1185,IF(AND(H1185=1,C1185="重要关系5",LEFT('幕间与结算'!H1092,8)="建立新的重要关系"),'幕间与结算'!E1092+E1185,BU1184+IF(C1185="重要关系5",E1185,0)+IF(AND(C1185="魅力",E1185&lt;0),E1185,0))))</x:f>
        <x:v>0</x:v>
      </x:c>
      <x:c r="BV1185">
        <x:f>MAX(0,MIN(BK1185,IF(AND(H1185=1,C1185="重要关系6",LEFT('幕间与结算'!H1092,8)="建立新的重要关系"),'幕间与结算'!E1092+E1185,BV1184+IF(C1185="重要关系6",E1185,0)+IF(AND(C1185="魅力",E1185&lt;0),E1185,0))))</x:f>
        <x:v>0</x:v>
      </x:c>
      <x:c r="BW1185">
        <x:f>MAX(0,MIN(BK1185,IF(AND(H1185=1,C1185="重要关系7",LEFT('幕间与结算'!H1092,8)="建立新的重要关系"),'幕间与结算'!E1092+E1185,BW1184+IF(C1185="重要关系7",E1185,0)+IF(AND(C1185="魅力",E1185&lt;0),E1185,0))))</x:f>
        <x:v>0</x:v>
      </x:c>
    </x:row>
    <x:row r="1186">
      <x:c r="A1186" t="str">
        <x:f>IFERROR(TEXT(VALUE('幕间与结算'!A1093),"00"),"")</x:f>
        <x:v>00</x:v>
      </x:c>
      <x:c r="B1186">
        <x:f>'幕间与结算'!B1093</x:f>
        <x:v>0</x:v>
      </x:c>
      <x:c r="C1186">
        <x:f>'幕间与结算'!D1093</x:f>
        <x:v>0</x:v>
      </x:c>
      <x:c r="D1186">
        <x:f>'幕间与结算'!F1093</x:f>
        <x:v>0</x:v>
      </x:c>
      <x:c r="E1186">
        <x:f>IF(H1186=1,MAX(-'幕间与结算'!E1093,MIN(D1186,IF(LEFT(C1186,3)="技能：",99,IF(COUNTIF($L$2:$L$7,C1186)&gt;0,18,999))-'幕间与结算'!E1093)),0)</x:f>
        <x:v>0</x:v>
      </x:c>
      <x:c r="F1186" t="str">
        <x:f>IF(C1186=0,"",IF(G1186=0,"记录不完整",IF(H1186=0,"重复未计","已计入")))</x:f>
        <x:v/>
      </x:c>
      <x:c r="G1186">
        <x:f>IF(AND(AND('幕间与结算'!A1093&lt;&gt;"",'幕间与结算'!B1093&lt;&gt;"",'幕间与结算'!I1093&lt;&gt;"",OR(LEFT(C1186,3)="技能：",COUNTIF($L$2:$L$19,C1186)&gt;0),ISNUMBER('幕间与结算'!E1093),ISNUMBER('幕间与结算'!F1093),ISNUMBER('幕间与结算'!G1093),'幕间与结算'!E1093&gt;=0,'幕间与结算'!G1093='幕间与结算'!E1093+'幕间与结算'!F1093),OR(B1186&lt;&gt;"成长",AND(LEFT(C1186,3)="技能：",C1186&lt;&gt;"技能：非自然知识",'幕间与结算'!E1093&gt;=1,'幕间与结算'!E1093&lt;=99,'幕间与结算'!F1093&gt;=0,'幕间与结算'!F1093&lt;=4,'幕间与结算'!G1093&lt;=99))),1,0)</x:f>
        <x:v>0</x:v>
      </x:c>
      <x:c r="H1186">
        <x:f>IF(AND(G1186=1,COUNTIFS($I$200:I1186,I1186,$G$200:G1186,1)=1),1,0)</x:f>
        <x:v>0</x:v>
      </x:c>
      <x:c r="I1186" t="str">
        <x:f>IF(G1186=1,IF(B1186="成长",A1186&amp;"-成长-"&amp;C1186,'幕间与结算'!I1093),"")</x:f>
        <x:v/>
      </x:c>
      <x:c r="BF1186">
        <x:f>MAX(0,MIN(18,BF1185+IF(C1186="力量",E1186,0)))</x:f>
        <x:v>0</x:v>
      </x:c>
      <x:c r="BG1186">
        <x:f>MAX(0,MIN(18,BG1185+IF(C1186="体质",E1186,0)))</x:f>
        <x:v>0</x:v>
      </x:c>
      <x:c r="BH1186">
        <x:f>MAX(0,MIN(18,BH1185+IF(C1186="敏捷",E1186,0)))</x:f>
        <x:v>0</x:v>
      </x:c>
      <x:c r="BI1186">
        <x:f>MAX(0,MIN(18,BI1185+IF(C1186="智力",E1186,0)))</x:f>
        <x:v>0</x:v>
      </x:c>
      <x:c r="BJ1186">
        <x:f>MAX(0,MIN(18,BJ1185+IF(C1186="意志",E1186,0)))</x:f>
        <x:v>0</x:v>
      </x:c>
      <x:c r="BK1186">
        <x:f>MAX(0,MIN(18,BK1185+IF(C1186="魅力",E1186,0)))</x:f>
        <x:v>0</x:v>
      </x:c>
      <x:c r="BL1186">
        <x:f>MAX(0,MIN(99,BL1185+IF(C1186="技能：非自然知识",E1186,0)))</x:f>
        <x:v>0</x:v>
      </x:c>
      <x:c r="BM1186">
        <x:f>MAX(0,MIN(CEILING((BF1186+BG1186)/2,1),BM1185+IF(C1186="体力",E1186,0)))</x:f>
        <x:v>0</x:v>
      </x:c>
      <x:c r="BN1186">
        <x:f>MAX(0,MIN(BJ1186,BN1185+IF(C1186="毅力",E1186,0)))</x:f>
        <x:v>0</x:v>
      </x:c>
      <x:c r="BO1186">
        <x:f>MAX(0,MIN(99-BL1186,BO1185+IF(C1186="理智",E1186,0)))</x:f>
        <x:v>0</x:v>
      </x:c>
      <x:c r="BP1186">
        <x:f>MAX(0,MIN(99,BP1185+IF(C1186="崩溃点",E1186,0)))</x:f>
        <x:v>0</x:v>
      </x:c>
      <x:c r="BQ1186">
        <x:f>MAX(0,MIN(BK1186,IF(AND(H1186=1,C1186="重要关系1",LEFT('幕间与结算'!H1093,8)="建立新的重要关系"),'幕间与结算'!E1093+E1186,BQ1185+IF(C1186="重要关系1",E1186,0)+IF(AND(C1186="魅力",E1186&lt;0),E1186,0))))</x:f>
        <x:v>0</x:v>
      </x:c>
      <x:c r="BR1186">
        <x:f>MAX(0,MIN(BK1186,IF(AND(H1186=1,C1186="重要关系2",LEFT('幕间与结算'!H1093,8)="建立新的重要关系"),'幕间与结算'!E1093+E1186,BR1185+IF(C1186="重要关系2",E1186,0)+IF(AND(C1186="魅力",E1186&lt;0),E1186,0))))</x:f>
        <x:v>0</x:v>
      </x:c>
      <x:c r="BS1186">
        <x:f>MAX(0,MIN(BK1186,IF(AND(H1186=1,C1186="重要关系3",LEFT('幕间与结算'!H1093,8)="建立新的重要关系"),'幕间与结算'!E1093+E1186,BS1185+IF(C1186="重要关系3",E1186,0)+IF(AND(C1186="魅力",E1186&lt;0),E1186,0))))</x:f>
        <x:v>0</x:v>
      </x:c>
      <x:c r="BT1186">
        <x:f>MAX(0,MIN(BK1186,IF(AND(H1186=1,C1186="重要关系4",LEFT('幕间与结算'!H1093,8)="建立新的重要关系"),'幕间与结算'!E1093+E1186,BT1185+IF(C1186="重要关系4",E1186,0)+IF(AND(C1186="魅力",E1186&lt;0),E1186,0))))</x:f>
        <x:v>0</x:v>
      </x:c>
      <x:c r="BU1186">
        <x:f>MAX(0,MIN(BK1186,IF(AND(H1186=1,C1186="重要关系5",LEFT('幕间与结算'!H1093,8)="建立新的重要关系"),'幕间与结算'!E1093+E1186,BU1185+IF(C1186="重要关系5",E1186,0)+IF(AND(C1186="魅力",E1186&lt;0),E1186,0))))</x:f>
        <x:v>0</x:v>
      </x:c>
      <x:c r="BV1186">
        <x:f>MAX(0,MIN(BK1186,IF(AND(H1186=1,C1186="重要关系6",LEFT('幕间与结算'!H1093,8)="建立新的重要关系"),'幕间与结算'!E1093+E1186,BV1185+IF(C1186="重要关系6",E1186,0)+IF(AND(C1186="魅力",E1186&lt;0),E1186,0))))</x:f>
        <x:v>0</x:v>
      </x:c>
      <x:c r="BW1186">
        <x:f>MAX(0,MIN(BK1186,IF(AND(H1186=1,C1186="重要关系7",LEFT('幕间与结算'!H1093,8)="建立新的重要关系"),'幕间与结算'!E1093+E1186,BW1185+IF(C1186="重要关系7",E1186,0)+IF(AND(C1186="魅力",E1186&lt;0),E1186,0))))</x:f>
        <x:v>0</x:v>
      </x:c>
    </x:row>
    <x:row r="1187">
      <x:c r="A1187" t="str">
        <x:f>IFERROR(TEXT(VALUE('幕间与结算'!A1094),"00"),"")</x:f>
        <x:v>00</x:v>
      </x:c>
      <x:c r="B1187">
        <x:f>'幕间与结算'!B1094</x:f>
        <x:v>0</x:v>
      </x:c>
      <x:c r="C1187">
        <x:f>'幕间与结算'!D1094</x:f>
        <x:v>0</x:v>
      </x:c>
      <x:c r="D1187">
        <x:f>'幕间与结算'!F1094</x:f>
        <x:v>0</x:v>
      </x:c>
      <x:c r="E1187">
        <x:f>IF(H1187=1,MAX(-'幕间与结算'!E1094,MIN(D1187,IF(LEFT(C1187,3)="技能：",99,IF(COUNTIF($L$2:$L$7,C1187)&gt;0,18,999))-'幕间与结算'!E1094)),0)</x:f>
        <x:v>0</x:v>
      </x:c>
      <x:c r="F1187" t="str">
        <x:f>IF(C1187=0,"",IF(G1187=0,"记录不完整",IF(H1187=0,"重复未计","已计入")))</x:f>
        <x:v/>
      </x:c>
      <x:c r="G1187">
        <x:f>IF(AND(AND('幕间与结算'!A1094&lt;&gt;"",'幕间与结算'!B1094&lt;&gt;"",'幕间与结算'!I1094&lt;&gt;"",OR(LEFT(C1187,3)="技能：",COUNTIF($L$2:$L$19,C1187)&gt;0),ISNUMBER('幕间与结算'!E1094),ISNUMBER('幕间与结算'!F1094),ISNUMBER('幕间与结算'!G1094),'幕间与结算'!E1094&gt;=0,'幕间与结算'!G1094='幕间与结算'!E1094+'幕间与结算'!F1094),OR(B1187&lt;&gt;"成长",AND(LEFT(C1187,3)="技能：",C1187&lt;&gt;"技能：非自然知识",'幕间与结算'!E1094&gt;=1,'幕间与结算'!E1094&lt;=99,'幕间与结算'!F1094&gt;=0,'幕间与结算'!F1094&lt;=4,'幕间与结算'!G1094&lt;=99))),1,0)</x:f>
        <x:v>0</x:v>
      </x:c>
      <x:c r="H1187">
        <x:f>IF(AND(G1187=1,COUNTIFS($I$200:I1187,I1187,$G$200:G1187,1)=1),1,0)</x:f>
        <x:v>0</x:v>
      </x:c>
      <x:c r="I1187" t="str">
        <x:f>IF(G1187=1,IF(B1187="成长",A1187&amp;"-成长-"&amp;C1187,'幕间与结算'!I1094),"")</x:f>
        <x:v/>
      </x:c>
      <x:c r="BF1187">
        <x:f>MAX(0,MIN(18,BF1186+IF(C1187="力量",E1187,0)))</x:f>
        <x:v>0</x:v>
      </x:c>
      <x:c r="BG1187">
        <x:f>MAX(0,MIN(18,BG1186+IF(C1187="体质",E1187,0)))</x:f>
        <x:v>0</x:v>
      </x:c>
      <x:c r="BH1187">
        <x:f>MAX(0,MIN(18,BH1186+IF(C1187="敏捷",E1187,0)))</x:f>
        <x:v>0</x:v>
      </x:c>
      <x:c r="BI1187">
        <x:f>MAX(0,MIN(18,BI1186+IF(C1187="智力",E1187,0)))</x:f>
        <x:v>0</x:v>
      </x:c>
      <x:c r="BJ1187">
        <x:f>MAX(0,MIN(18,BJ1186+IF(C1187="意志",E1187,0)))</x:f>
        <x:v>0</x:v>
      </x:c>
      <x:c r="BK1187">
        <x:f>MAX(0,MIN(18,BK1186+IF(C1187="魅力",E1187,0)))</x:f>
        <x:v>0</x:v>
      </x:c>
      <x:c r="BL1187">
        <x:f>MAX(0,MIN(99,BL1186+IF(C1187="技能：非自然知识",E1187,0)))</x:f>
        <x:v>0</x:v>
      </x:c>
      <x:c r="BM1187">
        <x:f>MAX(0,MIN(CEILING((BF1187+BG1187)/2,1),BM1186+IF(C1187="体力",E1187,0)))</x:f>
        <x:v>0</x:v>
      </x:c>
      <x:c r="BN1187">
        <x:f>MAX(0,MIN(BJ1187,BN1186+IF(C1187="毅力",E1187,0)))</x:f>
        <x:v>0</x:v>
      </x:c>
      <x:c r="BO1187">
        <x:f>MAX(0,MIN(99-BL1187,BO1186+IF(C1187="理智",E1187,0)))</x:f>
        <x:v>0</x:v>
      </x:c>
      <x:c r="BP1187">
        <x:f>MAX(0,MIN(99,BP1186+IF(C1187="崩溃点",E1187,0)))</x:f>
        <x:v>0</x:v>
      </x:c>
      <x:c r="BQ1187">
        <x:f>MAX(0,MIN(BK1187,IF(AND(H1187=1,C1187="重要关系1",LEFT('幕间与结算'!H1094,8)="建立新的重要关系"),'幕间与结算'!E1094+E1187,BQ1186+IF(C1187="重要关系1",E1187,0)+IF(AND(C1187="魅力",E1187&lt;0),E1187,0))))</x:f>
        <x:v>0</x:v>
      </x:c>
      <x:c r="BR1187">
        <x:f>MAX(0,MIN(BK1187,IF(AND(H1187=1,C1187="重要关系2",LEFT('幕间与结算'!H1094,8)="建立新的重要关系"),'幕间与结算'!E1094+E1187,BR1186+IF(C1187="重要关系2",E1187,0)+IF(AND(C1187="魅力",E1187&lt;0),E1187,0))))</x:f>
        <x:v>0</x:v>
      </x:c>
      <x:c r="BS1187">
        <x:f>MAX(0,MIN(BK1187,IF(AND(H1187=1,C1187="重要关系3",LEFT('幕间与结算'!H1094,8)="建立新的重要关系"),'幕间与结算'!E1094+E1187,BS1186+IF(C1187="重要关系3",E1187,0)+IF(AND(C1187="魅力",E1187&lt;0),E1187,0))))</x:f>
        <x:v>0</x:v>
      </x:c>
      <x:c r="BT1187">
        <x:f>MAX(0,MIN(BK1187,IF(AND(H1187=1,C1187="重要关系4",LEFT('幕间与结算'!H1094,8)="建立新的重要关系"),'幕间与结算'!E1094+E1187,BT1186+IF(C1187="重要关系4",E1187,0)+IF(AND(C1187="魅力",E1187&lt;0),E1187,0))))</x:f>
        <x:v>0</x:v>
      </x:c>
      <x:c r="BU1187">
        <x:f>MAX(0,MIN(BK1187,IF(AND(H1187=1,C1187="重要关系5",LEFT('幕间与结算'!H1094,8)="建立新的重要关系"),'幕间与结算'!E1094+E1187,BU1186+IF(C1187="重要关系5",E1187,0)+IF(AND(C1187="魅力",E1187&lt;0),E1187,0))))</x:f>
        <x:v>0</x:v>
      </x:c>
      <x:c r="BV1187">
        <x:f>MAX(0,MIN(BK1187,IF(AND(H1187=1,C1187="重要关系6",LEFT('幕间与结算'!H1094,8)="建立新的重要关系"),'幕间与结算'!E1094+E1187,BV1186+IF(C1187="重要关系6",E1187,0)+IF(AND(C1187="魅力",E1187&lt;0),E1187,0))))</x:f>
        <x:v>0</x:v>
      </x:c>
      <x:c r="BW1187">
        <x:f>MAX(0,MIN(BK1187,IF(AND(H1187=1,C1187="重要关系7",LEFT('幕间与结算'!H1094,8)="建立新的重要关系"),'幕间与结算'!E1094+E1187,BW1186+IF(C1187="重要关系7",E1187,0)+IF(AND(C1187="魅力",E1187&lt;0),E1187,0))))</x:f>
        <x:v>0</x:v>
      </x:c>
    </x:row>
    <x:row r="1188">
      <x:c r="A1188" t="str">
        <x:f>IFERROR(TEXT(VALUE('幕间与结算'!A1095),"00"),"")</x:f>
        <x:v>00</x:v>
      </x:c>
      <x:c r="B1188">
        <x:f>'幕间与结算'!B1095</x:f>
        <x:v>0</x:v>
      </x:c>
      <x:c r="C1188">
        <x:f>'幕间与结算'!D1095</x:f>
        <x:v>0</x:v>
      </x:c>
      <x:c r="D1188">
        <x:f>'幕间与结算'!F1095</x:f>
        <x:v>0</x:v>
      </x:c>
      <x:c r="E1188">
        <x:f>IF(H1188=1,MAX(-'幕间与结算'!E1095,MIN(D1188,IF(LEFT(C1188,3)="技能：",99,IF(COUNTIF($L$2:$L$7,C1188)&gt;0,18,999))-'幕间与结算'!E1095)),0)</x:f>
        <x:v>0</x:v>
      </x:c>
      <x:c r="F1188" t="str">
        <x:f>IF(C1188=0,"",IF(G1188=0,"记录不完整",IF(H1188=0,"重复未计","已计入")))</x:f>
        <x:v/>
      </x:c>
      <x:c r="G1188">
        <x:f>IF(AND(AND('幕间与结算'!A1095&lt;&gt;"",'幕间与结算'!B1095&lt;&gt;"",'幕间与结算'!I1095&lt;&gt;"",OR(LEFT(C1188,3)="技能：",COUNTIF($L$2:$L$19,C1188)&gt;0),ISNUMBER('幕间与结算'!E1095),ISNUMBER('幕间与结算'!F1095),ISNUMBER('幕间与结算'!G1095),'幕间与结算'!E1095&gt;=0,'幕间与结算'!G1095='幕间与结算'!E1095+'幕间与结算'!F1095),OR(B1188&lt;&gt;"成长",AND(LEFT(C1188,3)="技能：",C1188&lt;&gt;"技能：非自然知识",'幕间与结算'!E1095&gt;=1,'幕间与结算'!E1095&lt;=99,'幕间与结算'!F1095&gt;=0,'幕间与结算'!F1095&lt;=4,'幕间与结算'!G1095&lt;=99))),1,0)</x:f>
        <x:v>0</x:v>
      </x:c>
      <x:c r="H1188">
        <x:f>IF(AND(G1188=1,COUNTIFS($I$200:I1188,I1188,$G$200:G1188,1)=1),1,0)</x:f>
        <x:v>0</x:v>
      </x:c>
      <x:c r="I1188" t="str">
        <x:f>IF(G1188=1,IF(B1188="成长",A1188&amp;"-成长-"&amp;C1188,'幕间与结算'!I1095),"")</x:f>
        <x:v/>
      </x:c>
      <x:c r="BF1188">
        <x:f>MAX(0,MIN(18,BF1187+IF(C1188="力量",E1188,0)))</x:f>
        <x:v>0</x:v>
      </x:c>
      <x:c r="BG1188">
        <x:f>MAX(0,MIN(18,BG1187+IF(C1188="体质",E1188,0)))</x:f>
        <x:v>0</x:v>
      </x:c>
      <x:c r="BH1188">
        <x:f>MAX(0,MIN(18,BH1187+IF(C1188="敏捷",E1188,0)))</x:f>
        <x:v>0</x:v>
      </x:c>
      <x:c r="BI1188">
        <x:f>MAX(0,MIN(18,BI1187+IF(C1188="智力",E1188,0)))</x:f>
        <x:v>0</x:v>
      </x:c>
      <x:c r="BJ1188">
        <x:f>MAX(0,MIN(18,BJ1187+IF(C1188="意志",E1188,0)))</x:f>
        <x:v>0</x:v>
      </x:c>
      <x:c r="BK1188">
        <x:f>MAX(0,MIN(18,BK1187+IF(C1188="魅力",E1188,0)))</x:f>
        <x:v>0</x:v>
      </x:c>
      <x:c r="BL1188">
        <x:f>MAX(0,MIN(99,BL1187+IF(C1188="技能：非自然知识",E1188,0)))</x:f>
        <x:v>0</x:v>
      </x:c>
      <x:c r="BM1188">
        <x:f>MAX(0,MIN(CEILING((BF1188+BG1188)/2,1),BM1187+IF(C1188="体力",E1188,0)))</x:f>
        <x:v>0</x:v>
      </x:c>
      <x:c r="BN1188">
        <x:f>MAX(0,MIN(BJ1188,BN1187+IF(C1188="毅力",E1188,0)))</x:f>
        <x:v>0</x:v>
      </x:c>
      <x:c r="BO1188">
        <x:f>MAX(0,MIN(99-BL1188,BO1187+IF(C1188="理智",E1188,0)))</x:f>
        <x:v>0</x:v>
      </x:c>
      <x:c r="BP1188">
        <x:f>MAX(0,MIN(99,BP1187+IF(C1188="崩溃点",E1188,0)))</x:f>
        <x:v>0</x:v>
      </x:c>
      <x:c r="BQ1188">
        <x:f>MAX(0,MIN(BK1188,IF(AND(H1188=1,C1188="重要关系1",LEFT('幕间与结算'!H1095,8)="建立新的重要关系"),'幕间与结算'!E1095+E1188,BQ1187+IF(C1188="重要关系1",E1188,0)+IF(AND(C1188="魅力",E1188&lt;0),E1188,0))))</x:f>
        <x:v>0</x:v>
      </x:c>
      <x:c r="BR1188">
        <x:f>MAX(0,MIN(BK1188,IF(AND(H1188=1,C1188="重要关系2",LEFT('幕间与结算'!H1095,8)="建立新的重要关系"),'幕间与结算'!E1095+E1188,BR1187+IF(C1188="重要关系2",E1188,0)+IF(AND(C1188="魅力",E1188&lt;0),E1188,0))))</x:f>
        <x:v>0</x:v>
      </x:c>
      <x:c r="BS1188">
        <x:f>MAX(0,MIN(BK1188,IF(AND(H1188=1,C1188="重要关系3",LEFT('幕间与结算'!H1095,8)="建立新的重要关系"),'幕间与结算'!E1095+E1188,BS1187+IF(C1188="重要关系3",E1188,0)+IF(AND(C1188="魅力",E1188&lt;0),E1188,0))))</x:f>
        <x:v>0</x:v>
      </x:c>
      <x:c r="BT1188">
        <x:f>MAX(0,MIN(BK1188,IF(AND(H1188=1,C1188="重要关系4",LEFT('幕间与结算'!H1095,8)="建立新的重要关系"),'幕间与结算'!E1095+E1188,BT1187+IF(C1188="重要关系4",E1188,0)+IF(AND(C1188="魅力",E1188&lt;0),E1188,0))))</x:f>
        <x:v>0</x:v>
      </x:c>
      <x:c r="BU1188">
        <x:f>MAX(0,MIN(BK1188,IF(AND(H1188=1,C1188="重要关系5",LEFT('幕间与结算'!H1095,8)="建立新的重要关系"),'幕间与结算'!E1095+E1188,BU1187+IF(C1188="重要关系5",E1188,0)+IF(AND(C1188="魅力",E1188&lt;0),E1188,0))))</x:f>
        <x:v>0</x:v>
      </x:c>
      <x:c r="BV1188">
        <x:f>MAX(0,MIN(BK1188,IF(AND(H1188=1,C1188="重要关系6",LEFT('幕间与结算'!H1095,8)="建立新的重要关系"),'幕间与结算'!E1095+E1188,BV1187+IF(C1188="重要关系6",E1188,0)+IF(AND(C1188="魅力",E1188&lt;0),E1188,0))))</x:f>
        <x:v>0</x:v>
      </x:c>
      <x:c r="BW1188">
        <x:f>MAX(0,MIN(BK1188,IF(AND(H1188=1,C1188="重要关系7",LEFT('幕间与结算'!H1095,8)="建立新的重要关系"),'幕间与结算'!E1095+E1188,BW1187+IF(C1188="重要关系7",E1188,0)+IF(AND(C1188="魅力",E1188&lt;0),E1188,0))))</x:f>
        <x:v>0</x:v>
      </x:c>
    </x:row>
    <x:row r="1189">
      <x:c r="A1189" t="str">
        <x:f>IFERROR(TEXT(VALUE('幕间与结算'!A1096),"00"),"")</x:f>
        <x:v>00</x:v>
      </x:c>
      <x:c r="B1189">
        <x:f>'幕间与结算'!B1096</x:f>
        <x:v>0</x:v>
      </x:c>
      <x:c r="C1189">
        <x:f>'幕间与结算'!D1096</x:f>
        <x:v>0</x:v>
      </x:c>
      <x:c r="D1189">
        <x:f>'幕间与结算'!F1096</x:f>
        <x:v>0</x:v>
      </x:c>
      <x:c r="E1189">
        <x:f>IF(H1189=1,MAX(-'幕间与结算'!E1096,MIN(D1189,IF(LEFT(C1189,3)="技能：",99,IF(COUNTIF($L$2:$L$7,C1189)&gt;0,18,999))-'幕间与结算'!E1096)),0)</x:f>
        <x:v>0</x:v>
      </x:c>
      <x:c r="F1189" t="str">
        <x:f>IF(C1189=0,"",IF(G1189=0,"记录不完整",IF(H1189=0,"重复未计","已计入")))</x:f>
        <x:v/>
      </x:c>
      <x:c r="G1189">
        <x:f>IF(AND(AND('幕间与结算'!A1096&lt;&gt;"",'幕间与结算'!B1096&lt;&gt;"",'幕间与结算'!I1096&lt;&gt;"",OR(LEFT(C1189,3)="技能：",COUNTIF($L$2:$L$19,C1189)&gt;0),ISNUMBER('幕间与结算'!E1096),ISNUMBER('幕间与结算'!F1096),ISNUMBER('幕间与结算'!G1096),'幕间与结算'!E1096&gt;=0,'幕间与结算'!G1096='幕间与结算'!E1096+'幕间与结算'!F1096),OR(B1189&lt;&gt;"成长",AND(LEFT(C1189,3)="技能：",C1189&lt;&gt;"技能：非自然知识",'幕间与结算'!E1096&gt;=1,'幕间与结算'!E1096&lt;=99,'幕间与结算'!F1096&gt;=0,'幕间与结算'!F1096&lt;=4,'幕间与结算'!G1096&lt;=99))),1,0)</x:f>
        <x:v>0</x:v>
      </x:c>
      <x:c r="H1189">
        <x:f>IF(AND(G1189=1,COUNTIFS($I$200:I1189,I1189,$G$200:G1189,1)=1),1,0)</x:f>
        <x:v>0</x:v>
      </x:c>
      <x:c r="I1189" t="str">
        <x:f>IF(G1189=1,IF(B1189="成长",A1189&amp;"-成长-"&amp;C1189,'幕间与结算'!I1096),"")</x:f>
        <x:v/>
      </x:c>
      <x:c r="BF1189">
        <x:f>MAX(0,MIN(18,BF1188+IF(C1189="力量",E1189,0)))</x:f>
        <x:v>0</x:v>
      </x:c>
      <x:c r="BG1189">
        <x:f>MAX(0,MIN(18,BG1188+IF(C1189="体质",E1189,0)))</x:f>
        <x:v>0</x:v>
      </x:c>
      <x:c r="BH1189">
        <x:f>MAX(0,MIN(18,BH1188+IF(C1189="敏捷",E1189,0)))</x:f>
        <x:v>0</x:v>
      </x:c>
      <x:c r="BI1189">
        <x:f>MAX(0,MIN(18,BI1188+IF(C1189="智力",E1189,0)))</x:f>
        <x:v>0</x:v>
      </x:c>
      <x:c r="BJ1189">
        <x:f>MAX(0,MIN(18,BJ1188+IF(C1189="意志",E1189,0)))</x:f>
        <x:v>0</x:v>
      </x:c>
      <x:c r="BK1189">
        <x:f>MAX(0,MIN(18,BK1188+IF(C1189="魅力",E1189,0)))</x:f>
        <x:v>0</x:v>
      </x:c>
      <x:c r="BL1189">
        <x:f>MAX(0,MIN(99,BL1188+IF(C1189="技能：非自然知识",E1189,0)))</x:f>
        <x:v>0</x:v>
      </x:c>
      <x:c r="BM1189">
        <x:f>MAX(0,MIN(CEILING((BF1189+BG1189)/2,1),BM1188+IF(C1189="体力",E1189,0)))</x:f>
        <x:v>0</x:v>
      </x:c>
      <x:c r="BN1189">
        <x:f>MAX(0,MIN(BJ1189,BN1188+IF(C1189="毅力",E1189,0)))</x:f>
        <x:v>0</x:v>
      </x:c>
      <x:c r="BO1189">
        <x:f>MAX(0,MIN(99-BL1189,BO1188+IF(C1189="理智",E1189,0)))</x:f>
        <x:v>0</x:v>
      </x:c>
      <x:c r="BP1189">
        <x:f>MAX(0,MIN(99,BP1188+IF(C1189="崩溃点",E1189,0)))</x:f>
        <x:v>0</x:v>
      </x:c>
      <x:c r="BQ1189">
        <x:f>MAX(0,MIN(BK1189,IF(AND(H1189=1,C1189="重要关系1",LEFT('幕间与结算'!H1096,8)="建立新的重要关系"),'幕间与结算'!E1096+E1189,BQ1188+IF(C1189="重要关系1",E1189,0)+IF(AND(C1189="魅力",E1189&lt;0),E1189,0))))</x:f>
        <x:v>0</x:v>
      </x:c>
      <x:c r="BR1189">
        <x:f>MAX(0,MIN(BK1189,IF(AND(H1189=1,C1189="重要关系2",LEFT('幕间与结算'!H1096,8)="建立新的重要关系"),'幕间与结算'!E1096+E1189,BR1188+IF(C1189="重要关系2",E1189,0)+IF(AND(C1189="魅力",E1189&lt;0),E1189,0))))</x:f>
        <x:v>0</x:v>
      </x:c>
      <x:c r="BS1189">
        <x:f>MAX(0,MIN(BK1189,IF(AND(H1189=1,C1189="重要关系3",LEFT('幕间与结算'!H1096,8)="建立新的重要关系"),'幕间与结算'!E1096+E1189,BS1188+IF(C1189="重要关系3",E1189,0)+IF(AND(C1189="魅力",E1189&lt;0),E1189,0))))</x:f>
        <x:v>0</x:v>
      </x:c>
      <x:c r="BT1189">
        <x:f>MAX(0,MIN(BK1189,IF(AND(H1189=1,C1189="重要关系4",LEFT('幕间与结算'!H1096,8)="建立新的重要关系"),'幕间与结算'!E1096+E1189,BT1188+IF(C1189="重要关系4",E1189,0)+IF(AND(C1189="魅力",E1189&lt;0),E1189,0))))</x:f>
        <x:v>0</x:v>
      </x:c>
      <x:c r="BU1189">
        <x:f>MAX(0,MIN(BK1189,IF(AND(H1189=1,C1189="重要关系5",LEFT('幕间与结算'!H1096,8)="建立新的重要关系"),'幕间与结算'!E1096+E1189,BU1188+IF(C1189="重要关系5",E1189,0)+IF(AND(C1189="魅力",E1189&lt;0),E1189,0))))</x:f>
        <x:v>0</x:v>
      </x:c>
      <x:c r="BV1189">
        <x:f>MAX(0,MIN(BK1189,IF(AND(H1189=1,C1189="重要关系6",LEFT('幕间与结算'!H1096,8)="建立新的重要关系"),'幕间与结算'!E1096+E1189,BV1188+IF(C1189="重要关系6",E1189,0)+IF(AND(C1189="魅力",E1189&lt;0),E1189,0))))</x:f>
        <x:v>0</x:v>
      </x:c>
      <x:c r="BW1189">
        <x:f>MAX(0,MIN(BK1189,IF(AND(H1189=1,C1189="重要关系7",LEFT('幕间与结算'!H1096,8)="建立新的重要关系"),'幕间与结算'!E1096+E1189,BW1188+IF(C1189="重要关系7",E1189,0)+IF(AND(C1189="魅力",E1189&lt;0),E1189,0))))</x:f>
        <x:v>0</x:v>
      </x:c>
    </x:row>
    <x:row r="1190">
      <x:c r="A1190" t="str">
        <x:f>IFERROR(TEXT(VALUE('幕间与结算'!A1097),"00"),"")</x:f>
        <x:v>00</x:v>
      </x:c>
      <x:c r="B1190">
        <x:f>'幕间与结算'!B1097</x:f>
        <x:v>0</x:v>
      </x:c>
      <x:c r="C1190">
        <x:f>'幕间与结算'!D1097</x:f>
        <x:v>0</x:v>
      </x:c>
      <x:c r="D1190">
        <x:f>'幕间与结算'!F1097</x:f>
        <x:v>0</x:v>
      </x:c>
      <x:c r="E1190">
        <x:f>IF(H1190=1,MAX(-'幕间与结算'!E1097,MIN(D1190,IF(LEFT(C1190,3)="技能：",99,IF(COUNTIF($L$2:$L$7,C1190)&gt;0,18,999))-'幕间与结算'!E1097)),0)</x:f>
        <x:v>0</x:v>
      </x:c>
      <x:c r="F1190" t="str">
        <x:f>IF(C1190=0,"",IF(G1190=0,"记录不完整",IF(H1190=0,"重复未计","已计入")))</x:f>
        <x:v/>
      </x:c>
      <x:c r="G1190">
        <x:f>IF(AND(AND('幕间与结算'!A1097&lt;&gt;"",'幕间与结算'!B1097&lt;&gt;"",'幕间与结算'!I1097&lt;&gt;"",OR(LEFT(C1190,3)="技能：",COUNTIF($L$2:$L$19,C1190)&gt;0),ISNUMBER('幕间与结算'!E1097),ISNUMBER('幕间与结算'!F1097),ISNUMBER('幕间与结算'!G1097),'幕间与结算'!E1097&gt;=0,'幕间与结算'!G1097='幕间与结算'!E1097+'幕间与结算'!F1097),OR(B1190&lt;&gt;"成长",AND(LEFT(C1190,3)="技能：",C1190&lt;&gt;"技能：非自然知识",'幕间与结算'!E1097&gt;=1,'幕间与结算'!E1097&lt;=99,'幕间与结算'!F1097&gt;=0,'幕间与结算'!F1097&lt;=4,'幕间与结算'!G1097&lt;=99))),1,0)</x:f>
        <x:v>0</x:v>
      </x:c>
      <x:c r="H1190">
        <x:f>IF(AND(G1190=1,COUNTIFS($I$200:I1190,I1190,$G$200:G1190,1)=1),1,0)</x:f>
        <x:v>0</x:v>
      </x:c>
      <x:c r="I1190" t="str">
        <x:f>IF(G1190=1,IF(B1190="成长",A1190&amp;"-成长-"&amp;C1190,'幕间与结算'!I1097),"")</x:f>
        <x:v/>
      </x:c>
      <x:c r="BF1190">
        <x:f>MAX(0,MIN(18,BF1189+IF(C1190="力量",E1190,0)))</x:f>
        <x:v>0</x:v>
      </x:c>
      <x:c r="BG1190">
        <x:f>MAX(0,MIN(18,BG1189+IF(C1190="体质",E1190,0)))</x:f>
        <x:v>0</x:v>
      </x:c>
      <x:c r="BH1190">
        <x:f>MAX(0,MIN(18,BH1189+IF(C1190="敏捷",E1190,0)))</x:f>
        <x:v>0</x:v>
      </x:c>
      <x:c r="BI1190">
        <x:f>MAX(0,MIN(18,BI1189+IF(C1190="智力",E1190,0)))</x:f>
        <x:v>0</x:v>
      </x:c>
      <x:c r="BJ1190">
        <x:f>MAX(0,MIN(18,BJ1189+IF(C1190="意志",E1190,0)))</x:f>
        <x:v>0</x:v>
      </x:c>
      <x:c r="BK1190">
        <x:f>MAX(0,MIN(18,BK1189+IF(C1190="魅力",E1190,0)))</x:f>
        <x:v>0</x:v>
      </x:c>
      <x:c r="BL1190">
        <x:f>MAX(0,MIN(99,BL1189+IF(C1190="技能：非自然知识",E1190,0)))</x:f>
        <x:v>0</x:v>
      </x:c>
      <x:c r="BM1190">
        <x:f>MAX(0,MIN(CEILING((BF1190+BG1190)/2,1),BM1189+IF(C1190="体力",E1190,0)))</x:f>
        <x:v>0</x:v>
      </x:c>
      <x:c r="BN1190">
        <x:f>MAX(0,MIN(BJ1190,BN1189+IF(C1190="毅力",E1190,0)))</x:f>
        <x:v>0</x:v>
      </x:c>
      <x:c r="BO1190">
        <x:f>MAX(0,MIN(99-BL1190,BO1189+IF(C1190="理智",E1190,0)))</x:f>
        <x:v>0</x:v>
      </x:c>
      <x:c r="BP1190">
        <x:f>MAX(0,MIN(99,BP1189+IF(C1190="崩溃点",E1190,0)))</x:f>
        <x:v>0</x:v>
      </x:c>
      <x:c r="BQ1190">
        <x:f>MAX(0,MIN(BK1190,IF(AND(H1190=1,C1190="重要关系1",LEFT('幕间与结算'!H1097,8)="建立新的重要关系"),'幕间与结算'!E1097+E1190,BQ1189+IF(C1190="重要关系1",E1190,0)+IF(AND(C1190="魅力",E1190&lt;0),E1190,0))))</x:f>
        <x:v>0</x:v>
      </x:c>
      <x:c r="BR1190">
        <x:f>MAX(0,MIN(BK1190,IF(AND(H1190=1,C1190="重要关系2",LEFT('幕间与结算'!H1097,8)="建立新的重要关系"),'幕间与结算'!E1097+E1190,BR1189+IF(C1190="重要关系2",E1190,0)+IF(AND(C1190="魅力",E1190&lt;0),E1190,0))))</x:f>
        <x:v>0</x:v>
      </x:c>
      <x:c r="BS1190">
        <x:f>MAX(0,MIN(BK1190,IF(AND(H1190=1,C1190="重要关系3",LEFT('幕间与结算'!H1097,8)="建立新的重要关系"),'幕间与结算'!E1097+E1190,BS1189+IF(C1190="重要关系3",E1190,0)+IF(AND(C1190="魅力",E1190&lt;0),E1190,0))))</x:f>
        <x:v>0</x:v>
      </x:c>
      <x:c r="BT1190">
        <x:f>MAX(0,MIN(BK1190,IF(AND(H1190=1,C1190="重要关系4",LEFT('幕间与结算'!H1097,8)="建立新的重要关系"),'幕间与结算'!E1097+E1190,BT1189+IF(C1190="重要关系4",E1190,0)+IF(AND(C1190="魅力",E1190&lt;0),E1190,0))))</x:f>
        <x:v>0</x:v>
      </x:c>
      <x:c r="BU1190">
        <x:f>MAX(0,MIN(BK1190,IF(AND(H1190=1,C1190="重要关系5",LEFT('幕间与结算'!H1097,8)="建立新的重要关系"),'幕间与结算'!E1097+E1190,BU1189+IF(C1190="重要关系5",E1190,0)+IF(AND(C1190="魅力",E1190&lt;0),E1190,0))))</x:f>
        <x:v>0</x:v>
      </x:c>
      <x:c r="BV1190">
        <x:f>MAX(0,MIN(BK1190,IF(AND(H1190=1,C1190="重要关系6",LEFT('幕间与结算'!H1097,8)="建立新的重要关系"),'幕间与结算'!E1097+E1190,BV1189+IF(C1190="重要关系6",E1190,0)+IF(AND(C1190="魅力",E1190&lt;0),E1190,0))))</x:f>
        <x:v>0</x:v>
      </x:c>
      <x:c r="BW1190">
        <x:f>MAX(0,MIN(BK1190,IF(AND(H1190=1,C1190="重要关系7",LEFT('幕间与结算'!H1097,8)="建立新的重要关系"),'幕间与结算'!E1097+E1190,BW1189+IF(C1190="重要关系7",E1190,0)+IF(AND(C1190="魅力",E1190&lt;0),E1190,0))))</x:f>
        <x:v>0</x:v>
      </x:c>
    </x:row>
    <x:row r="1191">
      <x:c r="A1191" t="str">
        <x:f>IFERROR(TEXT(VALUE('幕间与结算'!A1098),"00"),"")</x:f>
        <x:v>00</x:v>
      </x:c>
      <x:c r="B1191">
        <x:f>'幕间与结算'!B1098</x:f>
        <x:v>0</x:v>
      </x:c>
      <x:c r="C1191">
        <x:f>'幕间与结算'!D1098</x:f>
        <x:v>0</x:v>
      </x:c>
      <x:c r="D1191">
        <x:f>'幕间与结算'!F1098</x:f>
        <x:v>0</x:v>
      </x:c>
      <x:c r="E1191">
        <x:f>IF(H1191=1,MAX(-'幕间与结算'!E1098,MIN(D1191,IF(LEFT(C1191,3)="技能：",99,IF(COUNTIF($L$2:$L$7,C1191)&gt;0,18,999))-'幕间与结算'!E1098)),0)</x:f>
        <x:v>0</x:v>
      </x:c>
      <x:c r="F1191" t="str">
        <x:f>IF(C1191=0,"",IF(G1191=0,"记录不完整",IF(H1191=0,"重复未计","已计入")))</x:f>
        <x:v/>
      </x:c>
      <x:c r="G1191">
        <x:f>IF(AND(AND('幕间与结算'!A1098&lt;&gt;"",'幕间与结算'!B1098&lt;&gt;"",'幕间与结算'!I1098&lt;&gt;"",OR(LEFT(C1191,3)="技能：",COUNTIF($L$2:$L$19,C1191)&gt;0),ISNUMBER('幕间与结算'!E1098),ISNUMBER('幕间与结算'!F1098),ISNUMBER('幕间与结算'!G1098),'幕间与结算'!E1098&gt;=0,'幕间与结算'!G1098='幕间与结算'!E1098+'幕间与结算'!F1098),OR(B1191&lt;&gt;"成长",AND(LEFT(C1191,3)="技能：",C1191&lt;&gt;"技能：非自然知识",'幕间与结算'!E1098&gt;=1,'幕间与结算'!E1098&lt;=99,'幕间与结算'!F1098&gt;=0,'幕间与结算'!F1098&lt;=4,'幕间与结算'!G1098&lt;=99))),1,0)</x:f>
        <x:v>0</x:v>
      </x:c>
      <x:c r="H1191">
        <x:f>IF(AND(G1191=1,COUNTIFS($I$200:I1191,I1191,$G$200:G1191,1)=1),1,0)</x:f>
        <x:v>0</x:v>
      </x:c>
      <x:c r="I1191" t="str">
        <x:f>IF(G1191=1,IF(B1191="成长",A1191&amp;"-成长-"&amp;C1191,'幕间与结算'!I1098),"")</x:f>
        <x:v/>
      </x:c>
      <x:c r="BF1191">
        <x:f>MAX(0,MIN(18,BF1190+IF(C1191="力量",E1191,0)))</x:f>
        <x:v>0</x:v>
      </x:c>
      <x:c r="BG1191">
        <x:f>MAX(0,MIN(18,BG1190+IF(C1191="体质",E1191,0)))</x:f>
        <x:v>0</x:v>
      </x:c>
      <x:c r="BH1191">
        <x:f>MAX(0,MIN(18,BH1190+IF(C1191="敏捷",E1191,0)))</x:f>
        <x:v>0</x:v>
      </x:c>
      <x:c r="BI1191">
        <x:f>MAX(0,MIN(18,BI1190+IF(C1191="智力",E1191,0)))</x:f>
        <x:v>0</x:v>
      </x:c>
      <x:c r="BJ1191">
        <x:f>MAX(0,MIN(18,BJ1190+IF(C1191="意志",E1191,0)))</x:f>
        <x:v>0</x:v>
      </x:c>
      <x:c r="BK1191">
        <x:f>MAX(0,MIN(18,BK1190+IF(C1191="魅力",E1191,0)))</x:f>
        <x:v>0</x:v>
      </x:c>
      <x:c r="BL1191">
        <x:f>MAX(0,MIN(99,BL1190+IF(C1191="技能：非自然知识",E1191,0)))</x:f>
        <x:v>0</x:v>
      </x:c>
      <x:c r="BM1191">
        <x:f>MAX(0,MIN(CEILING((BF1191+BG1191)/2,1),BM1190+IF(C1191="体力",E1191,0)))</x:f>
        <x:v>0</x:v>
      </x:c>
      <x:c r="BN1191">
        <x:f>MAX(0,MIN(BJ1191,BN1190+IF(C1191="毅力",E1191,0)))</x:f>
        <x:v>0</x:v>
      </x:c>
      <x:c r="BO1191">
        <x:f>MAX(0,MIN(99-BL1191,BO1190+IF(C1191="理智",E1191,0)))</x:f>
        <x:v>0</x:v>
      </x:c>
      <x:c r="BP1191">
        <x:f>MAX(0,MIN(99,BP1190+IF(C1191="崩溃点",E1191,0)))</x:f>
        <x:v>0</x:v>
      </x:c>
      <x:c r="BQ1191">
        <x:f>MAX(0,MIN(BK1191,IF(AND(H1191=1,C1191="重要关系1",LEFT('幕间与结算'!H1098,8)="建立新的重要关系"),'幕间与结算'!E1098+E1191,BQ1190+IF(C1191="重要关系1",E1191,0)+IF(AND(C1191="魅力",E1191&lt;0),E1191,0))))</x:f>
        <x:v>0</x:v>
      </x:c>
      <x:c r="BR1191">
        <x:f>MAX(0,MIN(BK1191,IF(AND(H1191=1,C1191="重要关系2",LEFT('幕间与结算'!H1098,8)="建立新的重要关系"),'幕间与结算'!E1098+E1191,BR1190+IF(C1191="重要关系2",E1191,0)+IF(AND(C1191="魅力",E1191&lt;0),E1191,0))))</x:f>
        <x:v>0</x:v>
      </x:c>
      <x:c r="BS1191">
        <x:f>MAX(0,MIN(BK1191,IF(AND(H1191=1,C1191="重要关系3",LEFT('幕间与结算'!H1098,8)="建立新的重要关系"),'幕间与结算'!E1098+E1191,BS1190+IF(C1191="重要关系3",E1191,0)+IF(AND(C1191="魅力",E1191&lt;0),E1191,0))))</x:f>
        <x:v>0</x:v>
      </x:c>
      <x:c r="BT1191">
        <x:f>MAX(0,MIN(BK1191,IF(AND(H1191=1,C1191="重要关系4",LEFT('幕间与结算'!H1098,8)="建立新的重要关系"),'幕间与结算'!E1098+E1191,BT1190+IF(C1191="重要关系4",E1191,0)+IF(AND(C1191="魅力",E1191&lt;0),E1191,0))))</x:f>
        <x:v>0</x:v>
      </x:c>
      <x:c r="BU1191">
        <x:f>MAX(0,MIN(BK1191,IF(AND(H1191=1,C1191="重要关系5",LEFT('幕间与结算'!H1098,8)="建立新的重要关系"),'幕间与结算'!E1098+E1191,BU1190+IF(C1191="重要关系5",E1191,0)+IF(AND(C1191="魅力",E1191&lt;0),E1191,0))))</x:f>
        <x:v>0</x:v>
      </x:c>
      <x:c r="BV1191">
        <x:f>MAX(0,MIN(BK1191,IF(AND(H1191=1,C1191="重要关系6",LEFT('幕间与结算'!H1098,8)="建立新的重要关系"),'幕间与结算'!E1098+E1191,BV1190+IF(C1191="重要关系6",E1191,0)+IF(AND(C1191="魅力",E1191&lt;0),E1191,0))))</x:f>
        <x:v>0</x:v>
      </x:c>
      <x:c r="BW1191">
        <x:f>MAX(0,MIN(BK1191,IF(AND(H1191=1,C1191="重要关系7",LEFT('幕间与结算'!H1098,8)="建立新的重要关系"),'幕间与结算'!E1098+E1191,BW1190+IF(C1191="重要关系7",E1191,0)+IF(AND(C1191="魅力",E1191&lt;0),E1191,0))))</x:f>
        <x:v>0</x:v>
      </x:c>
    </x:row>
    <x:row r="1192">
      <x:c r="A1192" t="str">
        <x:f>IFERROR(TEXT(VALUE('幕间与结算'!A1099),"00"),"")</x:f>
        <x:v>00</x:v>
      </x:c>
      <x:c r="B1192">
        <x:f>'幕间与结算'!B1099</x:f>
        <x:v>0</x:v>
      </x:c>
      <x:c r="C1192">
        <x:f>'幕间与结算'!D1099</x:f>
        <x:v>0</x:v>
      </x:c>
      <x:c r="D1192">
        <x:f>'幕间与结算'!F1099</x:f>
        <x:v>0</x:v>
      </x:c>
      <x:c r="E1192">
        <x:f>IF(H1192=1,MAX(-'幕间与结算'!E1099,MIN(D1192,IF(LEFT(C1192,3)="技能：",99,IF(COUNTIF($L$2:$L$7,C1192)&gt;0,18,999))-'幕间与结算'!E1099)),0)</x:f>
        <x:v>0</x:v>
      </x:c>
      <x:c r="F1192" t="str">
        <x:f>IF(C1192=0,"",IF(G1192=0,"记录不完整",IF(H1192=0,"重复未计","已计入")))</x:f>
        <x:v/>
      </x:c>
      <x:c r="G1192">
        <x:f>IF(AND(AND('幕间与结算'!A1099&lt;&gt;"",'幕间与结算'!B1099&lt;&gt;"",'幕间与结算'!I1099&lt;&gt;"",OR(LEFT(C1192,3)="技能：",COUNTIF($L$2:$L$19,C1192)&gt;0),ISNUMBER('幕间与结算'!E1099),ISNUMBER('幕间与结算'!F1099),ISNUMBER('幕间与结算'!G1099),'幕间与结算'!E1099&gt;=0,'幕间与结算'!G1099='幕间与结算'!E1099+'幕间与结算'!F1099),OR(B1192&lt;&gt;"成长",AND(LEFT(C1192,3)="技能：",C1192&lt;&gt;"技能：非自然知识",'幕间与结算'!E1099&gt;=1,'幕间与结算'!E1099&lt;=99,'幕间与结算'!F1099&gt;=0,'幕间与结算'!F1099&lt;=4,'幕间与结算'!G1099&lt;=99))),1,0)</x:f>
        <x:v>0</x:v>
      </x:c>
      <x:c r="H1192">
        <x:f>IF(AND(G1192=1,COUNTIFS($I$200:I1192,I1192,$G$200:G1192,1)=1),1,0)</x:f>
        <x:v>0</x:v>
      </x:c>
      <x:c r="I1192" t="str">
        <x:f>IF(G1192=1,IF(B1192="成长",A1192&amp;"-成长-"&amp;C1192,'幕间与结算'!I1099),"")</x:f>
        <x:v/>
      </x:c>
      <x:c r="BF1192">
        <x:f>MAX(0,MIN(18,BF1191+IF(C1192="力量",E1192,0)))</x:f>
        <x:v>0</x:v>
      </x:c>
      <x:c r="BG1192">
        <x:f>MAX(0,MIN(18,BG1191+IF(C1192="体质",E1192,0)))</x:f>
        <x:v>0</x:v>
      </x:c>
      <x:c r="BH1192">
        <x:f>MAX(0,MIN(18,BH1191+IF(C1192="敏捷",E1192,0)))</x:f>
        <x:v>0</x:v>
      </x:c>
      <x:c r="BI1192">
        <x:f>MAX(0,MIN(18,BI1191+IF(C1192="智力",E1192,0)))</x:f>
        <x:v>0</x:v>
      </x:c>
      <x:c r="BJ1192">
        <x:f>MAX(0,MIN(18,BJ1191+IF(C1192="意志",E1192,0)))</x:f>
        <x:v>0</x:v>
      </x:c>
      <x:c r="BK1192">
        <x:f>MAX(0,MIN(18,BK1191+IF(C1192="魅力",E1192,0)))</x:f>
        <x:v>0</x:v>
      </x:c>
      <x:c r="BL1192">
        <x:f>MAX(0,MIN(99,BL1191+IF(C1192="技能：非自然知识",E1192,0)))</x:f>
        <x:v>0</x:v>
      </x:c>
      <x:c r="BM1192">
        <x:f>MAX(0,MIN(CEILING((BF1192+BG1192)/2,1),BM1191+IF(C1192="体力",E1192,0)))</x:f>
        <x:v>0</x:v>
      </x:c>
      <x:c r="BN1192">
        <x:f>MAX(0,MIN(BJ1192,BN1191+IF(C1192="毅力",E1192,0)))</x:f>
        <x:v>0</x:v>
      </x:c>
      <x:c r="BO1192">
        <x:f>MAX(0,MIN(99-BL1192,BO1191+IF(C1192="理智",E1192,0)))</x:f>
        <x:v>0</x:v>
      </x:c>
      <x:c r="BP1192">
        <x:f>MAX(0,MIN(99,BP1191+IF(C1192="崩溃点",E1192,0)))</x:f>
        <x:v>0</x:v>
      </x:c>
      <x:c r="BQ1192">
        <x:f>MAX(0,MIN(BK1192,IF(AND(H1192=1,C1192="重要关系1",LEFT('幕间与结算'!H1099,8)="建立新的重要关系"),'幕间与结算'!E1099+E1192,BQ1191+IF(C1192="重要关系1",E1192,0)+IF(AND(C1192="魅力",E1192&lt;0),E1192,0))))</x:f>
        <x:v>0</x:v>
      </x:c>
      <x:c r="BR1192">
        <x:f>MAX(0,MIN(BK1192,IF(AND(H1192=1,C1192="重要关系2",LEFT('幕间与结算'!H1099,8)="建立新的重要关系"),'幕间与结算'!E1099+E1192,BR1191+IF(C1192="重要关系2",E1192,0)+IF(AND(C1192="魅力",E1192&lt;0),E1192,0))))</x:f>
        <x:v>0</x:v>
      </x:c>
      <x:c r="BS1192">
        <x:f>MAX(0,MIN(BK1192,IF(AND(H1192=1,C1192="重要关系3",LEFT('幕间与结算'!H1099,8)="建立新的重要关系"),'幕间与结算'!E1099+E1192,BS1191+IF(C1192="重要关系3",E1192,0)+IF(AND(C1192="魅力",E1192&lt;0),E1192,0))))</x:f>
        <x:v>0</x:v>
      </x:c>
      <x:c r="BT1192">
        <x:f>MAX(0,MIN(BK1192,IF(AND(H1192=1,C1192="重要关系4",LEFT('幕间与结算'!H1099,8)="建立新的重要关系"),'幕间与结算'!E1099+E1192,BT1191+IF(C1192="重要关系4",E1192,0)+IF(AND(C1192="魅力",E1192&lt;0),E1192,0))))</x:f>
        <x:v>0</x:v>
      </x:c>
      <x:c r="BU1192">
        <x:f>MAX(0,MIN(BK1192,IF(AND(H1192=1,C1192="重要关系5",LEFT('幕间与结算'!H1099,8)="建立新的重要关系"),'幕间与结算'!E1099+E1192,BU1191+IF(C1192="重要关系5",E1192,0)+IF(AND(C1192="魅力",E1192&lt;0),E1192,0))))</x:f>
        <x:v>0</x:v>
      </x:c>
      <x:c r="BV1192">
        <x:f>MAX(0,MIN(BK1192,IF(AND(H1192=1,C1192="重要关系6",LEFT('幕间与结算'!H1099,8)="建立新的重要关系"),'幕间与结算'!E1099+E1192,BV1191+IF(C1192="重要关系6",E1192,0)+IF(AND(C1192="魅力",E1192&lt;0),E1192,0))))</x:f>
        <x:v>0</x:v>
      </x:c>
      <x:c r="BW1192">
        <x:f>MAX(0,MIN(BK1192,IF(AND(H1192=1,C1192="重要关系7",LEFT('幕间与结算'!H1099,8)="建立新的重要关系"),'幕间与结算'!E1099+E1192,BW1191+IF(C1192="重要关系7",E1192,0)+IF(AND(C1192="魅力",E1192&lt;0),E1192,0))))</x:f>
        <x:v>0</x:v>
      </x:c>
    </x:row>
    <x:row r="1193">
      <x:c r="A1193" t="str">
        <x:f>IFERROR(TEXT(VALUE('幕间与结算'!A1100),"00"),"")</x:f>
        <x:v>00</x:v>
      </x:c>
      <x:c r="B1193">
        <x:f>'幕间与结算'!B1100</x:f>
        <x:v>0</x:v>
      </x:c>
      <x:c r="C1193">
        <x:f>'幕间与结算'!D1100</x:f>
        <x:v>0</x:v>
      </x:c>
      <x:c r="D1193">
        <x:f>'幕间与结算'!F1100</x:f>
        <x:v>0</x:v>
      </x:c>
      <x:c r="E1193">
        <x:f>IF(H1193=1,MAX(-'幕间与结算'!E1100,MIN(D1193,IF(LEFT(C1193,3)="技能：",99,IF(COUNTIF($L$2:$L$7,C1193)&gt;0,18,999))-'幕间与结算'!E1100)),0)</x:f>
        <x:v>0</x:v>
      </x:c>
      <x:c r="F1193" t="str">
        <x:f>IF(C1193=0,"",IF(G1193=0,"记录不完整",IF(H1193=0,"重复未计","已计入")))</x:f>
        <x:v/>
      </x:c>
      <x:c r="G1193">
        <x:f>IF(AND(AND('幕间与结算'!A1100&lt;&gt;"",'幕间与结算'!B1100&lt;&gt;"",'幕间与结算'!I1100&lt;&gt;"",OR(LEFT(C1193,3)="技能：",COUNTIF($L$2:$L$19,C1193)&gt;0),ISNUMBER('幕间与结算'!E1100),ISNUMBER('幕间与结算'!F1100),ISNUMBER('幕间与结算'!G1100),'幕间与结算'!E1100&gt;=0,'幕间与结算'!G1100='幕间与结算'!E1100+'幕间与结算'!F1100),OR(B1193&lt;&gt;"成长",AND(LEFT(C1193,3)="技能：",C1193&lt;&gt;"技能：非自然知识",'幕间与结算'!E1100&gt;=1,'幕间与结算'!E1100&lt;=99,'幕间与结算'!F1100&gt;=0,'幕间与结算'!F1100&lt;=4,'幕间与结算'!G1100&lt;=99))),1,0)</x:f>
        <x:v>0</x:v>
      </x:c>
      <x:c r="H1193">
        <x:f>IF(AND(G1193=1,COUNTIFS($I$200:I1193,I1193,$G$200:G1193,1)=1),1,0)</x:f>
        <x:v>0</x:v>
      </x:c>
      <x:c r="I1193" t="str">
        <x:f>IF(G1193=1,IF(B1193="成长",A1193&amp;"-成长-"&amp;C1193,'幕间与结算'!I1100),"")</x:f>
        <x:v/>
      </x:c>
      <x:c r="BF1193">
        <x:f>MAX(0,MIN(18,BF1192+IF(C1193="力量",E1193,0)))</x:f>
        <x:v>0</x:v>
      </x:c>
      <x:c r="BG1193">
        <x:f>MAX(0,MIN(18,BG1192+IF(C1193="体质",E1193,0)))</x:f>
        <x:v>0</x:v>
      </x:c>
      <x:c r="BH1193">
        <x:f>MAX(0,MIN(18,BH1192+IF(C1193="敏捷",E1193,0)))</x:f>
        <x:v>0</x:v>
      </x:c>
      <x:c r="BI1193">
        <x:f>MAX(0,MIN(18,BI1192+IF(C1193="智力",E1193,0)))</x:f>
        <x:v>0</x:v>
      </x:c>
      <x:c r="BJ1193">
        <x:f>MAX(0,MIN(18,BJ1192+IF(C1193="意志",E1193,0)))</x:f>
        <x:v>0</x:v>
      </x:c>
      <x:c r="BK1193">
        <x:f>MAX(0,MIN(18,BK1192+IF(C1193="魅力",E1193,0)))</x:f>
        <x:v>0</x:v>
      </x:c>
      <x:c r="BL1193">
        <x:f>MAX(0,MIN(99,BL1192+IF(C1193="技能：非自然知识",E1193,0)))</x:f>
        <x:v>0</x:v>
      </x:c>
      <x:c r="BM1193">
        <x:f>MAX(0,MIN(CEILING((BF1193+BG1193)/2,1),BM1192+IF(C1193="体力",E1193,0)))</x:f>
        <x:v>0</x:v>
      </x:c>
      <x:c r="BN1193">
        <x:f>MAX(0,MIN(BJ1193,BN1192+IF(C1193="毅力",E1193,0)))</x:f>
        <x:v>0</x:v>
      </x:c>
      <x:c r="BO1193">
        <x:f>MAX(0,MIN(99-BL1193,BO1192+IF(C1193="理智",E1193,0)))</x:f>
        <x:v>0</x:v>
      </x:c>
      <x:c r="BP1193">
        <x:f>MAX(0,MIN(99,BP1192+IF(C1193="崩溃点",E1193,0)))</x:f>
        <x:v>0</x:v>
      </x:c>
      <x:c r="BQ1193">
        <x:f>MAX(0,MIN(BK1193,IF(AND(H1193=1,C1193="重要关系1",LEFT('幕间与结算'!H1100,8)="建立新的重要关系"),'幕间与结算'!E1100+E1193,BQ1192+IF(C1193="重要关系1",E1193,0)+IF(AND(C1193="魅力",E1193&lt;0),E1193,0))))</x:f>
        <x:v>0</x:v>
      </x:c>
      <x:c r="BR1193">
        <x:f>MAX(0,MIN(BK1193,IF(AND(H1193=1,C1193="重要关系2",LEFT('幕间与结算'!H1100,8)="建立新的重要关系"),'幕间与结算'!E1100+E1193,BR1192+IF(C1193="重要关系2",E1193,0)+IF(AND(C1193="魅力",E1193&lt;0),E1193,0))))</x:f>
        <x:v>0</x:v>
      </x:c>
      <x:c r="BS1193">
        <x:f>MAX(0,MIN(BK1193,IF(AND(H1193=1,C1193="重要关系3",LEFT('幕间与结算'!H1100,8)="建立新的重要关系"),'幕间与结算'!E1100+E1193,BS1192+IF(C1193="重要关系3",E1193,0)+IF(AND(C1193="魅力",E1193&lt;0),E1193,0))))</x:f>
        <x:v>0</x:v>
      </x:c>
      <x:c r="BT1193">
        <x:f>MAX(0,MIN(BK1193,IF(AND(H1193=1,C1193="重要关系4",LEFT('幕间与结算'!H1100,8)="建立新的重要关系"),'幕间与结算'!E1100+E1193,BT1192+IF(C1193="重要关系4",E1193,0)+IF(AND(C1193="魅力",E1193&lt;0),E1193,0))))</x:f>
        <x:v>0</x:v>
      </x:c>
      <x:c r="BU1193">
        <x:f>MAX(0,MIN(BK1193,IF(AND(H1193=1,C1193="重要关系5",LEFT('幕间与结算'!H1100,8)="建立新的重要关系"),'幕间与结算'!E1100+E1193,BU1192+IF(C1193="重要关系5",E1193,0)+IF(AND(C1193="魅力",E1193&lt;0),E1193,0))))</x:f>
        <x:v>0</x:v>
      </x:c>
      <x:c r="BV1193">
        <x:f>MAX(0,MIN(BK1193,IF(AND(H1193=1,C1193="重要关系6",LEFT('幕间与结算'!H1100,8)="建立新的重要关系"),'幕间与结算'!E1100+E1193,BV1192+IF(C1193="重要关系6",E1193,0)+IF(AND(C1193="魅力",E1193&lt;0),E1193,0))))</x:f>
        <x:v>0</x:v>
      </x:c>
      <x:c r="BW1193">
        <x:f>MAX(0,MIN(BK1193,IF(AND(H1193=1,C1193="重要关系7",LEFT('幕间与结算'!H1100,8)="建立新的重要关系"),'幕间与结算'!E1100+E1193,BW1192+IF(C1193="重要关系7",E1193,0)+IF(AND(C1193="魅力",E1193&lt;0),E1193,0))))</x:f>
        <x:v>0</x:v>
      </x:c>
    </x:row>
    <x:row r="1194">
      <x:c r="A1194" t="str">
        <x:f>IFERROR(TEXT(VALUE('幕间与结算'!A1101),"00"),"")</x:f>
        <x:v>00</x:v>
      </x:c>
      <x:c r="B1194">
        <x:f>'幕间与结算'!B1101</x:f>
        <x:v>0</x:v>
      </x:c>
      <x:c r="C1194">
        <x:f>'幕间与结算'!D1101</x:f>
        <x:v>0</x:v>
      </x:c>
      <x:c r="D1194">
        <x:f>'幕间与结算'!F1101</x:f>
        <x:v>0</x:v>
      </x:c>
      <x:c r="E1194">
        <x:f>IF(H1194=1,MAX(-'幕间与结算'!E1101,MIN(D1194,IF(LEFT(C1194,3)="技能：",99,IF(COUNTIF($L$2:$L$7,C1194)&gt;0,18,999))-'幕间与结算'!E1101)),0)</x:f>
        <x:v>0</x:v>
      </x:c>
      <x:c r="F1194" t="str">
        <x:f>IF(C1194=0,"",IF(G1194=0,"记录不完整",IF(H1194=0,"重复未计","已计入")))</x:f>
        <x:v/>
      </x:c>
      <x:c r="G1194">
        <x:f>IF(AND(AND('幕间与结算'!A1101&lt;&gt;"",'幕间与结算'!B1101&lt;&gt;"",'幕间与结算'!I1101&lt;&gt;"",OR(LEFT(C1194,3)="技能：",COUNTIF($L$2:$L$19,C1194)&gt;0),ISNUMBER('幕间与结算'!E1101),ISNUMBER('幕间与结算'!F1101),ISNUMBER('幕间与结算'!G1101),'幕间与结算'!E1101&gt;=0,'幕间与结算'!G1101='幕间与结算'!E1101+'幕间与结算'!F1101),OR(B1194&lt;&gt;"成长",AND(LEFT(C1194,3)="技能：",C1194&lt;&gt;"技能：非自然知识",'幕间与结算'!E1101&gt;=1,'幕间与结算'!E1101&lt;=99,'幕间与结算'!F1101&gt;=0,'幕间与结算'!F1101&lt;=4,'幕间与结算'!G1101&lt;=99))),1,0)</x:f>
        <x:v>0</x:v>
      </x:c>
      <x:c r="H1194">
        <x:f>IF(AND(G1194=1,COUNTIFS($I$200:I1194,I1194,$G$200:G1194,1)=1),1,0)</x:f>
        <x:v>0</x:v>
      </x:c>
      <x:c r="I1194" t="str">
        <x:f>IF(G1194=1,IF(B1194="成长",A1194&amp;"-成长-"&amp;C1194,'幕间与结算'!I1101),"")</x:f>
        <x:v/>
      </x:c>
      <x:c r="BF1194">
        <x:f>MAX(0,MIN(18,BF1193+IF(C1194="力量",E1194,0)))</x:f>
        <x:v>0</x:v>
      </x:c>
      <x:c r="BG1194">
        <x:f>MAX(0,MIN(18,BG1193+IF(C1194="体质",E1194,0)))</x:f>
        <x:v>0</x:v>
      </x:c>
      <x:c r="BH1194">
        <x:f>MAX(0,MIN(18,BH1193+IF(C1194="敏捷",E1194,0)))</x:f>
        <x:v>0</x:v>
      </x:c>
      <x:c r="BI1194">
        <x:f>MAX(0,MIN(18,BI1193+IF(C1194="智力",E1194,0)))</x:f>
        <x:v>0</x:v>
      </x:c>
      <x:c r="BJ1194">
        <x:f>MAX(0,MIN(18,BJ1193+IF(C1194="意志",E1194,0)))</x:f>
        <x:v>0</x:v>
      </x:c>
      <x:c r="BK1194">
        <x:f>MAX(0,MIN(18,BK1193+IF(C1194="魅力",E1194,0)))</x:f>
        <x:v>0</x:v>
      </x:c>
      <x:c r="BL1194">
        <x:f>MAX(0,MIN(99,BL1193+IF(C1194="技能：非自然知识",E1194,0)))</x:f>
        <x:v>0</x:v>
      </x:c>
      <x:c r="BM1194">
        <x:f>MAX(0,MIN(CEILING((BF1194+BG1194)/2,1),BM1193+IF(C1194="体力",E1194,0)))</x:f>
        <x:v>0</x:v>
      </x:c>
      <x:c r="BN1194">
        <x:f>MAX(0,MIN(BJ1194,BN1193+IF(C1194="毅力",E1194,0)))</x:f>
        <x:v>0</x:v>
      </x:c>
      <x:c r="BO1194">
        <x:f>MAX(0,MIN(99-BL1194,BO1193+IF(C1194="理智",E1194,0)))</x:f>
        <x:v>0</x:v>
      </x:c>
      <x:c r="BP1194">
        <x:f>MAX(0,MIN(99,BP1193+IF(C1194="崩溃点",E1194,0)))</x:f>
        <x:v>0</x:v>
      </x:c>
      <x:c r="BQ1194">
        <x:f>MAX(0,MIN(BK1194,IF(AND(H1194=1,C1194="重要关系1",LEFT('幕间与结算'!H1101,8)="建立新的重要关系"),'幕间与结算'!E1101+E1194,BQ1193+IF(C1194="重要关系1",E1194,0)+IF(AND(C1194="魅力",E1194&lt;0),E1194,0))))</x:f>
        <x:v>0</x:v>
      </x:c>
      <x:c r="BR1194">
        <x:f>MAX(0,MIN(BK1194,IF(AND(H1194=1,C1194="重要关系2",LEFT('幕间与结算'!H1101,8)="建立新的重要关系"),'幕间与结算'!E1101+E1194,BR1193+IF(C1194="重要关系2",E1194,0)+IF(AND(C1194="魅力",E1194&lt;0),E1194,0))))</x:f>
        <x:v>0</x:v>
      </x:c>
      <x:c r="BS1194">
        <x:f>MAX(0,MIN(BK1194,IF(AND(H1194=1,C1194="重要关系3",LEFT('幕间与结算'!H1101,8)="建立新的重要关系"),'幕间与结算'!E1101+E1194,BS1193+IF(C1194="重要关系3",E1194,0)+IF(AND(C1194="魅力",E1194&lt;0),E1194,0))))</x:f>
        <x:v>0</x:v>
      </x:c>
      <x:c r="BT1194">
        <x:f>MAX(0,MIN(BK1194,IF(AND(H1194=1,C1194="重要关系4",LEFT('幕间与结算'!H1101,8)="建立新的重要关系"),'幕间与结算'!E1101+E1194,BT1193+IF(C1194="重要关系4",E1194,0)+IF(AND(C1194="魅力",E1194&lt;0),E1194,0))))</x:f>
        <x:v>0</x:v>
      </x:c>
      <x:c r="BU1194">
        <x:f>MAX(0,MIN(BK1194,IF(AND(H1194=1,C1194="重要关系5",LEFT('幕间与结算'!H1101,8)="建立新的重要关系"),'幕间与结算'!E1101+E1194,BU1193+IF(C1194="重要关系5",E1194,0)+IF(AND(C1194="魅力",E1194&lt;0),E1194,0))))</x:f>
        <x:v>0</x:v>
      </x:c>
      <x:c r="BV1194">
        <x:f>MAX(0,MIN(BK1194,IF(AND(H1194=1,C1194="重要关系6",LEFT('幕间与结算'!H1101,8)="建立新的重要关系"),'幕间与结算'!E1101+E1194,BV1193+IF(C1194="重要关系6",E1194,0)+IF(AND(C1194="魅力",E1194&lt;0),E1194,0))))</x:f>
        <x:v>0</x:v>
      </x:c>
      <x:c r="BW1194">
        <x:f>MAX(0,MIN(BK1194,IF(AND(H1194=1,C1194="重要关系7",LEFT('幕间与结算'!H1101,8)="建立新的重要关系"),'幕间与结算'!E1101+E1194,BW1193+IF(C1194="重要关系7",E1194,0)+IF(AND(C1194="魅力",E1194&lt;0),E1194,0))))</x:f>
        <x:v>0</x:v>
      </x:c>
    </x:row>
    <x:row r="1195">
      <x:c r="A1195" t="str">
        <x:f>IFERROR(TEXT(VALUE('幕间与结算'!A1102),"00"),"")</x:f>
        <x:v>00</x:v>
      </x:c>
      <x:c r="B1195">
        <x:f>'幕间与结算'!B1102</x:f>
        <x:v>0</x:v>
      </x:c>
      <x:c r="C1195">
        <x:f>'幕间与结算'!D1102</x:f>
        <x:v>0</x:v>
      </x:c>
      <x:c r="D1195">
        <x:f>'幕间与结算'!F1102</x:f>
        <x:v>0</x:v>
      </x:c>
      <x:c r="E1195">
        <x:f>IF(H1195=1,MAX(-'幕间与结算'!E1102,MIN(D1195,IF(LEFT(C1195,3)="技能：",99,IF(COUNTIF($L$2:$L$7,C1195)&gt;0,18,999))-'幕间与结算'!E1102)),0)</x:f>
        <x:v>0</x:v>
      </x:c>
      <x:c r="F1195" t="str">
        <x:f>IF(C1195=0,"",IF(G1195=0,"记录不完整",IF(H1195=0,"重复未计","已计入")))</x:f>
        <x:v/>
      </x:c>
      <x:c r="G1195">
        <x:f>IF(AND(AND('幕间与结算'!A1102&lt;&gt;"",'幕间与结算'!B1102&lt;&gt;"",'幕间与结算'!I1102&lt;&gt;"",OR(LEFT(C1195,3)="技能：",COUNTIF($L$2:$L$19,C1195)&gt;0),ISNUMBER('幕间与结算'!E1102),ISNUMBER('幕间与结算'!F1102),ISNUMBER('幕间与结算'!G1102),'幕间与结算'!E1102&gt;=0,'幕间与结算'!G1102='幕间与结算'!E1102+'幕间与结算'!F1102),OR(B1195&lt;&gt;"成长",AND(LEFT(C1195,3)="技能：",C1195&lt;&gt;"技能：非自然知识",'幕间与结算'!E1102&gt;=1,'幕间与结算'!E1102&lt;=99,'幕间与结算'!F1102&gt;=0,'幕间与结算'!F1102&lt;=4,'幕间与结算'!G1102&lt;=99))),1,0)</x:f>
        <x:v>0</x:v>
      </x:c>
      <x:c r="H1195">
        <x:f>IF(AND(G1195=1,COUNTIFS($I$200:I1195,I1195,$G$200:G1195,1)=1),1,0)</x:f>
        <x:v>0</x:v>
      </x:c>
      <x:c r="I1195" t="str">
        <x:f>IF(G1195=1,IF(B1195="成长",A1195&amp;"-成长-"&amp;C1195,'幕间与结算'!I1102),"")</x:f>
        <x:v/>
      </x:c>
      <x:c r="BF1195">
        <x:f>MAX(0,MIN(18,BF1194+IF(C1195="力量",E1195,0)))</x:f>
        <x:v>0</x:v>
      </x:c>
      <x:c r="BG1195">
        <x:f>MAX(0,MIN(18,BG1194+IF(C1195="体质",E1195,0)))</x:f>
        <x:v>0</x:v>
      </x:c>
      <x:c r="BH1195">
        <x:f>MAX(0,MIN(18,BH1194+IF(C1195="敏捷",E1195,0)))</x:f>
        <x:v>0</x:v>
      </x:c>
      <x:c r="BI1195">
        <x:f>MAX(0,MIN(18,BI1194+IF(C1195="智力",E1195,0)))</x:f>
        <x:v>0</x:v>
      </x:c>
      <x:c r="BJ1195">
        <x:f>MAX(0,MIN(18,BJ1194+IF(C1195="意志",E1195,0)))</x:f>
        <x:v>0</x:v>
      </x:c>
      <x:c r="BK1195">
        <x:f>MAX(0,MIN(18,BK1194+IF(C1195="魅力",E1195,0)))</x:f>
        <x:v>0</x:v>
      </x:c>
      <x:c r="BL1195">
        <x:f>MAX(0,MIN(99,BL1194+IF(C1195="技能：非自然知识",E1195,0)))</x:f>
        <x:v>0</x:v>
      </x:c>
      <x:c r="BM1195">
        <x:f>MAX(0,MIN(CEILING((BF1195+BG1195)/2,1),BM1194+IF(C1195="体力",E1195,0)))</x:f>
        <x:v>0</x:v>
      </x:c>
      <x:c r="BN1195">
        <x:f>MAX(0,MIN(BJ1195,BN1194+IF(C1195="毅力",E1195,0)))</x:f>
        <x:v>0</x:v>
      </x:c>
      <x:c r="BO1195">
        <x:f>MAX(0,MIN(99-BL1195,BO1194+IF(C1195="理智",E1195,0)))</x:f>
        <x:v>0</x:v>
      </x:c>
      <x:c r="BP1195">
        <x:f>MAX(0,MIN(99,BP1194+IF(C1195="崩溃点",E1195,0)))</x:f>
        <x:v>0</x:v>
      </x:c>
      <x:c r="BQ1195">
        <x:f>MAX(0,MIN(BK1195,IF(AND(H1195=1,C1195="重要关系1",LEFT('幕间与结算'!H1102,8)="建立新的重要关系"),'幕间与结算'!E1102+E1195,BQ1194+IF(C1195="重要关系1",E1195,0)+IF(AND(C1195="魅力",E1195&lt;0),E1195,0))))</x:f>
        <x:v>0</x:v>
      </x:c>
      <x:c r="BR1195">
        <x:f>MAX(0,MIN(BK1195,IF(AND(H1195=1,C1195="重要关系2",LEFT('幕间与结算'!H1102,8)="建立新的重要关系"),'幕间与结算'!E1102+E1195,BR1194+IF(C1195="重要关系2",E1195,0)+IF(AND(C1195="魅力",E1195&lt;0),E1195,0))))</x:f>
        <x:v>0</x:v>
      </x:c>
      <x:c r="BS1195">
        <x:f>MAX(0,MIN(BK1195,IF(AND(H1195=1,C1195="重要关系3",LEFT('幕间与结算'!H1102,8)="建立新的重要关系"),'幕间与结算'!E1102+E1195,BS1194+IF(C1195="重要关系3",E1195,0)+IF(AND(C1195="魅力",E1195&lt;0),E1195,0))))</x:f>
        <x:v>0</x:v>
      </x:c>
      <x:c r="BT1195">
        <x:f>MAX(0,MIN(BK1195,IF(AND(H1195=1,C1195="重要关系4",LEFT('幕间与结算'!H1102,8)="建立新的重要关系"),'幕间与结算'!E1102+E1195,BT1194+IF(C1195="重要关系4",E1195,0)+IF(AND(C1195="魅力",E1195&lt;0),E1195,0))))</x:f>
        <x:v>0</x:v>
      </x:c>
      <x:c r="BU1195">
        <x:f>MAX(0,MIN(BK1195,IF(AND(H1195=1,C1195="重要关系5",LEFT('幕间与结算'!H1102,8)="建立新的重要关系"),'幕间与结算'!E1102+E1195,BU1194+IF(C1195="重要关系5",E1195,0)+IF(AND(C1195="魅力",E1195&lt;0),E1195,0))))</x:f>
        <x:v>0</x:v>
      </x:c>
      <x:c r="BV1195">
        <x:f>MAX(0,MIN(BK1195,IF(AND(H1195=1,C1195="重要关系6",LEFT('幕间与结算'!H1102,8)="建立新的重要关系"),'幕间与结算'!E1102+E1195,BV1194+IF(C1195="重要关系6",E1195,0)+IF(AND(C1195="魅力",E1195&lt;0),E1195,0))))</x:f>
        <x:v>0</x:v>
      </x:c>
      <x:c r="BW1195">
        <x:f>MAX(0,MIN(BK1195,IF(AND(H1195=1,C1195="重要关系7",LEFT('幕间与结算'!H1102,8)="建立新的重要关系"),'幕间与结算'!E1102+E1195,BW1194+IF(C1195="重要关系7",E1195,0)+IF(AND(C1195="魅力",E1195&lt;0),E1195,0))))</x:f>
        <x:v>0</x:v>
      </x:c>
    </x:row>
    <x:row r="1196">
      <x:c r="A1196" t="str">
        <x:f>IFERROR(TEXT(VALUE('幕间与结算'!A1103),"00"),"")</x:f>
        <x:v>00</x:v>
      </x:c>
      <x:c r="B1196">
        <x:f>'幕间与结算'!B1103</x:f>
        <x:v>0</x:v>
      </x:c>
      <x:c r="C1196">
        <x:f>'幕间与结算'!D1103</x:f>
        <x:v>0</x:v>
      </x:c>
      <x:c r="D1196">
        <x:f>'幕间与结算'!F1103</x:f>
        <x:v>0</x:v>
      </x:c>
      <x:c r="E1196">
        <x:f>IF(H1196=1,MAX(-'幕间与结算'!E1103,MIN(D1196,IF(LEFT(C1196,3)="技能：",99,IF(COUNTIF($L$2:$L$7,C1196)&gt;0,18,999))-'幕间与结算'!E1103)),0)</x:f>
        <x:v>0</x:v>
      </x:c>
      <x:c r="F1196" t="str">
        <x:f>IF(C1196=0,"",IF(G1196=0,"记录不完整",IF(H1196=0,"重复未计","已计入")))</x:f>
        <x:v/>
      </x:c>
      <x:c r="G1196">
        <x:f>IF(AND(AND('幕间与结算'!A1103&lt;&gt;"",'幕间与结算'!B1103&lt;&gt;"",'幕间与结算'!I1103&lt;&gt;"",OR(LEFT(C1196,3)="技能：",COUNTIF($L$2:$L$19,C1196)&gt;0),ISNUMBER('幕间与结算'!E1103),ISNUMBER('幕间与结算'!F1103),ISNUMBER('幕间与结算'!G1103),'幕间与结算'!E1103&gt;=0,'幕间与结算'!G1103='幕间与结算'!E1103+'幕间与结算'!F1103),OR(B1196&lt;&gt;"成长",AND(LEFT(C1196,3)="技能：",C1196&lt;&gt;"技能：非自然知识",'幕间与结算'!E1103&gt;=1,'幕间与结算'!E1103&lt;=99,'幕间与结算'!F1103&gt;=0,'幕间与结算'!F1103&lt;=4,'幕间与结算'!G1103&lt;=99))),1,0)</x:f>
        <x:v>0</x:v>
      </x:c>
      <x:c r="H1196">
        <x:f>IF(AND(G1196=1,COUNTIFS($I$200:I1196,I1196,$G$200:G1196,1)=1),1,0)</x:f>
        <x:v>0</x:v>
      </x:c>
      <x:c r="I1196" t="str">
        <x:f>IF(G1196=1,IF(B1196="成长",A1196&amp;"-成长-"&amp;C1196,'幕间与结算'!I1103),"")</x:f>
        <x:v/>
      </x:c>
      <x:c r="BF1196">
        <x:f>MAX(0,MIN(18,BF1195+IF(C1196="力量",E1196,0)))</x:f>
        <x:v>0</x:v>
      </x:c>
      <x:c r="BG1196">
        <x:f>MAX(0,MIN(18,BG1195+IF(C1196="体质",E1196,0)))</x:f>
        <x:v>0</x:v>
      </x:c>
      <x:c r="BH1196">
        <x:f>MAX(0,MIN(18,BH1195+IF(C1196="敏捷",E1196,0)))</x:f>
        <x:v>0</x:v>
      </x:c>
      <x:c r="BI1196">
        <x:f>MAX(0,MIN(18,BI1195+IF(C1196="智力",E1196,0)))</x:f>
        <x:v>0</x:v>
      </x:c>
      <x:c r="BJ1196">
        <x:f>MAX(0,MIN(18,BJ1195+IF(C1196="意志",E1196,0)))</x:f>
        <x:v>0</x:v>
      </x:c>
      <x:c r="BK1196">
        <x:f>MAX(0,MIN(18,BK1195+IF(C1196="魅力",E1196,0)))</x:f>
        <x:v>0</x:v>
      </x:c>
      <x:c r="BL1196">
        <x:f>MAX(0,MIN(99,BL1195+IF(C1196="技能：非自然知识",E1196,0)))</x:f>
        <x:v>0</x:v>
      </x:c>
      <x:c r="BM1196">
        <x:f>MAX(0,MIN(CEILING((BF1196+BG1196)/2,1),BM1195+IF(C1196="体力",E1196,0)))</x:f>
        <x:v>0</x:v>
      </x:c>
      <x:c r="BN1196">
        <x:f>MAX(0,MIN(BJ1196,BN1195+IF(C1196="毅力",E1196,0)))</x:f>
        <x:v>0</x:v>
      </x:c>
      <x:c r="BO1196">
        <x:f>MAX(0,MIN(99-BL1196,BO1195+IF(C1196="理智",E1196,0)))</x:f>
        <x:v>0</x:v>
      </x:c>
      <x:c r="BP1196">
        <x:f>MAX(0,MIN(99,BP1195+IF(C1196="崩溃点",E1196,0)))</x:f>
        <x:v>0</x:v>
      </x:c>
      <x:c r="BQ1196">
        <x:f>MAX(0,MIN(BK1196,IF(AND(H1196=1,C1196="重要关系1",LEFT('幕间与结算'!H1103,8)="建立新的重要关系"),'幕间与结算'!E1103+E1196,BQ1195+IF(C1196="重要关系1",E1196,0)+IF(AND(C1196="魅力",E1196&lt;0),E1196,0))))</x:f>
        <x:v>0</x:v>
      </x:c>
      <x:c r="BR1196">
        <x:f>MAX(0,MIN(BK1196,IF(AND(H1196=1,C1196="重要关系2",LEFT('幕间与结算'!H1103,8)="建立新的重要关系"),'幕间与结算'!E1103+E1196,BR1195+IF(C1196="重要关系2",E1196,0)+IF(AND(C1196="魅力",E1196&lt;0),E1196,0))))</x:f>
        <x:v>0</x:v>
      </x:c>
      <x:c r="BS1196">
        <x:f>MAX(0,MIN(BK1196,IF(AND(H1196=1,C1196="重要关系3",LEFT('幕间与结算'!H1103,8)="建立新的重要关系"),'幕间与结算'!E1103+E1196,BS1195+IF(C1196="重要关系3",E1196,0)+IF(AND(C1196="魅力",E1196&lt;0),E1196,0))))</x:f>
        <x:v>0</x:v>
      </x:c>
      <x:c r="BT1196">
        <x:f>MAX(0,MIN(BK1196,IF(AND(H1196=1,C1196="重要关系4",LEFT('幕间与结算'!H1103,8)="建立新的重要关系"),'幕间与结算'!E1103+E1196,BT1195+IF(C1196="重要关系4",E1196,0)+IF(AND(C1196="魅力",E1196&lt;0),E1196,0))))</x:f>
        <x:v>0</x:v>
      </x:c>
      <x:c r="BU1196">
        <x:f>MAX(0,MIN(BK1196,IF(AND(H1196=1,C1196="重要关系5",LEFT('幕间与结算'!H1103,8)="建立新的重要关系"),'幕间与结算'!E1103+E1196,BU1195+IF(C1196="重要关系5",E1196,0)+IF(AND(C1196="魅力",E1196&lt;0),E1196,0))))</x:f>
        <x:v>0</x:v>
      </x:c>
      <x:c r="BV1196">
        <x:f>MAX(0,MIN(BK1196,IF(AND(H1196=1,C1196="重要关系6",LEFT('幕间与结算'!H1103,8)="建立新的重要关系"),'幕间与结算'!E1103+E1196,BV1195+IF(C1196="重要关系6",E1196,0)+IF(AND(C1196="魅力",E1196&lt;0),E1196,0))))</x:f>
        <x:v>0</x:v>
      </x:c>
      <x:c r="BW1196">
        <x:f>MAX(0,MIN(BK1196,IF(AND(H1196=1,C1196="重要关系7",LEFT('幕间与结算'!H1103,8)="建立新的重要关系"),'幕间与结算'!E1103+E1196,BW1195+IF(C1196="重要关系7",E1196,0)+IF(AND(C1196="魅力",E1196&lt;0),E1196,0))))</x:f>
        <x:v>0</x:v>
      </x:c>
    </x:row>
    <x:row r="1197">
      <x:c r="A1197" t="str">
        <x:f>IFERROR(TEXT(VALUE('幕间与结算'!A1104),"00"),"")</x:f>
        <x:v>00</x:v>
      </x:c>
      <x:c r="B1197">
        <x:f>'幕间与结算'!B1104</x:f>
        <x:v>0</x:v>
      </x:c>
      <x:c r="C1197">
        <x:f>'幕间与结算'!D1104</x:f>
        <x:v>0</x:v>
      </x:c>
      <x:c r="D1197">
        <x:f>'幕间与结算'!F1104</x:f>
        <x:v>0</x:v>
      </x:c>
      <x:c r="E1197">
        <x:f>IF(H1197=1,MAX(-'幕间与结算'!E1104,MIN(D1197,IF(LEFT(C1197,3)="技能：",99,IF(COUNTIF($L$2:$L$7,C1197)&gt;0,18,999))-'幕间与结算'!E1104)),0)</x:f>
        <x:v>0</x:v>
      </x:c>
      <x:c r="F1197" t="str">
        <x:f>IF(C1197=0,"",IF(G1197=0,"记录不完整",IF(H1197=0,"重复未计","已计入")))</x:f>
        <x:v/>
      </x:c>
      <x:c r="G1197">
        <x:f>IF(AND(AND('幕间与结算'!A1104&lt;&gt;"",'幕间与结算'!B1104&lt;&gt;"",'幕间与结算'!I1104&lt;&gt;"",OR(LEFT(C1197,3)="技能：",COUNTIF($L$2:$L$19,C1197)&gt;0),ISNUMBER('幕间与结算'!E1104),ISNUMBER('幕间与结算'!F1104),ISNUMBER('幕间与结算'!G1104),'幕间与结算'!E1104&gt;=0,'幕间与结算'!G1104='幕间与结算'!E1104+'幕间与结算'!F1104),OR(B1197&lt;&gt;"成长",AND(LEFT(C1197,3)="技能：",C1197&lt;&gt;"技能：非自然知识",'幕间与结算'!E1104&gt;=1,'幕间与结算'!E1104&lt;=99,'幕间与结算'!F1104&gt;=0,'幕间与结算'!F1104&lt;=4,'幕间与结算'!G1104&lt;=99))),1,0)</x:f>
        <x:v>0</x:v>
      </x:c>
      <x:c r="H1197">
        <x:f>IF(AND(G1197=1,COUNTIFS($I$200:I1197,I1197,$G$200:G1197,1)=1),1,0)</x:f>
        <x:v>0</x:v>
      </x:c>
      <x:c r="I1197" t="str">
        <x:f>IF(G1197=1,IF(B1197="成长",A1197&amp;"-成长-"&amp;C1197,'幕间与结算'!I1104),"")</x:f>
        <x:v/>
      </x:c>
      <x:c r="BF1197">
        <x:f>MAX(0,MIN(18,BF1196+IF(C1197="力量",E1197,0)))</x:f>
        <x:v>0</x:v>
      </x:c>
      <x:c r="BG1197">
        <x:f>MAX(0,MIN(18,BG1196+IF(C1197="体质",E1197,0)))</x:f>
        <x:v>0</x:v>
      </x:c>
      <x:c r="BH1197">
        <x:f>MAX(0,MIN(18,BH1196+IF(C1197="敏捷",E1197,0)))</x:f>
        <x:v>0</x:v>
      </x:c>
      <x:c r="BI1197">
        <x:f>MAX(0,MIN(18,BI1196+IF(C1197="智力",E1197,0)))</x:f>
        <x:v>0</x:v>
      </x:c>
      <x:c r="BJ1197">
        <x:f>MAX(0,MIN(18,BJ1196+IF(C1197="意志",E1197,0)))</x:f>
        <x:v>0</x:v>
      </x:c>
      <x:c r="BK1197">
        <x:f>MAX(0,MIN(18,BK1196+IF(C1197="魅力",E1197,0)))</x:f>
        <x:v>0</x:v>
      </x:c>
      <x:c r="BL1197">
        <x:f>MAX(0,MIN(99,BL1196+IF(C1197="技能：非自然知识",E1197,0)))</x:f>
        <x:v>0</x:v>
      </x:c>
      <x:c r="BM1197">
        <x:f>MAX(0,MIN(CEILING((BF1197+BG1197)/2,1),BM1196+IF(C1197="体力",E1197,0)))</x:f>
        <x:v>0</x:v>
      </x:c>
      <x:c r="BN1197">
        <x:f>MAX(0,MIN(BJ1197,BN1196+IF(C1197="毅力",E1197,0)))</x:f>
        <x:v>0</x:v>
      </x:c>
      <x:c r="BO1197">
        <x:f>MAX(0,MIN(99-BL1197,BO1196+IF(C1197="理智",E1197,0)))</x:f>
        <x:v>0</x:v>
      </x:c>
      <x:c r="BP1197">
        <x:f>MAX(0,MIN(99,BP1196+IF(C1197="崩溃点",E1197,0)))</x:f>
        <x:v>0</x:v>
      </x:c>
      <x:c r="BQ1197">
        <x:f>MAX(0,MIN(BK1197,IF(AND(H1197=1,C1197="重要关系1",LEFT('幕间与结算'!H1104,8)="建立新的重要关系"),'幕间与结算'!E1104+E1197,BQ1196+IF(C1197="重要关系1",E1197,0)+IF(AND(C1197="魅力",E1197&lt;0),E1197,0))))</x:f>
        <x:v>0</x:v>
      </x:c>
      <x:c r="BR1197">
        <x:f>MAX(0,MIN(BK1197,IF(AND(H1197=1,C1197="重要关系2",LEFT('幕间与结算'!H1104,8)="建立新的重要关系"),'幕间与结算'!E1104+E1197,BR1196+IF(C1197="重要关系2",E1197,0)+IF(AND(C1197="魅力",E1197&lt;0),E1197,0))))</x:f>
        <x:v>0</x:v>
      </x:c>
      <x:c r="BS1197">
        <x:f>MAX(0,MIN(BK1197,IF(AND(H1197=1,C1197="重要关系3",LEFT('幕间与结算'!H1104,8)="建立新的重要关系"),'幕间与结算'!E1104+E1197,BS1196+IF(C1197="重要关系3",E1197,0)+IF(AND(C1197="魅力",E1197&lt;0),E1197,0))))</x:f>
        <x:v>0</x:v>
      </x:c>
      <x:c r="BT1197">
        <x:f>MAX(0,MIN(BK1197,IF(AND(H1197=1,C1197="重要关系4",LEFT('幕间与结算'!H1104,8)="建立新的重要关系"),'幕间与结算'!E1104+E1197,BT1196+IF(C1197="重要关系4",E1197,0)+IF(AND(C1197="魅力",E1197&lt;0),E1197,0))))</x:f>
        <x:v>0</x:v>
      </x:c>
      <x:c r="BU1197">
        <x:f>MAX(0,MIN(BK1197,IF(AND(H1197=1,C1197="重要关系5",LEFT('幕间与结算'!H1104,8)="建立新的重要关系"),'幕间与结算'!E1104+E1197,BU1196+IF(C1197="重要关系5",E1197,0)+IF(AND(C1197="魅力",E1197&lt;0),E1197,0))))</x:f>
        <x:v>0</x:v>
      </x:c>
      <x:c r="BV1197">
        <x:f>MAX(0,MIN(BK1197,IF(AND(H1197=1,C1197="重要关系6",LEFT('幕间与结算'!H1104,8)="建立新的重要关系"),'幕间与结算'!E1104+E1197,BV1196+IF(C1197="重要关系6",E1197,0)+IF(AND(C1197="魅力",E1197&lt;0),E1197,0))))</x:f>
        <x:v>0</x:v>
      </x:c>
      <x:c r="BW1197">
        <x:f>MAX(0,MIN(BK1197,IF(AND(H1197=1,C1197="重要关系7",LEFT('幕间与结算'!H1104,8)="建立新的重要关系"),'幕间与结算'!E1104+E1197,BW1196+IF(C1197="重要关系7",E1197,0)+IF(AND(C1197="魅力",E1197&lt;0),E1197,0))))</x:f>
        <x:v>0</x:v>
      </x:c>
    </x:row>
    <x:row r="1198">
      <x:c r="A1198" t="str">
        <x:f>IFERROR(TEXT(VALUE('幕间与结算'!A1105),"00"),"")</x:f>
        <x:v>00</x:v>
      </x:c>
      <x:c r="B1198">
        <x:f>'幕间与结算'!B1105</x:f>
        <x:v>0</x:v>
      </x:c>
      <x:c r="C1198">
        <x:f>'幕间与结算'!D1105</x:f>
        <x:v>0</x:v>
      </x:c>
      <x:c r="D1198">
        <x:f>'幕间与结算'!F1105</x:f>
        <x:v>0</x:v>
      </x:c>
      <x:c r="E1198">
        <x:f>IF(H1198=1,MAX(-'幕间与结算'!E1105,MIN(D1198,IF(LEFT(C1198,3)="技能：",99,IF(COUNTIF($L$2:$L$7,C1198)&gt;0,18,999))-'幕间与结算'!E1105)),0)</x:f>
        <x:v>0</x:v>
      </x:c>
      <x:c r="F1198" t="str">
        <x:f>IF(C1198=0,"",IF(G1198=0,"记录不完整",IF(H1198=0,"重复未计","已计入")))</x:f>
        <x:v/>
      </x:c>
      <x:c r="G1198">
        <x:f>IF(AND(AND('幕间与结算'!A1105&lt;&gt;"",'幕间与结算'!B1105&lt;&gt;"",'幕间与结算'!I1105&lt;&gt;"",OR(LEFT(C1198,3)="技能：",COUNTIF($L$2:$L$19,C1198)&gt;0),ISNUMBER('幕间与结算'!E1105),ISNUMBER('幕间与结算'!F1105),ISNUMBER('幕间与结算'!G1105),'幕间与结算'!E1105&gt;=0,'幕间与结算'!G1105='幕间与结算'!E1105+'幕间与结算'!F1105),OR(B1198&lt;&gt;"成长",AND(LEFT(C1198,3)="技能：",C1198&lt;&gt;"技能：非自然知识",'幕间与结算'!E1105&gt;=1,'幕间与结算'!E1105&lt;=99,'幕间与结算'!F1105&gt;=0,'幕间与结算'!F1105&lt;=4,'幕间与结算'!G1105&lt;=99))),1,0)</x:f>
        <x:v>0</x:v>
      </x:c>
      <x:c r="H1198">
        <x:f>IF(AND(G1198=1,COUNTIFS($I$200:I1198,I1198,$G$200:G1198,1)=1),1,0)</x:f>
        <x:v>0</x:v>
      </x:c>
      <x:c r="I1198" t="str">
        <x:f>IF(G1198=1,IF(B1198="成长",A1198&amp;"-成长-"&amp;C1198,'幕间与结算'!I1105),"")</x:f>
        <x:v/>
      </x:c>
      <x:c r="BF1198">
        <x:f>MAX(0,MIN(18,BF1197+IF(C1198="力量",E1198,0)))</x:f>
        <x:v>0</x:v>
      </x:c>
      <x:c r="BG1198">
        <x:f>MAX(0,MIN(18,BG1197+IF(C1198="体质",E1198,0)))</x:f>
        <x:v>0</x:v>
      </x:c>
      <x:c r="BH1198">
        <x:f>MAX(0,MIN(18,BH1197+IF(C1198="敏捷",E1198,0)))</x:f>
        <x:v>0</x:v>
      </x:c>
      <x:c r="BI1198">
        <x:f>MAX(0,MIN(18,BI1197+IF(C1198="智力",E1198,0)))</x:f>
        <x:v>0</x:v>
      </x:c>
      <x:c r="BJ1198">
        <x:f>MAX(0,MIN(18,BJ1197+IF(C1198="意志",E1198,0)))</x:f>
        <x:v>0</x:v>
      </x:c>
      <x:c r="BK1198">
        <x:f>MAX(0,MIN(18,BK1197+IF(C1198="魅力",E1198,0)))</x:f>
        <x:v>0</x:v>
      </x:c>
      <x:c r="BL1198">
        <x:f>MAX(0,MIN(99,BL1197+IF(C1198="技能：非自然知识",E1198,0)))</x:f>
        <x:v>0</x:v>
      </x:c>
      <x:c r="BM1198">
        <x:f>MAX(0,MIN(CEILING((BF1198+BG1198)/2,1),BM1197+IF(C1198="体力",E1198,0)))</x:f>
        <x:v>0</x:v>
      </x:c>
      <x:c r="BN1198">
        <x:f>MAX(0,MIN(BJ1198,BN1197+IF(C1198="毅力",E1198,0)))</x:f>
        <x:v>0</x:v>
      </x:c>
      <x:c r="BO1198">
        <x:f>MAX(0,MIN(99-BL1198,BO1197+IF(C1198="理智",E1198,0)))</x:f>
        <x:v>0</x:v>
      </x:c>
      <x:c r="BP1198">
        <x:f>MAX(0,MIN(99,BP1197+IF(C1198="崩溃点",E1198,0)))</x:f>
        <x:v>0</x:v>
      </x:c>
      <x:c r="BQ1198">
        <x:f>MAX(0,MIN(BK1198,IF(AND(H1198=1,C1198="重要关系1",LEFT('幕间与结算'!H1105,8)="建立新的重要关系"),'幕间与结算'!E1105+E1198,BQ1197+IF(C1198="重要关系1",E1198,0)+IF(AND(C1198="魅力",E1198&lt;0),E1198,0))))</x:f>
        <x:v>0</x:v>
      </x:c>
      <x:c r="BR1198">
        <x:f>MAX(0,MIN(BK1198,IF(AND(H1198=1,C1198="重要关系2",LEFT('幕间与结算'!H1105,8)="建立新的重要关系"),'幕间与结算'!E1105+E1198,BR1197+IF(C1198="重要关系2",E1198,0)+IF(AND(C1198="魅力",E1198&lt;0),E1198,0))))</x:f>
        <x:v>0</x:v>
      </x:c>
      <x:c r="BS1198">
        <x:f>MAX(0,MIN(BK1198,IF(AND(H1198=1,C1198="重要关系3",LEFT('幕间与结算'!H1105,8)="建立新的重要关系"),'幕间与结算'!E1105+E1198,BS1197+IF(C1198="重要关系3",E1198,0)+IF(AND(C1198="魅力",E1198&lt;0),E1198,0))))</x:f>
        <x:v>0</x:v>
      </x:c>
      <x:c r="BT1198">
        <x:f>MAX(0,MIN(BK1198,IF(AND(H1198=1,C1198="重要关系4",LEFT('幕间与结算'!H1105,8)="建立新的重要关系"),'幕间与结算'!E1105+E1198,BT1197+IF(C1198="重要关系4",E1198,0)+IF(AND(C1198="魅力",E1198&lt;0),E1198,0))))</x:f>
        <x:v>0</x:v>
      </x:c>
      <x:c r="BU1198">
        <x:f>MAX(0,MIN(BK1198,IF(AND(H1198=1,C1198="重要关系5",LEFT('幕间与结算'!H1105,8)="建立新的重要关系"),'幕间与结算'!E1105+E1198,BU1197+IF(C1198="重要关系5",E1198,0)+IF(AND(C1198="魅力",E1198&lt;0),E1198,0))))</x:f>
        <x:v>0</x:v>
      </x:c>
      <x:c r="BV1198">
        <x:f>MAX(0,MIN(BK1198,IF(AND(H1198=1,C1198="重要关系6",LEFT('幕间与结算'!H1105,8)="建立新的重要关系"),'幕间与结算'!E1105+E1198,BV1197+IF(C1198="重要关系6",E1198,0)+IF(AND(C1198="魅力",E1198&lt;0),E1198,0))))</x:f>
        <x:v>0</x:v>
      </x:c>
      <x:c r="BW1198">
        <x:f>MAX(0,MIN(BK1198,IF(AND(H1198=1,C1198="重要关系7",LEFT('幕间与结算'!H1105,8)="建立新的重要关系"),'幕间与结算'!E1105+E1198,BW1197+IF(C1198="重要关系7",E1198,0)+IF(AND(C1198="魅力",E1198&lt;0),E1198,0))))</x:f>
        <x:v>0</x:v>
      </x:c>
    </x:row>
    <x:row r="1199">
      <x:c r="A1199" t="str">
        <x:f>IFERROR(TEXT(VALUE('幕间与结算'!A1106),"00"),"")</x:f>
        <x:v>00</x:v>
      </x:c>
      <x:c r="B1199">
        <x:f>'幕间与结算'!B1106</x:f>
        <x:v>0</x:v>
      </x:c>
      <x:c r="C1199">
        <x:f>'幕间与结算'!D1106</x:f>
        <x:v>0</x:v>
      </x:c>
      <x:c r="D1199">
        <x:f>'幕间与结算'!F1106</x:f>
        <x:v>0</x:v>
      </x:c>
      <x:c r="E1199">
        <x:f>IF(H1199=1,MAX(-'幕间与结算'!E1106,MIN(D1199,IF(LEFT(C1199,3)="技能：",99,IF(COUNTIF($L$2:$L$7,C1199)&gt;0,18,999))-'幕间与结算'!E1106)),0)</x:f>
        <x:v>0</x:v>
      </x:c>
      <x:c r="F1199" t="str">
        <x:f>IF(C1199=0,"",IF(G1199=0,"记录不完整",IF(H1199=0,"重复未计","已计入")))</x:f>
        <x:v/>
      </x:c>
      <x:c r="G1199">
        <x:f>IF(AND(AND('幕间与结算'!A1106&lt;&gt;"",'幕间与结算'!B1106&lt;&gt;"",'幕间与结算'!I1106&lt;&gt;"",OR(LEFT(C1199,3)="技能：",COUNTIF($L$2:$L$19,C1199)&gt;0),ISNUMBER('幕间与结算'!E1106),ISNUMBER('幕间与结算'!F1106),ISNUMBER('幕间与结算'!G1106),'幕间与结算'!E1106&gt;=0,'幕间与结算'!G1106='幕间与结算'!E1106+'幕间与结算'!F1106),OR(B1199&lt;&gt;"成长",AND(LEFT(C1199,3)="技能：",C1199&lt;&gt;"技能：非自然知识",'幕间与结算'!E1106&gt;=1,'幕间与结算'!E1106&lt;=99,'幕间与结算'!F1106&gt;=0,'幕间与结算'!F1106&lt;=4,'幕间与结算'!G1106&lt;=99))),1,0)</x:f>
        <x:v>0</x:v>
      </x:c>
      <x:c r="H1199">
        <x:f>IF(AND(G1199=1,COUNTIFS($I$200:I1199,I1199,$G$200:G1199,1)=1),1,0)</x:f>
        <x:v>0</x:v>
      </x:c>
      <x:c r="I1199" t="str">
        <x:f>IF(G1199=1,IF(B1199="成长",A1199&amp;"-成长-"&amp;C1199,'幕间与结算'!I1106),"")</x:f>
        <x:v/>
      </x:c>
      <x:c r="BF1199">
        <x:f>MAX(0,MIN(18,BF1198+IF(C1199="力量",E1199,0)))</x:f>
        <x:v>0</x:v>
      </x:c>
      <x:c r="BG1199">
        <x:f>MAX(0,MIN(18,BG1198+IF(C1199="体质",E1199,0)))</x:f>
        <x:v>0</x:v>
      </x:c>
      <x:c r="BH1199">
        <x:f>MAX(0,MIN(18,BH1198+IF(C1199="敏捷",E1199,0)))</x:f>
        <x:v>0</x:v>
      </x:c>
      <x:c r="BI1199">
        <x:f>MAX(0,MIN(18,BI1198+IF(C1199="智力",E1199,0)))</x:f>
        <x:v>0</x:v>
      </x:c>
      <x:c r="BJ1199">
        <x:f>MAX(0,MIN(18,BJ1198+IF(C1199="意志",E1199,0)))</x:f>
        <x:v>0</x:v>
      </x:c>
      <x:c r="BK1199">
        <x:f>MAX(0,MIN(18,BK1198+IF(C1199="魅力",E1199,0)))</x:f>
        <x:v>0</x:v>
      </x:c>
      <x:c r="BL1199">
        <x:f>MAX(0,MIN(99,BL1198+IF(C1199="技能：非自然知识",E1199,0)))</x:f>
        <x:v>0</x:v>
      </x:c>
      <x:c r="BM1199">
        <x:f>MAX(0,MIN(CEILING((BF1199+BG1199)/2,1),BM1198+IF(C1199="体力",E1199,0)))</x:f>
        <x:v>0</x:v>
      </x:c>
      <x:c r="BN1199">
        <x:f>MAX(0,MIN(BJ1199,BN1198+IF(C1199="毅力",E1199,0)))</x:f>
        <x:v>0</x:v>
      </x:c>
      <x:c r="BO1199">
        <x:f>MAX(0,MIN(99-BL1199,BO1198+IF(C1199="理智",E1199,0)))</x:f>
        <x:v>0</x:v>
      </x:c>
      <x:c r="BP1199">
        <x:f>MAX(0,MIN(99,BP1198+IF(C1199="崩溃点",E1199,0)))</x:f>
        <x:v>0</x:v>
      </x:c>
      <x:c r="BQ1199">
        <x:f>MAX(0,MIN(BK1199,IF(AND(H1199=1,C1199="重要关系1",LEFT('幕间与结算'!H1106,8)="建立新的重要关系"),'幕间与结算'!E1106+E1199,BQ1198+IF(C1199="重要关系1",E1199,0)+IF(AND(C1199="魅力",E1199&lt;0),E1199,0))))</x:f>
        <x:v>0</x:v>
      </x:c>
      <x:c r="BR1199">
        <x:f>MAX(0,MIN(BK1199,IF(AND(H1199=1,C1199="重要关系2",LEFT('幕间与结算'!H1106,8)="建立新的重要关系"),'幕间与结算'!E1106+E1199,BR1198+IF(C1199="重要关系2",E1199,0)+IF(AND(C1199="魅力",E1199&lt;0),E1199,0))))</x:f>
        <x:v>0</x:v>
      </x:c>
      <x:c r="BS1199">
        <x:f>MAX(0,MIN(BK1199,IF(AND(H1199=1,C1199="重要关系3",LEFT('幕间与结算'!H1106,8)="建立新的重要关系"),'幕间与结算'!E1106+E1199,BS1198+IF(C1199="重要关系3",E1199,0)+IF(AND(C1199="魅力",E1199&lt;0),E1199,0))))</x:f>
        <x:v>0</x:v>
      </x:c>
      <x:c r="BT1199">
        <x:f>MAX(0,MIN(BK1199,IF(AND(H1199=1,C1199="重要关系4",LEFT('幕间与结算'!H1106,8)="建立新的重要关系"),'幕间与结算'!E1106+E1199,BT1198+IF(C1199="重要关系4",E1199,0)+IF(AND(C1199="魅力",E1199&lt;0),E1199,0))))</x:f>
        <x:v>0</x:v>
      </x:c>
      <x:c r="BU1199">
        <x:f>MAX(0,MIN(BK1199,IF(AND(H1199=1,C1199="重要关系5",LEFT('幕间与结算'!H1106,8)="建立新的重要关系"),'幕间与结算'!E1106+E1199,BU1198+IF(C1199="重要关系5",E1199,0)+IF(AND(C1199="魅力",E1199&lt;0),E1199,0))))</x:f>
        <x:v>0</x:v>
      </x:c>
      <x:c r="BV1199">
        <x:f>MAX(0,MIN(BK1199,IF(AND(H1199=1,C1199="重要关系6",LEFT('幕间与结算'!H1106,8)="建立新的重要关系"),'幕间与结算'!E1106+E1199,BV1198+IF(C1199="重要关系6",E1199,0)+IF(AND(C1199="魅力",E1199&lt;0),E1199,0))))</x:f>
        <x:v>0</x:v>
      </x:c>
      <x:c r="BW1199">
        <x:f>MAX(0,MIN(BK1199,IF(AND(H1199=1,C1199="重要关系7",LEFT('幕间与结算'!H1106,8)="建立新的重要关系"),'幕间与结算'!E1106+E1199,BW1198+IF(C1199="重要关系7",E1199,0)+IF(AND(C1199="魅力",E1199&lt;0),E1199,0))))</x:f>
        <x:v>0</x:v>
      </x:c>
    </x:row>
  </x:sheetData>
  <x:pageMargins left="0.7" right="0.7" top="0.75" bottom="0.75" header="0.3" footer="0.3"/>
</x:worksheet>
</file>

<file path=xl/worksheets/sheet18.xml><?xml version="1.0" encoding="utf-8"?>
<x:worksheet xmlns:x="http://schemas.openxmlformats.org/spreadsheetml/2006/main">
  <x:sheetFormatPr defaultRowHeight="15"/>
  <x:sheetData>
    <x:row r="1">
      <x:c r="A1" t="str" s="740">
        <x:v>计算与选项</x:v>
      </x:c>
    </x:row>
    <x:row r="2">
      <x:c r="A2" t="inlineStr">
        <x:is>
          <x:t>联邦特工</x:t>
        </x:is>
      </x:c>
      <x:c r="B2" t="inlineStr">
        <x:is>
          <x:t>徽章及身份证明；中型手枪及枪套；备用弹匣×2；战术灯；手铐；凯夫拉尔背心；机构防风衣；加密手机；警用无线电及耳麦。可选：轻型备用手枪。</x:t>
        </x:is>
      </x:c>
      <x:c r="C2" t="inlineStr">
        <x:is>
          <x:t>证据采集套件。车载：带全息瞄准镜的轻型卡宾枪＋弹匣×2，或栓动霰弹枪＋40发弹药（半数独头弹）；战术背心；头盔；加密笔电；急救包；灭火器。</x:t>
        </x:is>
      </x:c>
      <x:c r="D2" t="inlineStr">
        <x:is>
          <x: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
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x:t>
        </x:is>
      </x:c>
      <x:c r="F2" t="inlineStr">
        <x:is>
          <x:t>（创建新职业）</x:t>
        </x:is>
      </x:c>
      <x:c r="G2" t="inlineStr">
        <x:is>
          <x:t/>
        </x:is>
      </x:c>
      <x:c r="H2" t="inlineStr">
        <x:is>
          <x:t/>
        </x:is>
      </x:c>
      <x:c r="J2" t="inlineStr">
        <x:is>
          <x:t>跟随职业</x:t>
        </x:is>
      </x:c>
      <x:c r="L2">
        <x:f>IFERROR(MATCH('人物卡'!H46,$F$2:$F$106,0),0)</x:f>
        <x:v>1</x:v>
      </x:c>
    </x:row>
    <x:row r="3">
      <x:c r="A3" t="inlineStr">
        <x:is>
          <x:t>特警部队</x:t>
        </x:is>
      </x:c>
      <x:c r="B3" t="inlineStr">
        <x:is>
          <x:t>徽章及证件；突击步枪或卡宾枪（激光瞄准镜、下挂灯），备用弹匣×6；半自动霰弹枪（备弹×6）；中型手枪（弹匣×2）；战术匕首；闪光弹及催泪手雷；电击枪；胡椒喷雾；塑料手铐。</x:t>
        </x:is>
      </x:c>
      <x:c r="C3" t="inlineStr">
        <x:is>
          <x:t>破门槌；哈利根撬棍；防爆盾；战术电台及耳麦；战术护甲及头盔；机构背心；护膝护肘；手套；防火头套；有色眼镜；突击织带；水化系统；望远镜；强光灯；速降绳索安全套件。</x:t>
        </x:is>
      </x:c>
      <x:c r="D3" t="inlineStr">
        <x:is>
          <x: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
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x:t>
        </x:is>
      </x:c>
      <x:c r="F3" t="inlineStr">
        <x:is>
          <x:t>（主持人自定义职业模板栏位）</x:t>
        </x:is>
      </x:c>
      <x:c r="G3" t="inlineStr">
        <x:is>
          <x:t/>
        </x:is>
      </x:c>
      <x:c r="H3" t="inlineStr">
        <x:is>
          <x:t/>
        </x:is>
      </x:c>
      <x:c r="J3" t="inlineStr">
        <x:is>
          <x:t>联邦特工</x:t>
        </x:is>
      </x:c>
      <x:c r="L3" t="str">
        <x:f>IF(L2=0,"",INDEX($G$2:$G$106,L2))</x:f>
        <x:v/>
      </x:c>
    </x:row>
    <x:row r="4">
      <x:c r="A4" t="inlineStr">
        <x:is>
          <x:t>特种作战员</x:t>
        </x:is>
      </x:c>
      <x:c r="B4" t="inlineStr">
        <x:is>
          <x:t>狗牌；全息瞄准镜及激光指示器；胸挂备用弹匣×6；中型手枪及枪套、弹匣×2；破片手雷×2；烟雾弹×2；闪光弹×2；格斗匕首；塑料手铐。</x:t>
        </x:is>
      </x:c>
      <x:c r="C4" t="inlineStr">
        <x:is>
          <x:t>战术护甲；凯夫拉尔头盔；战术灯；眼镜或太阳镜；夜视镜；军用电台及耳麦；多功能工具；指南针；战地止血包；GPS。</x:t>
        </x:is>
      </x:c>
      <x:c r="D4" t="inlineStr">
        <x:is>
          <x: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
以及 GPS。</x:t>
        </x:is>
      </x:c>
      <x:c r="F4" t="inlineStr">
        <x:is>
          <x:t>（这几栏可以自由编辑）</x:t>
        </x:is>
      </x:c>
      <x:c r="G4" t="inlineStr">
        <x:is>
          <x:t/>
        </x:is>
      </x:c>
      <x:c r="H4" t="inlineStr">
        <x:is>
          <x:t/>
        </x:is>
      </x:c>
      <x:c r="J4" t="inlineStr">
        <x:is>
          <x:t>特警部队</x:t>
        </x:is>
      </x:c>
      <x:c r="L4" t="str">
        <x:f>IF(OR('人物卡'!DH2="跟随职业",'人物卡'!DH2=""),L3,IF('人物卡'!DH2="自定义","",'人物卡'!DH2))</x:f>
        <x:v/>
      </x:c>
    </x:row>
    <x:row r="5">
      <x:c r="A5" t="inlineStr">
        <x:is>
          <x:t>警局警员</x:t>
        </x:is>
      </x:c>
      <x:c r="B5" t="inlineStr">
        <x:is>
          <x:t>徽章及证件；强化凯夫拉尔背心；勤务腰带；中型手枪、弹匣×2；胡椒喷雾和／或电击枪；警棍；折叠匕首；手铐；灯；无线电；笔及记事本。可选：备用轻型手枪、弹药、手套、多功能工具、止血用品。部分部门配摄录设备。</x:t>
        </x:is>
      </x:c>
      <x:c r="C5" t="inlineStr">
        <x:is>
          <x:t>巡逻车：电台；卡宾枪或霰弹枪及弹药；防暴头盔及警棍；道钉；照明弹；反光背心；证据袋；交通锥；病原体试剂盒；灭火器；电脑及驾照扫描器；毛绒玩具或毛毯；毛巾；撬棍及工具；天气装备；文书及参考册；水、能量棒、抗菌凝胶。</x:t>
        </x:is>
      </x:c>
      <x:c r="D5" t="inlineStr">
        <x:is>
          <x: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
大部分警员会携带一把轻型备用手枪放在脚踝处或是内衬里，额外的备用子弹，皮革手套，多功能工具，止血凝胶，应急绷带和自救止血器。
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
各式各样的工具和对抗恶劣天气的装备，写字夹板，表格和文书用具，地图册和参考册（药品识别，危险品编号，恐怖主义应对策略），瓶装水，能量棒，和抗菌凝胶。</x:t>
        </x:is>
      </x:c>
      <x:c r="F5" t="inlineStr">
        <x:is>
          <x:t>（一般用于主持人提供的职业模板）</x:t>
        </x:is>
      </x:c>
      <x:c r="G5" t="inlineStr">
        <x:is>
          <x:t/>
        </x:is>
      </x:c>
      <x:c r="H5" t="inlineStr">
        <x:is>
          <x:t/>
        </x:is>
      </x:c>
      <x:c r="J5" t="inlineStr">
        <x:is>
          <x:t>特种作战员</x:t>
        </x:is>
      </x:c>
      <x:c r="L5" t="str">
        <x:f>IF(L2=0,"",INDEX($H$2:$H$106,L2))</x:f>
        <x:v/>
      </x:c>
    </x:row>
    <x:row r="6">
      <x:c r="A6" t="inlineStr">
        <x:is>
          <x:t>典型的警用应急包</x:t>
        </x:is>
      </x:c>
      <x:c r="B6" t="inlineStr">
        <x:is>
          <x:t>急救套件；自救止血器；止血凝胶；衣服；几盒弹药；额外手枪和／或卡宾枪弹匣；手电筒；折叠匕首。</x:t>
        </x:is>
      </x:c>
      <x:c r="C6" t="inlineStr">
        <x:is>
          <x:t>基础工具；制门器；粉笔；瓶装水；能量棒；电池；防晒霜；抗菌凝胶。</x:t>
        </x:is>
      </x:c>
      <x:c r="D6" t="inlineStr">
        <x:is>
          <x:t>急救套件，自救止血器，止血凝胶，衣服，几盒弹药，额外的手枪和/或卡宾枪的弹匣，手电筒，折叠匕首，基础工具，制门器，粉笔，瓶装水，能量棒，电池，防晒霜，和抗菌凝胶。</x:t>
        </x:is>
      </x:c>
      <x:c r="F6" t="inlineStr">
        <x:is>
          <x:t>（玩家自定义模板不建议放这里）</x:t>
        </x:is>
      </x:c>
      <x:c r="G6" t="inlineStr">
        <x:is>
          <x:t/>
        </x:is>
      </x:c>
      <x:c r="H6" t="inlineStr">
        <x:is>
          <x:t/>
        </x:is>
      </x:c>
      <x:c r="J6" t="inlineStr">
        <x:is>
          <x:t>警局警员</x:t>
        </x:is>
      </x:c>
      <x:c r="L6" t="str">
        <x:f>IF(L4="","",INDEX($B$2:$B$6,MATCH(L4,$A$2:$A$6,0)))</x:f>
        <x:v/>
      </x:c>
    </x:row>
    <x:row r="7">
      <x:c r="F7" t="inlineStr">
        <x:is>
          <x:t>（直接填写技能即可，毕竟模板只是参考）</x:t>
        </x:is>
      </x:c>
      <x:c r="G7" t="inlineStr">
        <x:is>
          <x:t/>
        </x:is>
      </x:c>
      <x:c r="H7" t="inlineStr">
        <x:is>
          <x:t/>
        </x:is>
      </x:c>
      <x:c r="J7" t="inlineStr">
        <x:is>
          <x:t>典型的警用应急包</x:t>
        </x:is>
      </x:c>
      <x:c r="L7" t="str">
        <x:f>IF(L4="","",INDEX($C$2:$C$6,MATCH(L4,$A$2:$A$6,0)))</x:f>
        <x:v/>
      </x:c>
    </x:row>
    <x:row r="8">
      <x:c r="F8" t="inlineStr">
        <x:is>
          <x:t>人类学家或历史学家</x:t>
        </x:is>
      </x:c>
      <x:c r="G8" t="inlineStr">
        <x:is>
          <x:t/>
        </x:is>
      </x:c>
      <x:c r="H8" t="inlineStr">
        <x:is>
          <x:t/>
        </x:is>
      </x:c>
      <x:c r="J8" t="inlineStr">
        <x:is>
          <x:t>自定义</x:t>
        </x:is>
      </x:c>
    </x:row>
    <x:row r="9">
      <x:c r="F9" t="inlineStr">
        <x:is>
          <x:t>计算机科学家或工程师</x:t>
        </x:is>
      </x:c>
      <x:c r="G9" t="inlineStr">
        <x:is>
          <x:t/>
        </x:is>
      </x:c>
      <x:c r="H9" t="inlineStr">
        <x:is>
          <x:t/>
        </x:is>
      </x:c>
    </x:row>
    <x:row r="10">
      <x:c r="F10" t="inlineStr">
        <x:is>
          <x:t>联邦探员</x:t>
        </x:is>
      </x:c>
      <x:c r="G10" t="inlineStr">
        <x:is>
          <x:t>联邦特工</x:t>
        </x:is>
      </x:c>
      <x:c r="H10" t="inlineStr">
        <x:is>
          <x:t/>
        </x:is>
      </x:c>
    </x:row>
    <x:row r="11">
      <x:c r="F11" t="inlineStr">
        <x:is>
          <x:t>医生</x:t>
        </x:is>
      </x:c>
      <x:c r="G11" t="inlineStr">
        <x:is>
          <x:t/>
        </x:is>
      </x:c>
      <x:c r="H11" t="inlineStr">
        <x:is>
          <x:t/>
        </x:is>
      </x:c>
    </x:row>
    <x:row r="12">
      <x:c r="F12" t="inlineStr">
        <x:is>
          <x:t>科学家</x:t>
        </x:is>
      </x:c>
      <x:c r="G12" t="inlineStr">
        <x:is>
          <x:t/>
        </x:is>
      </x:c>
      <x:c r="H12" t="inlineStr">
        <x:is>
          <x:t/>
        </x:is>
      </x:c>
    </x:row>
    <x:row r="13">
      <x:c r="F13" t="inlineStr">
        <x:is>
          <x:t>特种作战员</x:t>
        </x:is>
      </x:c>
      <x:c r="G13" t="inlineStr">
        <x:is>
          <x:t>特种作战员</x:t>
        </x:is>
      </x:c>
      <x:c r="H13" t="inlineStr">
        <x:is>
          <x:t/>
        </x:is>
      </x:c>
    </x:row>
    <x:row r="14">
      <x:c r="F14" t="inlineStr">
        <x:is>
          <x:t>【额外】罪犯</x:t>
        </x:is>
      </x:c>
      <x:c r="G14" t="inlineStr">
        <x:is>
          <x:t/>
        </x:is>
      </x:c>
      <x:c r="H14" t="inlineStr">
        <x:is>
          <x:t/>
        </x:is>
      </x:c>
    </x:row>
    <x:row r="15">
      <x:c r="F15" t="inlineStr">
        <x:is>
          <x:t>【额外】消防队员</x:t>
        </x:is>
      </x:c>
      <x:c r="G15" t="inlineStr">
        <x:is>
          <x:t/>
        </x:is>
      </x:c>
      <x:c r="H15" t="inlineStr">
        <x:is>
          <x:t/>
        </x:is>
      </x:c>
    </x:row>
    <x:row r="16">
      <x:c r="F16" t="inlineStr">
        <x:is>
          <x:t>【额外】外事官员</x:t>
        </x:is>
      </x:c>
      <x:c r="G16" t="inlineStr">
        <x:is>
          <x:t/>
        </x:is>
      </x:c>
      <x:c r="H16" t="inlineStr">
        <x:is>
          <x:t/>
        </x:is>
      </x:c>
    </x:row>
    <x:row r="17">
      <x:c r="F17" t="inlineStr">
        <x:is>
          <x:t>【额外】情报分析员</x:t>
        </x:is>
      </x:c>
      <x:c r="G17" t="inlineStr">
        <x:is>
          <x:t/>
        </x:is>
      </x:c>
      <x:c r="H17" t="inlineStr">
        <x:is>
          <x:t/>
        </x:is>
      </x:c>
    </x:row>
    <x:row r="18">
      <x:c r="F18" t="inlineStr">
        <x:is>
          <x:t>【额外】情报官员</x:t>
        </x:is>
      </x:c>
      <x:c r="G18" t="inlineStr">
        <x:is>
          <x:t/>
        </x:is>
      </x:c>
      <x:c r="H18" t="inlineStr">
        <x:is>
          <x:t/>
        </x:is>
      </x:c>
    </x:row>
    <x:row r="19">
      <x:c r="F19" t="inlineStr">
        <x:is>
          <x:t>【额外】律师或商务主管</x:t>
        </x:is>
      </x:c>
      <x:c r="G19" t="inlineStr">
        <x:is>
          <x:t/>
        </x:is>
      </x:c>
      <x:c r="H19" t="inlineStr">
        <x:is>
          <x:t/>
        </x:is>
      </x:c>
    </x:row>
    <x:row r="20">
      <x:c r="F20" t="inlineStr">
        <x:is>
          <x:t>【额外】媒体专家</x:t>
        </x:is>
      </x:c>
      <x:c r="G20" t="inlineStr">
        <x:is>
          <x:t/>
        </x:is>
      </x:c>
      <x:c r="H20" t="inlineStr">
        <x:is>
          <x:t/>
        </x:is>
      </x:c>
    </x:row>
    <x:row r="21">
      <x:c r="F21" t="inlineStr">
        <x:is>
          <x:t>【额外】护士或护理人员</x:t>
        </x:is>
      </x:c>
      <x:c r="G21" t="inlineStr">
        <x:is>
          <x:t/>
        </x:is>
      </x:c>
      <x:c r="H21" t="inlineStr">
        <x:is>
          <x:t/>
        </x:is>
      </x:c>
    </x:row>
    <x:row r="22">
      <x:c r="F22" t="inlineStr">
        <x:is>
          <x:t>【额外】飞行员或水手</x:t>
        </x:is>
      </x:c>
      <x:c r="G22" t="inlineStr">
        <x:is>
          <x:t/>
        </x:is>
      </x:c>
      <x:c r="H22" t="inlineStr">
        <x:is>
          <x:t/>
        </x:is>
      </x:c>
    </x:row>
    <x:row r="23">
      <x:c r="F23" t="inlineStr">
        <x:is>
          <x:t>【额外】警察</x:t>
        </x:is>
      </x:c>
      <x:c r="G23" t="inlineStr">
        <x:is>
          <x:t>警局警员</x:t>
        </x:is>
      </x:c>
      <x:c r="H23" t="inlineStr">
        <x:is>
          <x:t/>
        </x:is>
      </x:c>
    </x:row>
    <x:row r="24">
      <x:c r="F24" t="inlineStr">
        <x:is>
          <x:t>【额外】项目群经理</x:t>
        </x:is>
      </x:c>
      <x:c r="G24" t="inlineStr">
        <x:is>
          <x:t/>
        </x:is>
      </x:c>
      <x:c r="H24" t="inlineStr">
        <x:is>
          <x:t/>
        </x:is>
      </x:c>
    </x:row>
    <x:row r="25">
      <x:c r="F25" t="inlineStr">
        <x:is>
          <x:t>【额外】士兵或海军陆战队员</x:t>
        </x:is>
      </x:c>
      <x:c r="G25" t="inlineStr">
        <x:is>
          <x:t/>
        </x:is>
      </x:c>
      <x:c r="H25" t="inlineStr">
        <x:is>
          <x:t/>
        </x:is>
      </x:c>
    </x:row>
    <x:row r="26">
      <x:c r="F26" t="inlineStr">
        <x:is>
          <x:t>FBI / 犯罪调查处（CID）</x:t>
        </x:is>
      </x:c>
      <x:c r="G26" t="inlineStr">
        <x:is>
          <x:t>联邦特工</x:t>
        </x:is>
      </x:c>
      <x:c r="H26" t="inlineStr">
        <x:is>
          <x:t/>
        </x:is>
      </x:c>
    </x:row>
    <x:row r="27">
      <x:c r="F27" t="inlineStr">
        <x:is>
          <x:t>FBI / 国家安保部（NSB）</x:t>
        </x:is>
      </x:c>
      <x:c r="G27" t="inlineStr">
        <x:is>
          <x:t>联邦特工</x:t>
        </x:is>
      </x:c>
      <x:c r="H27" t="inlineStr">
        <x:is>
          <x:t>一台强固式笔电，加载先进的数据分析软件，化学嗅探器/分析仪。</x:t>
        </x:is>
      </x:c>
    </x:row>
    <x:row r="28">
      <x:c r="F28" t="inlineStr">
        <x:is>
          <x:t>FBI / 调查与行动支援科（IOSS）</x:t>
        </x:is>
      </x:c>
      <x:c r="G28" t="inlineStr">
        <x:is>
          <x:t/>
        </x:is>
      </x:c>
      <x:c r="H28" t="inlineStr">
        <x:is>
          <x:t>收藏广泛的专业图书馆，ViCAP的使用权限，且/或使用最先进的犯罪学软件。</x:t>
        </x:is>
      </x:c>
    </x:row>
    <x:row r="29">
      <x:c r="F29" t="inlineStr">
        <x:is>
          <x:t>FBI / 情报部</x:t>
        </x:is>
      </x:c>
      <x:c r="G29" t="inlineStr">
        <x:is>
          <x:t/>
        </x:is>
      </x:c>
      <x:c r="H29" t="inlineStr">
        <x:is>
          <x:t>语言培训材料或电子监控设备。</x:t>
        </x:is>
      </x:c>
    </x:row>
    <x:row r="30">
      <x:c r="F30" t="inlineStr">
        <x:is>
          <x:t>FBI / 人质救援队（HRT）或特警队（SWAT）</x:t>
        </x:is>
      </x:c>
      <x:c r="G30" t="inlineStr">
        <x:is>
          <x:t>特警部队</x:t>
        </x:is>
      </x:c>
      <x:c r="H30" t="inlineStr">
        <x:is>
          <x:t>HRT还能获得专业便携式电脑，可使用FBI的指纹自动识别系统（IAFIS）及DoD的自动生物识别系统（ABIS）。</x:t>
        </x:is>
      </x:c>
    </x:row>
    <x:row r="31">
      <x:c r="F31" t="inlineStr">
        <x:is>
          <x:t>DEA / 行动分处</x:t>
        </x:is>
      </x:c>
      <x:c r="G31" t="inlineStr">
        <x:is>
          <x:t>联邦特工</x:t>
        </x:is>
      </x:c>
      <x:c r="H31" t="inlineStr">
        <x:is>
          <x:t/>
        </x:is>
      </x:c>
    </x:row>
    <x:row r="32">
      <x:c r="F32" t="inlineStr">
        <x:is>
          <x:t>DEA / 行动支援分处</x:t>
        </x:is>
      </x:c>
      <x:c r="G32" t="inlineStr">
        <x:is>
          <x:t/>
        </x:is>
      </x:c>
      <x:c r="H32" t="inlineStr">
        <x:is>
          <x:t>专业资料库和技术设备。</x:t>
        </x:is>
      </x:c>
    </x:row>
    <x:row r="33">
      <x:c r="F33" t="inlineStr">
        <x:is>
          <x:t>DEA / 特种作战科（SOD）</x:t>
        </x:is>
      </x:c>
      <x:c r="G33" t="inlineStr">
        <x:is>
          <x:t/>
        </x:is>
      </x:c>
      <x:c r="H33" t="inlineStr">
        <x:is>
          <x:t>窃听装置及电子监控设备。</x:t>
        </x:is>
      </x:c>
    </x:row>
    <x:row r="34">
      <x:c r="F34" t="inlineStr">
        <x:is>
          <x:t>DEA / 海外部署咨询与支援小组（FAST）</x:t>
        </x:is>
      </x:c>
      <x:c r="G34" t="inlineStr">
        <x:is>
          <x:t>警局警员</x:t>
        </x:is>
      </x:c>
      <x:c r="H34" t="inlineStr">
        <x:is>
          <x:t/>
        </x:is>
      </x:c>
    </x:row>
    <x:row r="35">
      <x:c r="F35" t="inlineStr">
        <x:is>
          <x:t>ICE / 国土调查处（HSI）</x:t>
        </x:is>
      </x:c>
      <x:c r="G35" t="inlineStr">
        <x:is>
          <x:t>联邦特工</x:t>
        </x:is>
      </x:c>
      <x:c r="H35" t="inlineStr">
        <x:is>
          <x:t/>
        </x:is>
      </x:c>
    </x:row>
    <x:row r="36">
      <x:c r="F36" t="inlineStr">
        <x:is>
          <x:t>ICE / HIS，情报办公室</x:t>
        </x:is>
      </x:c>
      <x:c r="G36" t="inlineStr">
        <x:is>
          <x:t>联邦特工</x:t>
        </x:is>
      </x:c>
      <x:c r="H36" t="inlineStr">
        <x:is>
          <x:t/>
        </x:is>
      </x:c>
    </x:row>
    <x:row r="37">
      <x:c r="F37" t="inlineStr">
        <x:is>
          <x:t>ICE / 特别应对小组（SRT）</x:t>
        </x:is>
      </x:c>
      <x:c r="G37" t="inlineStr">
        <x:is>
          <x:t>特警部队</x:t>
        </x:is>
      </x:c>
      <x:c r="H37" t="inlineStr">
        <x:is>
          <x:t/>
        </x:is>
      </x:c>
    </x:row>
    <x:row r="38">
      <x:c r="F38" t="inlineStr">
        <x:is>
          <x:t>ICE / 遣返行动执法处（ERO）</x:t>
        </x:is>
      </x:c>
      <x:c r="G38" t="inlineStr">
        <x:is>
          <x:t>联邦特工</x:t>
        </x:is>
      </x:c>
      <x:c r="H38" t="inlineStr">
        <x:is>
          <x:t/>
        </x:is>
      </x:c>
    </x:row>
    <x:row r="39">
      <x:c r="F39" t="inlineStr">
        <x:is>
          <x:t>USMS / 调查行动处</x:t>
        </x:is>
      </x:c>
      <x:c r="G39" t="inlineStr">
        <x:is>
          <x:t>联邦特工</x:t>
        </x:is>
      </x:c>
      <x:c r="H39" t="inlineStr">
        <x:is>
          <x:t/>
        </x:is>
      </x:c>
    </x:row>
    <x:row r="40">
      <x:c r="F40" t="inlineStr">
        <x:is>
          <x:t>USMS / 特种行动队（SOG）</x:t>
        </x:is>
      </x:c>
      <x:c r="G40" t="inlineStr">
        <x:is>
          <x:t>特警部队</x:t>
        </x:is>
      </x:c>
      <x:c r="H40" t="inlineStr">
        <x:is>
          <x:t/>
        </x:is>
      </x:c>
    </x:row>
    <x:row r="41">
      <x:c r="F41" t="inlineStr">
        <x:is>
          <x:t>陆军 / 传染病医学研究院（USAMRIID）</x:t>
        </x:is>
      </x:c>
      <x:c r="G41" t="inlineStr">
        <x:is>
          <x:t/>
        </x:is>
      </x:c>
      <x:c r="H41" t="inlineStr">
        <x:is>
          <x:t>有关传染病生物战的大量藏书；能够取得高科技实验器材（包括最高级的生物安全装备）以及世界上最危险的微生物样本。</x:t>
        </x:is>
      </x:c>
    </x:row>
    <x:row r="42">
      <x:c r="F42" t="inlineStr">
        <x:is>
          <x:t>陆军 / 第902军事情报大队</x:t>
        </x:is>
      </x:c>
      <x:c r="G42" t="inlineStr">
        <x:is>
          <x:t>特种作战员</x:t>
        </x:is>
      </x:c>
      <x:c r="H42" t="inlineStr">
        <x:is>
          <x:t>特化的情报和许多不同的生存装备。</x:t>
        </x:is>
      </x:c>
    </x:row>
    <x:row r="43">
      <x:c r="F43" t="inlineStr">
        <x:is>
          <x:t>陆军 / 第10山地师</x:t>
        </x:is>
      </x:c>
      <x:c r="G43" t="inlineStr">
        <x:is>
          <x:t>特种作战员</x:t>
        </x:is>
      </x:c>
      <x:c r="H43" t="inlineStr">
        <x:is>
          <x:t>专门的寒冷天气、高山和沙漠生存装备和设备。</x:t>
        </x:is>
      </x:c>
    </x:row>
    <x:row r="44">
      <x:c r="F44" t="inlineStr">
        <x:is>
          <x:t>陆军 / 第1旅，第1骑兵师（“铁马旅”）</x:t>
        </x:is>
      </x:c>
      <x:c r="G44" t="inlineStr">
        <x:is>
          <x:t>特种作战员</x:t>
        </x:is>
      </x:c>
      <x:c r="H44" t="inlineStr">
        <x:is>
          <x:t>先进的监视、监听设备，包括远距离、加固的激光指示器。</x:t>
        </x:is>
      </x:c>
    </x:row>
    <x:row r="45">
      <x:c r="F45" t="inlineStr">
        <x:is>
          <x:t>陆军 / 医疗兵团</x:t>
        </x:is>
      </x:c>
      <x:c r="G45" t="inlineStr">
        <x:is>
          <x:t/>
        </x:is>
      </x:c>
      <x:c r="H45" t="inlineStr">
        <x:is>
          <x:t>用来诊断和治疗的大量医用工具，包括便携式手术器材或特化装备。</x:t>
        </x:is>
      </x:c>
    </x:row>
    <x:row r="46">
      <x:c r="F46" t="inlineStr">
        <x:is>
          <x:t>陆军SOCOM / 第1特种作战群</x:t>
        </x:is>
      </x:c>
      <x:c r="G46" t="inlineStr">
        <x:is>
          <x:t>特种作战员</x:t>
        </x:is>
      </x:c>
      <x:c r="H46" t="inlineStr">
        <x:is>
          <x:t/>
        </x:is>
      </x:c>
    </x:row>
    <x:row r="47">
      <x:c r="F47" t="inlineStr">
        <x:is>
          <x:t>陆军SOCOM / 第75游骑兵团</x:t>
        </x:is>
      </x:c>
      <x:c r="G47" t="inlineStr">
        <x:is>
          <x:t>特种作战员</x:t>
        </x:is>
      </x:c>
      <x:c r="H47" t="inlineStr">
        <x:is>
          <x:t/>
        </x:is>
      </x:c>
    </x:row>
    <x:row r="48">
      <x:c r="F48" t="inlineStr">
        <x:is>
          <x:t>陆军SOCOM / 第4军事信息支援大队</x:t>
        </x:is>
      </x:c>
      <x:c r="G48" t="inlineStr">
        <x:is>
          <x:t>特种作战员</x:t>
        </x:is>
      </x:c>
      <x:c r="H48" t="inlineStr">
        <x:is>
          <x:t/>
        </x:is>
      </x:c>
    </x:row>
    <x:row r="49">
      <x:c r="F49" t="inlineStr">
        <x:is>
          <x:t>陆军SOCOM / 第160特种作战航空团（“暗夜潜行者”）</x:t>
        </x:is>
      </x:c>
      <x:c r="G49" t="inlineStr">
        <x:is>
          <x:t>特种作战员</x:t>
        </x:is>
      </x:c>
      <x:c r="H49" t="inlineStr">
        <x:is>
          <x:t>维修直升机设备的操作手册和现场手册。</x:t>
        </x:is>
      </x:c>
    </x:row>
    <x:row r="50">
      <x:c r="F50" t="inlineStr">
        <x:is>
          <x:t>陆军SOCOM / 情报支持行动处</x:t>
        </x:is>
      </x:c>
      <x:c r="G50" t="inlineStr">
        <x:is>
          <x:t>特种作战员</x:t>
        </x:is>
      </x:c>
      <x:c r="H50" t="inlineStr">
        <x:is>
          <x:t>能查阅机密报告。</x:t>
        </x:is>
      </x:c>
    </x:row>
    <x:row r="51">
      <x:c r="F51" t="inlineStr">
        <x:is>
          <x:t>空军 / 第41救援中队</x:t>
        </x:is>
      </x:c>
      <x:c r="G51" t="inlineStr">
        <x:is>
          <x:t/>
        </x:is>
      </x:c>
      <x:c r="H51" t="inlineStr">
        <x:is>
          <x:t>故障排除手册，飞行器检查清单，可以访问机密的地理空间数据和摄影材料。</x:t>
        </x:is>
      </x:c>
    </x:row>
    <x:row r="52">
      <x:c r="F52" t="inlineStr">
        <x:is>
          <x:t>空军 / 614航空航天运营中心</x:t>
        </x:is>
      </x:c>
      <x:c r="G52" t="inlineStr">
        <x:is>
          <x:t/>
        </x:is>
      </x:c>
      <x:c r="H52" t="inlineStr">
        <x:is>
          <x:t>可以访问夏安山，以及从国防到民用领域的有关太空的机密报告。</x:t>
        </x:is>
      </x:c>
    </x:row>
    <x:row r="53">
      <x:c r="F53" t="inlineStr">
        <x:is>
          <x:t>空军 / 432d行动小组</x:t>
        </x:is>
      </x:c>
      <x:c r="G53" t="inlineStr">
        <x:is>
          <x:t/>
        </x:is>
      </x:c>
      <x:c r="H53" t="inlineStr">
        <x:is>
          <x:t>故障排除手册，飞行检查清单，可以访问机密的地理空间数据和摄影材料。</x:t>
        </x:is>
      </x:c>
    </x:row>
    <x:row r="54">
      <x:c r="F54" t="inlineStr">
        <x:is>
          <x:t>空军 / 第70情报、监视和侦察（ISR）联队</x:t>
        </x:is>
      </x:c>
      <x:c r="G54" t="inlineStr">
        <x:is>
          <x:t>联邦特工</x:t>
        </x:is>
      </x:c>
      <x:c r="H54" t="inlineStr">
        <x:is>
          <x:t/>
        </x:is>
      </x:c>
    </x:row>
    <x:row r="55">
      <x:c r="F55" t="inlineStr">
        <x:is>
          <x:t>空军 / 第354战斗机中队</x:t>
        </x:is>
      </x:c>
      <x:c r="G55" t="inlineStr">
        <x:is>
          <x:t/>
        </x:is>
      </x:c>
      <x:c r="H55" t="inlineStr">
        <x:is>
          <x:t>故障排除手册，飞行检查清单，可以访问飞机以及相关业务设施。</x:t>
        </x:is>
      </x:c>
    </x:row>
    <x:row r="56">
      <x:c r="F56" t="inlineStr">
        <x:is>
          <x:t>空军 / 第318网络空间运营小组</x:t>
        </x:is>
      </x:c>
      <x:c r="G56" t="inlineStr">
        <x:is>
          <x:t/>
        </x:is>
      </x:c>
      <x:c r="H56" t="inlineStr">
        <x:is>
          <x:t>故障排除手册，飞行检查清单，可以访问飞机以及相关业务设施。</x:t>
        </x:is>
      </x:c>
    </x:row>
    <x:row r="57">
      <x:c r="F57" t="inlineStr">
        <x:is>
          <x:t>空军SOCOM / 第24特战联队，第720特种战术大队</x:t>
        </x:is>
      </x:c>
      <x:c r="G57" t="inlineStr">
        <x:is>
          <x:t>特种作战员</x:t>
        </x:is>
      </x:c>
      <x:c r="H57" t="inlineStr">
        <x:is>
          <x:t>野战医疗包（辅助救援）、先进的监视和电子套件（战斗控制员和战斗气象技术人员）。</x:t>
        </x:is>
      </x:c>
    </x:row>
    <x:row r="58">
      <x:c r="F58" t="inlineStr">
        <x:is>
          <x:t>海军 / 罪案调查处（NCIS）</x:t>
        </x:is>
      </x:c>
      <x:c r="G58" t="inlineStr">
        <x:is>
          <x:t>联邦特工</x:t>
        </x:is>
      </x:c>
      <x:c r="H58" t="inlineStr">
        <x:is>
          <x:t/>
        </x:is>
      </x:c>
    </x:row>
    <x:row r="59">
      <x:c r="F59" t="inlineStr">
        <x:is>
          <x:t>海军 / 爆炸品处理部队（EOD）</x:t>
        </x:is>
      </x:c>
      <x:c r="G59" t="inlineStr">
        <x:is>
          <x:t/>
        </x:is>
      </x:c>
      <x:c r="H59" t="inlineStr">
        <x:is>
          <x:t>机械和工程工具，个人防护装备（PPE），硬化手套和护目镜，一个大型的物理科学、化学和爆破学图书馆。</x:t>
        </x:is>
      </x:c>
    </x:row>
    <x:row r="60">
      <x:c r="F60" t="inlineStr">
        <x:is>
          <x:t>海军 / 医务兵</x:t>
        </x:is>
      </x:c>
      <x:c r="G60" t="inlineStr">
        <x:is>
          <x:t/>
        </x:is>
      </x:c>
      <x:c r="H60" t="inlineStr">
        <x:is>
          <x:t>便携式医疗器械。</x:t>
        </x:is>
      </x:c>
    </x:row>
    <x:row r="61">
      <x:c r="F61" t="inlineStr">
        <x:is>
          <x:t>海军SOCOM / 特种作战开发群&amp;三栖特战队第一小队</x:t>
        </x:is>
      </x:c>
      <x:c r="G61" t="inlineStr">
        <x:is>
          <x:t>特种作战员</x:t>
        </x:is>
      </x:c>
      <x:c r="H61" t="inlineStr">
        <x:is>
          <x:t>SCUBA 和游泳装备。所有设备都是防水的。</x:t>
        </x:is>
      </x:c>
    </x:row>
    <x:row r="62">
      <x:c r="F62" t="inlineStr">
        <x:is>
          <x:t>海军陆战队 / 武装侦察部队</x:t>
        </x:is>
      </x:c>
      <x:c r="G62" t="inlineStr">
        <x:is>
          <x:t>特种作战员</x:t>
        </x:is>
      </x:c>
      <x:c r="H62" t="inlineStr">
        <x:is>
          <x:t>先进的监视设备、安装在武器上的激光指示灯、莫斯伯格500 泵动式霰弹枪、远距离热成像仪。</x:t>
        </x:is>
      </x:c>
    </x:row>
    <x:row r="63">
      <x:c r="F63" t="inlineStr">
        <x:is>
          <x:t>海军陆战队 / 公共事务处战地摄影师</x:t>
        </x:is>
      </x:c>
      <x:c r="G63" t="inlineStr">
        <x:is>
          <x:t>特种作战员</x:t>
        </x:is>
      </x:c>
      <x:c r="H63" t="inlineStr">
        <x:is>
          <x:t/>
        </x:is>
      </x:c>
    </x:row>
    <x:row r="64">
      <x:c r="F64" t="inlineStr">
        <x:is>
          <x:t>海军陆战队 / 海上特殊目的部队</x:t>
        </x:is>
      </x:c>
      <x:c r="G64" t="inlineStr">
        <x:is>
          <x:t/>
        </x:is>
      </x:c>
      <x:c r="H64" t="inlineStr">
        <x:is>
          <x:t>照相机或摄像机，制作及监控设备。</x:t>
        </x:is>
      </x:c>
    </x:row>
    <x:row r="65">
      <x:c r="F65" t="inlineStr">
        <x:is>
          <x:t>海军陆战队 / 海军陆战保安团</x:t>
        </x:is>
      </x:c>
      <x:c r="G65" t="inlineStr">
        <x:is>
          <x:t>特种作战员</x:t>
        </x:is>
      </x:c>
      <x:c r="H65" t="inlineStr">
        <x:is>
          <x:t/>
        </x:is>
      </x:c>
    </x:row>
    <x:row r="66">
      <x:c r="F66" t="inlineStr">
        <x:is>
          <x:t>海军陆战队SOCOM / 陆战队突击团</x:t>
        </x:is>
      </x:c>
      <x:c r="G66" t="inlineStr">
        <x:is>
          <x:t>特种作战员</x:t>
        </x:is>
      </x:c>
      <x:c r="H66" t="inlineStr">
        <x:is>
          <x:t/>
        </x:is>
      </x:c>
    </x:row>
    <x:row r="67">
      <x:c r="F67" t="inlineStr">
        <x:is>
          <x:t>CIA / 行动处（DO）</x:t>
        </x:is>
      </x:c>
      <x:c r="G67" t="inlineStr">
        <x:is>
          <x:t/>
        </x:is>
      </x:c>
      <x:c r="H67" t="inlineStr">
        <x:is>
          <x:t>能调阅机密报告。</x:t>
        </x:is>
      </x:c>
    </x:row>
    <x:row r="68">
      <x:c r="F68" t="inlineStr">
        <x:is>
          <x:t>CIA / 特别活动处特种作战组（SAD/SOG）</x:t>
        </x:is>
      </x:c>
      <x:c r="G68" t="inlineStr">
        <x:is>
          <x:t>特种作战员</x:t>
        </x:is>
      </x:c>
      <x:c r="H68" t="inlineStr">
        <x:is>
          <x:t>能调阅机密报告。</x:t>
        </x:is>
      </x:c>
    </x:row>
    <x:row r="69">
      <x:c r="F69" t="inlineStr">
        <x:is>
          <x:t>CIA / 特别活动处政治行动组（SAD/PAG）</x:t>
        </x:is>
      </x:c>
      <x:c r="G69" t="inlineStr">
        <x:is>
          <x:t>特种作战员</x:t>
        </x:is>
      </x:c>
      <x:c r="H69" t="inlineStr">
        <x:is>
          <x:t>能调阅机密报告。</x:t>
        </x:is>
      </x:c>
    </x:row>
    <x:row r="70">
      <x:c r="F70" t="inlineStr">
        <x:is>
          <x:t>CIA / 分析科（DA）</x:t>
        </x:is>
      </x:c>
      <x:c r="G70" t="inlineStr">
        <x:is>
          <x:t/>
        </x:is>
      </x:c>
      <x:c r="H70" t="inlineStr">
        <x:is>
          <x:t>能调阅机密报告。</x:t>
        </x:is>
      </x:c>
    </x:row>
    <x:row r="71">
      <x:c r="F71" t="inlineStr">
        <x:is>
          <x:t>DOS / 西半球事务局</x:t>
        </x:is>
      </x:c>
      <x:c r="G71" t="inlineStr">
        <x:is>
          <x:t/>
        </x:is>
      </x:c>
      <x:c r="H71" t="inlineStr">
        <x:is>
          <x:t>调阅其所负责区域的机密报告。笔记本电脑，卫星电话，能连接DOS非密系统的手机。</x:t>
        </x:is>
      </x:c>
    </x:row>
    <x:row r="72">
      <x:c r="F72" t="inlineStr">
        <x:is>
          <x:t>DOS / 外交安全局（FSO）</x:t>
        </x:is>
      </x:c>
      <x:c r="G72" t="inlineStr">
        <x:is>
          <x:t>联邦特工</x:t>
        </x:is>
      </x:c>
      <x:c r="H72" t="inlineStr">
        <x:is>
          <x:t/>
        </x:is>
      </x:c>
    </x:row>
    <x:row r="73">
      <x:c r="F73" t="inlineStr">
        <x:is>
          <x:t>DOS / 外交信使</x:t>
        </x:is>
      </x:c>
      <x:c r="G73" t="inlineStr">
        <x:is>
          <x:t/>
        </x:is>
      </x:c>
      <x:c r="H73" t="inlineStr">
        <x:is>
          <x:t>数额惊人的航空常客里程和酒店积分。</x:t>
        </x:is>
      </x:c>
    </x:row>
    <x:row r="74">
      <x:c r="F74" t="inlineStr">
        <x:is>
          <x:t>DOS / 国际毒品与执法事务局（INL）</x:t>
        </x:is>
      </x:c>
      <x:c r="G74" t="inlineStr">
        <x:is>
          <x:t/>
        </x:is>
      </x:c>
      <x:c r="H74" t="inlineStr">
        <x:is>
          <x:t>控制某INL项目的预算。</x:t>
        </x:is>
      </x:c>
    </x:row>
    <x:row r="75">
      <x:c r="F75" t="inlineStr">
        <x:is>
          <x:t>DOS / 情报研究局（INR）</x:t>
        </x:is>
      </x:c>
      <x:c r="G75" t="inlineStr">
        <x:is>
          <x:t/>
        </x:is>
      </x:c>
      <x:c r="H75" t="inlineStr">
        <x:is>
          <x:t>调阅机密情报库，包括其他组织的。</x:t>
        </x:is>
      </x:c>
    </x:row>
    <x:row r="76">
      <x:c r="F76" t="inlineStr">
        <x:is>
          <x:t>CDC / 预防和应对中心</x:t>
        </x:is>
      </x:c>
      <x:c r="G76" t="inlineStr">
        <x:is>
          <x:t/>
        </x:is>
      </x:c>
      <x:c r="H76" t="inlineStr">
        <x:is>
          <x:t>控制某项目的预算。</x:t>
        </x:is>
      </x:c>
    </x:row>
    <x:row r="77">
      <x:c r="F77" t="inlineStr">
        <x:is>
          <x:t>CDC / 紧急行动中心</x:t>
        </x:is>
      </x:c>
      <x:c r="G77" t="inlineStr">
        <x:is>
          <x:t/>
        </x:is>
      </x:c>
      <x:c r="H77" t="inlineStr">
        <x:is>
          <x:t>一个大型的专业图书馆；诊断实验室设备；医疗和/或保健设备（主要为便携式或加固的外出用设备），包括防护服和个人防护装备。</x:t>
        </x:is>
      </x:c>
    </x:row>
    <x:row r="78">
      <x:c r="F78" t="inlineStr">
        <x:is>
          <x:t>CDC / 全球快速反应小组（RRT）</x:t>
        </x:is>
      </x:c>
      <x:c r="G78" t="inlineStr">
        <x:is>
          <x:t/>
        </x:is>
      </x:c>
      <x:c r="H78" t="inlineStr">
        <x:is>
          <x:t>便携式诊断实验室设备；医疗和/或保健设备（主要为便携式或加固的外出用设备）；电子图书馆，内容包括药品、毒理学、野外诊断、野外生存野外指南、解剖学和外语；以及一本带有若干出入境印章的护照。</x:t>
        </x:is>
      </x:c>
    </x:row>
    <x:row r="79">
      <x:c r="F79" t="inlineStr">
        <x:is>
          <x:t>CDC / 公共卫生服务军官团（PHSCC）</x:t>
        </x:is>
      </x:c>
      <x:c r="G79" t="inlineStr">
        <x:is>
          <x:t/>
        </x:is>
      </x:c>
      <x:c r="H79" t="inlineStr">
        <x:is>
          <x:t>一个大型的专业图书馆；诊断实验室设备；医疗和/或保健设备（主要为便携式或加固的外出用设备），包括防护服和个人防护装备。</x:t>
        </x:is>
      </x:c>
    </x:row>
    <x:row r="80">
      <x:c r="F80" t="inlineStr">
        <x:is>
          <x:t>EPA / 刑事执法、司法鉴证与培训处（OCEFT）</x:t>
        </x:is>
      </x:c>
      <x:c r="G80" t="inlineStr">
        <x:is>
          <x:t>联邦特工</x:t>
        </x:is>
      </x:c>
      <x:c r="H80" t="inlineStr">
        <x:is>
          <x:t>对CID，请，加上撬棍、锤子和扳手、呼吸器和危险品防护服。对于RTC，设备可能包括环境监测设备，如化学嗅探器和取样设备、下水道照相机和光离子a化检测器。</x:t>
        </x:is>
      </x:c>
    </x:row>
    <x:row r="81">
      <x:c r="F81" t="inlineStr">
        <x:is>
          <x:t>EPA / 区域办事处专家</x:t>
        </x:is>
      </x:c>
      <x:c r="G81" t="inlineStr">
        <x:is>
          <x:t/>
        </x:is>
      </x:c>
      <x:c r="H81" t="inlineStr">
        <x:is>
          <x:t>环境监测设备，如化学嗅探器和取样设备、政府发放的笔记本电脑、呼吸器、B级危险品防护服和能够防护到脚趾的防护靴。</x:t>
        </x:is>
      </x:c>
    </x:row>
    <x:row r="82">
      <x:c r="F82" t="inlineStr">
        <x:is>
          <x:t>CBP / 边境保护（预先清关或入国审查）（OFO/P）</x:t>
        </x:is>
      </x:c>
      <x:c r="G82" t="inlineStr">
        <x:is>
          <x:t>联邦特工</x:t>
        </x:is>
      </x:c>
      <x:c r="H82" t="inlineStr">
        <x:is>
          <x:t/>
        </x:is>
      </x:c>
    </x:row>
    <x:row r="83">
      <x:c r="F83" t="inlineStr">
        <x:is>
          <x:t>CBP / 海上拦截（AMO/MI）</x:t>
        </x:is>
      </x:c>
      <x:c r="G83" t="inlineStr">
        <x:is>
          <x:t>联邦特工</x:t>
        </x:is>
      </x:c>
      <x:c r="H83" t="inlineStr">
        <x:is>
          <x:t>水上生存装备。</x:t>
        </x:is>
      </x:c>
    </x:row>
    <x:row r="84">
      <x:c r="F84" t="inlineStr">
        <x:is>
          <x:t>CBP / 检测犬项目（OFO/K9）</x:t>
        </x:is>
      </x:c>
      <x:c r="G84" t="inlineStr">
        <x:is>
          <x:t>联邦特工</x:t>
        </x:is>
      </x:c>
      <x:c r="H84" t="inlineStr">
        <x:is>
          <x:t>一只工作用犬（工作犬种或竞技犬种）、犬类处理设备和兽医医疗用品。</x:t>
        </x:is>
      </x:c>
    </x:row>
    <x:row r="85">
      <x:c r="F85" t="inlineStr">
        <x:is>
          <x:t>CBP / 边境巡逻队</x:t>
        </x:is>
      </x:c>
      <x:c r="G85" t="inlineStr">
        <x:is>
          <x:t>联邦特工</x:t>
        </x:is>
      </x:c>
      <x:c r="H85" t="inlineStr">
        <x:is>
          <x:t>各式各样的交通工具。</x:t>
        </x:is>
      </x:c>
    </x:row>
    <x:row r="86">
      <x:c r="F86" t="inlineStr">
        <x:is>
          <x:t>CBP / 边境巡逻队战术单位（SOG/BORTAC）</x:t>
        </x:is>
      </x:c>
      <x:c r="G86" t="inlineStr">
        <x:is>
          <x:t>联邦特工</x:t>
        </x:is>
      </x:c>
      <x:c r="H86" t="inlineStr">
        <x:is>
          <x:t/>
        </x:is>
      </x:c>
    </x:row>
    <x:row r="87">
      <x:c r="F87" t="inlineStr">
        <x:is>
          <x:t>CBP / 边境巡逻队搜索、创伤与救援单位（SOG/BORSTAR）</x:t>
        </x:is>
      </x:c>
      <x:c r="G87" t="inlineStr">
        <x:is>
          <x:t>联邦特工</x:t>
        </x:is>
      </x:c>
      <x:c r="H87" t="inlineStr">
        <x:is>
          <x:t>丰富的医疗用品和创伤设备。</x:t>
        </x:is>
      </x:c>
    </x:row>
    <x:row r="88">
      <x:c r="F88" t="inlineStr">
        <x:is>
          <x:t>CBP / 国家空中安全行动（AMO/NASO）</x:t>
        </x:is>
      </x:c>
      <x:c r="G88" t="inlineStr">
        <x:is>
          <x:t/>
        </x:is>
      </x:c>
      <x:c r="H88" t="inlineStr">
        <x:is>
          <x:t>故障排除手册、飞行检查清单，并有权使用P3侦察机或进入安全间操作无人机。</x:t>
        </x:is>
      </x:c>
    </x:row>
    <x:row r="89">
      <x:c r="F89" t="inlineStr">
        <x:is>
          <x:t>ATF / 特种犬项目（SRT/K9）</x:t>
        </x:is>
      </x:c>
      <x:c r="G89" t="inlineStr">
        <x:is>
          <x:t>联邦特工</x:t>
        </x:is>
      </x:c>
      <x:c r="H89" t="inlineStr">
        <x:is>
          <x:t>一只工作用犬（工作犬种）、犬类处理设备和少量兽医医疗用品。</x:t>
        </x:is>
      </x:c>
    </x:row>
    <x:row r="90">
      <x:c r="F90" t="inlineStr">
        <x:is>
          <x:t>ATF / 特种医疗项目（SRT/TMP）</x:t>
        </x:is>
      </x:c>
      <x:c r="G90" t="inlineStr">
        <x:is>
          <x:t>联邦特工</x:t>
        </x:is>
      </x:c>
      <x:c r="H90" t="inlineStr">
        <x:is>
          <x:t>丰富的便携式急救和创伤设备。</x:t>
        </x:is>
      </x:c>
    </x:row>
    <x:row r="91">
      <x:c r="F91" t="inlineStr">
        <x:is>
          <x:t>ATF / 特种行动（SRT/TO）</x:t>
        </x:is>
      </x:c>
      <x:c r="G91" t="inlineStr">
        <x:is>
          <x:t>联邦特工</x:t>
        </x:is>
      </x:c>
      <x:c r="H91" t="inlineStr">
        <x:is>
          <x:t/>
        </x:is>
      </x:c>
    </x:row>
    <x:row r="92">
      <x:c r="F92" t="inlineStr">
        <x:is>
          <x:t>ATF / 外勤行动及调查办公室（OFO）</x:t>
        </x:is>
      </x:c>
      <x:c r="G92" t="inlineStr">
        <x:is>
          <x:t>联邦特工</x:t>
        </x:is>
      </x:c>
      <x:c r="H92" t="inlineStr">
        <x:is>
          <x:t/>
        </x:is>
      </x:c>
    </x:row>
    <x:row r="93">
      <x:c r="F93" t="inlineStr">
        <x:is>
          <x:t>ATF / 刑事侦查分析员</x:t>
        </x:is>
      </x:c>
      <x:c r="G93" t="inlineStr">
        <x:is>
          <x:t/>
        </x:is>
      </x:c>
      <x:c r="H93" t="inlineStr">
        <x:is>
          <x:t>可以访问FBI和ATF的数据库和档案，阅读心理学和行为科学的学术研究，以及一个颇为丰富犯罪行为资料库。</x:t>
        </x:is>
      </x:c>
    </x:row>
    <x:row r="94">
      <x:c r="F94" t="inlineStr">
        <x:is>
          <x:t>ATF / 爆炸物专家</x:t>
        </x:is>
      </x:c>
      <x:c r="G94" t="inlineStr">
        <x:is>
          <x:t>联邦特工</x:t>
        </x:is>
      </x:c>
      <x:c r="H94" t="inlineStr">
        <x:is>
          <x:t>爆炸物保护装备，大量工具、电子和化学诊断设备，并可利用遥控车辆接近、调查和消除可疑爆炸物。</x:t>
        </x:is>
      </x:c>
    </x:row>
    <x:row r="95">
      <x:c r="F95" t="inlineStr">
        <x:is>
          <x:t>USSS / 保护情报和评估处（PID）</x:t>
        </x:is>
      </x:c>
      <x:c r="G95" t="inlineStr">
        <x:is>
          <x:t/>
        </x:is>
      </x:c>
      <x:c r="H95" t="inlineStr">
        <x:is>
          <x:t>能阅读整个情报界的机密报告。</x:t>
        </x:is>
      </x:c>
    </x:row>
    <x:row r="96">
      <x:c r="F96" t="inlineStr">
        <x:is>
          <x:t>USSS / 贴身警卫处（PPD）</x:t>
        </x:is>
      </x:c>
      <x:c r="G96" t="inlineStr">
        <x:is>
          <x:t>联邦特工</x:t>
        </x:is>
      </x:c>
      <x:c r="H96" t="inlineStr">
        <x:is>
          <x:t/>
        </x:is>
      </x:c>
    </x:row>
    <x:row r="97">
      <x:c r="F97" t="inlineStr">
        <x:is>
          <x:t>USSS / 反突击组（CAT）</x:t>
        </x:is>
      </x:c>
      <x:c r="G97" t="inlineStr">
        <x:is>
          <x:t>联邦特工</x:t>
        </x:is>
      </x:c>
      <x:c r="H97" t="inlineStr">
        <x:is>
          <x:t/>
        </x:is>
      </x:c>
    </x:row>
    <x:row r="98">
      <x:c r="F98" t="inlineStr">
        <x:is>
          <x:t>USSS / 财务行政、专业和技术支助（F-ATP）</x:t>
        </x:is>
      </x:c>
      <x:c r="G98" t="inlineStr">
        <x:is>
          <x:t/>
        </x:is>
      </x:c>
      <x:c r="H98" t="inlineStr">
        <x:is>
          <x:t>能阅读整个情报界的重要机密报告。</x:t>
        </x:is>
      </x:c>
    </x:row>
    <x:row r="99">
      <x:c r="F99" t="inlineStr">
        <x:is>
          <x:t>USCG / 搜救组（SAR）</x:t>
        </x:is>
      </x:c>
      <x:c r="G99" t="inlineStr">
        <x:is>
          <x:t/>
        </x:is>
      </x:c>
      <x:c r="H99" t="inlineStr">
        <x:is>
          <x:t>便携式搜救装备、水上生存装备、防寒潜水服、游泳装备。</x:t>
        </x:is>
      </x:c>
    </x:row>
    <x:row r="100">
      <x:c r="F100" t="inlineStr">
        <x:is>
          <x:t>USCG / 响应政策办公室（CG-5R）</x:t>
        </x:is>
      </x:c>
      <x:c r="G100" t="inlineStr">
        <x:is>
          <x:t/>
        </x:is>
      </x:c>
      <x:c r="H100" t="inlineStr">
        <x:is>
          <x:t>能联系上军队各部门，并可查阅恐怖主义或军事行动的机密档案。</x:t>
        </x:is>
      </x:c>
    </x:row>
    <x:row r="101">
      <x:c r="F101" t="inlineStr">
        <x:is>
          <x:t>USCG / 调查和伤亡分析办公室（INV）</x:t>
        </x:is>
      </x:c>
      <x:c r="G101" t="inlineStr">
        <x:is>
          <x:t/>
        </x:is>
      </x:c>
      <x:c r="H101" t="inlineStr">
        <x:is>
          <x:t>一个规模庞大的灾害历史和数据（车祸、飓风、洪水等）线上资料库及图书馆。</x:t>
        </x:is>
      </x:c>
    </x:row>
    <x:row r="102">
      <x:c r="F102" t="inlineStr">
        <x:is>
          <x:t>USCG / 直升机拦截战术中队（HITRON）</x:t>
        </x:is>
      </x:c>
      <x:c r="G102" t="inlineStr">
        <x:is>
          <x:t>特种作战员</x:t>
        </x:is>
      </x:c>
      <x:c r="H102" t="inlineStr">
        <x:is>
          <x:t>定制的巴雷特M82.50口径狙击步枪，配备了望远镜、红外、低光、全息或激光瞄准器。</x:t>
        </x:is>
      </x:c>
    </x:row>
    <x:row r="103">
      <x:c r="F103" t="inlineStr">
        <x:is>
          <x:t>USCG / 战术执法分队（TACLET）</x:t>
        </x:is>
      </x:c>
      <x:c r="G103" t="inlineStr">
        <x:is>
          <x:t>联邦特工</x:t>
        </x:is>
      </x:c>
      <x:c r="H103" t="inlineStr">
        <x:is>
          <x:t>基础水上生存装备。</x:t>
        </x:is>
      </x:c>
    </x:row>
    <x:row r="104">
      <x:c r="F104" t="inlineStr">
        <x:is>
          <x:t>USCG / 海上安全和保安队（MSST）</x:t>
        </x:is>
      </x:c>
      <x:c r="G104" t="inlineStr">
        <x:is>
          <x:t>联邦特工</x:t>
        </x:is>
      </x:c>
      <x:c r="H104" t="inlineStr">
        <x:is>
          <x:t>基础水上生存装备。</x:t>
        </x:is>
      </x:c>
    </x:row>
    <x:row r="105">
      <x:c r="F105" t="inlineStr">
        <x:is>
          <x:t>USCG / 海上保安应变队（MSRT）</x:t>
        </x:is>
      </x:c>
      <x:c r="G105" t="inlineStr">
        <x:is>
          <x:t>特种作战员</x:t>
        </x:is>
      </x:c>
      <x:c r="H105" t="inlineStr">
        <x:is>
          <x:t>用于逮捕和拘留嫌疑人的限制性工具。</x:t>
        </x:is>
      </x:c>
    </x:row>
    <x:row r="106">
      <x:c r="F106" t="inlineStr">
        <x:is>
          <x:t>USCG / 国家打击部队（NSF）</x:t>
        </x:is>
      </x:c>
      <x:c r="G106" t="inlineStr">
        <x:is>
          <x:t/>
        </x:is>
      </x:c>
      <x:c r="H106" t="inlineStr">
        <x:is>
          <x:t>环境和化学品监测和技术装备。</x:t>
        </x:is>
      </x:c>
    </x:row>
  </x:sheetData>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人物卡</vt:lpstr>
      <vt:lpstr>骰子指令</vt:lpstr>
      <vt:lpstr>职业列表</vt:lpstr>
      <vt:lpstr>额外技能包</vt:lpstr>
      <vt:lpstr>子技能</vt:lpstr>
      <vt:lpstr>附表</vt:lpstr>
      <vt:lpstr>更新记录</vt:lpstr>
      <vt:lpstr>职业选项</vt:lpstr>
      <vt:lpstr>规则数据</vt:lpstr>
      <vt:lpstr>规则速查</vt:lpstr>
      <vt:lpstr>精神疾病</vt:lpstr>
      <vt:lpstr>参考选项</vt:lpstr>
      <vt:lpstr>模组经历备忘录</vt:lpstr>
      <vt:lpstr>幕间与结算</vt:lpstr>
      <vt:lpstr>幕间计算</vt:lpstr>
      <vt:lpstr>装备选项</vt:lpstr>
      <vt:lpstr>可打印版（A4）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DKWings</dc:creator>
  <cp:lastModifiedBy>Lindrich King</cp:lastModifiedBy>
  <dcterms:created xsi:type="dcterms:W3CDTF">2020-07-08T07:43:00Z</dcterms:created>
  <dcterms:modified xsi:type="dcterms:W3CDTF">2026-09-21T15:58:28Z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10E3D06D8E8949978352069DC553005B_13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1.10</vt:lpwstr>
  </property>
</Properties>
</file>